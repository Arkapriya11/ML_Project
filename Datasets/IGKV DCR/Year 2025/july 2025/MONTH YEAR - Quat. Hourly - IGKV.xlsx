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july 2025\"/>
    </mc:Choice>
  </mc:AlternateContent>
  <xr:revisionPtr revIDLastSave="0" documentId="13_ncr:1_{351C9965-D8D7-429C-9850-785E3019084B}" xr6:coauthVersionLast="47" xr6:coauthVersionMax="47" xr10:uidLastSave="{00000000-0000-0000-0000-000000000000}"/>
  <bookViews>
    <workbookView xWindow="-120" yWindow="-120" windowWidth="20730" windowHeight="11040" tabRatio="814" firstSheet="10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Q45" i="39" l="1"/>
  <c r="Q110" i="2"/>
  <c r="H110" i="40"/>
  <c r="G110" i="40"/>
  <c r="H110" i="29"/>
  <c r="H111" i="29" s="1"/>
  <c r="G110" i="29"/>
  <c r="D110" i="16"/>
  <c r="D111" i="16" s="1"/>
  <c r="C110" i="15"/>
  <c r="D110" i="15"/>
  <c r="B110" i="15"/>
  <c r="C110" i="14"/>
  <c r="D110" i="14"/>
  <c r="B110" i="14"/>
  <c r="Q110" i="12"/>
  <c r="Q110" i="11"/>
  <c r="Q110" i="10"/>
  <c r="Q110" i="9"/>
  <c r="H110" i="9"/>
  <c r="I110" i="9"/>
  <c r="J110" i="9"/>
  <c r="K110" i="9"/>
  <c r="L110" i="9"/>
  <c r="M110" i="9"/>
  <c r="N110" i="9"/>
  <c r="O110" i="9"/>
  <c r="P110" i="9"/>
  <c r="G110" i="9"/>
  <c r="F111" i="9"/>
  <c r="F110" i="9"/>
  <c r="C110" i="9"/>
  <c r="D110" i="9"/>
  <c r="E110" i="9"/>
  <c r="Q112" i="9"/>
  <c r="B110" i="9"/>
  <c r="H110" i="2"/>
  <c r="G110" i="2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E36" i="39"/>
  <c r="F33" i="39"/>
  <c r="E33" i="39"/>
  <c r="H30" i="39"/>
  <c r="N29" i="39"/>
  <c r="K27" i="39"/>
  <c r="O26" i="39"/>
  <c r="N11" i="39"/>
  <c r="O111" i="41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I112" i="41" s="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C112" i="40"/>
  <c r="Q111" i="40"/>
  <c r="Q110" i="40"/>
  <c r="Q112" i="40" s="1"/>
  <c r="P110" i="40"/>
  <c r="P111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2" i="40"/>
  <c r="G112" i="40"/>
  <c r="F110" i="40"/>
  <c r="F112" i="40" s="1"/>
  <c r="E110" i="40"/>
  <c r="E111" i="40" s="1"/>
  <c r="D110" i="40"/>
  <c r="D112" i="40" s="1"/>
  <c r="C110" i="40"/>
  <c r="C111" i="40" s="1"/>
  <c r="B110" i="40"/>
  <c r="B111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D112" i="33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1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1" i="32" s="1"/>
  <c r="G110" i="32"/>
  <c r="G112" i="32" s="1"/>
  <c r="F110" i="32"/>
  <c r="F111" i="32" s="1"/>
  <c r="E110" i="32"/>
  <c r="E112" i="32" s="1"/>
  <c r="D110" i="32"/>
  <c r="D111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F111" i="31"/>
  <c r="E111" i="31"/>
  <c r="D111" i="3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1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 i="30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1" i="29" s="1"/>
  <c r="J110" i="29"/>
  <c r="J112" i="29" s="1"/>
  <c r="I110" i="29"/>
  <c r="I111" i="29" s="1"/>
  <c r="G112" i="29"/>
  <c r="F110" i="29"/>
  <c r="F112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H111" i="28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1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M112" i="27"/>
  <c r="J112" i="27"/>
  <c r="Q110" i="27"/>
  <c r="Q112" i="27" s="1"/>
  <c r="P110" i="27"/>
  <c r="P112" i="27" s="1"/>
  <c r="O110" i="27"/>
  <c r="O112" i="27" s="1"/>
  <c r="N110" i="27"/>
  <c r="N112" i="27" s="1"/>
  <c r="M110" i="27"/>
  <c r="M111" i="27" s="1"/>
  <c r="L110" i="27"/>
  <c r="L112" i="27" s="1"/>
  <c r="K110" i="27"/>
  <c r="K112" i="27" s="1"/>
  <c r="J110" i="27"/>
  <c r="J111" i="27" s="1"/>
  <c r="I110" i="27"/>
  <c r="I112" i="27" s="1"/>
  <c r="H110" i="27"/>
  <c r="H111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N112" i="26"/>
  <c r="Q110" i="26"/>
  <c r="Q112" i="26" s="1"/>
  <c r="P110" i="26"/>
  <c r="P112" i="26" s="1"/>
  <c r="O110" i="26"/>
  <c r="O112" i="26" s="1"/>
  <c r="N110" i="26"/>
  <c r="N111" i="26" s="1"/>
  <c r="M110" i="26"/>
  <c r="M112" i="26" s="1"/>
  <c r="L110" i="26"/>
  <c r="L112" i="26" s="1"/>
  <c r="K110" i="26"/>
  <c r="K111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L111" i="25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1" i="25" s="1"/>
  <c r="J110" i="25"/>
  <c r="J111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N112" i="24"/>
  <c r="Q110" i="24"/>
  <c r="Q112" i="24" s="1"/>
  <c r="P110" i="24"/>
  <c r="P112" i="24" s="1"/>
  <c r="O110" i="24"/>
  <c r="O112" i="24" s="1"/>
  <c r="N110" i="24"/>
  <c r="N111" i="24" s="1"/>
  <c r="M110" i="24"/>
  <c r="M112" i="24" s="1"/>
  <c r="L110" i="24"/>
  <c r="L111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2" i="23"/>
  <c r="O112" i="23"/>
  <c r="Q110" i="23"/>
  <c r="Q111" i="23" s="1"/>
  <c r="P110" i="23"/>
  <c r="P112" i="23" s="1"/>
  <c r="O110" i="23"/>
  <c r="O111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O111" i="22"/>
  <c r="Q110" i="22"/>
  <c r="Q112" i="22" s="1"/>
  <c r="P110" i="22"/>
  <c r="P112" i="22" s="1"/>
  <c r="O110" i="22"/>
  <c r="O112" i="22" s="1"/>
  <c r="N110" i="22"/>
  <c r="N111" i="22" s="1"/>
  <c r="M110" i="22"/>
  <c r="M111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N112" i="21"/>
  <c r="Q110" i="21"/>
  <c r="Q112" i="21" s="1"/>
  <c r="P110" i="21"/>
  <c r="P112" i="21" s="1"/>
  <c r="O110" i="21"/>
  <c r="O112" i="21" s="1"/>
  <c r="N110" i="21"/>
  <c r="N111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C112" i="19"/>
  <c r="Q110" i="19"/>
  <c r="Q112" i="19" s="1"/>
  <c r="P110" i="19"/>
  <c r="P111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1" i="19" s="1"/>
  <c r="D110" i="19"/>
  <c r="D112" i="19" s="1"/>
  <c r="C110" i="19"/>
  <c r="C111" i="19" s="1"/>
  <c r="B110" i="19"/>
  <c r="B111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1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2" i="17" s="1"/>
  <c r="D110" i="17"/>
  <c r="D111" i="17" s="1"/>
  <c r="C110" i="17"/>
  <c r="C112" i="17" s="1"/>
  <c r="B110" i="17"/>
  <c r="B111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E112" i="16"/>
  <c r="E111" i="16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1" i="16" s="1"/>
  <c r="G110" i="16"/>
  <c r="G112" i="16" s="1"/>
  <c r="F110" i="16"/>
  <c r="F111" i="16" s="1"/>
  <c r="E110" i="16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G112" i="15"/>
  <c r="Q110" i="15"/>
  <c r="Q112" i="15" s="1"/>
  <c r="P110" i="15"/>
  <c r="P112" i="15" s="1"/>
  <c r="O110" i="15"/>
  <c r="O112" i="15" s="1"/>
  <c r="N110" i="15"/>
  <c r="N112" i="15" s="1"/>
  <c r="M110" i="15"/>
  <c r="M112" i="15" s="1"/>
  <c r="L110" i="15"/>
  <c r="K110" i="15"/>
  <c r="J110" i="15"/>
  <c r="I110" i="15"/>
  <c r="I112" i="15" s="1"/>
  <c r="H110" i="15"/>
  <c r="H112" i="15" s="1"/>
  <c r="G110" i="15"/>
  <c r="G111" i="15" s="1"/>
  <c r="F110" i="15"/>
  <c r="F112" i="15" s="1"/>
  <c r="E110" i="15"/>
  <c r="E111" i="15" s="1"/>
  <c r="D111" i="15"/>
  <c r="C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1" i="14" s="1"/>
  <c r="F110" i="14"/>
  <c r="F112" i="14" s="1"/>
  <c r="E110" i="14"/>
  <c r="E111" i="14" s="1"/>
  <c r="D112" i="14"/>
  <c r="C112" i="14"/>
  <c r="B112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1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2" i="12"/>
  <c r="P110" i="12"/>
  <c r="P112" i="12" s="1"/>
  <c r="O110" i="12"/>
  <c r="O112" i="12" s="1"/>
  <c r="N110" i="12"/>
  <c r="N112" i="12" s="1"/>
  <c r="M110" i="12"/>
  <c r="M112" i="12" s="1"/>
  <c r="L110" i="12"/>
  <c r="L112" i="12" s="1"/>
  <c r="K110" i="12"/>
  <c r="K112" i="12" s="1"/>
  <c r="J110" i="12"/>
  <c r="J112" i="12" s="1"/>
  <c r="I110" i="12"/>
  <c r="I111" i="12" s="1"/>
  <c r="H110" i="12"/>
  <c r="H112" i="12" s="1"/>
  <c r="G110" i="12"/>
  <c r="G111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2" i="1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J110" i="11"/>
  <c r="J112" i="11" s="1"/>
  <c r="I110" i="11"/>
  <c r="I111" i="11" s="1"/>
  <c r="H110" i="11"/>
  <c r="H111" i="11" s="1"/>
  <c r="G110" i="11"/>
  <c r="G112" i="11" s="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2" i="10"/>
  <c r="P110" i="10"/>
  <c r="P112" i="10" s="1"/>
  <c r="O110" i="10"/>
  <c r="O112" i="10" s="1"/>
  <c r="N110" i="10"/>
  <c r="N112" i="10" s="1"/>
  <c r="M110" i="10"/>
  <c r="M112" i="10" s="1"/>
  <c r="L110" i="10"/>
  <c r="L112" i="10" s="1"/>
  <c r="K110" i="10"/>
  <c r="K111" i="10" s="1"/>
  <c r="J110" i="10"/>
  <c r="J112" i="10" s="1"/>
  <c r="I110" i="10"/>
  <c r="I111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1" i="8" s="1"/>
  <c r="L110" i="8"/>
  <c r="L112" i="8" s="1"/>
  <c r="K110" i="8"/>
  <c r="K111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1" i="3" s="1"/>
  <c r="M110" i="3"/>
  <c r="M111" i="3" s="1"/>
  <c r="L110" i="3"/>
  <c r="L111" i="3" s="1"/>
  <c r="K110" i="3"/>
  <c r="K112" i="3" s="1"/>
  <c r="J110" i="3"/>
  <c r="J112" i="3" s="1"/>
  <c r="I110" i="3"/>
  <c r="I112" i="3" s="1"/>
  <c r="H110" i="3"/>
  <c r="H112" i="3" s="1"/>
  <c r="G110" i="3"/>
  <c r="G111" i="3" s="1"/>
  <c r="F110" i="3"/>
  <c r="F112" i="3" s="1"/>
  <c r="E110" i="3"/>
  <c r="E111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2" i="2"/>
  <c r="P110" i="2"/>
  <c r="P112" i="2" s="1"/>
  <c r="O110" i="2"/>
  <c r="O111" i="2" s="1"/>
  <c r="N110" i="2"/>
  <c r="N111" i="2" s="1"/>
  <c r="M110" i="2"/>
  <c r="M112" i="2" s="1"/>
  <c r="L110" i="2"/>
  <c r="L112" i="2" s="1"/>
  <c r="K110" i="2"/>
  <c r="K112" i="2" s="1"/>
  <c r="J110" i="2"/>
  <c r="J112" i="2" s="1"/>
  <c r="I110" i="2"/>
  <c r="I112" i="2" s="1"/>
  <c r="H112" i="2"/>
  <c r="G112" i="2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P111" i="41" l="1"/>
  <c r="Q111" i="41"/>
  <c r="B112" i="40"/>
  <c r="E112" i="40"/>
  <c r="F111" i="44"/>
  <c r="B112" i="33"/>
  <c r="C111" i="32"/>
  <c r="E111" i="32"/>
  <c r="D112" i="32"/>
  <c r="F112" i="32"/>
  <c r="G111" i="31"/>
  <c r="I112" i="31"/>
  <c r="E111" i="30"/>
  <c r="G111" i="30"/>
  <c r="F111" i="29"/>
  <c r="G111" i="29"/>
  <c r="I111" i="28"/>
  <c r="J111" i="28"/>
  <c r="K111" i="27"/>
  <c r="H112" i="27"/>
  <c r="L111" i="26"/>
  <c r="K112" i="26"/>
  <c r="M111" i="25"/>
  <c r="O111" i="25"/>
  <c r="J112" i="25"/>
  <c r="M111" i="24"/>
  <c r="L112" i="24"/>
  <c r="M111" i="23"/>
  <c r="N111" i="23"/>
  <c r="P111" i="22"/>
  <c r="B112" i="22"/>
  <c r="M112" i="22"/>
  <c r="C111" i="21"/>
  <c r="O111" i="21"/>
  <c r="O111" i="20"/>
  <c r="P111" i="20"/>
  <c r="Q111" i="20"/>
  <c r="E112" i="19"/>
  <c r="Q111" i="19"/>
  <c r="B112" i="19"/>
  <c r="F112" i="18"/>
  <c r="B112" i="17"/>
  <c r="D112" i="17"/>
  <c r="C111" i="16"/>
  <c r="D112" i="16"/>
  <c r="F112" i="16"/>
  <c r="I111" i="15"/>
  <c r="F111" i="15"/>
  <c r="Q43" i="39"/>
  <c r="B43" i="39"/>
  <c r="D42" i="39"/>
  <c r="N112" i="3"/>
  <c r="M45" i="39"/>
  <c r="M44" i="39"/>
  <c r="M43" i="39"/>
  <c r="M42" i="39"/>
  <c r="M41" i="39"/>
  <c r="N45" i="39"/>
  <c r="N44" i="39"/>
  <c r="N43" i="39"/>
  <c r="N42" i="39"/>
  <c r="N41" i="39"/>
  <c r="O45" i="39"/>
  <c r="O44" i="39"/>
  <c r="O43" i="39"/>
  <c r="O42" i="39"/>
  <c r="O41" i="39"/>
  <c r="P42" i="39"/>
  <c r="P41" i="39"/>
  <c r="P45" i="39"/>
  <c r="P44" i="39"/>
  <c r="P43" i="39"/>
  <c r="F111" i="13"/>
  <c r="B111" i="44"/>
  <c r="I112" i="29"/>
  <c r="P111" i="2"/>
  <c r="O111" i="3"/>
  <c r="N111" i="8"/>
  <c r="M111" i="9"/>
  <c r="L111" i="10"/>
  <c r="K111" i="11"/>
  <c r="J111" i="12"/>
  <c r="I111" i="13"/>
  <c r="H111" i="14"/>
  <c r="O111" i="15"/>
  <c r="D111" i="18"/>
  <c r="K111" i="24"/>
  <c r="L111" i="28"/>
  <c r="K112" i="29"/>
  <c r="D111" i="44"/>
  <c r="P111" i="3"/>
  <c r="O111" i="8"/>
  <c r="N111" i="9"/>
  <c r="M111" i="10"/>
  <c r="L111" i="11"/>
  <c r="K111" i="12"/>
  <c r="J111" i="13"/>
  <c r="I111" i="14"/>
  <c r="D112" i="15"/>
  <c r="H112" i="16"/>
  <c r="P112" i="19"/>
  <c r="N112" i="22"/>
  <c r="K112" i="25"/>
  <c r="G112" i="28"/>
  <c r="H112" i="32"/>
  <c r="P112" i="40"/>
  <c r="D44" i="5"/>
  <c r="J111" i="9"/>
  <c r="M112" i="3"/>
  <c r="L111" i="8"/>
  <c r="K111" i="9"/>
  <c r="G112" i="13"/>
  <c r="F111" i="14"/>
  <c r="Q44" i="39"/>
  <c r="Q111" i="2"/>
  <c r="B111" i="2"/>
  <c r="Q111" i="3"/>
  <c r="P111" i="8"/>
  <c r="O111" i="9"/>
  <c r="N111" i="10"/>
  <c r="M111" i="11"/>
  <c r="L111" i="12"/>
  <c r="K111" i="13"/>
  <c r="J111" i="14"/>
  <c r="E112" i="15"/>
  <c r="Q111" i="18"/>
  <c r="P111" i="21"/>
  <c r="I111" i="27"/>
  <c r="Q111" i="44"/>
  <c r="D44" i="39"/>
  <c r="L112" i="3"/>
  <c r="K112" i="8"/>
  <c r="K112" i="10"/>
  <c r="J111" i="11"/>
  <c r="I112" i="12"/>
  <c r="C111" i="44"/>
  <c r="B45" i="39"/>
  <c r="B44" i="39"/>
  <c r="C45" i="39"/>
  <c r="C44" i="39"/>
  <c r="C43" i="39"/>
  <c r="C42" i="39"/>
  <c r="C41" i="39"/>
  <c r="C111" i="2"/>
  <c r="B111" i="3"/>
  <c r="Q111" i="8"/>
  <c r="P111" i="9"/>
  <c r="O111" i="10"/>
  <c r="N111" i="11"/>
  <c r="M111" i="12"/>
  <c r="L111" i="13"/>
  <c r="K111" i="14"/>
  <c r="J112" i="15"/>
  <c r="J111" i="15"/>
  <c r="B112" i="18"/>
  <c r="Q111" i="21"/>
  <c r="F111" i="30"/>
  <c r="B41" i="39"/>
  <c r="G112" i="14"/>
  <c r="B111" i="8"/>
  <c r="Q111" i="9"/>
  <c r="P111" i="10"/>
  <c r="O111" i="11"/>
  <c r="N111" i="12"/>
  <c r="M111" i="13"/>
  <c r="L111" i="14"/>
  <c r="K112" i="15"/>
  <c r="K111" i="15"/>
  <c r="C111" i="17"/>
  <c r="C112" i="18"/>
  <c r="B111" i="20"/>
  <c r="P111" i="24"/>
  <c r="C111" i="33"/>
  <c r="B111" i="41"/>
  <c r="D41" i="39"/>
  <c r="D45" i="39"/>
  <c r="M111" i="2"/>
  <c r="D111" i="2"/>
  <c r="C111" i="3"/>
  <c r="E45" i="39"/>
  <c r="E44" i="39"/>
  <c r="E43" i="39"/>
  <c r="E42" i="39"/>
  <c r="E41" i="39"/>
  <c r="E111" i="2"/>
  <c r="D111" i="3"/>
  <c r="C111" i="8"/>
  <c r="B111" i="9"/>
  <c r="Q111" i="10"/>
  <c r="P111" i="11"/>
  <c r="O111" i="12"/>
  <c r="N111" i="13"/>
  <c r="M111" i="14"/>
  <c r="L112" i="15"/>
  <c r="L111" i="15"/>
  <c r="D111" i="20"/>
  <c r="L111" i="23"/>
  <c r="H111" i="30"/>
  <c r="D111" i="41"/>
  <c r="I112" i="10"/>
  <c r="G112" i="12"/>
  <c r="E112" i="14"/>
  <c r="H111" i="12"/>
  <c r="O112" i="2"/>
  <c r="E112" i="3"/>
  <c r="D111" i="8"/>
  <c r="C111" i="9"/>
  <c r="B111" i="10"/>
  <c r="Q111" i="11"/>
  <c r="P111" i="12"/>
  <c r="O111" i="13"/>
  <c r="N111" i="14"/>
  <c r="E111" i="17"/>
  <c r="I111" i="26"/>
  <c r="J111" i="30"/>
  <c r="E111" i="33"/>
  <c r="N112" i="2"/>
  <c r="H112" i="29"/>
  <c r="M112" i="8"/>
  <c r="L111" i="9"/>
  <c r="F111" i="2"/>
  <c r="G45" i="39"/>
  <c r="G44" i="39"/>
  <c r="G43" i="39"/>
  <c r="G42" i="39"/>
  <c r="G41" i="39"/>
  <c r="G111" i="2"/>
  <c r="F111" i="3"/>
  <c r="E111" i="8"/>
  <c r="D111" i="9"/>
  <c r="C111" i="10"/>
  <c r="B111" i="11"/>
  <c r="Q111" i="12"/>
  <c r="P111" i="13"/>
  <c r="O111" i="14"/>
  <c r="G111" i="17"/>
  <c r="J111" i="26"/>
  <c r="G111" i="33"/>
  <c r="Q41" i="39"/>
  <c r="H111" i="13"/>
  <c r="H45" i="39"/>
  <c r="H44" i="39"/>
  <c r="H43" i="39"/>
  <c r="H42" i="39"/>
  <c r="H41" i="39"/>
  <c r="G112" i="3"/>
  <c r="F111" i="8"/>
  <c r="E111" i="9"/>
  <c r="D111" i="10"/>
  <c r="C111" i="11"/>
  <c r="B111" i="12"/>
  <c r="Q111" i="13"/>
  <c r="P111" i="14"/>
  <c r="B42" i="39"/>
  <c r="H112" i="11"/>
  <c r="D43" i="39"/>
  <c r="H111" i="2"/>
  <c r="I45" i="39"/>
  <c r="I44" i="39"/>
  <c r="I43" i="39"/>
  <c r="I42" i="39"/>
  <c r="I41" i="39"/>
  <c r="I111" i="2"/>
  <c r="H111" i="3"/>
  <c r="G111" i="8"/>
  <c r="E111" i="10"/>
  <c r="D111" i="11"/>
  <c r="C111" i="12"/>
  <c r="B111" i="13"/>
  <c r="Q111" i="14"/>
  <c r="J45" i="39"/>
  <c r="J44" i="39"/>
  <c r="J43" i="39"/>
  <c r="J42" i="39"/>
  <c r="J41" i="39"/>
  <c r="J111" i="2"/>
  <c r="I111" i="3"/>
  <c r="H111" i="8"/>
  <c r="G111" i="9"/>
  <c r="F111" i="10"/>
  <c r="E111" i="11"/>
  <c r="D111" i="12"/>
  <c r="C111" i="13"/>
  <c r="B111" i="14"/>
  <c r="J111" i="10"/>
  <c r="I112" i="11"/>
  <c r="F45" i="39"/>
  <c r="F44" i="39"/>
  <c r="F43" i="39"/>
  <c r="F42" i="39"/>
  <c r="F41" i="39"/>
  <c r="K45" i="39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B112" i="15"/>
  <c r="B111" i="15"/>
  <c r="L45" i="39"/>
  <c r="L44" i="39"/>
  <c r="L43" i="39"/>
  <c r="L42" i="39"/>
  <c r="L41" i="39"/>
  <c r="L111" i="2"/>
  <c r="K111" i="3"/>
  <c r="J111" i="8"/>
  <c r="I111" i="9"/>
  <c r="H111" i="10"/>
  <c r="G111" i="11"/>
  <c r="F111" i="12"/>
  <c r="E111" i="13"/>
  <c r="D111" i="14"/>
  <c r="Q42" i="39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H111" i="41"/>
  <c r="N111" i="15"/>
  <c r="M111" i="16"/>
  <c r="L111" i="17"/>
  <c r="K111" i="18"/>
  <c r="J111" i="19"/>
  <c r="I111" i="20"/>
  <c r="H111" i="21"/>
  <c r="G111" i="22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I111" i="41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J111" i="41"/>
  <c r="P111" i="15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K111" i="41"/>
  <c r="Q111" i="15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L111" i="41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M111" i="41"/>
  <c r="C111" i="15"/>
  <c r="B111" i="16"/>
  <c r="Q111" i="17"/>
  <c r="P111" i="18"/>
  <c r="O111" i="19"/>
  <c r="N111" i="20"/>
  <c r="M111" i="21"/>
  <c r="L111" i="22"/>
  <c r="K111" i="23"/>
  <c r="J111" i="24"/>
  <c r="I111" i="25"/>
  <c r="H111" i="26"/>
  <c r="G111" i="27"/>
  <c r="F111" i="28"/>
  <c r="E111" i="29"/>
  <c r="D111" i="30"/>
  <c r="C111" i="31"/>
  <c r="B111" i="32"/>
  <c r="Q111" i="33"/>
  <c r="P111" i="44"/>
  <c r="O111" i="40"/>
  <c r="N111" i="41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C111" i="41"/>
  <c r="I111" i="16"/>
  <c r="H111" i="17"/>
  <c r="G111" i="18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E111" i="41"/>
  <c r="J111" i="16"/>
  <c r="I111" i="17"/>
  <c r="H111" i="18"/>
  <c r="G111" i="19"/>
  <c r="F111" i="20"/>
  <c r="E111" i="21"/>
  <c r="D111" i="22"/>
  <c r="C111" i="23"/>
  <c r="B111" i="24"/>
  <c r="Q111" i="25"/>
  <c r="P111" i="26"/>
  <c r="O111" i="27"/>
  <c r="N111" i="28"/>
  <c r="M111" i="29"/>
  <c r="L111" i="30"/>
  <c r="K111" i="31"/>
  <c r="J111" i="32"/>
  <c r="I111" i="33"/>
  <c r="H111" i="44"/>
  <c r="G111" i="40"/>
  <c r="F111" i="41"/>
  <c r="K111" i="16"/>
  <c r="J111" i="17"/>
  <c r="I111" i="18"/>
  <c r="H111" i="19"/>
  <c r="G111" i="20"/>
  <c r="F111" i="21"/>
  <c r="E111" i="22"/>
  <c r="D111" i="23"/>
  <c r="C111" i="24"/>
  <c r="B111" i="25"/>
  <c r="Q111" i="26"/>
  <c r="P111" i="27"/>
  <c r="O111" i="28"/>
  <c r="N111" i="29"/>
  <c r="M111" i="30"/>
  <c r="L111" i="31"/>
  <c r="K111" i="32"/>
  <c r="J111" i="33"/>
  <c r="I111" i="44"/>
  <c r="H111" i="40"/>
  <c r="G111" i="41"/>
  <c r="Q47" i="39" l="1"/>
  <c r="Q46" i="39"/>
  <c r="F47" i="39"/>
  <c r="F46" i="39"/>
  <c r="J47" i="39"/>
  <c r="J46" i="39"/>
  <c r="D47" i="39"/>
  <c r="D46" i="39"/>
  <c r="G47" i="39"/>
  <c r="G46" i="39"/>
  <c r="O47" i="39"/>
  <c r="O46" i="39"/>
  <c r="I47" i="39"/>
  <c r="I46" i="39"/>
  <c r="H47" i="39"/>
  <c r="H46" i="39"/>
  <c r="C47" i="39"/>
  <c r="C46" i="39"/>
  <c r="B47" i="39"/>
  <c r="B46" i="39"/>
  <c r="N47" i="39"/>
  <c r="N46" i="39"/>
  <c r="L47" i="39"/>
  <c r="L46" i="39"/>
  <c r="K47" i="39"/>
  <c r="K46" i="39"/>
  <c r="P47" i="39"/>
  <c r="P46" i="39"/>
  <c r="E47" i="39"/>
  <c r="E46" i="39"/>
  <c r="M47" i="39"/>
  <c r="M46" i="39"/>
</calcChain>
</file>

<file path=xl/sharedStrings.xml><?xml version="1.0" encoding="utf-8"?>
<sst xmlns="http://schemas.openxmlformats.org/spreadsheetml/2006/main" count="6349" uniqueCount="3216">
  <si>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</si>
  <si>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</si>
  <si>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</si>
  <si>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</si>
  <si>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</si>
  <si>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</si>
  <si>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</si>
  <si>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</si>
  <si>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</si>
  <si>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</si>
  <si>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</si>
  <si>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</si>
  <si>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</si>
  <si>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</si>
  <si>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</si>
  <si>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</si>
  <si>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</si>
  <si>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</si>
  <si>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</si>
  <si>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</si>
  <si>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</si>
  <si>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</si>
  <si>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</si>
  <si>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</si>
  <si>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</si>
  <si>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</si>
  <si>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</si>
  <si>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</si>
  <si>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</si>
  <si>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</si>
  <si>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</si>
  <si>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</si>
  <si>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</si>
  <si>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</si>
  <si>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</si>
  <si>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</si>
  <si>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</si>
  <si>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</si>
  <si>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</si>
  <si>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</si>
  <si>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</si>
  <si>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</si>
  <si>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</si>
  <si>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</si>
  <si>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</si>
  <si>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</si>
  <si>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</si>
  <si>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</si>
  <si>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</si>
  <si>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</si>
  <si>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</si>
  <si>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</si>
  <si>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</si>
  <si>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</si>
  <si>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</si>
  <si>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</si>
  <si>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</si>
  <si>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</si>
  <si>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</si>
  <si>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</si>
  <si>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</si>
  <si>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</si>
  <si>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</si>
  <si>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</si>
  <si>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</si>
  <si>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</si>
  <si>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</si>
  <si>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</si>
  <si>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</si>
  <si>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</si>
  <si>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</si>
  <si>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</si>
  <si>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</si>
  <si>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</si>
  <si>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</si>
  <si>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</si>
  <si>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</si>
  <si>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</si>
  <si>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</si>
  <si>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</si>
  <si>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</si>
  <si>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</si>
  <si>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</si>
  <si>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</si>
  <si>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</si>
  <si>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</si>
  <si>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</si>
  <si>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</si>
  <si>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</si>
  <si>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</si>
  <si>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</si>
  <si>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</si>
  <si>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</si>
  <si>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</si>
  <si>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</si>
  <si>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</si>
  <si>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</si>
  <si>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</si>
  <si>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</si>
  <si>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</si>
  <si>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</si>
  <si>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</si>
  <si>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</si>
  <si>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</si>
  <si>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</si>
  <si>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</si>
  <si>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</si>
  <si>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</si>
  <si>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</si>
  <si>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</si>
  <si>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</si>
  <si>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</si>
  <si>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</si>
  <si>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</si>
  <si>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</si>
  <si>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</si>
  <si>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</si>
  <si>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</si>
  <si>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</si>
  <si>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</si>
  <si>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</si>
  <si>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</si>
  <si>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</si>
  <si>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</si>
  <si>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</si>
  <si>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</si>
  <si>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</si>
  <si>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</si>
  <si>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</si>
  <si>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</si>
  <si>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</si>
  <si>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</si>
  <si>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</si>
  <si>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</si>
  <si>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</si>
  <si>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</si>
  <si>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</si>
  <si>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</si>
  <si>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</si>
  <si>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</si>
  <si>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</si>
  <si>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</si>
  <si>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</si>
  <si>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</si>
  <si>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</si>
  <si>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</si>
  <si>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</si>
  <si>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</si>
  <si>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</si>
  <si>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</si>
  <si>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</si>
  <si>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</si>
  <si>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</si>
  <si>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</si>
  <si>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</si>
  <si>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</si>
  <si>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</si>
  <si>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</si>
  <si>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</si>
  <si>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</si>
  <si>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</si>
  <si>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</si>
  <si>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</si>
  <si>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</si>
  <si>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</si>
  <si>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</si>
  <si>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</si>
  <si>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</si>
  <si>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</si>
  <si>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</si>
  <si>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</si>
  <si>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</si>
  <si>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</si>
  <si>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</si>
  <si>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</si>
  <si>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</si>
  <si>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</si>
  <si>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</si>
  <si>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</si>
  <si>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</si>
  <si>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</si>
  <si>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</si>
  <si>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</si>
  <si>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</si>
  <si>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</si>
  <si>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</si>
  <si>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</si>
  <si>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</si>
  <si>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</si>
  <si>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</si>
  <si>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</si>
  <si>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</si>
  <si>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</si>
  <si>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</si>
  <si>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</si>
  <si>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</si>
  <si>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</si>
  <si>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</si>
  <si>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</si>
  <si>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</si>
  <si>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</si>
  <si>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</si>
  <si>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</si>
  <si>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</si>
  <si>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</si>
  <si>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</si>
  <si>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</si>
  <si>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</si>
  <si>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</si>
  <si>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</si>
  <si>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</si>
  <si>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</si>
  <si>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</si>
  <si>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</si>
  <si>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</si>
  <si>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</si>
  <si>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</si>
  <si>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</si>
  <si>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</si>
  <si>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</si>
  <si>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</si>
  <si>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</si>
  <si>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</si>
  <si>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</si>
  <si>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</si>
  <si>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</si>
  <si>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</si>
  <si>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</si>
  <si>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</si>
  <si>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</si>
  <si>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</si>
  <si>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</si>
  <si>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</si>
  <si>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</si>
  <si>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</si>
  <si>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</si>
  <si>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</si>
  <si>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</si>
  <si>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01/07/2025 00:15 - 31/07/2025 00:00</t>
  </si>
  <si>
    <t>ANIMESH</t>
  </si>
  <si>
    <t>01/07/2025 00:15</t>
  </si>
  <si>
    <t>01/07/2025 00:30</t>
  </si>
  <si>
    <t>01/07/2025 00:45</t>
  </si>
  <si>
    <t>01/07/2025 01:00</t>
  </si>
  <si>
    <t>01/07/2025 01:15</t>
  </si>
  <si>
    <t>01/07/2025 01:30</t>
  </si>
  <si>
    <t>01/07/2025 01:45</t>
  </si>
  <si>
    <t>01/07/2025 02:00</t>
  </si>
  <si>
    <t>01/07/2025 02:15</t>
  </si>
  <si>
    <t>01/07/2025 02:30</t>
  </si>
  <si>
    <t>01/07/2025 02:45</t>
  </si>
  <si>
    <t>01/07/2025 03:00</t>
  </si>
  <si>
    <t>01/07/2025 03:15</t>
  </si>
  <si>
    <t>01/07/2025 03:30</t>
  </si>
  <si>
    <t>01/07/2025 03:45</t>
  </si>
  <si>
    <t>01/07/2025 04:00</t>
  </si>
  <si>
    <t>01/07/2025 04:15</t>
  </si>
  <si>
    <t>01/07/2025 04:30</t>
  </si>
  <si>
    <t>01/07/2025 04:45</t>
  </si>
  <si>
    <t>01/07/2025 05:00</t>
  </si>
  <si>
    <t>01/07/2025 05:15</t>
  </si>
  <si>
    <t>01/07/2025 05:30</t>
  </si>
  <si>
    <t>01/07/2025 05:45</t>
  </si>
  <si>
    <t>01/07/2025 06:00</t>
  </si>
  <si>
    <t>01/07/2025 06:15</t>
  </si>
  <si>
    <t>01/07/2025 06:30</t>
  </si>
  <si>
    <t>01/07/2025 06:45</t>
  </si>
  <si>
    <t>01/07/2025 07:00</t>
  </si>
  <si>
    <t>01/07/2025 07:15</t>
  </si>
  <si>
    <t>01/07/2025 07:30</t>
  </si>
  <si>
    <t>01/07/2025 07:45</t>
  </si>
  <si>
    <t>01/07/2025 08:00</t>
  </si>
  <si>
    <t>01/07/2025 08:15</t>
  </si>
  <si>
    <t>01/07/2025 08:30</t>
  </si>
  <si>
    <t>01/07/2025 08:45</t>
  </si>
  <si>
    <t>01/07/2025 09:00</t>
  </si>
  <si>
    <t>01/07/2025 09:15</t>
  </si>
  <si>
    <t>01/07/2025 09:30</t>
  </si>
  <si>
    <t>01/07/2025 09:45</t>
  </si>
  <si>
    <t>01/07/2025 10:00</t>
  </si>
  <si>
    <t>01/07/2025 10:15</t>
  </si>
  <si>
    <t>01/07/2025 10:30</t>
  </si>
  <si>
    <t>01/07/2025 10:45</t>
  </si>
  <si>
    <t>01/07/2025 11:00</t>
  </si>
  <si>
    <t>01/07/2025 11:15</t>
  </si>
  <si>
    <t>01/07/2025 11:30</t>
  </si>
  <si>
    <t>01/07/2025 11:45</t>
  </si>
  <si>
    <t>01/07/2025 12:00</t>
  </si>
  <si>
    <t>01/07/2025 12:15</t>
  </si>
  <si>
    <t>01/07/2025 12:30</t>
  </si>
  <si>
    <t>01/07/2025 12:45</t>
  </si>
  <si>
    <t>01/07/2025 13:00</t>
  </si>
  <si>
    <t>01/07/2025 13:15</t>
  </si>
  <si>
    <t>01/07/2025 13:30</t>
  </si>
  <si>
    <t>01/07/2025 13:45</t>
  </si>
  <si>
    <t>01/07/2025 14:00</t>
  </si>
  <si>
    <t>01/07/2025 14:15</t>
  </si>
  <si>
    <t>01/07/2025 14:30</t>
  </si>
  <si>
    <t>01/07/2025 14:45</t>
  </si>
  <si>
    <t>01/07/2025 15:00</t>
  </si>
  <si>
    <t>01/07/2025 15:15</t>
  </si>
  <si>
    <t>01/07/2025 15:30</t>
  </si>
  <si>
    <t>01/07/2025 15:45</t>
  </si>
  <si>
    <t>01/07/2025 16:00</t>
  </si>
  <si>
    <t>01/07/2025 16:15</t>
  </si>
  <si>
    <t>01/07/2025 16:30</t>
  </si>
  <si>
    <t>01/07/2025 16:45</t>
  </si>
  <si>
    <t>01/07/2025 17:00</t>
  </si>
  <si>
    <t>01/07/2025 17:15</t>
  </si>
  <si>
    <t>01/07/2025 17:30</t>
  </si>
  <si>
    <t>01/07/2025 17:45</t>
  </si>
  <si>
    <t>01/07/2025 18:00</t>
  </si>
  <si>
    <t>01/07/2025 18:15</t>
  </si>
  <si>
    <t>01/07/2025 18:30</t>
  </si>
  <si>
    <t>01/07/2025 18:45</t>
  </si>
  <si>
    <t>01/07/2025 19:00</t>
  </si>
  <si>
    <t>01/07/2025 19:15</t>
  </si>
  <si>
    <t>01/07/2025 19:30</t>
  </si>
  <si>
    <t>01/07/2025 19:45</t>
  </si>
  <si>
    <t>01/07/2025 20:00</t>
  </si>
  <si>
    <t>01/07/2025 20:15</t>
  </si>
  <si>
    <t>01/07/2025 20:30</t>
  </si>
  <si>
    <t>01/07/2025 20:45</t>
  </si>
  <si>
    <t>01/07/2025 21:00</t>
  </si>
  <si>
    <t>01/07/2025 21:15</t>
  </si>
  <si>
    <t>01/07/2025 21:30</t>
  </si>
  <si>
    <t>01/07/2025 21:45</t>
  </si>
  <si>
    <t>01/07/2025 22:00</t>
  </si>
  <si>
    <t>01/07/2025 22:15</t>
  </si>
  <si>
    <t>01/07/2025 22:30</t>
  </si>
  <si>
    <t>01/07/2025 22:45</t>
  </si>
  <si>
    <t>01/07/2025 23:00</t>
  </si>
  <si>
    <t>01/07/2025 23:15</t>
  </si>
  <si>
    <t>01/07/2025 23:30</t>
  </si>
  <si>
    <t>01/07/2025 23:45</t>
  </si>
  <si>
    <t>01/07/2025 24:00</t>
  </si>
  <si>
    <t>02/07/2025 00:15</t>
  </si>
  <si>
    <t>02/07/2025 00:30</t>
  </si>
  <si>
    <t>02/07/2025 00:45</t>
  </si>
  <si>
    <t>02/07/2025 01:00</t>
  </si>
  <si>
    <t>02/07/2025 01:15</t>
  </si>
  <si>
    <t>02/07/2025 01:30</t>
  </si>
  <si>
    <t>02/07/2025 01:45</t>
  </si>
  <si>
    <t>02/07/2025 02:00</t>
  </si>
  <si>
    <t>02/07/2025 02:15</t>
  </si>
  <si>
    <t>02/07/2025 02:30</t>
  </si>
  <si>
    <t>02/07/2025 02:45</t>
  </si>
  <si>
    <t>02/07/2025 03:00</t>
  </si>
  <si>
    <t>02/07/2025 03:15</t>
  </si>
  <si>
    <t>02/07/2025 03:30</t>
  </si>
  <si>
    <t>02/07/2025 03:45</t>
  </si>
  <si>
    <t>02/07/2025 04:00</t>
  </si>
  <si>
    <t>02/07/2025 04:15</t>
  </si>
  <si>
    <t>02/07/2025 04:30</t>
  </si>
  <si>
    <t>02/07/2025 04:45</t>
  </si>
  <si>
    <t>02/07/2025 05:00</t>
  </si>
  <si>
    <t>02/07/2025 05:15</t>
  </si>
  <si>
    <t>02/07/2025 05:30</t>
  </si>
  <si>
    <t>02/07/2025 05:45</t>
  </si>
  <si>
    <t>02/07/2025 06:00</t>
  </si>
  <si>
    <t>02/07/2025 06:15</t>
  </si>
  <si>
    <t>02/07/2025 06:30</t>
  </si>
  <si>
    <t>02/07/2025 06:45</t>
  </si>
  <si>
    <t>02/07/2025 07:00</t>
  </si>
  <si>
    <t>02/07/2025 07:15</t>
  </si>
  <si>
    <t>02/07/2025 07:30</t>
  </si>
  <si>
    <t>02/07/2025 07:45</t>
  </si>
  <si>
    <t>02/07/2025 08:00</t>
  </si>
  <si>
    <t>02/07/2025 08:15</t>
  </si>
  <si>
    <t>02/07/2025 08:30</t>
  </si>
  <si>
    <t>02/07/2025 08:45</t>
  </si>
  <si>
    <t>02/07/2025 09:00</t>
  </si>
  <si>
    <t>02/07/2025 09:15</t>
  </si>
  <si>
    <t>02/07/2025 09:30</t>
  </si>
  <si>
    <t>02/07/2025 09:45</t>
  </si>
  <si>
    <t>02/07/2025 10:00</t>
  </si>
  <si>
    <t>02/07/2025 10:15</t>
  </si>
  <si>
    <t>02/07/2025 10:30</t>
  </si>
  <si>
    <t>02/07/2025 10:45</t>
  </si>
  <si>
    <t>02/07/2025 11:00</t>
  </si>
  <si>
    <t>02/07/2025 11:15</t>
  </si>
  <si>
    <t>02/07/2025 11:30</t>
  </si>
  <si>
    <t>02/07/2025 11:45</t>
  </si>
  <si>
    <t>02/07/2025 12:00</t>
  </si>
  <si>
    <t>02/07/2025 12:15</t>
  </si>
  <si>
    <t>02/07/2025 12:30</t>
  </si>
  <si>
    <t>02/07/2025 12:45</t>
  </si>
  <si>
    <t>02/07/2025 13:00</t>
  </si>
  <si>
    <t>02/07/2025 13:15</t>
  </si>
  <si>
    <t>02/07/2025 13:30</t>
  </si>
  <si>
    <t>02/07/2025 13:45</t>
  </si>
  <si>
    <t>02/07/2025 14:00</t>
  </si>
  <si>
    <t>02/07/2025 14:15</t>
  </si>
  <si>
    <t>02/07/2025 14:30</t>
  </si>
  <si>
    <t>02/07/2025 14:45</t>
  </si>
  <si>
    <t>02/07/2025 15:00</t>
  </si>
  <si>
    <t>02/07/2025 15:15</t>
  </si>
  <si>
    <t>02/07/2025 15:30</t>
  </si>
  <si>
    <t>02/07/2025 15:45</t>
  </si>
  <si>
    <t>02/07/2025 16:00</t>
  </si>
  <si>
    <t>02/07/2025 16:15</t>
  </si>
  <si>
    <t>02/07/2025 16:30</t>
  </si>
  <si>
    <t>02/07/2025 16:45</t>
  </si>
  <si>
    <t>02/07/2025 17:00</t>
  </si>
  <si>
    <t>02/07/2025 17:15</t>
  </si>
  <si>
    <t>02/07/2025 17:30</t>
  </si>
  <si>
    <t>02/07/2025 17:45</t>
  </si>
  <si>
    <t>02/07/2025 18:00</t>
  </si>
  <si>
    <t>02/07/2025 18:15</t>
  </si>
  <si>
    <t>02/07/2025 18:30</t>
  </si>
  <si>
    <t>02/07/2025 18:45</t>
  </si>
  <si>
    <t>02/07/2025 19:00</t>
  </si>
  <si>
    <t>02/07/2025 19:15</t>
  </si>
  <si>
    <t>02/07/2025 19:30</t>
  </si>
  <si>
    <t>02/07/2025 19:45</t>
  </si>
  <si>
    <t>02/07/2025 20:00</t>
  </si>
  <si>
    <t>02/07/2025 20:15</t>
  </si>
  <si>
    <t>02/07/2025 20:30</t>
  </si>
  <si>
    <t>02/07/2025 20:45</t>
  </si>
  <si>
    <t>02/07/2025 21:00</t>
  </si>
  <si>
    <t>02/07/2025 21:15</t>
  </si>
  <si>
    <t>02/07/2025 21:30</t>
  </si>
  <si>
    <t>02/07/2025 21:45</t>
  </si>
  <si>
    <t>02/07/2025 22:00</t>
  </si>
  <si>
    <t>02/07/2025 22:15</t>
  </si>
  <si>
    <t>02/07/2025 22:30</t>
  </si>
  <si>
    <t>02/07/2025 22:45</t>
  </si>
  <si>
    <t>02/07/2025 23:00</t>
  </si>
  <si>
    <t>02/07/2025 23:15</t>
  </si>
  <si>
    <t>02/07/2025 23:30</t>
  </si>
  <si>
    <t>02/07/2025 23:45</t>
  </si>
  <si>
    <t>02/07/2025 24:00</t>
  </si>
  <si>
    <t>03/07/2025 00:15</t>
  </si>
  <si>
    <t>03/07/2025 00:30</t>
  </si>
  <si>
    <t>03/07/2025 00:45</t>
  </si>
  <si>
    <t>03/07/2025 01:00</t>
  </si>
  <si>
    <t>03/07/2025 01:15</t>
  </si>
  <si>
    <t>03/07/2025 01:30</t>
  </si>
  <si>
    <t>03/07/2025 01:45</t>
  </si>
  <si>
    <t>03/07/2025 02:00</t>
  </si>
  <si>
    <t>03/07/2025 02:15</t>
  </si>
  <si>
    <t>03/07/2025 02:30</t>
  </si>
  <si>
    <t>03/07/2025 02:45</t>
  </si>
  <si>
    <t>03/07/2025 03:00</t>
  </si>
  <si>
    <t>03/07/2025 03:15</t>
  </si>
  <si>
    <t>03/07/2025 03:30</t>
  </si>
  <si>
    <t>03/07/2025 03:45</t>
  </si>
  <si>
    <t>03/07/2025 04:00</t>
  </si>
  <si>
    <t>03/07/2025 04:15</t>
  </si>
  <si>
    <t>03/07/2025 04:30</t>
  </si>
  <si>
    <t>03/07/2025 04:45</t>
  </si>
  <si>
    <t>03/07/2025 05:00</t>
  </si>
  <si>
    <t>03/07/2025 05:15</t>
  </si>
  <si>
    <t>03/07/2025 05:30</t>
  </si>
  <si>
    <t>03/07/2025 05:45</t>
  </si>
  <si>
    <t>03/07/2025 06:00</t>
  </si>
  <si>
    <t>03/07/2025 06:15</t>
  </si>
  <si>
    <t>03/07/2025 06:30</t>
  </si>
  <si>
    <t>03/07/2025 06:45</t>
  </si>
  <si>
    <t>03/07/2025 07:00</t>
  </si>
  <si>
    <t>03/07/2025 07:15</t>
  </si>
  <si>
    <t>03/07/2025 07:30</t>
  </si>
  <si>
    <t>03/07/2025 07:45</t>
  </si>
  <si>
    <t>03/07/2025 08:00</t>
  </si>
  <si>
    <t>03/07/2025 08:15</t>
  </si>
  <si>
    <t>03/07/2025 08:30</t>
  </si>
  <si>
    <t>03/07/2025 08:45</t>
  </si>
  <si>
    <t>03/07/2025 09:00</t>
  </si>
  <si>
    <t>03/07/2025 09:15</t>
  </si>
  <si>
    <t>03/07/2025 09:30</t>
  </si>
  <si>
    <t>03/07/2025 09:45</t>
  </si>
  <si>
    <t>03/07/2025 10:00</t>
  </si>
  <si>
    <t>03/07/2025 10:15</t>
  </si>
  <si>
    <t>03/07/2025 10:30</t>
  </si>
  <si>
    <t>03/07/2025 10:45</t>
  </si>
  <si>
    <t>03/07/2025 11:00</t>
  </si>
  <si>
    <t>03/07/2025 11:15</t>
  </si>
  <si>
    <t>03/07/2025 11:30</t>
  </si>
  <si>
    <t>03/07/2025 11:45</t>
  </si>
  <si>
    <t>03/07/2025 12:00</t>
  </si>
  <si>
    <t>03/07/2025 12:15</t>
  </si>
  <si>
    <t>03/07/2025 12:30</t>
  </si>
  <si>
    <t>03/07/2025 12:45</t>
  </si>
  <si>
    <t>03/07/2025 13:00</t>
  </si>
  <si>
    <t>03/07/2025 13:15</t>
  </si>
  <si>
    <t>03/07/2025 13:30</t>
  </si>
  <si>
    <t>03/07/2025 13:45</t>
  </si>
  <si>
    <t>03/07/2025 14:00</t>
  </si>
  <si>
    <t>03/07/2025 14:15</t>
  </si>
  <si>
    <t>03/07/2025 14:30</t>
  </si>
  <si>
    <t>03/07/2025 14:45</t>
  </si>
  <si>
    <t>03/07/2025 15:00</t>
  </si>
  <si>
    <t>03/07/2025 15:15</t>
  </si>
  <si>
    <t>03/07/2025 15:30</t>
  </si>
  <si>
    <t>03/07/2025 15:45</t>
  </si>
  <si>
    <t>03/07/2025 16:00</t>
  </si>
  <si>
    <t>03/07/2025 16:15</t>
  </si>
  <si>
    <t>03/07/2025 16:30</t>
  </si>
  <si>
    <t>03/07/2025 16:45</t>
  </si>
  <si>
    <t>03/07/2025 17:00</t>
  </si>
  <si>
    <t>03/07/2025 17:15</t>
  </si>
  <si>
    <t>03/07/2025 17:30</t>
  </si>
  <si>
    <t>03/07/2025 17:45</t>
  </si>
  <si>
    <t>03/07/2025 18:00</t>
  </si>
  <si>
    <t>03/07/2025 18:15</t>
  </si>
  <si>
    <t>03/07/2025 18:30</t>
  </si>
  <si>
    <t>03/07/2025 18:45</t>
  </si>
  <si>
    <t>03/07/2025 19:00</t>
  </si>
  <si>
    <t>03/07/2025 19:15</t>
  </si>
  <si>
    <t>03/07/2025 19:30</t>
  </si>
  <si>
    <t>03/07/2025 19:45</t>
  </si>
  <si>
    <t>03/07/2025 20:00</t>
  </si>
  <si>
    <t>03/07/2025 20:15</t>
  </si>
  <si>
    <t>03/07/2025 20:30</t>
  </si>
  <si>
    <t>03/07/2025 20:45</t>
  </si>
  <si>
    <t>03/07/2025 21:00</t>
  </si>
  <si>
    <t>03/07/2025 21:15</t>
  </si>
  <si>
    <t>03/07/2025 21:30</t>
  </si>
  <si>
    <t>03/07/2025 21:45</t>
  </si>
  <si>
    <t>03/07/2025 22:00</t>
  </si>
  <si>
    <t>03/07/2025 22:15</t>
  </si>
  <si>
    <t>03/07/2025 22:30</t>
  </si>
  <si>
    <t>03/07/2025 22:45</t>
  </si>
  <si>
    <t>03/07/2025 23:00</t>
  </si>
  <si>
    <t>03/07/2025 23:15</t>
  </si>
  <si>
    <t>03/07/2025 23:30</t>
  </si>
  <si>
    <t>03/07/2025 23:45</t>
  </si>
  <si>
    <t>03/07/2025 24:00</t>
  </si>
  <si>
    <t>04/07/2025 00:15</t>
  </si>
  <si>
    <t>04/07/2025 00:30</t>
  </si>
  <si>
    <t>04/07/2025 00:45</t>
  </si>
  <si>
    <t>04/07/2025 01:00</t>
  </si>
  <si>
    <t>04/07/2025 01:15</t>
  </si>
  <si>
    <t>04/07/2025 01:30</t>
  </si>
  <si>
    <t>04/07/2025 01:45</t>
  </si>
  <si>
    <t>04/07/2025 02:00</t>
  </si>
  <si>
    <t>04/07/2025 02:15</t>
  </si>
  <si>
    <t>04/07/2025 02:30</t>
  </si>
  <si>
    <t>04/07/2025 02:45</t>
  </si>
  <si>
    <t>04/07/2025 03:00</t>
  </si>
  <si>
    <t>04/07/2025 03:15</t>
  </si>
  <si>
    <t>04/07/2025 03:30</t>
  </si>
  <si>
    <t>04/07/2025 03:45</t>
  </si>
  <si>
    <t>04/07/2025 04:00</t>
  </si>
  <si>
    <t>04/07/2025 04:15</t>
  </si>
  <si>
    <t>04/07/2025 04:30</t>
  </si>
  <si>
    <t>04/07/2025 04:45</t>
  </si>
  <si>
    <t>04/07/2025 05:00</t>
  </si>
  <si>
    <t>04/07/2025 05:15</t>
  </si>
  <si>
    <t>04/07/2025 05:30</t>
  </si>
  <si>
    <t>04/07/2025 05:45</t>
  </si>
  <si>
    <t>04/07/2025 06:00</t>
  </si>
  <si>
    <t>04/07/2025 06:15</t>
  </si>
  <si>
    <t>04/07/2025 06:30</t>
  </si>
  <si>
    <t>04/07/2025 06:45</t>
  </si>
  <si>
    <t>04/07/2025 07:00</t>
  </si>
  <si>
    <t>04/07/2025 07:15</t>
  </si>
  <si>
    <t>04/07/2025 07:30</t>
  </si>
  <si>
    <t>04/07/2025 07:45</t>
  </si>
  <si>
    <t>04/07/2025 08:00</t>
  </si>
  <si>
    <t>04/07/2025 08:15</t>
  </si>
  <si>
    <t>04/07/2025 08:30</t>
  </si>
  <si>
    <t>04/07/2025 08:45</t>
  </si>
  <si>
    <t>04/07/2025 09:00</t>
  </si>
  <si>
    <t>04/07/2025 09:15</t>
  </si>
  <si>
    <t>04/07/2025 09:30</t>
  </si>
  <si>
    <t>04/07/2025 09:45</t>
  </si>
  <si>
    <t>04/07/2025 10:00</t>
  </si>
  <si>
    <t>04/07/2025 10:15</t>
  </si>
  <si>
    <t>04/07/2025 10:30</t>
  </si>
  <si>
    <t>04/07/2025 10:45</t>
  </si>
  <si>
    <t>04/07/2025 11:00</t>
  </si>
  <si>
    <t>04/07/2025 11:15</t>
  </si>
  <si>
    <t>04/07/2025 11:30</t>
  </si>
  <si>
    <t>04/07/2025 11:45</t>
  </si>
  <si>
    <t>04/07/2025 12:00</t>
  </si>
  <si>
    <t>04/07/2025 12:15</t>
  </si>
  <si>
    <t>04/07/2025 12:30</t>
  </si>
  <si>
    <t>04/07/2025 12:45</t>
  </si>
  <si>
    <t>04/07/2025 13:00</t>
  </si>
  <si>
    <t>04/07/2025 13:15</t>
  </si>
  <si>
    <t>04/07/2025 13:30</t>
  </si>
  <si>
    <t>04/07/2025 13:45</t>
  </si>
  <si>
    <t>04/07/2025 14:00</t>
  </si>
  <si>
    <t>04/07/2025 14:15</t>
  </si>
  <si>
    <t>04/07/2025 14:30</t>
  </si>
  <si>
    <t>04/07/2025 14:45</t>
  </si>
  <si>
    <t>04/07/2025 15:00</t>
  </si>
  <si>
    <t>04/07/2025 15:15</t>
  </si>
  <si>
    <t>04/07/2025 15:30</t>
  </si>
  <si>
    <t>04/07/2025 15:45</t>
  </si>
  <si>
    <t>04/07/2025 16:00</t>
  </si>
  <si>
    <t>04/07/2025 16:15</t>
  </si>
  <si>
    <t>04/07/2025 16:30</t>
  </si>
  <si>
    <t>04/07/2025 16:45</t>
  </si>
  <si>
    <t>04/07/2025 17:00</t>
  </si>
  <si>
    <t>04/07/2025 17:15</t>
  </si>
  <si>
    <t>04/07/2025 17:30</t>
  </si>
  <si>
    <t>04/07/2025 17:45</t>
  </si>
  <si>
    <t>04/07/2025 18:00</t>
  </si>
  <si>
    <t>04/07/2025 18:15</t>
  </si>
  <si>
    <t>04/07/2025 18:30</t>
  </si>
  <si>
    <t>04/07/2025 18:45</t>
  </si>
  <si>
    <t>04/07/2025 19:00</t>
  </si>
  <si>
    <t>04/07/2025 19:15</t>
  </si>
  <si>
    <t>04/07/2025 19:30</t>
  </si>
  <si>
    <t>04/07/2025 19:45</t>
  </si>
  <si>
    <t>04/07/2025 20:00</t>
  </si>
  <si>
    <t>04/07/2025 20:15</t>
  </si>
  <si>
    <t>04/07/2025 20:30</t>
  </si>
  <si>
    <t>04/07/2025 20:45</t>
  </si>
  <si>
    <t>04/07/2025 21:00</t>
  </si>
  <si>
    <t>04/07/2025 21:15</t>
  </si>
  <si>
    <t>04/07/2025 21:30</t>
  </si>
  <si>
    <t>04/07/2025 21:45</t>
  </si>
  <si>
    <t>04/07/2025 22:00</t>
  </si>
  <si>
    <t>04/07/2025 22:15</t>
  </si>
  <si>
    <t>04/07/2025 22:30</t>
  </si>
  <si>
    <t>04/07/2025 22:45</t>
  </si>
  <si>
    <t>04/07/2025 23:00</t>
  </si>
  <si>
    <t>04/07/2025 23:15</t>
  </si>
  <si>
    <t>04/07/2025 23:30</t>
  </si>
  <si>
    <t>04/07/2025 23:45</t>
  </si>
  <si>
    <t>04/07/2025 24:00</t>
  </si>
  <si>
    <t>05/07/2025 00:15</t>
  </si>
  <si>
    <t>05/07/2025 00:30</t>
  </si>
  <si>
    <t>05/07/2025 00:45</t>
  </si>
  <si>
    <t>05/07/2025 01:00</t>
  </si>
  <si>
    <t>05/07/2025 01:15</t>
  </si>
  <si>
    <t>05/07/2025 01:30</t>
  </si>
  <si>
    <t>05/07/2025 01:45</t>
  </si>
  <si>
    <t>05/07/2025 02:00</t>
  </si>
  <si>
    <t>05/07/2025 02:15</t>
  </si>
  <si>
    <t>05/07/2025 02:30</t>
  </si>
  <si>
    <t>05/07/2025 02:45</t>
  </si>
  <si>
    <t>05/07/2025 03:00</t>
  </si>
  <si>
    <t>05/07/2025 03:15</t>
  </si>
  <si>
    <t>05/07/2025 03:30</t>
  </si>
  <si>
    <t>05/07/2025 03:45</t>
  </si>
  <si>
    <t>05/07/2025 04:00</t>
  </si>
  <si>
    <t>05/07/2025 04:15</t>
  </si>
  <si>
    <t>05/07/2025 04:30</t>
  </si>
  <si>
    <t>05/07/2025 04:45</t>
  </si>
  <si>
    <t>05/07/2025 05:00</t>
  </si>
  <si>
    <t>05/07/2025 05:15</t>
  </si>
  <si>
    <t>05/07/2025 05:30</t>
  </si>
  <si>
    <t>05/07/2025 05:45</t>
  </si>
  <si>
    <t>05/07/2025 06:00</t>
  </si>
  <si>
    <t>05/07/2025 06:15</t>
  </si>
  <si>
    <t>05/07/2025 06:30</t>
  </si>
  <si>
    <t>05/07/2025 06:45</t>
  </si>
  <si>
    <t>05/07/2025 07:00</t>
  </si>
  <si>
    <t>05/07/2025 07:15</t>
  </si>
  <si>
    <t>05/07/2025 07:30</t>
  </si>
  <si>
    <t>05/07/2025 07:45</t>
  </si>
  <si>
    <t>05/07/2025 08:00</t>
  </si>
  <si>
    <t>05/07/2025 08:15</t>
  </si>
  <si>
    <t>05/07/2025 08:30</t>
  </si>
  <si>
    <t>05/07/2025 08:45</t>
  </si>
  <si>
    <t>05/07/2025 09:00</t>
  </si>
  <si>
    <t>05/07/2025 09:15</t>
  </si>
  <si>
    <t>05/07/2025 09:30</t>
  </si>
  <si>
    <t>05/07/2025 09:45</t>
  </si>
  <si>
    <t>05/07/2025 10:00</t>
  </si>
  <si>
    <t>05/07/2025 10:15</t>
  </si>
  <si>
    <t>05/07/2025 10:30</t>
  </si>
  <si>
    <t>05/07/2025 10:45</t>
  </si>
  <si>
    <t>05/07/2025 11:00</t>
  </si>
  <si>
    <t>05/07/2025 11:15</t>
  </si>
  <si>
    <t>05/07/2025 11:30</t>
  </si>
  <si>
    <t>05/07/2025 11:45</t>
  </si>
  <si>
    <t>05/07/2025 12:00</t>
  </si>
  <si>
    <t>05/07/2025 12:15</t>
  </si>
  <si>
    <t>05/07/2025 12:30</t>
  </si>
  <si>
    <t>05/07/2025 12:45</t>
  </si>
  <si>
    <t>05/07/2025 13:00</t>
  </si>
  <si>
    <t>05/07/2025 13:15</t>
  </si>
  <si>
    <t>05/07/2025 13:30</t>
  </si>
  <si>
    <t>05/07/2025 13:45</t>
  </si>
  <si>
    <t>05/07/2025 14:00</t>
  </si>
  <si>
    <t>05/07/2025 14:15</t>
  </si>
  <si>
    <t>05/07/2025 14:30</t>
  </si>
  <si>
    <t>05/07/2025 14:45</t>
  </si>
  <si>
    <t>05/07/2025 15:00</t>
  </si>
  <si>
    <t>05/07/2025 15:15</t>
  </si>
  <si>
    <t>05/07/2025 15:30</t>
  </si>
  <si>
    <t>05/07/2025 15:45</t>
  </si>
  <si>
    <t>05/07/2025 16:00</t>
  </si>
  <si>
    <t>05/07/2025 16:15</t>
  </si>
  <si>
    <t>05/07/2025 16:30</t>
  </si>
  <si>
    <t>05/07/2025 16:45</t>
  </si>
  <si>
    <t>05/07/2025 17:00</t>
  </si>
  <si>
    <t>05/07/2025 17:15</t>
  </si>
  <si>
    <t>05/07/2025 17:30</t>
  </si>
  <si>
    <t>05/07/2025 17:45</t>
  </si>
  <si>
    <t>05/07/2025 18:00</t>
  </si>
  <si>
    <t>05/07/2025 18:15</t>
  </si>
  <si>
    <t>05/07/2025 18:30</t>
  </si>
  <si>
    <t>05/07/2025 18:45</t>
  </si>
  <si>
    <t>05/07/2025 19:00</t>
  </si>
  <si>
    <t>05/07/2025 19:15</t>
  </si>
  <si>
    <t>05/07/2025 19:30</t>
  </si>
  <si>
    <t>05/07/2025 19:45</t>
  </si>
  <si>
    <t>05/07/2025 20:00</t>
  </si>
  <si>
    <t>05/07/2025 20:15</t>
  </si>
  <si>
    <t>05/07/2025 20:30</t>
  </si>
  <si>
    <t>05/07/2025 20:45</t>
  </si>
  <si>
    <t>05/07/2025 21:00</t>
  </si>
  <si>
    <t>05/07/2025 21:15</t>
  </si>
  <si>
    <t>05/07/2025 21:30</t>
  </si>
  <si>
    <t>05/07/2025 21:45</t>
  </si>
  <si>
    <t>05/07/2025 22:00</t>
  </si>
  <si>
    <t>05/07/2025 22:15</t>
  </si>
  <si>
    <t>05/07/2025 22:30</t>
  </si>
  <si>
    <t>05/07/2025 22:45</t>
  </si>
  <si>
    <t>05/07/2025 23:00</t>
  </si>
  <si>
    <t>05/07/2025 23:15</t>
  </si>
  <si>
    <t>05/07/2025 23:30</t>
  </si>
  <si>
    <t>05/07/2025 23:45</t>
  </si>
  <si>
    <t>05/07/2025 24:00</t>
  </si>
  <si>
    <t>06/07/2025 00:15</t>
  </si>
  <si>
    <t>06/07/2025 00:30</t>
  </si>
  <si>
    <t>06/07/2025 00:45</t>
  </si>
  <si>
    <t>06/07/2025 01:00</t>
  </si>
  <si>
    <t>06/07/2025 01:15</t>
  </si>
  <si>
    <t>06/07/2025 01:30</t>
  </si>
  <si>
    <t>06/07/2025 01:45</t>
  </si>
  <si>
    <t>06/07/2025 02:00</t>
  </si>
  <si>
    <t>06/07/2025 02:15</t>
  </si>
  <si>
    <t>06/07/2025 02:30</t>
  </si>
  <si>
    <t>06/07/2025 02:45</t>
  </si>
  <si>
    <t>06/07/2025 03:00</t>
  </si>
  <si>
    <t>06/07/2025 03:15</t>
  </si>
  <si>
    <t>06/07/2025 03:30</t>
  </si>
  <si>
    <t>06/07/2025 03:45</t>
  </si>
  <si>
    <t>06/07/2025 04:00</t>
  </si>
  <si>
    <t>06/07/2025 04:15</t>
  </si>
  <si>
    <t>06/07/2025 04:30</t>
  </si>
  <si>
    <t>06/07/2025 04:45</t>
  </si>
  <si>
    <t>06/07/2025 05:00</t>
  </si>
  <si>
    <t>06/07/2025 05:15</t>
  </si>
  <si>
    <t>06/07/2025 05:30</t>
  </si>
  <si>
    <t>06/07/2025 05:45</t>
  </si>
  <si>
    <t>06/07/2025 06:00</t>
  </si>
  <si>
    <t>06/07/2025 06:15</t>
  </si>
  <si>
    <t>06/07/2025 06:30</t>
  </si>
  <si>
    <t>06/07/2025 06:45</t>
  </si>
  <si>
    <t>06/07/2025 07:00</t>
  </si>
  <si>
    <t>06/07/2025 07:15</t>
  </si>
  <si>
    <t>06/07/2025 07:30</t>
  </si>
  <si>
    <t>06/07/2025 07:45</t>
  </si>
  <si>
    <t>06/07/2025 08:00</t>
  </si>
  <si>
    <t>06/07/2025 08:15</t>
  </si>
  <si>
    <t>06/07/2025 08:30</t>
  </si>
  <si>
    <t>06/07/2025 08:45</t>
  </si>
  <si>
    <t>06/07/2025 09:00</t>
  </si>
  <si>
    <t>06/07/2025 09:15</t>
  </si>
  <si>
    <t>06/07/2025 09:30</t>
  </si>
  <si>
    <t>06/07/2025 09:45</t>
  </si>
  <si>
    <t>06/07/2025 10:00</t>
  </si>
  <si>
    <t>06/07/2025 10:15</t>
  </si>
  <si>
    <t>06/07/2025 10:30</t>
  </si>
  <si>
    <t>06/07/2025 10:45</t>
  </si>
  <si>
    <t>06/07/2025 11:00</t>
  </si>
  <si>
    <t>06/07/2025 11:15</t>
  </si>
  <si>
    <t>06/07/2025 11:30</t>
  </si>
  <si>
    <t>06/07/2025 11:45</t>
  </si>
  <si>
    <t>06/07/2025 12:00</t>
  </si>
  <si>
    <t>06/07/2025 12:15</t>
  </si>
  <si>
    <t>06/07/2025 12:30</t>
  </si>
  <si>
    <t>06/07/2025 12:45</t>
  </si>
  <si>
    <t>06/07/2025 13:00</t>
  </si>
  <si>
    <t>06/07/2025 13:15</t>
  </si>
  <si>
    <t>06/07/2025 13:30</t>
  </si>
  <si>
    <t>06/07/2025 13:45</t>
  </si>
  <si>
    <t>06/07/2025 14:00</t>
  </si>
  <si>
    <t>06/07/2025 14:15</t>
  </si>
  <si>
    <t>06/07/2025 14:30</t>
  </si>
  <si>
    <t>06/07/2025 14:45</t>
  </si>
  <si>
    <t>06/07/2025 15:00</t>
  </si>
  <si>
    <t>06/07/2025 15:15</t>
  </si>
  <si>
    <t>06/07/2025 15:30</t>
  </si>
  <si>
    <t>06/07/2025 15:45</t>
  </si>
  <si>
    <t>06/07/2025 16:00</t>
  </si>
  <si>
    <t>06/07/2025 16:15</t>
  </si>
  <si>
    <t>06/07/2025 16:30</t>
  </si>
  <si>
    <t>06/07/2025 16:45</t>
  </si>
  <si>
    <t>06/07/2025 17:00</t>
  </si>
  <si>
    <t>06/07/2025 17:15</t>
  </si>
  <si>
    <t>06/07/2025 17:30</t>
  </si>
  <si>
    <t>06/07/2025 17:45</t>
  </si>
  <si>
    <t>06/07/2025 18:00</t>
  </si>
  <si>
    <t>06/07/2025 18:15</t>
  </si>
  <si>
    <t>06/07/2025 18:30</t>
  </si>
  <si>
    <t>06/07/2025 18:45</t>
  </si>
  <si>
    <t>06/07/2025 19:00</t>
  </si>
  <si>
    <t>06/07/2025 19:15</t>
  </si>
  <si>
    <t>06/07/2025 19:30</t>
  </si>
  <si>
    <t>06/07/2025 19:45</t>
  </si>
  <si>
    <t>06/07/2025 20:00</t>
  </si>
  <si>
    <t>06/07/2025 20:15</t>
  </si>
  <si>
    <t>06/07/2025 20:30</t>
  </si>
  <si>
    <t>06/07/2025 20:45</t>
  </si>
  <si>
    <t>06/07/2025 21:00</t>
  </si>
  <si>
    <t>06/07/2025 21:15</t>
  </si>
  <si>
    <t>06/07/2025 21:30</t>
  </si>
  <si>
    <t>06/07/2025 21:45</t>
  </si>
  <si>
    <t>06/07/2025 22:00</t>
  </si>
  <si>
    <t>06/07/2025 22:15</t>
  </si>
  <si>
    <t>06/07/2025 22:30</t>
  </si>
  <si>
    <t>06/07/2025 22:45</t>
  </si>
  <si>
    <t>06/07/2025 23:00</t>
  </si>
  <si>
    <t>06/07/2025 23:15</t>
  </si>
  <si>
    <t>06/07/2025 23:30</t>
  </si>
  <si>
    <t>06/07/2025 23:45</t>
  </si>
  <si>
    <t>06/07/2025 24:00</t>
  </si>
  <si>
    <t>07/07/2025 00:15</t>
  </si>
  <si>
    <t>07/07/2025 00:30</t>
  </si>
  <si>
    <t>07/07/2025 00:45</t>
  </si>
  <si>
    <t>07/07/2025 01:00</t>
  </si>
  <si>
    <t>07/07/2025 01:15</t>
  </si>
  <si>
    <t>07/07/2025 01:30</t>
  </si>
  <si>
    <t>07/07/2025 01:45</t>
  </si>
  <si>
    <t>07/07/2025 02:00</t>
  </si>
  <si>
    <t>07/07/2025 02:15</t>
  </si>
  <si>
    <t>07/07/2025 02:30</t>
  </si>
  <si>
    <t>07/07/2025 02:45</t>
  </si>
  <si>
    <t>07/07/2025 03:00</t>
  </si>
  <si>
    <t>07/07/2025 03:15</t>
  </si>
  <si>
    <t>07/07/2025 03:30</t>
  </si>
  <si>
    <t>07/07/2025 03:45</t>
  </si>
  <si>
    <t>07/07/2025 04:00</t>
  </si>
  <si>
    <t>07/07/2025 04:15</t>
  </si>
  <si>
    <t>07/07/2025 04:30</t>
  </si>
  <si>
    <t>07/07/2025 04:45</t>
  </si>
  <si>
    <t>07/07/2025 05:00</t>
  </si>
  <si>
    <t>07/07/2025 05:15</t>
  </si>
  <si>
    <t>07/07/2025 05:30</t>
  </si>
  <si>
    <t>07/07/2025 05:45</t>
  </si>
  <si>
    <t>07/07/2025 06:00</t>
  </si>
  <si>
    <t>07/07/2025 06:15</t>
  </si>
  <si>
    <t>07/07/2025 06:30</t>
  </si>
  <si>
    <t>07/07/2025 06:45</t>
  </si>
  <si>
    <t>07/07/2025 07:00</t>
  </si>
  <si>
    <t>07/07/2025 07:15</t>
  </si>
  <si>
    <t>07/07/2025 07:30</t>
  </si>
  <si>
    <t>07/07/2025 07:45</t>
  </si>
  <si>
    <t>07/07/2025 08:00</t>
  </si>
  <si>
    <t>07/07/2025 08:15</t>
  </si>
  <si>
    <t>07/07/2025 08:30</t>
  </si>
  <si>
    <t>07/07/2025 08:45</t>
  </si>
  <si>
    <t>07/07/2025 09:00</t>
  </si>
  <si>
    <t>07/07/2025 09:15</t>
  </si>
  <si>
    <t>07/07/2025 09:30</t>
  </si>
  <si>
    <t>07/07/2025 09:45</t>
  </si>
  <si>
    <t>07/07/2025 10:00</t>
  </si>
  <si>
    <t>07/07/2025 10:15</t>
  </si>
  <si>
    <t>07/07/2025 10:30</t>
  </si>
  <si>
    <t>07/07/2025 10:45</t>
  </si>
  <si>
    <t>07/07/2025 11:00</t>
  </si>
  <si>
    <t>07/07/2025 11:15</t>
  </si>
  <si>
    <t>07/07/2025 11:30</t>
  </si>
  <si>
    <t>07/07/2025 11:45</t>
  </si>
  <si>
    <t>07/07/2025 12:00</t>
  </si>
  <si>
    <t>07/07/2025 12:15</t>
  </si>
  <si>
    <t>07/07/2025 12:30</t>
  </si>
  <si>
    <t>07/07/2025 12:45</t>
  </si>
  <si>
    <t>07/07/2025 13:00</t>
  </si>
  <si>
    <t>07/07/2025 13:15</t>
  </si>
  <si>
    <t>07/07/2025 13:30</t>
  </si>
  <si>
    <t>07/07/2025 13:45</t>
  </si>
  <si>
    <t>07/07/2025 14:00</t>
  </si>
  <si>
    <t>07/07/2025 14:15</t>
  </si>
  <si>
    <t>07/07/2025 14:30</t>
  </si>
  <si>
    <t>07/07/2025 14:45</t>
  </si>
  <si>
    <t>07/07/2025 15:00</t>
  </si>
  <si>
    <t>07/07/2025 15:15</t>
  </si>
  <si>
    <t>07/07/2025 15:30</t>
  </si>
  <si>
    <t>07/07/2025 15:45</t>
  </si>
  <si>
    <t>07/07/2025 16:00</t>
  </si>
  <si>
    <t>07/07/2025 16:15</t>
  </si>
  <si>
    <t>07/07/2025 16:30</t>
  </si>
  <si>
    <t>07/07/2025 16:45</t>
  </si>
  <si>
    <t>07/07/2025 17:00</t>
  </si>
  <si>
    <t>07/07/2025 17:15</t>
  </si>
  <si>
    <t>07/07/2025 17:30</t>
  </si>
  <si>
    <t>07/07/2025 17:45</t>
  </si>
  <si>
    <t>07/07/2025 18:00</t>
  </si>
  <si>
    <t>07/07/2025 18:15</t>
  </si>
  <si>
    <t>07/07/2025 18:30</t>
  </si>
  <si>
    <t>07/07/2025 18:45</t>
  </si>
  <si>
    <t>07/07/2025 19:00</t>
  </si>
  <si>
    <t>07/07/2025 19:15</t>
  </si>
  <si>
    <t>07/07/2025 19:30</t>
  </si>
  <si>
    <t>07/07/2025 19:45</t>
  </si>
  <si>
    <t>07/07/2025 20:00</t>
  </si>
  <si>
    <t>07/07/2025 20:15</t>
  </si>
  <si>
    <t>07/07/2025 20:30</t>
  </si>
  <si>
    <t>07/07/2025 20:45</t>
  </si>
  <si>
    <t>07/07/2025 21:00</t>
  </si>
  <si>
    <t>07/07/2025 21:15</t>
  </si>
  <si>
    <t>07/07/2025 21:30</t>
  </si>
  <si>
    <t>07/07/2025 21:45</t>
  </si>
  <si>
    <t>07/07/2025 22:00</t>
  </si>
  <si>
    <t>07/07/2025 22:15</t>
  </si>
  <si>
    <t>07/07/2025 22:30</t>
  </si>
  <si>
    <t>07/07/2025 22:45</t>
  </si>
  <si>
    <t>07/07/2025 23:00</t>
  </si>
  <si>
    <t>07/07/2025 23:15</t>
  </si>
  <si>
    <t>07/07/2025 23:30</t>
  </si>
  <si>
    <t>07/07/2025 23:45</t>
  </si>
  <si>
    <t>07/07/2025 24:00</t>
  </si>
  <si>
    <t>08/07/2025 00:15</t>
  </si>
  <si>
    <t>08/07/2025 00:30</t>
  </si>
  <si>
    <t>08/07/2025 00:45</t>
  </si>
  <si>
    <t>08/07/2025 01:00</t>
  </si>
  <si>
    <t>08/07/2025 01:15</t>
  </si>
  <si>
    <t>08/07/2025 01:30</t>
  </si>
  <si>
    <t>08/07/2025 01:45</t>
  </si>
  <si>
    <t>08/07/2025 02:00</t>
  </si>
  <si>
    <t>08/07/2025 02:15</t>
  </si>
  <si>
    <t>08/07/2025 02:30</t>
  </si>
  <si>
    <t>08/07/2025 02:45</t>
  </si>
  <si>
    <t>08/07/2025 03:00</t>
  </si>
  <si>
    <t>08/07/2025 03:15</t>
  </si>
  <si>
    <t>08/07/2025 03:30</t>
  </si>
  <si>
    <t>08/07/2025 03:45</t>
  </si>
  <si>
    <t>08/07/2025 04:00</t>
  </si>
  <si>
    <t>08/07/2025 04:15</t>
  </si>
  <si>
    <t>08/07/2025 04:30</t>
  </si>
  <si>
    <t>08/07/2025 04:45</t>
  </si>
  <si>
    <t>08/07/2025 05:00</t>
  </si>
  <si>
    <t>08/07/2025 05:15</t>
  </si>
  <si>
    <t>08/07/2025 05:30</t>
  </si>
  <si>
    <t>08/07/2025 05:45</t>
  </si>
  <si>
    <t>08/07/2025 06:00</t>
  </si>
  <si>
    <t>08/07/2025 06:15</t>
  </si>
  <si>
    <t>08/07/2025 06:30</t>
  </si>
  <si>
    <t>08/07/2025 06:45</t>
  </si>
  <si>
    <t>08/07/2025 07:00</t>
  </si>
  <si>
    <t>08/07/2025 07:15</t>
  </si>
  <si>
    <t>08/07/2025 07:30</t>
  </si>
  <si>
    <t>08/07/2025 07:45</t>
  </si>
  <si>
    <t>08/07/2025 08:00</t>
  </si>
  <si>
    <t>08/07/2025 08:15</t>
  </si>
  <si>
    <t>08/07/2025 08:30</t>
  </si>
  <si>
    <t>08/07/2025 08:45</t>
  </si>
  <si>
    <t>08/07/2025 09:00</t>
  </si>
  <si>
    <t>08/07/2025 09:15</t>
  </si>
  <si>
    <t>08/07/2025 09:30</t>
  </si>
  <si>
    <t>08/07/2025 09:45</t>
  </si>
  <si>
    <t>08/07/2025 10:00</t>
  </si>
  <si>
    <t>08/07/2025 10:15</t>
  </si>
  <si>
    <t>08/07/2025 10:30</t>
  </si>
  <si>
    <t>08/07/2025 10:45</t>
  </si>
  <si>
    <t>08/07/2025 11:00</t>
  </si>
  <si>
    <t>08/07/2025 11:15</t>
  </si>
  <si>
    <t>08/07/2025 11:30</t>
  </si>
  <si>
    <t>08/07/2025 11:45</t>
  </si>
  <si>
    <t>08/07/2025 12:00</t>
  </si>
  <si>
    <t>08/07/2025 12:15</t>
  </si>
  <si>
    <t>08/07/2025 12:30</t>
  </si>
  <si>
    <t>08/07/2025 12:45</t>
  </si>
  <si>
    <t>08/07/2025 13:00</t>
  </si>
  <si>
    <t>08/07/2025 13:15</t>
  </si>
  <si>
    <t>08/07/2025 13:30</t>
  </si>
  <si>
    <t>08/07/2025 13:45</t>
  </si>
  <si>
    <t>08/07/2025 14:00</t>
  </si>
  <si>
    <t>08/07/2025 14:15</t>
  </si>
  <si>
    <t>08/07/2025 14:30</t>
  </si>
  <si>
    <t>08/07/2025 14:45</t>
  </si>
  <si>
    <t>08/07/2025 15:00</t>
  </si>
  <si>
    <t>08/07/2025 15:15</t>
  </si>
  <si>
    <t>08/07/2025 15:30</t>
  </si>
  <si>
    <t>08/07/2025 15:45</t>
  </si>
  <si>
    <t>08/07/2025 16:00</t>
  </si>
  <si>
    <t>08/07/2025 16:15</t>
  </si>
  <si>
    <t>08/07/2025 16:30</t>
  </si>
  <si>
    <t>08/07/2025 16:45</t>
  </si>
  <si>
    <t>08/07/2025 17:00</t>
  </si>
  <si>
    <t>08/07/2025 17:15</t>
  </si>
  <si>
    <t>08/07/2025 17:30</t>
  </si>
  <si>
    <t>08/07/2025 17:45</t>
  </si>
  <si>
    <t>08/07/2025 18:00</t>
  </si>
  <si>
    <t>08/07/2025 18:15</t>
  </si>
  <si>
    <t>08/07/2025 18:30</t>
  </si>
  <si>
    <t>08/07/2025 18:45</t>
  </si>
  <si>
    <t>08/07/2025 19:00</t>
  </si>
  <si>
    <t>08/07/2025 19:15</t>
  </si>
  <si>
    <t>08/07/2025 19:30</t>
  </si>
  <si>
    <t>08/07/2025 19:45</t>
  </si>
  <si>
    <t>08/07/2025 20:00</t>
  </si>
  <si>
    <t>08/07/2025 20:15</t>
  </si>
  <si>
    <t>08/07/2025 20:30</t>
  </si>
  <si>
    <t>08/07/2025 20:45</t>
  </si>
  <si>
    <t>08/07/2025 21:00</t>
  </si>
  <si>
    <t>08/07/2025 21:15</t>
  </si>
  <si>
    <t>08/07/2025 21:30</t>
  </si>
  <si>
    <t>08/07/2025 21:45</t>
  </si>
  <si>
    <t>08/07/2025 22:00</t>
  </si>
  <si>
    <t>08/07/2025 22:15</t>
  </si>
  <si>
    <t>08/07/2025 22:30</t>
  </si>
  <si>
    <t>08/07/2025 22:45</t>
  </si>
  <si>
    <t>08/07/2025 23:00</t>
  </si>
  <si>
    <t>08/07/2025 23:15</t>
  </si>
  <si>
    <t>08/07/2025 23:30</t>
  </si>
  <si>
    <t>08/07/2025 23:45</t>
  </si>
  <si>
    <t>08/07/2025 24:00</t>
  </si>
  <si>
    <t>09/07/2025 00:15</t>
  </si>
  <si>
    <t>09/07/2025 00:30</t>
  </si>
  <si>
    <t>09/07/2025 00:45</t>
  </si>
  <si>
    <t>09/07/2025 01:00</t>
  </si>
  <si>
    <t>09/07/2025 01:15</t>
  </si>
  <si>
    <t>09/07/2025 01:30</t>
  </si>
  <si>
    <t>09/07/2025 01:45</t>
  </si>
  <si>
    <t>09/07/2025 02:00</t>
  </si>
  <si>
    <t>09/07/2025 02:15</t>
  </si>
  <si>
    <t>09/07/2025 02:30</t>
  </si>
  <si>
    <t>09/07/2025 02:45</t>
  </si>
  <si>
    <t>09/07/2025 03:00</t>
  </si>
  <si>
    <t>09/07/2025 03:15</t>
  </si>
  <si>
    <t>09/07/2025 03:30</t>
  </si>
  <si>
    <t>09/07/2025 03:45</t>
  </si>
  <si>
    <t>09/07/2025 04:00</t>
  </si>
  <si>
    <t>09/07/2025 04:15</t>
  </si>
  <si>
    <t>09/07/2025 04:30</t>
  </si>
  <si>
    <t>09/07/2025 04:45</t>
  </si>
  <si>
    <t>09/07/2025 05:00</t>
  </si>
  <si>
    <t>09/07/2025 05:15</t>
  </si>
  <si>
    <t>09/07/2025 05:30</t>
  </si>
  <si>
    <t>09/07/2025 05:45</t>
  </si>
  <si>
    <t>09/07/2025 06:00</t>
  </si>
  <si>
    <t>09/07/2025 06:15</t>
  </si>
  <si>
    <t>09/07/2025 06:30</t>
  </si>
  <si>
    <t>09/07/2025 06:45</t>
  </si>
  <si>
    <t>09/07/2025 07:00</t>
  </si>
  <si>
    <t>09/07/2025 07:15</t>
  </si>
  <si>
    <t>09/07/2025 07:30</t>
  </si>
  <si>
    <t>09/07/2025 07:45</t>
  </si>
  <si>
    <t>09/07/2025 08:00</t>
  </si>
  <si>
    <t>09/07/2025 08:15</t>
  </si>
  <si>
    <t>09/07/2025 08:30</t>
  </si>
  <si>
    <t>09/07/2025 08:45</t>
  </si>
  <si>
    <t>09/07/2025 09:00</t>
  </si>
  <si>
    <t>09/07/2025 09:15</t>
  </si>
  <si>
    <t>09/07/2025 09:30</t>
  </si>
  <si>
    <t>09/07/2025 09:45</t>
  </si>
  <si>
    <t>09/07/2025 10:00</t>
  </si>
  <si>
    <t>09/07/2025 10:15</t>
  </si>
  <si>
    <t>09/07/2025 10:30</t>
  </si>
  <si>
    <t>09/07/2025 10:45</t>
  </si>
  <si>
    <t>09/07/2025 11:00</t>
  </si>
  <si>
    <t>09/07/2025 11:15</t>
  </si>
  <si>
    <t>09/07/2025 11:30</t>
  </si>
  <si>
    <t>09/07/2025 11:45</t>
  </si>
  <si>
    <t>09/07/2025 12:00</t>
  </si>
  <si>
    <t>09/07/2025 12:15</t>
  </si>
  <si>
    <t>09/07/2025 12:30</t>
  </si>
  <si>
    <t>09/07/2025 12:45</t>
  </si>
  <si>
    <t>09/07/2025 13:00</t>
  </si>
  <si>
    <t>09/07/2025 13:15</t>
  </si>
  <si>
    <t>09/07/2025 13:30</t>
  </si>
  <si>
    <t>09/07/2025 13:45</t>
  </si>
  <si>
    <t>09/07/2025 14:00</t>
  </si>
  <si>
    <t>09/07/2025 14:15</t>
  </si>
  <si>
    <t>09/07/2025 14:30</t>
  </si>
  <si>
    <t>09/07/2025 14:45</t>
  </si>
  <si>
    <t>09/07/2025 15:00</t>
  </si>
  <si>
    <t>09/07/2025 15:15</t>
  </si>
  <si>
    <t>09/07/2025 15:30</t>
  </si>
  <si>
    <t>09/07/2025 15:45</t>
  </si>
  <si>
    <t>09/07/2025 16:00</t>
  </si>
  <si>
    <t>09/07/2025 16:15</t>
  </si>
  <si>
    <t>09/07/2025 16:30</t>
  </si>
  <si>
    <t>09/07/2025 16:45</t>
  </si>
  <si>
    <t>09/07/2025 17:00</t>
  </si>
  <si>
    <t>09/07/2025 17:15</t>
  </si>
  <si>
    <t>09/07/2025 17:30</t>
  </si>
  <si>
    <t>09/07/2025 17:45</t>
  </si>
  <si>
    <t>09/07/2025 18:00</t>
  </si>
  <si>
    <t>09/07/2025 18:15</t>
  </si>
  <si>
    <t>09/07/2025 18:30</t>
  </si>
  <si>
    <t>09/07/2025 18:45</t>
  </si>
  <si>
    <t>09/07/2025 19:00</t>
  </si>
  <si>
    <t>09/07/2025 19:15</t>
  </si>
  <si>
    <t>09/07/2025 19:30</t>
  </si>
  <si>
    <t>09/07/2025 19:45</t>
  </si>
  <si>
    <t>09/07/2025 20:00</t>
  </si>
  <si>
    <t>09/07/2025 20:15</t>
  </si>
  <si>
    <t>09/07/2025 20:30</t>
  </si>
  <si>
    <t>09/07/2025 20:45</t>
  </si>
  <si>
    <t>09/07/2025 21:00</t>
  </si>
  <si>
    <t>09/07/2025 21:15</t>
  </si>
  <si>
    <t>09/07/2025 21:30</t>
  </si>
  <si>
    <t>09/07/2025 21:45</t>
  </si>
  <si>
    <t>09/07/2025 22:00</t>
  </si>
  <si>
    <t>09/07/2025 22:15</t>
  </si>
  <si>
    <t>09/07/2025 22:30</t>
  </si>
  <si>
    <t>09/07/2025 22:45</t>
  </si>
  <si>
    <t>09/07/2025 23:00</t>
  </si>
  <si>
    <t>09/07/2025 23:15</t>
  </si>
  <si>
    <t>09/07/2025 23:30</t>
  </si>
  <si>
    <t>09/07/2025 23:45</t>
  </si>
  <si>
    <t>09/07/2025 24:00</t>
  </si>
  <si>
    <t>10/07/2025 00:15</t>
  </si>
  <si>
    <t>10/07/2025 00:30</t>
  </si>
  <si>
    <t>10/07/2025 00:45</t>
  </si>
  <si>
    <t>10/07/2025 01:00</t>
  </si>
  <si>
    <t>10/07/2025 01:15</t>
  </si>
  <si>
    <t>10/07/2025 01:30</t>
  </si>
  <si>
    <t>10/07/2025 01:45</t>
  </si>
  <si>
    <t>10/07/2025 02:00</t>
  </si>
  <si>
    <t>10/07/2025 02:15</t>
  </si>
  <si>
    <t>10/07/2025 02:30</t>
  </si>
  <si>
    <t>10/07/2025 02:45</t>
  </si>
  <si>
    <t>10/07/2025 03:00</t>
  </si>
  <si>
    <t>10/07/2025 03:15</t>
  </si>
  <si>
    <t>10/07/2025 03:30</t>
  </si>
  <si>
    <t>10/07/2025 03:45</t>
  </si>
  <si>
    <t>10/07/2025 04:00</t>
  </si>
  <si>
    <t>10/07/2025 04:15</t>
  </si>
  <si>
    <t>10/07/2025 04:30</t>
  </si>
  <si>
    <t>10/07/2025 04:45</t>
  </si>
  <si>
    <t>10/07/2025 05:00</t>
  </si>
  <si>
    <t>10/07/2025 05:15</t>
  </si>
  <si>
    <t>10/07/2025 05:30</t>
  </si>
  <si>
    <t>10/07/2025 05:45</t>
  </si>
  <si>
    <t>10/07/2025 06:00</t>
  </si>
  <si>
    <t>10/07/2025 06:15</t>
  </si>
  <si>
    <t>10/07/2025 06:30</t>
  </si>
  <si>
    <t>10/07/2025 06:45</t>
  </si>
  <si>
    <t>10/07/2025 07:00</t>
  </si>
  <si>
    <t>10/07/2025 07:15</t>
  </si>
  <si>
    <t>10/07/2025 07:30</t>
  </si>
  <si>
    <t>10/07/2025 07:45</t>
  </si>
  <si>
    <t>10/07/2025 08:00</t>
  </si>
  <si>
    <t>10/07/2025 08:15</t>
  </si>
  <si>
    <t>10/07/2025 08:30</t>
  </si>
  <si>
    <t>10/07/2025 08:45</t>
  </si>
  <si>
    <t>10/07/2025 09:00</t>
  </si>
  <si>
    <t>10/07/2025 09:15</t>
  </si>
  <si>
    <t>10/07/2025 09:30</t>
  </si>
  <si>
    <t>10/07/2025 09:45</t>
  </si>
  <si>
    <t>10/07/2025 10:00</t>
  </si>
  <si>
    <t>10/07/2025 10:15</t>
  </si>
  <si>
    <t>10/07/2025 10:30</t>
  </si>
  <si>
    <t>10/07/2025 10:45</t>
  </si>
  <si>
    <t>10/07/2025 11:00</t>
  </si>
  <si>
    <t>10/07/2025 11:15</t>
  </si>
  <si>
    <t>10/07/2025 11:30</t>
  </si>
  <si>
    <t>10/07/2025 11:45</t>
  </si>
  <si>
    <t>10/07/2025 12:00</t>
  </si>
  <si>
    <t>10/07/2025 12:15</t>
  </si>
  <si>
    <t>10/07/2025 12:30</t>
  </si>
  <si>
    <t>10/07/2025 12:45</t>
  </si>
  <si>
    <t>10/07/2025 13:00</t>
  </si>
  <si>
    <t>10/07/2025 13:15</t>
  </si>
  <si>
    <t>10/07/2025 13:30</t>
  </si>
  <si>
    <t>10/07/2025 13:45</t>
  </si>
  <si>
    <t>10/07/2025 14:00</t>
  </si>
  <si>
    <t>10/07/2025 14:15</t>
  </si>
  <si>
    <t>10/07/2025 14:30</t>
  </si>
  <si>
    <t>10/07/2025 14:45</t>
  </si>
  <si>
    <t>10/07/2025 15:00</t>
  </si>
  <si>
    <t>10/07/2025 15:15</t>
  </si>
  <si>
    <t>10/07/2025 15:30</t>
  </si>
  <si>
    <t>10/07/2025 15:45</t>
  </si>
  <si>
    <t>10/07/2025 16:00</t>
  </si>
  <si>
    <t>10/07/2025 16:15</t>
  </si>
  <si>
    <t>10/07/2025 16:30</t>
  </si>
  <si>
    <t>10/07/2025 16:45</t>
  </si>
  <si>
    <t>10/07/2025 17:00</t>
  </si>
  <si>
    <t>10/07/2025 17:15</t>
  </si>
  <si>
    <t>10/07/2025 17:30</t>
  </si>
  <si>
    <t>10/07/2025 17:45</t>
  </si>
  <si>
    <t>10/07/2025 18:00</t>
  </si>
  <si>
    <t>10/07/2025 18:15</t>
  </si>
  <si>
    <t>10/07/2025 18:30</t>
  </si>
  <si>
    <t>10/07/2025 18:45</t>
  </si>
  <si>
    <t>10/07/2025 19:00</t>
  </si>
  <si>
    <t>10/07/2025 19:15</t>
  </si>
  <si>
    <t>10/07/2025 19:30</t>
  </si>
  <si>
    <t>10/07/2025 19:45</t>
  </si>
  <si>
    <t>10/07/2025 20:00</t>
  </si>
  <si>
    <t>10/07/2025 20:15</t>
  </si>
  <si>
    <t>10/07/2025 20:30</t>
  </si>
  <si>
    <t>10/07/2025 20:45</t>
  </si>
  <si>
    <t>10/07/2025 21:00</t>
  </si>
  <si>
    <t>10/07/2025 21:15</t>
  </si>
  <si>
    <t>10/07/2025 21:30</t>
  </si>
  <si>
    <t>10/07/2025 21:45</t>
  </si>
  <si>
    <t>10/07/2025 22:00</t>
  </si>
  <si>
    <t>10/07/2025 22:15</t>
  </si>
  <si>
    <t>10/07/2025 22:30</t>
  </si>
  <si>
    <t>10/07/2025 22:45</t>
  </si>
  <si>
    <t>10/07/2025 23:00</t>
  </si>
  <si>
    <t>10/07/2025 23:15</t>
  </si>
  <si>
    <t>10/07/2025 23:30</t>
  </si>
  <si>
    <t>10/07/2025 23:45</t>
  </si>
  <si>
    <t>10/07/2025 24:00</t>
  </si>
  <si>
    <t>11/07/2025 00:15</t>
  </si>
  <si>
    <t>11/07/2025 00:30</t>
  </si>
  <si>
    <t>11/07/2025 00:45</t>
  </si>
  <si>
    <t>11/07/2025 01:00</t>
  </si>
  <si>
    <t>11/07/2025 01:15</t>
  </si>
  <si>
    <t>11/07/2025 01:30</t>
  </si>
  <si>
    <t>11/07/2025 01:45</t>
  </si>
  <si>
    <t>11/07/2025 02:00</t>
  </si>
  <si>
    <t>11/07/2025 02:15</t>
  </si>
  <si>
    <t>11/07/2025 02:30</t>
  </si>
  <si>
    <t>11/07/2025 02:45</t>
  </si>
  <si>
    <t>11/07/2025 03:00</t>
  </si>
  <si>
    <t>11/07/2025 03:15</t>
  </si>
  <si>
    <t>11/07/2025 03:30</t>
  </si>
  <si>
    <t>11/07/2025 03:45</t>
  </si>
  <si>
    <t>11/07/2025 04:00</t>
  </si>
  <si>
    <t>11/07/2025 04:15</t>
  </si>
  <si>
    <t>11/07/2025 04:30</t>
  </si>
  <si>
    <t>11/07/2025 04:45</t>
  </si>
  <si>
    <t>11/07/2025 05:00</t>
  </si>
  <si>
    <t>11/07/2025 05:15</t>
  </si>
  <si>
    <t>11/07/2025 05:30</t>
  </si>
  <si>
    <t>11/07/2025 05:45</t>
  </si>
  <si>
    <t>11/07/2025 06:00</t>
  </si>
  <si>
    <t>11/07/2025 06:15</t>
  </si>
  <si>
    <t>11/07/2025 06:30</t>
  </si>
  <si>
    <t>11/07/2025 06:45</t>
  </si>
  <si>
    <t>11/07/2025 07:00</t>
  </si>
  <si>
    <t>11/07/2025 07:15</t>
  </si>
  <si>
    <t>11/07/2025 07:30</t>
  </si>
  <si>
    <t>11/07/2025 07:45</t>
  </si>
  <si>
    <t>11/07/2025 08:00</t>
  </si>
  <si>
    <t>11/07/2025 08:15</t>
  </si>
  <si>
    <t>11/07/2025 08:30</t>
  </si>
  <si>
    <t>11/07/2025 08:45</t>
  </si>
  <si>
    <t>11/07/2025 09:00</t>
  </si>
  <si>
    <t>11/07/2025 09:15</t>
  </si>
  <si>
    <t>11/07/2025 09:30</t>
  </si>
  <si>
    <t>11/07/2025 09:45</t>
  </si>
  <si>
    <t>11/07/2025 10:00</t>
  </si>
  <si>
    <t>11/07/2025 10:15</t>
  </si>
  <si>
    <t>11/07/2025 10:30</t>
  </si>
  <si>
    <t>11/07/2025 10:45</t>
  </si>
  <si>
    <t>11/07/2025 11:00</t>
  </si>
  <si>
    <t>11/07/2025 11:15</t>
  </si>
  <si>
    <t>11/07/2025 11:30</t>
  </si>
  <si>
    <t>11/07/2025 11:45</t>
  </si>
  <si>
    <t>11/07/2025 12:00</t>
  </si>
  <si>
    <t>11/07/2025 12:15</t>
  </si>
  <si>
    <t>11/07/2025 12:30</t>
  </si>
  <si>
    <t>11/07/2025 12:45</t>
  </si>
  <si>
    <t>11/07/2025 13:00</t>
  </si>
  <si>
    <t>11/07/2025 13:15</t>
  </si>
  <si>
    <t>11/07/2025 13:30</t>
  </si>
  <si>
    <t>11/07/2025 13:45</t>
  </si>
  <si>
    <t>11/07/2025 14:00</t>
  </si>
  <si>
    <t>11/07/2025 14:15</t>
  </si>
  <si>
    <t>11/07/2025 14:30</t>
  </si>
  <si>
    <t>11/07/2025 14:45</t>
  </si>
  <si>
    <t>11/07/2025 15:00</t>
  </si>
  <si>
    <t>11/07/2025 15:15</t>
  </si>
  <si>
    <t>11/07/2025 15:30</t>
  </si>
  <si>
    <t>11/07/2025 15:45</t>
  </si>
  <si>
    <t>11/07/2025 16:00</t>
  </si>
  <si>
    <t>11/07/2025 16:15</t>
  </si>
  <si>
    <t>11/07/2025 16:30</t>
  </si>
  <si>
    <t>11/07/2025 16:45</t>
  </si>
  <si>
    <t>11/07/2025 17:00</t>
  </si>
  <si>
    <t>11/07/2025 17:15</t>
  </si>
  <si>
    <t>11/07/2025 17:30</t>
  </si>
  <si>
    <t>11/07/2025 17:45</t>
  </si>
  <si>
    <t>11/07/2025 18:00</t>
  </si>
  <si>
    <t>11/07/2025 18:15</t>
  </si>
  <si>
    <t>11/07/2025 18:30</t>
  </si>
  <si>
    <t>11/07/2025 18:45</t>
  </si>
  <si>
    <t>11/07/2025 19:00</t>
  </si>
  <si>
    <t>11/07/2025 19:15</t>
  </si>
  <si>
    <t>11/07/2025 19:30</t>
  </si>
  <si>
    <t>11/07/2025 19:45</t>
  </si>
  <si>
    <t>11/07/2025 20:00</t>
  </si>
  <si>
    <t>11/07/2025 20:15</t>
  </si>
  <si>
    <t>11/07/2025 20:30</t>
  </si>
  <si>
    <t>11/07/2025 20:45</t>
  </si>
  <si>
    <t>11/07/2025 21:00</t>
  </si>
  <si>
    <t>11/07/2025 21:15</t>
  </si>
  <si>
    <t>11/07/2025 21:30</t>
  </si>
  <si>
    <t>11/07/2025 21:45</t>
  </si>
  <si>
    <t>11/07/2025 22:00</t>
  </si>
  <si>
    <t>11/07/2025 22:15</t>
  </si>
  <si>
    <t>11/07/2025 22:30</t>
  </si>
  <si>
    <t>11/07/2025 22:45</t>
  </si>
  <si>
    <t>11/07/2025 23:00</t>
  </si>
  <si>
    <t>11/07/2025 23:15</t>
  </si>
  <si>
    <t>11/07/2025 23:30</t>
  </si>
  <si>
    <t>11/07/2025 23:45</t>
  </si>
  <si>
    <t>11/07/2025 24:00</t>
  </si>
  <si>
    <t>12/07/2025 00:15</t>
  </si>
  <si>
    <t>12/07/2025 00:30</t>
  </si>
  <si>
    <t>12/07/2025 00:45</t>
  </si>
  <si>
    <t>12/07/2025 01:00</t>
  </si>
  <si>
    <t>12/07/2025 01:15</t>
  </si>
  <si>
    <t>12/07/2025 01:30</t>
  </si>
  <si>
    <t>12/07/2025 01:45</t>
  </si>
  <si>
    <t>12/07/2025 02:00</t>
  </si>
  <si>
    <t>12/07/2025 02:15</t>
  </si>
  <si>
    <t>12/07/2025 02:30</t>
  </si>
  <si>
    <t>12/07/2025 02:45</t>
  </si>
  <si>
    <t>12/07/2025 03:00</t>
  </si>
  <si>
    <t>12/07/2025 03:15</t>
  </si>
  <si>
    <t>12/07/2025 03:30</t>
  </si>
  <si>
    <t>12/07/2025 03:45</t>
  </si>
  <si>
    <t>12/07/2025 04:00</t>
  </si>
  <si>
    <t>12/07/2025 04:15</t>
  </si>
  <si>
    <t>12/07/2025 04:30</t>
  </si>
  <si>
    <t>12/07/2025 04:45</t>
  </si>
  <si>
    <t>12/07/2025 05:00</t>
  </si>
  <si>
    <t>12/07/2025 05:15</t>
  </si>
  <si>
    <t>12/07/2025 05:30</t>
  </si>
  <si>
    <t>12/07/2025 05:45</t>
  </si>
  <si>
    <t>12/07/2025 06:00</t>
  </si>
  <si>
    <t>12/07/2025 06:15</t>
  </si>
  <si>
    <t>12/07/2025 06:30</t>
  </si>
  <si>
    <t>12/07/2025 06:45</t>
  </si>
  <si>
    <t>12/07/2025 07:00</t>
  </si>
  <si>
    <t>12/07/2025 07:15</t>
  </si>
  <si>
    <t>12/07/2025 07:30</t>
  </si>
  <si>
    <t>12/07/2025 07:45</t>
  </si>
  <si>
    <t>12/07/2025 08:00</t>
  </si>
  <si>
    <t>12/07/2025 08:15</t>
  </si>
  <si>
    <t>12/07/2025 08:30</t>
  </si>
  <si>
    <t>12/07/2025 08:45</t>
  </si>
  <si>
    <t>12/07/2025 09:00</t>
  </si>
  <si>
    <t>12/07/2025 09:15</t>
  </si>
  <si>
    <t>12/07/2025 09:30</t>
  </si>
  <si>
    <t>12/07/2025 09:45</t>
  </si>
  <si>
    <t>12/07/2025 10:00</t>
  </si>
  <si>
    <t>12/07/2025 10:15</t>
  </si>
  <si>
    <t>12/07/2025 10:30</t>
  </si>
  <si>
    <t>12/07/2025 10:45</t>
  </si>
  <si>
    <t>12/07/2025 11:00</t>
  </si>
  <si>
    <t>12/07/2025 11:15</t>
  </si>
  <si>
    <t>12/07/2025 11:30</t>
  </si>
  <si>
    <t>12/07/2025 11:45</t>
  </si>
  <si>
    <t>12/07/2025 12:00</t>
  </si>
  <si>
    <t>12/07/2025 12:15</t>
  </si>
  <si>
    <t>12/07/2025 12:30</t>
  </si>
  <si>
    <t>12/07/2025 12:45</t>
  </si>
  <si>
    <t>12/07/2025 13:00</t>
  </si>
  <si>
    <t>12/07/2025 13:15</t>
  </si>
  <si>
    <t>12/07/2025 13:30</t>
  </si>
  <si>
    <t>12/07/2025 13:45</t>
  </si>
  <si>
    <t>12/07/2025 14:00</t>
  </si>
  <si>
    <t>12/07/2025 14:15</t>
  </si>
  <si>
    <t>12/07/2025 14:30</t>
  </si>
  <si>
    <t>12/07/2025 14:45</t>
  </si>
  <si>
    <t>12/07/2025 15:00</t>
  </si>
  <si>
    <t>12/07/2025 15:15</t>
  </si>
  <si>
    <t>12/07/2025 15:30</t>
  </si>
  <si>
    <t>12/07/2025 15:45</t>
  </si>
  <si>
    <t>12/07/2025 16:00</t>
  </si>
  <si>
    <t>12/07/2025 16:15</t>
  </si>
  <si>
    <t>12/07/2025 16:30</t>
  </si>
  <si>
    <t>12/07/2025 16:45</t>
  </si>
  <si>
    <t>12/07/2025 17:00</t>
  </si>
  <si>
    <t>12/07/2025 17:15</t>
  </si>
  <si>
    <t>12/07/2025 17:30</t>
  </si>
  <si>
    <t>12/07/2025 17:45</t>
  </si>
  <si>
    <t>12/07/2025 18:00</t>
  </si>
  <si>
    <t>12/07/2025 18:15</t>
  </si>
  <si>
    <t>12/07/2025 18:30</t>
  </si>
  <si>
    <t>12/07/2025 18:45</t>
  </si>
  <si>
    <t>12/07/2025 19:00</t>
  </si>
  <si>
    <t>12/07/2025 19:15</t>
  </si>
  <si>
    <t>12/07/2025 19:30</t>
  </si>
  <si>
    <t>12/07/2025 19:45</t>
  </si>
  <si>
    <t>12/07/2025 20:00</t>
  </si>
  <si>
    <t>12/07/2025 20:15</t>
  </si>
  <si>
    <t>12/07/2025 20:30</t>
  </si>
  <si>
    <t>12/07/2025 20:45</t>
  </si>
  <si>
    <t>12/07/2025 21:00</t>
  </si>
  <si>
    <t>12/07/2025 21:15</t>
  </si>
  <si>
    <t>12/07/2025 21:30</t>
  </si>
  <si>
    <t>12/07/2025 21:45</t>
  </si>
  <si>
    <t>12/07/2025 22:00</t>
  </si>
  <si>
    <t>12/07/2025 22:15</t>
  </si>
  <si>
    <t>12/07/2025 22:30</t>
  </si>
  <si>
    <t>12/07/2025 22:45</t>
  </si>
  <si>
    <t>12/07/2025 23:00</t>
  </si>
  <si>
    <t>12/07/2025 23:15</t>
  </si>
  <si>
    <t>12/07/2025 23:30</t>
  </si>
  <si>
    <t>12/07/2025 23:45</t>
  </si>
  <si>
    <t>12/07/2025 24:00</t>
  </si>
  <si>
    <t>13/07/2025 00:15</t>
  </si>
  <si>
    <t>13/07/2025 00:30</t>
  </si>
  <si>
    <t>13/07/2025 00:45</t>
  </si>
  <si>
    <t>13/07/2025 01:00</t>
  </si>
  <si>
    <t>13/07/2025 01:15</t>
  </si>
  <si>
    <t>13/07/2025 01:30</t>
  </si>
  <si>
    <t>13/07/2025 01:45</t>
  </si>
  <si>
    <t>13/07/2025 02:00</t>
  </si>
  <si>
    <t>13/07/2025 02:15</t>
  </si>
  <si>
    <t>13/07/2025 02:30</t>
  </si>
  <si>
    <t>13/07/2025 02:45</t>
  </si>
  <si>
    <t>13/07/2025 03:00</t>
  </si>
  <si>
    <t>13/07/2025 03:15</t>
  </si>
  <si>
    <t>13/07/2025 03:30</t>
  </si>
  <si>
    <t>13/07/2025 03:45</t>
  </si>
  <si>
    <t>13/07/2025 04:00</t>
  </si>
  <si>
    <t>13/07/2025 04:15</t>
  </si>
  <si>
    <t>13/07/2025 04:30</t>
  </si>
  <si>
    <t>13/07/2025 04:45</t>
  </si>
  <si>
    <t>13/07/2025 05:00</t>
  </si>
  <si>
    <t>13/07/2025 05:15</t>
  </si>
  <si>
    <t>13/07/2025 05:30</t>
  </si>
  <si>
    <t>13/07/2025 05:45</t>
  </si>
  <si>
    <t>13/07/2025 06:00</t>
  </si>
  <si>
    <t>13/07/2025 06:15</t>
  </si>
  <si>
    <t>13/07/2025 06:30</t>
  </si>
  <si>
    <t>13/07/2025 06:45</t>
  </si>
  <si>
    <t>13/07/2025 07:00</t>
  </si>
  <si>
    <t>13/07/2025 07:15</t>
  </si>
  <si>
    <t>13/07/2025 07:30</t>
  </si>
  <si>
    <t>13/07/2025 07:45</t>
  </si>
  <si>
    <t>13/07/2025 08:00</t>
  </si>
  <si>
    <t>13/07/2025 08:15</t>
  </si>
  <si>
    <t>13/07/2025 08:30</t>
  </si>
  <si>
    <t>13/07/2025 08:45</t>
  </si>
  <si>
    <t>13/07/2025 09:00</t>
  </si>
  <si>
    <t>13/07/2025 09:15</t>
  </si>
  <si>
    <t>13/07/2025 09:30</t>
  </si>
  <si>
    <t>13/07/2025 09:45</t>
  </si>
  <si>
    <t>13/07/2025 10:00</t>
  </si>
  <si>
    <t>13/07/2025 10:15</t>
  </si>
  <si>
    <t>13/07/2025 10:30</t>
  </si>
  <si>
    <t>13/07/2025 10:45</t>
  </si>
  <si>
    <t>13/07/2025 11:00</t>
  </si>
  <si>
    <t>13/07/2025 11:15</t>
  </si>
  <si>
    <t>13/07/2025 11:30</t>
  </si>
  <si>
    <t>13/07/2025 11:45</t>
  </si>
  <si>
    <t>13/07/2025 12:00</t>
  </si>
  <si>
    <t>13/07/2025 12:15</t>
  </si>
  <si>
    <t>13/07/2025 12:30</t>
  </si>
  <si>
    <t>13/07/2025 12:45</t>
  </si>
  <si>
    <t>13/07/2025 13:00</t>
  </si>
  <si>
    <t>13/07/2025 13:15</t>
  </si>
  <si>
    <t>13/07/2025 13:30</t>
  </si>
  <si>
    <t>13/07/2025 13:45</t>
  </si>
  <si>
    <t>13/07/2025 14:00</t>
  </si>
  <si>
    <t>13/07/2025 14:15</t>
  </si>
  <si>
    <t>13/07/2025 14:30</t>
  </si>
  <si>
    <t>13/07/2025 14:45</t>
  </si>
  <si>
    <t>13/07/2025 15:00</t>
  </si>
  <si>
    <t>13/07/2025 15:15</t>
  </si>
  <si>
    <t>13/07/2025 15:30</t>
  </si>
  <si>
    <t>13/07/2025 15:45</t>
  </si>
  <si>
    <t>13/07/2025 16:00</t>
  </si>
  <si>
    <t>13/07/2025 16:15</t>
  </si>
  <si>
    <t>13/07/2025 16:30</t>
  </si>
  <si>
    <t>13/07/2025 16:45</t>
  </si>
  <si>
    <t>13/07/2025 17:00</t>
  </si>
  <si>
    <t>13/07/2025 17:15</t>
  </si>
  <si>
    <t>13/07/2025 17:30</t>
  </si>
  <si>
    <t>13/07/2025 17:45</t>
  </si>
  <si>
    <t>13/07/2025 18:00</t>
  </si>
  <si>
    <t>13/07/2025 18:15</t>
  </si>
  <si>
    <t>13/07/2025 18:30</t>
  </si>
  <si>
    <t>13/07/2025 18:45</t>
  </si>
  <si>
    <t>13/07/2025 19:00</t>
  </si>
  <si>
    <t>13/07/2025 19:15</t>
  </si>
  <si>
    <t>13/07/2025 19:30</t>
  </si>
  <si>
    <t>13/07/2025 19:45</t>
  </si>
  <si>
    <t>13/07/2025 20:00</t>
  </si>
  <si>
    <t>13/07/2025 20:15</t>
  </si>
  <si>
    <t>13/07/2025 20:30</t>
  </si>
  <si>
    <t>13/07/2025 20:45</t>
  </si>
  <si>
    <t>13/07/2025 21:00</t>
  </si>
  <si>
    <t>13/07/2025 21:15</t>
  </si>
  <si>
    <t>13/07/2025 21:30</t>
  </si>
  <si>
    <t>13/07/2025 21:45</t>
  </si>
  <si>
    <t>13/07/2025 22:00</t>
  </si>
  <si>
    <t>13/07/2025 22:15</t>
  </si>
  <si>
    <t>13/07/2025 22:30</t>
  </si>
  <si>
    <t>13/07/2025 22:45</t>
  </si>
  <si>
    <t>13/07/2025 23:00</t>
  </si>
  <si>
    <t>13/07/2025 23:15</t>
  </si>
  <si>
    <t>13/07/2025 23:30</t>
  </si>
  <si>
    <t>13/07/2025 23:45</t>
  </si>
  <si>
    <t>13/07/2025 24:00</t>
  </si>
  <si>
    <t>14/07/2025 00:15</t>
  </si>
  <si>
    <t>14/07/2025 00:30</t>
  </si>
  <si>
    <t>14/07/2025 00:45</t>
  </si>
  <si>
    <t>14/07/2025 01:00</t>
  </si>
  <si>
    <t>14/07/2025 01:15</t>
  </si>
  <si>
    <t>14/07/2025 01:30</t>
  </si>
  <si>
    <t>14/07/2025 01:45</t>
  </si>
  <si>
    <t>14/07/2025 02:00</t>
  </si>
  <si>
    <t>14/07/2025 02:15</t>
  </si>
  <si>
    <t>14/07/2025 02:30</t>
  </si>
  <si>
    <t>14/07/2025 02:45</t>
  </si>
  <si>
    <t>14/07/2025 03:00</t>
  </si>
  <si>
    <t>14/07/2025 03:15</t>
  </si>
  <si>
    <t>14/07/2025 03:30</t>
  </si>
  <si>
    <t>14/07/2025 03:45</t>
  </si>
  <si>
    <t>14/07/2025 04:00</t>
  </si>
  <si>
    <t>14/07/2025 04:15</t>
  </si>
  <si>
    <t>14/07/2025 04:30</t>
  </si>
  <si>
    <t>14/07/2025 04:45</t>
  </si>
  <si>
    <t>14/07/2025 05:00</t>
  </si>
  <si>
    <t>14/07/2025 05:15</t>
  </si>
  <si>
    <t>14/07/2025 05:30</t>
  </si>
  <si>
    <t>14/07/2025 05:45</t>
  </si>
  <si>
    <t>14/07/2025 06:00</t>
  </si>
  <si>
    <t>14/07/2025 06:15</t>
  </si>
  <si>
    <t>14/07/2025 06:30</t>
  </si>
  <si>
    <t>14/07/2025 06:45</t>
  </si>
  <si>
    <t>14/07/2025 07:00</t>
  </si>
  <si>
    <t>14/07/2025 07:15</t>
  </si>
  <si>
    <t>14/07/2025 07:30</t>
  </si>
  <si>
    <t>14/07/2025 07:45</t>
  </si>
  <si>
    <t>14/07/2025 08:00</t>
  </si>
  <si>
    <t>14/07/2025 08:15</t>
  </si>
  <si>
    <t>14/07/2025 08:30</t>
  </si>
  <si>
    <t>14/07/2025 08:45</t>
  </si>
  <si>
    <t>14/07/2025 09:00</t>
  </si>
  <si>
    <t>14/07/2025 09:15</t>
  </si>
  <si>
    <t>14/07/2025 09:30</t>
  </si>
  <si>
    <t>14/07/2025 09:45</t>
  </si>
  <si>
    <t>14/07/2025 10:00</t>
  </si>
  <si>
    <t>14/07/2025 10:15</t>
  </si>
  <si>
    <t>14/07/2025 10:30</t>
  </si>
  <si>
    <t>14/07/2025 10:45</t>
  </si>
  <si>
    <t>14/07/2025 11:00</t>
  </si>
  <si>
    <t>14/07/2025 11:15</t>
  </si>
  <si>
    <t>14/07/2025 11:30</t>
  </si>
  <si>
    <t>14/07/2025 11:45</t>
  </si>
  <si>
    <t>14/07/2025 12:00</t>
  </si>
  <si>
    <t>14/07/2025 12:15</t>
  </si>
  <si>
    <t>14/07/2025 12:30</t>
  </si>
  <si>
    <t>14/07/2025 12:45</t>
  </si>
  <si>
    <t>14/07/2025 13:00</t>
  </si>
  <si>
    <t>14/07/2025 13:15</t>
  </si>
  <si>
    <t>14/07/2025 13:30</t>
  </si>
  <si>
    <t>14/07/2025 13:45</t>
  </si>
  <si>
    <t>14/07/2025 14:00</t>
  </si>
  <si>
    <t>14/07/2025 14:15</t>
  </si>
  <si>
    <t>14/07/2025 14:30</t>
  </si>
  <si>
    <t>14/07/2025 14:45</t>
  </si>
  <si>
    <t>14/07/2025 15:00</t>
  </si>
  <si>
    <t>14/07/2025 15:15</t>
  </si>
  <si>
    <t>14/07/2025 15:30</t>
  </si>
  <si>
    <t>14/07/2025 15:45</t>
  </si>
  <si>
    <t>14/07/2025 16:00</t>
  </si>
  <si>
    <t>14/07/2025 16:15</t>
  </si>
  <si>
    <t>14/07/2025 16:30</t>
  </si>
  <si>
    <t>14/07/2025 16:45</t>
  </si>
  <si>
    <t>14/07/2025 17:00</t>
  </si>
  <si>
    <t>14/07/2025 17:15</t>
  </si>
  <si>
    <t>14/07/2025 17:30</t>
  </si>
  <si>
    <t>14/07/2025 17:45</t>
  </si>
  <si>
    <t>14/07/2025 18:00</t>
  </si>
  <si>
    <t>14/07/2025 18:15</t>
  </si>
  <si>
    <t>14/07/2025 18:30</t>
  </si>
  <si>
    <t>14/07/2025 18:45</t>
  </si>
  <si>
    <t>14/07/2025 19:00</t>
  </si>
  <si>
    <t>14/07/2025 19:15</t>
  </si>
  <si>
    <t>14/07/2025 19:30</t>
  </si>
  <si>
    <t>14/07/2025 19:45</t>
  </si>
  <si>
    <t>14/07/2025 20:00</t>
  </si>
  <si>
    <t>14/07/2025 20:15</t>
  </si>
  <si>
    <t>14/07/2025 20:30</t>
  </si>
  <si>
    <t>14/07/2025 20:45</t>
  </si>
  <si>
    <t>14/07/2025 21:00</t>
  </si>
  <si>
    <t>14/07/2025 21:15</t>
  </si>
  <si>
    <t>14/07/2025 21:30</t>
  </si>
  <si>
    <t>14/07/2025 21:45</t>
  </si>
  <si>
    <t>14/07/2025 22:00</t>
  </si>
  <si>
    <t>14/07/2025 22:15</t>
  </si>
  <si>
    <t>14/07/2025 22:30</t>
  </si>
  <si>
    <t>14/07/2025 22:45</t>
  </si>
  <si>
    <t>14/07/2025 23:00</t>
  </si>
  <si>
    <t>14/07/2025 23:15</t>
  </si>
  <si>
    <t>14/07/2025 23:30</t>
  </si>
  <si>
    <t>14/07/2025 23:45</t>
  </si>
  <si>
    <t>14/07/2025 24:00</t>
  </si>
  <si>
    <t>15/07/2025 00:15</t>
  </si>
  <si>
    <t>15/07/2025 00:30</t>
  </si>
  <si>
    <t>15/07/2025 00:45</t>
  </si>
  <si>
    <t>15/07/2025 01:00</t>
  </si>
  <si>
    <t>15/07/2025 01:15</t>
  </si>
  <si>
    <t>15/07/2025 01:30</t>
  </si>
  <si>
    <t>15/07/2025 01:45</t>
  </si>
  <si>
    <t>15/07/2025 02:00</t>
  </si>
  <si>
    <t>15/07/2025 02:15</t>
  </si>
  <si>
    <t>15/07/2025 02:30</t>
  </si>
  <si>
    <t>15/07/2025 02:45</t>
  </si>
  <si>
    <t>15/07/2025 03:00</t>
  </si>
  <si>
    <t>15/07/2025 03:15</t>
  </si>
  <si>
    <t>15/07/2025 03:30</t>
  </si>
  <si>
    <t>15/07/2025 03:45</t>
  </si>
  <si>
    <t>15/07/2025 04:00</t>
  </si>
  <si>
    <t>15/07/2025 04:15</t>
  </si>
  <si>
    <t>15/07/2025 04:30</t>
  </si>
  <si>
    <t>15/07/2025 04:45</t>
  </si>
  <si>
    <t>15/07/2025 05:00</t>
  </si>
  <si>
    <t>15/07/2025 05:15</t>
  </si>
  <si>
    <t>15/07/2025 05:30</t>
  </si>
  <si>
    <t>15/07/2025 05:45</t>
  </si>
  <si>
    <t>15/07/2025 06:00</t>
  </si>
  <si>
    <t>15/07/2025 06:15</t>
  </si>
  <si>
    <t>15/07/2025 06:30</t>
  </si>
  <si>
    <t>15/07/2025 06:45</t>
  </si>
  <si>
    <t>15/07/2025 07:00</t>
  </si>
  <si>
    <t>15/07/2025 07:15</t>
  </si>
  <si>
    <t>15/07/2025 07:30</t>
  </si>
  <si>
    <t>15/07/2025 07:45</t>
  </si>
  <si>
    <t>15/07/2025 08:00</t>
  </si>
  <si>
    <t>15/07/2025 08:15</t>
  </si>
  <si>
    <t>15/07/2025 08:30</t>
  </si>
  <si>
    <t>15/07/2025 08:45</t>
  </si>
  <si>
    <t>15/07/2025 09:00</t>
  </si>
  <si>
    <t>15/07/2025 09:15</t>
  </si>
  <si>
    <t>15/07/2025 09:30</t>
  </si>
  <si>
    <t>15/07/2025 09:45</t>
  </si>
  <si>
    <t>15/07/2025 10:00</t>
  </si>
  <si>
    <t>15/07/2025 10:15</t>
  </si>
  <si>
    <t>15/07/2025 10:30</t>
  </si>
  <si>
    <t>15/07/2025 10:45</t>
  </si>
  <si>
    <t>15/07/2025 11:00</t>
  </si>
  <si>
    <t>15/07/2025 11:15</t>
  </si>
  <si>
    <t>15/07/2025 11:30</t>
  </si>
  <si>
    <t>15/07/2025 11:45</t>
  </si>
  <si>
    <t>15/07/2025 12:00</t>
  </si>
  <si>
    <t>15/07/2025 12:15</t>
  </si>
  <si>
    <t>15/07/2025 12:30</t>
  </si>
  <si>
    <t>15/07/2025 12:45</t>
  </si>
  <si>
    <t>15/07/2025 13:00</t>
  </si>
  <si>
    <t>15/07/2025 13:15</t>
  </si>
  <si>
    <t>15/07/2025 13:30</t>
  </si>
  <si>
    <t>15/07/2025 13:45</t>
  </si>
  <si>
    <t>15/07/2025 14:00</t>
  </si>
  <si>
    <t>15/07/2025 14:15</t>
  </si>
  <si>
    <t>15/07/2025 14:30</t>
  </si>
  <si>
    <t>15/07/2025 14:45</t>
  </si>
  <si>
    <t>15/07/2025 15:00</t>
  </si>
  <si>
    <t>15/07/2025 15:15</t>
  </si>
  <si>
    <t>15/07/2025 15:30</t>
  </si>
  <si>
    <t>15/07/2025 15:45</t>
  </si>
  <si>
    <t>15/07/2025 16:00</t>
  </si>
  <si>
    <t>15/07/2025 16:15</t>
  </si>
  <si>
    <t>15/07/2025 16:30</t>
  </si>
  <si>
    <t>15/07/2025 16:45</t>
  </si>
  <si>
    <t>15/07/2025 17:00</t>
  </si>
  <si>
    <t>15/07/2025 17:15</t>
  </si>
  <si>
    <t>15/07/2025 17:30</t>
  </si>
  <si>
    <t>15/07/2025 17:45</t>
  </si>
  <si>
    <t>15/07/2025 18:00</t>
  </si>
  <si>
    <t>15/07/2025 18:15</t>
  </si>
  <si>
    <t>15/07/2025 18:30</t>
  </si>
  <si>
    <t>15/07/2025 18:45</t>
  </si>
  <si>
    <t>15/07/2025 19:00</t>
  </si>
  <si>
    <t>15/07/2025 19:15</t>
  </si>
  <si>
    <t>15/07/2025 19:30</t>
  </si>
  <si>
    <t>15/07/2025 19:45</t>
  </si>
  <si>
    <t>15/07/2025 20:00</t>
  </si>
  <si>
    <t>15/07/2025 20:15</t>
  </si>
  <si>
    <t>15/07/2025 20:30</t>
  </si>
  <si>
    <t>15/07/2025 20:45</t>
  </si>
  <si>
    <t>15/07/2025 21:00</t>
  </si>
  <si>
    <t>15/07/2025 21:15</t>
  </si>
  <si>
    <t>15/07/2025 21:30</t>
  </si>
  <si>
    <t>15/07/2025 21:45</t>
  </si>
  <si>
    <t>15/07/2025 22:00</t>
  </si>
  <si>
    <t>15/07/2025 22:15</t>
  </si>
  <si>
    <t>15/07/2025 22:30</t>
  </si>
  <si>
    <t>15/07/2025 22:45</t>
  </si>
  <si>
    <t>15/07/2025 23:00</t>
  </si>
  <si>
    <t>15/07/2025 23:15</t>
  </si>
  <si>
    <t>15/07/2025 23:30</t>
  </si>
  <si>
    <t>15/07/2025 23:45</t>
  </si>
  <si>
    <t>15/07/2025 24:00</t>
  </si>
  <si>
    <t>16/07/2025 00:15</t>
  </si>
  <si>
    <t>16/07/2025 00:30</t>
  </si>
  <si>
    <t>16/07/2025 00:45</t>
  </si>
  <si>
    <t>16/07/2025 01:00</t>
  </si>
  <si>
    <t>16/07/2025 01:15</t>
  </si>
  <si>
    <t>16/07/2025 01:30</t>
  </si>
  <si>
    <t>16/07/2025 01:45</t>
  </si>
  <si>
    <t>16/07/2025 02:00</t>
  </si>
  <si>
    <t>16/07/2025 02:15</t>
  </si>
  <si>
    <t>16/07/2025 02:30</t>
  </si>
  <si>
    <t>16/07/2025 02:45</t>
  </si>
  <si>
    <t>16/07/2025 03:00</t>
  </si>
  <si>
    <t>16/07/2025 03:15</t>
  </si>
  <si>
    <t>16/07/2025 03:30</t>
  </si>
  <si>
    <t>16/07/2025 03:45</t>
  </si>
  <si>
    <t>16/07/2025 04:00</t>
  </si>
  <si>
    <t>16/07/2025 04:15</t>
  </si>
  <si>
    <t>16/07/2025 04:30</t>
  </si>
  <si>
    <t>16/07/2025 04:45</t>
  </si>
  <si>
    <t>16/07/2025 05:00</t>
  </si>
  <si>
    <t>16/07/2025 05:15</t>
  </si>
  <si>
    <t>16/07/2025 05:30</t>
  </si>
  <si>
    <t>16/07/2025 05:45</t>
  </si>
  <si>
    <t>16/07/2025 06:00</t>
  </si>
  <si>
    <t>16/07/2025 06:15</t>
  </si>
  <si>
    <t>16/07/2025 06:30</t>
  </si>
  <si>
    <t>16/07/2025 06:45</t>
  </si>
  <si>
    <t>16/07/2025 07:00</t>
  </si>
  <si>
    <t>16/07/2025 07:15</t>
  </si>
  <si>
    <t>16/07/2025 07:30</t>
  </si>
  <si>
    <t>16/07/2025 07:45</t>
  </si>
  <si>
    <t>16/07/2025 08:00</t>
  </si>
  <si>
    <t>16/07/2025 08:15</t>
  </si>
  <si>
    <t>16/07/2025 08:30</t>
  </si>
  <si>
    <t>16/07/2025 08:45</t>
  </si>
  <si>
    <t>16/07/2025 09:00</t>
  </si>
  <si>
    <t>16/07/2025 09:15</t>
  </si>
  <si>
    <t>16/07/2025 09:30</t>
  </si>
  <si>
    <t>16/07/2025 09:45</t>
  </si>
  <si>
    <t>16/07/2025 10:00</t>
  </si>
  <si>
    <t>16/07/2025 10:15</t>
  </si>
  <si>
    <t>16/07/2025 10:30</t>
  </si>
  <si>
    <t>16/07/2025 10:45</t>
  </si>
  <si>
    <t>16/07/2025 11:00</t>
  </si>
  <si>
    <t>16/07/2025 11:15</t>
  </si>
  <si>
    <t>16/07/2025 11:30</t>
  </si>
  <si>
    <t>16/07/2025 11:45</t>
  </si>
  <si>
    <t>16/07/2025 12:00</t>
  </si>
  <si>
    <t>16/07/2025 12:15</t>
  </si>
  <si>
    <t>16/07/2025 12:30</t>
  </si>
  <si>
    <t>16/07/2025 12:45</t>
  </si>
  <si>
    <t>16/07/2025 13:00</t>
  </si>
  <si>
    <t>16/07/2025 13:15</t>
  </si>
  <si>
    <t>16/07/2025 13:30</t>
  </si>
  <si>
    <t>16/07/2025 13:45</t>
  </si>
  <si>
    <t>16/07/2025 14:00</t>
  </si>
  <si>
    <t>16/07/2025 14:15</t>
  </si>
  <si>
    <t>16/07/2025 14:30</t>
  </si>
  <si>
    <t>16/07/2025 14:45</t>
  </si>
  <si>
    <t>16/07/2025 15:00</t>
  </si>
  <si>
    <t>16/07/2025 15:15</t>
  </si>
  <si>
    <t>16/07/2025 15:30</t>
  </si>
  <si>
    <t>16/07/2025 15:45</t>
  </si>
  <si>
    <t>16/07/2025 16:00</t>
  </si>
  <si>
    <t>16/07/2025 16:15</t>
  </si>
  <si>
    <t>16/07/2025 16:30</t>
  </si>
  <si>
    <t>16/07/2025 16:45</t>
  </si>
  <si>
    <t>16/07/2025 17:00</t>
  </si>
  <si>
    <t>16/07/2025 17:15</t>
  </si>
  <si>
    <t>16/07/2025 17:30</t>
  </si>
  <si>
    <t>16/07/2025 17:45</t>
  </si>
  <si>
    <t>16/07/2025 18:00</t>
  </si>
  <si>
    <t>16/07/2025 18:15</t>
  </si>
  <si>
    <t>16/07/2025 18:30</t>
  </si>
  <si>
    <t>16/07/2025 18:45</t>
  </si>
  <si>
    <t>16/07/2025 19:00</t>
  </si>
  <si>
    <t>16/07/2025 19:15</t>
  </si>
  <si>
    <t>16/07/2025 19:30</t>
  </si>
  <si>
    <t>16/07/2025 19:45</t>
  </si>
  <si>
    <t>16/07/2025 20:00</t>
  </si>
  <si>
    <t>16/07/2025 20:15</t>
  </si>
  <si>
    <t>16/07/2025 20:30</t>
  </si>
  <si>
    <t>16/07/2025 20:45</t>
  </si>
  <si>
    <t>16/07/2025 21:00</t>
  </si>
  <si>
    <t>16/07/2025 21:15</t>
  </si>
  <si>
    <t>16/07/2025 21:30</t>
  </si>
  <si>
    <t>16/07/2025 21:45</t>
  </si>
  <si>
    <t>16/07/2025 22:00</t>
  </si>
  <si>
    <t>16/07/2025 22:15</t>
  </si>
  <si>
    <t>16/07/2025 22:30</t>
  </si>
  <si>
    <t>16/07/2025 22:45</t>
  </si>
  <si>
    <t>16/07/2025 23:00</t>
  </si>
  <si>
    <t>16/07/2025 23:15</t>
  </si>
  <si>
    <t>16/07/2025 23:30</t>
  </si>
  <si>
    <t>16/07/2025 23:45</t>
  </si>
  <si>
    <t>16/07/2025 24:00</t>
  </si>
  <si>
    <t>17/07/2025 00:15</t>
  </si>
  <si>
    <t>17/07/2025 00:30</t>
  </si>
  <si>
    <t>17/07/2025 00:45</t>
  </si>
  <si>
    <t>17/07/2025 01:00</t>
  </si>
  <si>
    <t>17/07/2025 01:15</t>
  </si>
  <si>
    <t>17/07/2025 01:30</t>
  </si>
  <si>
    <t>17/07/2025 01:45</t>
  </si>
  <si>
    <t>17/07/2025 02:00</t>
  </si>
  <si>
    <t>17/07/2025 02:15</t>
  </si>
  <si>
    <t>17/07/2025 02:30</t>
  </si>
  <si>
    <t>17/07/2025 02:45</t>
  </si>
  <si>
    <t>17/07/2025 03:00</t>
  </si>
  <si>
    <t>17/07/2025 03:15</t>
  </si>
  <si>
    <t>17/07/2025 03:30</t>
  </si>
  <si>
    <t>17/07/2025 03:45</t>
  </si>
  <si>
    <t>17/07/2025 04:00</t>
  </si>
  <si>
    <t>17/07/2025 04:15</t>
  </si>
  <si>
    <t>17/07/2025 04:30</t>
  </si>
  <si>
    <t>17/07/2025 04:45</t>
  </si>
  <si>
    <t>17/07/2025 05:00</t>
  </si>
  <si>
    <t>17/07/2025 05:15</t>
  </si>
  <si>
    <t>17/07/2025 05:30</t>
  </si>
  <si>
    <t>17/07/2025 05:45</t>
  </si>
  <si>
    <t>17/07/2025 06:00</t>
  </si>
  <si>
    <t>17/07/2025 06:15</t>
  </si>
  <si>
    <t>17/07/2025 06:30</t>
  </si>
  <si>
    <t>17/07/2025 06:45</t>
  </si>
  <si>
    <t>17/07/2025 07:00</t>
  </si>
  <si>
    <t>17/07/2025 07:15</t>
  </si>
  <si>
    <t>17/07/2025 07:30</t>
  </si>
  <si>
    <t>17/07/2025 07:45</t>
  </si>
  <si>
    <t>17/07/2025 08:00</t>
  </si>
  <si>
    <t>17/07/2025 08:15</t>
  </si>
  <si>
    <t>17/07/2025 08:30</t>
  </si>
  <si>
    <t>17/07/2025 08:45</t>
  </si>
  <si>
    <t>17/07/2025 09:00</t>
  </si>
  <si>
    <t>17/07/2025 09:15</t>
  </si>
  <si>
    <t>17/07/2025 09:30</t>
  </si>
  <si>
    <t>17/07/2025 09:45</t>
  </si>
  <si>
    <t>17/07/2025 10:00</t>
  </si>
  <si>
    <t>17/07/2025 10:15</t>
  </si>
  <si>
    <t>17/07/2025 10:30</t>
  </si>
  <si>
    <t>17/07/2025 10:45</t>
  </si>
  <si>
    <t>17/07/2025 11:00</t>
  </si>
  <si>
    <t>17/07/2025 11:15</t>
  </si>
  <si>
    <t>17/07/2025 11:30</t>
  </si>
  <si>
    <t>17/07/2025 11:45</t>
  </si>
  <si>
    <t>17/07/2025 12:00</t>
  </si>
  <si>
    <t>17/07/2025 12:15</t>
  </si>
  <si>
    <t>17/07/2025 12:30</t>
  </si>
  <si>
    <t>17/07/2025 12:45</t>
  </si>
  <si>
    <t>17/07/2025 13:00</t>
  </si>
  <si>
    <t>17/07/2025 13:15</t>
  </si>
  <si>
    <t>17/07/2025 13:30</t>
  </si>
  <si>
    <t>17/07/2025 13:45</t>
  </si>
  <si>
    <t>17/07/2025 14:00</t>
  </si>
  <si>
    <t>17/07/2025 14:15</t>
  </si>
  <si>
    <t>17/07/2025 14:30</t>
  </si>
  <si>
    <t>17/07/2025 14:45</t>
  </si>
  <si>
    <t>17/07/2025 15:00</t>
  </si>
  <si>
    <t>17/07/2025 15:15</t>
  </si>
  <si>
    <t>17/07/2025 15:30</t>
  </si>
  <si>
    <t>17/07/2025 15:45</t>
  </si>
  <si>
    <t>17/07/2025 16:00</t>
  </si>
  <si>
    <t>17/07/2025 16:15</t>
  </si>
  <si>
    <t>17/07/2025 16:30</t>
  </si>
  <si>
    <t>17/07/2025 16:45</t>
  </si>
  <si>
    <t>17/07/2025 17:00</t>
  </si>
  <si>
    <t>17/07/2025 17:15</t>
  </si>
  <si>
    <t>17/07/2025 17:30</t>
  </si>
  <si>
    <t>17/07/2025 17:45</t>
  </si>
  <si>
    <t>17/07/2025 18:00</t>
  </si>
  <si>
    <t>17/07/2025 18:15</t>
  </si>
  <si>
    <t>17/07/2025 18:30</t>
  </si>
  <si>
    <t>17/07/2025 18:45</t>
  </si>
  <si>
    <t>17/07/2025 19:00</t>
  </si>
  <si>
    <t>17/07/2025 19:15</t>
  </si>
  <si>
    <t>17/07/2025 19:30</t>
  </si>
  <si>
    <t>17/07/2025 19:45</t>
  </si>
  <si>
    <t>17/07/2025 20:00</t>
  </si>
  <si>
    <t>17/07/2025 20:15</t>
  </si>
  <si>
    <t>17/07/2025 20:30</t>
  </si>
  <si>
    <t>17/07/2025 20:45</t>
  </si>
  <si>
    <t>17/07/2025 21:00</t>
  </si>
  <si>
    <t>17/07/2025 21:15</t>
  </si>
  <si>
    <t>17/07/2025 21:30</t>
  </si>
  <si>
    <t>17/07/2025 21:45</t>
  </si>
  <si>
    <t>17/07/2025 22:00</t>
  </si>
  <si>
    <t>17/07/2025 22:15</t>
  </si>
  <si>
    <t>17/07/2025 22:30</t>
  </si>
  <si>
    <t>17/07/2025 22:45</t>
  </si>
  <si>
    <t>17/07/2025 23:00</t>
  </si>
  <si>
    <t>17/07/2025 23:15</t>
  </si>
  <si>
    <t>17/07/2025 23:30</t>
  </si>
  <si>
    <t>17/07/2025 23:45</t>
  </si>
  <si>
    <t>17/07/2025 24:00</t>
  </si>
  <si>
    <t>18/07/2025 00:15</t>
  </si>
  <si>
    <t>18/07/2025 00:30</t>
  </si>
  <si>
    <t>18/07/2025 00:45</t>
  </si>
  <si>
    <t>18/07/2025 01:00</t>
  </si>
  <si>
    <t>18/07/2025 01:15</t>
  </si>
  <si>
    <t>18/07/2025 01:30</t>
  </si>
  <si>
    <t>18/07/2025 01:45</t>
  </si>
  <si>
    <t>18/07/2025 02:00</t>
  </si>
  <si>
    <t>18/07/2025 02:15</t>
  </si>
  <si>
    <t>18/07/2025 02:30</t>
  </si>
  <si>
    <t>18/07/2025 02:45</t>
  </si>
  <si>
    <t>18/07/2025 03:00</t>
  </si>
  <si>
    <t>18/07/2025 03:15</t>
  </si>
  <si>
    <t>18/07/2025 03:30</t>
  </si>
  <si>
    <t>18/07/2025 03:45</t>
  </si>
  <si>
    <t>18/07/2025 04:00</t>
  </si>
  <si>
    <t>18/07/2025 04:15</t>
  </si>
  <si>
    <t>18/07/2025 04:30</t>
  </si>
  <si>
    <t>18/07/2025 04:45</t>
  </si>
  <si>
    <t>18/07/2025 05:00</t>
  </si>
  <si>
    <t>18/07/2025 05:15</t>
  </si>
  <si>
    <t>18/07/2025 05:30</t>
  </si>
  <si>
    <t>18/07/2025 05:45</t>
  </si>
  <si>
    <t>18/07/2025 06:00</t>
  </si>
  <si>
    <t>18/07/2025 06:15</t>
  </si>
  <si>
    <t>18/07/2025 06:30</t>
  </si>
  <si>
    <t>18/07/2025 06:45</t>
  </si>
  <si>
    <t>18/07/2025 07:00</t>
  </si>
  <si>
    <t>18/07/2025 07:15</t>
  </si>
  <si>
    <t>18/07/2025 07:30</t>
  </si>
  <si>
    <t>18/07/2025 07:45</t>
  </si>
  <si>
    <t>18/07/2025 08:00</t>
  </si>
  <si>
    <t>18/07/2025 08:15</t>
  </si>
  <si>
    <t>18/07/2025 08:30</t>
  </si>
  <si>
    <t>18/07/2025 08:45</t>
  </si>
  <si>
    <t>18/07/2025 09:00</t>
  </si>
  <si>
    <t>18/07/2025 09:15</t>
  </si>
  <si>
    <t>18/07/2025 09:30</t>
  </si>
  <si>
    <t>18/07/2025 09:45</t>
  </si>
  <si>
    <t>18/07/2025 10:00</t>
  </si>
  <si>
    <t>18/07/2025 10:15</t>
  </si>
  <si>
    <t>18/07/2025 10:30</t>
  </si>
  <si>
    <t>18/07/2025 10:45</t>
  </si>
  <si>
    <t>18/07/2025 11:00</t>
  </si>
  <si>
    <t>18/07/2025 11:15</t>
  </si>
  <si>
    <t>18/07/2025 11:30</t>
  </si>
  <si>
    <t>18/07/2025 11:45</t>
  </si>
  <si>
    <t>18/07/2025 12:00</t>
  </si>
  <si>
    <t>18/07/2025 12:15</t>
  </si>
  <si>
    <t>18/07/2025 12:30</t>
  </si>
  <si>
    <t>18/07/2025 12:45</t>
  </si>
  <si>
    <t>18/07/2025 13:00</t>
  </si>
  <si>
    <t>18/07/2025 13:15</t>
  </si>
  <si>
    <t>18/07/2025 13:30</t>
  </si>
  <si>
    <t>18/07/2025 13:45</t>
  </si>
  <si>
    <t>18/07/2025 14:00</t>
  </si>
  <si>
    <t>18/07/2025 14:15</t>
  </si>
  <si>
    <t>18/07/2025 14:30</t>
  </si>
  <si>
    <t>18/07/2025 14:45</t>
  </si>
  <si>
    <t>18/07/2025 15:00</t>
  </si>
  <si>
    <t>18/07/2025 15:15</t>
  </si>
  <si>
    <t>18/07/2025 15:30</t>
  </si>
  <si>
    <t>18/07/2025 15:45</t>
  </si>
  <si>
    <t>18/07/2025 16:00</t>
  </si>
  <si>
    <t>18/07/2025 16:15</t>
  </si>
  <si>
    <t>18/07/2025 16:30</t>
  </si>
  <si>
    <t>18/07/2025 16:45</t>
  </si>
  <si>
    <t>18/07/2025 17:00</t>
  </si>
  <si>
    <t>18/07/2025 17:15</t>
  </si>
  <si>
    <t>18/07/2025 17:30</t>
  </si>
  <si>
    <t>18/07/2025 17:45</t>
  </si>
  <si>
    <t>18/07/2025 18:00</t>
  </si>
  <si>
    <t>18/07/2025 18:15</t>
  </si>
  <si>
    <t>18/07/2025 18:30</t>
  </si>
  <si>
    <t>18/07/2025 18:45</t>
  </si>
  <si>
    <t>18/07/2025 19:00</t>
  </si>
  <si>
    <t>18/07/2025 19:15</t>
  </si>
  <si>
    <t>18/07/2025 19:30</t>
  </si>
  <si>
    <t>18/07/2025 19:45</t>
  </si>
  <si>
    <t>18/07/2025 20:00</t>
  </si>
  <si>
    <t>18/07/2025 20:15</t>
  </si>
  <si>
    <t>18/07/2025 20:30</t>
  </si>
  <si>
    <t>18/07/2025 20:45</t>
  </si>
  <si>
    <t>18/07/2025 21:00</t>
  </si>
  <si>
    <t>18/07/2025 21:15</t>
  </si>
  <si>
    <t>18/07/2025 21:30</t>
  </si>
  <si>
    <t>18/07/2025 21:45</t>
  </si>
  <si>
    <t>18/07/2025 22:00</t>
  </si>
  <si>
    <t>18/07/2025 22:15</t>
  </si>
  <si>
    <t>18/07/2025 22:30</t>
  </si>
  <si>
    <t>18/07/2025 22:45</t>
  </si>
  <si>
    <t>18/07/2025 23:00</t>
  </si>
  <si>
    <t>18/07/2025 23:15</t>
  </si>
  <si>
    <t>18/07/2025 23:30</t>
  </si>
  <si>
    <t>18/07/2025 23:45</t>
  </si>
  <si>
    <t>18/07/2025 24:00</t>
  </si>
  <si>
    <t>19/07/2025 00:15</t>
  </si>
  <si>
    <t>19/07/2025 00:30</t>
  </si>
  <si>
    <t>19/07/2025 00:45</t>
  </si>
  <si>
    <t>19/07/2025 01:00</t>
  </si>
  <si>
    <t>19/07/2025 01:15</t>
  </si>
  <si>
    <t>19/07/2025 01:30</t>
  </si>
  <si>
    <t>19/07/2025 01:45</t>
  </si>
  <si>
    <t>19/07/2025 02:00</t>
  </si>
  <si>
    <t>19/07/2025 02:15</t>
  </si>
  <si>
    <t>19/07/2025 02:30</t>
  </si>
  <si>
    <t>19/07/2025 02:45</t>
  </si>
  <si>
    <t>19/07/2025 03:00</t>
  </si>
  <si>
    <t>19/07/2025 03:15</t>
  </si>
  <si>
    <t>19/07/2025 03:30</t>
  </si>
  <si>
    <t>19/07/2025 03:45</t>
  </si>
  <si>
    <t>19/07/2025 04:00</t>
  </si>
  <si>
    <t>19/07/2025 04:15</t>
  </si>
  <si>
    <t>19/07/2025 04:30</t>
  </si>
  <si>
    <t>19/07/2025 04:45</t>
  </si>
  <si>
    <t>19/07/2025 05:00</t>
  </si>
  <si>
    <t>19/07/2025 05:15</t>
  </si>
  <si>
    <t>19/07/2025 05:30</t>
  </si>
  <si>
    <t>19/07/2025 05:45</t>
  </si>
  <si>
    <t>19/07/2025 06:00</t>
  </si>
  <si>
    <t>19/07/2025 06:15</t>
  </si>
  <si>
    <t>19/07/2025 06:30</t>
  </si>
  <si>
    <t>19/07/2025 06:45</t>
  </si>
  <si>
    <t>19/07/2025 07:00</t>
  </si>
  <si>
    <t>19/07/2025 07:15</t>
  </si>
  <si>
    <t>19/07/2025 07:30</t>
  </si>
  <si>
    <t>19/07/2025 07:45</t>
  </si>
  <si>
    <t>19/07/2025 08:00</t>
  </si>
  <si>
    <t>19/07/2025 08:15</t>
  </si>
  <si>
    <t>19/07/2025 08:30</t>
  </si>
  <si>
    <t>19/07/2025 08:45</t>
  </si>
  <si>
    <t>19/07/2025 09:00</t>
  </si>
  <si>
    <t>19/07/2025 09:15</t>
  </si>
  <si>
    <t>19/07/2025 09:30</t>
  </si>
  <si>
    <t>19/07/2025 09:45</t>
  </si>
  <si>
    <t>19/07/2025 10:00</t>
  </si>
  <si>
    <t>19/07/2025 10:15</t>
  </si>
  <si>
    <t>19/07/2025 10:30</t>
  </si>
  <si>
    <t>19/07/2025 10:45</t>
  </si>
  <si>
    <t>19/07/2025 11:00</t>
  </si>
  <si>
    <t>19/07/2025 11:15</t>
  </si>
  <si>
    <t>19/07/2025 11:30</t>
  </si>
  <si>
    <t>19/07/2025 11:45</t>
  </si>
  <si>
    <t>19/07/2025 12:00</t>
  </si>
  <si>
    <t>19/07/2025 12:15</t>
  </si>
  <si>
    <t>19/07/2025 12:30</t>
  </si>
  <si>
    <t>19/07/2025 12:45</t>
  </si>
  <si>
    <t>19/07/2025 13:00</t>
  </si>
  <si>
    <t>19/07/2025 13:15</t>
  </si>
  <si>
    <t>19/07/2025 13:30</t>
  </si>
  <si>
    <t>19/07/2025 13:45</t>
  </si>
  <si>
    <t>19/07/2025 14:00</t>
  </si>
  <si>
    <t>19/07/2025 14:15</t>
  </si>
  <si>
    <t>19/07/2025 14:30</t>
  </si>
  <si>
    <t>19/07/2025 14:45</t>
  </si>
  <si>
    <t>19/07/2025 15:00</t>
  </si>
  <si>
    <t>19/07/2025 15:15</t>
  </si>
  <si>
    <t>19/07/2025 15:30</t>
  </si>
  <si>
    <t>19/07/2025 15:45</t>
  </si>
  <si>
    <t>19/07/2025 16:00</t>
  </si>
  <si>
    <t>19/07/2025 16:15</t>
  </si>
  <si>
    <t>19/07/2025 16:30</t>
  </si>
  <si>
    <t>19/07/2025 16:45</t>
  </si>
  <si>
    <t>19/07/2025 17:00</t>
  </si>
  <si>
    <t>19/07/2025 17:15</t>
  </si>
  <si>
    <t>19/07/2025 17:30</t>
  </si>
  <si>
    <t>19/07/2025 17:45</t>
  </si>
  <si>
    <t>19/07/2025 18:00</t>
  </si>
  <si>
    <t>19/07/2025 18:15</t>
  </si>
  <si>
    <t>19/07/2025 18:30</t>
  </si>
  <si>
    <t>19/07/2025 18:45</t>
  </si>
  <si>
    <t>19/07/2025 19:00</t>
  </si>
  <si>
    <t>19/07/2025 19:15</t>
  </si>
  <si>
    <t>19/07/2025 19:30</t>
  </si>
  <si>
    <t>19/07/2025 19:45</t>
  </si>
  <si>
    <t>19/07/2025 20:00</t>
  </si>
  <si>
    <t>19/07/2025 20:15</t>
  </si>
  <si>
    <t>19/07/2025 20:30</t>
  </si>
  <si>
    <t>19/07/2025 20:45</t>
  </si>
  <si>
    <t>19/07/2025 21:00</t>
  </si>
  <si>
    <t>19/07/2025 21:15</t>
  </si>
  <si>
    <t>19/07/2025 21:30</t>
  </si>
  <si>
    <t>19/07/2025 21:45</t>
  </si>
  <si>
    <t>19/07/2025 22:00</t>
  </si>
  <si>
    <t>19/07/2025 22:15</t>
  </si>
  <si>
    <t>19/07/2025 22:30</t>
  </si>
  <si>
    <t>19/07/2025 22:45</t>
  </si>
  <si>
    <t>19/07/2025 23:00</t>
  </si>
  <si>
    <t>19/07/2025 23:15</t>
  </si>
  <si>
    <t>19/07/2025 23:30</t>
  </si>
  <si>
    <t>19/07/2025 23:45</t>
  </si>
  <si>
    <t>19/07/2025 24:00</t>
  </si>
  <si>
    <t>20/07/2025 00:15</t>
  </si>
  <si>
    <t>20/07/2025 00:30</t>
  </si>
  <si>
    <t>20/07/2025 00:45</t>
  </si>
  <si>
    <t>20/07/2025 01:00</t>
  </si>
  <si>
    <t>20/07/2025 01:15</t>
  </si>
  <si>
    <t>20/07/2025 01:30</t>
  </si>
  <si>
    <t>20/07/2025 01:45</t>
  </si>
  <si>
    <t>20/07/2025 02:00</t>
  </si>
  <si>
    <t>20/07/2025 02:15</t>
  </si>
  <si>
    <t>20/07/2025 02:30</t>
  </si>
  <si>
    <t>20/07/2025 02:45</t>
  </si>
  <si>
    <t>20/07/2025 03:00</t>
  </si>
  <si>
    <t>20/07/2025 03:15</t>
  </si>
  <si>
    <t>20/07/2025 03:30</t>
  </si>
  <si>
    <t>20/07/2025 03:45</t>
  </si>
  <si>
    <t>20/07/2025 04:00</t>
  </si>
  <si>
    <t>20/07/2025 04:15</t>
  </si>
  <si>
    <t>20/07/2025 04:30</t>
  </si>
  <si>
    <t>20/07/2025 04:45</t>
  </si>
  <si>
    <t>20/07/2025 05:00</t>
  </si>
  <si>
    <t>20/07/2025 05:15</t>
  </si>
  <si>
    <t>20/07/2025 05:30</t>
  </si>
  <si>
    <t>20/07/2025 05:45</t>
  </si>
  <si>
    <t>20/07/2025 06:00</t>
  </si>
  <si>
    <t>20/07/2025 06:15</t>
  </si>
  <si>
    <t>20/07/2025 06:30</t>
  </si>
  <si>
    <t>20/07/2025 06:45</t>
  </si>
  <si>
    <t>20/07/2025 07:00</t>
  </si>
  <si>
    <t>20/07/2025 07:15</t>
  </si>
  <si>
    <t>20/07/2025 07:30</t>
  </si>
  <si>
    <t>20/07/2025 07:45</t>
  </si>
  <si>
    <t>20/07/2025 08:00</t>
  </si>
  <si>
    <t>20/07/2025 08:15</t>
  </si>
  <si>
    <t>20/07/2025 08:30</t>
  </si>
  <si>
    <t>20/07/2025 08:45</t>
  </si>
  <si>
    <t>20/07/2025 09:00</t>
  </si>
  <si>
    <t>20/07/2025 09:15</t>
  </si>
  <si>
    <t>20/07/2025 09:30</t>
  </si>
  <si>
    <t>20/07/2025 09:45</t>
  </si>
  <si>
    <t>20/07/2025 10:00</t>
  </si>
  <si>
    <t>20/07/2025 10:15</t>
  </si>
  <si>
    <t>20/07/2025 10:30</t>
  </si>
  <si>
    <t>20/07/2025 10:45</t>
  </si>
  <si>
    <t>20/07/2025 11:00</t>
  </si>
  <si>
    <t>20/07/2025 11:15</t>
  </si>
  <si>
    <t>20/07/2025 11:30</t>
  </si>
  <si>
    <t>20/07/2025 11:45</t>
  </si>
  <si>
    <t>20/07/2025 12:00</t>
  </si>
  <si>
    <t>20/07/2025 12:15</t>
  </si>
  <si>
    <t>20/07/2025 12:30</t>
  </si>
  <si>
    <t>20/07/2025 12:45</t>
  </si>
  <si>
    <t>20/07/2025 13:00</t>
  </si>
  <si>
    <t>20/07/2025 13:15</t>
  </si>
  <si>
    <t>20/07/2025 13:30</t>
  </si>
  <si>
    <t>20/07/2025 13:45</t>
  </si>
  <si>
    <t>20/07/2025 14:00</t>
  </si>
  <si>
    <t>20/07/2025 14:15</t>
  </si>
  <si>
    <t>20/07/2025 14:30</t>
  </si>
  <si>
    <t>20/07/2025 14:45</t>
  </si>
  <si>
    <t>20/07/2025 15:00</t>
  </si>
  <si>
    <t>20/07/2025 15:15</t>
  </si>
  <si>
    <t>20/07/2025 15:30</t>
  </si>
  <si>
    <t>20/07/2025 15:45</t>
  </si>
  <si>
    <t>20/07/2025 16:00</t>
  </si>
  <si>
    <t>20/07/2025 16:15</t>
  </si>
  <si>
    <t>20/07/2025 16:30</t>
  </si>
  <si>
    <t>20/07/2025 16:45</t>
  </si>
  <si>
    <t>20/07/2025 17:00</t>
  </si>
  <si>
    <t>20/07/2025 17:15</t>
  </si>
  <si>
    <t>20/07/2025 17:30</t>
  </si>
  <si>
    <t>20/07/2025 17:45</t>
  </si>
  <si>
    <t>20/07/2025 18:00</t>
  </si>
  <si>
    <t>20/07/2025 18:15</t>
  </si>
  <si>
    <t>20/07/2025 18:30</t>
  </si>
  <si>
    <t>20/07/2025 18:45</t>
  </si>
  <si>
    <t>20/07/2025 19:00</t>
  </si>
  <si>
    <t>20/07/2025 19:15</t>
  </si>
  <si>
    <t>20/07/2025 19:30</t>
  </si>
  <si>
    <t>20/07/2025 19:45</t>
  </si>
  <si>
    <t>20/07/2025 20:00</t>
  </si>
  <si>
    <t>20/07/2025 20:15</t>
  </si>
  <si>
    <t>20/07/2025 20:30</t>
  </si>
  <si>
    <t>20/07/2025 20:45</t>
  </si>
  <si>
    <t>20/07/2025 21:00</t>
  </si>
  <si>
    <t>20/07/2025 21:15</t>
  </si>
  <si>
    <t>20/07/2025 21:30</t>
  </si>
  <si>
    <t>20/07/2025 21:45</t>
  </si>
  <si>
    <t>20/07/2025 22:00</t>
  </si>
  <si>
    <t>20/07/2025 22:15</t>
  </si>
  <si>
    <t>20/07/2025 22:30</t>
  </si>
  <si>
    <t>20/07/2025 22:45</t>
  </si>
  <si>
    <t>20/07/2025 23:00</t>
  </si>
  <si>
    <t>20/07/2025 23:15</t>
  </si>
  <si>
    <t>20/07/2025 23:30</t>
  </si>
  <si>
    <t>20/07/2025 23:45</t>
  </si>
  <si>
    <t>20/07/2025 24:00</t>
  </si>
  <si>
    <t>21/07/2025 00:15</t>
  </si>
  <si>
    <t>21/07/2025 00:30</t>
  </si>
  <si>
    <t>21/07/2025 00:45</t>
  </si>
  <si>
    <t>21/07/2025 01:00</t>
  </si>
  <si>
    <t>21/07/2025 01:15</t>
  </si>
  <si>
    <t>21/07/2025 01:30</t>
  </si>
  <si>
    <t>21/07/2025 01:45</t>
  </si>
  <si>
    <t>21/07/2025 02:00</t>
  </si>
  <si>
    <t>21/07/2025 02:15</t>
  </si>
  <si>
    <t>21/07/2025 02:30</t>
  </si>
  <si>
    <t>21/07/2025 02:45</t>
  </si>
  <si>
    <t>21/07/2025 03:00</t>
  </si>
  <si>
    <t>21/07/2025 03:15</t>
  </si>
  <si>
    <t>21/07/2025 03:30</t>
  </si>
  <si>
    <t>21/07/2025 03:45</t>
  </si>
  <si>
    <t>21/07/2025 04:00</t>
  </si>
  <si>
    <t>21/07/2025 04:15</t>
  </si>
  <si>
    <t>21/07/2025 04:30</t>
  </si>
  <si>
    <t>21/07/2025 04:45</t>
  </si>
  <si>
    <t>21/07/2025 05:00</t>
  </si>
  <si>
    <t>21/07/2025 05:15</t>
  </si>
  <si>
    <t>21/07/2025 05:30</t>
  </si>
  <si>
    <t>21/07/2025 05:45</t>
  </si>
  <si>
    <t>21/07/2025 06:00</t>
  </si>
  <si>
    <t>21/07/2025 06:15</t>
  </si>
  <si>
    <t>21/07/2025 06:30</t>
  </si>
  <si>
    <t>21/07/2025 06:45</t>
  </si>
  <si>
    <t>21/07/2025 07:00</t>
  </si>
  <si>
    <t>21/07/2025 07:15</t>
  </si>
  <si>
    <t>21/07/2025 07:30</t>
  </si>
  <si>
    <t>21/07/2025 07:45</t>
  </si>
  <si>
    <t>21/07/2025 08:00</t>
  </si>
  <si>
    <t>21/07/2025 08:15</t>
  </si>
  <si>
    <t>21/07/2025 08:30</t>
  </si>
  <si>
    <t>21/07/2025 08:45</t>
  </si>
  <si>
    <t>21/07/2025 09:00</t>
  </si>
  <si>
    <t>21/07/2025 09:15</t>
  </si>
  <si>
    <t>21/07/2025 09:30</t>
  </si>
  <si>
    <t>21/07/2025 09:45</t>
  </si>
  <si>
    <t>21/07/2025 10:00</t>
  </si>
  <si>
    <t>21/07/2025 10:15</t>
  </si>
  <si>
    <t>21/07/2025 10:30</t>
  </si>
  <si>
    <t>21/07/2025 10:45</t>
  </si>
  <si>
    <t>21/07/2025 11:00</t>
  </si>
  <si>
    <t>21/07/2025 11:15</t>
  </si>
  <si>
    <t>21/07/2025 11:30</t>
  </si>
  <si>
    <t>21/07/2025 11:45</t>
  </si>
  <si>
    <t>21/07/2025 12:00</t>
  </si>
  <si>
    <t>21/07/2025 12:15</t>
  </si>
  <si>
    <t>21/07/2025 12:30</t>
  </si>
  <si>
    <t>21/07/2025 12:45</t>
  </si>
  <si>
    <t>21/07/2025 13:00</t>
  </si>
  <si>
    <t>21/07/2025 13:15</t>
  </si>
  <si>
    <t>21/07/2025 13:30</t>
  </si>
  <si>
    <t>21/07/2025 13:45</t>
  </si>
  <si>
    <t>21/07/2025 14:00</t>
  </si>
  <si>
    <t>21/07/2025 14:15</t>
  </si>
  <si>
    <t>21/07/2025 14:30</t>
  </si>
  <si>
    <t>21/07/2025 14:45</t>
  </si>
  <si>
    <t>21/07/2025 15:00</t>
  </si>
  <si>
    <t>21/07/2025 15:15</t>
  </si>
  <si>
    <t>21/07/2025 15:30</t>
  </si>
  <si>
    <t>21/07/2025 15:45</t>
  </si>
  <si>
    <t>21/07/2025 16:00</t>
  </si>
  <si>
    <t>21/07/2025 16:15</t>
  </si>
  <si>
    <t>21/07/2025 16:30</t>
  </si>
  <si>
    <t>21/07/2025 16:45</t>
  </si>
  <si>
    <t>21/07/2025 17:00</t>
  </si>
  <si>
    <t>21/07/2025 17:15</t>
  </si>
  <si>
    <t>21/07/2025 17:30</t>
  </si>
  <si>
    <t>21/07/2025 17:45</t>
  </si>
  <si>
    <t>21/07/2025 18:00</t>
  </si>
  <si>
    <t>21/07/2025 18:15</t>
  </si>
  <si>
    <t>21/07/2025 18:30</t>
  </si>
  <si>
    <t>21/07/2025 18:45</t>
  </si>
  <si>
    <t>21/07/2025 19:00</t>
  </si>
  <si>
    <t>21/07/2025 19:15</t>
  </si>
  <si>
    <t>21/07/2025 19:30</t>
  </si>
  <si>
    <t>21/07/2025 19:45</t>
  </si>
  <si>
    <t>21/07/2025 20:00</t>
  </si>
  <si>
    <t>21/07/2025 20:15</t>
  </si>
  <si>
    <t>21/07/2025 20:30</t>
  </si>
  <si>
    <t>21/07/2025 20:45</t>
  </si>
  <si>
    <t>21/07/2025 21:00</t>
  </si>
  <si>
    <t>21/07/2025 21:15</t>
  </si>
  <si>
    <t>21/07/2025 21:30</t>
  </si>
  <si>
    <t>21/07/2025 21:45</t>
  </si>
  <si>
    <t>21/07/2025 22:00</t>
  </si>
  <si>
    <t>21/07/2025 22:15</t>
  </si>
  <si>
    <t>21/07/2025 22:30</t>
  </si>
  <si>
    <t>21/07/2025 22:45</t>
  </si>
  <si>
    <t>21/07/2025 23:00</t>
  </si>
  <si>
    <t>21/07/2025 23:15</t>
  </si>
  <si>
    <t>21/07/2025 23:30</t>
  </si>
  <si>
    <t>21/07/2025 23:45</t>
  </si>
  <si>
    <t>21/07/2025 24:00</t>
  </si>
  <si>
    <t>22/07/2025 00:15</t>
  </si>
  <si>
    <t>22/07/2025 00:30</t>
  </si>
  <si>
    <t>22/07/2025 00:45</t>
  </si>
  <si>
    <t>22/07/2025 01:00</t>
  </si>
  <si>
    <t>22/07/2025 01:15</t>
  </si>
  <si>
    <t>22/07/2025 01:30</t>
  </si>
  <si>
    <t>22/07/2025 01:45</t>
  </si>
  <si>
    <t>22/07/2025 02:00</t>
  </si>
  <si>
    <t>22/07/2025 02:15</t>
  </si>
  <si>
    <t>22/07/2025 02:30</t>
  </si>
  <si>
    <t>22/07/2025 02:45</t>
  </si>
  <si>
    <t>22/07/2025 03:00</t>
  </si>
  <si>
    <t>22/07/2025 03:15</t>
  </si>
  <si>
    <t>22/07/2025 03:30</t>
  </si>
  <si>
    <t>22/07/2025 03:45</t>
  </si>
  <si>
    <t>22/07/2025 04:00</t>
  </si>
  <si>
    <t>22/07/2025 04:15</t>
  </si>
  <si>
    <t>22/07/2025 04:30</t>
  </si>
  <si>
    <t>22/07/2025 04:45</t>
  </si>
  <si>
    <t>22/07/2025 05:00</t>
  </si>
  <si>
    <t>22/07/2025 05:15</t>
  </si>
  <si>
    <t>22/07/2025 05:30</t>
  </si>
  <si>
    <t>22/07/2025 05:45</t>
  </si>
  <si>
    <t>22/07/2025 06:00</t>
  </si>
  <si>
    <t>22/07/2025 06:15</t>
  </si>
  <si>
    <t>22/07/2025 06:30</t>
  </si>
  <si>
    <t>22/07/2025 06:45</t>
  </si>
  <si>
    <t>22/07/2025 07:00</t>
  </si>
  <si>
    <t>22/07/2025 07:15</t>
  </si>
  <si>
    <t>22/07/2025 07:30</t>
  </si>
  <si>
    <t>22/07/2025 07:45</t>
  </si>
  <si>
    <t>22/07/2025 08:00</t>
  </si>
  <si>
    <t>22/07/2025 08:15</t>
  </si>
  <si>
    <t>22/07/2025 08:30</t>
  </si>
  <si>
    <t>22/07/2025 08:45</t>
  </si>
  <si>
    <t>22/07/2025 09:00</t>
  </si>
  <si>
    <t>22/07/2025 09:15</t>
  </si>
  <si>
    <t>22/07/2025 09:30</t>
  </si>
  <si>
    <t>22/07/2025 09:45</t>
  </si>
  <si>
    <t>22/07/2025 10:00</t>
  </si>
  <si>
    <t>22/07/2025 10:15</t>
  </si>
  <si>
    <t>22/07/2025 10:30</t>
  </si>
  <si>
    <t>22/07/2025 10:45</t>
  </si>
  <si>
    <t>22/07/2025 11:00</t>
  </si>
  <si>
    <t>22/07/2025 11:15</t>
  </si>
  <si>
    <t>22/07/2025 11:30</t>
  </si>
  <si>
    <t>22/07/2025 11:45</t>
  </si>
  <si>
    <t>22/07/2025 12:00</t>
  </si>
  <si>
    <t>22/07/2025 12:15</t>
  </si>
  <si>
    <t>22/07/2025 12:30</t>
  </si>
  <si>
    <t>22/07/2025 12:45</t>
  </si>
  <si>
    <t>22/07/2025 13:00</t>
  </si>
  <si>
    <t>22/07/2025 13:15</t>
  </si>
  <si>
    <t>22/07/2025 13:30</t>
  </si>
  <si>
    <t>22/07/2025 13:45</t>
  </si>
  <si>
    <t>22/07/2025 14:00</t>
  </si>
  <si>
    <t>22/07/2025 14:15</t>
  </si>
  <si>
    <t>22/07/2025 14:30</t>
  </si>
  <si>
    <t>22/07/2025 14:45</t>
  </si>
  <si>
    <t>22/07/2025 15:00</t>
  </si>
  <si>
    <t>22/07/2025 15:15</t>
  </si>
  <si>
    <t>22/07/2025 15:30</t>
  </si>
  <si>
    <t>22/07/2025 15:45</t>
  </si>
  <si>
    <t>22/07/2025 16:00</t>
  </si>
  <si>
    <t>22/07/2025 16:15</t>
  </si>
  <si>
    <t>22/07/2025 16:30</t>
  </si>
  <si>
    <t>22/07/2025 16:45</t>
  </si>
  <si>
    <t>22/07/2025 17:00</t>
  </si>
  <si>
    <t>22/07/2025 17:15</t>
  </si>
  <si>
    <t>22/07/2025 17:30</t>
  </si>
  <si>
    <t>22/07/2025 17:45</t>
  </si>
  <si>
    <t>22/07/2025 18:00</t>
  </si>
  <si>
    <t>22/07/2025 18:15</t>
  </si>
  <si>
    <t>22/07/2025 18:30</t>
  </si>
  <si>
    <t>22/07/2025 18:45</t>
  </si>
  <si>
    <t>22/07/2025 19:00</t>
  </si>
  <si>
    <t>22/07/2025 19:15</t>
  </si>
  <si>
    <t>22/07/2025 19:30</t>
  </si>
  <si>
    <t>22/07/2025 19:45</t>
  </si>
  <si>
    <t>22/07/2025 20:00</t>
  </si>
  <si>
    <t>22/07/2025 20:15</t>
  </si>
  <si>
    <t>22/07/2025 20:30</t>
  </si>
  <si>
    <t>22/07/2025 20:45</t>
  </si>
  <si>
    <t>22/07/2025 21:00</t>
  </si>
  <si>
    <t>22/07/2025 21:15</t>
  </si>
  <si>
    <t>22/07/2025 21:30</t>
  </si>
  <si>
    <t>22/07/2025 21:45</t>
  </si>
  <si>
    <t>22/07/2025 22:00</t>
  </si>
  <si>
    <t>22/07/2025 22:15</t>
  </si>
  <si>
    <t>22/07/2025 22:30</t>
  </si>
  <si>
    <t>22/07/2025 22:45</t>
  </si>
  <si>
    <t>22/07/2025 23:00</t>
  </si>
  <si>
    <t>22/07/2025 23:15</t>
  </si>
  <si>
    <t>22/07/2025 23:30</t>
  </si>
  <si>
    <t>22/07/2025 23:45</t>
  </si>
  <si>
    <t>22/07/2025 24:00</t>
  </si>
  <si>
    <t>23/07/2025 00:15</t>
  </si>
  <si>
    <t>23/07/2025 00:30</t>
  </si>
  <si>
    <t>23/07/2025 00:45</t>
  </si>
  <si>
    <t>23/07/2025 01:00</t>
  </si>
  <si>
    <t>23/07/2025 01:15</t>
  </si>
  <si>
    <t>23/07/2025 01:30</t>
  </si>
  <si>
    <t>23/07/2025 01:45</t>
  </si>
  <si>
    <t>23/07/2025 02:00</t>
  </si>
  <si>
    <t>23/07/2025 02:15</t>
  </si>
  <si>
    <t>23/07/2025 02:30</t>
  </si>
  <si>
    <t>23/07/2025 02:45</t>
  </si>
  <si>
    <t>23/07/2025 03:00</t>
  </si>
  <si>
    <t>23/07/2025 03:15</t>
  </si>
  <si>
    <t>23/07/2025 03:30</t>
  </si>
  <si>
    <t>23/07/2025 03:45</t>
  </si>
  <si>
    <t>23/07/2025 04:00</t>
  </si>
  <si>
    <t>23/07/2025 04:15</t>
  </si>
  <si>
    <t>23/07/2025 04:30</t>
  </si>
  <si>
    <t>23/07/2025 04:45</t>
  </si>
  <si>
    <t>23/07/2025 05:00</t>
  </si>
  <si>
    <t>23/07/2025 05:15</t>
  </si>
  <si>
    <t>23/07/2025 05:30</t>
  </si>
  <si>
    <t>23/07/2025 05:45</t>
  </si>
  <si>
    <t>23/07/2025 06:00</t>
  </si>
  <si>
    <t>23/07/2025 06:15</t>
  </si>
  <si>
    <t>23/07/2025 06:30</t>
  </si>
  <si>
    <t>23/07/2025 06:45</t>
  </si>
  <si>
    <t>23/07/2025 07:00</t>
  </si>
  <si>
    <t>23/07/2025 07:15</t>
  </si>
  <si>
    <t>23/07/2025 07:30</t>
  </si>
  <si>
    <t>23/07/2025 07:45</t>
  </si>
  <si>
    <t>23/07/2025 08:00</t>
  </si>
  <si>
    <t>23/07/2025 08:15</t>
  </si>
  <si>
    <t>23/07/2025 08:30</t>
  </si>
  <si>
    <t>23/07/2025 08:45</t>
  </si>
  <si>
    <t>23/07/2025 09:00</t>
  </si>
  <si>
    <t>23/07/2025 09:15</t>
  </si>
  <si>
    <t>23/07/2025 09:30</t>
  </si>
  <si>
    <t>23/07/2025 09:45</t>
  </si>
  <si>
    <t>23/07/2025 10:00</t>
  </si>
  <si>
    <t>23/07/2025 10:15</t>
  </si>
  <si>
    <t>23/07/2025 10:30</t>
  </si>
  <si>
    <t>23/07/2025 10:45</t>
  </si>
  <si>
    <t>23/07/2025 11:00</t>
  </si>
  <si>
    <t>23/07/2025 11:15</t>
  </si>
  <si>
    <t>23/07/2025 11:30</t>
  </si>
  <si>
    <t>23/07/2025 11:45</t>
  </si>
  <si>
    <t>23/07/2025 12:00</t>
  </si>
  <si>
    <t>23/07/2025 12:15</t>
  </si>
  <si>
    <t>23/07/2025 12:30</t>
  </si>
  <si>
    <t>23/07/2025 12:45</t>
  </si>
  <si>
    <t>23/07/2025 13:00</t>
  </si>
  <si>
    <t>23/07/2025 13:15</t>
  </si>
  <si>
    <t>23/07/2025 13:30</t>
  </si>
  <si>
    <t>23/07/2025 13:45</t>
  </si>
  <si>
    <t>23/07/2025 14:00</t>
  </si>
  <si>
    <t>23/07/2025 14:15</t>
  </si>
  <si>
    <t>23/07/2025 14:30</t>
  </si>
  <si>
    <t>23/07/2025 14:45</t>
  </si>
  <si>
    <t>23/07/2025 15:00</t>
  </si>
  <si>
    <t>23/07/2025 15:15</t>
  </si>
  <si>
    <t>23/07/2025 15:30</t>
  </si>
  <si>
    <t>23/07/2025 15:45</t>
  </si>
  <si>
    <t>23/07/2025 16:00</t>
  </si>
  <si>
    <t>23/07/2025 16:15</t>
  </si>
  <si>
    <t>23/07/2025 16:30</t>
  </si>
  <si>
    <t>23/07/2025 16:45</t>
  </si>
  <si>
    <t>23/07/2025 17:00</t>
  </si>
  <si>
    <t>23/07/2025 17:15</t>
  </si>
  <si>
    <t>23/07/2025 17:30</t>
  </si>
  <si>
    <t>23/07/2025 17:45</t>
  </si>
  <si>
    <t>23/07/2025 18:00</t>
  </si>
  <si>
    <t>23/07/2025 18:15</t>
  </si>
  <si>
    <t>23/07/2025 18:30</t>
  </si>
  <si>
    <t>23/07/2025 18:45</t>
  </si>
  <si>
    <t>23/07/2025 19:00</t>
  </si>
  <si>
    <t>23/07/2025 19:15</t>
  </si>
  <si>
    <t>23/07/2025 19:30</t>
  </si>
  <si>
    <t>23/07/2025 19:45</t>
  </si>
  <si>
    <t>23/07/2025 20:00</t>
  </si>
  <si>
    <t>23/07/2025 20:15</t>
  </si>
  <si>
    <t>23/07/2025 20:30</t>
  </si>
  <si>
    <t>23/07/2025 20:45</t>
  </si>
  <si>
    <t>23/07/2025 21:00</t>
  </si>
  <si>
    <t>23/07/2025 21:15</t>
  </si>
  <si>
    <t>23/07/2025 21:30</t>
  </si>
  <si>
    <t>23/07/2025 21:45</t>
  </si>
  <si>
    <t>23/07/2025 22:00</t>
  </si>
  <si>
    <t>23/07/2025 22:15</t>
  </si>
  <si>
    <t>23/07/2025 22:30</t>
  </si>
  <si>
    <t>23/07/2025 22:45</t>
  </si>
  <si>
    <t>23/07/2025 23:00</t>
  </si>
  <si>
    <t>23/07/2025 23:15</t>
  </si>
  <si>
    <t>23/07/2025 23:30</t>
  </si>
  <si>
    <t>23/07/2025 23:45</t>
  </si>
  <si>
    <t>23/07/2025 24:00</t>
  </si>
  <si>
    <t>24/07/2025 00:15</t>
  </si>
  <si>
    <t>24/07/2025 00:30</t>
  </si>
  <si>
    <t>24/07/2025 00:45</t>
  </si>
  <si>
    <t>24/07/2025 01:00</t>
  </si>
  <si>
    <t>24/07/2025 01:15</t>
  </si>
  <si>
    <t>24/07/2025 01:30</t>
  </si>
  <si>
    <t>24/07/2025 01:45</t>
  </si>
  <si>
    <t>24/07/2025 02:00</t>
  </si>
  <si>
    <t>24/07/2025 02:15</t>
  </si>
  <si>
    <t>24/07/2025 02:30</t>
  </si>
  <si>
    <t>24/07/2025 02:45</t>
  </si>
  <si>
    <t>24/07/2025 03:00</t>
  </si>
  <si>
    <t>24/07/2025 03:15</t>
  </si>
  <si>
    <t>24/07/2025 03:30</t>
  </si>
  <si>
    <t>24/07/2025 03:45</t>
  </si>
  <si>
    <t>24/07/2025 04:00</t>
  </si>
  <si>
    <t>24/07/2025 04:15</t>
  </si>
  <si>
    <t>24/07/2025 04:30</t>
  </si>
  <si>
    <t>24/07/2025 04:45</t>
  </si>
  <si>
    <t>24/07/2025 05:00</t>
  </si>
  <si>
    <t>24/07/2025 05:15</t>
  </si>
  <si>
    <t>24/07/2025 05:30</t>
  </si>
  <si>
    <t>24/07/2025 05:45</t>
  </si>
  <si>
    <t>24/07/2025 06:00</t>
  </si>
  <si>
    <t>24/07/2025 06:15</t>
  </si>
  <si>
    <t>24/07/2025 06:30</t>
  </si>
  <si>
    <t>24/07/2025 06:45</t>
  </si>
  <si>
    <t>24/07/2025 07:00</t>
  </si>
  <si>
    <t>24/07/2025 07:15</t>
  </si>
  <si>
    <t>24/07/2025 07:30</t>
  </si>
  <si>
    <t>24/07/2025 07:45</t>
  </si>
  <si>
    <t>24/07/2025 08:00</t>
  </si>
  <si>
    <t>24/07/2025 08:15</t>
  </si>
  <si>
    <t>24/07/2025 08:30</t>
  </si>
  <si>
    <t>24/07/2025 08:45</t>
  </si>
  <si>
    <t>24/07/2025 09:00</t>
  </si>
  <si>
    <t>24/07/2025 09:15</t>
  </si>
  <si>
    <t>24/07/2025 09:30</t>
  </si>
  <si>
    <t>24/07/2025 09:45</t>
  </si>
  <si>
    <t>24/07/2025 10:00</t>
  </si>
  <si>
    <t>24/07/2025 10:15</t>
  </si>
  <si>
    <t>24/07/2025 10:30</t>
  </si>
  <si>
    <t>24/07/2025 10:45</t>
  </si>
  <si>
    <t>24/07/2025 11:00</t>
  </si>
  <si>
    <t>24/07/2025 11:15</t>
  </si>
  <si>
    <t>24/07/2025 11:30</t>
  </si>
  <si>
    <t>24/07/2025 11:45</t>
  </si>
  <si>
    <t>24/07/2025 12:00</t>
  </si>
  <si>
    <t>24/07/2025 12:15</t>
  </si>
  <si>
    <t>24/07/2025 12:30</t>
  </si>
  <si>
    <t>24/07/2025 12:45</t>
  </si>
  <si>
    <t>24/07/2025 13:00</t>
  </si>
  <si>
    <t>24/07/2025 13:15</t>
  </si>
  <si>
    <t>24/07/2025 13:30</t>
  </si>
  <si>
    <t>24/07/2025 13:45</t>
  </si>
  <si>
    <t>24/07/2025 14:00</t>
  </si>
  <si>
    <t>24/07/2025 14:15</t>
  </si>
  <si>
    <t>24/07/2025 14:30</t>
  </si>
  <si>
    <t>24/07/2025 14:45</t>
  </si>
  <si>
    <t>24/07/2025 15:00</t>
  </si>
  <si>
    <t>24/07/2025 15:15</t>
  </si>
  <si>
    <t>24/07/2025 15:30</t>
  </si>
  <si>
    <t>24/07/2025 15:45</t>
  </si>
  <si>
    <t>24/07/2025 16:00</t>
  </si>
  <si>
    <t>24/07/2025 16:15</t>
  </si>
  <si>
    <t>24/07/2025 16:30</t>
  </si>
  <si>
    <t>24/07/2025 16:45</t>
  </si>
  <si>
    <t>24/07/2025 17:00</t>
  </si>
  <si>
    <t>24/07/2025 17:15</t>
  </si>
  <si>
    <t>24/07/2025 17:30</t>
  </si>
  <si>
    <t>24/07/2025 17:45</t>
  </si>
  <si>
    <t>24/07/2025 18:00</t>
  </si>
  <si>
    <t>24/07/2025 18:15</t>
  </si>
  <si>
    <t>24/07/2025 18:30</t>
  </si>
  <si>
    <t>24/07/2025 18:45</t>
  </si>
  <si>
    <t>24/07/2025 19:00</t>
  </si>
  <si>
    <t>24/07/2025 19:15</t>
  </si>
  <si>
    <t>24/07/2025 19:30</t>
  </si>
  <si>
    <t>24/07/2025 19:45</t>
  </si>
  <si>
    <t>24/07/2025 20:00</t>
  </si>
  <si>
    <t>24/07/2025 20:15</t>
  </si>
  <si>
    <t>24/07/2025 20:30</t>
  </si>
  <si>
    <t>24/07/2025 20:45</t>
  </si>
  <si>
    <t>24/07/2025 21:00</t>
  </si>
  <si>
    <t>24/07/2025 21:15</t>
  </si>
  <si>
    <t>24/07/2025 21:30</t>
  </si>
  <si>
    <t>24/07/2025 21:45</t>
  </si>
  <si>
    <t>24/07/2025 22:00</t>
  </si>
  <si>
    <t>24/07/2025 22:15</t>
  </si>
  <si>
    <t>24/07/2025 22:30</t>
  </si>
  <si>
    <t>24/07/2025 22:45</t>
  </si>
  <si>
    <t>24/07/2025 23:00</t>
  </si>
  <si>
    <t>24/07/2025 23:15</t>
  </si>
  <si>
    <t>24/07/2025 23:30</t>
  </si>
  <si>
    <t>24/07/2025 23:45</t>
  </si>
  <si>
    <t>24/07/2025 24:00</t>
  </si>
  <si>
    <t>25/07/2025 00:15</t>
  </si>
  <si>
    <t>25/07/2025 00:30</t>
  </si>
  <si>
    <t>25/07/2025 00:45</t>
  </si>
  <si>
    <t>25/07/2025 01:00</t>
  </si>
  <si>
    <t>25/07/2025 01:15</t>
  </si>
  <si>
    <t>25/07/2025 01:30</t>
  </si>
  <si>
    <t>25/07/2025 01:45</t>
  </si>
  <si>
    <t>25/07/2025 02:00</t>
  </si>
  <si>
    <t>25/07/2025 02:15</t>
  </si>
  <si>
    <t>25/07/2025 02:30</t>
  </si>
  <si>
    <t>25/07/2025 02:45</t>
  </si>
  <si>
    <t>25/07/2025 03:00</t>
  </si>
  <si>
    <t>25/07/2025 03:15</t>
  </si>
  <si>
    <t>25/07/2025 03:30</t>
  </si>
  <si>
    <t>25/07/2025 03:45</t>
  </si>
  <si>
    <t>25/07/2025 04:00</t>
  </si>
  <si>
    <t>25/07/2025 04:15</t>
  </si>
  <si>
    <t>25/07/2025 04:30</t>
  </si>
  <si>
    <t>25/07/2025 04:45</t>
  </si>
  <si>
    <t>25/07/2025 05:00</t>
  </si>
  <si>
    <t>25/07/2025 05:15</t>
  </si>
  <si>
    <t>25/07/2025 05:30</t>
  </si>
  <si>
    <t>25/07/2025 05:45</t>
  </si>
  <si>
    <t>25/07/2025 06:00</t>
  </si>
  <si>
    <t>25/07/2025 06:15</t>
  </si>
  <si>
    <t>25/07/2025 06:30</t>
  </si>
  <si>
    <t>25/07/2025 06:45</t>
  </si>
  <si>
    <t>25/07/2025 07:00</t>
  </si>
  <si>
    <t>25/07/2025 07:15</t>
  </si>
  <si>
    <t>25/07/2025 07:30</t>
  </si>
  <si>
    <t>25/07/2025 07:45</t>
  </si>
  <si>
    <t>25/07/2025 08:00</t>
  </si>
  <si>
    <t>25/07/2025 08:15</t>
  </si>
  <si>
    <t>25/07/2025 08:30</t>
  </si>
  <si>
    <t>25/07/2025 08:45</t>
  </si>
  <si>
    <t>25/07/2025 09:00</t>
  </si>
  <si>
    <t>25/07/2025 09:15</t>
  </si>
  <si>
    <t>25/07/2025 09:30</t>
  </si>
  <si>
    <t>25/07/2025 09:45</t>
  </si>
  <si>
    <t>25/07/2025 10:00</t>
  </si>
  <si>
    <t>25/07/2025 10:15</t>
  </si>
  <si>
    <t>25/07/2025 10:30</t>
  </si>
  <si>
    <t>25/07/2025 10:45</t>
  </si>
  <si>
    <t>25/07/2025 11:00</t>
  </si>
  <si>
    <t>25/07/2025 11:15</t>
  </si>
  <si>
    <t>25/07/2025 11:30</t>
  </si>
  <si>
    <t>25/07/2025 11:45</t>
  </si>
  <si>
    <t>25/07/2025 12:00</t>
  </si>
  <si>
    <t>25/07/2025 12:15</t>
  </si>
  <si>
    <t>25/07/2025 12:30</t>
  </si>
  <si>
    <t>25/07/2025 12:45</t>
  </si>
  <si>
    <t>25/07/2025 13:00</t>
  </si>
  <si>
    <t>25/07/2025 13:15</t>
  </si>
  <si>
    <t>25/07/2025 13:30</t>
  </si>
  <si>
    <t>25/07/2025 13:45</t>
  </si>
  <si>
    <t>25/07/2025 14:00</t>
  </si>
  <si>
    <t>25/07/2025 14:15</t>
  </si>
  <si>
    <t>25/07/2025 14:30</t>
  </si>
  <si>
    <t>25/07/2025 14:45</t>
  </si>
  <si>
    <t>25/07/2025 15:00</t>
  </si>
  <si>
    <t>25/07/2025 15:15</t>
  </si>
  <si>
    <t>25/07/2025 15:30</t>
  </si>
  <si>
    <t>25/07/2025 15:45</t>
  </si>
  <si>
    <t>25/07/2025 16:00</t>
  </si>
  <si>
    <t>25/07/2025 16:15</t>
  </si>
  <si>
    <t>25/07/2025 16:30</t>
  </si>
  <si>
    <t>25/07/2025 16:45</t>
  </si>
  <si>
    <t>25/07/2025 17:00</t>
  </si>
  <si>
    <t>25/07/2025 17:15</t>
  </si>
  <si>
    <t>25/07/2025 17:30</t>
  </si>
  <si>
    <t>25/07/2025 17:45</t>
  </si>
  <si>
    <t>25/07/2025 18:00</t>
  </si>
  <si>
    <t>25/07/2025 18:15</t>
  </si>
  <si>
    <t>25/07/2025 18:30</t>
  </si>
  <si>
    <t>25/07/2025 18:45</t>
  </si>
  <si>
    <t>25/07/2025 19:00</t>
  </si>
  <si>
    <t>25/07/2025 19:15</t>
  </si>
  <si>
    <t>25/07/2025 19:30</t>
  </si>
  <si>
    <t>25/07/2025 19:45</t>
  </si>
  <si>
    <t>25/07/2025 20:00</t>
  </si>
  <si>
    <t>25/07/2025 20:15</t>
  </si>
  <si>
    <t>25/07/2025 20:30</t>
  </si>
  <si>
    <t>25/07/2025 20:45</t>
  </si>
  <si>
    <t>25/07/2025 21:00</t>
  </si>
  <si>
    <t>25/07/2025 21:15</t>
  </si>
  <si>
    <t>25/07/2025 21:30</t>
  </si>
  <si>
    <t>25/07/2025 21:45</t>
  </si>
  <si>
    <t>25/07/2025 22:00</t>
  </si>
  <si>
    <t>25/07/2025 22:15</t>
  </si>
  <si>
    <t>25/07/2025 22:30</t>
  </si>
  <si>
    <t>25/07/2025 22:45</t>
  </si>
  <si>
    <t>25/07/2025 23:00</t>
  </si>
  <si>
    <t>25/07/2025 23:15</t>
  </si>
  <si>
    <t>25/07/2025 23:30</t>
  </si>
  <si>
    <t>25/07/2025 23:45</t>
  </si>
  <si>
    <t>25/07/2025 24:00</t>
  </si>
  <si>
    <t>26/07/2025 00:15</t>
  </si>
  <si>
    <t>26/07/2025 00:30</t>
  </si>
  <si>
    <t>26/07/2025 00:45</t>
  </si>
  <si>
    <t>26/07/2025 01:00</t>
  </si>
  <si>
    <t>26/07/2025 01:15</t>
  </si>
  <si>
    <t>26/07/2025 01:30</t>
  </si>
  <si>
    <t>26/07/2025 01:45</t>
  </si>
  <si>
    <t>26/07/2025 02:00</t>
  </si>
  <si>
    <t>26/07/2025 02:15</t>
  </si>
  <si>
    <t>26/07/2025 02:30</t>
  </si>
  <si>
    <t>26/07/2025 02:45</t>
  </si>
  <si>
    <t>26/07/2025 03:00</t>
  </si>
  <si>
    <t>26/07/2025 03:15</t>
  </si>
  <si>
    <t>26/07/2025 03:30</t>
  </si>
  <si>
    <t>26/07/2025 03:45</t>
  </si>
  <si>
    <t>26/07/2025 04:00</t>
  </si>
  <si>
    <t>26/07/2025 04:15</t>
  </si>
  <si>
    <t>26/07/2025 04:30</t>
  </si>
  <si>
    <t>26/07/2025 04:45</t>
  </si>
  <si>
    <t>26/07/2025 05:00</t>
  </si>
  <si>
    <t>26/07/2025 05:15</t>
  </si>
  <si>
    <t>26/07/2025 05:30</t>
  </si>
  <si>
    <t>26/07/2025 05:45</t>
  </si>
  <si>
    <t>26/07/2025 06:00</t>
  </si>
  <si>
    <t>26/07/2025 06:15</t>
  </si>
  <si>
    <t>26/07/2025 06:30</t>
  </si>
  <si>
    <t>26/07/2025 06:45</t>
  </si>
  <si>
    <t>26/07/2025 07:00</t>
  </si>
  <si>
    <t>26/07/2025 07:15</t>
  </si>
  <si>
    <t>26/07/2025 07:30</t>
  </si>
  <si>
    <t>26/07/2025 07:45</t>
  </si>
  <si>
    <t>26/07/2025 08:00</t>
  </si>
  <si>
    <t>26/07/2025 08:15</t>
  </si>
  <si>
    <t>26/07/2025 08:30</t>
  </si>
  <si>
    <t>26/07/2025 08:45</t>
  </si>
  <si>
    <t>26/07/2025 09:00</t>
  </si>
  <si>
    <t>26/07/2025 09:15</t>
  </si>
  <si>
    <t>26/07/2025 09:30</t>
  </si>
  <si>
    <t>26/07/2025 09:45</t>
  </si>
  <si>
    <t>26/07/2025 10:00</t>
  </si>
  <si>
    <t>26/07/2025 10:15</t>
  </si>
  <si>
    <t>26/07/2025 10:30</t>
  </si>
  <si>
    <t>26/07/2025 10:45</t>
  </si>
  <si>
    <t>26/07/2025 11:00</t>
  </si>
  <si>
    <t>26/07/2025 11:15</t>
  </si>
  <si>
    <t>26/07/2025 11:30</t>
  </si>
  <si>
    <t>26/07/2025 11:45</t>
  </si>
  <si>
    <t>26/07/2025 12:00</t>
  </si>
  <si>
    <t>26/07/2025 12:15</t>
  </si>
  <si>
    <t>26/07/2025 12:30</t>
  </si>
  <si>
    <t>26/07/2025 12:45</t>
  </si>
  <si>
    <t>26/07/2025 13:00</t>
  </si>
  <si>
    <t>26/07/2025 13:15</t>
  </si>
  <si>
    <t>26/07/2025 13:30</t>
  </si>
  <si>
    <t>26/07/2025 13:45</t>
  </si>
  <si>
    <t>26/07/2025 14:00</t>
  </si>
  <si>
    <t>26/07/2025 14:15</t>
  </si>
  <si>
    <t>26/07/2025 14:30</t>
  </si>
  <si>
    <t>26/07/2025 14:45</t>
  </si>
  <si>
    <t>26/07/2025 15:00</t>
  </si>
  <si>
    <t>26/07/2025 15:15</t>
  </si>
  <si>
    <t>26/07/2025 15:30</t>
  </si>
  <si>
    <t>26/07/2025 15:45</t>
  </si>
  <si>
    <t>26/07/2025 16:00</t>
  </si>
  <si>
    <t>26/07/2025 16:15</t>
  </si>
  <si>
    <t>26/07/2025 16:30</t>
  </si>
  <si>
    <t>26/07/2025 16:45</t>
  </si>
  <si>
    <t>26/07/2025 17:00</t>
  </si>
  <si>
    <t>26/07/2025 17:15</t>
  </si>
  <si>
    <t>26/07/2025 17:30</t>
  </si>
  <si>
    <t>26/07/2025 17:45</t>
  </si>
  <si>
    <t>26/07/2025 18:00</t>
  </si>
  <si>
    <t>26/07/2025 18:15</t>
  </si>
  <si>
    <t>26/07/2025 18:30</t>
  </si>
  <si>
    <t>26/07/2025 18:45</t>
  </si>
  <si>
    <t>26/07/2025 19:00</t>
  </si>
  <si>
    <t>26/07/2025 19:15</t>
  </si>
  <si>
    <t>26/07/2025 19:30</t>
  </si>
  <si>
    <t>26/07/2025 19:45</t>
  </si>
  <si>
    <t>26/07/2025 20:00</t>
  </si>
  <si>
    <t>26/07/2025 20:15</t>
  </si>
  <si>
    <t>26/07/2025 20:30</t>
  </si>
  <si>
    <t>26/07/2025 20:45</t>
  </si>
  <si>
    <t>26/07/2025 21:00</t>
  </si>
  <si>
    <t>26/07/2025 21:15</t>
  </si>
  <si>
    <t>26/07/2025 21:30</t>
  </si>
  <si>
    <t>26/07/2025 21:45</t>
  </si>
  <si>
    <t>26/07/2025 22:00</t>
  </si>
  <si>
    <t>26/07/2025 22:15</t>
  </si>
  <si>
    <t>26/07/2025 22:30</t>
  </si>
  <si>
    <t>26/07/2025 22:45</t>
  </si>
  <si>
    <t>26/07/2025 23:00</t>
  </si>
  <si>
    <t>26/07/2025 23:15</t>
  </si>
  <si>
    <t>26/07/2025 23:30</t>
  </si>
  <si>
    <t>26/07/2025 23:45</t>
  </si>
  <si>
    <t>26/07/2025 24:00</t>
  </si>
  <si>
    <t>27/07/2025 00:15</t>
  </si>
  <si>
    <t>27/07/2025 00:30</t>
  </si>
  <si>
    <t>27/07/2025 00:45</t>
  </si>
  <si>
    <t>27/07/2025 01:00</t>
  </si>
  <si>
    <t>27/07/2025 01:15</t>
  </si>
  <si>
    <t>27/07/2025 01:30</t>
  </si>
  <si>
    <t>27/07/2025 01:45</t>
  </si>
  <si>
    <t>27/07/2025 02:00</t>
  </si>
  <si>
    <t>27/07/2025 02:15</t>
  </si>
  <si>
    <t>27/07/2025 02:30</t>
  </si>
  <si>
    <t>27/07/2025 02:45</t>
  </si>
  <si>
    <t>27/07/2025 03:00</t>
  </si>
  <si>
    <t>27/07/2025 03:15</t>
  </si>
  <si>
    <t>27/07/2025 03:30</t>
  </si>
  <si>
    <t>27/07/2025 03:45</t>
  </si>
  <si>
    <t>27/07/2025 04:00</t>
  </si>
  <si>
    <t>27/07/2025 04:15</t>
  </si>
  <si>
    <t>27/07/2025 04:30</t>
  </si>
  <si>
    <t>27/07/2025 04:45</t>
  </si>
  <si>
    <t>27/07/2025 05:00</t>
  </si>
  <si>
    <t>27/07/2025 05:15</t>
  </si>
  <si>
    <t>27/07/2025 05:30</t>
  </si>
  <si>
    <t>27/07/2025 05:45</t>
  </si>
  <si>
    <t>27/07/2025 06:00</t>
  </si>
  <si>
    <t>27/07/2025 06:15</t>
  </si>
  <si>
    <t>27/07/2025 06:30</t>
  </si>
  <si>
    <t>27/07/2025 06:45</t>
  </si>
  <si>
    <t>27/07/2025 07:00</t>
  </si>
  <si>
    <t>27/07/2025 07:15</t>
  </si>
  <si>
    <t>27/07/2025 07:30</t>
  </si>
  <si>
    <t>27/07/2025 07:45</t>
  </si>
  <si>
    <t>27/07/2025 08:00</t>
  </si>
  <si>
    <t>27/07/2025 08:15</t>
  </si>
  <si>
    <t>27/07/2025 08:30</t>
  </si>
  <si>
    <t>27/07/2025 08:45</t>
  </si>
  <si>
    <t>27/07/2025 09:00</t>
  </si>
  <si>
    <t>27/07/2025 09:15</t>
  </si>
  <si>
    <t>27/07/2025 09:30</t>
  </si>
  <si>
    <t>27/07/2025 09:45</t>
  </si>
  <si>
    <t>27/07/2025 10:00</t>
  </si>
  <si>
    <t>27/07/2025 10:15</t>
  </si>
  <si>
    <t>27/07/2025 10:30</t>
  </si>
  <si>
    <t>27/07/2025 10:45</t>
  </si>
  <si>
    <t>27/07/2025 11:00</t>
  </si>
  <si>
    <t>27/07/2025 11:15</t>
  </si>
  <si>
    <t>27/07/2025 11:30</t>
  </si>
  <si>
    <t>27/07/2025 11:45</t>
  </si>
  <si>
    <t>27/07/2025 12:00</t>
  </si>
  <si>
    <t>27/07/2025 12:15</t>
  </si>
  <si>
    <t>27/07/2025 12:30</t>
  </si>
  <si>
    <t>27/07/2025 12:45</t>
  </si>
  <si>
    <t>27/07/2025 13:00</t>
  </si>
  <si>
    <t>27/07/2025 13:15</t>
  </si>
  <si>
    <t>27/07/2025 13:30</t>
  </si>
  <si>
    <t>27/07/2025 13:45</t>
  </si>
  <si>
    <t>27/07/2025 14:00</t>
  </si>
  <si>
    <t>27/07/2025 14:15</t>
  </si>
  <si>
    <t>27/07/2025 14:30</t>
  </si>
  <si>
    <t>27/07/2025 14:45</t>
  </si>
  <si>
    <t>27/07/2025 15:00</t>
  </si>
  <si>
    <t>27/07/2025 15:15</t>
  </si>
  <si>
    <t>27/07/2025 15:30</t>
  </si>
  <si>
    <t>27/07/2025 15:45</t>
  </si>
  <si>
    <t>27/07/2025 16:00</t>
  </si>
  <si>
    <t>27/07/2025 16:15</t>
  </si>
  <si>
    <t>27/07/2025 16:30</t>
  </si>
  <si>
    <t>27/07/2025 16:45</t>
  </si>
  <si>
    <t>27/07/2025 17:00</t>
  </si>
  <si>
    <t>27/07/2025 17:15</t>
  </si>
  <si>
    <t>27/07/2025 17:30</t>
  </si>
  <si>
    <t>27/07/2025 17:45</t>
  </si>
  <si>
    <t>27/07/2025 18:00</t>
  </si>
  <si>
    <t>27/07/2025 18:15</t>
  </si>
  <si>
    <t>27/07/2025 18:30</t>
  </si>
  <si>
    <t>27/07/2025 18:45</t>
  </si>
  <si>
    <t>27/07/2025 19:00</t>
  </si>
  <si>
    <t>27/07/2025 19:15</t>
  </si>
  <si>
    <t>27/07/2025 19:30</t>
  </si>
  <si>
    <t>27/07/2025 19:45</t>
  </si>
  <si>
    <t>27/07/2025 20:00</t>
  </si>
  <si>
    <t>27/07/2025 20:15</t>
  </si>
  <si>
    <t>27/07/2025 20:30</t>
  </si>
  <si>
    <t>27/07/2025 20:45</t>
  </si>
  <si>
    <t>27/07/2025 21:00</t>
  </si>
  <si>
    <t>27/07/2025 21:15</t>
  </si>
  <si>
    <t>27/07/2025 21:30</t>
  </si>
  <si>
    <t>27/07/2025 21:45</t>
  </si>
  <si>
    <t>27/07/2025 22:00</t>
  </si>
  <si>
    <t>27/07/2025 22:15</t>
  </si>
  <si>
    <t>27/07/2025 22:30</t>
  </si>
  <si>
    <t>27/07/2025 22:45</t>
  </si>
  <si>
    <t>27/07/2025 23:00</t>
  </si>
  <si>
    <t>27/07/2025 23:15</t>
  </si>
  <si>
    <t>27/07/2025 23:30</t>
  </si>
  <si>
    <t>27/07/2025 23:45</t>
  </si>
  <si>
    <t>27/07/2025 24:00</t>
  </si>
  <si>
    <t>28/07/2025 00:15</t>
  </si>
  <si>
    <t>28/07/2025 00:30</t>
  </si>
  <si>
    <t>28/07/2025 00:45</t>
  </si>
  <si>
    <t>28/07/2025 01:00</t>
  </si>
  <si>
    <t>28/07/2025 01:15</t>
  </si>
  <si>
    <t>28/07/2025 01:30</t>
  </si>
  <si>
    <t>28/07/2025 01:45</t>
  </si>
  <si>
    <t>28/07/2025 02:00</t>
  </si>
  <si>
    <t>28/07/2025 02:15</t>
  </si>
  <si>
    <t>28/07/2025 02:30</t>
  </si>
  <si>
    <t>28/07/2025 02:45</t>
  </si>
  <si>
    <t>28/07/2025 03:00</t>
  </si>
  <si>
    <t>28/07/2025 03:15</t>
  </si>
  <si>
    <t>28/07/2025 03:30</t>
  </si>
  <si>
    <t>28/07/2025 03:45</t>
  </si>
  <si>
    <t>28/07/2025 04:00</t>
  </si>
  <si>
    <t>28/07/2025 04:15</t>
  </si>
  <si>
    <t>28/07/2025 04:30</t>
  </si>
  <si>
    <t>28/07/2025 04:45</t>
  </si>
  <si>
    <t>28/07/2025 05:00</t>
  </si>
  <si>
    <t>28/07/2025 05:15</t>
  </si>
  <si>
    <t>28/07/2025 05:30</t>
  </si>
  <si>
    <t>28/07/2025 05:45</t>
  </si>
  <si>
    <t>28/07/2025 06:00</t>
  </si>
  <si>
    <t>28/07/2025 06:15</t>
  </si>
  <si>
    <t>28/07/2025 06:30</t>
  </si>
  <si>
    <t>28/07/2025 06:45</t>
  </si>
  <si>
    <t>28/07/2025 07:00</t>
  </si>
  <si>
    <t>28/07/2025 07:15</t>
  </si>
  <si>
    <t>28/07/2025 07:30</t>
  </si>
  <si>
    <t>28/07/2025 07:45</t>
  </si>
  <si>
    <t>28/07/2025 08:00</t>
  </si>
  <si>
    <t>28/07/2025 08:15</t>
  </si>
  <si>
    <t>28/07/2025 08:30</t>
  </si>
  <si>
    <t>28/07/2025 08:45</t>
  </si>
  <si>
    <t>28/07/2025 09:00</t>
  </si>
  <si>
    <t>28/07/2025 09:15</t>
  </si>
  <si>
    <t>28/07/2025 09:30</t>
  </si>
  <si>
    <t>28/07/2025 09:45</t>
  </si>
  <si>
    <t>28/07/2025 10:00</t>
  </si>
  <si>
    <t>28/07/2025 10:15</t>
  </si>
  <si>
    <t>28/07/2025 10:30</t>
  </si>
  <si>
    <t>28/07/2025 10:45</t>
  </si>
  <si>
    <t>28/07/2025 11:00</t>
  </si>
  <si>
    <t>28/07/2025 11:15</t>
  </si>
  <si>
    <t>28/07/2025 11:30</t>
  </si>
  <si>
    <t>28/07/2025 11:45</t>
  </si>
  <si>
    <t>28/07/2025 12:00</t>
  </si>
  <si>
    <t>28/07/2025 12:15</t>
  </si>
  <si>
    <t>28/07/2025 12:30</t>
  </si>
  <si>
    <t>28/07/2025 12:45</t>
  </si>
  <si>
    <t>28/07/2025 13:00</t>
  </si>
  <si>
    <t>28/07/2025 13:15</t>
  </si>
  <si>
    <t>28/07/2025 13:30</t>
  </si>
  <si>
    <t>28/07/2025 13:45</t>
  </si>
  <si>
    <t>28/07/2025 14:00</t>
  </si>
  <si>
    <t>28/07/2025 14:15</t>
  </si>
  <si>
    <t>28/07/2025 14:30</t>
  </si>
  <si>
    <t>28/07/2025 14:45</t>
  </si>
  <si>
    <t>28/07/2025 15:00</t>
  </si>
  <si>
    <t>28/07/2025 15:15</t>
  </si>
  <si>
    <t>28/07/2025 15:30</t>
  </si>
  <si>
    <t>28/07/2025 15:45</t>
  </si>
  <si>
    <t>28/07/2025 16:00</t>
  </si>
  <si>
    <t>28/07/2025 16:15</t>
  </si>
  <si>
    <t>28/07/2025 16:30</t>
  </si>
  <si>
    <t>28/07/2025 16:45</t>
  </si>
  <si>
    <t>28/07/2025 17:00</t>
  </si>
  <si>
    <t>28/07/2025 17:15</t>
  </si>
  <si>
    <t>28/07/2025 17:30</t>
  </si>
  <si>
    <t>28/07/2025 17:45</t>
  </si>
  <si>
    <t>28/07/2025 18:00</t>
  </si>
  <si>
    <t>28/07/2025 18:15</t>
  </si>
  <si>
    <t>28/07/2025 18:30</t>
  </si>
  <si>
    <t>28/07/2025 18:45</t>
  </si>
  <si>
    <t>28/07/2025 19:00</t>
  </si>
  <si>
    <t>28/07/2025 19:15</t>
  </si>
  <si>
    <t>28/07/2025 19:30</t>
  </si>
  <si>
    <t>28/07/2025 19:45</t>
  </si>
  <si>
    <t>28/07/2025 20:00</t>
  </si>
  <si>
    <t>28/07/2025 20:15</t>
  </si>
  <si>
    <t>28/07/2025 20:30</t>
  </si>
  <si>
    <t>28/07/2025 20:45</t>
  </si>
  <si>
    <t>28/07/2025 21:00</t>
  </si>
  <si>
    <t>28/07/2025 21:15</t>
  </si>
  <si>
    <t>28/07/2025 21:30</t>
  </si>
  <si>
    <t>28/07/2025 21:45</t>
  </si>
  <si>
    <t>28/07/2025 22:00</t>
  </si>
  <si>
    <t>28/07/2025 22:15</t>
  </si>
  <si>
    <t>28/07/2025 22:30</t>
  </si>
  <si>
    <t>28/07/2025 22:45</t>
  </si>
  <si>
    <t>28/07/2025 23:00</t>
  </si>
  <si>
    <t>28/07/2025 23:15</t>
  </si>
  <si>
    <t>28/07/2025 23:30</t>
  </si>
  <si>
    <t>28/07/2025 23:45</t>
  </si>
  <si>
    <t>28/07/2025 24:00</t>
  </si>
  <si>
    <t>29/07/2025 00:15</t>
  </si>
  <si>
    <t>29/07/2025 00:30</t>
  </si>
  <si>
    <t>29/07/2025 00:45</t>
  </si>
  <si>
    <t>29/07/2025 01:00</t>
  </si>
  <si>
    <t>29/07/2025 01:15</t>
  </si>
  <si>
    <t>29/07/2025 01:30</t>
  </si>
  <si>
    <t>29/07/2025 01:45</t>
  </si>
  <si>
    <t>29/07/2025 02:00</t>
  </si>
  <si>
    <t>29/07/2025 02:15</t>
  </si>
  <si>
    <t>29/07/2025 02:30</t>
  </si>
  <si>
    <t>29/07/2025 02:45</t>
  </si>
  <si>
    <t>29/07/2025 03:00</t>
  </si>
  <si>
    <t>29/07/2025 03:15</t>
  </si>
  <si>
    <t>29/07/2025 03:30</t>
  </si>
  <si>
    <t>29/07/2025 03:45</t>
  </si>
  <si>
    <t>29/07/2025 04:00</t>
  </si>
  <si>
    <t>29/07/2025 04:15</t>
  </si>
  <si>
    <t>29/07/2025 04:30</t>
  </si>
  <si>
    <t>29/07/2025 04:45</t>
  </si>
  <si>
    <t>29/07/2025 05:00</t>
  </si>
  <si>
    <t>29/07/2025 05:15</t>
  </si>
  <si>
    <t>29/07/2025 05:30</t>
  </si>
  <si>
    <t>29/07/2025 05:45</t>
  </si>
  <si>
    <t>29/07/2025 06:00</t>
  </si>
  <si>
    <t>29/07/2025 06:15</t>
  </si>
  <si>
    <t>29/07/2025 06:30</t>
  </si>
  <si>
    <t>29/07/2025 06:45</t>
  </si>
  <si>
    <t>29/07/2025 07:00</t>
  </si>
  <si>
    <t>29/07/2025 07:15</t>
  </si>
  <si>
    <t>29/07/2025 07:30</t>
  </si>
  <si>
    <t>29/07/2025 07:45</t>
  </si>
  <si>
    <t>29/07/2025 08:00</t>
  </si>
  <si>
    <t>29/07/2025 08:15</t>
  </si>
  <si>
    <t>29/07/2025 08:30</t>
  </si>
  <si>
    <t>29/07/2025 08:45</t>
  </si>
  <si>
    <t>29/07/2025 09:00</t>
  </si>
  <si>
    <t>29/07/2025 09:15</t>
  </si>
  <si>
    <t>29/07/2025 09:30</t>
  </si>
  <si>
    <t>29/07/2025 09:45</t>
  </si>
  <si>
    <t>29/07/2025 10:00</t>
  </si>
  <si>
    <t>29/07/2025 10:15</t>
  </si>
  <si>
    <t>29/07/2025 10:30</t>
  </si>
  <si>
    <t>29/07/2025 10:45</t>
  </si>
  <si>
    <t>29/07/2025 11:00</t>
  </si>
  <si>
    <t>29/07/2025 11:15</t>
  </si>
  <si>
    <t>29/07/2025 11:30</t>
  </si>
  <si>
    <t>29/07/2025 11:45</t>
  </si>
  <si>
    <t>29/07/2025 12:00</t>
  </si>
  <si>
    <t>29/07/2025 12:15</t>
  </si>
  <si>
    <t>29/07/2025 12:30</t>
  </si>
  <si>
    <t>29/07/2025 12:45</t>
  </si>
  <si>
    <t>29/07/2025 13:00</t>
  </si>
  <si>
    <t>29/07/2025 13:15</t>
  </si>
  <si>
    <t>29/07/2025 13:30</t>
  </si>
  <si>
    <t>29/07/2025 13:45</t>
  </si>
  <si>
    <t>29/07/2025 14:00</t>
  </si>
  <si>
    <t>29/07/2025 14:15</t>
  </si>
  <si>
    <t>29/07/2025 14:30</t>
  </si>
  <si>
    <t>29/07/2025 14:45</t>
  </si>
  <si>
    <t>29/07/2025 15:00</t>
  </si>
  <si>
    <t>29/07/2025 15:15</t>
  </si>
  <si>
    <t>29/07/2025 15:30</t>
  </si>
  <si>
    <t>29/07/2025 15:45</t>
  </si>
  <si>
    <t>29/07/2025 16:00</t>
  </si>
  <si>
    <t>29/07/2025 16:15</t>
  </si>
  <si>
    <t>29/07/2025 16:30</t>
  </si>
  <si>
    <t>29/07/2025 16:45</t>
  </si>
  <si>
    <t>29/07/2025 17:00</t>
  </si>
  <si>
    <t>29/07/2025 17:15</t>
  </si>
  <si>
    <t>29/07/2025 17:30</t>
  </si>
  <si>
    <t>29/07/2025 17:45</t>
  </si>
  <si>
    <t>29/07/2025 18:00</t>
  </si>
  <si>
    <t>29/07/2025 18:15</t>
  </si>
  <si>
    <t>29/07/2025 18:30</t>
  </si>
  <si>
    <t>29/07/2025 18:45</t>
  </si>
  <si>
    <t>29/07/2025 19:00</t>
  </si>
  <si>
    <t>29/07/2025 19:15</t>
  </si>
  <si>
    <t>29/07/2025 19:30</t>
  </si>
  <si>
    <t>29/07/2025 19:45</t>
  </si>
  <si>
    <t>29/07/2025 20:00</t>
  </si>
  <si>
    <t>29/07/2025 20:15</t>
  </si>
  <si>
    <t>29/07/2025 20:30</t>
  </si>
  <si>
    <t>29/07/2025 20:45</t>
  </si>
  <si>
    <t>29/07/2025 21:00</t>
  </si>
  <si>
    <t>29/07/2025 21:15</t>
  </si>
  <si>
    <t>29/07/2025 21:30</t>
  </si>
  <si>
    <t>29/07/2025 21:45</t>
  </si>
  <si>
    <t>29/07/2025 22:00</t>
  </si>
  <si>
    <t>29/07/2025 22:15</t>
  </si>
  <si>
    <t>29/07/2025 22:30</t>
  </si>
  <si>
    <t>29/07/2025 22:45</t>
  </si>
  <si>
    <t>29/07/2025 23:00</t>
  </si>
  <si>
    <t>29/07/2025 23:15</t>
  </si>
  <si>
    <t>29/07/2025 23:30</t>
  </si>
  <si>
    <t>29/07/2025 23:45</t>
  </si>
  <si>
    <t>29/07/2025 24:00</t>
  </si>
  <si>
    <t>30/07/2025 00:15</t>
  </si>
  <si>
    <t>30/07/2025 00:30</t>
  </si>
  <si>
    <t>30/07/2025 00:45</t>
  </si>
  <si>
    <t>30/07/2025 01:00</t>
  </si>
  <si>
    <t>30/07/2025 01:15</t>
  </si>
  <si>
    <t>30/07/2025 01:30</t>
  </si>
  <si>
    <t>30/07/2025 01:45</t>
  </si>
  <si>
    <t>30/07/2025 02:00</t>
  </si>
  <si>
    <t>30/07/2025 02:15</t>
  </si>
  <si>
    <t>30/07/2025 02:30</t>
  </si>
  <si>
    <t>30/07/2025 02:45</t>
  </si>
  <si>
    <t>30/07/2025 03:00</t>
  </si>
  <si>
    <t>30/07/2025 03:15</t>
  </si>
  <si>
    <t>30/07/2025 03:30</t>
  </si>
  <si>
    <t>30/07/2025 03:45</t>
  </si>
  <si>
    <t>30/07/2025 04:00</t>
  </si>
  <si>
    <t>30/07/2025 04:15</t>
  </si>
  <si>
    <t>30/07/2025 04:30</t>
  </si>
  <si>
    <t>30/07/2025 04:45</t>
  </si>
  <si>
    <t>30/07/2025 05:00</t>
  </si>
  <si>
    <t>30/07/2025 05:15</t>
  </si>
  <si>
    <t>30/07/2025 05:30</t>
  </si>
  <si>
    <t>30/07/2025 05:45</t>
  </si>
  <si>
    <t>30/07/2025 06:00</t>
  </si>
  <si>
    <t>30/07/2025 06:15</t>
  </si>
  <si>
    <t>30/07/2025 06:30</t>
  </si>
  <si>
    <t>30/07/2025 06:45</t>
  </si>
  <si>
    <t>30/07/2025 07:00</t>
  </si>
  <si>
    <t>30/07/2025 07:15</t>
  </si>
  <si>
    <t>30/07/2025 07:30</t>
  </si>
  <si>
    <t>30/07/2025 07:45</t>
  </si>
  <si>
    <t>30/07/2025 08:00</t>
  </si>
  <si>
    <t>30/07/2025 08:15</t>
  </si>
  <si>
    <t>30/07/2025 08:30</t>
  </si>
  <si>
    <t>30/07/2025 08:45</t>
  </si>
  <si>
    <t>30/07/2025 09:00</t>
  </si>
  <si>
    <t>30/07/2025 09:15</t>
  </si>
  <si>
    <t>30/07/2025 09:30</t>
  </si>
  <si>
    <t>30/07/2025 09:45</t>
  </si>
  <si>
    <t>30/07/2025 10:00</t>
  </si>
  <si>
    <t>30/07/2025 10:15</t>
  </si>
  <si>
    <t>30/07/2025 10:30</t>
  </si>
  <si>
    <t>30/07/2025 10:45</t>
  </si>
  <si>
    <t>30/07/2025 11:00</t>
  </si>
  <si>
    <t>30/07/2025 11:15</t>
  </si>
  <si>
    <t>30/07/2025 11:30</t>
  </si>
  <si>
    <t>30/07/2025 11:45</t>
  </si>
  <si>
    <t>30/07/2025 12:00</t>
  </si>
  <si>
    <t>30/07/2025 12:15</t>
  </si>
  <si>
    <t>30/07/2025 12:30</t>
  </si>
  <si>
    <t>30/07/2025 12:45</t>
  </si>
  <si>
    <t>30/07/2025 13:00</t>
  </si>
  <si>
    <t>30/07/2025 13:15</t>
  </si>
  <si>
    <t>30/07/2025 13:30</t>
  </si>
  <si>
    <t>30/07/2025 13:45</t>
  </si>
  <si>
    <t>30/07/2025 14:00</t>
  </si>
  <si>
    <t>30/07/2025 14:15</t>
  </si>
  <si>
    <t>30/07/2025 14:30</t>
  </si>
  <si>
    <t>30/07/2025 14:45</t>
  </si>
  <si>
    <t>30/07/2025 15:00</t>
  </si>
  <si>
    <t>30/07/2025 15:15</t>
  </si>
  <si>
    <t>30/07/2025 15:30</t>
  </si>
  <si>
    <t>30/07/2025 15:45</t>
  </si>
  <si>
    <t>30/07/2025 16:00</t>
  </si>
  <si>
    <t>30/07/2025 16:15</t>
  </si>
  <si>
    <t>30/07/2025 16:30</t>
  </si>
  <si>
    <t>30/07/2025 16:45</t>
  </si>
  <si>
    <t>30/07/2025 17:00</t>
  </si>
  <si>
    <t>30/07/2025 17:15</t>
  </si>
  <si>
    <t>30/07/2025 17:30</t>
  </si>
  <si>
    <t>30/07/2025 17:45</t>
  </si>
  <si>
    <t>30/07/2025 18:00</t>
  </si>
  <si>
    <t>30/07/2025 18:15</t>
  </si>
  <si>
    <t>30/07/2025 18:30</t>
  </si>
  <si>
    <t>30/07/2025 18:45</t>
  </si>
  <si>
    <t>30/07/2025 19:00</t>
  </si>
  <si>
    <t>30/07/2025 19:15</t>
  </si>
  <si>
    <t>30/07/2025 19:30</t>
  </si>
  <si>
    <t>30/07/2025 19:45</t>
  </si>
  <si>
    <t>30/07/2025 20:00</t>
  </si>
  <si>
    <t>30/07/2025 20:15</t>
  </si>
  <si>
    <t>30/07/2025 20:30</t>
  </si>
  <si>
    <t>30/07/2025 20:45</t>
  </si>
  <si>
    <t>30/07/2025 21:00</t>
  </si>
  <si>
    <t>30/07/2025 21:15</t>
  </si>
  <si>
    <t>30/07/2025 21:30</t>
  </si>
  <si>
    <t>30/07/2025 21:45</t>
  </si>
  <si>
    <t>30/07/2025 22:00</t>
  </si>
  <si>
    <t>30/07/2025 22:15</t>
  </si>
  <si>
    <t>30/07/2025 22:30</t>
  </si>
  <si>
    <t>30/07/2025 22:45</t>
  </si>
  <si>
    <t>30/07/2025 23:00</t>
  </si>
  <si>
    <t>30/07/2025 23:15</t>
  </si>
  <si>
    <t>30/07/2025 23:30</t>
  </si>
  <si>
    <t>30/07/2025 23:45</t>
  </si>
  <si>
    <t>30/07/2025 24:00</t>
  </si>
  <si>
    <t>31/07/2025 00:15</t>
  </si>
  <si>
    <t>31/07/2025 00:30</t>
  </si>
  <si>
    <t>31/07/2025 00:45</t>
  </si>
  <si>
    <t>31/07/2025 01:00</t>
  </si>
  <si>
    <t>31/07/2025 01:15</t>
  </si>
  <si>
    <t>31/07/2025 01:30</t>
  </si>
  <si>
    <t>31/07/2025 01:45</t>
  </si>
  <si>
    <t>31/07/2025 02:00</t>
  </si>
  <si>
    <t>31/07/2025 02:15</t>
  </si>
  <si>
    <t>31/07/2025 02:30</t>
  </si>
  <si>
    <t>31/07/2025 02:45</t>
  </si>
  <si>
    <t>31/07/2025 03:00</t>
  </si>
  <si>
    <t>31/07/2025 03:15</t>
  </si>
  <si>
    <t>31/07/2025 03:30</t>
  </si>
  <si>
    <t>31/07/2025 03:45</t>
  </si>
  <si>
    <t>31/07/2025 04:00</t>
  </si>
  <si>
    <t>31/07/2025 04:15</t>
  </si>
  <si>
    <t>31/07/2025 04:30</t>
  </si>
  <si>
    <t>31/07/2025 04:45</t>
  </si>
  <si>
    <t>31/07/2025 05:00</t>
  </si>
  <si>
    <t>31/07/2025 05:15</t>
  </si>
  <si>
    <t>31/07/2025 05:30</t>
  </si>
  <si>
    <t>31/07/2025 05:45</t>
  </si>
  <si>
    <t>31/07/2025 06:00</t>
  </si>
  <si>
    <t>31/07/2025 06:15</t>
  </si>
  <si>
    <t>31/07/2025 06:30</t>
  </si>
  <si>
    <t>31/07/2025 06:45</t>
  </si>
  <si>
    <t>31/07/2025 07:00</t>
  </si>
  <si>
    <t>31/07/2025 07:15</t>
  </si>
  <si>
    <t>31/07/2025 07:30</t>
  </si>
  <si>
    <t>31/07/2025 07:45</t>
  </si>
  <si>
    <t>31/07/2025 08:00</t>
  </si>
  <si>
    <t>31/07/2025 08:15</t>
  </si>
  <si>
    <t>31/07/2025 08:30</t>
  </si>
  <si>
    <t>31/07/2025 08:45</t>
  </si>
  <si>
    <t>31/07/2025 09:00</t>
  </si>
  <si>
    <t>31/07/2025 09:15</t>
  </si>
  <si>
    <t>31/07/2025 09:30</t>
  </si>
  <si>
    <t>31/07/2025 09:45</t>
  </si>
  <si>
    <t>31/07/2025 10:00</t>
  </si>
  <si>
    <t>31/07/2025 10:15</t>
  </si>
  <si>
    <t>31/07/2025 10:30</t>
  </si>
  <si>
    <t>31/07/2025 10:45</t>
  </si>
  <si>
    <t>31/07/2025 11:00</t>
  </si>
  <si>
    <t>31/07/2025 11:15</t>
  </si>
  <si>
    <t>31/07/2025 11:30</t>
  </si>
  <si>
    <t>31/07/2025 11:45</t>
  </si>
  <si>
    <t>31/07/2025 12:00</t>
  </si>
  <si>
    <t>31/07/2025 12:15</t>
  </si>
  <si>
    <t>31/07/2025 12:30</t>
  </si>
  <si>
    <t>31/07/2025 12:45</t>
  </si>
  <si>
    <t>31/07/2025 13:00</t>
  </si>
  <si>
    <t>31/07/2025 13:15</t>
  </si>
  <si>
    <t>31/07/2025 13:30</t>
  </si>
  <si>
    <t>31/07/2025 13:45</t>
  </si>
  <si>
    <t>31/07/2025 14:00</t>
  </si>
  <si>
    <t>31/07/2025 14:15</t>
  </si>
  <si>
    <t>31/07/2025 14:30</t>
  </si>
  <si>
    <t>31/07/2025 14:45</t>
  </si>
  <si>
    <t>31/07/2025 15:00</t>
  </si>
  <si>
    <t>31/07/2025 15:15</t>
  </si>
  <si>
    <t>31/07/2025 15:30</t>
  </si>
  <si>
    <t>31/07/2025 15:45</t>
  </si>
  <si>
    <t>31/07/2025 16:00</t>
  </si>
  <si>
    <t>31/07/2025 16:15</t>
  </si>
  <si>
    <t>31/07/2025 16:30</t>
  </si>
  <si>
    <t>31/07/2025 16:45</t>
  </si>
  <si>
    <t>31/07/2025 17:00</t>
  </si>
  <si>
    <t>31/07/2025 17:15</t>
  </si>
  <si>
    <t>31/07/2025 17:30</t>
  </si>
  <si>
    <t>31/07/2025 17:45</t>
  </si>
  <si>
    <t>31/07/2025 18:00</t>
  </si>
  <si>
    <t>31/07/2025 18:15</t>
  </si>
  <si>
    <t>31/07/2025 18:30</t>
  </si>
  <si>
    <t>31/07/2025 18:45</t>
  </si>
  <si>
    <t>31/07/2025 19:00</t>
  </si>
  <si>
    <t>31/07/2025 19:15</t>
  </si>
  <si>
    <t>31/07/2025 19:30</t>
  </si>
  <si>
    <t>31/07/2025 19:45</t>
  </si>
  <si>
    <t>31/07/2025 20:00</t>
  </si>
  <si>
    <t>31/07/2025 20:15</t>
  </si>
  <si>
    <t>31/07/2025 20:30</t>
  </si>
  <si>
    <t>31/07/2025 20:45</t>
  </si>
  <si>
    <t>31/07/2025 21:00</t>
  </si>
  <si>
    <t>31/07/2025 21:15</t>
  </si>
  <si>
    <t>31/07/2025 21:30</t>
  </si>
  <si>
    <t>31/07/2025 21:45</t>
  </si>
  <si>
    <t>31/07/2025 22:00</t>
  </si>
  <si>
    <t>31/07/2025 22:15</t>
  </si>
  <si>
    <t>31/07/2025 22:30</t>
  </si>
  <si>
    <t>31/07/2025 22:45</t>
  </si>
  <si>
    <t>31/07/2025 23:00</t>
  </si>
  <si>
    <t>31/07/2025 23:15</t>
  </si>
  <si>
    <t>31/07/2025 23:30</t>
  </si>
  <si>
    <t>31/07/2025 23:45</t>
  </si>
  <si>
    <t>31/07/2025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</si>
</sst>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240</v>
      </c>
      <c r="B9" s="100">
        <v>5.03</v>
      </c>
      <c r="C9" s="100">
        <v>6.36</v>
      </c>
      <c r="D9" s="100">
        <v>1.87</v>
      </c>
      <c r="E9" s="100">
        <v>4.8600000000000003</v>
      </c>
      <c r="F9" s="100">
        <v>1.36</v>
      </c>
      <c r="G9" s="100">
        <v>12.81</v>
      </c>
      <c r="H9" s="100">
        <v>5.54</v>
      </c>
      <c r="I9" s="100">
        <v>5.0599999999999996</v>
      </c>
      <c r="J9" s="100">
        <v>0.48</v>
      </c>
      <c r="K9" s="100">
        <v>263.07</v>
      </c>
      <c r="L9" s="100">
        <v>24.99</v>
      </c>
      <c r="M9" s="100">
        <v>93.33</v>
      </c>
      <c r="N9" s="100">
        <v>2.2000000000000002</v>
      </c>
      <c r="O9" s="100">
        <v>0</v>
      </c>
      <c r="P9" s="100">
        <v>0.36</v>
      </c>
      <c r="Q9" s="147" t="s">
        <v>14</v>
      </c>
      <c r="R9" s="6"/>
      <c r="S9" s="6"/>
      <c r="T9" s="156"/>
      <c r="U9" s="6"/>
    </row>
    <row r="10" spans="1:21" customFormat="1">
      <c r="A10" s="163" t="s">
        <v>241</v>
      </c>
      <c r="B10" s="100">
        <v>4.99</v>
      </c>
      <c r="C10" s="100">
        <v>6.44</v>
      </c>
      <c r="D10" s="100">
        <v>2.08</v>
      </c>
      <c r="E10" s="100">
        <v>4.47</v>
      </c>
      <c r="F10" s="100">
        <v>1.36</v>
      </c>
      <c r="G10" s="100">
        <v>12.81</v>
      </c>
      <c r="H10" s="100">
        <v>5.54</v>
      </c>
      <c r="I10" s="100">
        <v>5.2</v>
      </c>
      <c r="J10" s="100">
        <v>0.56999999999999995</v>
      </c>
      <c r="K10" s="100">
        <v>254.08</v>
      </c>
      <c r="L10" s="100">
        <v>24.99</v>
      </c>
      <c r="M10" s="100">
        <v>93.42</v>
      </c>
      <c r="N10" s="100">
        <v>2.2000000000000002</v>
      </c>
      <c r="O10" s="100">
        <v>0</v>
      </c>
      <c r="P10" s="100">
        <v>0.34</v>
      </c>
      <c r="Q10" s="147" t="s">
        <v>14</v>
      </c>
      <c r="R10" s="6"/>
      <c r="S10" s="6"/>
      <c r="T10" s="156"/>
      <c r="U10" s="6"/>
    </row>
    <row r="11" spans="1:21" customFormat="1">
      <c r="A11" s="163" t="s">
        <v>242</v>
      </c>
      <c r="B11" s="100">
        <v>4.8899999999999997</v>
      </c>
      <c r="C11" s="100">
        <v>6.61</v>
      </c>
      <c r="D11" s="100">
        <v>2.57</v>
      </c>
      <c r="E11" s="100">
        <v>4.16</v>
      </c>
      <c r="F11" s="100">
        <v>1.36</v>
      </c>
      <c r="G11" s="100">
        <v>11.92</v>
      </c>
      <c r="H11" s="100">
        <v>6.69</v>
      </c>
      <c r="I11" s="100">
        <v>5.13</v>
      </c>
      <c r="J11" s="100">
        <v>0.57999999999999996</v>
      </c>
      <c r="K11" s="100">
        <v>258.05</v>
      </c>
      <c r="L11" s="100">
        <v>25</v>
      </c>
      <c r="M11" s="100">
        <v>93.52</v>
      </c>
      <c r="N11" s="100">
        <v>2.1</v>
      </c>
      <c r="O11" s="100">
        <v>0</v>
      </c>
      <c r="P11" s="100">
        <v>0.31</v>
      </c>
      <c r="Q11" s="147" t="s">
        <v>14</v>
      </c>
      <c r="R11" s="6"/>
      <c r="S11" s="6"/>
      <c r="T11" s="156"/>
      <c r="U11" s="6"/>
    </row>
    <row r="12" spans="1:21" customFormat="1">
      <c r="A12" s="163" t="s">
        <v>243</v>
      </c>
      <c r="B12" s="100">
        <v>4.78</v>
      </c>
      <c r="C12" s="100">
        <v>6.6</v>
      </c>
      <c r="D12" s="100">
        <v>2.7</v>
      </c>
      <c r="E12" s="100">
        <v>4.22</v>
      </c>
      <c r="F12" s="100">
        <v>1.36</v>
      </c>
      <c r="G12" s="100">
        <v>11.24</v>
      </c>
      <c r="H12" s="100">
        <v>7.06</v>
      </c>
      <c r="I12" s="100">
        <v>4.99</v>
      </c>
      <c r="J12" s="100">
        <v>0.56999999999999995</v>
      </c>
      <c r="K12" s="100">
        <v>258.49</v>
      </c>
      <c r="L12" s="100">
        <v>25.03</v>
      </c>
      <c r="M12" s="100">
        <v>93.37</v>
      </c>
      <c r="N12" s="100">
        <v>2.2000000000000002</v>
      </c>
      <c r="O12" s="100">
        <v>0</v>
      </c>
      <c r="P12" s="100">
        <v>0.32</v>
      </c>
      <c r="Q12" s="147" t="s">
        <v>14</v>
      </c>
      <c r="R12" s="6"/>
      <c r="S12" s="6"/>
      <c r="T12" s="156"/>
      <c r="U12" s="6"/>
    </row>
    <row r="13" spans="1:21" customFormat="1">
      <c r="A13" s="163" t="s">
        <v>244</v>
      </c>
      <c r="B13" s="100">
        <v>4.7</v>
      </c>
      <c r="C13" s="100">
        <v>6.62</v>
      </c>
      <c r="D13" s="100">
        <v>2.88</v>
      </c>
      <c r="E13" s="100">
        <v>4.46</v>
      </c>
      <c r="F13" s="100">
        <v>1.36</v>
      </c>
      <c r="G13" s="100">
        <v>11.24</v>
      </c>
      <c r="H13" s="100">
        <v>7.06</v>
      </c>
      <c r="I13" s="100">
        <v>4.8499999999999996</v>
      </c>
      <c r="J13" s="100">
        <v>0.61</v>
      </c>
      <c r="K13" s="100">
        <v>257.72000000000003</v>
      </c>
      <c r="L13" s="100">
        <v>25.01</v>
      </c>
      <c r="M13" s="100">
        <v>93.54</v>
      </c>
      <c r="N13" s="100">
        <v>2.2000000000000002</v>
      </c>
      <c r="O13" s="100">
        <v>0</v>
      </c>
      <c r="P13" s="100">
        <v>0.32</v>
      </c>
      <c r="Q13" s="147" t="s">
        <v>14</v>
      </c>
      <c r="R13" s="6"/>
      <c r="S13" s="6"/>
      <c r="T13" s="156"/>
      <c r="U13" s="6"/>
    </row>
    <row r="14" spans="1:21" customFormat="1">
      <c r="A14" s="163" t="s">
        <v>245</v>
      </c>
      <c r="B14" s="100">
        <v>4.6399999999999997</v>
      </c>
      <c r="C14" s="100">
        <v>6.66</v>
      </c>
      <c r="D14" s="100">
        <v>3.05</v>
      </c>
      <c r="E14" s="100">
        <v>4.43</v>
      </c>
      <c r="F14" s="100">
        <v>1.36</v>
      </c>
      <c r="G14" s="100">
        <v>11.24</v>
      </c>
      <c r="H14" s="100">
        <v>7.06</v>
      </c>
      <c r="I14" s="100">
        <v>4.97</v>
      </c>
      <c r="J14" s="100">
        <v>0.61</v>
      </c>
      <c r="K14" s="100">
        <v>261.8</v>
      </c>
      <c r="L14" s="100">
        <v>25.1</v>
      </c>
      <c r="M14" s="100">
        <v>93.1</v>
      </c>
      <c r="N14" s="100">
        <v>2.1</v>
      </c>
      <c r="O14" s="100">
        <v>0</v>
      </c>
      <c r="P14" s="100">
        <v>0.34</v>
      </c>
      <c r="Q14" s="147" t="s">
        <v>14</v>
      </c>
      <c r="R14" s="6"/>
      <c r="S14" s="6"/>
      <c r="T14" s="156"/>
      <c r="U14" s="6"/>
    </row>
    <row r="15" spans="1:21" customFormat="1">
      <c r="A15" s="163" t="s">
        <v>246</v>
      </c>
      <c r="B15" s="100">
        <v>4.62</v>
      </c>
      <c r="C15" s="100">
        <v>6.72</v>
      </c>
      <c r="D15" s="100">
        <v>3.2</v>
      </c>
      <c r="E15" s="100">
        <v>4.58</v>
      </c>
      <c r="F15" s="100">
        <v>1.36</v>
      </c>
      <c r="G15" s="100">
        <v>9.58</v>
      </c>
      <c r="H15" s="100">
        <v>7.3</v>
      </c>
      <c r="I15" s="100">
        <v>4.75</v>
      </c>
      <c r="J15" s="100">
        <v>0.72</v>
      </c>
      <c r="K15" s="100">
        <v>257.61</v>
      </c>
      <c r="L15" s="100">
        <v>25.16</v>
      </c>
      <c r="M15" s="100">
        <v>92.58</v>
      </c>
      <c r="N15" s="100">
        <v>2.2000000000000002</v>
      </c>
      <c r="O15" s="100">
        <v>0</v>
      </c>
      <c r="P15" s="100">
        <v>0.35</v>
      </c>
      <c r="Q15" s="147" t="s">
        <v>14</v>
      </c>
      <c r="R15" s="6"/>
      <c r="S15" s="6"/>
      <c r="T15" s="156"/>
      <c r="U15" s="6"/>
    </row>
    <row r="16" spans="1:21" customFormat="1">
      <c r="A16" s="163" t="s">
        <v>247</v>
      </c>
      <c r="B16" s="100">
        <v>4.6100000000000003</v>
      </c>
      <c r="C16" s="100">
        <v>6.78</v>
      </c>
      <c r="D16" s="100">
        <v>3.32</v>
      </c>
      <c r="E16" s="100">
        <v>4.41</v>
      </c>
      <c r="F16" s="100">
        <v>1.36</v>
      </c>
      <c r="G16" s="100">
        <v>8.31</v>
      </c>
      <c r="H16" s="100">
        <v>7.38</v>
      </c>
      <c r="I16" s="100">
        <v>5</v>
      </c>
      <c r="J16" s="100">
        <v>0.53</v>
      </c>
      <c r="K16" s="100">
        <v>251.25</v>
      </c>
      <c r="L16" s="100">
        <v>25.21</v>
      </c>
      <c r="M16" s="100">
        <v>92.35</v>
      </c>
      <c r="N16" s="100">
        <v>2.2000000000000002</v>
      </c>
      <c r="O16" s="100">
        <v>0</v>
      </c>
      <c r="P16" s="100">
        <v>0.37</v>
      </c>
      <c r="Q16" s="147" t="s">
        <v>14</v>
      </c>
      <c r="R16" s="6"/>
      <c r="S16" s="6"/>
      <c r="T16" s="156"/>
      <c r="U16" s="6"/>
    </row>
    <row r="17" spans="1:21" customFormat="1">
      <c r="A17" s="163" t="s">
        <v>248</v>
      </c>
      <c r="B17" s="100">
        <v>4.6100000000000003</v>
      </c>
      <c r="C17" s="100">
        <v>6.86</v>
      </c>
      <c r="D17" s="100">
        <v>3.46</v>
      </c>
      <c r="E17" s="100">
        <v>3.71</v>
      </c>
      <c r="F17" s="100">
        <v>1.36</v>
      </c>
      <c r="G17" s="100">
        <v>8.31</v>
      </c>
      <c r="H17" s="100">
        <v>7.38</v>
      </c>
      <c r="I17" s="100">
        <v>5.05</v>
      </c>
      <c r="J17" s="100">
        <v>0.37</v>
      </c>
      <c r="K17" s="100">
        <v>259.61</v>
      </c>
      <c r="L17" s="100">
        <v>25.11</v>
      </c>
      <c r="M17" s="100">
        <v>93.26</v>
      </c>
      <c r="N17" s="100">
        <v>2.4</v>
      </c>
      <c r="O17" s="100">
        <v>0</v>
      </c>
      <c r="P17" s="100">
        <v>0.37</v>
      </c>
      <c r="Q17" s="147" t="s">
        <v>14</v>
      </c>
      <c r="R17" s="6"/>
      <c r="S17" s="6"/>
      <c r="T17" s="156"/>
      <c r="U17" s="6"/>
    </row>
    <row r="18" spans="1:21" customFormat="1">
      <c r="A18" s="163" t="s">
        <v>249</v>
      </c>
      <c r="B18" s="100">
        <v>4.6500000000000004</v>
      </c>
      <c r="C18" s="100">
        <v>6.91</v>
      </c>
      <c r="D18" s="100">
        <v>3.51</v>
      </c>
      <c r="E18" s="100">
        <v>4.49</v>
      </c>
      <c r="F18" s="100">
        <v>7.0000000000000007E-2</v>
      </c>
      <c r="G18" s="100">
        <v>8.31</v>
      </c>
      <c r="H18" s="100">
        <v>7.38</v>
      </c>
      <c r="I18" s="100">
        <v>4.9800000000000004</v>
      </c>
      <c r="J18" s="100">
        <v>0.49</v>
      </c>
      <c r="K18" s="100">
        <v>257.73</v>
      </c>
      <c r="L18" s="100">
        <v>25.04</v>
      </c>
      <c r="M18" s="100">
        <v>93.99</v>
      </c>
      <c r="N18" s="100">
        <v>2.2999999999999998</v>
      </c>
      <c r="O18" s="100">
        <v>0</v>
      </c>
      <c r="P18" s="100">
        <v>0.39</v>
      </c>
      <c r="Q18" s="147" t="s">
        <v>14</v>
      </c>
      <c r="R18" s="6"/>
      <c r="S18" s="6"/>
      <c r="T18" s="156"/>
      <c r="U18" s="6"/>
    </row>
    <row r="19" spans="1:21" customFormat="1">
      <c r="A19" s="163" t="s">
        <v>250</v>
      </c>
      <c r="B19" s="100">
        <v>4.6500000000000004</v>
      </c>
      <c r="C19" s="100">
        <v>6.94</v>
      </c>
      <c r="D19" s="100">
        <v>3.56</v>
      </c>
      <c r="E19" s="100">
        <v>4.5999999999999996</v>
      </c>
      <c r="F19" s="100">
        <v>0.04</v>
      </c>
      <c r="G19" s="100">
        <v>10.09</v>
      </c>
      <c r="H19" s="100">
        <v>8.66</v>
      </c>
      <c r="I19" s="100">
        <v>5.25</v>
      </c>
      <c r="J19" s="100">
        <v>0.55000000000000004</v>
      </c>
      <c r="K19" s="100">
        <v>260.14</v>
      </c>
      <c r="L19" s="100">
        <v>25.05</v>
      </c>
      <c r="M19" s="100">
        <v>93.99</v>
      </c>
      <c r="N19" s="100">
        <v>2.2000000000000002</v>
      </c>
      <c r="O19" s="100">
        <v>0</v>
      </c>
      <c r="P19" s="100">
        <v>0.39</v>
      </c>
      <c r="Q19" s="147" t="s">
        <v>14</v>
      </c>
      <c r="R19" s="6"/>
      <c r="S19" s="6"/>
      <c r="T19" s="156"/>
      <c r="U19" s="6"/>
    </row>
    <row r="20" spans="1:21" customFormat="1">
      <c r="A20" s="163" t="s">
        <v>251</v>
      </c>
      <c r="B20" s="100">
        <v>4.67</v>
      </c>
      <c r="C20" s="100">
        <v>6.92</v>
      </c>
      <c r="D20" s="100">
        <v>3.49</v>
      </c>
      <c r="E20" s="100">
        <v>4.72</v>
      </c>
      <c r="F20" s="100">
        <v>0.04</v>
      </c>
      <c r="G20" s="100">
        <v>11.45</v>
      </c>
      <c r="H20" s="100">
        <v>9.06</v>
      </c>
      <c r="I20" s="100">
        <v>5.33</v>
      </c>
      <c r="J20" s="100">
        <v>0.5</v>
      </c>
      <c r="K20" s="100">
        <v>258.95999999999998</v>
      </c>
      <c r="L20" s="100">
        <v>25.03</v>
      </c>
      <c r="M20" s="100">
        <v>94.13</v>
      </c>
      <c r="N20" s="100">
        <v>2.2999999999999998</v>
      </c>
      <c r="O20" s="100">
        <v>0</v>
      </c>
      <c r="P20" s="100">
        <v>0.39</v>
      </c>
      <c r="Q20" s="147" t="s">
        <v>14</v>
      </c>
      <c r="R20" s="6"/>
      <c r="S20" s="6"/>
      <c r="T20" s="156"/>
      <c r="U20" s="6"/>
    </row>
    <row r="21" spans="1:21" customFormat="1">
      <c r="A21" s="163" t="s">
        <v>252</v>
      </c>
      <c r="B21" s="100">
        <v>4.68</v>
      </c>
      <c r="C21" s="100">
        <v>6.86</v>
      </c>
      <c r="D21" s="100">
        <v>3.37</v>
      </c>
      <c r="E21" s="100">
        <v>4.87</v>
      </c>
      <c r="F21" s="100">
        <v>0.18</v>
      </c>
      <c r="G21" s="100">
        <v>11.45</v>
      </c>
      <c r="H21" s="100">
        <v>9.06</v>
      </c>
      <c r="I21" s="100">
        <v>5.47</v>
      </c>
      <c r="J21" s="100">
        <v>0.54</v>
      </c>
      <c r="K21" s="100">
        <v>259.97000000000003</v>
      </c>
      <c r="L21" s="100">
        <v>25.05</v>
      </c>
      <c r="M21" s="100">
        <v>93.91</v>
      </c>
      <c r="N21" s="100">
        <v>2.2999999999999998</v>
      </c>
      <c r="O21" s="100">
        <v>0</v>
      </c>
      <c r="P21" s="100">
        <v>0.4</v>
      </c>
      <c r="Q21" s="147" t="s">
        <v>14</v>
      </c>
      <c r="R21" s="6"/>
      <c r="S21" s="6"/>
      <c r="T21" s="156"/>
      <c r="U21" s="6"/>
    </row>
    <row r="22" spans="1:21" customFormat="1">
      <c r="A22" s="163" t="s">
        <v>253</v>
      </c>
      <c r="B22" s="100">
        <v>4.6500000000000004</v>
      </c>
      <c r="C22" s="100">
        <v>6.83</v>
      </c>
      <c r="D22" s="100">
        <v>3.35</v>
      </c>
      <c r="E22" s="100">
        <v>4.6100000000000003</v>
      </c>
      <c r="F22" s="100">
        <v>0.21</v>
      </c>
      <c r="G22" s="100">
        <v>11.45</v>
      </c>
      <c r="H22" s="100">
        <v>9.06</v>
      </c>
      <c r="I22" s="100">
        <v>5.47</v>
      </c>
      <c r="J22" s="100">
        <v>0.68</v>
      </c>
      <c r="K22" s="100">
        <v>261.41000000000003</v>
      </c>
      <c r="L22" s="100">
        <v>25.06</v>
      </c>
      <c r="M22" s="100">
        <v>93.52</v>
      </c>
      <c r="N22" s="100">
        <v>2.2999999999999998</v>
      </c>
      <c r="O22" s="100">
        <v>0</v>
      </c>
      <c r="P22" s="100">
        <v>0.38</v>
      </c>
      <c r="Q22" s="147" t="s">
        <v>14</v>
      </c>
      <c r="R22" s="6"/>
      <c r="S22" s="6"/>
      <c r="T22" s="156"/>
      <c r="U22" s="6"/>
    </row>
    <row r="23" spans="1:21" customFormat="1">
      <c r="A23" s="163" t="s">
        <v>254</v>
      </c>
      <c r="B23" s="100">
        <v>4.6500000000000004</v>
      </c>
      <c r="C23" s="100">
        <v>6.82</v>
      </c>
      <c r="D23" s="100">
        <v>3.33</v>
      </c>
      <c r="E23" s="100">
        <v>5.0199999999999996</v>
      </c>
      <c r="F23" s="100">
        <v>0.17</v>
      </c>
      <c r="G23" s="100">
        <v>15.76</v>
      </c>
      <c r="H23" s="100">
        <v>9.8800000000000008</v>
      </c>
      <c r="I23" s="100">
        <v>5.47</v>
      </c>
      <c r="J23" s="100">
        <v>0.62</v>
      </c>
      <c r="K23" s="100">
        <v>260.42</v>
      </c>
      <c r="L23" s="100">
        <v>25.01</v>
      </c>
      <c r="M23" s="100">
        <v>93.56</v>
      </c>
      <c r="N23" s="100">
        <v>2.4</v>
      </c>
      <c r="O23" s="100">
        <v>0</v>
      </c>
      <c r="P23" s="100">
        <v>0.38</v>
      </c>
      <c r="Q23" s="147" t="s">
        <v>14</v>
      </c>
      <c r="R23" s="6"/>
      <c r="S23" s="6"/>
      <c r="T23" s="156"/>
      <c r="U23" s="6"/>
    </row>
    <row r="24" spans="1:21" customFormat="1">
      <c r="A24" s="163" t="s">
        <v>255</v>
      </c>
      <c r="B24" s="100">
        <v>4.63</v>
      </c>
      <c r="C24" s="100">
        <v>6.79</v>
      </c>
      <c r="D24" s="100">
        <v>3.3</v>
      </c>
      <c r="E24" s="100">
        <v>4.99</v>
      </c>
      <c r="F24" s="100">
        <v>0.61</v>
      </c>
      <c r="G24" s="100">
        <v>19.059999999999999</v>
      </c>
      <c r="H24" s="100">
        <v>10.14</v>
      </c>
      <c r="I24" s="100">
        <v>5.42</v>
      </c>
      <c r="J24" s="100">
        <v>0.78</v>
      </c>
      <c r="K24" s="100">
        <v>261.70999999999998</v>
      </c>
      <c r="L24" s="100">
        <v>25.03</v>
      </c>
      <c r="M24" s="100">
        <v>93.26</v>
      </c>
      <c r="N24" s="100">
        <v>2.1</v>
      </c>
      <c r="O24" s="100">
        <v>0</v>
      </c>
      <c r="P24" s="100">
        <v>0.37</v>
      </c>
      <c r="Q24" s="147" t="s">
        <v>14</v>
      </c>
      <c r="R24" s="6"/>
      <c r="S24" s="6"/>
      <c r="T24" s="156"/>
      <c r="U24" s="6"/>
    </row>
    <row r="25" spans="1:21" customFormat="1">
      <c r="A25" s="163" t="s">
        <v>256</v>
      </c>
      <c r="B25" s="100">
        <v>4.58</v>
      </c>
      <c r="C25" s="100">
        <v>6.73</v>
      </c>
      <c r="D25" s="100">
        <v>3.26</v>
      </c>
      <c r="E25" s="100">
        <v>4.8899999999999997</v>
      </c>
      <c r="F25" s="100">
        <v>0.26</v>
      </c>
      <c r="G25" s="100">
        <v>19.059999999999999</v>
      </c>
      <c r="H25" s="100">
        <v>10.14</v>
      </c>
      <c r="I25" s="100">
        <v>5.34</v>
      </c>
      <c r="J25" s="100">
        <v>0.78</v>
      </c>
      <c r="K25" s="100">
        <v>259.91000000000003</v>
      </c>
      <c r="L25" s="100">
        <v>24.96</v>
      </c>
      <c r="M25" s="100">
        <v>93.47</v>
      </c>
      <c r="N25" s="100">
        <v>2.6</v>
      </c>
      <c r="O25" s="100">
        <v>0.2</v>
      </c>
      <c r="P25" s="100">
        <v>0.37</v>
      </c>
      <c r="Q25" s="147" t="s">
        <v>14</v>
      </c>
      <c r="R25" s="6"/>
      <c r="S25" s="6"/>
      <c r="T25" s="156"/>
      <c r="U25" s="6"/>
    </row>
    <row r="26" spans="1:21" customFormat="1">
      <c r="A26" s="163" t="s">
        <v>257</v>
      </c>
      <c r="B26" s="100">
        <v>4.53</v>
      </c>
      <c r="C26" s="100">
        <v>6.65</v>
      </c>
      <c r="D26" s="100">
        <v>3.18</v>
      </c>
      <c r="E26" s="100">
        <v>4.9000000000000004</v>
      </c>
      <c r="F26" s="100">
        <v>0.63</v>
      </c>
      <c r="G26" s="100">
        <v>19.059999999999999</v>
      </c>
      <c r="H26" s="100">
        <v>10.14</v>
      </c>
      <c r="I26" s="100">
        <v>5.1100000000000003</v>
      </c>
      <c r="J26" s="100">
        <v>0.6</v>
      </c>
      <c r="K26" s="100">
        <v>258.18</v>
      </c>
      <c r="L26" s="100">
        <v>24.71</v>
      </c>
      <c r="M26" s="100">
        <v>95.23</v>
      </c>
      <c r="N26" s="100">
        <v>2.8</v>
      </c>
      <c r="O26" s="100">
        <v>0</v>
      </c>
      <c r="P26" s="100">
        <v>0.36</v>
      </c>
      <c r="Q26" s="147" t="s">
        <v>14</v>
      </c>
      <c r="R26" s="6"/>
      <c r="S26" s="6"/>
      <c r="T26" s="156"/>
      <c r="U26" s="6"/>
    </row>
    <row r="27" spans="1:21" customFormat="1">
      <c r="A27" s="163" t="s">
        <v>258</v>
      </c>
      <c r="B27" s="100">
        <v>4.4800000000000004</v>
      </c>
      <c r="C27" s="100">
        <v>6.59</v>
      </c>
      <c r="D27" s="100">
        <v>3.14</v>
      </c>
      <c r="E27" s="100">
        <v>5.07</v>
      </c>
      <c r="F27" s="100">
        <v>0.72</v>
      </c>
      <c r="G27" s="100">
        <v>19.079999999999998</v>
      </c>
      <c r="H27" s="100">
        <v>9.92</v>
      </c>
      <c r="I27" s="100">
        <v>5.04</v>
      </c>
      <c r="J27" s="100">
        <v>0.66</v>
      </c>
      <c r="K27" s="100">
        <v>261.43</v>
      </c>
      <c r="L27" s="100">
        <v>24.53</v>
      </c>
      <c r="M27" s="100">
        <v>96.33</v>
      </c>
      <c r="N27" s="100">
        <v>2.4</v>
      </c>
      <c r="O27" s="100">
        <v>0</v>
      </c>
      <c r="P27" s="100">
        <v>0.35</v>
      </c>
      <c r="Q27" s="147" t="s">
        <v>14</v>
      </c>
      <c r="R27" s="6"/>
      <c r="S27" s="6"/>
      <c r="T27" s="156"/>
      <c r="U27" s="6"/>
    </row>
    <row r="28" spans="1:21" customFormat="1">
      <c r="A28" s="163" t="s">
        <v>259</v>
      </c>
      <c r="B28" s="100">
        <v>4.46</v>
      </c>
      <c r="C28" s="100">
        <v>6.53</v>
      </c>
      <c r="D28" s="100">
        <v>3.07</v>
      </c>
      <c r="E28" s="100">
        <v>5.3</v>
      </c>
      <c r="F28" s="100">
        <v>0.27</v>
      </c>
      <c r="G28" s="100">
        <v>19.09</v>
      </c>
      <c r="H28" s="100">
        <v>9.86</v>
      </c>
      <c r="I28" s="100">
        <v>4.82</v>
      </c>
      <c r="J28" s="100">
        <v>0.65</v>
      </c>
      <c r="K28" s="100">
        <v>257.93</v>
      </c>
      <c r="L28" s="100">
        <v>24.42</v>
      </c>
      <c r="M28" s="100">
        <v>96.9</v>
      </c>
      <c r="N28" s="100">
        <v>2.2000000000000002</v>
      </c>
      <c r="O28" s="100">
        <v>0</v>
      </c>
      <c r="P28" s="100">
        <v>0.34</v>
      </c>
      <c r="Q28" s="147" t="s">
        <v>14</v>
      </c>
      <c r="R28" s="6"/>
      <c r="S28" s="6"/>
      <c r="T28" s="156"/>
      <c r="U28" s="6"/>
    </row>
    <row r="29" spans="1:21" customFormat="1">
      <c r="A29" s="163" t="s">
        <v>260</v>
      </c>
      <c r="B29" s="100">
        <v>4.42</v>
      </c>
      <c r="C29" s="100">
        <v>6.48</v>
      </c>
      <c r="D29" s="100">
        <v>3.03</v>
      </c>
      <c r="E29" s="100">
        <v>5.3</v>
      </c>
      <c r="F29" s="100">
        <v>0.39</v>
      </c>
      <c r="G29" s="100">
        <v>19.09</v>
      </c>
      <c r="H29" s="100">
        <v>9.86</v>
      </c>
      <c r="I29" s="100">
        <v>4.78</v>
      </c>
      <c r="J29" s="100">
        <v>0.75</v>
      </c>
      <c r="K29" s="100">
        <v>265.91000000000003</v>
      </c>
      <c r="L29" s="100">
        <v>24.34</v>
      </c>
      <c r="M29" s="100">
        <v>97.28</v>
      </c>
      <c r="N29" s="100">
        <v>2.2999999999999998</v>
      </c>
      <c r="O29" s="100">
        <v>0</v>
      </c>
      <c r="P29" s="100">
        <v>0.33</v>
      </c>
      <c r="Q29" s="147" t="s">
        <v>14</v>
      </c>
      <c r="R29" s="6"/>
      <c r="S29" s="6"/>
      <c r="T29" s="156"/>
      <c r="U29" s="6"/>
    </row>
    <row r="30" spans="1:21" customFormat="1">
      <c r="A30" s="163" t="s">
        <v>261</v>
      </c>
      <c r="B30" s="100">
        <v>4.38</v>
      </c>
      <c r="C30" s="100">
        <v>6.42</v>
      </c>
      <c r="D30" s="100">
        <v>2.97</v>
      </c>
      <c r="E30" s="100">
        <v>5.75</v>
      </c>
      <c r="F30" s="100">
        <v>0.54</v>
      </c>
      <c r="G30" s="100">
        <v>19.09</v>
      </c>
      <c r="H30" s="100">
        <v>9.86</v>
      </c>
      <c r="I30" s="100">
        <v>4.6500000000000004</v>
      </c>
      <c r="J30" s="100">
        <v>0.71</v>
      </c>
      <c r="K30" s="100">
        <v>258.64</v>
      </c>
      <c r="L30" s="100">
        <v>24.29</v>
      </c>
      <c r="M30" s="100">
        <v>97.26</v>
      </c>
      <c r="N30" s="100">
        <v>3</v>
      </c>
      <c r="O30" s="100">
        <v>0</v>
      </c>
      <c r="P30" s="100">
        <v>0.34</v>
      </c>
      <c r="Q30" s="147" t="s">
        <v>14</v>
      </c>
      <c r="R30" s="6"/>
      <c r="S30" s="6"/>
      <c r="T30" s="156"/>
      <c r="U30" s="6"/>
    </row>
    <row r="31" spans="1:21" customFormat="1">
      <c r="A31" s="163" t="s">
        <v>262</v>
      </c>
      <c r="B31" s="100">
        <v>4.43</v>
      </c>
      <c r="C31" s="100">
        <v>6.38</v>
      </c>
      <c r="D31" s="100">
        <v>2.82</v>
      </c>
      <c r="E31" s="100">
        <v>5.6</v>
      </c>
      <c r="F31" s="100">
        <v>0.54</v>
      </c>
      <c r="G31" s="100">
        <v>16.14</v>
      </c>
      <c r="H31" s="100">
        <v>8.02</v>
      </c>
      <c r="I31" s="100">
        <v>4.5199999999999996</v>
      </c>
      <c r="J31" s="100">
        <v>0.82</v>
      </c>
      <c r="K31" s="100">
        <v>258.58999999999997</v>
      </c>
      <c r="L31" s="100">
        <v>24.27</v>
      </c>
      <c r="M31" s="100">
        <v>97.22</v>
      </c>
      <c r="N31" s="100">
        <v>6.3</v>
      </c>
      <c r="O31" s="100">
        <v>0</v>
      </c>
      <c r="P31" s="100">
        <v>0.35</v>
      </c>
      <c r="Q31" s="147" t="s">
        <v>14</v>
      </c>
      <c r="R31" s="6"/>
      <c r="S31" s="6"/>
      <c r="T31" s="156"/>
      <c r="U31" s="6"/>
    </row>
    <row r="32" spans="1:21" customFormat="1">
      <c r="A32" s="163" t="s">
        <v>263</v>
      </c>
      <c r="B32" s="100">
        <v>4.54</v>
      </c>
      <c r="C32" s="100">
        <v>6.19</v>
      </c>
      <c r="D32" s="100">
        <v>2.29</v>
      </c>
      <c r="E32" s="100">
        <v>5.31</v>
      </c>
      <c r="F32" s="100">
        <v>0.09</v>
      </c>
      <c r="G32" s="100">
        <v>13.88</v>
      </c>
      <c r="H32" s="100">
        <v>6.92</v>
      </c>
      <c r="I32" s="100">
        <v>4.43</v>
      </c>
      <c r="J32" s="100">
        <v>0.7</v>
      </c>
      <c r="K32" s="100">
        <v>259.97000000000003</v>
      </c>
      <c r="L32" s="100">
        <v>24.22</v>
      </c>
      <c r="M32" s="100">
        <v>97.65</v>
      </c>
      <c r="N32" s="100">
        <v>17</v>
      </c>
      <c r="O32" s="100">
        <v>0</v>
      </c>
      <c r="P32" s="100">
        <v>0.33</v>
      </c>
      <c r="Q32" s="147" t="s">
        <v>14</v>
      </c>
      <c r="R32" s="6"/>
      <c r="S32" s="6"/>
      <c r="T32" s="156"/>
      <c r="U32" s="6"/>
    </row>
    <row r="33" spans="1:21" customFormat="1">
      <c r="A33" s="163" t="s">
        <v>264</v>
      </c>
      <c r="B33" s="100">
        <v>4.5999999999999996</v>
      </c>
      <c r="C33" s="100">
        <v>6.15</v>
      </c>
      <c r="D33" s="100">
        <v>2.13</v>
      </c>
      <c r="E33" s="100">
        <v>5.05</v>
      </c>
      <c r="F33" s="100">
        <v>0.05</v>
      </c>
      <c r="G33" s="100">
        <v>13.88</v>
      </c>
      <c r="H33" s="100">
        <v>6.92</v>
      </c>
      <c r="I33" s="100">
        <v>4.21</v>
      </c>
      <c r="J33" s="100">
        <v>0.71</v>
      </c>
      <c r="K33" s="100">
        <v>259.52</v>
      </c>
      <c r="L33" s="100">
        <v>24.29</v>
      </c>
      <c r="M33" s="100">
        <v>97.84</v>
      </c>
      <c r="N33" s="100">
        <v>29.6</v>
      </c>
      <c r="O33" s="100">
        <v>0</v>
      </c>
      <c r="P33" s="100">
        <v>0.35</v>
      </c>
      <c r="Q33" s="147" t="s">
        <v>14</v>
      </c>
      <c r="R33" s="6"/>
      <c r="S33" s="6"/>
      <c r="T33" s="156"/>
      <c r="U33" s="6"/>
    </row>
    <row r="34" spans="1:21" customFormat="1">
      <c r="A34" s="163" t="s">
        <v>265</v>
      </c>
      <c r="B34" s="100">
        <v>4.6900000000000004</v>
      </c>
      <c r="C34" s="100">
        <v>6.15</v>
      </c>
      <c r="D34" s="100">
        <v>2</v>
      </c>
      <c r="E34" s="100">
        <v>4.66</v>
      </c>
      <c r="F34" s="100">
        <v>0.05</v>
      </c>
      <c r="G34" s="100">
        <v>13.88</v>
      </c>
      <c r="H34" s="100">
        <v>6.92</v>
      </c>
      <c r="I34" s="100">
        <v>4.33</v>
      </c>
      <c r="J34" s="100">
        <v>0.62</v>
      </c>
      <c r="K34" s="100">
        <v>260.77999999999997</v>
      </c>
      <c r="L34" s="100">
        <v>24.44</v>
      </c>
      <c r="M34" s="100">
        <v>97.39</v>
      </c>
      <c r="N34" s="100">
        <v>35.6</v>
      </c>
      <c r="O34" s="100">
        <v>0</v>
      </c>
      <c r="P34" s="100">
        <v>0.33</v>
      </c>
      <c r="Q34" s="147" t="s">
        <v>14</v>
      </c>
      <c r="R34" s="6"/>
      <c r="S34" s="6"/>
      <c r="T34" s="156"/>
      <c r="U34" s="6"/>
    </row>
    <row r="35" spans="1:21" customFormat="1">
      <c r="A35" s="163" t="s">
        <v>266</v>
      </c>
      <c r="B35" s="100">
        <v>4.68</v>
      </c>
      <c r="C35" s="100">
        <v>6.16</v>
      </c>
      <c r="D35" s="100">
        <v>2.02</v>
      </c>
      <c r="E35" s="100">
        <v>4.63</v>
      </c>
      <c r="F35" s="100">
        <v>0.18</v>
      </c>
      <c r="G35" s="100">
        <v>13.84</v>
      </c>
      <c r="H35" s="100">
        <v>6.54</v>
      </c>
      <c r="I35" s="100">
        <v>4.38</v>
      </c>
      <c r="J35" s="100">
        <v>0.59</v>
      </c>
      <c r="K35" s="100">
        <v>257.75</v>
      </c>
      <c r="L35" s="100">
        <v>24.62</v>
      </c>
      <c r="M35" s="100">
        <v>96.5</v>
      </c>
      <c r="N35" s="100">
        <v>33.5</v>
      </c>
      <c r="O35" s="100">
        <v>0</v>
      </c>
      <c r="P35" s="100">
        <v>0.35</v>
      </c>
      <c r="Q35" s="147" t="s">
        <v>14</v>
      </c>
      <c r="R35" s="6"/>
      <c r="S35" s="6"/>
      <c r="T35" s="156"/>
      <c r="U35" s="6"/>
    </row>
    <row r="36" spans="1:21" customFormat="1">
      <c r="A36" s="163" t="s">
        <v>267</v>
      </c>
      <c r="B36" s="100">
        <v>4.7699999999999996</v>
      </c>
      <c r="C36" s="100">
        <v>6.3</v>
      </c>
      <c r="D36" s="100">
        <v>2.14</v>
      </c>
      <c r="E36" s="100">
        <v>4.8099999999999996</v>
      </c>
      <c r="F36" s="100">
        <v>0.18</v>
      </c>
      <c r="G36" s="100">
        <v>13.82</v>
      </c>
      <c r="H36" s="100">
        <v>6.42</v>
      </c>
      <c r="I36" s="100">
        <v>4.09</v>
      </c>
      <c r="J36" s="100">
        <v>0.57999999999999996</v>
      </c>
      <c r="K36" s="100">
        <v>266.5</v>
      </c>
      <c r="L36" s="100">
        <v>24.81</v>
      </c>
      <c r="M36" s="100">
        <v>95.51</v>
      </c>
      <c r="N36" s="100">
        <v>47.6</v>
      </c>
      <c r="O36" s="100">
        <v>0</v>
      </c>
      <c r="P36" s="100">
        <v>0.32</v>
      </c>
      <c r="Q36" s="147" t="s">
        <v>14</v>
      </c>
      <c r="R36" s="6"/>
      <c r="S36" s="6"/>
      <c r="T36" s="156"/>
      <c r="U36" s="6"/>
    </row>
    <row r="37" spans="1:21" customFormat="1">
      <c r="A37" s="163" t="s">
        <v>268</v>
      </c>
      <c r="B37" s="100">
        <v>4.8899999999999997</v>
      </c>
      <c r="C37" s="100">
        <v>6.28</v>
      </c>
      <c r="D37" s="100">
        <v>1.91</v>
      </c>
      <c r="E37" s="100">
        <v>4.83</v>
      </c>
      <c r="F37" s="100">
        <v>0.03</v>
      </c>
      <c r="G37" s="100">
        <v>13.82</v>
      </c>
      <c r="H37" s="100">
        <v>6.42</v>
      </c>
      <c r="I37" s="100">
        <v>4.24</v>
      </c>
      <c r="J37" s="100">
        <v>0.66</v>
      </c>
      <c r="K37" s="100">
        <v>260.88</v>
      </c>
      <c r="L37" s="100">
        <v>25.17</v>
      </c>
      <c r="M37" s="100">
        <v>93.7</v>
      </c>
      <c r="N37" s="100">
        <v>94.9</v>
      </c>
      <c r="O37" s="100">
        <v>0</v>
      </c>
      <c r="P37" s="100">
        <v>0.32</v>
      </c>
      <c r="Q37" s="147" t="s">
        <v>14</v>
      </c>
      <c r="R37" s="6"/>
      <c r="S37" s="6"/>
      <c r="T37" s="156"/>
      <c r="U37" s="6"/>
    </row>
    <row r="38" spans="1:21" customFormat="1">
      <c r="A38" s="163" t="s">
        <v>269</v>
      </c>
      <c r="B38" s="100">
        <v>4.97</v>
      </c>
      <c r="C38" s="100">
        <v>6.38</v>
      </c>
      <c r="D38" s="100">
        <v>1.99</v>
      </c>
      <c r="E38" s="100">
        <v>4.84</v>
      </c>
      <c r="F38" s="100">
        <v>0.03</v>
      </c>
      <c r="G38" s="100">
        <v>13.82</v>
      </c>
      <c r="H38" s="100">
        <v>6.42</v>
      </c>
      <c r="I38" s="100">
        <v>4.1500000000000004</v>
      </c>
      <c r="J38" s="100">
        <v>0.7</v>
      </c>
      <c r="K38" s="100">
        <v>255.04</v>
      </c>
      <c r="L38" s="100">
        <v>25.56</v>
      </c>
      <c r="M38" s="100">
        <v>91.7</v>
      </c>
      <c r="N38" s="100">
        <v>103.8</v>
      </c>
      <c r="O38" s="100">
        <v>0</v>
      </c>
      <c r="P38" s="100">
        <v>0.35</v>
      </c>
      <c r="Q38" s="147" t="s">
        <v>14</v>
      </c>
      <c r="R38" s="6"/>
      <c r="S38" s="6"/>
      <c r="T38" s="156"/>
      <c r="U38" s="6"/>
    </row>
    <row r="39" spans="1:21" customFormat="1">
      <c r="A39" s="163" t="s">
        <v>270</v>
      </c>
      <c r="B39" s="100">
        <v>5.0999999999999996</v>
      </c>
      <c r="C39" s="100">
        <v>6.53</v>
      </c>
      <c r="D39" s="100">
        <v>2.08</v>
      </c>
      <c r="E39" s="100">
        <v>4.8499999999999996</v>
      </c>
      <c r="F39" s="100">
        <v>0.06</v>
      </c>
      <c r="G39" s="100">
        <v>11.81</v>
      </c>
      <c r="H39" s="100">
        <v>5.89</v>
      </c>
      <c r="I39" s="100">
        <v>4.1399999999999997</v>
      </c>
      <c r="J39" s="100">
        <v>0.73</v>
      </c>
      <c r="K39" s="100">
        <v>259.94</v>
      </c>
      <c r="L39" s="100">
        <v>25.71</v>
      </c>
      <c r="M39" s="100">
        <v>90.67</v>
      </c>
      <c r="N39" s="100">
        <v>106.5</v>
      </c>
      <c r="O39" s="100">
        <v>0</v>
      </c>
      <c r="P39" s="100">
        <v>0.35</v>
      </c>
      <c r="Q39" s="147" t="s">
        <v>14</v>
      </c>
      <c r="R39" s="6"/>
      <c r="S39" s="6"/>
      <c r="T39" s="156"/>
      <c r="U39" s="6"/>
    </row>
    <row r="40" spans="1:21" customFormat="1">
      <c r="A40" s="163" t="s">
        <v>271</v>
      </c>
      <c r="B40" s="100">
        <v>5.18</v>
      </c>
      <c r="C40" s="100">
        <v>6.62</v>
      </c>
      <c r="D40" s="100">
        <v>2.13</v>
      </c>
      <c r="E40" s="100">
        <v>4.79</v>
      </c>
      <c r="F40" s="100">
        <v>0.05</v>
      </c>
      <c r="G40" s="100">
        <v>10.28</v>
      </c>
      <c r="H40" s="100">
        <v>5.71</v>
      </c>
      <c r="I40" s="100">
        <v>4.2699999999999996</v>
      </c>
      <c r="J40" s="100">
        <v>0.78</v>
      </c>
      <c r="K40" s="100">
        <v>263.81</v>
      </c>
      <c r="L40" s="100">
        <v>26.1</v>
      </c>
      <c r="M40" s="100">
        <v>89.34</v>
      </c>
      <c r="N40" s="100">
        <v>140.4</v>
      </c>
      <c r="O40" s="100">
        <v>0</v>
      </c>
      <c r="P40" s="100">
        <v>0.37</v>
      </c>
      <c r="Q40" s="147" t="s">
        <v>14</v>
      </c>
      <c r="R40" s="6"/>
      <c r="S40" s="6"/>
      <c r="T40" s="156"/>
      <c r="U40" s="6"/>
    </row>
    <row r="41" spans="1:21" customFormat="1">
      <c r="A41" s="163" t="s">
        <v>272</v>
      </c>
      <c r="B41" s="100">
        <v>5.31</v>
      </c>
      <c r="C41" s="100">
        <v>6.77</v>
      </c>
      <c r="D41" s="100">
        <v>2.2200000000000002</v>
      </c>
      <c r="E41" s="100">
        <v>5.16</v>
      </c>
      <c r="F41" s="100">
        <v>0.05</v>
      </c>
      <c r="G41" s="100">
        <v>10.28</v>
      </c>
      <c r="H41" s="100">
        <v>5.71</v>
      </c>
      <c r="I41" s="100">
        <v>4.4400000000000004</v>
      </c>
      <c r="J41" s="100">
        <v>0.76</v>
      </c>
      <c r="K41" s="100">
        <v>262.95</v>
      </c>
      <c r="L41" s="100">
        <v>26.77</v>
      </c>
      <c r="M41" s="100">
        <v>87.2</v>
      </c>
      <c r="N41" s="100">
        <v>183.8</v>
      </c>
      <c r="O41" s="100">
        <v>0</v>
      </c>
      <c r="P41" s="100">
        <v>0.36</v>
      </c>
      <c r="Q41" s="147" t="s">
        <v>14</v>
      </c>
      <c r="R41" s="6"/>
      <c r="S41" s="6"/>
      <c r="T41" s="156"/>
      <c r="U41" s="6"/>
    </row>
    <row r="42" spans="1:21" customFormat="1">
      <c r="A42" s="163" t="s">
        <v>273</v>
      </c>
      <c r="B42" s="100">
        <v>5.41</v>
      </c>
      <c r="C42" s="100">
        <v>6.83</v>
      </c>
      <c r="D42" s="100">
        <v>2.19</v>
      </c>
      <c r="E42" s="100">
        <v>4.66</v>
      </c>
      <c r="F42" s="100">
        <v>0.08</v>
      </c>
      <c r="G42" s="100">
        <v>10.28</v>
      </c>
      <c r="H42" s="100">
        <v>5.71</v>
      </c>
      <c r="I42" s="100">
        <v>4.63</v>
      </c>
      <c r="J42" s="100">
        <v>0.86</v>
      </c>
      <c r="K42" s="100">
        <v>265.44</v>
      </c>
      <c r="L42" s="100">
        <v>26.83</v>
      </c>
      <c r="M42" s="100">
        <v>85.91</v>
      </c>
      <c r="N42" s="100">
        <v>194.1</v>
      </c>
      <c r="O42" s="100">
        <v>0</v>
      </c>
      <c r="P42" s="100">
        <v>0.36</v>
      </c>
      <c r="Q42" s="147" t="s">
        <v>14</v>
      </c>
      <c r="R42" s="6"/>
      <c r="S42" s="6"/>
      <c r="T42" s="156"/>
      <c r="U42" s="6"/>
    </row>
    <row r="43" spans="1:21" customFormat="1">
      <c r="A43" s="163" t="s">
        <v>274</v>
      </c>
      <c r="B43" s="100">
        <v>5.5</v>
      </c>
      <c r="C43" s="100">
        <v>7.04</v>
      </c>
      <c r="D43" s="100">
        <v>2.4500000000000002</v>
      </c>
      <c r="E43" s="100">
        <v>4.93</v>
      </c>
      <c r="F43" s="100">
        <v>0.22</v>
      </c>
      <c r="G43" s="100">
        <v>20.23</v>
      </c>
      <c r="H43" s="100">
        <v>6.35</v>
      </c>
      <c r="I43" s="100">
        <v>4.8600000000000003</v>
      </c>
      <c r="J43" s="100">
        <v>0.93</v>
      </c>
      <c r="K43" s="100">
        <v>271.54000000000002</v>
      </c>
      <c r="L43" s="100">
        <v>27.25</v>
      </c>
      <c r="M43" s="100">
        <v>84.56</v>
      </c>
      <c r="N43" s="100">
        <v>220.8</v>
      </c>
      <c r="O43" s="100">
        <v>0</v>
      </c>
      <c r="P43" s="100">
        <v>0.41</v>
      </c>
      <c r="Q43" s="147" t="s">
        <v>14</v>
      </c>
      <c r="R43" s="6"/>
      <c r="S43" s="6"/>
      <c r="T43" s="156"/>
      <c r="U43" s="6"/>
    </row>
    <row r="44" spans="1:21" customFormat="1">
      <c r="A44" s="163" t="s">
        <v>275</v>
      </c>
      <c r="B44" s="100">
        <v>5.79</v>
      </c>
      <c r="C44" s="100">
        <v>7.37</v>
      </c>
      <c r="D44" s="100">
        <v>2.62</v>
      </c>
      <c r="E44" s="100">
        <v>5.17</v>
      </c>
      <c r="F44" s="100">
        <v>0.22</v>
      </c>
      <c r="G44" s="100">
        <v>27.84</v>
      </c>
      <c r="H44" s="100">
        <v>6.55</v>
      </c>
      <c r="I44" s="100">
        <v>5.0599999999999996</v>
      </c>
      <c r="J44" s="100">
        <v>0.9</v>
      </c>
      <c r="K44" s="100">
        <v>280.61</v>
      </c>
      <c r="L44" s="100">
        <v>27.41</v>
      </c>
      <c r="M44" s="100">
        <v>83.29</v>
      </c>
      <c r="N44" s="100">
        <v>200.5</v>
      </c>
      <c r="O44" s="100">
        <v>0</v>
      </c>
      <c r="P44" s="100">
        <v>0.4</v>
      </c>
      <c r="Q44" s="147" t="s">
        <v>14</v>
      </c>
      <c r="R44" s="6"/>
      <c r="S44" s="6"/>
      <c r="T44" s="156"/>
      <c r="U44" s="6"/>
    </row>
    <row r="45" spans="1:21" customFormat="1">
      <c r="A45" s="163" t="s">
        <v>276</v>
      </c>
      <c r="B45" s="100">
        <v>5.92</v>
      </c>
      <c r="C45" s="100">
        <v>7.47</v>
      </c>
      <c r="D45" s="100">
        <v>2.64</v>
      </c>
      <c r="E45" s="100">
        <v>4.6900000000000004</v>
      </c>
      <c r="F45" s="100">
        <v>0.01</v>
      </c>
      <c r="G45" s="100">
        <v>27.84</v>
      </c>
      <c r="H45" s="100">
        <v>6.55</v>
      </c>
      <c r="I45" s="100">
        <v>5.55</v>
      </c>
      <c r="J45" s="100">
        <v>0.82</v>
      </c>
      <c r="K45" s="100">
        <v>280.72000000000003</v>
      </c>
      <c r="L45" s="100">
        <v>27.34</v>
      </c>
      <c r="M45" s="100">
        <v>83.43</v>
      </c>
      <c r="N45" s="100">
        <v>189.4</v>
      </c>
      <c r="O45" s="100">
        <v>0</v>
      </c>
      <c r="P45" s="100">
        <v>0.43</v>
      </c>
      <c r="Q45" s="147" t="s">
        <v>14</v>
      </c>
      <c r="R45" s="6"/>
      <c r="S45" s="6"/>
      <c r="T45" s="156"/>
      <c r="U45" s="6"/>
    </row>
    <row r="46" spans="1:21" customFormat="1">
      <c r="A46" s="163" t="s">
        <v>277</v>
      </c>
      <c r="B46" s="100">
        <v>6.17</v>
      </c>
      <c r="C46" s="100">
        <v>7.68</v>
      </c>
      <c r="D46" s="100">
        <v>2.65</v>
      </c>
      <c r="E46" s="100">
        <v>4.75</v>
      </c>
      <c r="F46" s="100">
        <v>0.01</v>
      </c>
      <c r="G46" s="100">
        <v>27.84</v>
      </c>
      <c r="H46" s="100">
        <v>6.55</v>
      </c>
      <c r="I46" s="100">
        <v>5.58</v>
      </c>
      <c r="J46" s="100">
        <v>1.1299999999999999</v>
      </c>
      <c r="K46" s="100">
        <v>278.14999999999998</v>
      </c>
      <c r="L46" s="100">
        <v>27.75</v>
      </c>
      <c r="M46" s="100">
        <v>81.680000000000007</v>
      </c>
      <c r="N46" s="100">
        <v>231.2</v>
      </c>
      <c r="O46" s="100">
        <v>0</v>
      </c>
      <c r="P46" s="100">
        <v>0.43</v>
      </c>
      <c r="Q46" s="147" t="s">
        <v>14</v>
      </c>
      <c r="R46" s="6"/>
      <c r="S46" s="6"/>
      <c r="T46" s="156"/>
      <c r="U46" s="6"/>
    </row>
    <row r="47" spans="1:21" customFormat="1">
      <c r="A47" s="163" t="s">
        <v>278</v>
      </c>
      <c r="B47" s="100">
        <v>6.35</v>
      </c>
      <c r="C47" s="100">
        <v>7.79</v>
      </c>
      <c r="D47" s="100">
        <v>2.58</v>
      </c>
      <c r="E47" s="100">
        <v>4.58</v>
      </c>
      <c r="F47" s="100">
        <v>0.24</v>
      </c>
      <c r="G47" s="100">
        <v>31.51</v>
      </c>
      <c r="H47" s="100">
        <v>6.54</v>
      </c>
      <c r="I47" s="100">
        <v>5.69</v>
      </c>
      <c r="J47" s="100">
        <v>1.1200000000000001</v>
      </c>
      <c r="K47" s="100">
        <v>282.18</v>
      </c>
      <c r="L47" s="100">
        <v>27.5</v>
      </c>
      <c r="M47" s="100">
        <v>82.17</v>
      </c>
      <c r="N47" s="100">
        <v>134.19999999999999</v>
      </c>
      <c r="O47" s="100">
        <v>0</v>
      </c>
      <c r="P47" s="100">
        <v>0.42</v>
      </c>
      <c r="Q47" s="147" t="s">
        <v>14</v>
      </c>
      <c r="R47" s="6"/>
      <c r="S47" s="6"/>
      <c r="T47" s="156"/>
      <c r="U47" s="6"/>
    </row>
    <row r="48" spans="1:21" customFormat="1">
      <c r="A48" s="163" t="s">
        <v>279</v>
      </c>
      <c r="B48" s="100">
        <v>6.56</v>
      </c>
      <c r="C48" s="100">
        <v>8.98</v>
      </c>
      <c r="D48" s="100">
        <v>4.54</v>
      </c>
      <c r="E48" s="100">
        <v>4.51</v>
      </c>
      <c r="F48" s="100">
        <v>0.2</v>
      </c>
      <c r="G48" s="100">
        <v>34.31</v>
      </c>
      <c r="H48" s="100">
        <v>6.53</v>
      </c>
      <c r="I48" s="100">
        <v>5.8</v>
      </c>
      <c r="J48" s="100">
        <v>0.98</v>
      </c>
      <c r="K48" s="100">
        <v>276.33</v>
      </c>
      <c r="L48" s="100">
        <v>27.38</v>
      </c>
      <c r="M48" s="100">
        <v>82.46</v>
      </c>
      <c r="N48" s="100">
        <v>121.4</v>
      </c>
      <c r="O48" s="100">
        <v>0</v>
      </c>
      <c r="P48" s="100">
        <v>0.44</v>
      </c>
      <c r="Q48" s="147" t="s">
        <v>14</v>
      </c>
      <c r="R48" s="6"/>
      <c r="S48" s="6"/>
      <c r="T48" s="156"/>
      <c r="U48" s="6"/>
    </row>
    <row r="49" spans="1:21" customFormat="1">
      <c r="A49" s="163" t="s">
        <v>280</v>
      </c>
      <c r="B49" s="100">
        <v>6.77</v>
      </c>
      <c r="C49" s="100">
        <v>8.5</v>
      </c>
      <c r="D49" s="100">
        <v>3.29</v>
      </c>
      <c r="E49" s="100">
        <v>5</v>
      </c>
      <c r="F49" s="100">
        <v>0.2</v>
      </c>
      <c r="G49" s="100">
        <v>34.31</v>
      </c>
      <c r="H49" s="100">
        <v>6.53</v>
      </c>
      <c r="I49" s="100">
        <v>5.65</v>
      </c>
      <c r="J49" s="100">
        <v>1.02</v>
      </c>
      <c r="K49" s="100">
        <v>283.20999999999998</v>
      </c>
      <c r="L49" s="100">
        <v>27.14</v>
      </c>
      <c r="M49" s="100">
        <v>82.9</v>
      </c>
      <c r="N49" s="100">
        <v>136.69999999999999</v>
      </c>
      <c r="O49" s="100">
        <v>0</v>
      </c>
      <c r="P49" s="100">
        <v>0.41</v>
      </c>
      <c r="Q49" s="147" t="s">
        <v>14</v>
      </c>
      <c r="R49" s="6"/>
      <c r="S49" s="6"/>
      <c r="T49" s="156"/>
      <c r="U49" s="6"/>
    </row>
    <row r="50" spans="1:21" customFormat="1">
      <c r="A50" s="163" t="s">
        <v>281</v>
      </c>
      <c r="B50" s="100">
        <v>6.82</v>
      </c>
      <c r="C50" s="100">
        <v>8.69</v>
      </c>
      <c r="D50" s="100">
        <v>3.58</v>
      </c>
      <c r="E50" s="100">
        <v>5.74</v>
      </c>
      <c r="F50" s="100">
        <v>0.2</v>
      </c>
      <c r="G50" s="100">
        <v>34.31</v>
      </c>
      <c r="H50" s="100">
        <v>6.53</v>
      </c>
      <c r="I50" s="100">
        <v>5.76</v>
      </c>
      <c r="J50" s="100">
        <v>0.92</v>
      </c>
      <c r="K50" s="100">
        <v>272.45999999999998</v>
      </c>
      <c r="L50" s="100">
        <v>27.21</v>
      </c>
      <c r="M50" s="100">
        <v>82.78</v>
      </c>
      <c r="N50" s="100">
        <v>133.9</v>
      </c>
      <c r="O50" s="100">
        <v>0</v>
      </c>
      <c r="P50" s="100">
        <v>0.39</v>
      </c>
      <c r="Q50" s="147" t="s">
        <v>14</v>
      </c>
      <c r="R50" s="6"/>
      <c r="S50" s="6"/>
      <c r="T50" s="156"/>
      <c r="U50" s="6"/>
    </row>
    <row r="51" spans="1:21" customFormat="1">
      <c r="A51" s="163" t="s">
        <v>282</v>
      </c>
      <c r="B51" s="100">
        <v>6.84</v>
      </c>
      <c r="C51" s="100">
        <v>8.94</v>
      </c>
      <c r="D51" s="100">
        <v>4.0199999999999996</v>
      </c>
      <c r="E51" s="100">
        <v>5.44</v>
      </c>
      <c r="F51" s="100">
        <v>0.2</v>
      </c>
      <c r="G51" s="100">
        <v>36.29</v>
      </c>
      <c r="H51" s="100">
        <v>6.96</v>
      </c>
      <c r="I51" s="100">
        <v>5.7</v>
      </c>
      <c r="J51" s="100">
        <v>1.1100000000000001</v>
      </c>
      <c r="K51" s="100">
        <v>290.31</v>
      </c>
      <c r="L51" s="100">
        <v>27.34</v>
      </c>
      <c r="M51" s="100">
        <v>82.91</v>
      </c>
      <c r="N51" s="100">
        <v>231.4</v>
      </c>
      <c r="O51" s="100">
        <v>0</v>
      </c>
      <c r="P51" s="100">
        <v>0.38</v>
      </c>
      <c r="Q51" s="147" t="s">
        <v>14</v>
      </c>
      <c r="R51" s="6"/>
      <c r="S51" s="6"/>
      <c r="T51" s="156"/>
      <c r="U51" s="6"/>
    </row>
    <row r="52" spans="1:21" customFormat="1">
      <c r="A52" s="163" t="s">
        <v>283</v>
      </c>
      <c r="B52" s="100">
        <v>6.87</v>
      </c>
      <c r="C52" s="100">
        <v>9.09</v>
      </c>
      <c r="D52" s="100">
        <v>4.26</v>
      </c>
      <c r="E52" s="100">
        <v>5.88</v>
      </c>
      <c r="F52" s="100">
        <v>0.2</v>
      </c>
      <c r="G52" s="100">
        <v>37.799999999999997</v>
      </c>
      <c r="H52" s="100">
        <v>7.09</v>
      </c>
      <c r="I52" s="100">
        <v>5.64</v>
      </c>
      <c r="J52" s="100">
        <v>0.84</v>
      </c>
      <c r="K52" s="100">
        <v>280.5</v>
      </c>
      <c r="L52" s="100">
        <v>27.57</v>
      </c>
      <c r="M52" s="100">
        <v>83.38</v>
      </c>
      <c r="N52" s="100">
        <v>188.1</v>
      </c>
      <c r="O52" s="100">
        <v>0</v>
      </c>
      <c r="P52" s="100">
        <v>0.38</v>
      </c>
      <c r="Q52" s="147" t="s">
        <v>14</v>
      </c>
      <c r="R52" s="6"/>
      <c r="S52" s="6"/>
      <c r="T52" s="156"/>
      <c r="U52" s="6"/>
    </row>
    <row r="53" spans="1:21" customFormat="1">
      <c r="A53" s="163" t="s">
        <v>284</v>
      </c>
      <c r="B53" s="100">
        <v>6.84</v>
      </c>
      <c r="C53" s="100">
        <v>9.23</v>
      </c>
      <c r="D53" s="100">
        <v>4.59</v>
      </c>
      <c r="E53" s="100">
        <v>5.62</v>
      </c>
      <c r="F53" s="100">
        <v>3.94</v>
      </c>
      <c r="G53" s="100">
        <v>37.799999999999997</v>
      </c>
      <c r="H53" s="100">
        <v>7.09</v>
      </c>
      <c r="I53" s="100">
        <v>5.69</v>
      </c>
      <c r="J53" s="100">
        <v>0.69</v>
      </c>
      <c r="K53" s="100">
        <v>264.57</v>
      </c>
      <c r="L53" s="100">
        <v>27.44</v>
      </c>
      <c r="M53" s="100">
        <v>83.96</v>
      </c>
      <c r="N53" s="100">
        <v>165.4</v>
      </c>
      <c r="O53" s="100">
        <v>0</v>
      </c>
      <c r="P53" s="100">
        <v>0.37</v>
      </c>
      <c r="Q53" s="147" t="s">
        <v>14</v>
      </c>
      <c r="R53" s="6"/>
      <c r="S53" s="6"/>
      <c r="T53" s="156"/>
      <c r="U53" s="6"/>
    </row>
    <row r="54" spans="1:21" customFormat="1">
      <c r="A54" s="163" t="s">
        <v>285</v>
      </c>
      <c r="B54" s="100">
        <v>6.41</v>
      </c>
      <c r="C54" s="100">
        <v>9.43</v>
      </c>
      <c r="D54" s="100">
        <v>5.62</v>
      </c>
      <c r="E54" s="100">
        <v>5.49</v>
      </c>
      <c r="F54" s="100">
        <v>8.1</v>
      </c>
      <c r="G54" s="100">
        <v>37.799999999999997</v>
      </c>
      <c r="H54" s="100">
        <v>7.09</v>
      </c>
      <c r="I54" s="100">
        <v>5.75</v>
      </c>
      <c r="J54" s="100">
        <v>0.87</v>
      </c>
      <c r="K54" s="100">
        <v>280.63</v>
      </c>
      <c r="L54" s="100">
        <v>27.82</v>
      </c>
      <c r="M54" s="100">
        <v>81.900000000000006</v>
      </c>
      <c r="N54" s="100">
        <v>180.5</v>
      </c>
      <c r="O54" s="100">
        <v>0</v>
      </c>
      <c r="P54" s="100">
        <v>0.38</v>
      </c>
      <c r="Q54" s="100">
        <v>9.9600000000000009</v>
      </c>
      <c r="R54" s="6"/>
      <c r="S54" s="6"/>
      <c r="T54" s="156"/>
      <c r="U54" s="6"/>
    </row>
    <row r="55" spans="1:21" customFormat="1">
      <c r="A55" s="163" t="s">
        <v>286</v>
      </c>
      <c r="B55" s="100">
        <v>6.43</v>
      </c>
      <c r="C55" s="100">
        <v>9.98</v>
      </c>
      <c r="D55" s="100">
        <v>6.65</v>
      </c>
      <c r="E55" s="100">
        <v>5.79</v>
      </c>
      <c r="F55" s="100">
        <v>10.09</v>
      </c>
      <c r="G55" s="100">
        <v>37.799999999999997</v>
      </c>
      <c r="H55" s="100">
        <v>7.09</v>
      </c>
      <c r="I55" s="100">
        <v>5.6</v>
      </c>
      <c r="J55" s="100">
        <v>1.03</v>
      </c>
      <c r="K55" s="100">
        <v>295.48</v>
      </c>
      <c r="L55" s="100">
        <v>27.95</v>
      </c>
      <c r="M55" s="100">
        <v>79.63</v>
      </c>
      <c r="N55" s="100">
        <v>156</v>
      </c>
      <c r="O55" s="100">
        <v>0</v>
      </c>
      <c r="P55" s="100">
        <v>0.38</v>
      </c>
      <c r="Q55" s="100">
        <v>9.9700000000000006</v>
      </c>
      <c r="R55" s="6"/>
      <c r="S55" s="6"/>
      <c r="T55" s="156"/>
      <c r="U55" s="6"/>
    </row>
    <row r="56" spans="1:21" customFormat="1">
      <c r="A56" s="163" t="s">
        <v>287</v>
      </c>
      <c r="B56" s="100">
        <v>6.01</v>
      </c>
      <c r="C56" s="100">
        <v>9.74</v>
      </c>
      <c r="D56" s="100">
        <v>6.83</v>
      </c>
      <c r="E56" s="100">
        <v>5.75</v>
      </c>
      <c r="F56" s="100">
        <v>10.42</v>
      </c>
      <c r="G56" s="100">
        <v>37.799999999999997</v>
      </c>
      <c r="H56" s="100">
        <v>7.09</v>
      </c>
      <c r="I56" s="100">
        <v>5.54</v>
      </c>
      <c r="J56" s="100">
        <v>0.9</v>
      </c>
      <c r="K56" s="100">
        <v>272.75</v>
      </c>
      <c r="L56" s="100">
        <v>27.9</v>
      </c>
      <c r="M56" s="100">
        <v>79.59</v>
      </c>
      <c r="N56" s="100">
        <v>157.69999999999999</v>
      </c>
      <c r="O56" s="100">
        <v>0</v>
      </c>
      <c r="P56" s="100">
        <v>0.37</v>
      </c>
      <c r="Q56" s="100">
        <v>9.9600000000000009</v>
      </c>
      <c r="R56" s="6"/>
      <c r="S56" s="6"/>
      <c r="T56" s="156"/>
      <c r="U56" s="6"/>
    </row>
    <row r="57" spans="1:21" customFormat="1">
      <c r="A57" s="163" t="s">
        <v>288</v>
      </c>
      <c r="B57" s="100">
        <v>6.3</v>
      </c>
      <c r="C57" s="100">
        <v>9.9600000000000009</v>
      </c>
      <c r="D57" s="100">
        <v>6.8</v>
      </c>
      <c r="E57" s="100">
        <v>5.69</v>
      </c>
      <c r="F57" s="100">
        <v>7.66</v>
      </c>
      <c r="G57" s="100">
        <v>37.799999999999997</v>
      </c>
      <c r="H57" s="100">
        <v>7.09</v>
      </c>
      <c r="I57" s="100">
        <v>5.22</v>
      </c>
      <c r="J57" s="100">
        <v>0.92</v>
      </c>
      <c r="K57" s="100">
        <v>280.68</v>
      </c>
      <c r="L57" s="100">
        <v>27.92</v>
      </c>
      <c r="M57" s="100">
        <v>78.849999999999994</v>
      </c>
      <c r="N57" s="100">
        <v>106.1</v>
      </c>
      <c r="O57" s="100">
        <v>0</v>
      </c>
      <c r="P57" s="100">
        <v>0.37</v>
      </c>
      <c r="Q57" s="100">
        <v>9.9499999999999993</v>
      </c>
      <c r="R57" s="6"/>
      <c r="S57" s="6"/>
      <c r="T57" s="156"/>
      <c r="U57" s="6"/>
    </row>
    <row r="58" spans="1:21" customFormat="1">
      <c r="A58" s="163" t="s">
        <v>289</v>
      </c>
      <c r="B58" s="100">
        <v>5.59</v>
      </c>
      <c r="C58" s="100">
        <v>9.4</v>
      </c>
      <c r="D58" s="100">
        <v>6.82</v>
      </c>
      <c r="E58" s="100">
        <v>5.86</v>
      </c>
      <c r="F58" s="100">
        <v>5.44</v>
      </c>
      <c r="G58" s="100">
        <v>37.799999999999997</v>
      </c>
      <c r="H58" s="100">
        <v>7.09</v>
      </c>
      <c r="I58" s="100">
        <v>4.97</v>
      </c>
      <c r="J58" s="100">
        <v>0.92</v>
      </c>
      <c r="K58" s="100">
        <v>270.88</v>
      </c>
      <c r="L58" s="100">
        <v>27.77</v>
      </c>
      <c r="M58" s="100">
        <v>80.13</v>
      </c>
      <c r="N58" s="100">
        <v>90.6</v>
      </c>
      <c r="O58" s="100">
        <v>0</v>
      </c>
      <c r="P58" s="100">
        <v>0.38</v>
      </c>
      <c r="Q58" s="100">
        <v>9.9600000000000009</v>
      </c>
      <c r="R58" s="6"/>
      <c r="S58" s="6"/>
      <c r="T58" s="156"/>
      <c r="U58" s="6"/>
    </row>
    <row r="59" spans="1:21" customFormat="1">
      <c r="A59" s="163" t="s">
        <v>290</v>
      </c>
      <c r="B59" s="100">
        <v>4.71</v>
      </c>
      <c r="C59" s="100">
        <v>6.75</v>
      </c>
      <c r="D59" s="100">
        <v>3.1</v>
      </c>
      <c r="E59" s="100">
        <v>5.89</v>
      </c>
      <c r="F59" s="100">
        <v>12.82</v>
      </c>
      <c r="G59" s="135" t="s">
        <v>12</v>
      </c>
      <c r="H59" s="135" t="s">
        <v>12</v>
      </c>
      <c r="I59" s="100">
        <v>4.7699999999999996</v>
      </c>
      <c r="J59" s="100">
        <v>1.07</v>
      </c>
      <c r="K59" s="100">
        <v>286.20999999999998</v>
      </c>
      <c r="L59" s="100">
        <v>27.94</v>
      </c>
      <c r="M59" s="100">
        <v>78.709999999999994</v>
      </c>
      <c r="N59" s="100">
        <v>199.7</v>
      </c>
      <c r="O59" s="100">
        <v>0</v>
      </c>
      <c r="P59" s="100">
        <v>0.39</v>
      </c>
      <c r="Q59" s="100">
        <v>9.9499999999999993</v>
      </c>
      <c r="R59" s="6"/>
      <c r="S59" s="6"/>
      <c r="T59" s="156"/>
      <c r="U59" s="6"/>
    </row>
    <row r="60" spans="1:21" customFormat="1">
      <c r="A60" s="163" t="s">
        <v>291</v>
      </c>
      <c r="B60" s="100">
        <v>164.21</v>
      </c>
      <c r="C60" s="100">
        <v>132.09</v>
      </c>
      <c r="D60" s="100">
        <v>0.09</v>
      </c>
      <c r="E60" s="100">
        <v>5.67</v>
      </c>
      <c r="F60" s="100">
        <v>16.97</v>
      </c>
      <c r="G60" s="135" t="s">
        <v>12</v>
      </c>
      <c r="H60" s="135" t="s">
        <v>12</v>
      </c>
      <c r="I60" s="100">
        <v>4.8600000000000003</v>
      </c>
      <c r="J60" s="100">
        <v>1.22</v>
      </c>
      <c r="K60" s="100">
        <v>272.33</v>
      </c>
      <c r="L60" s="100">
        <v>28.1</v>
      </c>
      <c r="M60" s="100">
        <v>78.23</v>
      </c>
      <c r="N60" s="100">
        <v>277</v>
      </c>
      <c r="O60" s="100">
        <v>0</v>
      </c>
      <c r="P60" s="100">
        <v>0.28999999999999998</v>
      </c>
      <c r="Q60" s="100">
        <v>9.9499999999999993</v>
      </c>
      <c r="R60" s="6"/>
      <c r="S60" s="6"/>
      <c r="T60" s="156"/>
      <c r="U60" s="6"/>
    </row>
    <row r="61" spans="1:21" customFormat="1">
      <c r="A61" s="163" t="s">
        <v>292</v>
      </c>
      <c r="B61" s="100">
        <v>200.47</v>
      </c>
      <c r="C61" s="100">
        <v>178.37</v>
      </c>
      <c r="D61" s="100">
        <v>0.41</v>
      </c>
      <c r="E61" s="100">
        <v>5.6</v>
      </c>
      <c r="F61" s="100">
        <v>13.47</v>
      </c>
      <c r="G61" s="135" t="s">
        <v>12</v>
      </c>
      <c r="H61" s="135" t="s">
        <v>12</v>
      </c>
      <c r="I61" s="100">
        <v>4.8899999999999997</v>
      </c>
      <c r="J61" s="100">
        <v>0.99</v>
      </c>
      <c r="K61" s="100">
        <v>262.45</v>
      </c>
      <c r="L61" s="100">
        <v>28.5</v>
      </c>
      <c r="M61" s="100">
        <v>77.47</v>
      </c>
      <c r="N61" s="100">
        <v>247.5</v>
      </c>
      <c r="O61" s="100">
        <v>0</v>
      </c>
      <c r="P61" s="100">
        <v>0.28000000000000003</v>
      </c>
      <c r="Q61" s="100">
        <v>9.94</v>
      </c>
      <c r="R61" s="6"/>
      <c r="S61" s="6"/>
      <c r="T61" s="156"/>
      <c r="U61" s="6"/>
    </row>
    <row r="62" spans="1:21" customFormat="1">
      <c r="A62" s="163" t="s">
        <v>293</v>
      </c>
      <c r="B62" s="100">
        <v>0.87</v>
      </c>
      <c r="C62" s="100">
        <v>4.8899999999999997</v>
      </c>
      <c r="D62" s="100">
        <v>4.01</v>
      </c>
      <c r="E62" s="100">
        <v>5.72</v>
      </c>
      <c r="F62" s="100">
        <v>14.69</v>
      </c>
      <c r="G62" s="135" t="s">
        <v>12</v>
      </c>
      <c r="H62" s="135" t="s">
        <v>12</v>
      </c>
      <c r="I62" s="100">
        <v>5.79</v>
      </c>
      <c r="J62" s="100">
        <v>1.04</v>
      </c>
      <c r="K62" s="100">
        <v>272.10000000000002</v>
      </c>
      <c r="L62" s="100">
        <v>28.26</v>
      </c>
      <c r="M62" s="100">
        <v>78.72</v>
      </c>
      <c r="N62" s="100">
        <v>207.6</v>
      </c>
      <c r="O62" s="100">
        <v>0</v>
      </c>
      <c r="P62" s="100">
        <v>0.28999999999999998</v>
      </c>
      <c r="Q62" s="100">
        <v>9.94</v>
      </c>
      <c r="R62" s="6"/>
      <c r="S62" s="6"/>
      <c r="T62" s="156"/>
      <c r="U62" s="6"/>
    </row>
    <row r="63" spans="1:21" customFormat="1">
      <c r="A63" s="163" t="s">
        <v>294</v>
      </c>
      <c r="B63" s="100">
        <v>1.53</v>
      </c>
      <c r="C63" s="100">
        <v>7.3</v>
      </c>
      <c r="D63" s="100">
        <v>5.77</v>
      </c>
      <c r="E63" s="100">
        <v>5.25</v>
      </c>
      <c r="F63" s="100">
        <v>17.100000000000001</v>
      </c>
      <c r="G63" s="100">
        <v>34.880000000000003</v>
      </c>
      <c r="H63" s="100">
        <v>11.27</v>
      </c>
      <c r="I63" s="100">
        <v>8.08</v>
      </c>
      <c r="J63" s="100">
        <v>1.17</v>
      </c>
      <c r="K63" s="100">
        <v>274.64999999999998</v>
      </c>
      <c r="L63" s="100">
        <v>28.24</v>
      </c>
      <c r="M63" s="100">
        <v>78.55</v>
      </c>
      <c r="N63" s="100">
        <v>209.5</v>
      </c>
      <c r="O63" s="100">
        <v>0</v>
      </c>
      <c r="P63" s="100">
        <v>0.28000000000000003</v>
      </c>
      <c r="Q63" s="100">
        <v>9.93</v>
      </c>
      <c r="R63" s="6"/>
      <c r="S63" s="6"/>
      <c r="T63" s="156"/>
      <c r="U63" s="6"/>
    </row>
    <row r="64" spans="1:21" customFormat="1">
      <c r="A64" s="163" t="s">
        <v>295</v>
      </c>
      <c r="B64" s="100">
        <v>1.57</v>
      </c>
      <c r="C64" s="100">
        <v>7.57</v>
      </c>
      <c r="D64" s="100">
        <v>6.01</v>
      </c>
      <c r="E64" s="100">
        <v>17.13</v>
      </c>
      <c r="F64" s="100">
        <v>18.37</v>
      </c>
      <c r="G64" s="100">
        <v>37.82</v>
      </c>
      <c r="H64" s="100">
        <v>11.27</v>
      </c>
      <c r="I64" s="100">
        <v>8.1</v>
      </c>
      <c r="J64" s="100">
        <v>1.19</v>
      </c>
      <c r="K64" s="100">
        <v>265.54000000000002</v>
      </c>
      <c r="L64" s="100">
        <v>27.96</v>
      </c>
      <c r="M64" s="100">
        <v>79.2</v>
      </c>
      <c r="N64" s="100">
        <v>147.9</v>
      </c>
      <c r="O64" s="100">
        <v>0</v>
      </c>
      <c r="P64" s="100">
        <v>0.27</v>
      </c>
      <c r="Q64" s="100">
        <v>9.92</v>
      </c>
      <c r="R64" s="6"/>
      <c r="S64" s="6"/>
      <c r="T64" s="156"/>
      <c r="U64" s="6"/>
    </row>
    <row r="65" spans="1:21" customFormat="1">
      <c r="A65" s="163" t="s">
        <v>296</v>
      </c>
      <c r="B65" s="100">
        <v>1.66</v>
      </c>
      <c r="C65" s="100">
        <v>8.1199999999999992</v>
      </c>
      <c r="D65" s="100">
        <v>6.46</v>
      </c>
      <c r="E65" s="100">
        <v>123.25</v>
      </c>
      <c r="F65" s="100">
        <v>11.67</v>
      </c>
      <c r="G65" s="100">
        <v>37.82</v>
      </c>
      <c r="H65" s="100">
        <v>11.27</v>
      </c>
      <c r="I65" s="100">
        <v>11.55</v>
      </c>
      <c r="J65" s="100">
        <v>1.06</v>
      </c>
      <c r="K65" s="100">
        <v>286.14</v>
      </c>
      <c r="L65" s="100">
        <v>27.64</v>
      </c>
      <c r="M65" s="100">
        <v>80.650000000000006</v>
      </c>
      <c r="N65" s="100">
        <v>161.4</v>
      </c>
      <c r="O65" s="100">
        <v>0</v>
      </c>
      <c r="P65" s="100">
        <v>0.2</v>
      </c>
      <c r="Q65" s="100">
        <v>9.93</v>
      </c>
      <c r="R65" s="6"/>
      <c r="S65" s="6"/>
      <c r="T65" s="156"/>
      <c r="U65" s="6"/>
    </row>
    <row r="66" spans="1:21" customFormat="1">
      <c r="A66" s="163" t="s">
        <v>297</v>
      </c>
      <c r="B66" s="100">
        <v>2.54</v>
      </c>
      <c r="C66" s="100">
        <v>9.42</v>
      </c>
      <c r="D66" s="100">
        <v>6.88</v>
      </c>
      <c r="E66" s="100">
        <v>196.27</v>
      </c>
      <c r="F66" s="100">
        <v>20.350000000000001</v>
      </c>
      <c r="G66" s="100">
        <v>37.82</v>
      </c>
      <c r="H66" s="100">
        <v>11.27</v>
      </c>
      <c r="I66" s="100">
        <v>13.13</v>
      </c>
      <c r="J66" s="100">
        <v>1.22</v>
      </c>
      <c r="K66" s="100">
        <v>278.20999999999998</v>
      </c>
      <c r="L66" s="100">
        <v>28.04</v>
      </c>
      <c r="M66" s="100">
        <v>80.069999999999993</v>
      </c>
      <c r="N66" s="100">
        <v>233.9</v>
      </c>
      <c r="O66" s="100">
        <v>0</v>
      </c>
      <c r="P66" s="100">
        <v>0.21</v>
      </c>
      <c r="Q66" s="100">
        <v>9.93</v>
      </c>
      <c r="R66" s="6"/>
      <c r="S66" s="6"/>
      <c r="T66" s="156"/>
      <c r="U66" s="6"/>
    </row>
    <row r="67" spans="1:21" customFormat="1">
      <c r="A67" s="163" t="s">
        <v>298</v>
      </c>
      <c r="B67" s="100">
        <v>3.82</v>
      </c>
      <c r="C67" s="100">
        <v>11.65</v>
      </c>
      <c r="D67" s="100">
        <v>7.83</v>
      </c>
      <c r="E67" s="100">
        <v>7.85</v>
      </c>
      <c r="F67" s="100">
        <v>9.74</v>
      </c>
      <c r="G67" s="100">
        <v>33.94</v>
      </c>
      <c r="H67" s="100">
        <v>14.38</v>
      </c>
      <c r="I67" s="100">
        <v>14.4</v>
      </c>
      <c r="J67" s="100">
        <v>1.1499999999999999</v>
      </c>
      <c r="K67" s="100">
        <v>289.52999999999997</v>
      </c>
      <c r="L67" s="100">
        <v>28.12</v>
      </c>
      <c r="M67" s="100">
        <v>80.08</v>
      </c>
      <c r="N67" s="100">
        <v>195.4</v>
      </c>
      <c r="O67" s="100">
        <v>0</v>
      </c>
      <c r="P67" s="100">
        <v>0.22</v>
      </c>
      <c r="Q67" s="100">
        <v>9.9499999999999993</v>
      </c>
      <c r="R67" s="6"/>
      <c r="S67" s="6"/>
      <c r="T67" s="156"/>
      <c r="U67" s="6"/>
    </row>
    <row r="68" spans="1:21" customFormat="1">
      <c r="A68" s="163" t="s">
        <v>299</v>
      </c>
      <c r="B68" s="100">
        <v>3.08</v>
      </c>
      <c r="C68" s="100">
        <v>12.09</v>
      </c>
      <c r="D68" s="100">
        <v>9.01</v>
      </c>
      <c r="E68" s="100">
        <v>4.41</v>
      </c>
      <c r="F68" s="100">
        <v>17.54</v>
      </c>
      <c r="G68" s="100">
        <v>33.61</v>
      </c>
      <c r="H68" s="100">
        <v>14.38</v>
      </c>
      <c r="I68" s="100">
        <v>13.77</v>
      </c>
      <c r="J68" s="100">
        <v>1.04</v>
      </c>
      <c r="K68" s="100">
        <v>268.68</v>
      </c>
      <c r="L68" s="100">
        <v>28.47</v>
      </c>
      <c r="M68" s="100">
        <v>78.150000000000006</v>
      </c>
      <c r="N68" s="100">
        <v>166.4</v>
      </c>
      <c r="O68" s="100">
        <v>0</v>
      </c>
      <c r="P68" s="100">
        <v>5.14</v>
      </c>
      <c r="Q68" s="100">
        <v>9.9499999999999993</v>
      </c>
      <c r="R68" s="6"/>
      <c r="S68" s="6"/>
      <c r="T68" s="156"/>
      <c r="U68" s="6"/>
    </row>
    <row r="69" spans="1:21" customFormat="1">
      <c r="A69" s="163" t="s">
        <v>300</v>
      </c>
      <c r="B69" s="100">
        <v>2.35</v>
      </c>
      <c r="C69" s="100">
        <v>10.95</v>
      </c>
      <c r="D69" s="100">
        <v>8.6</v>
      </c>
      <c r="E69" s="100">
        <v>4.22</v>
      </c>
      <c r="F69" s="100">
        <v>16.03</v>
      </c>
      <c r="G69" s="100">
        <v>33.61</v>
      </c>
      <c r="H69" s="100">
        <v>14.38</v>
      </c>
      <c r="I69" s="100">
        <v>15.26</v>
      </c>
      <c r="J69" s="100">
        <v>1.04</v>
      </c>
      <c r="K69" s="100">
        <v>285.52999999999997</v>
      </c>
      <c r="L69" s="100">
        <v>28.57</v>
      </c>
      <c r="M69" s="100">
        <v>77.78</v>
      </c>
      <c r="N69" s="100">
        <v>177.1</v>
      </c>
      <c r="O69" s="100">
        <v>0</v>
      </c>
      <c r="P69" s="100">
        <v>0.14000000000000001</v>
      </c>
      <c r="Q69" s="100">
        <v>9.94</v>
      </c>
      <c r="R69" s="6"/>
      <c r="S69" s="6"/>
      <c r="T69" s="156"/>
      <c r="U69" s="6"/>
    </row>
    <row r="70" spans="1:21" customFormat="1">
      <c r="A70" s="163" t="s">
        <v>301</v>
      </c>
      <c r="B70" s="100">
        <v>2.4900000000000002</v>
      </c>
      <c r="C70" s="100">
        <v>11.64</v>
      </c>
      <c r="D70" s="100">
        <v>9.15</v>
      </c>
      <c r="E70" s="100">
        <v>4.29</v>
      </c>
      <c r="F70" s="100">
        <v>9</v>
      </c>
      <c r="G70" s="100">
        <v>33.61</v>
      </c>
      <c r="H70" s="100">
        <v>14.38</v>
      </c>
      <c r="I70" s="100">
        <v>10.47</v>
      </c>
      <c r="J70" s="100">
        <v>1.1599999999999999</v>
      </c>
      <c r="K70" s="100">
        <v>286.08999999999997</v>
      </c>
      <c r="L70" s="100">
        <v>29.12</v>
      </c>
      <c r="M70" s="100">
        <v>75.319999999999993</v>
      </c>
      <c r="N70" s="100">
        <v>334.5</v>
      </c>
      <c r="O70" s="100">
        <v>0</v>
      </c>
      <c r="P70" s="100">
        <v>0.15</v>
      </c>
      <c r="Q70" s="100">
        <v>9.93</v>
      </c>
      <c r="R70" s="6"/>
      <c r="S70" s="6"/>
      <c r="T70" s="156"/>
      <c r="U70" s="6"/>
    </row>
    <row r="71" spans="1:21" customFormat="1">
      <c r="A71" s="163" t="s">
        <v>302</v>
      </c>
      <c r="B71" s="100">
        <v>1.6</v>
      </c>
      <c r="C71" s="100">
        <v>10.47</v>
      </c>
      <c r="D71" s="100">
        <v>8.86</v>
      </c>
      <c r="E71" s="100">
        <v>4.3499999999999996</v>
      </c>
      <c r="F71" s="100">
        <v>4.8099999999999996</v>
      </c>
      <c r="G71" s="100">
        <v>35.380000000000003</v>
      </c>
      <c r="H71" s="100">
        <v>12.07</v>
      </c>
      <c r="I71" s="100">
        <v>9.31</v>
      </c>
      <c r="J71" s="100">
        <v>1.1000000000000001</v>
      </c>
      <c r="K71" s="100">
        <v>274.49</v>
      </c>
      <c r="L71" s="100">
        <v>28.82</v>
      </c>
      <c r="M71" s="100">
        <v>75.81</v>
      </c>
      <c r="N71" s="100">
        <v>134.19999999999999</v>
      </c>
      <c r="O71" s="100">
        <v>0</v>
      </c>
      <c r="P71" s="100">
        <v>0.13</v>
      </c>
      <c r="Q71" s="100">
        <v>9.93</v>
      </c>
      <c r="R71" s="6"/>
      <c r="S71" s="6"/>
      <c r="T71" s="156"/>
      <c r="U71" s="6"/>
    </row>
    <row r="72" spans="1:21" customFormat="1">
      <c r="A72" s="163" t="s">
        <v>303</v>
      </c>
      <c r="B72" s="100">
        <v>1.34</v>
      </c>
      <c r="C72" s="100">
        <v>9.1199999999999992</v>
      </c>
      <c r="D72" s="100">
        <v>7.78</v>
      </c>
      <c r="E72" s="100">
        <v>3.79</v>
      </c>
      <c r="F72" s="100">
        <v>4.55</v>
      </c>
      <c r="G72" s="100">
        <v>35.53</v>
      </c>
      <c r="H72" s="100">
        <v>12.07</v>
      </c>
      <c r="I72" s="100">
        <v>7.92</v>
      </c>
      <c r="J72" s="100">
        <v>1.21</v>
      </c>
      <c r="K72" s="100">
        <v>286.49</v>
      </c>
      <c r="L72" s="100">
        <v>28.49</v>
      </c>
      <c r="M72" s="100">
        <v>76.59</v>
      </c>
      <c r="N72" s="100">
        <v>115.2</v>
      </c>
      <c r="O72" s="100">
        <v>0</v>
      </c>
      <c r="P72" s="100">
        <v>0.12</v>
      </c>
      <c r="Q72" s="100">
        <v>9.94</v>
      </c>
      <c r="R72" s="6"/>
      <c r="S72" s="6"/>
      <c r="T72" s="156"/>
      <c r="U72" s="6"/>
    </row>
    <row r="73" spans="1:21" customFormat="1">
      <c r="A73" s="163" t="s">
        <v>304</v>
      </c>
      <c r="B73" s="100">
        <v>1.55</v>
      </c>
      <c r="C73" s="100">
        <v>8.59</v>
      </c>
      <c r="D73" s="100">
        <v>7.04</v>
      </c>
      <c r="E73" s="100">
        <v>3.94</v>
      </c>
      <c r="F73" s="100">
        <v>13.18</v>
      </c>
      <c r="G73" s="100">
        <v>35.53</v>
      </c>
      <c r="H73" s="100">
        <v>12.07</v>
      </c>
      <c r="I73" s="100">
        <v>8.23</v>
      </c>
      <c r="J73" s="100">
        <v>1.26</v>
      </c>
      <c r="K73" s="100">
        <v>283.43</v>
      </c>
      <c r="L73" s="100">
        <v>28.5</v>
      </c>
      <c r="M73" s="100">
        <v>76.72</v>
      </c>
      <c r="N73" s="100">
        <v>122.3</v>
      </c>
      <c r="O73" s="100">
        <v>0</v>
      </c>
      <c r="P73" s="100">
        <v>0.1</v>
      </c>
      <c r="Q73" s="100">
        <v>9.93</v>
      </c>
      <c r="R73" s="6"/>
      <c r="S73" s="6"/>
      <c r="T73" s="156"/>
      <c r="U73" s="6"/>
    </row>
    <row r="74" spans="1:21" customFormat="1">
      <c r="A74" s="163" t="s">
        <v>305</v>
      </c>
      <c r="B74" s="100">
        <v>2.35</v>
      </c>
      <c r="C74" s="100">
        <v>10.98</v>
      </c>
      <c r="D74" s="100">
        <v>8.6300000000000008</v>
      </c>
      <c r="E74" s="100">
        <v>3.96</v>
      </c>
      <c r="F74" s="100">
        <v>22.24</v>
      </c>
      <c r="G74" s="100">
        <v>35.53</v>
      </c>
      <c r="H74" s="100">
        <v>12.07</v>
      </c>
      <c r="I74" s="100">
        <v>6.24</v>
      </c>
      <c r="J74" s="100">
        <v>1.03</v>
      </c>
      <c r="K74" s="100">
        <v>272.39</v>
      </c>
      <c r="L74" s="100">
        <v>28.34</v>
      </c>
      <c r="M74" s="100">
        <v>78.47</v>
      </c>
      <c r="N74" s="100">
        <v>107.3</v>
      </c>
      <c r="O74" s="100">
        <v>0</v>
      </c>
      <c r="P74" s="100">
        <v>0.13</v>
      </c>
      <c r="Q74" s="100">
        <v>9.93</v>
      </c>
      <c r="R74" s="6"/>
      <c r="S74" s="6"/>
      <c r="T74" s="156"/>
      <c r="U74" s="6"/>
    </row>
    <row r="75" spans="1:21" customFormat="1">
      <c r="A75" s="163" t="s">
        <v>306</v>
      </c>
      <c r="B75" s="100">
        <v>1.35</v>
      </c>
      <c r="C75" s="100">
        <v>8.68</v>
      </c>
      <c r="D75" s="100">
        <v>7.33</v>
      </c>
      <c r="E75" s="100">
        <v>4.53</v>
      </c>
      <c r="F75" s="100">
        <v>20.41</v>
      </c>
      <c r="G75" s="100">
        <v>33.85</v>
      </c>
      <c r="H75" s="100">
        <v>11.39</v>
      </c>
      <c r="I75" s="100">
        <v>5.57</v>
      </c>
      <c r="J75" s="100">
        <v>1.1299999999999999</v>
      </c>
      <c r="K75" s="100">
        <v>266.08999999999997</v>
      </c>
      <c r="L75" s="100">
        <v>28.13</v>
      </c>
      <c r="M75" s="100">
        <v>78.45</v>
      </c>
      <c r="N75" s="100">
        <v>90.2</v>
      </c>
      <c r="O75" s="100">
        <v>0</v>
      </c>
      <c r="P75" s="100">
        <v>0.13</v>
      </c>
      <c r="Q75" s="100">
        <v>9.93</v>
      </c>
      <c r="R75" s="6"/>
      <c r="S75" s="6"/>
      <c r="T75" s="156"/>
      <c r="U75" s="6"/>
    </row>
    <row r="76" spans="1:21" customFormat="1">
      <c r="A76" s="163" t="s">
        <v>307</v>
      </c>
      <c r="B76" s="100">
        <v>1.2</v>
      </c>
      <c r="C76" s="100">
        <v>8.7100000000000009</v>
      </c>
      <c r="D76" s="100">
        <v>7.51</v>
      </c>
      <c r="E76" s="100">
        <v>4.25</v>
      </c>
      <c r="F76" s="100">
        <v>24.74</v>
      </c>
      <c r="G76" s="100">
        <v>33.71</v>
      </c>
      <c r="H76" s="100">
        <v>11.39</v>
      </c>
      <c r="I76" s="100">
        <v>4.84</v>
      </c>
      <c r="J76" s="100">
        <v>0.84</v>
      </c>
      <c r="K76" s="100">
        <v>263.07</v>
      </c>
      <c r="L76" s="100">
        <v>28.01</v>
      </c>
      <c r="M76" s="100">
        <v>78.62</v>
      </c>
      <c r="N76" s="100">
        <v>49</v>
      </c>
      <c r="O76" s="100">
        <v>0</v>
      </c>
      <c r="P76" s="100">
        <v>0.12</v>
      </c>
      <c r="Q76" s="100">
        <v>9.92</v>
      </c>
      <c r="R76" s="6"/>
      <c r="S76" s="6"/>
      <c r="T76" s="156"/>
      <c r="U76" s="6"/>
    </row>
    <row r="77" spans="1:21" customFormat="1">
      <c r="A77" s="163" t="s">
        <v>308</v>
      </c>
      <c r="B77" s="100">
        <v>0.63</v>
      </c>
      <c r="C77" s="100">
        <v>6.33</v>
      </c>
      <c r="D77" s="100">
        <v>6.44</v>
      </c>
      <c r="E77" s="100">
        <v>4.32</v>
      </c>
      <c r="F77" s="100">
        <v>19.899999999999999</v>
      </c>
      <c r="G77" s="100">
        <v>33.71</v>
      </c>
      <c r="H77" s="100">
        <v>11.39</v>
      </c>
      <c r="I77" s="100">
        <v>5.57</v>
      </c>
      <c r="J77" s="100">
        <v>0.91</v>
      </c>
      <c r="K77" s="100">
        <v>269.49</v>
      </c>
      <c r="L77" s="100">
        <v>27.69</v>
      </c>
      <c r="M77" s="100">
        <v>79.95</v>
      </c>
      <c r="N77" s="100">
        <v>40.4</v>
      </c>
      <c r="O77" s="100">
        <v>0</v>
      </c>
      <c r="P77" s="100">
        <v>0.1</v>
      </c>
      <c r="Q77" s="100">
        <v>9.9</v>
      </c>
      <c r="R77" s="6"/>
      <c r="S77" s="6"/>
      <c r="T77" s="156"/>
      <c r="U77" s="6"/>
    </row>
    <row r="78" spans="1:21" customFormat="1">
      <c r="A78" s="163" t="s">
        <v>309</v>
      </c>
      <c r="B78" s="100">
        <v>0.32</v>
      </c>
      <c r="C78" s="100">
        <v>3.72</v>
      </c>
      <c r="D78" s="100">
        <v>6.62</v>
      </c>
      <c r="E78" s="100">
        <v>3.74</v>
      </c>
      <c r="F78" s="100">
        <v>14.69</v>
      </c>
      <c r="G78" s="100">
        <v>33.71</v>
      </c>
      <c r="H78" s="100">
        <v>11.39</v>
      </c>
      <c r="I78" s="100">
        <v>5.07</v>
      </c>
      <c r="J78" s="100">
        <v>0.92</v>
      </c>
      <c r="K78" s="100">
        <v>265.45</v>
      </c>
      <c r="L78" s="100">
        <v>27.66</v>
      </c>
      <c r="M78" s="100">
        <v>80.19</v>
      </c>
      <c r="N78" s="100">
        <v>39.700000000000003</v>
      </c>
      <c r="O78" s="100">
        <v>0</v>
      </c>
      <c r="P78" s="100">
        <v>0.1</v>
      </c>
      <c r="Q78" s="100">
        <v>9.9</v>
      </c>
      <c r="R78" s="6"/>
      <c r="S78" s="6"/>
      <c r="T78" s="156"/>
      <c r="U78" s="6"/>
    </row>
    <row r="79" spans="1:21" customFormat="1">
      <c r="A79" s="163" t="s">
        <v>310</v>
      </c>
      <c r="B79" s="100">
        <v>0.28000000000000003</v>
      </c>
      <c r="C79" s="100">
        <v>3.42</v>
      </c>
      <c r="D79" s="100">
        <v>6.11</v>
      </c>
      <c r="E79" s="100">
        <v>3.17</v>
      </c>
      <c r="F79" s="100">
        <v>8.36</v>
      </c>
      <c r="G79" s="100">
        <v>31.46</v>
      </c>
      <c r="H79" s="100">
        <v>8.1300000000000008</v>
      </c>
      <c r="I79" s="100">
        <v>4.45</v>
      </c>
      <c r="J79" s="100">
        <v>0.85</v>
      </c>
      <c r="K79" s="100">
        <v>259.47000000000003</v>
      </c>
      <c r="L79" s="100">
        <v>27.58</v>
      </c>
      <c r="M79" s="100">
        <v>80.61</v>
      </c>
      <c r="N79" s="100">
        <v>43.3</v>
      </c>
      <c r="O79" s="100">
        <v>0</v>
      </c>
      <c r="P79" s="100">
        <v>0.08</v>
      </c>
      <c r="Q79" s="100">
        <v>9.91</v>
      </c>
      <c r="R79" s="6"/>
      <c r="S79" s="6"/>
      <c r="T79" s="156"/>
      <c r="U79" s="6"/>
    </row>
    <row r="80" spans="1:21" customFormat="1">
      <c r="A80" s="163" t="s">
        <v>311</v>
      </c>
      <c r="B80" s="100">
        <v>0.33</v>
      </c>
      <c r="C80" s="100">
        <v>3.06</v>
      </c>
      <c r="D80" s="100">
        <v>5.35</v>
      </c>
      <c r="E80" s="100">
        <v>3.06</v>
      </c>
      <c r="F80" s="100">
        <v>4.93</v>
      </c>
      <c r="G80" s="100">
        <v>31.27</v>
      </c>
      <c r="H80" s="100">
        <v>8.1300000000000008</v>
      </c>
      <c r="I80" s="100">
        <v>4.1399999999999997</v>
      </c>
      <c r="J80" s="100">
        <v>0.51</v>
      </c>
      <c r="K80" s="100">
        <v>262.92</v>
      </c>
      <c r="L80" s="100">
        <v>27.48</v>
      </c>
      <c r="M80" s="100">
        <v>82.29</v>
      </c>
      <c r="N80" s="100">
        <v>17</v>
      </c>
      <c r="O80" s="100">
        <v>0</v>
      </c>
      <c r="P80" s="100">
        <v>0.09</v>
      </c>
      <c r="Q80" s="100">
        <v>9.91</v>
      </c>
      <c r="R80" s="6"/>
      <c r="S80" s="6"/>
      <c r="T80" s="156"/>
      <c r="U80" s="6"/>
    </row>
    <row r="81" spans="1:21" customFormat="1">
      <c r="A81" s="163" t="s">
        <v>312</v>
      </c>
      <c r="B81" s="100">
        <v>0.44</v>
      </c>
      <c r="C81" s="100">
        <v>2.65</v>
      </c>
      <c r="D81" s="100">
        <v>4.3899999999999997</v>
      </c>
      <c r="E81" s="100">
        <v>3.47</v>
      </c>
      <c r="F81" s="100">
        <v>2.91</v>
      </c>
      <c r="G81" s="100">
        <v>31.27</v>
      </c>
      <c r="H81" s="100">
        <v>8.1300000000000008</v>
      </c>
      <c r="I81" s="100">
        <v>4.43</v>
      </c>
      <c r="J81" s="100">
        <v>0.9</v>
      </c>
      <c r="K81" s="100">
        <v>259.36</v>
      </c>
      <c r="L81" s="100">
        <v>27.16</v>
      </c>
      <c r="M81" s="100">
        <v>83.71</v>
      </c>
      <c r="N81" s="100">
        <v>11.5</v>
      </c>
      <c r="O81" s="100">
        <v>0</v>
      </c>
      <c r="P81" s="100">
        <v>0.1</v>
      </c>
      <c r="Q81" s="100">
        <v>9.89</v>
      </c>
      <c r="R81" s="6"/>
      <c r="S81" s="6"/>
      <c r="T81" s="156"/>
      <c r="U81" s="6"/>
    </row>
    <row r="82" spans="1:21" customFormat="1">
      <c r="A82" s="163" t="s">
        <v>313</v>
      </c>
      <c r="B82" s="100">
        <v>0.56999999999999995</v>
      </c>
      <c r="C82" s="100">
        <v>2.5499999999999998</v>
      </c>
      <c r="D82" s="100">
        <v>4</v>
      </c>
      <c r="E82" s="100">
        <v>3.99</v>
      </c>
      <c r="F82" s="100">
        <v>2.65</v>
      </c>
      <c r="G82" s="100">
        <v>31.27</v>
      </c>
      <c r="H82" s="100">
        <v>8.1300000000000008</v>
      </c>
      <c r="I82" s="100">
        <v>3.35</v>
      </c>
      <c r="J82" s="100">
        <v>0.78</v>
      </c>
      <c r="K82" s="100">
        <v>262.22000000000003</v>
      </c>
      <c r="L82" s="100">
        <v>27.04</v>
      </c>
      <c r="M82" s="100">
        <v>83.99</v>
      </c>
      <c r="N82" s="100">
        <v>7</v>
      </c>
      <c r="O82" s="100">
        <v>0</v>
      </c>
      <c r="P82" s="100">
        <v>0.09</v>
      </c>
      <c r="Q82" s="100">
        <v>9.8699999999999992</v>
      </c>
      <c r="R82" s="6"/>
      <c r="S82" s="6"/>
      <c r="T82" s="156"/>
      <c r="U82" s="6"/>
    </row>
    <row r="83" spans="1:21" customFormat="1">
      <c r="A83" s="163" t="s">
        <v>314</v>
      </c>
      <c r="B83" s="100">
        <v>0.67</v>
      </c>
      <c r="C83" s="100">
        <v>2.4</v>
      </c>
      <c r="D83" s="100">
        <v>3.57</v>
      </c>
      <c r="E83" s="100">
        <v>4.1399999999999997</v>
      </c>
      <c r="F83" s="100">
        <v>6.05</v>
      </c>
      <c r="G83" s="100">
        <v>34.25</v>
      </c>
      <c r="H83" s="100">
        <v>7.43</v>
      </c>
      <c r="I83" s="100">
        <v>3.49</v>
      </c>
      <c r="J83" s="100">
        <v>0.75</v>
      </c>
      <c r="K83" s="100">
        <v>262.95</v>
      </c>
      <c r="L83" s="100">
        <v>26.84</v>
      </c>
      <c r="M83" s="100">
        <v>85.18</v>
      </c>
      <c r="N83" s="100">
        <v>3.9</v>
      </c>
      <c r="O83" s="100">
        <v>0</v>
      </c>
      <c r="P83" s="100">
        <v>0.09</v>
      </c>
      <c r="Q83" s="100">
        <v>9.9</v>
      </c>
      <c r="R83" s="6"/>
      <c r="S83" s="6"/>
      <c r="T83" s="156"/>
      <c r="U83" s="6"/>
    </row>
    <row r="84" spans="1:21" customFormat="1">
      <c r="A84" s="163" t="s">
        <v>315</v>
      </c>
      <c r="B84" s="100">
        <v>0.71</v>
      </c>
      <c r="C84" s="100">
        <v>2.19</v>
      </c>
      <c r="D84" s="100">
        <v>3.1</v>
      </c>
      <c r="E84" s="100">
        <v>4.0999999999999996</v>
      </c>
      <c r="F84" s="100">
        <v>3.18</v>
      </c>
      <c r="G84" s="100">
        <v>34.5</v>
      </c>
      <c r="H84" s="100">
        <v>7.43</v>
      </c>
      <c r="I84" s="100">
        <v>4.59</v>
      </c>
      <c r="J84" s="100">
        <v>0.7</v>
      </c>
      <c r="K84" s="100">
        <v>263.04000000000002</v>
      </c>
      <c r="L84" s="100">
        <v>26.7</v>
      </c>
      <c r="M84" s="100">
        <v>86.15</v>
      </c>
      <c r="N84" s="100">
        <v>2.6</v>
      </c>
      <c r="O84" s="100">
        <v>0</v>
      </c>
      <c r="P84" s="100">
        <v>0.1</v>
      </c>
      <c r="Q84" s="100">
        <v>9.92</v>
      </c>
      <c r="R84" s="6"/>
      <c r="S84" s="6"/>
      <c r="T84" s="156"/>
      <c r="U84" s="6"/>
    </row>
    <row r="85" spans="1:21" customFormat="1">
      <c r="A85" s="163" t="s">
        <v>316</v>
      </c>
      <c r="B85" s="100">
        <v>0.82</v>
      </c>
      <c r="C85" s="100">
        <v>2.17</v>
      </c>
      <c r="D85" s="100">
        <v>2.9</v>
      </c>
      <c r="E85" s="100">
        <v>4.17</v>
      </c>
      <c r="F85" s="100">
        <v>2.58</v>
      </c>
      <c r="G85" s="100">
        <v>34.5</v>
      </c>
      <c r="H85" s="100">
        <v>7.43</v>
      </c>
      <c r="I85" s="100">
        <v>4.54</v>
      </c>
      <c r="J85" s="100">
        <v>0.77</v>
      </c>
      <c r="K85" s="100">
        <v>259.98</v>
      </c>
      <c r="L85" s="100">
        <v>26.59</v>
      </c>
      <c r="M85" s="100">
        <v>86.63</v>
      </c>
      <c r="N85" s="100">
        <v>2.4</v>
      </c>
      <c r="O85" s="100">
        <v>0</v>
      </c>
      <c r="P85" s="100">
        <v>0.09</v>
      </c>
      <c r="Q85" s="100">
        <v>9.92</v>
      </c>
      <c r="R85" s="6"/>
      <c r="S85" s="6"/>
      <c r="T85" s="156"/>
      <c r="U85" s="6"/>
    </row>
    <row r="86" spans="1:21" customFormat="1">
      <c r="A86" s="163" t="s">
        <v>317</v>
      </c>
      <c r="B86" s="100">
        <v>0.91</v>
      </c>
      <c r="C86" s="100">
        <v>2.09</v>
      </c>
      <c r="D86" s="100">
        <v>2.6</v>
      </c>
      <c r="E86" s="100">
        <v>4</v>
      </c>
      <c r="F86" s="100">
        <v>2.76</v>
      </c>
      <c r="G86" s="100">
        <v>34.5</v>
      </c>
      <c r="H86" s="100">
        <v>7.43</v>
      </c>
      <c r="I86" s="100">
        <v>4.7</v>
      </c>
      <c r="J86" s="100">
        <v>0.68</v>
      </c>
      <c r="K86" s="100">
        <v>266.39999999999998</v>
      </c>
      <c r="L86" s="100">
        <v>26.49</v>
      </c>
      <c r="M86" s="100">
        <v>87.3</v>
      </c>
      <c r="N86" s="100">
        <v>2.4</v>
      </c>
      <c r="O86" s="100">
        <v>0</v>
      </c>
      <c r="P86" s="100">
        <v>0.08</v>
      </c>
      <c r="Q86" s="100">
        <v>9.91</v>
      </c>
      <c r="R86" s="6"/>
      <c r="S86" s="6"/>
      <c r="T86" s="156"/>
      <c r="U86" s="6"/>
    </row>
    <row r="87" spans="1:21" customFormat="1">
      <c r="A87" s="163" t="s">
        <v>318</v>
      </c>
      <c r="B87" s="100">
        <v>0.94</v>
      </c>
      <c r="C87" s="100">
        <v>2.0299999999999998</v>
      </c>
      <c r="D87" s="100">
        <v>2.4300000000000002</v>
      </c>
      <c r="E87" s="100">
        <v>4.0599999999999996</v>
      </c>
      <c r="F87" s="100">
        <v>3.33</v>
      </c>
      <c r="G87" s="100">
        <v>26.44</v>
      </c>
      <c r="H87" s="100">
        <v>5.43</v>
      </c>
      <c r="I87" s="100">
        <v>4.63</v>
      </c>
      <c r="J87" s="100">
        <v>0.61</v>
      </c>
      <c r="K87" s="100">
        <v>263.93</v>
      </c>
      <c r="L87" s="100">
        <v>26.33</v>
      </c>
      <c r="M87" s="100">
        <v>88.59</v>
      </c>
      <c r="N87" s="100">
        <v>2.9</v>
      </c>
      <c r="O87" s="100">
        <v>0</v>
      </c>
      <c r="P87" s="100">
        <v>0.11</v>
      </c>
      <c r="Q87" s="100">
        <v>9.9</v>
      </c>
      <c r="R87" s="6"/>
      <c r="S87" s="6"/>
      <c r="T87" s="156"/>
      <c r="U87" s="6"/>
    </row>
    <row r="88" spans="1:21" customFormat="1">
      <c r="A88" s="163" t="s">
        <v>319</v>
      </c>
      <c r="B88" s="100">
        <v>1</v>
      </c>
      <c r="C88" s="100">
        <v>2.12</v>
      </c>
      <c r="D88" s="100">
        <v>2.5099999999999998</v>
      </c>
      <c r="E88" s="100">
        <v>4.37</v>
      </c>
      <c r="F88" s="100">
        <v>1.21</v>
      </c>
      <c r="G88" s="100">
        <v>25.76</v>
      </c>
      <c r="H88" s="100">
        <v>5.43</v>
      </c>
      <c r="I88" s="100">
        <v>4.58</v>
      </c>
      <c r="J88" s="100">
        <v>0.69</v>
      </c>
      <c r="K88" s="100">
        <v>257.31</v>
      </c>
      <c r="L88" s="100">
        <v>25.81</v>
      </c>
      <c r="M88" s="100">
        <v>92.49</v>
      </c>
      <c r="N88" s="100">
        <v>2.2000000000000002</v>
      </c>
      <c r="O88" s="100">
        <v>0</v>
      </c>
      <c r="P88" s="100">
        <v>0.1</v>
      </c>
      <c r="Q88" s="100">
        <v>9.91</v>
      </c>
      <c r="R88" s="6"/>
      <c r="S88" s="6"/>
      <c r="T88" s="156"/>
      <c r="U88" s="6"/>
    </row>
    <row r="89" spans="1:21" customFormat="1">
      <c r="A89" s="163" t="s">
        <v>320</v>
      </c>
      <c r="B89" s="100">
        <v>1.04</v>
      </c>
      <c r="C89" s="100">
        <v>2.63</v>
      </c>
      <c r="D89" s="100">
        <v>3.43</v>
      </c>
      <c r="E89" s="100">
        <v>4.53</v>
      </c>
      <c r="F89" s="100">
        <v>3.11</v>
      </c>
      <c r="G89" s="100">
        <v>25.76</v>
      </c>
      <c r="H89" s="100">
        <v>5.43</v>
      </c>
      <c r="I89" s="100">
        <v>4.75</v>
      </c>
      <c r="J89" s="100">
        <v>0.4</v>
      </c>
      <c r="K89" s="100">
        <v>260.41000000000003</v>
      </c>
      <c r="L89" s="100">
        <v>25.69</v>
      </c>
      <c r="M89" s="100">
        <v>93.81</v>
      </c>
      <c r="N89" s="100">
        <v>1.7</v>
      </c>
      <c r="O89" s="100">
        <v>0.2</v>
      </c>
      <c r="P89" s="100">
        <v>0.12</v>
      </c>
      <c r="Q89" s="100">
        <v>9.9</v>
      </c>
      <c r="R89" s="6"/>
      <c r="S89" s="6"/>
      <c r="T89" s="156"/>
      <c r="U89" s="6"/>
    </row>
    <row r="90" spans="1:21" customFormat="1">
      <c r="A90" s="163" t="s">
        <v>321</v>
      </c>
      <c r="B90" s="100">
        <v>1.05</v>
      </c>
      <c r="C90" s="100">
        <v>2.87</v>
      </c>
      <c r="D90" s="100">
        <v>3.87</v>
      </c>
      <c r="E90" s="100">
        <v>4.9000000000000004</v>
      </c>
      <c r="F90" s="100">
        <v>3.24</v>
      </c>
      <c r="G90" s="100">
        <v>25.76</v>
      </c>
      <c r="H90" s="100">
        <v>5.43</v>
      </c>
      <c r="I90" s="100">
        <v>4.75</v>
      </c>
      <c r="J90" s="100">
        <v>0.54</v>
      </c>
      <c r="K90" s="100">
        <v>262.11</v>
      </c>
      <c r="L90" s="100">
        <v>25.81</v>
      </c>
      <c r="M90" s="100">
        <v>93.28</v>
      </c>
      <c r="N90" s="100">
        <v>1.7</v>
      </c>
      <c r="O90" s="100">
        <v>0</v>
      </c>
      <c r="P90" s="100">
        <v>0.14000000000000001</v>
      </c>
      <c r="Q90" s="100">
        <v>9.89</v>
      </c>
      <c r="R90" s="6"/>
      <c r="S90" s="6"/>
      <c r="T90" s="156"/>
      <c r="U90" s="6"/>
    </row>
    <row r="91" spans="1:21" customFormat="1">
      <c r="A91" s="163" t="s">
        <v>322</v>
      </c>
      <c r="B91" s="100">
        <v>1.06</v>
      </c>
      <c r="C91" s="100">
        <v>2.76</v>
      </c>
      <c r="D91" s="100">
        <v>3.65</v>
      </c>
      <c r="E91" s="100">
        <v>5.22</v>
      </c>
      <c r="F91" s="100">
        <v>3.57</v>
      </c>
      <c r="G91" s="100">
        <v>20.86</v>
      </c>
      <c r="H91" s="100">
        <v>7.2</v>
      </c>
      <c r="I91" s="100">
        <v>4.72</v>
      </c>
      <c r="J91" s="100">
        <v>0.61</v>
      </c>
      <c r="K91" s="100">
        <v>260.02</v>
      </c>
      <c r="L91" s="100">
        <v>25.89</v>
      </c>
      <c r="M91" s="100">
        <v>92.35</v>
      </c>
      <c r="N91" s="100">
        <v>2.1</v>
      </c>
      <c r="O91" s="100">
        <v>0</v>
      </c>
      <c r="P91" s="100">
        <v>0.13</v>
      </c>
      <c r="Q91" s="100">
        <v>9.91</v>
      </c>
      <c r="R91" s="6"/>
      <c r="S91" s="6"/>
      <c r="T91" s="156"/>
      <c r="U91" s="6"/>
    </row>
    <row r="92" spans="1:21" customFormat="1">
      <c r="A92" s="163" t="s">
        <v>323</v>
      </c>
      <c r="B92" s="100">
        <v>1.0900000000000001</v>
      </c>
      <c r="C92" s="100">
        <v>2.69</v>
      </c>
      <c r="D92" s="100">
        <v>3.47</v>
      </c>
      <c r="E92" s="100">
        <v>5.33</v>
      </c>
      <c r="F92" s="100">
        <v>3</v>
      </c>
      <c r="G92" s="100">
        <v>20.45</v>
      </c>
      <c r="H92" s="100">
        <v>7.2</v>
      </c>
      <c r="I92" s="100">
        <v>4.6100000000000003</v>
      </c>
      <c r="J92" s="100">
        <v>0.53</v>
      </c>
      <c r="K92" s="100">
        <v>257.89999999999998</v>
      </c>
      <c r="L92" s="100">
        <v>25.92</v>
      </c>
      <c r="M92" s="100">
        <v>92.16</v>
      </c>
      <c r="N92" s="100">
        <v>2.2000000000000002</v>
      </c>
      <c r="O92" s="100">
        <v>0</v>
      </c>
      <c r="P92" s="100">
        <v>0.14000000000000001</v>
      </c>
      <c r="Q92" s="100">
        <v>9.91</v>
      </c>
      <c r="R92" s="6"/>
      <c r="S92" s="6"/>
      <c r="T92" s="156"/>
      <c r="U92" s="6"/>
    </row>
    <row r="93" spans="1:21" customFormat="1">
      <c r="A93" s="163" t="s">
        <v>324</v>
      </c>
      <c r="B93" s="100">
        <v>1.1100000000000001</v>
      </c>
      <c r="C93" s="100">
        <v>2.62</v>
      </c>
      <c r="D93" s="100">
        <v>3.32</v>
      </c>
      <c r="E93" s="100">
        <v>5.46</v>
      </c>
      <c r="F93" s="100">
        <v>3.2</v>
      </c>
      <c r="G93" s="100">
        <v>20.45</v>
      </c>
      <c r="H93" s="100">
        <v>7.2</v>
      </c>
      <c r="I93" s="100">
        <v>4.54</v>
      </c>
      <c r="J93" s="100">
        <v>0.51</v>
      </c>
      <c r="K93" s="100">
        <v>256.85000000000002</v>
      </c>
      <c r="L93" s="100">
        <v>25.95</v>
      </c>
      <c r="M93" s="100">
        <v>91.84</v>
      </c>
      <c r="N93" s="100">
        <v>2.1</v>
      </c>
      <c r="O93" s="100">
        <v>0</v>
      </c>
      <c r="P93" s="100">
        <v>0.14000000000000001</v>
      </c>
      <c r="Q93" s="100">
        <v>9.91</v>
      </c>
      <c r="R93" s="6"/>
      <c r="S93" s="6"/>
      <c r="T93" s="156"/>
      <c r="U93" s="6"/>
    </row>
    <row r="94" spans="1:21" customFormat="1">
      <c r="A94" s="163" t="s">
        <v>325</v>
      </c>
      <c r="B94" s="100">
        <v>1.1000000000000001</v>
      </c>
      <c r="C94" s="100">
        <v>2.54</v>
      </c>
      <c r="D94" s="100">
        <v>3.17</v>
      </c>
      <c r="E94" s="100">
        <v>5.59</v>
      </c>
      <c r="F94" s="100">
        <v>3.59</v>
      </c>
      <c r="G94" s="100">
        <v>20.45</v>
      </c>
      <c r="H94" s="100">
        <v>7.2</v>
      </c>
      <c r="I94" s="100">
        <v>4.49</v>
      </c>
      <c r="J94" s="100">
        <v>0.63</v>
      </c>
      <c r="K94" s="100">
        <v>258.67</v>
      </c>
      <c r="L94" s="100">
        <v>25.92</v>
      </c>
      <c r="M94" s="100">
        <v>91.77</v>
      </c>
      <c r="N94" s="100">
        <v>2.1</v>
      </c>
      <c r="O94" s="100">
        <v>0</v>
      </c>
      <c r="P94" s="100">
        <v>0.14000000000000001</v>
      </c>
      <c r="Q94" s="100">
        <v>9.91</v>
      </c>
      <c r="R94" s="6"/>
      <c r="S94" s="6"/>
      <c r="T94" s="156"/>
      <c r="U94" s="6"/>
    </row>
    <row r="95" spans="1:21" customFormat="1">
      <c r="A95" s="163" t="s">
        <v>326</v>
      </c>
      <c r="B95" s="100">
        <v>1.05</v>
      </c>
      <c r="C95" s="100">
        <v>2.52</v>
      </c>
      <c r="D95" s="100">
        <v>3.21</v>
      </c>
      <c r="E95" s="100">
        <v>5.64</v>
      </c>
      <c r="F95" s="100">
        <v>2.62</v>
      </c>
      <c r="G95" s="100">
        <v>22.35</v>
      </c>
      <c r="H95" s="100">
        <v>5.09</v>
      </c>
      <c r="I95" s="100">
        <v>4.42</v>
      </c>
      <c r="J95" s="100">
        <v>0.7</v>
      </c>
      <c r="K95" s="100">
        <v>260.94</v>
      </c>
      <c r="L95" s="100">
        <v>25.94</v>
      </c>
      <c r="M95" s="100">
        <v>91.61</v>
      </c>
      <c r="N95" s="100">
        <v>2.1</v>
      </c>
      <c r="O95" s="100">
        <v>0</v>
      </c>
      <c r="P95" s="100">
        <v>0.14000000000000001</v>
      </c>
      <c r="Q95" s="100">
        <v>9.91</v>
      </c>
      <c r="R95" s="6"/>
      <c r="S95" s="6"/>
      <c r="T95" s="156"/>
      <c r="U95" s="6"/>
    </row>
    <row r="96" spans="1:21" customFormat="1">
      <c r="A96" s="163" t="s">
        <v>327</v>
      </c>
      <c r="B96" s="100">
        <v>1.05</v>
      </c>
      <c r="C96" s="100">
        <v>2.4700000000000002</v>
      </c>
      <c r="D96" s="100">
        <v>3.11</v>
      </c>
      <c r="E96" s="100">
        <v>5.71</v>
      </c>
      <c r="F96" s="100">
        <v>2.62</v>
      </c>
      <c r="G96" s="100">
        <v>22.51</v>
      </c>
      <c r="H96" s="100">
        <v>5.09</v>
      </c>
      <c r="I96" s="100">
        <v>4.3600000000000003</v>
      </c>
      <c r="J96" s="100">
        <v>0.52</v>
      </c>
      <c r="K96" s="100">
        <v>263.27999999999997</v>
      </c>
      <c r="L96" s="100">
        <v>25.91</v>
      </c>
      <c r="M96" s="100">
        <v>91.73</v>
      </c>
      <c r="N96" s="100">
        <v>2.1</v>
      </c>
      <c r="O96" s="100">
        <v>0</v>
      </c>
      <c r="P96" s="100">
        <v>0.14000000000000001</v>
      </c>
      <c r="Q96" s="100">
        <v>9.91</v>
      </c>
      <c r="R96" s="6"/>
      <c r="S96" s="6"/>
      <c r="T96" s="156"/>
      <c r="U96" s="6"/>
    </row>
    <row r="97" spans="1:28" customFormat="1">
      <c r="A97" s="163" t="s">
        <v>328</v>
      </c>
      <c r="B97" s="100">
        <v>1.06</v>
      </c>
      <c r="C97" s="100">
        <v>2.4300000000000002</v>
      </c>
      <c r="D97" s="100">
        <v>3.02</v>
      </c>
      <c r="E97" s="100">
        <v>6.16</v>
      </c>
      <c r="F97" s="100">
        <v>2.9</v>
      </c>
      <c r="G97" s="100">
        <v>22.51</v>
      </c>
      <c r="H97" s="100">
        <v>5.09</v>
      </c>
      <c r="I97" s="100">
        <v>4.3600000000000003</v>
      </c>
      <c r="J97" s="100">
        <v>0.67</v>
      </c>
      <c r="K97" s="100">
        <v>257.74</v>
      </c>
      <c r="L97" s="100">
        <v>25.87</v>
      </c>
      <c r="M97" s="100">
        <v>91.82</v>
      </c>
      <c r="N97" s="100">
        <v>2.1</v>
      </c>
      <c r="O97" s="100">
        <v>0</v>
      </c>
      <c r="P97" s="100">
        <v>0.15</v>
      </c>
      <c r="Q97" s="100">
        <v>9.92</v>
      </c>
      <c r="R97" s="6"/>
      <c r="S97" s="6"/>
      <c r="T97" s="156"/>
      <c r="U97" s="6"/>
    </row>
    <row r="98" spans="1:28" customFormat="1">
      <c r="A98" s="163" t="s">
        <v>329</v>
      </c>
      <c r="B98" s="100">
        <v>1.07</v>
      </c>
      <c r="C98" s="100">
        <v>2.41</v>
      </c>
      <c r="D98" s="100">
        <v>2.97</v>
      </c>
      <c r="E98" s="100">
        <v>5.93</v>
      </c>
      <c r="F98" s="100">
        <v>2.91</v>
      </c>
      <c r="G98" s="100">
        <v>22.51</v>
      </c>
      <c r="H98" s="100">
        <v>5.09</v>
      </c>
      <c r="I98" s="100">
        <v>4.3600000000000003</v>
      </c>
      <c r="J98" s="100">
        <v>0.51</v>
      </c>
      <c r="K98" s="100">
        <v>256.13</v>
      </c>
      <c r="L98" s="100">
        <v>25.88</v>
      </c>
      <c r="M98" s="100">
        <v>91.89</v>
      </c>
      <c r="N98" s="100">
        <v>2.1</v>
      </c>
      <c r="O98" s="100">
        <v>0</v>
      </c>
      <c r="P98" s="100">
        <v>0.15</v>
      </c>
      <c r="Q98" s="100">
        <v>9.9</v>
      </c>
      <c r="R98" s="6"/>
      <c r="S98" s="6"/>
      <c r="T98" s="156"/>
      <c r="U98" s="6"/>
    </row>
    <row r="99" spans="1:28" customFormat="1">
      <c r="A99" s="163" t="s">
        <v>330</v>
      </c>
      <c r="B99" s="100">
        <v>1.07</v>
      </c>
      <c r="C99" s="100">
        <v>2.4300000000000002</v>
      </c>
      <c r="D99" s="100">
        <v>3</v>
      </c>
      <c r="E99" s="100">
        <v>5.84</v>
      </c>
      <c r="F99" s="100">
        <v>2.93</v>
      </c>
      <c r="G99" s="100">
        <v>25.6</v>
      </c>
      <c r="H99" s="100">
        <v>8.3800000000000008</v>
      </c>
      <c r="I99" s="100">
        <v>4.41</v>
      </c>
      <c r="J99" s="100">
        <v>0.64</v>
      </c>
      <c r="K99" s="100">
        <v>262.18</v>
      </c>
      <c r="L99" s="100">
        <v>25.89</v>
      </c>
      <c r="M99" s="100">
        <v>91.67</v>
      </c>
      <c r="N99" s="100">
        <v>2.2000000000000002</v>
      </c>
      <c r="O99" s="100">
        <v>0</v>
      </c>
      <c r="P99" s="100">
        <v>0.14000000000000001</v>
      </c>
      <c r="Q99" s="100">
        <v>9.92</v>
      </c>
      <c r="R99" s="6"/>
      <c r="S99" s="6"/>
      <c r="T99" s="156"/>
      <c r="U99" s="6"/>
    </row>
    <row r="100" spans="1:28" customFormat="1">
      <c r="A100" s="163" t="s">
        <v>331</v>
      </c>
      <c r="B100" s="100">
        <v>1.0900000000000001</v>
      </c>
      <c r="C100" s="100">
        <v>2.39</v>
      </c>
      <c r="D100" s="100">
        <v>2.91</v>
      </c>
      <c r="E100" s="100">
        <v>6.21</v>
      </c>
      <c r="F100" s="100">
        <v>3.25</v>
      </c>
      <c r="G100" s="100">
        <v>25.86</v>
      </c>
      <c r="H100" s="100">
        <v>8.3800000000000008</v>
      </c>
      <c r="I100" s="100">
        <v>4.45</v>
      </c>
      <c r="J100" s="100">
        <v>0.51</v>
      </c>
      <c r="K100" s="100">
        <v>260.91000000000003</v>
      </c>
      <c r="L100" s="100">
        <v>25.87</v>
      </c>
      <c r="M100" s="100">
        <v>91.88</v>
      </c>
      <c r="N100" s="100">
        <v>2.1</v>
      </c>
      <c r="O100" s="100">
        <v>0</v>
      </c>
      <c r="P100" s="100">
        <v>0.14000000000000001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332</v>
      </c>
      <c r="B101" s="100">
        <v>1.1000000000000001</v>
      </c>
      <c r="C101" s="100">
        <v>2.38</v>
      </c>
      <c r="D101" s="100">
        <v>2.87</v>
      </c>
      <c r="E101" s="100">
        <v>6.31</v>
      </c>
      <c r="F101" s="100">
        <v>2.82</v>
      </c>
      <c r="G101" s="100">
        <v>25.86</v>
      </c>
      <c r="H101" s="100">
        <v>8.3800000000000008</v>
      </c>
      <c r="I101" s="100">
        <v>4.4000000000000004</v>
      </c>
      <c r="J101" s="100">
        <v>0.46</v>
      </c>
      <c r="K101" s="100">
        <v>251.71</v>
      </c>
      <c r="L101" s="100">
        <v>25.93</v>
      </c>
      <c r="M101" s="100">
        <v>91.56</v>
      </c>
      <c r="N101" s="100">
        <v>2.1</v>
      </c>
      <c r="O101" s="100">
        <v>0</v>
      </c>
      <c r="P101" s="100">
        <v>0.14000000000000001</v>
      </c>
      <c r="Q101" s="100">
        <v>9.89</v>
      </c>
      <c r="R101" s="6"/>
      <c r="S101" s="6"/>
      <c r="T101" s="156"/>
      <c r="U101" s="6"/>
    </row>
    <row r="102" spans="1:28" customFormat="1">
      <c r="A102" s="163" t="s">
        <v>333</v>
      </c>
      <c r="B102" s="100">
        <v>1.1100000000000001</v>
      </c>
      <c r="C102" s="100">
        <v>2.35</v>
      </c>
      <c r="D102" s="100">
        <v>2.8</v>
      </c>
      <c r="E102" s="100">
        <v>6.2</v>
      </c>
      <c r="F102" s="100">
        <v>2.85</v>
      </c>
      <c r="G102" s="100">
        <v>25.86</v>
      </c>
      <c r="H102" s="100">
        <v>8.3800000000000008</v>
      </c>
      <c r="I102" s="100">
        <v>4.34</v>
      </c>
      <c r="J102" s="100">
        <v>0.6</v>
      </c>
      <c r="K102" s="100">
        <v>257.19</v>
      </c>
      <c r="L102" s="100">
        <v>25.86</v>
      </c>
      <c r="M102" s="100">
        <v>91.88</v>
      </c>
      <c r="N102" s="100">
        <v>2.1</v>
      </c>
      <c r="O102" s="100">
        <v>0</v>
      </c>
      <c r="P102" s="100">
        <v>0.14000000000000001</v>
      </c>
      <c r="Q102" s="100">
        <v>9.9</v>
      </c>
      <c r="R102" s="6"/>
      <c r="S102" s="6"/>
      <c r="T102" s="156"/>
      <c r="U102" s="6"/>
    </row>
    <row r="103" spans="1:28" customFormat="1">
      <c r="A103" s="163" t="s">
        <v>334</v>
      </c>
      <c r="B103" s="100">
        <v>1.0900000000000001</v>
      </c>
      <c r="C103" s="100">
        <v>2.34</v>
      </c>
      <c r="D103" s="100">
        <v>2.81</v>
      </c>
      <c r="E103" s="100">
        <v>6.32</v>
      </c>
      <c r="F103" s="100">
        <v>2.86</v>
      </c>
      <c r="G103" s="100">
        <v>23.32</v>
      </c>
      <c r="H103" s="100">
        <v>10.64</v>
      </c>
      <c r="I103" s="100">
        <v>4.26</v>
      </c>
      <c r="J103" s="100">
        <v>0.56999999999999995</v>
      </c>
      <c r="K103" s="100">
        <v>261.13</v>
      </c>
      <c r="L103" s="100">
        <v>25.79</v>
      </c>
      <c r="M103" s="100">
        <v>92.26</v>
      </c>
      <c r="N103" s="100">
        <v>2.2000000000000002</v>
      </c>
      <c r="O103" s="100">
        <v>0</v>
      </c>
      <c r="P103" s="100">
        <v>0.14000000000000001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335</v>
      </c>
      <c r="B104" s="100">
        <v>1.1000000000000001</v>
      </c>
      <c r="C104" s="100">
        <v>2.31</v>
      </c>
      <c r="D104" s="100">
        <v>2.73</v>
      </c>
      <c r="E104" s="100">
        <v>6.29</v>
      </c>
      <c r="F104" s="100">
        <v>2.31</v>
      </c>
      <c r="G104" s="100">
        <v>23.11</v>
      </c>
      <c r="H104" s="100">
        <v>10.64</v>
      </c>
      <c r="I104" s="100">
        <v>4.21</v>
      </c>
      <c r="J104" s="100">
        <v>0.64</v>
      </c>
      <c r="K104" s="100">
        <v>257.98</v>
      </c>
      <c r="L104" s="100">
        <v>25.77</v>
      </c>
      <c r="M104" s="100">
        <v>92.45</v>
      </c>
      <c r="N104" s="100">
        <v>2.1</v>
      </c>
      <c r="O104" s="100">
        <v>0</v>
      </c>
      <c r="P104" s="100">
        <v>0.13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0.28000000000000003</v>
      </c>
      <c r="C106" s="158">
        <f>MIN(C9:C104)</f>
        <v>2.0299999999999998</v>
      </c>
      <c r="D106" s="158">
        <f t="shared" ref="D106:Q106" si="0">MIN(D9:D104)</f>
        <v>0.09</v>
      </c>
      <c r="E106" s="158">
        <f t="shared" si="0"/>
        <v>3.06</v>
      </c>
      <c r="F106" s="158">
        <f t="shared" si="0"/>
        <v>0.01</v>
      </c>
      <c r="G106" s="158">
        <f t="shared" si="0"/>
        <v>8.31</v>
      </c>
      <c r="H106" s="158">
        <f t="shared" si="0"/>
        <v>5.09</v>
      </c>
      <c r="I106" s="158">
        <f t="shared" si="0"/>
        <v>3.35</v>
      </c>
      <c r="J106" s="158">
        <f t="shared" si="0"/>
        <v>0.37</v>
      </c>
      <c r="K106" s="158">
        <f t="shared" si="0"/>
        <v>251.25</v>
      </c>
      <c r="L106" s="158">
        <f t="shared" si="0"/>
        <v>24.22</v>
      </c>
      <c r="M106" s="158">
        <f t="shared" si="0"/>
        <v>75.319999999999993</v>
      </c>
      <c r="N106" s="158">
        <f t="shared" si="0"/>
        <v>1.7</v>
      </c>
      <c r="O106" s="158">
        <f t="shared" si="0"/>
        <v>0</v>
      </c>
      <c r="P106" s="158">
        <f t="shared" si="0"/>
        <v>0.08</v>
      </c>
      <c r="Q106" s="158">
        <f t="shared" si="0"/>
        <v>9.8699999999999992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200.47</v>
      </c>
      <c r="C107" s="157">
        <f t="shared" ref="C107:Q107" si="1">MAX(C9:C104)</f>
        <v>178.37</v>
      </c>
      <c r="D107" s="157">
        <f t="shared" si="1"/>
        <v>9.15</v>
      </c>
      <c r="E107" s="157">
        <f t="shared" si="1"/>
        <v>196.27</v>
      </c>
      <c r="F107" s="157">
        <f t="shared" si="1"/>
        <v>24.74</v>
      </c>
      <c r="G107" s="157">
        <f t="shared" si="1"/>
        <v>37.82</v>
      </c>
      <c r="H107" s="157">
        <f t="shared" si="1"/>
        <v>14.38</v>
      </c>
      <c r="I107" s="157">
        <f t="shared" si="1"/>
        <v>15.26</v>
      </c>
      <c r="J107" s="157">
        <f t="shared" si="1"/>
        <v>1.26</v>
      </c>
      <c r="K107" s="157">
        <f t="shared" si="1"/>
        <v>295.48</v>
      </c>
      <c r="L107" s="157">
        <f t="shared" si="1"/>
        <v>29.12</v>
      </c>
      <c r="M107" s="157">
        <f t="shared" si="1"/>
        <v>97.84</v>
      </c>
      <c r="N107" s="157">
        <f t="shared" si="1"/>
        <v>334.5</v>
      </c>
      <c r="O107" s="157">
        <f t="shared" si="1"/>
        <v>0.2</v>
      </c>
      <c r="P107" s="157">
        <f t="shared" si="1"/>
        <v>5.14</v>
      </c>
      <c r="Q107" s="157">
        <f t="shared" si="1"/>
        <v>9.9700000000000006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7.1415625000000036</v>
      </c>
      <c r="C108" s="158">
        <f t="shared" ref="C108:Q108" si="2">AVERAGE(C9:C104)</f>
        <v>9.3271874999999991</v>
      </c>
      <c r="D108" s="158">
        <f t="shared" si="2"/>
        <v>3.9414583333333346</v>
      </c>
      <c r="E108" s="158">
        <f t="shared" si="2"/>
        <v>8.2967708333333352</v>
      </c>
      <c r="F108" s="158">
        <f t="shared" si="2"/>
        <v>4.72</v>
      </c>
      <c r="G108" s="158">
        <f t="shared" si="2"/>
        <v>24.37836956521739</v>
      </c>
      <c r="H108" s="158">
        <f t="shared" si="2"/>
        <v>8.2033695652173844</v>
      </c>
      <c r="I108" s="158">
        <f t="shared" si="2"/>
        <v>5.5642708333333353</v>
      </c>
      <c r="J108" s="158">
        <f t="shared" si="2"/>
        <v>0.78114583333333343</v>
      </c>
      <c r="K108" s="158">
        <f t="shared" si="2"/>
        <v>266.32583333333338</v>
      </c>
      <c r="L108" s="158">
        <f t="shared" si="2"/>
        <v>26.438645833333322</v>
      </c>
      <c r="M108" s="158">
        <f t="shared" si="2"/>
        <v>87.54354166666667</v>
      </c>
      <c r="N108" s="158">
        <f t="shared" si="2"/>
        <v>73.671874999999986</v>
      </c>
      <c r="O108" s="158">
        <f t="shared" si="2"/>
        <v>4.1666666666666666E-3</v>
      </c>
      <c r="P108" s="158">
        <f t="shared" si="2"/>
        <v>0.31552083333333336</v>
      </c>
      <c r="Q108" s="158">
        <f t="shared" si="2"/>
        <v>9.9215686274509842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25.909854265495412</v>
      </c>
      <c r="C109" s="158">
        <f t="shared" ref="C109:Q109" si="3">STDEV(C9:C104)</f>
        <v>21.822847501167459</v>
      </c>
      <c r="D109" s="158">
        <f t="shared" si="3"/>
        <v>1.9995646785009884</v>
      </c>
      <c r="E109" s="158">
        <f t="shared" si="3"/>
        <v>22.879437400830227</v>
      </c>
      <c r="F109" s="158">
        <f t="shared" si="3"/>
        <v>6.2499574735395313</v>
      </c>
      <c r="G109" s="158">
        <f t="shared" si="3"/>
        <v>9.8605578244424681</v>
      </c>
      <c r="H109" s="158">
        <f t="shared" si="3"/>
        <v>2.3530052223075413</v>
      </c>
      <c r="I109" s="158">
        <f t="shared" si="3"/>
        <v>2.2085702661708573</v>
      </c>
      <c r="J109" s="158">
        <f t="shared" si="3"/>
        <v>0.22472846675917554</v>
      </c>
      <c r="K109" s="158">
        <f t="shared" si="3"/>
        <v>10.029281095783762</v>
      </c>
      <c r="L109" s="158">
        <f t="shared" si="3"/>
        <v>1.3646604511488649</v>
      </c>
      <c r="M109" s="158">
        <f t="shared" si="3"/>
        <v>6.7528514022895205</v>
      </c>
      <c r="N109" s="158">
        <f t="shared" si="3"/>
        <v>87.236789321846331</v>
      </c>
      <c r="O109" s="158">
        <f t="shared" si="3"/>
        <v>2.8715177232759195E-2</v>
      </c>
      <c r="P109" s="158">
        <f t="shared" si="3"/>
        <v>0.51169248534779455</v>
      </c>
      <c r="Q109" s="158">
        <f t="shared" si="3"/>
        <v>2.1759829872460557E-2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COUNT(Q9:Q104)+45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F18" sqref="F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336</v>
      </c>
      <c r="B9" s="100">
        <v>1.1100000000000001</v>
      </c>
      <c r="C9" s="100">
        <v>2.37</v>
      </c>
      <c r="D9" s="100">
        <v>2.84</v>
      </c>
      <c r="E9" s="100">
        <v>6.54</v>
      </c>
      <c r="F9" s="100">
        <v>2.83</v>
      </c>
      <c r="G9" s="100">
        <v>23.11</v>
      </c>
      <c r="H9" s="100">
        <v>10.64</v>
      </c>
      <c r="I9" s="100">
        <v>4.16</v>
      </c>
      <c r="J9" s="100">
        <v>0.51</v>
      </c>
      <c r="K9" s="100">
        <v>259.54000000000002</v>
      </c>
      <c r="L9" s="100">
        <v>25.81</v>
      </c>
      <c r="M9" s="100">
        <v>92.44</v>
      </c>
      <c r="N9" s="100">
        <v>2.1</v>
      </c>
      <c r="O9" s="100">
        <v>0</v>
      </c>
      <c r="P9" s="100">
        <v>0.13</v>
      </c>
      <c r="Q9" s="100">
        <v>9.91</v>
      </c>
      <c r="R9" s="6"/>
      <c r="S9" s="6"/>
      <c r="T9" s="156"/>
      <c r="U9" s="6"/>
    </row>
    <row r="10" spans="1:21" customFormat="1">
      <c r="A10" s="163" t="s">
        <v>337</v>
      </c>
      <c r="B10" s="100">
        <v>1.08</v>
      </c>
      <c r="C10" s="100">
        <v>2.27</v>
      </c>
      <c r="D10" s="100">
        <v>2.69</v>
      </c>
      <c r="E10" s="100">
        <v>6.5</v>
      </c>
      <c r="F10" s="100">
        <v>2.74</v>
      </c>
      <c r="G10" s="100">
        <v>23.11</v>
      </c>
      <c r="H10" s="100">
        <v>10.64</v>
      </c>
      <c r="I10" s="100">
        <v>4.0999999999999996</v>
      </c>
      <c r="J10" s="100">
        <v>0.55000000000000004</v>
      </c>
      <c r="K10" s="100">
        <v>258.54000000000002</v>
      </c>
      <c r="L10" s="100">
        <v>25.85</v>
      </c>
      <c r="M10" s="100">
        <v>92.27</v>
      </c>
      <c r="N10" s="100">
        <v>2.2999999999999998</v>
      </c>
      <c r="O10" s="100">
        <v>0</v>
      </c>
      <c r="P10" s="100">
        <v>0.13</v>
      </c>
      <c r="Q10" s="100">
        <v>9.92</v>
      </c>
      <c r="R10" s="6"/>
      <c r="S10" s="6"/>
      <c r="T10" s="156"/>
      <c r="U10" s="6"/>
    </row>
    <row r="11" spans="1:21" customFormat="1">
      <c r="A11" s="163" t="s">
        <v>338</v>
      </c>
      <c r="B11" s="100">
        <v>1.0900000000000001</v>
      </c>
      <c r="C11" s="100">
        <v>2.23</v>
      </c>
      <c r="D11" s="100">
        <v>2.6</v>
      </c>
      <c r="E11" s="100">
        <v>6.48</v>
      </c>
      <c r="F11" s="100">
        <v>2.95</v>
      </c>
      <c r="G11" s="100">
        <v>21.57</v>
      </c>
      <c r="H11" s="100">
        <v>8.58</v>
      </c>
      <c r="I11" s="100">
        <v>4.0199999999999996</v>
      </c>
      <c r="J11" s="100">
        <v>0.47</v>
      </c>
      <c r="K11" s="100">
        <v>261.89999999999998</v>
      </c>
      <c r="L11" s="100">
        <v>25.81</v>
      </c>
      <c r="M11" s="100">
        <v>92.45</v>
      </c>
      <c r="N11" s="100">
        <v>2.2999999999999998</v>
      </c>
      <c r="O11" s="100">
        <v>0</v>
      </c>
      <c r="P11" s="100">
        <v>0.12</v>
      </c>
      <c r="Q11" s="100">
        <v>9.93</v>
      </c>
      <c r="R11" s="6"/>
      <c r="S11" s="6"/>
      <c r="T11" s="156"/>
      <c r="U11" s="6"/>
    </row>
    <row r="12" spans="1:21" customFormat="1">
      <c r="A12" s="163" t="s">
        <v>339</v>
      </c>
      <c r="B12" s="100">
        <v>1.1399999999999999</v>
      </c>
      <c r="C12" s="100">
        <v>2.23</v>
      </c>
      <c r="D12" s="100">
        <v>2.52</v>
      </c>
      <c r="E12" s="100">
        <v>6.48</v>
      </c>
      <c r="F12" s="100">
        <v>3.33</v>
      </c>
      <c r="G12" s="100">
        <v>21.44</v>
      </c>
      <c r="H12" s="100">
        <v>8.58</v>
      </c>
      <c r="I12" s="100">
        <v>3.97</v>
      </c>
      <c r="J12" s="100">
        <v>0.49</v>
      </c>
      <c r="K12" s="100">
        <v>257.31</v>
      </c>
      <c r="L12" s="100">
        <v>25.79</v>
      </c>
      <c r="M12" s="100">
        <v>92.61</v>
      </c>
      <c r="N12" s="100">
        <v>2.2999999999999998</v>
      </c>
      <c r="O12" s="100">
        <v>0</v>
      </c>
      <c r="P12" s="100">
        <v>0.12</v>
      </c>
      <c r="Q12" s="100">
        <v>9.9</v>
      </c>
      <c r="R12" s="6"/>
      <c r="S12" s="6"/>
      <c r="T12" s="156"/>
      <c r="U12" s="6"/>
    </row>
    <row r="13" spans="1:21" customFormat="1">
      <c r="A13" s="163" t="s">
        <v>340</v>
      </c>
      <c r="B13" s="100">
        <v>1.17</v>
      </c>
      <c r="C13" s="100">
        <v>2.2400000000000002</v>
      </c>
      <c r="D13" s="100">
        <v>2.4900000000000002</v>
      </c>
      <c r="E13" s="100">
        <v>6.46</v>
      </c>
      <c r="F13" s="100">
        <v>1.19</v>
      </c>
      <c r="G13" s="100">
        <v>21.44</v>
      </c>
      <c r="H13" s="100">
        <v>8.58</v>
      </c>
      <c r="I13" s="100">
        <v>3.91</v>
      </c>
      <c r="J13" s="100">
        <v>0.71</v>
      </c>
      <c r="K13" s="100">
        <v>262.47000000000003</v>
      </c>
      <c r="L13" s="100">
        <v>25.73</v>
      </c>
      <c r="M13" s="100">
        <v>92.65</v>
      </c>
      <c r="N13" s="100">
        <v>2.4</v>
      </c>
      <c r="O13" s="100">
        <v>0</v>
      </c>
      <c r="P13" s="100">
        <v>0.12</v>
      </c>
      <c r="Q13" s="100">
        <v>9.9</v>
      </c>
      <c r="R13" s="6"/>
      <c r="S13" s="6"/>
      <c r="T13" s="156"/>
      <c r="U13" s="6"/>
    </row>
    <row r="14" spans="1:21" customFormat="1">
      <c r="A14" s="163" t="s">
        <v>341</v>
      </c>
      <c r="B14" s="100">
        <v>1.28</v>
      </c>
      <c r="C14" s="100">
        <v>2.19</v>
      </c>
      <c r="D14" s="100">
        <v>2.23</v>
      </c>
      <c r="E14" s="100">
        <v>6.64</v>
      </c>
      <c r="F14" s="100">
        <v>1.99</v>
      </c>
      <c r="G14" s="100">
        <v>21.44</v>
      </c>
      <c r="H14" s="100">
        <v>8.58</v>
      </c>
      <c r="I14" s="100">
        <v>3.79</v>
      </c>
      <c r="J14" s="100">
        <v>0.63</v>
      </c>
      <c r="K14" s="100">
        <v>260.89999999999998</v>
      </c>
      <c r="L14" s="100">
        <v>25.71</v>
      </c>
      <c r="M14" s="100">
        <v>92.63</v>
      </c>
      <c r="N14" s="100">
        <v>2.2999999999999998</v>
      </c>
      <c r="O14" s="100">
        <v>0</v>
      </c>
      <c r="P14" s="100">
        <v>0.09</v>
      </c>
      <c r="Q14" s="100">
        <v>9.91</v>
      </c>
      <c r="R14" s="6"/>
      <c r="S14" s="6"/>
      <c r="T14" s="156"/>
      <c r="U14" s="6"/>
    </row>
    <row r="15" spans="1:21" customFormat="1">
      <c r="A15" s="163" t="s">
        <v>342</v>
      </c>
      <c r="B15" s="100">
        <v>1.29</v>
      </c>
      <c r="C15" s="100">
        <v>2.06</v>
      </c>
      <c r="D15" s="100">
        <v>1.96</v>
      </c>
      <c r="E15" s="100">
        <v>5.92</v>
      </c>
      <c r="F15" s="100">
        <v>2.13</v>
      </c>
      <c r="G15" s="100">
        <v>15.69</v>
      </c>
      <c r="H15" s="100">
        <v>8.58</v>
      </c>
      <c r="I15" s="100">
        <v>3.75</v>
      </c>
      <c r="J15" s="100">
        <v>0.63</v>
      </c>
      <c r="K15" s="100">
        <v>256.42</v>
      </c>
      <c r="L15" s="100">
        <v>25.64</v>
      </c>
      <c r="M15" s="100">
        <v>92.87</v>
      </c>
      <c r="N15" s="100">
        <v>2.2999999999999998</v>
      </c>
      <c r="O15" s="100">
        <v>0</v>
      </c>
      <c r="P15" s="100">
        <v>7.0000000000000007E-2</v>
      </c>
      <c r="Q15" s="100">
        <v>9.92</v>
      </c>
      <c r="R15" s="6"/>
      <c r="S15" s="6"/>
      <c r="T15" s="156"/>
      <c r="U15" s="6"/>
    </row>
    <row r="16" spans="1:21" customFormat="1">
      <c r="A16" s="163" t="s">
        <v>343</v>
      </c>
      <c r="B16" s="100">
        <v>1.27</v>
      </c>
      <c r="C16" s="100">
        <v>1.96</v>
      </c>
      <c r="D16" s="100">
        <v>1.8</v>
      </c>
      <c r="E16" s="100">
        <v>6.02</v>
      </c>
      <c r="F16" s="100">
        <v>2.52</v>
      </c>
      <c r="G16" s="100">
        <v>15.13</v>
      </c>
      <c r="H16" s="100">
        <v>8.58</v>
      </c>
      <c r="I16" s="100">
        <v>3.74</v>
      </c>
      <c r="J16" s="100">
        <v>0.55000000000000004</v>
      </c>
      <c r="K16" s="100">
        <v>262.79000000000002</v>
      </c>
      <c r="L16" s="100">
        <v>25.58</v>
      </c>
      <c r="M16" s="100">
        <v>93.27</v>
      </c>
      <c r="N16" s="100">
        <v>2.2000000000000002</v>
      </c>
      <c r="O16" s="100">
        <v>0</v>
      </c>
      <c r="P16" s="100">
        <v>0.09</v>
      </c>
      <c r="Q16" s="100">
        <v>9.91</v>
      </c>
      <c r="R16" s="6"/>
      <c r="S16" s="6"/>
      <c r="T16" s="156"/>
      <c r="U16" s="6"/>
    </row>
    <row r="17" spans="1:21" customFormat="1">
      <c r="A17" s="163" t="s">
        <v>344</v>
      </c>
      <c r="B17" s="100">
        <v>1.36</v>
      </c>
      <c r="C17" s="100">
        <v>2.0699999999999998</v>
      </c>
      <c r="D17" s="100">
        <v>1.87</v>
      </c>
      <c r="E17" s="100">
        <v>3.55</v>
      </c>
      <c r="F17" s="100">
        <v>1.67</v>
      </c>
      <c r="G17" s="100">
        <v>15.13</v>
      </c>
      <c r="H17" s="100">
        <v>8.58</v>
      </c>
      <c r="I17" s="100">
        <v>3.69</v>
      </c>
      <c r="J17" s="100">
        <v>0.66</v>
      </c>
      <c r="K17" s="100">
        <v>255.61</v>
      </c>
      <c r="L17" s="100">
        <v>25.55</v>
      </c>
      <c r="M17" s="100">
        <v>93.28</v>
      </c>
      <c r="N17" s="100">
        <v>2.1</v>
      </c>
      <c r="O17" s="100">
        <v>0</v>
      </c>
      <c r="P17" s="100">
        <v>0.08</v>
      </c>
      <c r="Q17" s="100">
        <v>9.91</v>
      </c>
      <c r="R17" s="6"/>
      <c r="S17" s="6"/>
      <c r="T17" s="156"/>
      <c r="U17" s="6"/>
    </row>
    <row r="18" spans="1:21" customFormat="1">
      <c r="A18" s="163" t="s">
        <v>345</v>
      </c>
      <c r="B18" s="100">
        <v>1.48</v>
      </c>
      <c r="C18" s="100">
        <v>2.13</v>
      </c>
      <c r="D18" s="100">
        <v>1.81</v>
      </c>
      <c r="E18" s="100">
        <v>4.04</v>
      </c>
      <c r="F18" s="100">
        <v>2.2200000000000002</v>
      </c>
      <c r="G18" s="100">
        <v>15.13</v>
      </c>
      <c r="H18" s="100">
        <v>8.58</v>
      </c>
      <c r="I18" s="100">
        <v>3.9</v>
      </c>
      <c r="J18" s="100">
        <v>0.54</v>
      </c>
      <c r="K18" s="100">
        <v>260.02</v>
      </c>
      <c r="L18" s="100">
        <v>25.54</v>
      </c>
      <c r="M18" s="100">
        <v>93.18</v>
      </c>
      <c r="N18" s="100">
        <v>2.1</v>
      </c>
      <c r="O18" s="100">
        <v>0</v>
      </c>
      <c r="P18" s="100">
        <v>7.0000000000000007E-2</v>
      </c>
      <c r="Q18" s="100">
        <v>9.92</v>
      </c>
      <c r="R18" s="6"/>
      <c r="S18" s="6"/>
      <c r="T18" s="156"/>
      <c r="U18" s="6"/>
    </row>
    <row r="19" spans="1:21" customFormat="1">
      <c r="A19" s="163" t="s">
        <v>346</v>
      </c>
      <c r="B19" s="100">
        <v>1.53</v>
      </c>
      <c r="C19" s="100">
        <v>2.13</v>
      </c>
      <c r="D19" s="100">
        <v>1.74</v>
      </c>
      <c r="E19" s="100">
        <v>3.92</v>
      </c>
      <c r="F19" s="100">
        <v>2.99</v>
      </c>
      <c r="G19" s="100">
        <v>19.84</v>
      </c>
      <c r="H19" s="100">
        <v>6.58</v>
      </c>
      <c r="I19" s="100">
        <v>3.95</v>
      </c>
      <c r="J19" s="100">
        <v>0.49</v>
      </c>
      <c r="K19" s="100">
        <v>261.12</v>
      </c>
      <c r="L19" s="100">
        <v>25.55</v>
      </c>
      <c r="M19" s="100">
        <v>93.22</v>
      </c>
      <c r="N19" s="100">
        <v>2.1</v>
      </c>
      <c r="O19" s="100">
        <v>0</v>
      </c>
      <c r="P19" s="100">
        <v>0.09</v>
      </c>
      <c r="Q19" s="100">
        <v>9.91</v>
      </c>
      <c r="R19" s="6"/>
      <c r="S19" s="6"/>
      <c r="T19" s="156"/>
      <c r="U19" s="6"/>
    </row>
    <row r="20" spans="1:21" customFormat="1">
      <c r="A20" s="163" t="s">
        <v>347</v>
      </c>
      <c r="B20" s="100">
        <v>1.63</v>
      </c>
      <c r="C20" s="100">
        <v>2.2599999999999998</v>
      </c>
      <c r="D20" s="100">
        <v>1.82</v>
      </c>
      <c r="E20" s="100">
        <v>4.24</v>
      </c>
      <c r="F20" s="100">
        <v>0.85</v>
      </c>
      <c r="G20" s="100">
        <v>20.23</v>
      </c>
      <c r="H20" s="100">
        <v>6.58</v>
      </c>
      <c r="I20" s="100">
        <v>3.9</v>
      </c>
      <c r="J20" s="100">
        <v>0.68</v>
      </c>
      <c r="K20" s="100">
        <v>264.63</v>
      </c>
      <c r="L20" s="100">
        <v>25.52</v>
      </c>
      <c r="M20" s="100">
        <v>92.6</v>
      </c>
      <c r="N20" s="100">
        <v>2.2000000000000002</v>
      </c>
      <c r="O20" s="100">
        <v>0</v>
      </c>
      <c r="P20" s="100">
        <v>0.08</v>
      </c>
      <c r="Q20" s="100">
        <v>9.91</v>
      </c>
      <c r="R20" s="6"/>
      <c r="S20" s="6"/>
      <c r="T20" s="156"/>
      <c r="U20" s="6"/>
    </row>
    <row r="21" spans="1:21" customFormat="1">
      <c r="A21" s="163" t="s">
        <v>348</v>
      </c>
      <c r="B21" s="100">
        <v>1.72</v>
      </c>
      <c r="C21" s="100">
        <v>2.2999999999999998</v>
      </c>
      <c r="D21" s="100">
        <v>1.77</v>
      </c>
      <c r="E21" s="100">
        <v>3.7</v>
      </c>
      <c r="F21" s="100">
        <v>2.2400000000000002</v>
      </c>
      <c r="G21" s="100">
        <v>20.23</v>
      </c>
      <c r="H21" s="100">
        <v>6.58</v>
      </c>
      <c r="I21" s="100">
        <v>3.97</v>
      </c>
      <c r="J21" s="100">
        <v>0.73</v>
      </c>
      <c r="K21" s="100">
        <v>260.49</v>
      </c>
      <c r="L21" s="100">
        <v>25.43</v>
      </c>
      <c r="M21" s="100">
        <v>90.73</v>
      </c>
      <c r="N21" s="100">
        <v>2.4</v>
      </c>
      <c r="O21" s="100">
        <v>0</v>
      </c>
      <c r="P21" s="100">
        <v>0.08</v>
      </c>
      <c r="Q21" s="100">
        <v>9.92</v>
      </c>
      <c r="R21" s="6"/>
      <c r="S21" s="6"/>
      <c r="T21" s="156"/>
      <c r="U21" s="6"/>
    </row>
    <row r="22" spans="1:21" customFormat="1">
      <c r="A22" s="163" t="s">
        <v>349</v>
      </c>
      <c r="B22" s="100">
        <v>1.77</v>
      </c>
      <c r="C22" s="100">
        <v>2.41</v>
      </c>
      <c r="D22" s="100">
        <v>1.88</v>
      </c>
      <c r="E22" s="100">
        <v>3.95</v>
      </c>
      <c r="F22" s="100">
        <v>1.67</v>
      </c>
      <c r="G22" s="100">
        <v>20.23</v>
      </c>
      <c r="H22" s="100">
        <v>6.58</v>
      </c>
      <c r="I22" s="100">
        <v>3.97</v>
      </c>
      <c r="J22" s="100">
        <v>0.52</v>
      </c>
      <c r="K22" s="100">
        <v>264.52999999999997</v>
      </c>
      <c r="L22" s="100">
        <v>25.36</v>
      </c>
      <c r="M22" s="100">
        <v>90.36</v>
      </c>
      <c r="N22" s="100">
        <v>2.2999999999999998</v>
      </c>
      <c r="O22" s="100">
        <v>0</v>
      </c>
      <c r="P22" s="100">
        <v>0.09</v>
      </c>
      <c r="Q22" s="100">
        <v>9.91</v>
      </c>
      <c r="R22" s="6"/>
      <c r="S22" s="6"/>
      <c r="T22" s="156"/>
      <c r="U22" s="6"/>
    </row>
    <row r="23" spans="1:21" customFormat="1">
      <c r="A23" s="163" t="s">
        <v>350</v>
      </c>
      <c r="B23" s="100">
        <v>1.9</v>
      </c>
      <c r="C23" s="100">
        <v>2.65</v>
      </c>
      <c r="D23" s="100">
        <v>2.16</v>
      </c>
      <c r="E23" s="100">
        <v>4.34</v>
      </c>
      <c r="F23" s="100">
        <v>2.13</v>
      </c>
      <c r="G23" s="100">
        <v>20.93</v>
      </c>
      <c r="H23" s="100">
        <v>8.66</v>
      </c>
      <c r="I23" s="100">
        <v>4.04</v>
      </c>
      <c r="J23" s="100">
        <v>0.6</v>
      </c>
      <c r="K23" s="100">
        <v>258.95999999999998</v>
      </c>
      <c r="L23" s="100">
        <v>25.31</v>
      </c>
      <c r="M23" s="100">
        <v>90.23</v>
      </c>
      <c r="N23" s="100">
        <v>2.4</v>
      </c>
      <c r="O23" s="100">
        <v>0</v>
      </c>
      <c r="P23" s="100">
        <v>0.09</v>
      </c>
      <c r="Q23" s="100">
        <v>9.93</v>
      </c>
      <c r="R23" s="6"/>
      <c r="S23" s="6"/>
      <c r="T23" s="156"/>
      <c r="U23" s="6"/>
    </row>
    <row r="24" spans="1:21" customFormat="1">
      <c r="A24" s="163" t="s">
        <v>351</v>
      </c>
      <c r="B24" s="100">
        <v>1.98</v>
      </c>
      <c r="C24" s="100">
        <v>2.65</v>
      </c>
      <c r="D24" s="100">
        <v>2.0499999999999998</v>
      </c>
      <c r="E24" s="100">
        <v>4.2</v>
      </c>
      <c r="F24" s="100">
        <v>2.4300000000000002</v>
      </c>
      <c r="G24" s="100">
        <v>20.99</v>
      </c>
      <c r="H24" s="100">
        <v>8.66</v>
      </c>
      <c r="I24" s="100">
        <v>4.5199999999999996</v>
      </c>
      <c r="J24" s="100">
        <v>0.56999999999999995</v>
      </c>
      <c r="K24" s="100">
        <v>260.08999999999997</v>
      </c>
      <c r="L24" s="100">
        <v>25.18</v>
      </c>
      <c r="M24" s="100">
        <v>90.45</v>
      </c>
      <c r="N24" s="100">
        <v>2.2000000000000002</v>
      </c>
      <c r="O24" s="100">
        <v>0</v>
      </c>
      <c r="P24" s="100">
        <v>0.11</v>
      </c>
      <c r="Q24" s="100">
        <v>9.94</v>
      </c>
      <c r="R24" s="6"/>
      <c r="S24" s="6"/>
      <c r="T24" s="156"/>
      <c r="U24" s="6"/>
    </row>
    <row r="25" spans="1:21" customFormat="1">
      <c r="A25" s="163" t="s">
        <v>352</v>
      </c>
      <c r="B25" s="100">
        <v>2.13</v>
      </c>
      <c r="C25" s="100">
        <v>2.84</v>
      </c>
      <c r="D25" s="100">
        <v>2.16</v>
      </c>
      <c r="E25" s="100">
        <v>4.1900000000000004</v>
      </c>
      <c r="F25" s="100">
        <v>1.1599999999999999</v>
      </c>
      <c r="G25" s="100">
        <v>20.99</v>
      </c>
      <c r="H25" s="100">
        <v>8.66</v>
      </c>
      <c r="I25" s="100">
        <v>4.71</v>
      </c>
      <c r="J25" s="100">
        <v>0.7</v>
      </c>
      <c r="K25" s="100">
        <v>259.3</v>
      </c>
      <c r="L25" s="100">
        <v>25.18</v>
      </c>
      <c r="M25" s="100">
        <v>90.3</v>
      </c>
      <c r="N25" s="100">
        <v>2.5</v>
      </c>
      <c r="O25" s="100">
        <v>0</v>
      </c>
      <c r="P25" s="100">
        <v>0.12</v>
      </c>
      <c r="Q25" s="100">
        <v>9.92</v>
      </c>
      <c r="R25" s="6"/>
      <c r="S25" s="6"/>
      <c r="T25" s="156"/>
      <c r="U25" s="6"/>
    </row>
    <row r="26" spans="1:21" customFormat="1">
      <c r="A26" s="163" t="s">
        <v>353</v>
      </c>
      <c r="B26" s="100">
        <v>2.2999999999999998</v>
      </c>
      <c r="C26" s="100">
        <v>2.94</v>
      </c>
      <c r="D26" s="100">
        <v>2.1</v>
      </c>
      <c r="E26" s="100">
        <v>3.82</v>
      </c>
      <c r="F26" s="100">
        <v>1.99</v>
      </c>
      <c r="G26" s="100">
        <v>20.99</v>
      </c>
      <c r="H26" s="100">
        <v>8.66</v>
      </c>
      <c r="I26" s="100">
        <v>5.19</v>
      </c>
      <c r="J26" s="100">
        <v>0.5</v>
      </c>
      <c r="K26" s="100">
        <v>256.51</v>
      </c>
      <c r="L26" s="100">
        <v>24.92</v>
      </c>
      <c r="M26" s="100">
        <v>92.34</v>
      </c>
      <c r="N26" s="100">
        <v>2.2000000000000002</v>
      </c>
      <c r="O26" s="100">
        <v>0</v>
      </c>
      <c r="P26" s="100">
        <v>0.12</v>
      </c>
      <c r="Q26" s="100">
        <v>9.94</v>
      </c>
      <c r="R26" s="6"/>
      <c r="S26" s="6"/>
      <c r="T26" s="156"/>
      <c r="U26" s="6"/>
    </row>
    <row r="27" spans="1:21" customFormat="1">
      <c r="A27" s="163" t="s">
        <v>354</v>
      </c>
      <c r="B27" s="100">
        <v>2.33</v>
      </c>
      <c r="C27" s="100">
        <v>2.98</v>
      </c>
      <c r="D27" s="100">
        <v>2.13</v>
      </c>
      <c r="E27" s="100">
        <v>4.0999999999999996</v>
      </c>
      <c r="F27" s="100">
        <v>1.59</v>
      </c>
      <c r="G27" s="100">
        <v>29.21</v>
      </c>
      <c r="H27" s="100">
        <v>7.8</v>
      </c>
      <c r="I27" s="100">
        <v>5.41</v>
      </c>
      <c r="J27" s="100">
        <v>0.56999999999999995</v>
      </c>
      <c r="K27" s="100">
        <v>257.47000000000003</v>
      </c>
      <c r="L27" s="100">
        <v>24.79</v>
      </c>
      <c r="M27" s="100">
        <v>93.43</v>
      </c>
      <c r="N27" s="100">
        <v>1.7</v>
      </c>
      <c r="O27" s="100">
        <v>0</v>
      </c>
      <c r="P27" s="100">
        <v>0.15</v>
      </c>
      <c r="Q27" s="100">
        <v>9.92</v>
      </c>
      <c r="R27" s="6"/>
      <c r="S27" s="6"/>
      <c r="T27" s="156"/>
      <c r="U27" s="6"/>
    </row>
    <row r="28" spans="1:21" customFormat="1">
      <c r="A28" s="163" t="s">
        <v>355</v>
      </c>
      <c r="B28" s="100">
        <v>2.5099999999999998</v>
      </c>
      <c r="C28" s="100">
        <v>3.21</v>
      </c>
      <c r="D28" s="100">
        <v>2.2799999999999998</v>
      </c>
      <c r="E28" s="100">
        <v>4.3</v>
      </c>
      <c r="F28" s="100">
        <v>1.24</v>
      </c>
      <c r="G28" s="100">
        <v>29.9</v>
      </c>
      <c r="H28" s="100">
        <v>7.8</v>
      </c>
      <c r="I28" s="100">
        <v>5.84</v>
      </c>
      <c r="J28" s="100">
        <v>0.59</v>
      </c>
      <c r="K28" s="100">
        <v>257.69</v>
      </c>
      <c r="L28" s="100">
        <v>24.91</v>
      </c>
      <c r="M28" s="100">
        <v>91.96</v>
      </c>
      <c r="N28" s="100">
        <v>1.9</v>
      </c>
      <c r="O28" s="100">
        <v>0</v>
      </c>
      <c r="P28" s="100">
        <v>0.15</v>
      </c>
      <c r="Q28" s="100">
        <v>9.94</v>
      </c>
      <c r="R28" s="6"/>
      <c r="S28" s="6"/>
      <c r="T28" s="156"/>
      <c r="U28" s="6"/>
    </row>
    <row r="29" spans="1:21" customFormat="1">
      <c r="A29" s="163" t="s">
        <v>356</v>
      </c>
      <c r="B29" s="100">
        <v>2.6</v>
      </c>
      <c r="C29" s="100">
        <v>3.22</v>
      </c>
      <c r="D29" s="100">
        <v>2.1800000000000002</v>
      </c>
      <c r="E29" s="100">
        <v>4.04</v>
      </c>
      <c r="F29" s="100">
        <v>2.65</v>
      </c>
      <c r="G29" s="100">
        <v>29.9</v>
      </c>
      <c r="H29" s="100">
        <v>7.8</v>
      </c>
      <c r="I29" s="100">
        <v>6.7</v>
      </c>
      <c r="J29" s="100">
        <v>0.68</v>
      </c>
      <c r="K29" s="100">
        <v>263.52999999999997</v>
      </c>
      <c r="L29" s="100">
        <v>25</v>
      </c>
      <c r="M29" s="100">
        <v>90.57</v>
      </c>
      <c r="N29" s="100">
        <v>2.2999999999999998</v>
      </c>
      <c r="O29" s="100">
        <v>0</v>
      </c>
      <c r="P29" s="100">
        <v>0.15</v>
      </c>
      <c r="Q29" s="100">
        <v>9.94</v>
      </c>
      <c r="R29" s="6"/>
      <c r="S29" s="6"/>
      <c r="T29" s="156"/>
      <c r="U29" s="6"/>
    </row>
    <row r="30" spans="1:21" customFormat="1">
      <c r="A30" s="163" t="s">
        <v>357</v>
      </c>
      <c r="B30" s="100">
        <v>2.6</v>
      </c>
      <c r="C30" s="100">
        <v>3.24</v>
      </c>
      <c r="D30" s="100">
        <v>2.2200000000000002</v>
      </c>
      <c r="E30" s="100">
        <v>4.2</v>
      </c>
      <c r="F30" s="100">
        <v>1.34</v>
      </c>
      <c r="G30" s="100">
        <v>29.9</v>
      </c>
      <c r="H30" s="100">
        <v>7.8</v>
      </c>
      <c r="I30" s="100">
        <v>7.17</v>
      </c>
      <c r="J30" s="100">
        <v>0.56000000000000005</v>
      </c>
      <c r="K30" s="100">
        <v>266.33</v>
      </c>
      <c r="L30" s="100">
        <v>24.99</v>
      </c>
      <c r="M30" s="100">
        <v>90.76</v>
      </c>
      <c r="N30" s="100">
        <v>3</v>
      </c>
      <c r="O30" s="100">
        <v>0</v>
      </c>
      <c r="P30" s="100">
        <v>0.16</v>
      </c>
      <c r="Q30" s="100">
        <v>9.93</v>
      </c>
      <c r="R30" s="6"/>
      <c r="S30" s="6"/>
      <c r="T30" s="156"/>
      <c r="U30" s="6"/>
    </row>
    <row r="31" spans="1:21" customFormat="1">
      <c r="A31" s="163" t="s">
        <v>358</v>
      </c>
      <c r="B31" s="100">
        <v>2.69</v>
      </c>
      <c r="C31" s="100">
        <v>3.3</v>
      </c>
      <c r="D31" s="100">
        <v>2.2000000000000002</v>
      </c>
      <c r="E31" s="100">
        <v>4.4000000000000004</v>
      </c>
      <c r="F31" s="100">
        <v>2</v>
      </c>
      <c r="G31" s="100">
        <v>28.5</v>
      </c>
      <c r="H31" s="100">
        <v>12.24</v>
      </c>
      <c r="I31" s="100">
        <v>7.17</v>
      </c>
      <c r="J31" s="100">
        <v>0.64</v>
      </c>
      <c r="K31" s="100">
        <v>262.89</v>
      </c>
      <c r="L31" s="100">
        <v>24.96</v>
      </c>
      <c r="M31" s="100">
        <v>90.81</v>
      </c>
      <c r="N31" s="100">
        <v>4.5999999999999996</v>
      </c>
      <c r="O31" s="100">
        <v>0</v>
      </c>
      <c r="P31" s="100">
        <v>0.16</v>
      </c>
      <c r="Q31" s="100">
        <v>9.94</v>
      </c>
      <c r="R31" s="6"/>
      <c r="S31" s="6"/>
      <c r="T31" s="156"/>
      <c r="U31" s="6"/>
    </row>
    <row r="32" spans="1:21" customFormat="1">
      <c r="A32" s="163" t="s">
        <v>359</v>
      </c>
      <c r="B32" s="100">
        <v>2.68</v>
      </c>
      <c r="C32" s="100">
        <v>3.43</v>
      </c>
      <c r="D32" s="100">
        <v>2.46</v>
      </c>
      <c r="E32" s="100">
        <v>4.32</v>
      </c>
      <c r="F32" s="100">
        <v>2.82</v>
      </c>
      <c r="G32" s="100">
        <v>28.38</v>
      </c>
      <c r="H32" s="100">
        <v>12.24</v>
      </c>
      <c r="I32" s="100">
        <v>7.2</v>
      </c>
      <c r="J32" s="100">
        <v>0.65</v>
      </c>
      <c r="K32" s="100">
        <v>258.60000000000002</v>
      </c>
      <c r="L32" s="100">
        <v>25.07</v>
      </c>
      <c r="M32" s="100">
        <v>90.23</v>
      </c>
      <c r="N32" s="100">
        <v>6.9</v>
      </c>
      <c r="O32" s="100">
        <v>0</v>
      </c>
      <c r="P32" s="100">
        <v>0.17</v>
      </c>
      <c r="Q32" s="100">
        <v>9.92</v>
      </c>
      <c r="R32" s="6"/>
      <c r="S32" s="6"/>
      <c r="T32" s="156"/>
      <c r="U32" s="6"/>
    </row>
    <row r="33" spans="1:21" customFormat="1">
      <c r="A33" s="163" t="s">
        <v>360</v>
      </c>
      <c r="B33" s="100">
        <v>2.67</v>
      </c>
      <c r="C33" s="100">
        <v>3.73</v>
      </c>
      <c r="D33" s="100">
        <v>3.04</v>
      </c>
      <c r="E33" s="100">
        <v>4.58</v>
      </c>
      <c r="F33" s="100">
        <v>3.25</v>
      </c>
      <c r="G33" s="100">
        <v>28.38</v>
      </c>
      <c r="H33" s="100">
        <v>12.24</v>
      </c>
      <c r="I33" s="100">
        <v>7.07</v>
      </c>
      <c r="J33" s="100">
        <v>0.56999999999999995</v>
      </c>
      <c r="K33" s="100">
        <v>260.18</v>
      </c>
      <c r="L33" s="100">
        <v>25.25</v>
      </c>
      <c r="M33" s="100">
        <v>89.09</v>
      </c>
      <c r="N33" s="100">
        <v>13.8</v>
      </c>
      <c r="O33" s="100">
        <v>0</v>
      </c>
      <c r="P33" s="100">
        <v>0.19</v>
      </c>
      <c r="Q33" s="100">
        <v>9.93</v>
      </c>
      <c r="R33" s="6"/>
      <c r="S33" s="6"/>
      <c r="T33" s="156"/>
      <c r="U33" s="6"/>
    </row>
    <row r="34" spans="1:21" customFormat="1">
      <c r="A34" s="163" t="s">
        <v>361</v>
      </c>
      <c r="B34" s="100">
        <v>2.66</v>
      </c>
      <c r="C34" s="100">
        <v>3.84</v>
      </c>
      <c r="D34" s="100">
        <v>3.26</v>
      </c>
      <c r="E34" s="100">
        <v>4.51</v>
      </c>
      <c r="F34" s="100">
        <v>3.05</v>
      </c>
      <c r="G34" s="100">
        <v>28.38</v>
      </c>
      <c r="H34" s="100">
        <v>12.24</v>
      </c>
      <c r="I34" s="100">
        <v>7.05</v>
      </c>
      <c r="J34" s="100">
        <v>0.6</v>
      </c>
      <c r="K34" s="100">
        <v>263.79000000000002</v>
      </c>
      <c r="L34" s="100">
        <v>25.35</v>
      </c>
      <c r="M34" s="100">
        <v>88.71</v>
      </c>
      <c r="N34" s="100">
        <v>26.6</v>
      </c>
      <c r="O34" s="100">
        <v>0</v>
      </c>
      <c r="P34" s="100">
        <v>0.19</v>
      </c>
      <c r="Q34" s="100">
        <v>9.92</v>
      </c>
      <c r="R34" s="6"/>
      <c r="S34" s="6"/>
      <c r="T34" s="156"/>
      <c r="U34" s="6"/>
    </row>
    <row r="35" spans="1:21" customFormat="1">
      <c r="A35" s="163" t="s">
        <v>362</v>
      </c>
      <c r="B35" s="100">
        <v>2.64</v>
      </c>
      <c r="C35" s="100">
        <v>3.87</v>
      </c>
      <c r="D35" s="100">
        <v>3.35</v>
      </c>
      <c r="E35" s="100">
        <v>4.8600000000000003</v>
      </c>
      <c r="F35" s="100">
        <v>3.39</v>
      </c>
      <c r="G35" s="100">
        <v>31.78</v>
      </c>
      <c r="H35" s="100">
        <v>12.66</v>
      </c>
      <c r="I35" s="100">
        <v>7.1</v>
      </c>
      <c r="J35" s="100">
        <v>0.65</v>
      </c>
      <c r="K35" s="100">
        <v>261.33999999999997</v>
      </c>
      <c r="L35" s="100">
        <v>25.55</v>
      </c>
      <c r="M35" s="100">
        <v>88.23</v>
      </c>
      <c r="N35" s="100">
        <v>38.5</v>
      </c>
      <c r="O35" s="100">
        <v>0</v>
      </c>
      <c r="P35" s="100">
        <v>0.18</v>
      </c>
      <c r="Q35" s="100">
        <v>9.94</v>
      </c>
      <c r="R35" s="6"/>
      <c r="S35" s="6"/>
      <c r="T35" s="156"/>
      <c r="U35" s="6"/>
    </row>
    <row r="36" spans="1:21" customFormat="1">
      <c r="A36" s="163" t="s">
        <v>363</v>
      </c>
      <c r="B36" s="100">
        <v>2.62</v>
      </c>
      <c r="C36" s="100">
        <v>3.83</v>
      </c>
      <c r="D36" s="100">
        <v>3.31</v>
      </c>
      <c r="E36" s="100">
        <v>5.01</v>
      </c>
      <c r="F36" s="100">
        <v>3.11</v>
      </c>
      <c r="G36" s="100">
        <v>32.11</v>
      </c>
      <c r="H36" s="100">
        <v>12.66</v>
      </c>
      <c r="I36" s="100">
        <v>6.71</v>
      </c>
      <c r="J36" s="100">
        <v>0.61</v>
      </c>
      <c r="K36" s="100">
        <v>262.38</v>
      </c>
      <c r="L36" s="100">
        <v>25.69</v>
      </c>
      <c r="M36" s="100">
        <v>88.07</v>
      </c>
      <c r="N36" s="100">
        <v>46.1</v>
      </c>
      <c r="O36" s="100">
        <v>0</v>
      </c>
      <c r="P36" s="100">
        <v>0.18</v>
      </c>
      <c r="Q36" s="100">
        <v>9.93</v>
      </c>
      <c r="R36" s="6"/>
      <c r="S36" s="6"/>
      <c r="T36" s="156"/>
      <c r="U36" s="6"/>
    </row>
    <row r="37" spans="1:21" customFormat="1">
      <c r="A37" s="163" t="s">
        <v>364</v>
      </c>
      <c r="B37" s="100">
        <v>2.5499999999999998</v>
      </c>
      <c r="C37" s="100">
        <v>3.8</v>
      </c>
      <c r="D37" s="100">
        <v>3.37</v>
      </c>
      <c r="E37" s="100">
        <v>4.83</v>
      </c>
      <c r="F37" s="100">
        <v>2.78</v>
      </c>
      <c r="G37" s="100">
        <v>32.11</v>
      </c>
      <c r="H37" s="100">
        <v>12.66</v>
      </c>
      <c r="I37" s="100">
        <v>6.73</v>
      </c>
      <c r="J37" s="100">
        <v>0.54</v>
      </c>
      <c r="K37" s="100">
        <v>261.95</v>
      </c>
      <c r="L37" s="100">
        <v>25.78</v>
      </c>
      <c r="M37" s="100">
        <v>88.26</v>
      </c>
      <c r="N37" s="100">
        <v>42.6</v>
      </c>
      <c r="O37" s="100">
        <v>0</v>
      </c>
      <c r="P37" s="100">
        <v>0.19</v>
      </c>
      <c r="Q37" s="100">
        <v>9.94</v>
      </c>
      <c r="R37" s="6"/>
      <c r="S37" s="6"/>
      <c r="T37" s="156"/>
      <c r="U37" s="6"/>
    </row>
    <row r="38" spans="1:21" customFormat="1">
      <c r="A38" s="163" t="s">
        <v>365</v>
      </c>
      <c r="B38" s="100">
        <v>2.6</v>
      </c>
      <c r="C38" s="100">
        <v>3.87</v>
      </c>
      <c r="D38" s="100">
        <v>3.41</v>
      </c>
      <c r="E38" s="100">
        <v>4.7699999999999996</v>
      </c>
      <c r="F38" s="100">
        <v>3.24</v>
      </c>
      <c r="G38" s="100">
        <v>32.11</v>
      </c>
      <c r="H38" s="100">
        <v>12.66</v>
      </c>
      <c r="I38" s="100">
        <v>6.71</v>
      </c>
      <c r="J38" s="100">
        <v>0.52</v>
      </c>
      <c r="K38" s="100">
        <v>259.79000000000002</v>
      </c>
      <c r="L38" s="100">
        <v>26.03</v>
      </c>
      <c r="M38" s="100">
        <v>88.2</v>
      </c>
      <c r="N38" s="100">
        <v>84.7</v>
      </c>
      <c r="O38" s="100">
        <v>0</v>
      </c>
      <c r="P38" s="100">
        <v>0.22</v>
      </c>
      <c r="Q38" s="100">
        <v>9.93</v>
      </c>
      <c r="R38" s="6"/>
      <c r="S38" s="6"/>
      <c r="T38" s="156"/>
      <c r="U38" s="6"/>
    </row>
    <row r="39" spans="1:21" customFormat="1">
      <c r="A39" s="163" t="s">
        <v>366</v>
      </c>
      <c r="B39" s="100">
        <v>2.8</v>
      </c>
      <c r="C39" s="100">
        <v>4.12</v>
      </c>
      <c r="D39" s="100">
        <v>3.57</v>
      </c>
      <c r="E39" s="100">
        <v>4.8899999999999997</v>
      </c>
      <c r="F39" s="100">
        <v>2.8</v>
      </c>
      <c r="G39" s="100">
        <v>35.909999999999997</v>
      </c>
      <c r="H39" s="100">
        <v>17.32</v>
      </c>
      <c r="I39" s="100">
        <v>6.64</v>
      </c>
      <c r="J39" s="100">
        <v>0.62</v>
      </c>
      <c r="K39" s="100">
        <v>263.92</v>
      </c>
      <c r="L39" s="100">
        <v>26.19</v>
      </c>
      <c r="M39" s="100">
        <v>88.19</v>
      </c>
      <c r="N39" s="100">
        <v>81.2</v>
      </c>
      <c r="O39" s="100">
        <v>0</v>
      </c>
      <c r="P39" s="100">
        <v>0.26</v>
      </c>
      <c r="Q39" s="100">
        <v>9.9499999999999993</v>
      </c>
      <c r="R39" s="6"/>
      <c r="S39" s="6"/>
      <c r="T39" s="156"/>
      <c r="U39" s="6"/>
    </row>
    <row r="40" spans="1:21" customFormat="1">
      <c r="A40" s="163" t="s">
        <v>367</v>
      </c>
      <c r="B40" s="100">
        <v>3.04</v>
      </c>
      <c r="C40" s="100">
        <v>4.3</v>
      </c>
      <c r="D40" s="100">
        <v>3.57</v>
      </c>
      <c r="E40" s="100">
        <v>4.88</v>
      </c>
      <c r="F40" s="100">
        <v>2.91</v>
      </c>
      <c r="G40" s="100">
        <v>36.229999999999997</v>
      </c>
      <c r="H40" s="100">
        <v>17.32</v>
      </c>
      <c r="I40" s="100">
        <v>8.09</v>
      </c>
      <c r="J40" s="100">
        <v>0.6</v>
      </c>
      <c r="K40" s="100">
        <v>259.37</v>
      </c>
      <c r="L40" s="100">
        <v>26.39</v>
      </c>
      <c r="M40" s="100">
        <v>88.16</v>
      </c>
      <c r="N40" s="100">
        <v>107.7</v>
      </c>
      <c r="O40" s="100">
        <v>0</v>
      </c>
      <c r="P40" s="100">
        <v>0.28000000000000003</v>
      </c>
      <c r="Q40" s="100">
        <v>9.9600000000000009</v>
      </c>
      <c r="R40" s="6"/>
      <c r="S40" s="6"/>
      <c r="T40" s="156"/>
      <c r="U40" s="6"/>
    </row>
    <row r="41" spans="1:21" customFormat="1">
      <c r="A41" s="163" t="s">
        <v>368</v>
      </c>
      <c r="B41" s="100">
        <v>3.18</v>
      </c>
      <c r="C41" s="100">
        <v>4.42</v>
      </c>
      <c r="D41" s="100">
        <v>3.58</v>
      </c>
      <c r="E41" s="100">
        <v>5.21</v>
      </c>
      <c r="F41" s="100">
        <v>3.11</v>
      </c>
      <c r="G41" s="100">
        <v>36.229999999999997</v>
      </c>
      <c r="H41" s="100">
        <v>17.32</v>
      </c>
      <c r="I41" s="100">
        <v>10.36</v>
      </c>
      <c r="J41" s="100">
        <v>0.66</v>
      </c>
      <c r="K41" s="100">
        <v>266.36</v>
      </c>
      <c r="L41" s="100">
        <v>26.68</v>
      </c>
      <c r="M41" s="100">
        <v>87</v>
      </c>
      <c r="N41" s="100">
        <v>119.1</v>
      </c>
      <c r="O41" s="100">
        <v>0</v>
      </c>
      <c r="P41" s="100">
        <v>0.28999999999999998</v>
      </c>
      <c r="Q41" s="100">
        <v>9.9600000000000009</v>
      </c>
      <c r="R41" s="6"/>
      <c r="S41" s="6"/>
      <c r="T41" s="156"/>
      <c r="U41" s="6"/>
    </row>
    <row r="42" spans="1:21" customFormat="1">
      <c r="A42" s="163" t="s">
        <v>369</v>
      </c>
      <c r="B42" s="100">
        <v>3.3</v>
      </c>
      <c r="C42" s="100">
        <v>4.51</v>
      </c>
      <c r="D42" s="100">
        <v>3.58</v>
      </c>
      <c r="E42" s="100">
        <v>5.03</v>
      </c>
      <c r="F42" s="100">
        <v>2.91</v>
      </c>
      <c r="G42" s="100">
        <v>36.229999999999997</v>
      </c>
      <c r="H42" s="100">
        <v>17.32</v>
      </c>
      <c r="I42" s="100">
        <v>11.52</v>
      </c>
      <c r="J42" s="100">
        <v>0.79</v>
      </c>
      <c r="K42" s="100">
        <v>269.62</v>
      </c>
      <c r="L42" s="100">
        <v>26.93</v>
      </c>
      <c r="M42" s="100">
        <v>85.99</v>
      </c>
      <c r="N42" s="100">
        <v>164.6</v>
      </c>
      <c r="O42" s="100">
        <v>0</v>
      </c>
      <c r="P42" s="100">
        <v>0.31</v>
      </c>
      <c r="Q42" s="100">
        <v>9.9499999999999993</v>
      </c>
      <c r="R42" s="6"/>
      <c r="S42" s="6"/>
      <c r="T42" s="156"/>
      <c r="U42" s="6"/>
    </row>
    <row r="43" spans="1:21" customFormat="1">
      <c r="A43" s="163" t="s">
        <v>370</v>
      </c>
      <c r="B43" s="100">
        <v>3.36</v>
      </c>
      <c r="C43" s="100">
        <v>4.5599999999999996</v>
      </c>
      <c r="D43" s="100">
        <v>3.57</v>
      </c>
      <c r="E43" s="100">
        <v>4.9800000000000004</v>
      </c>
      <c r="F43" s="100">
        <v>2.79</v>
      </c>
      <c r="G43" s="100">
        <v>44.66</v>
      </c>
      <c r="H43" s="100">
        <v>15.7</v>
      </c>
      <c r="I43" s="100">
        <v>12.01</v>
      </c>
      <c r="J43" s="100">
        <v>0.79</v>
      </c>
      <c r="K43" s="100">
        <v>265.14</v>
      </c>
      <c r="L43" s="100">
        <v>26.91</v>
      </c>
      <c r="M43" s="100">
        <v>86.23</v>
      </c>
      <c r="N43" s="100">
        <v>85.9</v>
      </c>
      <c r="O43" s="100">
        <v>0</v>
      </c>
      <c r="P43" s="100">
        <v>0.32</v>
      </c>
      <c r="Q43" s="100">
        <v>9.9499999999999993</v>
      </c>
      <c r="R43" s="6"/>
      <c r="S43" s="6"/>
      <c r="T43" s="156"/>
      <c r="U43" s="6"/>
    </row>
    <row r="44" spans="1:21" customFormat="1">
      <c r="A44" s="163" t="s">
        <v>371</v>
      </c>
      <c r="B44" s="100">
        <v>3.43</v>
      </c>
      <c r="C44" s="100">
        <v>4.58</v>
      </c>
      <c r="D44" s="100">
        <v>3.51</v>
      </c>
      <c r="E44" s="100">
        <v>5.16</v>
      </c>
      <c r="F44" s="100">
        <v>2.9</v>
      </c>
      <c r="G44" s="100">
        <v>45.37</v>
      </c>
      <c r="H44" s="100">
        <v>15.7</v>
      </c>
      <c r="I44" s="100">
        <v>12.61</v>
      </c>
      <c r="J44" s="100">
        <v>0.79</v>
      </c>
      <c r="K44" s="100">
        <v>261.45</v>
      </c>
      <c r="L44" s="100">
        <v>26.75</v>
      </c>
      <c r="M44" s="100">
        <v>87.05</v>
      </c>
      <c r="N44" s="100">
        <v>123.7</v>
      </c>
      <c r="O44" s="100">
        <v>0</v>
      </c>
      <c r="P44" s="100">
        <v>0.33</v>
      </c>
      <c r="Q44" s="100">
        <v>9.94</v>
      </c>
      <c r="R44" s="6"/>
      <c r="S44" s="6"/>
      <c r="T44" s="156"/>
      <c r="U44" s="6"/>
    </row>
    <row r="45" spans="1:21" customFormat="1">
      <c r="A45" s="163" t="s">
        <v>372</v>
      </c>
      <c r="B45" s="100">
        <v>3.42</v>
      </c>
      <c r="C45" s="100">
        <v>4.59</v>
      </c>
      <c r="D45" s="100">
        <v>3.54</v>
      </c>
      <c r="E45" s="100">
        <v>4.97</v>
      </c>
      <c r="F45" s="100">
        <v>2.91</v>
      </c>
      <c r="G45" s="100">
        <v>45.37</v>
      </c>
      <c r="H45" s="100">
        <v>15.7</v>
      </c>
      <c r="I45" s="100">
        <v>13.2</v>
      </c>
      <c r="J45" s="100">
        <v>0.79</v>
      </c>
      <c r="K45" s="100">
        <v>269.63</v>
      </c>
      <c r="L45" s="100">
        <v>27.12</v>
      </c>
      <c r="M45" s="100">
        <v>85.54</v>
      </c>
      <c r="N45" s="100">
        <v>138.9</v>
      </c>
      <c r="O45" s="100">
        <v>0</v>
      </c>
      <c r="P45" s="100">
        <v>0.33</v>
      </c>
      <c r="Q45" s="100">
        <v>9.9600000000000009</v>
      </c>
      <c r="R45" s="6"/>
      <c r="S45" s="6"/>
      <c r="T45" s="156"/>
      <c r="U45" s="6"/>
    </row>
    <row r="46" spans="1:21" customFormat="1">
      <c r="A46" s="163" t="s">
        <v>373</v>
      </c>
      <c r="B46" s="100">
        <v>3.55</v>
      </c>
      <c r="C46" s="100">
        <v>4.72</v>
      </c>
      <c r="D46" s="100">
        <v>3.59</v>
      </c>
      <c r="E46" s="100">
        <v>4.8099999999999996</v>
      </c>
      <c r="F46" s="100">
        <v>2.4700000000000002</v>
      </c>
      <c r="G46" s="100">
        <v>45.37</v>
      </c>
      <c r="H46" s="100">
        <v>15.7</v>
      </c>
      <c r="I46" s="100">
        <v>13.73</v>
      </c>
      <c r="J46" s="100">
        <v>0.82</v>
      </c>
      <c r="K46" s="100">
        <v>266.5</v>
      </c>
      <c r="L46" s="100">
        <v>27.22</v>
      </c>
      <c r="M46" s="100">
        <v>85.13</v>
      </c>
      <c r="N46" s="100">
        <v>143.6</v>
      </c>
      <c r="O46" s="100">
        <v>0</v>
      </c>
      <c r="P46" s="100">
        <v>0.34</v>
      </c>
      <c r="Q46" s="100">
        <v>9.9499999999999993</v>
      </c>
      <c r="R46" s="6"/>
      <c r="S46" s="6"/>
      <c r="T46" s="156"/>
      <c r="U46" s="6"/>
    </row>
    <row r="47" spans="1:21" customFormat="1">
      <c r="A47" s="163" t="s">
        <v>374</v>
      </c>
      <c r="B47" s="100">
        <v>3.67</v>
      </c>
      <c r="C47" s="100">
        <v>4.8600000000000003</v>
      </c>
      <c r="D47" s="100">
        <v>3.67</v>
      </c>
      <c r="E47" s="100">
        <v>4.76</v>
      </c>
      <c r="F47" s="100">
        <v>2.91</v>
      </c>
      <c r="G47" s="100">
        <v>47.77</v>
      </c>
      <c r="H47" s="100">
        <v>17.41</v>
      </c>
      <c r="I47" s="100">
        <v>13.93</v>
      </c>
      <c r="J47" s="100">
        <v>0.81</v>
      </c>
      <c r="K47" s="100">
        <v>259.97000000000003</v>
      </c>
      <c r="L47" s="100">
        <v>27.05</v>
      </c>
      <c r="M47" s="100">
        <v>85.29</v>
      </c>
      <c r="N47" s="100">
        <v>138.80000000000001</v>
      </c>
      <c r="O47" s="100">
        <v>0</v>
      </c>
      <c r="P47" s="100">
        <v>0.34</v>
      </c>
      <c r="Q47" s="100">
        <v>9.9700000000000006</v>
      </c>
      <c r="R47" s="6"/>
      <c r="S47" s="6"/>
      <c r="T47" s="156"/>
      <c r="U47" s="6"/>
    </row>
    <row r="48" spans="1:21" customFormat="1">
      <c r="A48" s="163" t="s">
        <v>375</v>
      </c>
      <c r="B48" s="100">
        <v>3.78</v>
      </c>
      <c r="C48" s="100">
        <v>4.91</v>
      </c>
      <c r="D48" s="100">
        <v>3.6</v>
      </c>
      <c r="E48" s="100">
        <v>5.09</v>
      </c>
      <c r="F48" s="100">
        <v>2.1800000000000002</v>
      </c>
      <c r="G48" s="100">
        <v>47.98</v>
      </c>
      <c r="H48" s="100">
        <v>17.41</v>
      </c>
      <c r="I48" s="100">
        <v>13.97</v>
      </c>
      <c r="J48" s="100">
        <v>0.76</v>
      </c>
      <c r="K48" s="100">
        <v>265.14999999999998</v>
      </c>
      <c r="L48" s="100">
        <v>27.13</v>
      </c>
      <c r="M48" s="100">
        <v>85.5</v>
      </c>
      <c r="N48" s="100">
        <v>126.2</v>
      </c>
      <c r="O48" s="100">
        <v>0</v>
      </c>
      <c r="P48" s="100">
        <v>0.34</v>
      </c>
      <c r="Q48" s="100">
        <v>9.9600000000000009</v>
      </c>
      <c r="R48" s="6"/>
      <c r="S48" s="6"/>
      <c r="T48" s="156"/>
      <c r="U48" s="6"/>
    </row>
    <row r="49" spans="1:21" customFormat="1">
      <c r="A49" s="163" t="s">
        <v>376</v>
      </c>
      <c r="B49" s="100">
        <v>3.72</v>
      </c>
      <c r="C49" s="100">
        <v>4.84</v>
      </c>
      <c r="D49" s="100">
        <v>3.55</v>
      </c>
      <c r="E49" s="100">
        <v>4.37</v>
      </c>
      <c r="F49" s="100">
        <v>1.59</v>
      </c>
      <c r="G49" s="100">
        <v>47.98</v>
      </c>
      <c r="H49" s="100">
        <v>17.41</v>
      </c>
      <c r="I49" s="100">
        <v>14.29</v>
      </c>
      <c r="J49" s="100">
        <v>0.81</v>
      </c>
      <c r="K49" s="100">
        <v>260.3</v>
      </c>
      <c r="L49" s="100">
        <v>27.03</v>
      </c>
      <c r="M49" s="100">
        <v>85.61</v>
      </c>
      <c r="N49" s="100">
        <v>105.1</v>
      </c>
      <c r="O49" s="100">
        <v>0</v>
      </c>
      <c r="P49" s="100">
        <v>0.34</v>
      </c>
      <c r="Q49" s="100">
        <v>9.9700000000000006</v>
      </c>
      <c r="R49" s="6"/>
      <c r="S49" s="6"/>
      <c r="T49" s="156"/>
      <c r="U49" s="6"/>
    </row>
    <row r="50" spans="1:21" customFormat="1">
      <c r="A50" s="163" t="s">
        <v>377</v>
      </c>
      <c r="B50" s="100">
        <v>3.62</v>
      </c>
      <c r="C50" s="100">
        <v>4.74</v>
      </c>
      <c r="D50" s="100">
        <v>3.53</v>
      </c>
      <c r="E50" s="100">
        <v>5.52</v>
      </c>
      <c r="F50" s="100">
        <v>2.42</v>
      </c>
      <c r="G50" s="100">
        <v>47.98</v>
      </c>
      <c r="H50" s="100">
        <v>17.41</v>
      </c>
      <c r="I50" s="100">
        <v>14.1</v>
      </c>
      <c r="J50" s="100">
        <v>0.88</v>
      </c>
      <c r="K50" s="100">
        <v>256.87</v>
      </c>
      <c r="L50" s="100">
        <v>27.08</v>
      </c>
      <c r="M50" s="100">
        <v>85.07</v>
      </c>
      <c r="N50" s="100">
        <v>124.8</v>
      </c>
      <c r="O50" s="100">
        <v>0</v>
      </c>
      <c r="P50" s="100">
        <v>0.33</v>
      </c>
      <c r="Q50" s="100">
        <v>9.9600000000000009</v>
      </c>
      <c r="R50" s="6"/>
      <c r="S50" s="6"/>
      <c r="T50" s="156"/>
      <c r="U50" s="6"/>
    </row>
    <row r="51" spans="1:21" customFormat="1">
      <c r="A51" s="163" t="s">
        <v>378</v>
      </c>
      <c r="B51" s="100">
        <v>3.46</v>
      </c>
      <c r="C51" s="100">
        <v>4.63</v>
      </c>
      <c r="D51" s="100">
        <v>3.56</v>
      </c>
      <c r="E51" s="100">
        <v>5.55</v>
      </c>
      <c r="F51" s="100">
        <v>1.97</v>
      </c>
      <c r="G51" s="100">
        <v>46.48</v>
      </c>
      <c r="H51" s="100">
        <v>17.97</v>
      </c>
      <c r="I51" s="100">
        <v>13.93</v>
      </c>
      <c r="J51" s="100">
        <v>0.74</v>
      </c>
      <c r="K51" s="100">
        <v>268.98</v>
      </c>
      <c r="L51" s="100">
        <v>27.15</v>
      </c>
      <c r="M51" s="100">
        <v>85.1</v>
      </c>
      <c r="N51" s="100">
        <v>82.8</v>
      </c>
      <c r="O51" s="100">
        <v>0</v>
      </c>
      <c r="P51" s="100">
        <v>0.33</v>
      </c>
      <c r="Q51" s="100">
        <v>9.9600000000000009</v>
      </c>
      <c r="R51" s="6"/>
      <c r="S51" s="6"/>
      <c r="T51" s="156"/>
      <c r="U51" s="6"/>
    </row>
    <row r="52" spans="1:21" customFormat="1">
      <c r="A52" s="163" t="s">
        <v>379</v>
      </c>
      <c r="B52" s="100">
        <v>3.35</v>
      </c>
      <c r="C52" s="100">
        <v>4.55</v>
      </c>
      <c r="D52" s="100">
        <v>3.57</v>
      </c>
      <c r="E52" s="100">
        <v>5.33</v>
      </c>
      <c r="F52" s="100">
        <v>2.27</v>
      </c>
      <c r="G52" s="100">
        <v>46.34</v>
      </c>
      <c r="H52" s="100">
        <v>17.97</v>
      </c>
      <c r="I52" s="100">
        <v>13.84</v>
      </c>
      <c r="J52" s="100">
        <v>0.71</v>
      </c>
      <c r="K52" s="100">
        <v>265.72000000000003</v>
      </c>
      <c r="L52" s="100">
        <v>27.14</v>
      </c>
      <c r="M52" s="100">
        <v>86.51</v>
      </c>
      <c r="N52" s="100">
        <v>186.9</v>
      </c>
      <c r="O52" s="100">
        <v>0</v>
      </c>
      <c r="P52" s="100">
        <v>0.33</v>
      </c>
      <c r="Q52" s="100">
        <v>9.9499999999999993</v>
      </c>
      <c r="R52" s="6"/>
      <c r="S52" s="6"/>
      <c r="T52" s="156"/>
      <c r="U52" s="6"/>
    </row>
    <row r="53" spans="1:21" customFormat="1">
      <c r="A53" s="163" t="s">
        <v>380</v>
      </c>
      <c r="B53" s="100">
        <v>3.46</v>
      </c>
      <c r="C53" s="100">
        <v>4.6399999999999997</v>
      </c>
      <c r="D53" s="100">
        <v>3.58</v>
      </c>
      <c r="E53" s="100">
        <v>5.69</v>
      </c>
      <c r="F53" s="100">
        <v>1.45</v>
      </c>
      <c r="G53" s="100">
        <v>46.34</v>
      </c>
      <c r="H53" s="100">
        <v>17.97</v>
      </c>
      <c r="I53" s="100">
        <v>13.69</v>
      </c>
      <c r="J53" s="100">
        <v>0.9</v>
      </c>
      <c r="K53" s="100">
        <v>263.12</v>
      </c>
      <c r="L53" s="100">
        <v>27.39</v>
      </c>
      <c r="M53" s="100">
        <v>83.97</v>
      </c>
      <c r="N53" s="100">
        <v>141</v>
      </c>
      <c r="O53" s="100">
        <v>0</v>
      </c>
      <c r="P53" s="100">
        <v>0.31</v>
      </c>
      <c r="Q53" s="100">
        <v>9.9700000000000006</v>
      </c>
      <c r="R53" s="6"/>
      <c r="S53" s="6"/>
      <c r="T53" s="156"/>
      <c r="U53" s="6"/>
    </row>
    <row r="54" spans="1:21" customFormat="1">
      <c r="A54" s="163" t="s">
        <v>381</v>
      </c>
      <c r="B54" s="100">
        <v>3.59</v>
      </c>
      <c r="C54" s="100">
        <v>4.55</v>
      </c>
      <c r="D54" s="100">
        <v>3.2</v>
      </c>
      <c r="E54" s="100">
        <v>5.21</v>
      </c>
      <c r="F54" s="100">
        <v>2.67</v>
      </c>
      <c r="G54" s="100">
        <v>46.34</v>
      </c>
      <c r="H54" s="100">
        <v>17.97</v>
      </c>
      <c r="I54" s="100">
        <v>13.46</v>
      </c>
      <c r="J54" s="100">
        <v>1.01</v>
      </c>
      <c r="K54" s="100">
        <v>269.33999999999997</v>
      </c>
      <c r="L54" s="100">
        <v>27.11</v>
      </c>
      <c r="M54" s="100">
        <v>83.76</v>
      </c>
      <c r="N54" s="100">
        <v>120.6</v>
      </c>
      <c r="O54" s="100">
        <v>0</v>
      </c>
      <c r="P54" s="100">
        <v>0.28000000000000003</v>
      </c>
      <c r="Q54" s="100">
        <v>9.9700000000000006</v>
      </c>
      <c r="R54" s="6"/>
      <c r="S54" s="6"/>
      <c r="T54" s="156"/>
      <c r="U54" s="6"/>
    </row>
    <row r="55" spans="1:21" customFormat="1">
      <c r="A55" s="163" t="s">
        <v>382</v>
      </c>
      <c r="B55" s="100">
        <v>3.59</v>
      </c>
      <c r="C55" s="100">
        <v>4.49</v>
      </c>
      <c r="D55" s="100">
        <v>3.09</v>
      </c>
      <c r="E55" s="100">
        <v>4.95</v>
      </c>
      <c r="F55" s="100">
        <v>3.58</v>
      </c>
      <c r="G55" s="100">
        <v>46.46</v>
      </c>
      <c r="H55" s="100">
        <v>15.11</v>
      </c>
      <c r="I55" s="100">
        <v>13.36</v>
      </c>
      <c r="J55" s="100">
        <v>0.86</v>
      </c>
      <c r="K55" s="100">
        <v>261.48</v>
      </c>
      <c r="L55" s="100">
        <v>26.96</v>
      </c>
      <c r="M55" s="100">
        <v>84.66</v>
      </c>
      <c r="N55" s="100">
        <v>75.2</v>
      </c>
      <c r="O55" s="100">
        <v>0</v>
      </c>
      <c r="P55" s="100">
        <v>0.26</v>
      </c>
      <c r="Q55" s="100">
        <v>9.9700000000000006</v>
      </c>
      <c r="R55" s="6"/>
      <c r="S55" s="6"/>
      <c r="T55" s="156"/>
      <c r="U55" s="6"/>
    </row>
    <row r="56" spans="1:21" customFormat="1">
      <c r="A56" s="163" t="s">
        <v>383</v>
      </c>
      <c r="B56" s="100">
        <v>3.53</v>
      </c>
      <c r="C56" s="100">
        <v>4.33</v>
      </c>
      <c r="D56" s="100">
        <v>2.88</v>
      </c>
      <c r="E56" s="100">
        <v>4.59</v>
      </c>
      <c r="F56" s="100">
        <v>3.14</v>
      </c>
      <c r="G56" s="100">
        <v>46.47</v>
      </c>
      <c r="H56" s="100">
        <v>15.11</v>
      </c>
      <c r="I56" s="100">
        <v>12.8</v>
      </c>
      <c r="J56" s="100">
        <v>0.82</v>
      </c>
      <c r="K56" s="100">
        <v>274.14</v>
      </c>
      <c r="L56" s="100">
        <v>26.96</v>
      </c>
      <c r="M56" s="100">
        <v>84.83</v>
      </c>
      <c r="N56" s="100">
        <v>105.6</v>
      </c>
      <c r="O56" s="100">
        <v>0</v>
      </c>
      <c r="P56" s="100">
        <v>0.25</v>
      </c>
      <c r="Q56" s="100">
        <v>9.9499999999999993</v>
      </c>
      <c r="R56" s="6"/>
      <c r="S56" s="6"/>
      <c r="T56" s="156"/>
      <c r="U56" s="6"/>
    </row>
    <row r="57" spans="1:21" customFormat="1">
      <c r="A57" s="163" t="s">
        <v>384</v>
      </c>
      <c r="B57" s="100">
        <v>3.46</v>
      </c>
      <c r="C57" s="100">
        <v>4.28</v>
      </c>
      <c r="D57" s="100">
        <v>2.87</v>
      </c>
      <c r="E57" s="100">
        <v>4.75</v>
      </c>
      <c r="F57" s="100">
        <v>1.05</v>
      </c>
      <c r="G57" s="100">
        <v>46.47</v>
      </c>
      <c r="H57" s="100">
        <v>15.11</v>
      </c>
      <c r="I57" s="100">
        <v>12.61</v>
      </c>
      <c r="J57" s="100">
        <v>0.82</v>
      </c>
      <c r="K57" s="100">
        <v>262.2</v>
      </c>
      <c r="L57" s="100">
        <v>26.53</v>
      </c>
      <c r="M57" s="100">
        <v>87.78</v>
      </c>
      <c r="N57" s="100">
        <v>65.7</v>
      </c>
      <c r="O57" s="100">
        <v>0</v>
      </c>
      <c r="P57" s="100">
        <v>0.27</v>
      </c>
      <c r="Q57" s="100">
        <v>9.9499999999999993</v>
      </c>
      <c r="R57" s="6"/>
      <c r="S57" s="6"/>
      <c r="T57" s="156"/>
      <c r="U57" s="6"/>
    </row>
    <row r="58" spans="1:21" customFormat="1">
      <c r="A58" s="163" t="s">
        <v>385</v>
      </c>
      <c r="B58" s="100">
        <v>3.54</v>
      </c>
      <c r="C58" s="100">
        <v>4.2699999999999996</v>
      </c>
      <c r="D58" s="100">
        <v>2.74</v>
      </c>
      <c r="E58" s="100">
        <v>4.8099999999999996</v>
      </c>
      <c r="F58" s="100">
        <v>1.96</v>
      </c>
      <c r="G58" s="100">
        <v>46.47</v>
      </c>
      <c r="H58" s="100">
        <v>15.11</v>
      </c>
      <c r="I58" s="100">
        <v>12.42</v>
      </c>
      <c r="J58" s="100">
        <v>0.76</v>
      </c>
      <c r="K58" s="100">
        <v>261.79000000000002</v>
      </c>
      <c r="L58" s="100">
        <v>25.99</v>
      </c>
      <c r="M58" s="100">
        <v>91.66</v>
      </c>
      <c r="N58" s="100">
        <v>80.400000000000006</v>
      </c>
      <c r="O58" s="100">
        <v>0</v>
      </c>
      <c r="P58" s="100">
        <v>0.25</v>
      </c>
      <c r="Q58" s="100">
        <v>9.9600000000000009</v>
      </c>
      <c r="R58" s="6"/>
      <c r="S58" s="6"/>
      <c r="T58" s="156"/>
      <c r="U58" s="6"/>
    </row>
    <row r="59" spans="1:21" customFormat="1">
      <c r="A59" s="163" t="s">
        <v>386</v>
      </c>
      <c r="B59" s="100">
        <v>3.39</v>
      </c>
      <c r="C59" s="100">
        <v>4.1100000000000003</v>
      </c>
      <c r="D59" s="100">
        <v>2.68</v>
      </c>
      <c r="E59" s="100">
        <v>4.3499999999999996</v>
      </c>
      <c r="F59" s="100">
        <v>3.48</v>
      </c>
      <c r="G59" s="100">
        <v>38.159999999999997</v>
      </c>
      <c r="H59" s="100">
        <v>16.04</v>
      </c>
      <c r="I59" s="100">
        <v>12.27</v>
      </c>
      <c r="J59" s="100">
        <v>0.89</v>
      </c>
      <c r="K59" s="100">
        <v>263.87</v>
      </c>
      <c r="L59" s="100">
        <v>25.64</v>
      </c>
      <c r="M59" s="100">
        <v>93.59</v>
      </c>
      <c r="N59" s="100">
        <v>79.900000000000006</v>
      </c>
      <c r="O59" s="100">
        <v>0.6</v>
      </c>
      <c r="P59" s="100">
        <v>0.25</v>
      </c>
      <c r="Q59" s="100">
        <v>9.9499999999999993</v>
      </c>
      <c r="R59" s="6"/>
      <c r="S59" s="6"/>
      <c r="T59" s="156"/>
      <c r="U59" s="6"/>
    </row>
    <row r="60" spans="1:21" customFormat="1">
      <c r="A60" s="163" t="s">
        <v>387</v>
      </c>
      <c r="B60" s="100">
        <v>3.31</v>
      </c>
      <c r="C60" s="100">
        <v>4.12</v>
      </c>
      <c r="D60" s="100">
        <v>2.8</v>
      </c>
      <c r="E60" s="100">
        <v>4.8</v>
      </c>
      <c r="F60" s="100">
        <v>1.34</v>
      </c>
      <c r="G60" s="100">
        <v>37.46</v>
      </c>
      <c r="H60" s="100">
        <v>16.04</v>
      </c>
      <c r="I60" s="100">
        <v>11.91</v>
      </c>
      <c r="J60" s="100">
        <v>0.57999999999999996</v>
      </c>
      <c r="K60" s="100">
        <v>264.99</v>
      </c>
      <c r="L60" s="100">
        <v>25.57</v>
      </c>
      <c r="M60" s="100">
        <v>95.9</v>
      </c>
      <c r="N60" s="100">
        <v>79.8</v>
      </c>
      <c r="O60" s="100">
        <v>0.4</v>
      </c>
      <c r="P60" s="100">
        <v>0.28000000000000003</v>
      </c>
      <c r="Q60" s="100">
        <v>9.94</v>
      </c>
      <c r="R60" s="6"/>
      <c r="S60" s="6"/>
      <c r="T60" s="156"/>
      <c r="U60" s="6"/>
    </row>
    <row r="61" spans="1:21" customFormat="1">
      <c r="A61" s="163" t="s">
        <v>388</v>
      </c>
      <c r="B61" s="100">
        <v>3.5</v>
      </c>
      <c r="C61" s="100">
        <v>4.29</v>
      </c>
      <c r="D61" s="100">
        <v>2.84</v>
      </c>
      <c r="E61" s="100">
        <v>4.96</v>
      </c>
      <c r="F61" s="100">
        <v>1.52</v>
      </c>
      <c r="G61" s="100">
        <v>37.46</v>
      </c>
      <c r="H61" s="100">
        <v>16.04</v>
      </c>
      <c r="I61" s="100">
        <v>11.66</v>
      </c>
      <c r="J61" s="100">
        <v>0.57999999999999996</v>
      </c>
      <c r="K61" s="100">
        <v>267.98</v>
      </c>
      <c r="L61" s="100">
        <v>25.58</v>
      </c>
      <c r="M61" s="100">
        <v>96.4</v>
      </c>
      <c r="N61" s="100">
        <v>65.3</v>
      </c>
      <c r="O61" s="100">
        <v>0</v>
      </c>
      <c r="P61" s="100">
        <v>0.27</v>
      </c>
      <c r="Q61" s="100">
        <v>9.94</v>
      </c>
      <c r="R61" s="6"/>
      <c r="S61" s="6"/>
      <c r="T61" s="156"/>
      <c r="U61" s="6"/>
    </row>
    <row r="62" spans="1:21" customFormat="1">
      <c r="A62" s="163" t="s">
        <v>389</v>
      </c>
      <c r="B62" s="100">
        <v>3.58</v>
      </c>
      <c r="C62" s="100">
        <v>4.2699999999999996</v>
      </c>
      <c r="D62" s="100">
        <v>2.67</v>
      </c>
      <c r="E62" s="100">
        <v>4.68</v>
      </c>
      <c r="F62" s="100">
        <v>2.69</v>
      </c>
      <c r="G62" s="100">
        <v>37.46</v>
      </c>
      <c r="H62" s="100">
        <v>16.04</v>
      </c>
      <c r="I62" s="100">
        <v>12</v>
      </c>
      <c r="J62" s="100">
        <v>0.53</v>
      </c>
      <c r="K62" s="100">
        <v>270.10000000000002</v>
      </c>
      <c r="L62" s="100">
        <v>25.6</v>
      </c>
      <c r="M62" s="100">
        <v>96.11</v>
      </c>
      <c r="N62" s="100">
        <v>60.2</v>
      </c>
      <c r="O62" s="100">
        <v>0</v>
      </c>
      <c r="P62" s="100">
        <v>0.28999999999999998</v>
      </c>
      <c r="Q62" s="100">
        <v>9.9600000000000009</v>
      </c>
      <c r="R62" s="6"/>
      <c r="S62" s="6"/>
      <c r="T62" s="156"/>
      <c r="U62" s="6"/>
    </row>
    <row r="63" spans="1:21" customFormat="1">
      <c r="A63" s="163" t="s">
        <v>390</v>
      </c>
      <c r="B63" s="100">
        <v>3.59</v>
      </c>
      <c r="C63" s="100">
        <v>4.41</v>
      </c>
      <c r="D63" s="100">
        <v>2.93</v>
      </c>
      <c r="E63" s="100">
        <v>4.87</v>
      </c>
      <c r="F63" s="100">
        <v>9.2100000000000009</v>
      </c>
      <c r="G63" s="100">
        <v>33.29</v>
      </c>
      <c r="H63" s="100">
        <v>11.99</v>
      </c>
      <c r="I63" s="100">
        <v>12.07</v>
      </c>
      <c r="J63" s="100">
        <v>0.47</v>
      </c>
      <c r="K63" s="100">
        <v>256.39999999999998</v>
      </c>
      <c r="L63" s="100">
        <v>25.69</v>
      </c>
      <c r="M63" s="100">
        <v>95.98</v>
      </c>
      <c r="N63" s="100">
        <v>81</v>
      </c>
      <c r="O63" s="100">
        <v>0.2</v>
      </c>
      <c r="P63" s="100">
        <v>0.32</v>
      </c>
      <c r="Q63" s="100">
        <v>9.9499999999999993</v>
      </c>
      <c r="R63" s="6"/>
      <c r="S63" s="6"/>
      <c r="T63" s="156"/>
      <c r="U63" s="6"/>
    </row>
    <row r="64" spans="1:21" customFormat="1">
      <c r="A64" s="163" t="s">
        <v>391</v>
      </c>
      <c r="B64" s="100">
        <v>0.53</v>
      </c>
      <c r="C64" s="100">
        <v>1.08</v>
      </c>
      <c r="D64" s="100">
        <v>1.26</v>
      </c>
      <c r="E64" s="100">
        <v>4.8600000000000003</v>
      </c>
      <c r="F64" s="100">
        <v>9.06</v>
      </c>
      <c r="G64" s="100">
        <v>32.94</v>
      </c>
      <c r="H64" s="100">
        <v>11.99</v>
      </c>
      <c r="I64" s="100">
        <v>12.23</v>
      </c>
      <c r="J64" s="100">
        <v>0.48</v>
      </c>
      <c r="K64" s="100">
        <v>264.76</v>
      </c>
      <c r="L64" s="100">
        <v>25.82</v>
      </c>
      <c r="M64" s="100">
        <v>96.07</v>
      </c>
      <c r="N64" s="100">
        <v>64.900000000000006</v>
      </c>
      <c r="O64" s="100">
        <v>0</v>
      </c>
      <c r="P64" s="100">
        <v>0.3</v>
      </c>
      <c r="Q64" s="100">
        <v>9.9600000000000009</v>
      </c>
      <c r="R64" s="6"/>
      <c r="S64" s="6"/>
      <c r="T64" s="156"/>
      <c r="U64" s="6"/>
    </row>
    <row r="65" spans="1:21" customFormat="1">
      <c r="A65" s="163" t="s">
        <v>392</v>
      </c>
      <c r="B65" s="100">
        <v>0</v>
      </c>
      <c r="C65" s="100">
        <v>0.36</v>
      </c>
      <c r="D65" s="100">
        <v>0.69</v>
      </c>
      <c r="E65" s="100">
        <v>4.04</v>
      </c>
      <c r="F65" s="100">
        <v>13.33</v>
      </c>
      <c r="G65" s="100">
        <v>32.94</v>
      </c>
      <c r="H65" s="100">
        <v>11.99</v>
      </c>
      <c r="I65" s="100">
        <v>13.19</v>
      </c>
      <c r="J65" s="100">
        <v>0.54</v>
      </c>
      <c r="K65" s="100">
        <v>266.69</v>
      </c>
      <c r="L65" s="100">
        <v>25.63</v>
      </c>
      <c r="M65" s="100">
        <v>96.44</v>
      </c>
      <c r="N65" s="100">
        <v>43.4</v>
      </c>
      <c r="O65" s="100">
        <v>0.2</v>
      </c>
      <c r="P65" s="100">
        <v>0.21</v>
      </c>
      <c r="Q65" s="100">
        <v>9.9600000000000009</v>
      </c>
      <c r="R65" s="6"/>
      <c r="S65" s="6"/>
      <c r="T65" s="156"/>
      <c r="U65" s="6"/>
    </row>
    <row r="66" spans="1:21" customFormat="1">
      <c r="A66" s="163" t="s">
        <v>393</v>
      </c>
      <c r="B66" s="100">
        <v>549.89</v>
      </c>
      <c r="C66" s="100">
        <v>492.15</v>
      </c>
      <c r="D66" s="100">
        <v>5.34</v>
      </c>
      <c r="E66" s="100">
        <v>3.53</v>
      </c>
      <c r="F66" s="100">
        <v>14.55</v>
      </c>
      <c r="G66" s="100">
        <v>32.94</v>
      </c>
      <c r="H66" s="100">
        <v>11.99</v>
      </c>
      <c r="I66" s="100">
        <v>10.72</v>
      </c>
      <c r="J66" s="100">
        <v>0.69</v>
      </c>
      <c r="K66" s="100">
        <v>256.89</v>
      </c>
      <c r="L66" s="100">
        <v>25.63</v>
      </c>
      <c r="M66" s="100">
        <v>96.99</v>
      </c>
      <c r="N66" s="100">
        <v>67.5</v>
      </c>
      <c r="O66" s="100">
        <v>0.2</v>
      </c>
      <c r="P66" s="100">
        <v>0.2</v>
      </c>
      <c r="Q66" s="100">
        <v>9.9499999999999993</v>
      </c>
      <c r="R66" s="6"/>
      <c r="S66" s="6"/>
      <c r="T66" s="156"/>
      <c r="U66" s="6"/>
    </row>
    <row r="67" spans="1:21" customFormat="1">
      <c r="A67" s="163" t="s">
        <v>394</v>
      </c>
      <c r="B67" s="100">
        <v>0.5</v>
      </c>
      <c r="C67" s="100">
        <v>1.0900000000000001</v>
      </c>
      <c r="D67" s="100">
        <v>1.25</v>
      </c>
      <c r="E67" s="100">
        <v>3.24</v>
      </c>
      <c r="F67" s="100">
        <v>15.26</v>
      </c>
      <c r="G67" s="100">
        <v>31.15</v>
      </c>
      <c r="H67" s="100">
        <v>10.54</v>
      </c>
      <c r="I67" s="100">
        <v>10.4</v>
      </c>
      <c r="J67" s="100">
        <v>0.69</v>
      </c>
      <c r="K67" s="100">
        <v>258.52999999999997</v>
      </c>
      <c r="L67" s="100">
        <v>25.72</v>
      </c>
      <c r="M67" s="100">
        <v>96.69</v>
      </c>
      <c r="N67" s="100">
        <v>94.7</v>
      </c>
      <c r="O67" s="100">
        <v>0.2</v>
      </c>
      <c r="P67" s="100">
        <v>0.18</v>
      </c>
      <c r="Q67" s="100">
        <v>9.9499999999999993</v>
      </c>
      <c r="R67" s="6"/>
      <c r="S67" s="6"/>
      <c r="T67" s="156"/>
      <c r="U67" s="6"/>
    </row>
    <row r="68" spans="1:21" customFormat="1">
      <c r="A68" s="163" t="s">
        <v>395</v>
      </c>
      <c r="B68" s="100">
        <v>0.31</v>
      </c>
      <c r="C68" s="100">
        <v>1.1399999999999999</v>
      </c>
      <c r="D68" s="100">
        <v>1.71</v>
      </c>
      <c r="E68" s="100">
        <v>2.98</v>
      </c>
      <c r="F68" s="100">
        <v>13.69</v>
      </c>
      <c r="G68" s="100">
        <v>31</v>
      </c>
      <c r="H68" s="100">
        <v>10.54</v>
      </c>
      <c r="I68" s="100">
        <v>7.82</v>
      </c>
      <c r="J68" s="100">
        <v>0.61</v>
      </c>
      <c r="K68" s="100">
        <v>260.68</v>
      </c>
      <c r="L68" s="100">
        <v>25.92</v>
      </c>
      <c r="M68" s="100">
        <v>96.74</v>
      </c>
      <c r="N68" s="100">
        <v>101.7</v>
      </c>
      <c r="O68" s="100">
        <v>0</v>
      </c>
      <c r="P68" s="100">
        <v>0.17</v>
      </c>
      <c r="Q68" s="100">
        <v>9.94</v>
      </c>
      <c r="R68" s="6"/>
      <c r="S68" s="6"/>
      <c r="T68" s="156"/>
      <c r="U68" s="6"/>
    </row>
    <row r="69" spans="1:21" customFormat="1">
      <c r="A69" s="163" t="s">
        <v>396</v>
      </c>
      <c r="B69" s="100">
        <v>0.28000000000000003</v>
      </c>
      <c r="C69" s="100">
        <v>1.07</v>
      </c>
      <c r="D69" s="100">
        <v>1.65</v>
      </c>
      <c r="E69" s="100">
        <v>3.36</v>
      </c>
      <c r="F69" s="100">
        <v>11.28</v>
      </c>
      <c r="G69" s="100">
        <v>31</v>
      </c>
      <c r="H69" s="100">
        <v>10.54</v>
      </c>
      <c r="I69" s="100">
        <v>7.14</v>
      </c>
      <c r="J69" s="100">
        <v>0.56000000000000005</v>
      </c>
      <c r="K69" s="100">
        <v>268.79000000000002</v>
      </c>
      <c r="L69" s="100">
        <v>26.02</v>
      </c>
      <c r="M69" s="100">
        <v>96.66</v>
      </c>
      <c r="N69" s="100">
        <v>88.1</v>
      </c>
      <c r="O69" s="100">
        <v>0</v>
      </c>
      <c r="P69" s="100">
        <v>0.17</v>
      </c>
      <c r="Q69" s="100">
        <v>9.94</v>
      </c>
      <c r="R69" s="6"/>
      <c r="S69" s="6"/>
      <c r="T69" s="156"/>
      <c r="U69" s="6"/>
    </row>
    <row r="70" spans="1:21" customFormat="1">
      <c r="A70" s="163" t="s">
        <v>397</v>
      </c>
      <c r="B70" s="100">
        <v>2.69</v>
      </c>
      <c r="C70" s="100">
        <v>4.8899999999999997</v>
      </c>
      <c r="D70" s="100">
        <v>2.54</v>
      </c>
      <c r="E70" s="100">
        <v>2.85</v>
      </c>
      <c r="F70" s="100">
        <v>8.36</v>
      </c>
      <c r="G70" s="100">
        <v>31</v>
      </c>
      <c r="H70" s="100">
        <v>10.54</v>
      </c>
      <c r="I70" s="100">
        <v>9.32</v>
      </c>
      <c r="J70" s="100">
        <v>0.57999999999999996</v>
      </c>
      <c r="K70" s="100">
        <v>260.10000000000002</v>
      </c>
      <c r="L70" s="100">
        <v>26</v>
      </c>
      <c r="M70" s="100">
        <v>95.51</v>
      </c>
      <c r="N70" s="100">
        <v>71.8</v>
      </c>
      <c r="O70" s="100">
        <v>0</v>
      </c>
      <c r="P70" s="100">
        <v>0.14000000000000001</v>
      </c>
      <c r="Q70" s="100">
        <v>9.93</v>
      </c>
      <c r="R70" s="6"/>
      <c r="S70" s="6"/>
      <c r="T70" s="156"/>
      <c r="U70" s="6"/>
    </row>
    <row r="71" spans="1:21" customFormat="1">
      <c r="A71" s="163" t="s">
        <v>398</v>
      </c>
      <c r="B71" s="100">
        <v>2.63</v>
      </c>
      <c r="C71" s="100">
        <v>4.82</v>
      </c>
      <c r="D71" s="100">
        <v>2.16</v>
      </c>
      <c r="E71" s="100">
        <v>2.64</v>
      </c>
      <c r="F71" s="100">
        <v>4.5</v>
      </c>
      <c r="G71" s="100">
        <v>35.020000000000003</v>
      </c>
      <c r="H71" s="100">
        <v>16.95</v>
      </c>
      <c r="I71" s="100">
        <v>8.7799999999999994</v>
      </c>
      <c r="J71" s="100">
        <v>0.61</v>
      </c>
      <c r="K71" s="100">
        <v>261.2</v>
      </c>
      <c r="L71" s="100">
        <v>26.06</v>
      </c>
      <c r="M71" s="100">
        <v>94.97</v>
      </c>
      <c r="N71" s="100">
        <v>80.3</v>
      </c>
      <c r="O71" s="100">
        <v>0</v>
      </c>
      <c r="P71" s="100">
        <v>0.14000000000000001</v>
      </c>
      <c r="Q71" s="100">
        <v>9.92</v>
      </c>
      <c r="R71" s="6"/>
      <c r="S71" s="6"/>
      <c r="T71" s="156"/>
      <c r="U71" s="6"/>
    </row>
    <row r="72" spans="1:21" customFormat="1">
      <c r="A72" s="163" t="s">
        <v>399</v>
      </c>
      <c r="B72" s="100">
        <v>2.6</v>
      </c>
      <c r="C72" s="100">
        <v>4.9800000000000004</v>
      </c>
      <c r="D72" s="100">
        <v>2.31</v>
      </c>
      <c r="E72" s="100">
        <v>2.59</v>
      </c>
      <c r="F72" s="100">
        <v>3.44</v>
      </c>
      <c r="G72" s="100">
        <v>35.36</v>
      </c>
      <c r="H72" s="100">
        <v>16.95</v>
      </c>
      <c r="I72" s="100">
        <v>7.8</v>
      </c>
      <c r="J72" s="100">
        <v>0.63</v>
      </c>
      <c r="K72" s="100">
        <v>261.06</v>
      </c>
      <c r="L72" s="100">
        <v>26.27</v>
      </c>
      <c r="M72" s="100">
        <v>94.75</v>
      </c>
      <c r="N72" s="100">
        <v>100.2</v>
      </c>
      <c r="O72" s="100">
        <v>0</v>
      </c>
      <c r="P72" s="100">
        <v>0.15</v>
      </c>
      <c r="Q72" s="100">
        <v>9.91</v>
      </c>
      <c r="R72" s="6"/>
      <c r="S72" s="6"/>
      <c r="T72" s="156"/>
      <c r="U72" s="6"/>
    </row>
    <row r="73" spans="1:21" customFormat="1">
      <c r="A73" s="163" t="s">
        <v>400</v>
      </c>
      <c r="B73" s="100">
        <v>2.6</v>
      </c>
      <c r="C73" s="100">
        <v>4.97</v>
      </c>
      <c r="D73" s="100">
        <v>2.2999999999999998</v>
      </c>
      <c r="E73" s="100">
        <v>2.6</v>
      </c>
      <c r="F73" s="100">
        <v>3.06</v>
      </c>
      <c r="G73" s="100">
        <v>35.36</v>
      </c>
      <c r="H73" s="100">
        <v>16.95</v>
      </c>
      <c r="I73" s="100">
        <v>5.95</v>
      </c>
      <c r="J73" s="100">
        <v>0.56999999999999995</v>
      </c>
      <c r="K73" s="100">
        <v>261.62</v>
      </c>
      <c r="L73" s="100">
        <v>26.4</v>
      </c>
      <c r="M73" s="100">
        <v>93.77</v>
      </c>
      <c r="N73" s="100">
        <v>116.1</v>
      </c>
      <c r="O73" s="100">
        <v>0</v>
      </c>
      <c r="P73" s="100">
        <v>0.14000000000000001</v>
      </c>
      <c r="Q73" s="100">
        <v>9.91</v>
      </c>
      <c r="R73" s="6"/>
      <c r="S73" s="6"/>
      <c r="T73" s="156"/>
      <c r="U73" s="6"/>
    </row>
    <row r="74" spans="1:21" customFormat="1">
      <c r="A74" s="163" t="s">
        <v>401</v>
      </c>
      <c r="B74" s="100">
        <v>2.61</v>
      </c>
      <c r="C74" s="100">
        <v>4.91</v>
      </c>
      <c r="D74" s="100">
        <v>2.25</v>
      </c>
      <c r="E74" s="100">
        <v>2.94</v>
      </c>
      <c r="F74" s="100">
        <v>2.93</v>
      </c>
      <c r="G74" s="100">
        <v>35.36</v>
      </c>
      <c r="H74" s="100">
        <v>16.95</v>
      </c>
      <c r="I74" s="100">
        <v>5.89</v>
      </c>
      <c r="J74" s="100">
        <v>0.52</v>
      </c>
      <c r="K74" s="100">
        <v>258.36</v>
      </c>
      <c r="L74" s="100">
        <v>26.43</v>
      </c>
      <c r="M74" s="100">
        <v>93.25</v>
      </c>
      <c r="N74" s="100">
        <v>73.900000000000006</v>
      </c>
      <c r="O74" s="100">
        <v>0</v>
      </c>
      <c r="P74" s="100">
        <v>0.15</v>
      </c>
      <c r="Q74" s="100">
        <v>9.93</v>
      </c>
      <c r="R74" s="6"/>
      <c r="S74" s="6"/>
      <c r="T74" s="156"/>
      <c r="U74" s="6"/>
    </row>
    <row r="75" spans="1:21" customFormat="1">
      <c r="A75" s="163" t="s">
        <v>402</v>
      </c>
      <c r="B75" s="100">
        <v>2.61</v>
      </c>
      <c r="C75" s="100">
        <v>4.8499999999999996</v>
      </c>
      <c r="D75" s="100">
        <v>2.2000000000000002</v>
      </c>
      <c r="E75" s="100">
        <v>3.29</v>
      </c>
      <c r="F75" s="100">
        <v>2.77</v>
      </c>
      <c r="G75" s="100">
        <v>26.1</v>
      </c>
      <c r="H75" s="100">
        <v>12.37</v>
      </c>
      <c r="I75" s="100">
        <v>7</v>
      </c>
      <c r="J75" s="100">
        <v>0.59</v>
      </c>
      <c r="K75" s="100">
        <v>262</v>
      </c>
      <c r="L75" s="100">
        <v>26.32</v>
      </c>
      <c r="M75" s="100">
        <v>93.22</v>
      </c>
      <c r="N75" s="100">
        <v>53.4</v>
      </c>
      <c r="O75" s="100">
        <v>0</v>
      </c>
      <c r="P75" s="100">
        <v>0.14000000000000001</v>
      </c>
      <c r="Q75" s="100">
        <v>9.93</v>
      </c>
      <c r="R75" s="6"/>
      <c r="S75" s="6"/>
      <c r="T75" s="156"/>
      <c r="U75" s="6"/>
    </row>
    <row r="76" spans="1:21" customFormat="1">
      <c r="A76" s="163" t="s">
        <v>403</v>
      </c>
      <c r="B76" s="100">
        <v>2.62</v>
      </c>
      <c r="C76" s="100">
        <v>4.8</v>
      </c>
      <c r="D76" s="100">
        <v>2.15</v>
      </c>
      <c r="E76" s="100">
        <v>3.48</v>
      </c>
      <c r="F76" s="100">
        <v>2.5499999999999998</v>
      </c>
      <c r="G76" s="100">
        <v>25.32</v>
      </c>
      <c r="H76" s="100">
        <v>12.37</v>
      </c>
      <c r="I76" s="100">
        <v>6.72</v>
      </c>
      <c r="J76" s="100">
        <v>0.6</v>
      </c>
      <c r="K76" s="100">
        <v>261.47000000000003</v>
      </c>
      <c r="L76" s="100">
        <v>26.46</v>
      </c>
      <c r="M76" s="100">
        <v>92.6</v>
      </c>
      <c r="N76" s="100">
        <v>70.5</v>
      </c>
      <c r="O76" s="100">
        <v>0</v>
      </c>
      <c r="P76" s="100">
        <v>0.14000000000000001</v>
      </c>
      <c r="Q76" s="100">
        <v>9.92</v>
      </c>
      <c r="R76" s="6"/>
      <c r="S76" s="6"/>
      <c r="T76" s="156"/>
      <c r="U76" s="6"/>
    </row>
    <row r="77" spans="1:21" customFormat="1">
      <c r="A77" s="163" t="s">
        <v>404</v>
      </c>
      <c r="B77" s="100">
        <v>2.62</v>
      </c>
      <c r="C77" s="100">
        <v>4.76</v>
      </c>
      <c r="D77" s="100">
        <v>2.12</v>
      </c>
      <c r="E77" s="100">
        <v>3.86</v>
      </c>
      <c r="F77" s="100">
        <v>2.0499999999999998</v>
      </c>
      <c r="G77" s="100">
        <v>25.32</v>
      </c>
      <c r="H77" s="100">
        <v>12.37</v>
      </c>
      <c r="I77" s="100">
        <v>6.47</v>
      </c>
      <c r="J77" s="100">
        <v>0.4</v>
      </c>
      <c r="K77" s="100">
        <v>252.03</v>
      </c>
      <c r="L77" s="100">
        <v>26.69</v>
      </c>
      <c r="M77" s="100">
        <v>91.64</v>
      </c>
      <c r="N77" s="100">
        <v>71.3</v>
      </c>
      <c r="O77" s="100">
        <v>0</v>
      </c>
      <c r="P77" s="100">
        <v>0.13</v>
      </c>
      <c r="Q77" s="100">
        <v>9.93</v>
      </c>
      <c r="R77" s="6"/>
      <c r="S77" s="6"/>
      <c r="T77" s="156"/>
      <c r="U77" s="6"/>
    </row>
    <row r="78" spans="1:21" customFormat="1">
      <c r="A78" s="163" t="s">
        <v>405</v>
      </c>
      <c r="B78" s="100">
        <v>2.63</v>
      </c>
      <c r="C78" s="100">
        <v>4.74</v>
      </c>
      <c r="D78" s="100">
        <v>2.1</v>
      </c>
      <c r="E78" s="100">
        <v>3.8</v>
      </c>
      <c r="F78" s="100">
        <v>2.0299999999999998</v>
      </c>
      <c r="G78" s="100">
        <v>25.32</v>
      </c>
      <c r="H78" s="100">
        <v>12.37</v>
      </c>
      <c r="I78" s="100">
        <v>6.27</v>
      </c>
      <c r="J78" s="100">
        <v>0.37</v>
      </c>
      <c r="K78" s="100">
        <v>257.45999999999998</v>
      </c>
      <c r="L78" s="100">
        <v>26.66</v>
      </c>
      <c r="M78" s="100">
        <v>91.74</v>
      </c>
      <c r="N78" s="100">
        <v>55.5</v>
      </c>
      <c r="O78" s="100">
        <v>0</v>
      </c>
      <c r="P78" s="100">
        <v>0.13</v>
      </c>
      <c r="Q78" s="100">
        <v>9.92</v>
      </c>
      <c r="R78" s="6"/>
      <c r="S78" s="6"/>
      <c r="T78" s="156"/>
      <c r="U78" s="6"/>
    </row>
    <row r="79" spans="1:21" customFormat="1">
      <c r="A79" s="163" t="s">
        <v>406</v>
      </c>
      <c r="B79" s="100">
        <v>2.63</v>
      </c>
      <c r="C79" s="100">
        <v>4.72</v>
      </c>
      <c r="D79" s="100">
        <v>2.08</v>
      </c>
      <c r="E79" s="100">
        <v>3.96</v>
      </c>
      <c r="F79" s="100">
        <v>2.0499999999999998</v>
      </c>
      <c r="G79" s="100">
        <v>29.01</v>
      </c>
      <c r="H79" s="100">
        <v>15.92</v>
      </c>
      <c r="I79" s="100">
        <v>6.12</v>
      </c>
      <c r="J79" s="100">
        <v>0.38</v>
      </c>
      <c r="K79" s="100">
        <v>265.57</v>
      </c>
      <c r="L79" s="100">
        <v>26.62</v>
      </c>
      <c r="M79" s="100">
        <v>91.72</v>
      </c>
      <c r="N79" s="100">
        <v>36.299999999999997</v>
      </c>
      <c r="O79" s="100">
        <v>0</v>
      </c>
      <c r="P79" s="100">
        <v>0.12</v>
      </c>
      <c r="Q79" s="100">
        <v>9.91</v>
      </c>
      <c r="R79" s="6"/>
      <c r="S79" s="6"/>
      <c r="T79" s="156"/>
      <c r="U79" s="6"/>
    </row>
    <row r="80" spans="1:21" customFormat="1">
      <c r="A80" s="163" t="s">
        <v>407</v>
      </c>
      <c r="B80" s="100">
        <v>2.64</v>
      </c>
      <c r="C80" s="100">
        <v>4.7</v>
      </c>
      <c r="D80" s="100">
        <v>2.06</v>
      </c>
      <c r="E80" s="100">
        <v>4.18</v>
      </c>
      <c r="F80" s="100">
        <v>1.95</v>
      </c>
      <c r="G80" s="100">
        <v>29.32</v>
      </c>
      <c r="H80" s="100">
        <v>15.92</v>
      </c>
      <c r="I80" s="100">
        <v>5.89</v>
      </c>
      <c r="J80" s="100">
        <v>0.39</v>
      </c>
      <c r="K80" s="100">
        <v>260.76</v>
      </c>
      <c r="L80" s="100">
        <v>26.51</v>
      </c>
      <c r="M80" s="100">
        <v>92.2</v>
      </c>
      <c r="N80" s="100">
        <v>26.7</v>
      </c>
      <c r="O80" s="100">
        <v>0</v>
      </c>
      <c r="P80" s="100">
        <v>0.13</v>
      </c>
      <c r="Q80" s="100">
        <v>9.91</v>
      </c>
      <c r="R80" s="6"/>
      <c r="S80" s="6"/>
      <c r="T80" s="156"/>
      <c r="U80" s="6"/>
    </row>
    <row r="81" spans="1:21" customFormat="1">
      <c r="A81" s="163" t="s">
        <v>408</v>
      </c>
      <c r="B81" s="100">
        <v>2.65</v>
      </c>
      <c r="C81" s="100">
        <v>4.68</v>
      </c>
      <c r="D81" s="100">
        <v>2.04</v>
      </c>
      <c r="E81" s="100">
        <v>2.96</v>
      </c>
      <c r="F81" s="100">
        <v>2.91</v>
      </c>
      <c r="G81" s="100">
        <v>29.32</v>
      </c>
      <c r="H81" s="100">
        <v>15.92</v>
      </c>
      <c r="I81" s="100">
        <v>5.76</v>
      </c>
      <c r="J81" s="100">
        <v>0.41</v>
      </c>
      <c r="K81" s="100">
        <v>254.83</v>
      </c>
      <c r="L81" s="100">
        <v>26.47</v>
      </c>
      <c r="M81" s="100">
        <v>92.08</v>
      </c>
      <c r="N81" s="100">
        <v>19</v>
      </c>
      <c r="O81" s="100">
        <v>0</v>
      </c>
      <c r="P81" s="100">
        <v>0.12</v>
      </c>
      <c r="Q81" s="100">
        <v>9.92</v>
      </c>
      <c r="R81" s="6"/>
      <c r="S81" s="6"/>
      <c r="T81" s="156"/>
      <c r="U81" s="6"/>
    </row>
    <row r="82" spans="1:21" customFormat="1">
      <c r="A82" s="163" t="s">
        <v>409</v>
      </c>
      <c r="B82" s="100">
        <v>2.65</v>
      </c>
      <c r="C82" s="100">
        <v>4.68</v>
      </c>
      <c r="D82" s="100">
        <v>2.0299999999999998</v>
      </c>
      <c r="E82" s="100">
        <v>4.16</v>
      </c>
      <c r="F82" s="100">
        <v>2.5</v>
      </c>
      <c r="G82" s="100">
        <v>29.32</v>
      </c>
      <c r="H82" s="100">
        <v>15.92</v>
      </c>
      <c r="I82" s="100">
        <v>5.6</v>
      </c>
      <c r="J82" s="100">
        <v>0.49</v>
      </c>
      <c r="K82" s="100">
        <v>258.75</v>
      </c>
      <c r="L82" s="100">
        <v>26.43</v>
      </c>
      <c r="M82" s="100">
        <v>91.34</v>
      </c>
      <c r="N82" s="100">
        <v>14.4</v>
      </c>
      <c r="O82" s="100">
        <v>0</v>
      </c>
      <c r="P82" s="100">
        <v>0.12</v>
      </c>
      <c r="Q82" s="100">
        <v>9.92</v>
      </c>
      <c r="R82" s="6"/>
      <c r="S82" s="6"/>
      <c r="T82" s="156"/>
      <c r="U82" s="6"/>
    </row>
    <row r="83" spans="1:21" customFormat="1">
      <c r="A83" s="163" t="s">
        <v>410</v>
      </c>
      <c r="B83" s="100">
        <v>2.65</v>
      </c>
      <c r="C83" s="100">
        <v>4.67</v>
      </c>
      <c r="D83" s="100">
        <v>2.0299999999999998</v>
      </c>
      <c r="E83" s="100">
        <v>4.2</v>
      </c>
      <c r="F83" s="100">
        <v>1.85</v>
      </c>
      <c r="G83" s="100">
        <v>27.02</v>
      </c>
      <c r="H83" s="100">
        <v>11.64</v>
      </c>
      <c r="I83" s="100">
        <v>5.43</v>
      </c>
      <c r="J83" s="100">
        <v>0.45</v>
      </c>
      <c r="K83" s="100">
        <v>254.13</v>
      </c>
      <c r="L83" s="100">
        <v>26.4</v>
      </c>
      <c r="M83" s="100">
        <v>90.92</v>
      </c>
      <c r="N83" s="100">
        <v>5.4</v>
      </c>
      <c r="O83" s="100">
        <v>0</v>
      </c>
      <c r="P83" s="100">
        <v>0.12</v>
      </c>
      <c r="Q83" s="100">
        <v>9.91</v>
      </c>
      <c r="R83" s="6"/>
      <c r="S83" s="6"/>
      <c r="T83" s="156"/>
      <c r="U83" s="6"/>
    </row>
    <row r="84" spans="1:21" customFormat="1">
      <c r="A84" s="163" t="s">
        <v>411</v>
      </c>
      <c r="B84" s="100">
        <v>2.66</v>
      </c>
      <c r="C84" s="100">
        <v>4.66</v>
      </c>
      <c r="D84" s="100">
        <v>2.02</v>
      </c>
      <c r="E84" s="100">
        <v>4.0599999999999996</v>
      </c>
      <c r="F84" s="100">
        <v>1.7</v>
      </c>
      <c r="G84" s="100">
        <v>26.83</v>
      </c>
      <c r="H84" s="100">
        <v>11.64</v>
      </c>
      <c r="I84" s="100">
        <v>5.34</v>
      </c>
      <c r="J84" s="100">
        <v>0.47</v>
      </c>
      <c r="K84" s="100">
        <v>257.05</v>
      </c>
      <c r="L84" s="100">
        <v>26.23</v>
      </c>
      <c r="M84" s="100">
        <v>91.23</v>
      </c>
      <c r="N84" s="100">
        <v>2.8</v>
      </c>
      <c r="O84" s="100">
        <v>0</v>
      </c>
      <c r="P84" s="100">
        <v>0.11</v>
      </c>
      <c r="Q84" s="100">
        <v>9.91</v>
      </c>
      <c r="R84" s="6"/>
      <c r="S84" s="6"/>
      <c r="T84" s="156"/>
      <c r="U84" s="6"/>
    </row>
    <row r="85" spans="1:21" customFormat="1">
      <c r="A85" s="163" t="s">
        <v>412</v>
      </c>
      <c r="B85" s="100">
        <v>2.66</v>
      </c>
      <c r="C85" s="100">
        <v>4.6500000000000004</v>
      </c>
      <c r="D85" s="100">
        <v>2</v>
      </c>
      <c r="E85" s="100">
        <v>4.1500000000000004</v>
      </c>
      <c r="F85" s="100">
        <v>1.99</v>
      </c>
      <c r="G85" s="100">
        <v>26.83</v>
      </c>
      <c r="H85" s="100">
        <v>11.64</v>
      </c>
      <c r="I85" s="100">
        <v>5.12</v>
      </c>
      <c r="J85" s="100">
        <v>0.55000000000000004</v>
      </c>
      <c r="K85" s="100">
        <v>262.06</v>
      </c>
      <c r="L85" s="100">
        <v>26.16</v>
      </c>
      <c r="M85" s="100">
        <v>91.4</v>
      </c>
      <c r="N85" s="100">
        <v>2.2999999999999998</v>
      </c>
      <c r="O85" s="100">
        <v>0</v>
      </c>
      <c r="P85" s="100">
        <v>0.11</v>
      </c>
      <c r="Q85" s="100">
        <v>9.91</v>
      </c>
      <c r="R85" s="6"/>
      <c r="S85" s="6"/>
      <c r="T85" s="156"/>
      <c r="U85" s="6"/>
    </row>
    <row r="86" spans="1:21" customFormat="1">
      <c r="A86" s="163" t="s">
        <v>413</v>
      </c>
      <c r="B86" s="100">
        <v>2.67</v>
      </c>
      <c r="C86" s="100">
        <v>4.6399999999999997</v>
      </c>
      <c r="D86" s="100">
        <v>1.99</v>
      </c>
      <c r="E86" s="100">
        <v>4.28</v>
      </c>
      <c r="F86" s="100">
        <v>2.08</v>
      </c>
      <c r="G86" s="100">
        <v>26.83</v>
      </c>
      <c r="H86" s="100">
        <v>11.64</v>
      </c>
      <c r="I86" s="100">
        <v>5.0599999999999996</v>
      </c>
      <c r="J86" s="100">
        <v>0.48</v>
      </c>
      <c r="K86" s="100">
        <v>260.18</v>
      </c>
      <c r="L86" s="100">
        <v>26.08</v>
      </c>
      <c r="M86" s="100">
        <v>91.92</v>
      </c>
      <c r="N86" s="100">
        <v>2.2000000000000002</v>
      </c>
      <c r="O86" s="100">
        <v>0</v>
      </c>
      <c r="P86" s="100">
        <v>0.11</v>
      </c>
      <c r="Q86" s="100">
        <v>9.9</v>
      </c>
      <c r="R86" s="6"/>
      <c r="S86" s="6"/>
      <c r="T86" s="156"/>
      <c r="U86" s="6"/>
    </row>
    <row r="87" spans="1:21" customFormat="1">
      <c r="A87" s="163" t="s">
        <v>414</v>
      </c>
      <c r="B87" s="100">
        <v>2.67</v>
      </c>
      <c r="C87" s="100">
        <v>4.63</v>
      </c>
      <c r="D87" s="100">
        <v>1.99</v>
      </c>
      <c r="E87" s="100">
        <v>4.55</v>
      </c>
      <c r="F87" s="100">
        <v>2.16</v>
      </c>
      <c r="G87" s="100">
        <v>21.22</v>
      </c>
      <c r="H87" s="100">
        <v>11.05</v>
      </c>
      <c r="I87" s="100">
        <v>5.04</v>
      </c>
      <c r="J87" s="100">
        <v>0.34</v>
      </c>
      <c r="K87" s="100">
        <v>259.20999999999998</v>
      </c>
      <c r="L87" s="100">
        <v>26.03</v>
      </c>
      <c r="M87" s="100">
        <v>92.4</v>
      </c>
      <c r="N87" s="100">
        <v>2.2000000000000002</v>
      </c>
      <c r="O87" s="100">
        <v>0</v>
      </c>
      <c r="P87" s="100">
        <v>0.11</v>
      </c>
      <c r="Q87" s="100">
        <v>9.9</v>
      </c>
      <c r="R87" s="6"/>
      <c r="S87" s="6"/>
      <c r="T87" s="156"/>
      <c r="U87" s="6"/>
    </row>
    <row r="88" spans="1:21" customFormat="1">
      <c r="A88" s="163" t="s">
        <v>415</v>
      </c>
      <c r="B88" s="100">
        <v>2.68</v>
      </c>
      <c r="C88" s="100">
        <v>4.63</v>
      </c>
      <c r="D88" s="100">
        <v>1.98</v>
      </c>
      <c r="E88" s="100">
        <v>4.71</v>
      </c>
      <c r="F88" s="100">
        <v>2.62</v>
      </c>
      <c r="G88" s="100">
        <v>20.75</v>
      </c>
      <c r="H88" s="100">
        <v>11.05</v>
      </c>
      <c r="I88" s="100">
        <v>5</v>
      </c>
      <c r="J88" s="100">
        <v>0.45</v>
      </c>
      <c r="K88" s="100">
        <v>259.52</v>
      </c>
      <c r="L88" s="100">
        <v>26.01</v>
      </c>
      <c r="M88" s="100">
        <v>92.1</v>
      </c>
      <c r="N88" s="100">
        <v>2.2999999999999998</v>
      </c>
      <c r="O88" s="100">
        <v>0</v>
      </c>
      <c r="P88" s="100">
        <v>0.11</v>
      </c>
      <c r="Q88" s="100">
        <v>9.9</v>
      </c>
      <c r="R88" s="6"/>
      <c r="S88" s="6"/>
      <c r="T88" s="156"/>
      <c r="U88" s="6"/>
    </row>
    <row r="89" spans="1:21" customFormat="1">
      <c r="A89" s="163" t="s">
        <v>416</v>
      </c>
      <c r="B89" s="100">
        <v>2.68</v>
      </c>
      <c r="C89" s="100">
        <v>4.62</v>
      </c>
      <c r="D89" s="100">
        <v>1.97</v>
      </c>
      <c r="E89" s="100">
        <v>4.74</v>
      </c>
      <c r="F89" s="100">
        <v>1.99</v>
      </c>
      <c r="G89" s="100">
        <v>20.75</v>
      </c>
      <c r="H89" s="100">
        <v>11.05</v>
      </c>
      <c r="I89" s="100">
        <v>4.9400000000000004</v>
      </c>
      <c r="J89" s="100">
        <v>0.25</v>
      </c>
      <c r="K89" s="100">
        <v>252.66</v>
      </c>
      <c r="L89" s="100">
        <v>26.03</v>
      </c>
      <c r="M89" s="100">
        <v>92.14</v>
      </c>
      <c r="N89" s="100">
        <v>2.2000000000000002</v>
      </c>
      <c r="O89" s="100">
        <v>0</v>
      </c>
      <c r="P89" s="100">
        <v>0.11</v>
      </c>
      <c r="Q89" s="100">
        <v>9.9</v>
      </c>
      <c r="R89" s="6"/>
      <c r="S89" s="6"/>
      <c r="T89" s="156"/>
      <c r="U89" s="6"/>
    </row>
    <row r="90" spans="1:21" customFormat="1">
      <c r="A90" s="163" t="s">
        <v>417</v>
      </c>
      <c r="B90" s="100">
        <v>2.68</v>
      </c>
      <c r="C90" s="100">
        <v>4.62</v>
      </c>
      <c r="D90" s="100">
        <v>1.97</v>
      </c>
      <c r="E90" s="100">
        <v>4.5999999999999996</v>
      </c>
      <c r="F90" s="100">
        <v>1.7</v>
      </c>
      <c r="G90" s="100">
        <v>20.75</v>
      </c>
      <c r="H90" s="100">
        <v>11.05</v>
      </c>
      <c r="I90" s="100">
        <v>4.83</v>
      </c>
      <c r="J90" s="100">
        <v>0.34</v>
      </c>
      <c r="K90" s="100">
        <v>253.74</v>
      </c>
      <c r="L90" s="100">
        <v>25.99</v>
      </c>
      <c r="M90" s="100">
        <v>92.36</v>
      </c>
      <c r="N90" s="100">
        <v>2.2000000000000002</v>
      </c>
      <c r="O90" s="100">
        <v>0</v>
      </c>
      <c r="P90" s="100">
        <v>0.11</v>
      </c>
      <c r="Q90" s="100">
        <v>9.89</v>
      </c>
      <c r="R90" s="6"/>
      <c r="S90" s="6"/>
      <c r="T90" s="156"/>
      <c r="U90" s="6"/>
    </row>
    <row r="91" spans="1:21" customFormat="1">
      <c r="A91" s="163" t="s">
        <v>418</v>
      </c>
      <c r="B91" s="100">
        <v>2.69</v>
      </c>
      <c r="C91" s="100">
        <v>4.62</v>
      </c>
      <c r="D91" s="100">
        <v>1.97</v>
      </c>
      <c r="E91" s="100">
        <v>4.8600000000000003</v>
      </c>
      <c r="F91" s="100">
        <v>1.61</v>
      </c>
      <c r="G91" s="100">
        <v>19.079999999999998</v>
      </c>
      <c r="H91" s="100">
        <v>8.43</v>
      </c>
      <c r="I91" s="100">
        <v>4.66</v>
      </c>
      <c r="J91" s="100">
        <v>0.22</v>
      </c>
      <c r="K91" s="100">
        <v>240.26</v>
      </c>
      <c r="L91" s="100">
        <v>25.93</v>
      </c>
      <c r="M91" s="100">
        <v>92.9</v>
      </c>
      <c r="N91" s="100">
        <v>2.2000000000000002</v>
      </c>
      <c r="O91" s="100">
        <v>0</v>
      </c>
      <c r="P91" s="100">
        <v>0.11</v>
      </c>
      <c r="Q91" s="100">
        <v>9.9</v>
      </c>
      <c r="R91" s="6"/>
      <c r="S91" s="6"/>
      <c r="T91" s="156"/>
      <c r="U91" s="6"/>
    </row>
    <row r="92" spans="1:21" customFormat="1">
      <c r="A92" s="163" t="s">
        <v>419</v>
      </c>
      <c r="B92" s="100">
        <v>2.71</v>
      </c>
      <c r="C92" s="100">
        <v>4.5999999999999996</v>
      </c>
      <c r="D92" s="100">
        <v>1.94</v>
      </c>
      <c r="E92" s="100">
        <v>4.79</v>
      </c>
      <c r="F92" s="100">
        <v>2.04</v>
      </c>
      <c r="G92" s="100">
        <v>18.940000000000001</v>
      </c>
      <c r="H92" s="100">
        <v>8.43</v>
      </c>
      <c r="I92" s="100">
        <v>4.68</v>
      </c>
      <c r="J92" s="100">
        <v>0.44</v>
      </c>
      <c r="K92" s="100">
        <v>262.14</v>
      </c>
      <c r="L92" s="100">
        <v>25.79</v>
      </c>
      <c r="M92" s="100">
        <v>93.45</v>
      </c>
      <c r="N92" s="100">
        <v>2.2000000000000002</v>
      </c>
      <c r="O92" s="100">
        <v>0</v>
      </c>
      <c r="P92" s="100">
        <v>0.1</v>
      </c>
      <c r="Q92" s="100">
        <v>9.9</v>
      </c>
      <c r="R92" s="6"/>
      <c r="S92" s="6"/>
      <c r="T92" s="156"/>
      <c r="U92" s="6"/>
    </row>
    <row r="93" spans="1:21" customFormat="1">
      <c r="A93" s="163" t="s">
        <v>420</v>
      </c>
      <c r="B93" s="100">
        <v>2.75</v>
      </c>
      <c r="C93" s="100">
        <v>4.5999999999999996</v>
      </c>
      <c r="D93" s="100">
        <v>1.91</v>
      </c>
      <c r="E93" s="100">
        <v>5.03</v>
      </c>
      <c r="F93" s="100">
        <v>2.83</v>
      </c>
      <c r="G93" s="100">
        <v>18.940000000000001</v>
      </c>
      <c r="H93" s="100">
        <v>8.43</v>
      </c>
      <c r="I93" s="100">
        <v>4.67</v>
      </c>
      <c r="J93" s="100">
        <v>0.41</v>
      </c>
      <c r="K93" s="100">
        <v>259.39</v>
      </c>
      <c r="L93" s="100">
        <v>25.77</v>
      </c>
      <c r="M93" s="100">
        <v>93.63</v>
      </c>
      <c r="N93" s="100">
        <v>2.2999999999999998</v>
      </c>
      <c r="O93" s="100">
        <v>0</v>
      </c>
      <c r="P93" s="100">
        <v>0.08</v>
      </c>
      <c r="Q93" s="100">
        <v>9.9</v>
      </c>
      <c r="R93" s="6"/>
      <c r="S93" s="6"/>
      <c r="T93" s="156"/>
      <c r="U93" s="6"/>
    </row>
    <row r="94" spans="1:21" customFormat="1">
      <c r="A94" s="163" t="s">
        <v>421</v>
      </c>
      <c r="B94" s="100">
        <v>2.77</v>
      </c>
      <c r="C94" s="100">
        <v>4.59</v>
      </c>
      <c r="D94" s="100">
        <v>1.88</v>
      </c>
      <c r="E94" s="100">
        <v>4.59</v>
      </c>
      <c r="F94" s="100">
        <v>3</v>
      </c>
      <c r="G94" s="100">
        <v>18.940000000000001</v>
      </c>
      <c r="H94" s="100">
        <v>8.43</v>
      </c>
      <c r="I94" s="100">
        <v>4.7</v>
      </c>
      <c r="J94" s="100">
        <v>0.45</v>
      </c>
      <c r="K94" s="100">
        <v>260.7</v>
      </c>
      <c r="L94" s="100">
        <v>25.75</v>
      </c>
      <c r="M94" s="100">
        <v>93.68</v>
      </c>
      <c r="N94" s="100">
        <v>1.8</v>
      </c>
      <c r="O94" s="100">
        <v>0</v>
      </c>
      <c r="P94" s="100">
        <v>7.0000000000000007E-2</v>
      </c>
      <c r="Q94" s="100">
        <v>9.91</v>
      </c>
      <c r="R94" s="6"/>
      <c r="S94" s="6"/>
      <c r="T94" s="156"/>
      <c r="U94" s="6"/>
    </row>
    <row r="95" spans="1:21" customFormat="1">
      <c r="A95" s="163" t="s">
        <v>422</v>
      </c>
      <c r="B95" s="100">
        <v>2.78</v>
      </c>
      <c r="C95" s="100">
        <v>4.58</v>
      </c>
      <c r="D95" s="100">
        <v>1.87</v>
      </c>
      <c r="E95" s="100">
        <v>4.54</v>
      </c>
      <c r="F95" s="100">
        <v>2.64</v>
      </c>
      <c r="G95" s="100">
        <v>21.85</v>
      </c>
      <c r="H95" s="100">
        <v>9.7100000000000009</v>
      </c>
      <c r="I95" s="100">
        <v>4.54</v>
      </c>
      <c r="J95" s="100">
        <v>0.43</v>
      </c>
      <c r="K95" s="100">
        <v>256.05</v>
      </c>
      <c r="L95" s="100">
        <v>25.75</v>
      </c>
      <c r="M95" s="100">
        <v>93.57</v>
      </c>
      <c r="N95" s="100">
        <v>1.8</v>
      </c>
      <c r="O95" s="100">
        <v>0</v>
      </c>
      <c r="P95" s="100">
        <v>0.09</v>
      </c>
      <c r="Q95" s="100">
        <v>9.92</v>
      </c>
      <c r="R95" s="6"/>
      <c r="S95" s="6"/>
      <c r="T95" s="156"/>
      <c r="U95" s="6"/>
    </row>
    <row r="96" spans="1:21" customFormat="1">
      <c r="A96" s="163" t="s">
        <v>423</v>
      </c>
      <c r="B96" s="100">
        <v>2.81</v>
      </c>
      <c r="C96" s="100">
        <v>4.6100000000000003</v>
      </c>
      <c r="D96" s="100">
        <v>1.88</v>
      </c>
      <c r="E96" s="100">
        <v>4.59</v>
      </c>
      <c r="F96" s="100">
        <v>2.14</v>
      </c>
      <c r="G96" s="100">
        <v>22.09</v>
      </c>
      <c r="H96" s="100">
        <v>9.7100000000000009</v>
      </c>
      <c r="I96" s="100">
        <v>4.51</v>
      </c>
      <c r="J96" s="100">
        <v>0.37</v>
      </c>
      <c r="K96" s="100">
        <v>259.08</v>
      </c>
      <c r="L96" s="100">
        <v>25.77</v>
      </c>
      <c r="M96" s="100">
        <v>93.08</v>
      </c>
      <c r="N96" s="100">
        <v>2.1</v>
      </c>
      <c r="O96" s="100">
        <v>0</v>
      </c>
      <c r="P96" s="100">
        <v>7.0000000000000007E-2</v>
      </c>
      <c r="Q96" s="100">
        <v>9.91</v>
      </c>
      <c r="R96" s="6"/>
      <c r="S96" s="6"/>
      <c r="T96" s="156"/>
      <c r="U96" s="6"/>
    </row>
    <row r="97" spans="1:28" customFormat="1">
      <c r="A97" s="163" t="s">
        <v>424</v>
      </c>
      <c r="B97" s="100">
        <v>2.82</v>
      </c>
      <c r="C97" s="100">
        <v>4.5999999999999996</v>
      </c>
      <c r="D97" s="100">
        <v>1.87</v>
      </c>
      <c r="E97" s="100">
        <v>4.21</v>
      </c>
      <c r="F97" s="100">
        <v>3.22</v>
      </c>
      <c r="G97" s="100">
        <v>22.09</v>
      </c>
      <c r="H97" s="100">
        <v>9.7100000000000009</v>
      </c>
      <c r="I97" s="100">
        <v>4.78</v>
      </c>
      <c r="J97" s="100">
        <v>0.42</v>
      </c>
      <c r="K97" s="100">
        <v>261.05</v>
      </c>
      <c r="L97" s="100">
        <v>25.76</v>
      </c>
      <c r="M97" s="100">
        <v>92.81</v>
      </c>
      <c r="N97" s="100">
        <v>2.2000000000000002</v>
      </c>
      <c r="O97" s="100">
        <v>0</v>
      </c>
      <c r="P97" s="100">
        <v>0.06</v>
      </c>
      <c r="Q97" s="100">
        <v>9.93</v>
      </c>
      <c r="R97" s="6"/>
      <c r="S97" s="6"/>
      <c r="T97" s="156"/>
      <c r="U97" s="6"/>
    </row>
    <row r="98" spans="1:28" customFormat="1">
      <c r="A98" s="163" t="s">
        <v>425</v>
      </c>
      <c r="B98" s="100">
        <v>2.83</v>
      </c>
      <c r="C98" s="100">
        <v>4.5999999999999996</v>
      </c>
      <c r="D98" s="100">
        <v>1.86</v>
      </c>
      <c r="E98" s="100">
        <v>4.3099999999999996</v>
      </c>
      <c r="F98" s="100">
        <v>3.14</v>
      </c>
      <c r="G98" s="100">
        <v>22.09</v>
      </c>
      <c r="H98" s="100">
        <v>9.7100000000000009</v>
      </c>
      <c r="I98" s="100">
        <v>4.57</v>
      </c>
      <c r="J98" s="100">
        <v>0.46</v>
      </c>
      <c r="K98" s="100">
        <v>257.85000000000002</v>
      </c>
      <c r="L98" s="100">
        <v>25.71</v>
      </c>
      <c r="M98" s="100">
        <v>92.88</v>
      </c>
      <c r="N98" s="100">
        <v>2.2999999999999998</v>
      </c>
      <c r="O98" s="100">
        <v>0</v>
      </c>
      <c r="P98" s="100">
        <v>0.08</v>
      </c>
      <c r="Q98" s="100">
        <v>9.91</v>
      </c>
      <c r="R98" s="6"/>
      <c r="S98" s="6"/>
      <c r="T98" s="156"/>
      <c r="U98" s="6"/>
    </row>
    <row r="99" spans="1:28" customFormat="1">
      <c r="A99" s="163" t="s">
        <v>426</v>
      </c>
      <c r="B99" s="100">
        <v>2.85</v>
      </c>
      <c r="C99" s="100">
        <v>4.6399999999999997</v>
      </c>
      <c r="D99" s="100">
        <v>1.88</v>
      </c>
      <c r="E99" s="100">
        <v>4.34</v>
      </c>
      <c r="F99" s="100">
        <v>2.17</v>
      </c>
      <c r="G99" s="100">
        <v>24.13</v>
      </c>
      <c r="H99" s="100">
        <v>9.89</v>
      </c>
      <c r="I99" s="100">
        <v>4.53</v>
      </c>
      <c r="J99" s="100">
        <v>0.41</v>
      </c>
      <c r="K99" s="100">
        <v>260.82</v>
      </c>
      <c r="L99" s="100">
        <v>25.67</v>
      </c>
      <c r="M99" s="100">
        <v>93.11</v>
      </c>
      <c r="N99" s="100">
        <v>2.1</v>
      </c>
      <c r="O99" s="100">
        <v>0</v>
      </c>
      <c r="P99" s="100">
        <v>0.08</v>
      </c>
      <c r="Q99" s="100">
        <v>9.9</v>
      </c>
      <c r="R99" s="6"/>
      <c r="S99" s="6"/>
      <c r="T99" s="156"/>
      <c r="U99" s="6"/>
    </row>
    <row r="100" spans="1:28" customFormat="1">
      <c r="A100" s="163" t="s">
        <v>427</v>
      </c>
      <c r="B100" s="100">
        <v>2.89</v>
      </c>
      <c r="C100" s="100">
        <v>4.6500000000000004</v>
      </c>
      <c r="D100" s="100">
        <v>1.86</v>
      </c>
      <c r="E100" s="100">
        <v>4.1100000000000003</v>
      </c>
      <c r="F100" s="100">
        <v>2.84</v>
      </c>
      <c r="G100" s="100">
        <v>24.31</v>
      </c>
      <c r="H100" s="100">
        <v>9.89</v>
      </c>
      <c r="I100" s="100">
        <v>4.72</v>
      </c>
      <c r="J100" s="100">
        <v>0.3</v>
      </c>
      <c r="K100" s="100">
        <v>254.04</v>
      </c>
      <c r="L100" s="100">
        <v>25.68</v>
      </c>
      <c r="M100" s="100">
        <v>93.26</v>
      </c>
      <c r="N100" s="100">
        <v>2.1</v>
      </c>
      <c r="O100" s="100">
        <v>0</v>
      </c>
      <c r="P100" s="100">
        <v>0.06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428</v>
      </c>
      <c r="B101" s="100">
        <v>2.88</v>
      </c>
      <c r="C101" s="100">
        <v>4.6399999999999997</v>
      </c>
      <c r="D101" s="100">
        <v>1.86</v>
      </c>
      <c r="E101" s="100">
        <v>4.18</v>
      </c>
      <c r="F101" s="100">
        <v>2.5099999999999998</v>
      </c>
      <c r="G101" s="100">
        <v>24.31</v>
      </c>
      <c r="H101" s="100">
        <v>9.89</v>
      </c>
      <c r="I101" s="100">
        <v>4.5199999999999996</v>
      </c>
      <c r="J101" s="100">
        <v>0.56000000000000005</v>
      </c>
      <c r="K101" s="100">
        <v>261.91000000000003</v>
      </c>
      <c r="L101" s="100">
        <v>25.7</v>
      </c>
      <c r="M101" s="100">
        <v>92.9</v>
      </c>
      <c r="N101" s="100">
        <v>2.1</v>
      </c>
      <c r="O101" s="100">
        <v>0</v>
      </c>
      <c r="P101" s="100">
        <v>0.08</v>
      </c>
      <c r="Q101" s="100">
        <v>9.92</v>
      </c>
      <c r="R101" s="6"/>
      <c r="S101" s="6"/>
      <c r="T101" s="156"/>
      <c r="U101" s="6"/>
    </row>
    <row r="102" spans="1:28" customFormat="1">
      <c r="A102" s="163" t="s">
        <v>429</v>
      </c>
      <c r="B102" s="100">
        <v>2.88</v>
      </c>
      <c r="C102" s="100">
        <v>4.67</v>
      </c>
      <c r="D102" s="100">
        <v>1.88</v>
      </c>
      <c r="E102" s="100">
        <v>4.46</v>
      </c>
      <c r="F102" s="100">
        <v>1.85</v>
      </c>
      <c r="G102" s="100">
        <v>24.31</v>
      </c>
      <c r="H102" s="100">
        <v>9.89</v>
      </c>
      <c r="I102" s="100">
        <v>4.5599999999999996</v>
      </c>
      <c r="J102" s="100">
        <v>0.46</v>
      </c>
      <c r="K102" s="100">
        <v>260.64999999999998</v>
      </c>
      <c r="L102" s="100">
        <v>25.69</v>
      </c>
      <c r="M102" s="100">
        <v>92.94</v>
      </c>
      <c r="N102" s="100">
        <v>2.2000000000000002</v>
      </c>
      <c r="O102" s="100">
        <v>0</v>
      </c>
      <c r="P102" s="100">
        <v>7.0000000000000007E-2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430</v>
      </c>
      <c r="B103" s="100">
        <v>2.9</v>
      </c>
      <c r="C103" s="100">
        <v>4.6500000000000004</v>
      </c>
      <c r="D103" s="100">
        <v>1.86</v>
      </c>
      <c r="E103" s="100">
        <v>4.3099999999999996</v>
      </c>
      <c r="F103" s="100">
        <v>4.29</v>
      </c>
      <c r="G103" s="100">
        <v>23.56</v>
      </c>
      <c r="H103" s="100">
        <v>9.99</v>
      </c>
      <c r="I103" s="100">
        <v>4.67</v>
      </c>
      <c r="J103" s="100">
        <v>0.47</v>
      </c>
      <c r="K103" s="100">
        <v>257.70999999999998</v>
      </c>
      <c r="L103" s="100">
        <v>25.68</v>
      </c>
      <c r="M103" s="100">
        <v>92.93</v>
      </c>
      <c r="N103" s="100">
        <v>2.2999999999999998</v>
      </c>
      <c r="O103" s="100">
        <v>0</v>
      </c>
      <c r="P103" s="100">
        <v>0.06</v>
      </c>
      <c r="Q103" s="100">
        <v>9.93</v>
      </c>
      <c r="R103" s="6"/>
      <c r="S103" s="6"/>
      <c r="T103" s="156"/>
      <c r="U103" s="6"/>
    </row>
    <row r="104" spans="1:28" customFormat="1">
      <c r="A104" s="163" t="s">
        <v>431</v>
      </c>
      <c r="B104" s="100">
        <v>2.89</v>
      </c>
      <c r="C104" s="100">
        <v>4.6500000000000004</v>
      </c>
      <c r="D104" s="100">
        <v>1.86</v>
      </c>
      <c r="E104" s="100">
        <v>4.4000000000000004</v>
      </c>
      <c r="F104" s="100">
        <v>2.98</v>
      </c>
      <c r="G104" s="100">
        <v>23.49</v>
      </c>
      <c r="H104" s="100">
        <v>9.99</v>
      </c>
      <c r="I104" s="100">
        <v>4.46</v>
      </c>
      <c r="J104" s="100">
        <v>0.59</v>
      </c>
      <c r="K104" s="100">
        <v>259.43</v>
      </c>
      <c r="L104" s="100">
        <v>25.66</v>
      </c>
      <c r="M104" s="100">
        <v>92.64</v>
      </c>
      <c r="N104" s="100">
        <v>2.2999999999999998</v>
      </c>
      <c r="O104" s="100">
        <v>0</v>
      </c>
      <c r="P104" s="100">
        <v>0.09</v>
      </c>
      <c r="Q104" s="100">
        <v>9.93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</v>
      </c>
      <c r="C106" s="158">
        <f>MIN(C9:C104)</f>
        <v>0.36</v>
      </c>
      <c r="D106" s="158">
        <f t="shared" ref="D106:Q106" si="0">MIN(D9:D104)</f>
        <v>0.69</v>
      </c>
      <c r="E106" s="158">
        <f t="shared" si="0"/>
        <v>2.59</v>
      </c>
      <c r="F106" s="158">
        <f t="shared" si="0"/>
        <v>0.85</v>
      </c>
      <c r="G106" s="158">
        <f t="shared" si="0"/>
        <v>15.13</v>
      </c>
      <c r="H106" s="158">
        <f t="shared" si="0"/>
        <v>6.58</v>
      </c>
      <c r="I106" s="158">
        <f t="shared" si="0"/>
        <v>3.69</v>
      </c>
      <c r="J106" s="158">
        <f t="shared" si="0"/>
        <v>0.22</v>
      </c>
      <c r="K106" s="158">
        <f t="shared" si="0"/>
        <v>240.26</v>
      </c>
      <c r="L106" s="158">
        <f t="shared" si="0"/>
        <v>24.79</v>
      </c>
      <c r="M106" s="158">
        <f t="shared" si="0"/>
        <v>83.76</v>
      </c>
      <c r="N106" s="158">
        <f t="shared" si="0"/>
        <v>1.7</v>
      </c>
      <c r="O106" s="158">
        <f t="shared" si="0"/>
        <v>0</v>
      </c>
      <c r="P106" s="158">
        <f t="shared" si="0"/>
        <v>0.06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549.89</v>
      </c>
      <c r="C107" s="157">
        <f t="shared" ref="C107:Q107" si="1">MAX(C9:C104)</f>
        <v>492.15</v>
      </c>
      <c r="D107" s="157">
        <f t="shared" si="1"/>
        <v>5.34</v>
      </c>
      <c r="E107" s="157">
        <f t="shared" si="1"/>
        <v>6.64</v>
      </c>
      <c r="F107" s="157">
        <f t="shared" si="1"/>
        <v>15.26</v>
      </c>
      <c r="G107" s="157">
        <f t="shared" si="1"/>
        <v>47.98</v>
      </c>
      <c r="H107" s="157">
        <f t="shared" si="1"/>
        <v>17.97</v>
      </c>
      <c r="I107" s="157">
        <f t="shared" si="1"/>
        <v>14.29</v>
      </c>
      <c r="J107" s="157">
        <f t="shared" si="1"/>
        <v>1.01</v>
      </c>
      <c r="K107" s="157">
        <f t="shared" si="1"/>
        <v>274.14</v>
      </c>
      <c r="L107" s="157">
        <f t="shared" si="1"/>
        <v>27.39</v>
      </c>
      <c r="M107" s="157">
        <f t="shared" si="1"/>
        <v>96.99</v>
      </c>
      <c r="N107" s="157">
        <f t="shared" si="1"/>
        <v>186.9</v>
      </c>
      <c r="O107" s="157">
        <f t="shared" si="1"/>
        <v>0.6</v>
      </c>
      <c r="P107" s="157">
        <f t="shared" si="1"/>
        <v>0.34</v>
      </c>
      <c r="Q107" s="157">
        <f t="shared" si="1"/>
        <v>9.9700000000000006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8.2405208333333295</v>
      </c>
      <c r="C108" s="158">
        <f t="shared" ref="C108:Q108" si="2">AVERAGE(C9:C104)</f>
        <v>8.9328125000000007</v>
      </c>
      <c r="D108" s="158">
        <f t="shared" si="2"/>
        <v>2.4639583333333341</v>
      </c>
      <c r="E108" s="158">
        <f t="shared" si="2"/>
        <v>4.5046875000000002</v>
      </c>
      <c r="F108" s="158">
        <f t="shared" si="2"/>
        <v>3.2222916666666683</v>
      </c>
      <c r="G108" s="158">
        <f t="shared" si="2"/>
        <v>29.924687500000015</v>
      </c>
      <c r="H108" s="158">
        <f t="shared" si="2"/>
        <v>12.227291666666673</v>
      </c>
      <c r="I108" s="158">
        <f t="shared" si="2"/>
        <v>7.4896874999999996</v>
      </c>
      <c r="J108" s="158">
        <f t="shared" si="2"/>
        <v>0.58260416666666648</v>
      </c>
      <c r="K108" s="158">
        <f t="shared" si="2"/>
        <v>260.96500000000003</v>
      </c>
      <c r="L108" s="158">
        <f t="shared" si="2"/>
        <v>25.999166666666671</v>
      </c>
      <c r="M108" s="158">
        <f t="shared" si="2"/>
        <v>91.289999999999978</v>
      </c>
      <c r="N108" s="158">
        <f t="shared" si="2"/>
        <v>44.77812500000001</v>
      </c>
      <c r="O108" s="158">
        <f t="shared" si="2"/>
        <v>1.8749999999999999E-2</v>
      </c>
      <c r="P108" s="158">
        <f t="shared" si="2"/>
        <v>0.17041666666666663</v>
      </c>
      <c r="Q108" s="158">
        <f t="shared" si="2"/>
        <v>9.9297916666666577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55.870326883254116</v>
      </c>
      <c r="C109" s="158">
        <f t="shared" ref="C109:Q109" si="3">STDEV(C9:C104)</f>
        <v>49.850440502791635</v>
      </c>
      <c r="D109" s="158">
        <f t="shared" si="3"/>
        <v>0.74132950152044919</v>
      </c>
      <c r="E109" s="158">
        <f t="shared" si="3"/>
        <v>0.86623559834614006</v>
      </c>
      <c r="F109" s="158">
        <f t="shared" si="3"/>
        <v>2.7970520116973758</v>
      </c>
      <c r="G109" s="158">
        <f t="shared" si="3"/>
        <v>9.3537944963668362</v>
      </c>
      <c r="H109" s="158">
        <f t="shared" si="3"/>
        <v>3.4474629814940494</v>
      </c>
      <c r="I109" s="158">
        <f t="shared" si="3"/>
        <v>3.5110824401195422</v>
      </c>
      <c r="J109" s="158">
        <f t="shared" si="3"/>
        <v>0.15356976670430339</v>
      </c>
      <c r="K109" s="158">
        <f t="shared" si="3"/>
        <v>4.6124940165415476</v>
      </c>
      <c r="L109" s="158">
        <f t="shared" si="3"/>
        <v>0.61906494288464775</v>
      </c>
      <c r="M109" s="158">
        <f t="shared" si="3"/>
        <v>3.3440734693515712</v>
      </c>
      <c r="N109" s="158">
        <f t="shared" si="3"/>
        <v>49.533850633204665</v>
      </c>
      <c r="O109" s="158">
        <f t="shared" si="3"/>
        <v>8.247806726001386E-2</v>
      </c>
      <c r="P109" s="158">
        <f t="shared" si="3"/>
        <v>8.7898466146328472E-2</v>
      </c>
      <c r="Q109" s="158">
        <f t="shared" si="3"/>
        <v>2.1025256324448738E-2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H99" sqref="H9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432</v>
      </c>
      <c r="B9" s="100">
        <v>2.98</v>
      </c>
      <c r="C9" s="100">
        <v>4.74</v>
      </c>
      <c r="D9" s="100">
        <v>1.88</v>
      </c>
      <c r="E9" s="100">
        <v>4.46</v>
      </c>
      <c r="F9" s="100">
        <v>1.86</v>
      </c>
      <c r="G9" s="100">
        <v>23.49</v>
      </c>
      <c r="H9" s="100">
        <v>9.99</v>
      </c>
      <c r="I9" s="100">
        <v>4.3600000000000003</v>
      </c>
      <c r="J9" s="100">
        <v>0.53</v>
      </c>
      <c r="K9" s="100">
        <v>259.45999999999998</v>
      </c>
      <c r="L9" s="100">
        <v>25.65</v>
      </c>
      <c r="M9" s="100">
        <v>92.63</v>
      </c>
      <c r="N9" s="100">
        <v>2.2999999999999998</v>
      </c>
      <c r="O9" s="100">
        <v>0</v>
      </c>
      <c r="P9" s="100">
        <v>7.0000000000000007E-2</v>
      </c>
      <c r="Q9" s="100">
        <v>9.91</v>
      </c>
      <c r="R9" s="6"/>
      <c r="S9" s="6"/>
      <c r="T9" s="156"/>
      <c r="U9" s="6"/>
    </row>
    <row r="10" spans="1:21" customFormat="1">
      <c r="A10" s="163" t="s">
        <v>433</v>
      </c>
      <c r="B10" s="100">
        <v>2.99</v>
      </c>
      <c r="C10" s="100">
        <v>4.74</v>
      </c>
      <c r="D10" s="100">
        <v>1.87</v>
      </c>
      <c r="E10" s="100">
        <v>4.24</v>
      </c>
      <c r="F10" s="100">
        <v>2.41</v>
      </c>
      <c r="G10" s="100">
        <v>23.49</v>
      </c>
      <c r="H10" s="100">
        <v>9.99</v>
      </c>
      <c r="I10" s="100">
        <v>4.5999999999999996</v>
      </c>
      <c r="J10" s="100">
        <v>0.56000000000000005</v>
      </c>
      <c r="K10" s="100">
        <v>260.97000000000003</v>
      </c>
      <c r="L10" s="100">
        <v>25.62</v>
      </c>
      <c r="M10" s="100">
        <v>92.86</v>
      </c>
      <c r="N10" s="100">
        <v>2.2000000000000002</v>
      </c>
      <c r="O10" s="100">
        <v>0</v>
      </c>
      <c r="P10" s="100">
        <v>0.06</v>
      </c>
      <c r="Q10" s="100">
        <v>9.94</v>
      </c>
      <c r="R10" s="6"/>
      <c r="S10" s="6"/>
      <c r="T10" s="156"/>
      <c r="U10" s="6"/>
    </row>
    <row r="11" spans="1:21" customFormat="1">
      <c r="A11" s="163" t="s">
        <v>434</v>
      </c>
      <c r="B11" s="100">
        <v>2.98</v>
      </c>
      <c r="C11" s="100">
        <v>4.74</v>
      </c>
      <c r="D11" s="100">
        <v>1.88</v>
      </c>
      <c r="E11" s="100">
        <v>4.37</v>
      </c>
      <c r="F11" s="100">
        <v>2.66</v>
      </c>
      <c r="G11" s="100">
        <v>25.06</v>
      </c>
      <c r="H11" s="100">
        <v>11.7</v>
      </c>
      <c r="I11" s="100">
        <v>4.5</v>
      </c>
      <c r="J11" s="100">
        <v>0.45</v>
      </c>
      <c r="K11" s="100">
        <v>258.25</v>
      </c>
      <c r="L11" s="100">
        <v>25.62</v>
      </c>
      <c r="M11" s="100">
        <v>93.02</v>
      </c>
      <c r="N11" s="100">
        <v>2.2999999999999998</v>
      </c>
      <c r="O11" s="100">
        <v>0</v>
      </c>
      <c r="P11" s="100">
        <v>0.08</v>
      </c>
      <c r="Q11" s="100">
        <v>9.93</v>
      </c>
      <c r="R11" s="6"/>
      <c r="S11" s="6"/>
      <c r="T11" s="156"/>
      <c r="U11" s="6"/>
    </row>
    <row r="12" spans="1:21" customFormat="1">
      <c r="A12" s="163" t="s">
        <v>435</v>
      </c>
      <c r="B12" s="100">
        <v>2.99</v>
      </c>
      <c r="C12" s="100">
        <v>4.78</v>
      </c>
      <c r="D12" s="100">
        <v>1.9</v>
      </c>
      <c r="E12" s="100">
        <v>4.21</v>
      </c>
      <c r="F12" s="100">
        <v>1.91</v>
      </c>
      <c r="G12" s="100">
        <v>25.19</v>
      </c>
      <c r="H12" s="100">
        <v>11.7</v>
      </c>
      <c r="I12" s="100">
        <v>4.32</v>
      </c>
      <c r="J12" s="100">
        <v>0.36</v>
      </c>
      <c r="K12" s="100">
        <v>259.77999999999997</v>
      </c>
      <c r="L12" s="100">
        <v>25.6</v>
      </c>
      <c r="M12" s="100">
        <v>93.2</v>
      </c>
      <c r="N12" s="100">
        <v>2.2000000000000002</v>
      </c>
      <c r="O12" s="100">
        <v>0</v>
      </c>
      <c r="P12" s="100">
        <v>7.0000000000000007E-2</v>
      </c>
      <c r="Q12" s="100">
        <v>9.92</v>
      </c>
      <c r="R12" s="6"/>
      <c r="S12" s="6"/>
      <c r="T12" s="156"/>
      <c r="U12" s="6"/>
    </row>
    <row r="13" spans="1:21" customFormat="1">
      <c r="A13" s="163" t="s">
        <v>436</v>
      </c>
      <c r="B13" s="100">
        <v>3.02</v>
      </c>
      <c r="C13" s="100">
        <v>4.78</v>
      </c>
      <c r="D13" s="100">
        <v>1.88</v>
      </c>
      <c r="E13" s="100">
        <v>4.01</v>
      </c>
      <c r="F13" s="100">
        <v>2.5299999999999998</v>
      </c>
      <c r="G13" s="100">
        <v>25.19</v>
      </c>
      <c r="H13" s="100">
        <v>11.7</v>
      </c>
      <c r="I13" s="100">
        <v>4.55</v>
      </c>
      <c r="J13" s="100">
        <v>0.4</v>
      </c>
      <c r="K13" s="100">
        <v>257.18</v>
      </c>
      <c r="L13" s="100">
        <v>25.62</v>
      </c>
      <c r="M13" s="100">
        <v>92.9</v>
      </c>
      <c r="N13" s="100">
        <v>2.2000000000000002</v>
      </c>
      <c r="O13" s="100">
        <v>0</v>
      </c>
      <c r="P13" s="100">
        <v>0.05</v>
      </c>
      <c r="Q13" s="100">
        <v>9.93</v>
      </c>
      <c r="R13" s="6"/>
      <c r="S13" s="6"/>
      <c r="T13" s="156"/>
      <c r="U13" s="6"/>
    </row>
    <row r="14" spans="1:21" customFormat="1">
      <c r="A14" s="163" t="s">
        <v>437</v>
      </c>
      <c r="B14" s="100">
        <v>3.01</v>
      </c>
      <c r="C14" s="100">
        <v>4.76</v>
      </c>
      <c r="D14" s="100">
        <v>1.87</v>
      </c>
      <c r="E14" s="100">
        <v>4.16</v>
      </c>
      <c r="F14" s="100">
        <v>2.2400000000000002</v>
      </c>
      <c r="G14" s="100">
        <v>25.19</v>
      </c>
      <c r="H14" s="100">
        <v>11.7</v>
      </c>
      <c r="I14" s="100">
        <v>4.24</v>
      </c>
      <c r="J14" s="100">
        <v>0.4</v>
      </c>
      <c r="K14" s="100">
        <v>259.32</v>
      </c>
      <c r="L14" s="100">
        <v>25.58</v>
      </c>
      <c r="M14" s="100">
        <v>93.08</v>
      </c>
      <c r="N14" s="100">
        <v>2.1</v>
      </c>
      <c r="O14" s="100">
        <v>0</v>
      </c>
      <c r="P14" s="100">
        <v>0.08</v>
      </c>
      <c r="Q14" s="100">
        <v>9.92</v>
      </c>
      <c r="R14" s="6"/>
      <c r="S14" s="6"/>
      <c r="T14" s="156"/>
      <c r="U14" s="6"/>
    </row>
    <row r="15" spans="1:21" customFormat="1">
      <c r="A15" s="163" t="s">
        <v>438</v>
      </c>
      <c r="B15" s="100">
        <v>3.01</v>
      </c>
      <c r="C15" s="100">
        <v>4.8600000000000003</v>
      </c>
      <c r="D15" s="100">
        <v>1.95</v>
      </c>
      <c r="E15" s="100">
        <v>4.62</v>
      </c>
      <c r="F15" s="100">
        <v>1.49</v>
      </c>
      <c r="G15" s="100">
        <v>21.22</v>
      </c>
      <c r="H15" s="100">
        <v>11.52</v>
      </c>
      <c r="I15" s="100">
        <v>4.21</v>
      </c>
      <c r="J15" s="100">
        <v>0.47</v>
      </c>
      <c r="K15" s="100">
        <v>261.52</v>
      </c>
      <c r="L15" s="100">
        <v>25.58</v>
      </c>
      <c r="M15" s="100">
        <v>92.69</v>
      </c>
      <c r="N15" s="100">
        <v>2.1</v>
      </c>
      <c r="O15" s="100">
        <v>0</v>
      </c>
      <c r="P15" s="100">
        <v>0.09</v>
      </c>
      <c r="Q15" s="100">
        <v>9.91</v>
      </c>
      <c r="R15" s="6"/>
      <c r="S15" s="6"/>
      <c r="T15" s="156"/>
      <c r="U15" s="6"/>
    </row>
    <row r="16" spans="1:21" customFormat="1">
      <c r="A16" s="163" t="s">
        <v>439</v>
      </c>
      <c r="B16" s="100">
        <v>2.98</v>
      </c>
      <c r="C16" s="100">
        <v>4.9000000000000004</v>
      </c>
      <c r="D16" s="100">
        <v>2</v>
      </c>
      <c r="E16" s="100">
        <v>4.49</v>
      </c>
      <c r="F16" s="100">
        <v>1.56</v>
      </c>
      <c r="G16" s="100">
        <v>20.88</v>
      </c>
      <c r="H16" s="100">
        <v>11.52</v>
      </c>
      <c r="I16" s="100">
        <v>4.46</v>
      </c>
      <c r="J16" s="100">
        <v>0.52</v>
      </c>
      <c r="K16" s="100">
        <v>260.97000000000003</v>
      </c>
      <c r="L16" s="100">
        <v>25.6</v>
      </c>
      <c r="M16" s="100">
        <v>92.65</v>
      </c>
      <c r="N16" s="100">
        <v>2.2000000000000002</v>
      </c>
      <c r="O16" s="100">
        <v>0</v>
      </c>
      <c r="P16" s="100">
        <v>0.1</v>
      </c>
      <c r="Q16" s="100">
        <v>9.9</v>
      </c>
      <c r="R16" s="6"/>
      <c r="S16" s="6"/>
      <c r="T16" s="156"/>
      <c r="U16" s="6"/>
    </row>
    <row r="17" spans="1:21" customFormat="1">
      <c r="A17" s="163" t="s">
        <v>440</v>
      </c>
      <c r="B17" s="100">
        <v>2.95</v>
      </c>
      <c r="C17" s="100">
        <v>4.8899999999999997</v>
      </c>
      <c r="D17" s="100">
        <v>2.0099999999999998</v>
      </c>
      <c r="E17" s="100">
        <v>4.26</v>
      </c>
      <c r="F17" s="100">
        <v>1.56</v>
      </c>
      <c r="G17" s="100">
        <v>20.88</v>
      </c>
      <c r="H17" s="100">
        <v>11.52</v>
      </c>
      <c r="I17" s="100">
        <v>4.1900000000000004</v>
      </c>
      <c r="J17" s="100">
        <v>0.54</v>
      </c>
      <c r="K17" s="100">
        <v>256.64</v>
      </c>
      <c r="L17" s="100">
        <v>25.6</v>
      </c>
      <c r="M17" s="100">
        <v>92.38</v>
      </c>
      <c r="N17" s="100">
        <v>2.2999999999999998</v>
      </c>
      <c r="O17" s="100">
        <v>0</v>
      </c>
      <c r="P17" s="100">
        <v>0.1</v>
      </c>
      <c r="Q17" s="100">
        <v>9.92</v>
      </c>
      <c r="R17" s="6"/>
      <c r="S17" s="6"/>
      <c r="T17" s="156"/>
      <c r="U17" s="6"/>
    </row>
    <row r="18" spans="1:21" customFormat="1">
      <c r="A18" s="163" t="s">
        <v>441</v>
      </c>
      <c r="B18" s="100">
        <v>2.92</v>
      </c>
      <c r="C18" s="100">
        <v>4.8600000000000003</v>
      </c>
      <c r="D18" s="100">
        <v>2.0099999999999998</v>
      </c>
      <c r="E18" s="100">
        <v>5.03</v>
      </c>
      <c r="F18" s="100">
        <v>1.55</v>
      </c>
      <c r="G18" s="100">
        <v>20.88</v>
      </c>
      <c r="H18" s="100">
        <v>11.52</v>
      </c>
      <c r="I18" s="100">
        <v>4.2699999999999996</v>
      </c>
      <c r="J18" s="100">
        <v>0.51</v>
      </c>
      <c r="K18" s="100">
        <v>259.51</v>
      </c>
      <c r="L18" s="100">
        <v>25.6</v>
      </c>
      <c r="M18" s="100">
        <v>92.16</v>
      </c>
      <c r="N18" s="100">
        <v>2.2000000000000002</v>
      </c>
      <c r="O18" s="100">
        <v>0</v>
      </c>
      <c r="P18" s="100">
        <v>0.09</v>
      </c>
      <c r="Q18" s="100">
        <v>9.92</v>
      </c>
      <c r="R18" s="6"/>
      <c r="S18" s="6"/>
      <c r="T18" s="156"/>
      <c r="U18" s="6"/>
    </row>
    <row r="19" spans="1:21" customFormat="1">
      <c r="A19" s="163" t="s">
        <v>442</v>
      </c>
      <c r="B19" s="100">
        <v>2.89</v>
      </c>
      <c r="C19" s="100">
        <v>4.83</v>
      </c>
      <c r="D19" s="100">
        <v>2</v>
      </c>
      <c r="E19" s="100">
        <v>5.23</v>
      </c>
      <c r="F19" s="100">
        <v>1.68</v>
      </c>
      <c r="G19" s="100">
        <v>18.850000000000001</v>
      </c>
      <c r="H19" s="100">
        <v>12.28</v>
      </c>
      <c r="I19" s="100">
        <v>4.1500000000000004</v>
      </c>
      <c r="J19" s="100">
        <v>0.56000000000000005</v>
      </c>
      <c r="K19" s="100">
        <v>259.60000000000002</v>
      </c>
      <c r="L19" s="100">
        <v>25.6</v>
      </c>
      <c r="M19" s="100">
        <v>91.94</v>
      </c>
      <c r="N19" s="100">
        <v>2.2999999999999998</v>
      </c>
      <c r="O19" s="100">
        <v>0</v>
      </c>
      <c r="P19" s="100">
        <v>0.08</v>
      </c>
      <c r="Q19" s="100">
        <v>9.91</v>
      </c>
      <c r="R19" s="6"/>
      <c r="S19" s="6"/>
      <c r="T19" s="156"/>
      <c r="U19" s="6"/>
    </row>
    <row r="20" spans="1:21" customFormat="1">
      <c r="A20" s="163" t="s">
        <v>443</v>
      </c>
      <c r="B20" s="100">
        <v>2.88</v>
      </c>
      <c r="C20" s="100">
        <v>4.8099999999999996</v>
      </c>
      <c r="D20" s="100">
        <v>2</v>
      </c>
      <c r="E20" s="100">
        <v>4.97</v>
      </c>
      <c r="F20" s="100">
        <v>1.75</v>
      </c>
      <c r="G20" s="100">
        <v>18.68</v>
      </c>
      <c r="H20" s="100">
        <v>12.28</v>
      </c>
      <c r="I20" s="100">
        <v>4.01</v>
      </c>
      <c r="J20" s="100">
        <v>0.52</v>
      </c>
      <c r="K20" s="100">
        <v>256.76</v>
      </c>
      <c r="L20" s="100">
        <v>25.55</v>
      </c>
      <c r="M20" s="100">
        <v>92.23</v>
      </c>
      <c r="N20" s="100">
        <v>2.2999999999999998</v>
      </c>
      <c r="O20" s="100">
        <v>0</v>
      </c>
      <c r="P20" s="100">
        <v>0.09</v>
      </c>
      <c r="Q20" s="100">
        <v>9.91</v>
      </c>
      <c r="R20" s="6"/>
      <c r="S20" s="6"/>
      <c r="T20" s="156"/>
      <c r="U20" s="6"/>
    </row>
    <row r="21" spans="1:21" customFormat="1">
      <c r="A21" s="163" t="s">
        <v>444</v>
      </c>
      <c r="B21" s="100">
        <v>2.86</v>
      </c>
      <c r="C21" s="100">
        <v>4.78</v>
      </c>
      <c r="D21" s="100">
        <v>1.99</v>
      </c>
      <c r="E21" s="100">
        <v>5.26</v>
      </c>
      <c r="F21" s="100">
        <v>2.48</v>
      </c>
      <c r="G21" s="100">
        <v>18.68</v>
      </c>
      <c r="H21" s="100">
        <v>12.28</v>
      </c>
      <c r="I21" s="100">
        <v>3.95</v>
      </c>
      <c r="J21" s="100">
        <v>0.74</v>
      </c>
      <c r="K21" s="100">
        <v>261.70999999999998</v>
      </c>
      <c r="L21" s="100">
        <v>25.53</v>
      </c>
      <c r="M21" s="100">
        <v>92.08</v>
      </c>
      <c r="N21" s="100">
        <v>2.2999999999999998</v>
      </c>
      <c r="O21" s="100">
        <v>0</v>
      </c>
      <c r="P21" s="100">
        <v>0.08</v>
      </c>
      <c r="Q21" s="100">
        <v>9.92</v>
      </c>
      <c r="R21" s="6"/>
      <c r="S21" s="6"/>
      <c r="T21" s="156"/>
      <c r="U21" s="6"/>
    </row>
    <row r="22" spans="1:21" customFormat="1">
      <c r="A22" s="163" t="s">
        <v>445</v>
      </c>
      <c r="B22" s="100">
        <v>2.85</v>
      </c>
      <c r="C22" s="100">
        <v>4.76</v>
      </c>
      <c r="D22" s="100">
        <v>1.98</v>
      </c>
      <c r="E22" s="100">
        <v>5.59</v>
      </c>
      <c r="F22" s="100">
        <v>2.2599999999999998</v>
      </c>
      <c r="G22" s="100">
        <v>18.68</v>
      </c>
      <c r="H22" s="100">
        <v>12.28</v>
      </c>
      <c r="I22" s="100">
        <v>3.87</v>
      </c>
      <c r="J22" s="100">
        <v>0.57999999999999996</v>
      </c>
      <c r="K22" s="100">
        <v>258.52</v>
      </c>
      <c r="L22" s="100">
        <v>25.48</v>
      </c>
      <c r="M22" s="100">
        <v>92.29</v>
      </c>
      <c r="N22" s="100">
        <v>2.2999999999999998</v>
      </c>
      <c r="O22" s="100">
        <v>0</v>
      </c>
      <c r="P22" s="100">
        <v>0.09</v>
      </c>
      <c r="Q22" s="100">
        <v>9.91</v>
      </c>
      <c r="R22" s="6"/>
      <c r="S22" s="6"/>
      <c r="T22" s="156"/>
      <c r="U22" s="6"/>
    </row>
    <row r="23" spans="1:21" customFormat="1">
      <c r="A23" s="163" t="s">
        <v>446</v>
      </c>
      <c r="B23" s="100">
        <v>2.84</v>
      </c>
      <c r="C23" s="100">
        <v>4.75</v>
      </c>
      <c r="D23" s="100">
        <v>1.98</v>
      </c>
      <c r="E23" s="100">
        <v>5.63</v>
      </c>
      <c r="F23" s="100">
        <v>2.11</v>
      </c>
      <c r="G23" s="100">
        <v>16.96</v>
      </c>
      <c r="H23" s="100">
        <v>9.0500000000000007</v>
      </c>
      <c r="I23" s="100">
        <v>3.76</v>
      </c>
      <c r="J23" s="100">
        <v>0.68</v>
      </c>
      <c r="K23" s="100">
        <v>261.67</v>
      </c>
      <c r="L23" s="100">
        <v>25.47</v>
      </c>
      <c r="M23" s="100">
        <v>92.04</v>
      </c>
      <c r="N23" s="100">
        <v>2.4</v>
      </c>
      <c r="O23" s="100">
        <v>0</v>
      </c>
      <c r="P23" s="100">
        <v>7.0000000000000007E-2</v>
      </c>
      <c r="Q23" s="100">
        <v>9.9</v>
      </c>
      <c r="R23" s="6"/>
      <c r="S23" s="6"/>
      <c r="T23" s="156"/>
      <c r="U23" s="6"/>
    </row>
    <row r="24" spans="1:21" customFormat="1">
      <c r="A24" s="163" t="s">
        <v>447</v>
      </c>
      <c r="B24" s="100">
        <v>2.83</v>
      </c>
      <c r="C24" s="100">
        <v>4.74</v>
      </c>
      <c r="D24" s="100">
        <v>1.97</v>
      </c>
      <c r="E24" s="100">
        <v>5.62</v>
      </c>
      <c r="F24" s="100">
        <v>1.88</v>
      </c>
      <c r="G24" s="100">
        <v>16.82</v>
      </c>
      <c r="H24" s="100">
        <v>9.0500000000000007</v>
      </c>
      <c r="I24" s="100">
        <v>3.54</v>
      </c>
      <c r="J24" s="100">
        <v>0.76</v>
      </c>
      <c r="K24" s="100">
        <v>259.79000000000002</v>
      </c>
      <c r="L24" s="100">
        <v>25.46</v>
      </c>
      <c r="M24" s="100">
        <v>91.82</v>
      </c>
      <c r="N24" s="100">
        <v>2.2999999999999998</v>
      </c>
      <c r="O24" s="100">
        <v>0</v>
      </c>
      <c r="P24" s="100">
        <v>0.08</v>
      </c>
      <c r="Q24" s="100">
        <v>9.9</v>
      </c>
      <c r="R24" s="6"/>
      <c r="S24" s="6"/>
      <c r="T24" s="156"/>
      <c r="U24" s="6"/>
    </row>
    <row r="25" spans="1:21" customFormat="1">
      <c r="A25" s="163" t="s">
        <v>448</v>
      </c>
      <c r="B25" s="100">
        <v>2.82</v>
      </c>
      <c r="C25" s="100">
        <v>4.72</v>
      </c>
      <c r="D25" s="100">
        <v>1.96</v>
      </c>
      <c r="E25" s="100">
        <v>5.63</v>
      </c>
      <c r="F25" s="100">
        <v>1.43</v>
      </c>
      <c r="G25" s="100">
        <v>16.82</v>
      </c>
      <c r="H25" s="100">
        <v>9.0500000000000007</v>
      </c>
      <c r="I25" s="100">
        <v>3.55</v>
      </c>
      <c r="J25" s="100">
        <v>0.56000000000000005</v>
      </c>
      <c r="K25" s="100">
        <v>258.06</v>
      </c>
      <c r="L25" s="100">
        <v>25.42</v>
      </c>
      <c r="M25" s="100">
        <v>91.63</v>
      </c>
      <c r="N25" s="100">
        <v>2.2999999999999998</v>
      </c>
      <c r="O25" s="100">
        <v>0</v>
      </c>
      <c r="P25" s="100">
        <v>7.0000000000000007E-2</v>
      </c>
      <c r="Q25" s="100">
        <v>9.91</v>
      </c>
      <c r="R25" s="6"/>
      <c r="S25" s="6"/>
      <c r="T25" s="156"/>
      <c r="U25" s="6"/>
    </row>
    <row r="26" spans="1:21" customFormat="1">
      <c r="A26" s="163" t="s">
        <v>449</v>
      </c>
      <c r="B26" s="100">
        <v>2.81</v>
      </c>
      <c r="C26" s="100">
        <v>4.7</v>
      </c>
      <c r="D26" s="100">
        <v>1.96</v>
      </c>
      <c r="E26" s="100">
        <v>5.59</v>
      </c>
      <c r="F26" s="100">
        <v>1.48</v>
      </c>
      <c r="G26" s="100">
        <v>16.82</v>
      </c>
      <c r="H26" s="100">
        <v>9.0500000000000007</v>
      </c>
      <c r="I26" s="100">
        <v>3.51</v>
      </c>
      <c r="J26" s="100">
        <v>0.51</v>
      </c>
      <c r="K26" s="100">
        <v>255.54</v>
      </c>
      <c r="L26" s="100">
        <v>25.41</v>
      </c>
      <c r="M26" s="100">
        <v>91.22</v>
      </c>
      <c r="N26" s="100">
        <v>2.2999999999999998</v>
      </c>
      <c r="O26" s="100">
        <v>0</v>
      </c>
      <c r="P26" s="100">
        <v>7.0000000000000007E-2</v>
      </c>
      <c r="Q26" s="100">
        <v>9.91</v>
      </c>
      <c r="R26" s="6"/>
      <c r="S26" s="6"/>
      <c r="T26" s="156"/>
      <c r="U26" s="6"/>
    </row>
    <row r="27" spans="1:21" customFormat="1">
      <c r="A27" s="163" t="s">
        <v>450</v>
      </c>
      <c r="B27" s="100">
        <v>2.81</v>
      </c>
      <c r="C27" s="100">
        <v>4.7</v>
      </c>
      <c r="D27" s="100">
        <v>1.95</v>
      </c>
      <c r="E27" s="100">
        <v>5.19</v>
      </c>
      <c r="F27" s="100">
        <v>1.93</v>
      </c>
      <c r="G27" s="100">
        <v>21.87</v>
      </c>
      <c r="H27" s="100">
        <v>6.82</v>
      </c>
      <c r="I27" s="100">
        <v>3.44</v>
      </c>
      <c r="J27" s="100">
        <v>0.76</v>
      </c>
      <c r="K27" s="100">
        <v>261.24</v>
      </c>
      <c r="L27" s="100">
        <v>25.38</v>
      </c>
      <c r="M27" s="100">
        <v>91.12</v>
      </c>
      <c r="N27" s="100">
        <v>2.2999999999999998</v>
      </c>
      <c r="O27" s="100">
        <v>0</v>
      </c>
      <c r="P27" s="100">
        <v>7.0000000000000007E-2</v>
      </c>
      <c r="Q27" s="100">
        <v>9.9</v>
      </c>
      <c r="R27" s="6"/>
      <c r="S27" s="6"/>
      <c r="T27" s="156"/>
      <c r="U27" s="6"/>
    </row>
    <row r="28" spans="1:21" customFormat="1">
      <c r="A28" s="163" t="s">
        <v>451</v>
      </c>
      <c r="B28" s="100">
        <v>2.81</v>
      </c>
      <c r="C28" s="100">
        <v>4.6900000000000004</v>
      </c>
      <c r="D28" s="100">
        <v>1.95</v>
      </c>
      <c r="E28" s="100">
        <v>5.35</v>
      </c>
      <c r="F28" s="100">
        <v>2.54</v>
      </c>
      <c r="G28" s="100">
        <v>22.3</v>
      </c>
      <c r="H28" s="100">
        <v>6.82</v>
      </c>
      <c r="I28" s="100">
        <v>3.42</v>
      </c>
      <c r="J28" s="100">
        <v>0.63</v>
      </c>
      <c r="K28" s="100">
        <v>257.83999999999997</v>
      </c>
      <c r="L28" s="100">
        <v>25.39</v>
      </c>
      <c r="M28" s="100">
        <v>90.79</v>
      </c>
      <c r="N28" s="100">
        <v>2.2999999999999998</v>
      </c>
      <c r="O28" s="100">
        <v>0</v>
      </c>
      <c r="P28" s="100">
        <v>7.0000000000000007E-2</v>
      </c>
      <c r="Q28" s="100">
        <v>9.89</v>
      </c>
      <c r="R28" s="6"/>
      <c r="S28" s="6"/>
      <c r="T28" s="156"/>
      <c r="U28" s="6"/>
    </row>
    <row r="29" spans="1:21" customFormat="1">
      <c r="A29" s="163" t="s">
        <v>452</v>
      </c>
      <c r="B29" s="100">
        <v>2.81</v>
      </c>
      <c r="C29" s="100">
        <v>4.6900000000000004</v>
      </c>
      <c r="D29" s="100">
        <v>1.94</v>
      </c>
      <c r="E29" s="100">
        <v>5.8</v>
      </c>
      <c r="F29" s="100">
        <v>2.37</v>
      </c>
      <c r="G29" s="100">
        <v>22.3</v>
      </c>
      <c r="H29" s="100">
        <v>6.82</v>
      </c>
      <c r="I29" s="100">
        <v>3.38</v>
      </c>
      <c r="J29" s="100">
        <v>0.55000000000000004</v>
      </c>
      <c r="K29" s="100">
        <v>261.36</v>
      </c>
      <c r="L29" s="100">
        <v>25.39</v>
      </c>
      <c r="M29" s="100">
        <v>90.72</v>
      </c>
      <c r="N29" s="100">
        <v>2.2999999999999998</v>
      </c>
      <c r="O29" s="100">
        <v>0</v>
      </c>
      <c r="P29" s="100">
        <v>0.06</v>
      </c>
      <c r="Q29" s="100">
        <v>9.89</v>
      </c>
      <c r="R29" s="6"/>
      <c r="S29" s="6"/>
      <c r="T29" s="156"/>
      <c r="U29" s="6"/>
    </row>
    <row r="30" spans="1:21" customFormat="1">
      <c r="A30" s="163" t="s">
        <v>453</v>
      </c>
      <c r="B30" s="100">
        <v>2.81</v>
      </c>
      <c r="C30" s="100">
        <v>4.6900000000000004</v>
      </c>
      <c r="D30" s="100">
        <v>1.94</v>
      </c>
      <c r="E30" s="100">
        <v>5.83</v>
      </c>
      <c r="F30" s="100">
        <v>1.29</v>
      </c>
      <c r="G30" s="100">
        <v>22.3</v>
      </c>
      <c r="H30" s="100">
        <v>6.82</v>
      </c>
      <c r="I30" s="100">
        <v>3.28</v>
      </c>
      <c r="J30" s="100">
        <v>0.62</v>
      </c>
      <c r="K30" s="100">
        <v>257.72000000000003</v>
      </c>
      <c r="L30" s="100">
        <v>25.42</v>
      </c>
      <c r="M30" s="100">
        <v>90.49</v>
      </c>
      <c r="N30" s="100">
        <v>2.2999999999999998</v>
      </c>
      <c r="O30" s="100">
        <v>0</v>
      </c>
      <c r="P30" s="100">
        <v>0.06</v>
      </c>
      <c r="Q30" s="100">
        <v>9.89</v>
      </c>
      <c r="R30" s="6"/>
      <c r="S30" s="6"/>
      <c r="T30" s="156"/>
      <c r="U30" s="6"/>
    </row>
    <row r="31" spans="1:21" customFormat="1">
      <c r="A31" s="163" t="s">
        <v>454</v>
      </c>
      <c r="B31" s="100">
        <v>2.8</v>
      </c>
      <c r="C31" s="100">
        <v>4.6900000000000004</v>
      </c>
      <c r="D31" s="100">
        <v>1.94</v>
      </c>
      <c r="E31" s="100">
        <v>5.53</v>
      </c>
      <c r="F31" s="100">
        <v>1.63</v>
      </c>
      <c r="G31" s="100">
        <v>19.940000000000001</v>
      </c>
      <c r="H31" s="100">
        <v>7.67</v>
      </c>
      <c r="I31" s="100">
        <v>3.24</v>
      </c>
      <c r="J31" s="100">
        <v>0.63</v>
      </c>
      <c r="K31" s="100">
        <v>258.83999999999997</v>
      </c>
      <c r="L31" s="100">
        <v>25.36</v>
      </c>
      <c r="M31" s="100">
        <v>90.81</v>
      </c>
      <c r="N31" s="100">
        <v>3</v>
      </c>
      <c r="O31" s="100">
        <v>0</v>
      </c>
      <c r="P31" s="100">
        <v>0.06</v>
      </c>
      <c r="Q31" s="100">
        <v>9.9</v>
      </c>
      <c r="R31" s="6"/>
      <c r="S31" s="6"/>
      <c r="T31" s="156"/>
      <c r="U31" s="6"/>
    </row>
    <row r="32" spans="1:21" customFormat="1">
      <c r="A32" s="163" t="s">
        <v>455</v>
      </c>
      <c r="B32" s="100">
        <v>2.8</v>
      </c>
      <c r="C32" s="100">
        <v>4.68</v>
      </c>
      <c r="D32" s="100">
        <v>1.94</v>
      </c>
      <c r="E32" s="100">
        <v>5.41</v>
      </c>
      <c r="F32" s="100">
        <v>1.9</v>
      </c>
      <c r="G32" s="100">
        <v>19.71</v>
      </c>
      <c r="H32" s="100">
        <v>7.67</v>
      </c>
      <c r="I32" s="100">
        <v>3.18</v>
      </c>
      <c r="J32" s="100">
        <v>0.76</v>
      </c>
      <c r="K32" s="100">
        <v>261.94</v>
      </c>
      <c r="L32" s="100">
        <v>25.33</v>
      </c>
      <c r="M32" s="100">
        <v>90.77</v>
      </c>
      <c r="N32" s="100">
        <v>4.7</v>
      </c>
      <c r="O32" s="100">
        <v>0</v>
      </c>
      <c r="P32" s="100">
        <v>7.0000000000000007E-2</v>
      </c>
      <c r="Q32" s="100">
        <v>9.91</v>
      </c>
      <c r="R32" s="6"/>
      <c r="S32" s="6"/>
      <c r="T32" s="156"/>
      <c r="U32" s="6"/>
    </row>
    <row r="33" spans="1:21" customFormat="1">
      <c r="A33" s="163" t="s">
        <v>456</v>
      </c>
      <c r="B33" s="100">
        <v>2.8</v>
      </c>
      <c r="C33" s="100">
        <v>4.67</v>
      </c>
      <c r="D33" s="100">
        <v>1.93</v>
      </c>
      <c r="E33" s="100">
        <v>5.56</v>
      </c>
      <c r="F33" s="100">
        <v>2.59</v>
      </c>
      <c r="G33" s="100">
        <v>19.71</v>
      </c>
      <c r="H33" s="100">
        <v>7.67</v>
      </c>
      <c r="I33" s="100">
        <v>3.17</v>
      </c>
      <c r="J33" s="100">
        <v>0.81</v>
      </c>
      <c r="K33" s="100">
        <v>255.78</v>
      </c>
      <c r="L33" s="100">
        <v>25.36</v>
      </c>
      <c r="M33" s="100">
        <v>90.36</v>
      </c>
      <c r="N33" s="100">
        <v>7.6</v>
      </c>
      <c r="O33" s="100">
        <v>0</v>
      </c>
      <c r="P33" s="100">
        <v>7.0000000000000007E-2</v>
      </c>
      <c r="Q33" s="100">
        <v>9.91</v>
      </c>
      <c r="R33" s="6"/>
      <c r="S33" s="6"/>
      <c r="T33" s="156"/>
      <c r="U33" s="6"/>
    </row>
    <row r="34" spans="1:21" customFormat="1">
      <c r="A34" s="163" t="s">
        <v>457</v>
      </c>
      <c r="B34" s="100">
        <v>2.8</v>
      </c>
      <c r="C34" s="100">
        <v>4.67</v>
      </c>
      <c r="D34" s="100">
        <v>1.93</v>
      </c>
      <c r="E34" s="100">
        <v>5.54</v>
      </c>
      <c r="F34" s="100">
        <v>2.21</v>
      </c>
      <c r="G34" s="100">
        <v>19.71</v>
      </c>
      <c r="H34" s="100">
        <v>7.67</v>
      </c>
      <c r="I34" s="100">
        <v>3.21</v>
      </c>
      <c r="J34" s="100">
        <v>0.69</v>
      </c>
      <c r="K34" s="100">
        <v>260.36</v>
      </c>
      <c r="L34" s="100">
        <v>25.29</v>
      </c>
      <c r="M34" s="100">
        <v>90.5</v>
      </c>
      <c r="N34" s="100">
        <v>8.4</v>
      </c>
      <c r="O34" s="100">
        <v>0</v>
      </c>
      <c r="P34" s="100">
        <v>0.06</v>
      </c>
      <c r="Q34" s="100">
        <v>9.91</v>
      </c>
      <c r="R34" s="6"/>
      <c r="S34" s="6"/>
      <c r="T34" s="156"/>
      <c r="U34" s="6"/>
    </row>
    <row r="35" spans="1:21" customFormat="1">
      <c r="A35" s="163" t="s">
        <v>458</v>
      </c>
      <c r="B35" s="100">
        <v>2.8</v>
      </c>
      <c r="C35" s="100">
        <v>4.7</v>
      </c>
      <c r="D35" s="100">
        <v>1.95</v>
      </c>
      <c r="E35" s="100">
        <v>5.68</v>
      </c>
      <c r="F35" s="100">
        <v>0.74</v>
      </c>
      <c r="G35" s="100">
        <v>20.59</v>
      </c>
      <c r="H35" s="100">
        <v>9.58</v>
      </c>
      <c r="I35" s="100">
        <v>3.14</v>
      </c>
      <c r="J35" s="100">
        <v>0.65</v>
      </c>
      <c r="K35" s="100">
        <v>259.60000000000002</v>
      </c>
      <c r="L35" s="100">
        <v>25.22</v>
      </c>
      <c r="M35" s="100">
        <v>91.3</v>
      </c>
      <c r="N35" s="100">
        <v>7.6</v>
      </c>
      <c r="O35" s="100">
        <v>0</v>
      </c>
      <c r="P35" s="100">
        <v>0.06</v>
      </c>
      <c r="Q35" s="100">
        <v>9.91</v>
      </c>
      <c r="R35" s="6"/>
      <c r="S35" s="6"/>
      <c r="T35" s="156"/>
      <c r="U35" s="6"/>
    </row>
    <row r="36" spans="1:21" customFormat="1">
      <c r="A36" s="163" t="s">
        <v>459</v>
      </c>
      <c r="B36" s="100">
        <v>2.85</v>
      </c>
      <c r="C36" s="100">
        <v>4.71</v>
      </c>
      <c r="D36" s="100">
        <v>1.94</v>
      </c>
      <c r="E36" s="100">
        <v>5.59</v>
      </c>
      <c r="F36" s="100">
        <v>1.34</v>
      </c>
      <c r="G36" s="100">
        <v>20.66</v>
      </c>
      <c r="H36" s="100">
        <v>9.58</v>
      </c>
      <c r="I36" s="100">
        <v>3.09</v>
      </c>
      <c r="J36" s="100">
        <v>0.69</v>
      </c>
      <c r="K36" s="100">
        <v>258.94</v>
      </c>
      <c r="L36" s="100">
        <v>25.07</v>
      </c>
      <c r="M36" s="100">
        <v>92.26</v>
      </c>
      <c r="N36" s="100">
        <v>9.1999999999999993</v>
      </c>
      <c r="O36" s="100">
        <v>0</v>
      </c>
      <c r="P36" s="100">
        <v>0.04</v>
      </c>
      <c r="Q36" s="100">
        <v>9.92</v>
      </c>
      <c r="R36" s="6"/>
      <c r="S36" s="6"/>
      <c r="T36" s="156"/>
      <c r="U36" s="6"/>
    </row>
    <row r="37" spans="1:21" customFormat="1">
      <c r="A37" s="163" t="s">
        <v>460</v>
      </c>
      <c r="B37" s="100">
        <v>2.89</v>
      </c>
      <c r="C37" s="100">
        <v>4.6900000000000004</v>
      </c>
      <c r="D37" s="100">
        <v>1.9</v>
      </c>
      <c r="E37" s="100">
        <v>5.25</v>
      </c>
      <c r="F37" s="100">
        <v>2.14</v>
      </c>
      <c r="G37" s="100">
        <v>20.66</v>
      </c>
      <c r="H37" s="100">
        <v>9.58</v>
      </c>
      <c r="I37" s="100">
        <v>3.13</v>
      </c>
      <c r="J37" s="100">
        <v>0.6</v>
      </c>
      <c r="K37" s="100">
        <v>260.29000000000002</v>
      </c>
      <c r="L37" s="100">
        <v>24.96</v>
      </c>
      <c r="M37" s="100">
        <v>93.47</v>
      </c>
      <c r="N37" s="100">
        <v>13.4</v>
      </c>
      <c r="O37" s="100">
        <v>0</v>
      </c>
      <c r="P37" s="100">
        <v>0.02</v>
      </c>
      <c r="Q37" s="100">
        <v>9.93</v>
      </c>
      <c r="R37" s="6"/>
      <c r="S37" s="6"/>
      <c r="T37" s="156"/>
      <c r="U37" s="6"/>
    </row>
    <row r="38" spans="1:21" customFormat="1">
      <c r="A38" s="163" t="s">
        <v>461</v>
      </c>
      <c r="B38" s="100">
        <v>2.87</v>
      </c>
      <c r="C38" s="100">
        <v>4.66</v>
      </c>
      <c r="D38" s="100">
        <v>1.88</v>
      </c>
      <c r="E38" s="100">
        <v>5.14</v>
      </c>
      <c r="F38" s="100">
        <v>3.01</v>
      </c>
      <c r="G38" s="100">
        <v>20.66</v>
      </c>
      <c r="H38" s="100">
        <v>9.58</v>
      </c>
      <c r="I38" s="100">
        <v>3.21</v>
      </c>
      <c r="J38" s="100">
        <v>0.53</v>
      </c>
      <c r="K38" s="100">
        <v>259.91000000000003</v>
      </c>
      <c r="L38" s="100">
        <v>24.93</v>
      </c>
      <c r="M38" s="100">
        <v>94.24</v>
      </c>
      <c r="N38" s="100">
        <v>21</v>
      </c>
      <c r="O38" s="100">
        <v>0</v>
      </c>
      <c r="P38" s="100">
        <v>0.04</v>
      </c>
      <c r="Q38" s="100">
        <v>9.91</v>
      </c>
      <c r="R38" s="6"/>
      <c r="S38" s="6"/>
      <c r="T38" s="156"/>
      <c r="U38" s="6"/>
    </row>
    <row r="39" spans="1:21" customFormat="1">
      <c r="A39" s="163" t="s">
        <v>462</v>
      </c>
      <c r="B39" s="100">
        <v>2.89</v>
      </c>
      <c r="C39" s="100">
        <v>4.68</v>
      </c>
      <c r="D39" s="100">
        <v>1.89</v>
      </c>
      <c r="E39" s="100">
        <v>4.9000000000000004</v>
      </c>
      <c r="F39" s="100">
        <v>1.86</v>
      </c>
      <c r="G39" s="100">
        <v>15.54</v>
      </c>
      <c r="H39" s="100">
        <v>13.04</v>
      </c>
      <c r="I39" s="100">
        <v>3.25</v>
      </c>
      <c r="J39" s="100">
        <v>0.76</v>
      </c>
      <c r="K39" s="100">
        <v>259.22000000000003</v>
      </c>
      <c r="L39" s="100">
        <v>24.94</v>
      </c>
      <c r="M39" s="100">
        <v>94.14</v>
      </c>
      <c r="N39" s="100">
        <v>25.9</v>
      </c>
      <c r="O39" s="100">
        <v>0</v>
      </c>
      <c r="P39" s="100">
        <v>0.04</v>
      </c>
      <c r="Q39" s="100">
        <v>9.91</v>
      </c>
      <c r="R39" s="6"/>
      <c r="S39" s="6"/>
      <c r="T39" s="156"/>
      <c r="U39" s="6"/>
    </row>
    <row r="40" spans="1:21" customFormat="1">
      <c r="A40" s="163" t="s">
        <v>463</v>
      </c>
      <c r="B40" s="100">
        <v>2.94</v>
      </c>
      <c r="C40" s="100">
        <v>4.6900000000000004</v>
      </c>
      <c r="D40" s="100">
        <v>1.86</v>
      </c>
      <c r="E40" s="100">
        <v>4.88</v>
      </c>
      <c r="F40" s="100">
        <v>2.19</v>
      </c>
      <c r="G40" s="100">
        <v>15.11</v>
      </c>
      <c r="H40" s="100">
        <v>13.04</v>
      </c>
      <c r="I40" s="100">
        <v>3.32</v>
      </c>
      <c r="J40" s="100">
        <v>0.66</v>
      </c>
      <c r="K40" s="100">
        <v>262.14</v>
      </c>
      <c r="L40" s="100">
        <v>24.96</v>
      </c>
      <c r="M40" s="100">
        <v>94.04</v>
      </c>
      <c r="N40" s="100">
        <v>28.1</v>
      </c>
      <c r="O40" s="100">
        <v>0</v>
      </c>
      <c r="P40" s="100">
        <v>0.03</v>
      </c>
      <c r="Q40" s="100">
        <v>9.92</v>
      </c>
      <c r="R40" s="6"/>
      <c r="S40" s="6"/>
      <c r="T40" s="156"/>
      <c r="U40" s="6"/>
    </row>
    <row r="41" spans="1:21" customFormat="1">
      <c r="A41" s="163" t="s">
        <v>464</v>
      </c>
      <c r="B41" s="100">
        <v>2.92</v>
      </c>
      <c r="C41" s="100">
        <v>4.68</v>
      </c>
      <c r="D41" s="100">
        <v>1.87</v>
      </c>
      <c r="E41" s="100">
        <v>4.78</v>
      </c>
      <c r="F41" s="100">
        <v>2.02</v>
      </c>
      <c r="G41" s="100">
        <v>15.11</v>
      </c>
      <c r="H41" s="100">
        <v>13.04</v>
      </c>
      <c r="I41" s="100">
        <v>3.33</v>
      </c>
      <c r="J41" s="100">
        <v>0.69</v>
      </c>
      <c r="K41" s="100">
        <v>260.74</v>
      </c>
      <c r="L41" s="100">
        <v>25.02</v>
      </c>
      <c r="M41" s="100">
        <v>93.8</v>
      </c>
      <c r="N41" s="100">
        <v>32.1</v>
      </c>
      <c r="O41" s="100">
        <v>0</v>
      </c>
      <c r="P41" s="100">
        <v>0.04</v>
      </c>
      <c r="Q41" s="100">
        <v>9.92</v>
      </c>
      <c r="R41" s="6"/>
      <c r="S41" s="6"/>
      <c r="T41" s="156"/>
      <c r="U41" s="6"/>
    </row>
    <row r="42" spans="1:21" customFormat="1">
      <c r="A42" s="163" t="s">
        <v>465</v>
      </c>
      <c r="B42" s="100">
        <v>2.96</v>
      </c>
      <c r="C42" s="100">
        <v>4.72</v>
      </c>
      <c r="D42" s="100">
        <v>1.88</v>
      </c>
      <c r="E42" s="100">
        <v>5.0199999999999996</v>
      </c>
      <c r="F42" s="100">
        <v>1.44</v>
      </c>
      <c r="G42" s="100">
        <v>15.11</v>
      </c>
      <c r="H42" s="100">
        <v>13.04</v>
      </c>
      <c r="I42" s="100">
        <v>3.29</v>
      </c>
      <c r="J42" s="100">
        <v>0.94</v>
      </c>
      <c r="K42" s="100">
        <v>259.45999999999998</v>
      </c>
      <c r="L42" s="100">
        <v>25.07</v>
      </c>
      <c r="M42" s="100">
        <v>93.28</v>
      </c>
      <c r="N42" s="100">
        <v>30.3</v>
      </c>
      <c r="O42" s="100">
        <v>0</v>
      </c>
      <c r="P42" s="100">
        <v>0.03</v>
      </c>
      <c r="Q42" s="100">
        <v>9.91</v>
      </c>
      <c r="R42" s="6"/>
      <c r="S42" s="6"/>
      <c r="T42" s="156"/>
      <c r="U42" s="6"/>
    </row>
    <row r="43" spans="1:21" customFormat="1">
      <c r="A43" s="163" t="s">
        <v>466</v>
      </c>
      <c r="B43" s="100">
        <v>2.98</v>
      </c>
      <c r="C43" s="100">
        <v>4.72</v>
      </c>
      <c r="D43" s="100">
        <v>1.86</v>
      </c>
      <c r="E43" s="100">
        <v>4.8499999999999996</v>
      </c>
      <c r="F43" s="100">
        <v>2.48</v>
      </c>
      <c r="G43" s="100">
        <v>16.440000000000001</v>
      </c>
      <c r="H43" s="100">
        <v>9.6300000000000008</v>
      </c>
      <c r="I43" s="100">
        <v>3.42</v>
      </c>
      <c r="J43" s="100">
        <v>0.89</v>
      </c>
      <c r="K43" s="100">
        <v>261.63</v>
      </c>
      <c r="L43" s="100">
        <v>25.13</v>
      </c>
      <c r="M43" s="100">
        <v>92.88</v>
      </c>
      <c r="N43" s="100">
        <v>32.4</v>
      </c>
      <c r="O43" s="100">
        <v>0</v>
      </c>
      <c r="P43" s="100">
        <v>0.03</v>
      </c>
      <c r="Q43" s="100">
        <v>9.91</v>
      </c>
      <c r="R43" s="6"/>
      <c r="S43" s="6"/>
      <c r="T43" s="156"/>
      <c r="U43" s="6"/>
    </row>
    <row r="44" spans="1:21" customFormat="1">
      <c r="A44" s="163" t="s">
        <v>467</v>
      </c>
      <c r="B44" s="100">
        <v>2.94</v>
      </c>
      <c r="C44" s="100">
        <v>4.71</v>
      </c>
      <c r="D44" s="100">
        <v>1.88</v>
      </c>
      <c r="E44" s="100">
        <v>4.62</v>
      </c>
      <c r="F44" s="100">
        <v>1.17</v>
      </c>
      <c r="G44" s="100">
        <v>16.559999999999999</v>
      </c>
      <c r="H44" s="100">
        <v>9.6300000000000008</v>
      </c>
      <c r="I44" s="100">
        <v>3.43</v>
      </c>
      <c r="J44" s="100">
        <v>0.73</v>
      </c>
      <c r="K44" s="100">
        <v>257.45999999999998</v>
      </c>
      <c r="L44" s="100">
        <v>25.15</v>
      </c>
      <c r="M44" s="100">
        <v>93.05</v>
      </c>
      <c r="N44" s="100">
        <v>31.3</v>
      </c>
      <c r="O44" s="100">
        <v>0</v>
      </c>
      <c r="P44" s="100">
        <v>0.04</v>
      </c>
      <c r="Q44" s="100">
        <v>9.91</v>
      </c>
      <c r="R44" s="6"/>
      <c r="S44" s="6"/>
      <c r="T44" s="156"/>
      <c r="U44" s="6"/>
    </row>
    <row r="45" spans="1:21" customFormat="1">
      <c r="A45" s="163" t="s">
        <v>468</v>
      </c>
      <c r="B45" s="100">
        <v>2.96</v>
      </c>
      <c r="C45" s="100">
        <v>4.75</v>
      </c>
      <c r="D45" s="100">
        <v>1.89</v>
      </c>
      <c r="E45" s="100">
        <v>4.7</v>
      </c>
      <c r="F45" s="100">
        <v>1.85</v>
      </c>
      <c r="G45" s="100">
        <v>16.559999999999999</v>
      </c>
      <c r="H45" s="100">
        <v>9.6300000000000008</v>
      </c>
      <c r="I45" s="100">
        <v>3.37</v>
      </c>
      <c r="J45" s="100">
        <v>0.47</v>
      </c>
      <c r="K45" s="100">
        <v>265.44</v>
      </c>
      <c r="L45" s="100">
        <v>25.03</v>
      </c>
      <c r="M45" s="100">
        <v>94.21</v>
      </c>
      <c r="N45" s="100">
        <v>26.2</v>
      </c>
      <c r="O45" s="100">
        <v>0.2</v>
      </c>
      <c r="P45" s="100">
        <v>0.03</v>
      </c>
      <c r="Q45" s="100">
        <v>9.9</v>
      </c>
      <c r="R45" s="6"/>
      <c r="S45" s="6"/>
      <c r="T45" s="156"/>
      <c r="U45" s="6"/>
    </row>
    <row r="46" spans="1:21" customFormat="1">
      <c r="A46" s="163" t="s">
        <v>469</v>
      </c>
      <c r="B46" s="100">
        <v>2.98</v>
      </c>
      <c r="C46" s="100">
        <v>4.75</v>
      </c>
      <c r="D46" s="100">
        <v>1.88</v>
      </c>
      <c r="E46" s="100">
        <v>4.57</v>
      </c>
      <c r="F46" s="100">
        <v>2.75</v>
      </c>
      <c r="G46" s="100">
        <v>16.559999999999999</v>
      </c>
      <c r="H46" s="100">
        <v>9.6300000000000008</v>
      </c>
      <c r="I46" s="100">
        <v>3.48</v>
      </c>
      <c r="J46" s="100">
        <v>0.49</v>
      </c>
      <c r="K46" s="100">
        <v>261.93</v>
      </c>
      <c r="L46" s="100">
        <v>24.97</v>
      </c>
      <c r="M46" s="100">
        <v>95.06</v>
      </c>
      <c r="N46" s="100">
        <v>24.5</v>
      </c>
      <c r="O46" s="100">
        <v>0</v>
      </c>
      <c r="P46" s="100">
        <v>0.04</v>
      </c>
      <c r="Q46" s="100">
        <v>9.91</v>
      </c>
      <c r="R46" s="6"/>
      <c r="S46" s="6"/>
      <c r="T46" s="156"/>
      <c r="U46" s="6"/>
    </row>
    <row r="47" spans="1:21" customFormat="1">
      <c r="A47" s="163" t="s">
        <v>470</v>
      </c>
      <c r="B47" s="100">
        <v>3</v>
      </c>
      <c r="C47" s="100">
        <v>4.7699999999999996</v>
      </c>
      <c r="D47" s="100">
        <v>1.88</v>
      </c>
      <c r="E47" s="100">
        <v>4.9800000000000004</v>
      </c>
      <c r="F47" s="100">
        <v>0.84</v>
      </c>
      <c r="G47" s="100">
        <v>18.3</v>
      </c>
      <c r="H47" s="100">
        <v>10.08</v>
      </c>
      <c r="I47" s="100">
        <v>3.34</v>
      </c>
      <c r="J47" s="100">
        <v>0.75</v>
      </c>
      <c r="K47" s="100">
        <v>258.32</v>
      </c>
      <c r="L47" s="100">
        <v>24.94</v>
      </c>
      <c r="M47" s="100">
        <v>95.25</v>
      </c>
      <c r="N47" s="100">
        <v>23.4</v>
      </c>
      <c r="O47" s="100">
        <v>0</v>
      </c>
      <c r="P47" s="100">
        <v>0.04</v>
      </c>
      <c r="Q47" s="100">
        <v>9.92</v>
      </c>
      <c r="R47" s="6"/>
      <c r="S47" s="6"/>
      <c r="T47" s="156"/>
      <c r="U47" s="6"/>
    </row>
    <row r="48" spans="1:21" customFormat="1">
      <c r="A48" s="163" t="s">
        <v>471</v>
      </c>
      <c r="B48" s="100">
        <v>3.05</v>
      </c>
      <c r="C48" s="100">
        <v>4.8</v>
      </c>
      <c r="D48" s="100">
        <v>1.88</v>
      </c>
      <c r="E48" s="100">
        <v>5.03</v>
      </c>
      <c r="F48" s="100">
        <v>2.12</v>
      </c>
      <c r="G48" s="100">
        <v>18.47</v>
      </c>
      <c r="H48" s="100">
        <v>10.08</v>
      </c>
      <c r="I48" s="100">
        <v>3.34</v>
      </c>
      <c r="J48" s="100">
        <v>0.69</v>
      </c>
      <c r="K48" s="100">
        <v>259.43</v>
      </c>
      <c r="L48" s="100">
        <v>24.94</v>
      </c>
      <c r="M48" s="100">
        <v>95.21</v>
      </c>
      <c r="N48" s="100">
        <v>25.5</v>
      </c>
      <c r="O48" s="100">
        <v>0.2</v>
      </c>
      <c r="P48" s="100">
        <v>0.04</v>
      </c>
      <c r="Q48" s="100">
        <v>9.93</v>
      </c>
      <c r="R48" s="6"/>
      <c r="S48" s="6"/>
      <c r="T48" s="156"/>
      <c r="U48" s="6"/>
    </row>
    <row r="49" spans="1:21" customFormat="1">
      <c r="A49" s="163" t="s">
        <v>472</v>
      </c>
      <c r="B49" s="100">
        <v>3.01</v>
      </c>
      <c r="C49" s="100">
        <v>4.7699999999999996</v>
      </c>
      <c r="D49" s="100">
        <v>1.88</v>
      </c>
      <c r="E49" s="100">
        <v>3.88</v>
      </c>
      <c r="F49" s="100">
        <v>2.25</v>
      </c>
      <c r="G49" s="100">
        <v>18.47</v>
      </c>
      <c r="H49" s="100">
        <v>10.08</v>
      </c>
      <c r="I49" s="100">
        <v>3.34</v>
      </c>
      <c r="J49" s="100">
        <v>0.64</v>
      </c>
      <c r="K49" s="100">
        <v>262.76</v>
      </c>
      <c r="L49" s="100">
        <v>24.91</v>
      </c>
      <c r="M49" s="100">
        <v>95.46</v>
      </c>
      <c r="N49" s="100">
        <v>26.5</v>
      </c>
      <c r="O49" s="100">
        <v>0</v>
      </c>
      <c r="P49" s="100">
        <v>0.05</v>
      </c>
      <c r="Q49" s="100">
        <v>9.92</v>
      </c>
      <c r="R49" s="6"/>
      <c r="S49" s="6"/>
      <c r="T49" s="156"/>
      <c r="U49" s="6"/>
    </row>
    <row r="50" spans="1:21" customFormat="1">
      <c r="A50" s="163" t="s">
        <v>473</v>
      </c>
      <c r="B50" s="100">
        <v>3.02</v>
      </c>
      <c r="C50" s="100">
        <v>4.8</v>
      </c>
      <c r="D50" s="100">
        <v>1.89</v>
      </c>
      <c r="E50" s="100">
        <v>4.68</v>
      </c>
      <c r="F50" s="100">
        <v>1.36</v>
      </c>
      <c r="G50" s="100">
        <v>18.47</v>
      </c>
      <c r="H50" s="100">
        <v>10.08</v>
      </c>
      <c r="I50" s="100">
        <v>3.32</v>
      </c>
      <c r="J50" s="100">
        <v>0.55000000000000004</v>
      </c>
      <c r="K50" s="100">
        <v>262.18</v>
      </c>
      <c r="L50" s="100">
        <v>24.89</v>
      </c>
      <c r="M50" s="100">
        <v>96.04</v>
      </c>
      <c r="N50" s="100">
        <v>27.8</v>
      </c>
      <c r="O50" s="100">
        <v>0.2</v>
      </c>
      <c r="P50" s="100">
        <v>0.05</v>
      </c>
      <c r="Q50" s="100">
        <v>9.92</v>
      </c>
      <c r="R50" s="6"/>
      <c r="S50" s="6"/>
      <c r="T50" s="156"/>
      <c r="U50" s="6"/>
    </row>
    <row r="51" spans="1:21" customFormat="1">
      <c r="A51" s="163" t="s">
        <v>474</v>
      </c>
      <c r="B51" s="100">
        <v>3.04</v>
      </c>
      <c r="C51" s="100">
        <v>4.79</v>
      </c>
      <c r="D51" s="100">
        <v>1.88</v>
      </c>
      <c r="E51" s="100">
        <v>4.4000000000000004</v>
      </c>
      <c r="F51" s="100">
        <v>2.64</v>
      </c>
      <c r="G51" s="100">
        <v>21.32</v>
      </c>
      <c r="H51" s="100">
        <v>9.08</v>
      </c>
      <c r="I51" s="100">
        <v>3.42</v>
      </c>
      <c r="J51" s="100">
        <v>0.51</v>
      </c>
      <c r="K51" s="100">
        <v>270.24</v>
      </c>
      <c r="L51" s="100">
        <v>24.89</v>
      </c>
      <c r="M51" s="100">
        <v>96.44</v>
      </c>
      <c r="N51" s="100">
        <v>29.1</v>
      </c>
      <c r="O51" s="100">
        <v>0</v>
      </c>
      <c r="P51" s="100">
        <v>0.04</v>
      </c>
      <c r="Q51" s="100">
        <v>9.9499999999999993</v>
      </c>
      <c r="R51" s="6"/>
      <c r="S51" s="6"/>
      <c r="T51" s="156"/>
      <c r="U51" s="6"/>
    </row>
    <row r="52" spans="1:21" customFormat="1">
      <c r="A52" s="163" t="s">
        <v>475</v>
      </c>
      <c r="B52" s="100">
        <v>3.02</v>
      </c>
      <c r="C52" s="100">
        <v>4.8</v>
      </c>
      <c r="D52" s="100">
        <v>1.89</v>
      </c>
      <c r="E52" s="100">
        <v>4.7300000000000004</v>
      </c>
      <c r="F52" s="100">
        <v>1.58</v>
      </c>
      <c r="G52" s="100">
        <v>21.56</v>
      </c>
      <c r="H52" s="100">
        <v>9.08</v>
      </c>
      <c r="I52" s="100">
        <v>3.39</v>
      </c>
      <c r="J52" s="100">
        <v>0.54</v>
      </c>
      <c r="K52" s="100">
        <v>263.99</v>
      </c>
      <c r="L52" s="100">
        <v>24.87</v>
      </c>
      <c r="M52" s="100">
        <v>96.55</v>
      </c>
      <c r="N52" s="100">
        <v>29.8</v>
      </c>
      <c r="O52" s="100">
        <v>0.2</v>
      </c>
      <c r="P52" s="100">
        <v>0.06</v>
      </c>
      <c r="Q52" s="100">
        <v>9.93</v>
      </c>
      <c r="R52" s="6"/>
      <c r="S52" s="6"/>
      <c r="T52" s="156"/>
      <c r="U52" s="6"/>
    </row>
    <row r="53" spans="1:21" customFormat="1">
      <c r="A53" s="163" t="s">
        <v>476</v>
      </c>
      <c r="B53" s="100">
        <v>3.07</v>
      </c>
      <c r="C53" s="100">
        <v>4.83</v>
      </c>
      <c r="D53" s="100">
        <v>1.89</v>
      </c>
      <c r="E53" s="100">
        <v>4.83</v>
      </c>
      <c r="F53" s="100">
        <v>1.35</v>
      </c>
      <c r="G53" s="100">
        <v>21.56</v>
      </c>
      <c r="H53" s="100">
        <v>9.08</v>
      </c>
      <c r="I53" s="100">
        <v>3.39</v>
      </c>
      <c r="J53" s="100">
        <v>0.5</v>
      </c>
      <c r="K53" s="100">
        <v>260.35000000000002</v>
      </c>
      <c r="L53" s="100">
        <v>24.86</v>
      </c>
      <c r="M53" s="100">
        <v>96.84</v>
      </c>
      <c r="N53" s="100">
        <v>30.5</v>
      </c>
      <c r="O53" s="100">
        <v>0.2</v>
      </c>
      <c r="P53" s="100">
        <v>0.04</v>
      </c>
      <c r="Q53" s="100">
        <v>9.93</v>
      </c>
      <c r="R53" s="6"/>
      <c r="S53" s="6"/>
      <c r="T53" s="156"/>
      <c r="U53" s="6"/>
    </row>
    <row r="54" spans="1:21" customFormat="1">
      <c r="A54" s="163" t="s">
        <v>477</v>
      </c>
      <c r="B54" s="100">
        <v>3.06</v>
      </c>
      <c r="C54" s="100">
        <v>4.8600000000000003</v>
      </c>
      <c r="D54" s="100">
        <v>1.92</v>
      </c>
      <c r="E54" s="100">
        <v>4.57</v>
      </c>
      <c r="F54" s="100">
        <v>2.36</v>
      </c>
      <c r="G54" s="100">
        <v>21.56</v>
      </c>
      <c r="H54" s="100">
        <v>9.08</v>
      </c>
      <c r="I54" s="100">
        <v>3.54</v>
      </c>
      <c r="J54" s="100">
        <v>0.68</v>
      </c>
      <c r="K54" s="100">
        <v>259.14999999999998</v>
      </c>
      <c r="L54" s="100">
        <v>24.84</v>
      </c>
      <c r="M54" s="100">
        <v>97.21</v>
      </c>
      <c r="N54" s="100">
        <v>32.1</v>
      </c>
      <c r="O54" s="100">
        <v>0.2</v>
      </c>
      <c r="P54" s="100">
        <v>0.06</v>
      </c>
      <c r="Q54" s="100">
        <v>9.92</v>
      </c>
      <c r="R54" s="6"/>
      <c r="S54" s="6"/>
      <c r="T54" s="156"/>
      <c r="U54" s="6"/>
    </row>
    <row r="55" spans="1:21" customFormat="1">
      <c r="A55" s="163" t="s">
        <v>478</v>
      </c>
      <c r="B55" s="100">
        <v>3.03</v>
      </c>
      <c r="C55" s="100">
        <v>4.93</v>
      </c>
      <c r="D55" s="100">
        <v>2</v>
      </c>
      <c r="E55" s="100">
        <v>4.47</v>
      </c>
      <c r="F55" s="100">
        <v>1.67</v>
      </c>
      <c r="G55" s="100">
        <v>18.329999999999998</v>
      </c>
      <c r="H55" s="100">
        <v>6.61</v>
      </c>
      <c r="I55" s="100">
        <v>3.52</v>
      </c>
      <c r="J55" s="100">
        <v>0.64</v>
      </c>
      <c r="K55" s="100">
        <v>262.43</v>
      </c>
      <c r="L55" s="100">
        <v>24.89</v>
      </c>
      <c r="M55" s="100">
        <v>97.18</v>
      </c>
      <c r="N55" s="100">
        <v>31.8</v>
      </c>
      <c r="O55" s="100">
        <v>0</v>
      </c>
      <c r="P55" s="100">
        <v>0.08</v>
      </c>
      <c r="Q55" s="100">
        <v>9.9</v>
      </c>
      <c r="R55" s="6"/>
      <c r="S55" s="6"/>
      <c r="T55" s="156"/>
      <c r="U55" s="6"/>
    </row>
    <row r="56" spans="1:21" customFormat="1">
      <c r="A56" s="163" t="s">
        <v>479</v>
      </c>
      <c r="B56" s="100">
        <v>3</v>
      </c>
      <c r="C56" s="100">
        <v>4.9400000000000004</v>
      </c>
      <c r="D56" s="100">
        <v>2.02</v>
      </c>
      <c r="E56" s="100">
        <v>4.79</v>
      </c>
      <c r="F56" s="100">
        <v>1.33</v>
      </c>
      <c r="G56" s="100">
        <v>18.05</v>
      </c>
      <c r="H56" s="100">
        <v>6.61</v>
      </c>
      <c r="I56" s="100">
        <v>3.73</v>
      </c>
      <c r="J56" s="100">
        <v>0.51</v>
      </c>
      <c r="K56" s="100">
        <v>262.72000000000003</v>
      </c>
      <c r="L56" s="100">
        <v>24.95</v>
      </c>
      <c r="M56" s="100">
        <v>97.05</v>
      </c>
      <c r="N56" s="100">
        <v>25.4</v>
      </c>
      <c r="O56" s="100">
        <v>0</v>
      </c>
      <c r="P56" s="100">
        <v>0.09</v>
      </c>
      <c r="Q56" s="100">
        <v>9.91</v>
      </c>
      <c r="R56" s="6"/>
      <c r="S56" s="6"/>
      <c r="T56" s="156"/>
      <c r="U56" s="6"/>
    </row>
    <row r="57" spans="1:21" customFormat="1">
      <c r="A57" s="163" t="s">
        <v>480</v>
      </c>
      <c r="B57" s="100">
        <v>2.97</v>
      </c>
      <c r="C57" s="100">
        <v>4.93</v>
      </c>
      <c r="D57" s="100">
        <v>2.0299999999999998</v>
      </c>
      <c r="E57" s="100">
        <v>5.21</v>
      </c>
      <c r="F57" s="100">
        <v>1.62</v>
      </c>
      <c r="G57" s="100">
        <v>18.05</v>
      </c>
      <c r="H57" s="100">
        <v>6.61</v>
      </c>
      <c r="I57" s="100">
        <v>3.71</v>
      </c>
      <c r="J57" s="100">
        <v>0.65</v>
      </c>
      <c r="K57" s="100">
        <v>262.26</v>
      </c>
      <c r="L57" s="100">
        <v>25.01</v>
      </c>
      <c r="M57" s="100">
        <v>96.66</v>
      </c>
      <c r="N57" s="100">
        <v>31.5</v>
      </c>
      <c r="O57" s="100">
        <v>0.2</v>
      </c>
      <c r="P57" s="100">
        <v>0.09</v>
      </c>
      <c r="Q57" s="100">
        <v>9.92</v>
      </c>
      <c r="R57" s="6"/>
      <c r="S57" s="6"/>
      <c r="T57" s="156"/>
      <c r="U57" s="6"/>
    </row>
    <row r="58" spans="1:21" customFormat="1">
      <c r="A58" s="163" t="s">
        <v>481</v>
      </c>
      <c r="B58" s="100">
        <v>2.95</v>
      </c>
      <c r="C58" s="100">
        <v>4.92</v>
      </c>
      <c r="D58" s="100">
        <v>2.04</v>
      </c>
      <c r="E58" s="100">
        <v>5.08</v>
      </c>
      <c r="F58" s="100">
        <v>1.58</v>
      </c>
      <c r="G58" s="100">
        <v>18.05</v>
      </c>
      <c r="H58" s="100">
        <v>6.61</v>
      </c>
      <c r="I58" s="100">
        <v>3.77</v>
      </c>
      <c r="J58" s="100">
        <v>0.47</v>
      </c>
      <c r="K58" s="100">
        <v>266.04000000000002</v>
      </c>
      <c r="L58" s="100">
        <v>25.09</v>
      </c>
      <c r="M58" s="100">
        <v>96.27</v>
      </c>
      <c r="N58" s="100">
        <v>36.5</v>
      </c>
      <c r="O58" s="100">
        <v>0</v>
      </c>
      <c r="P58" s="100">
        <v>0.1</v>
      </c>
      <c r="Q58" s="100">
        <v>9.92</v>
      </c>
      <c r="R58" s="6"/>
      <c r="S58" s="6"/>
      <c r="T58" s="156"/>
      <c r="U58" s="6"/>
    </row>
    <row r="59" spans="1:21" customFormat="1">
      <c r="A59" s="163" t="s">
        <v>482</v>
      </c>
      <c r="B59" s="100">
        <v>2.94</v>
      </c>
      <c r="C59" s="100">
        <v>4.91</v>
      </c>
      <c r="D59" s="100">
        <v>2.04</v>
      </c>
      <c r="E59" s="100">
        <v>5.25</v>
      </c>
      <c r="F59" s="100">
        <v>2.09</v>
      </c>
      <c r="G59" s="100">
        <v>17.72</v>
      </c>
      <c r="H59" s="100">
        <v>10.3</v>
      </c>
      <c r="I59" s="100">
        <v>3.78</v>
      </c>
      <c r="J59" s="100">
        <v>0.54</v>
      </c>
      <c r="K59" s="100">
        <v>259.35000000000002</v>
      </c>
      <c r="L59" s="100">
        <v>25.15</v>
      </c>
      <c r="M59" s="100">
        <v>96.05</v>
      </c>
      <c r="N59" s="100">
        <v>41.1</v>
      </c>
      <c r="O59" s="100">
        <v>0</v>
      </c>
      <c r="P59" s="100">
        <v>0.1</v>
      </c>
      <c r="Q59" s="100">
        <v>9.92</v>
      </c>
      <c r="R59" s="6"/>
      <c r="S59" s="6"/>
      <c r="T59" s="156"/>
      <c r="U59" s="6"/>
    </row>
    <row r="60" spans="1:21" customFormat="1">
      <c r="A60" s="163" t="s">
        <v>483</v>
      </c>
      <c r="B60" s="100">
        <v>2.93</v>
      </c>
      <c r="C60" s="100">
        <v>4.8899999999999997</v>
      </c>
      <c r="D60" s="100">
        <v>2.0299999999999998</v>
      </c>
      <c r="E60" s="100">
        <v>5.33</v>
      </c>
      <c r="F60" s="100">
        <v>2.16</v>
      </c>
      <c r="G60" s="100">
        <v>17.690000000000001</v>
      </c>
      <c r="H60" s="100">
        <v>10.3</v>
      </c>
      <c r="I60" s="100">
        <v>3.77</v>
      </c>
      <c r="J60" s="100">
        <v>0.68</v>
      </c>
      <c r="K60" s="100">
        <v>258.55</v>
      </c>
      <c r="L60" s="100">
        <v>25.18</v>
      </c>
      <c r="M60" s="100">
        <v>95.34</v>
      </c>
      <c r="N60" s="100">
        <v>46.7</v>
      </c>
      <c r="O60" s="100">
        <v>0.2</v>
      </c>
      <c r="P60" s="100">
        <v>0.1</v>
      </c>
      <c r="Q60" s="100">
        <v>9.92</v>
      </c>
      <c r="R60" s="6"/>
      <c r="S60" s="6"/>
      <c r="T60" s="156"/>
      <c r="U60" s="6"/>
    </row>
    <row r="61" spans="1:21" customFormat="1">
      <c r="A61" s="163" t="s">
        <v>484</v>
      </c>
      <c r="B61" s="100">
        <v>2.91</v>
      </c>
      <c r="C61" s="100">
        <v>4.88</v>
      </c>
      <c r="D61" s="100">
        <v>2.0299999999999998</v>
      </c>
      <c r="E61" s="100">
        <v>5.36</v>
      </c>
      <c r="F61" s="100">
        <v>1.62</v>
      </c>
      <c r="G61" s="100">
        <v>17.690000000000001</v>
      </c>
      <c r="H61" s="100">
        <v>10.3</v>
      </c>
      <c r="I61" s="100">
        <v>3.78</v>
      </c>
      <c r="J61" s="100">
        <v>0.45</v>
      </c>
      <c r="K61" s="100">
        <v>256.13</v>
      </c>
      <c r="L61" s="100">
        <v>25.31</v>
      </c>
      <c r="M61" s="100">
        <v>95.57</v>
      </c>
      <c r="N61" s="100">
        <v>55.6</v>
      </c>
      <c r="O61" s="100">
        <v>0</v>
      </c>
      <c r="P61" s="100">
        <v>0.1</v>
      </c>
      <c r="Q61" s="100">
        <v>9.91</v>
      </c>
      <c r="R61" s="6"/>
      <c r="S61" s="6"/>
      <c r="T61" s="156"/>
      <c r="U61" s="6"/>
    </row>
    <row r="62" spans="1:21" customFormat="1">
      <c r="A62" s="163" t="s">
        <v>485</v>
      </c>
      <c r="B62" s="100">
        <v>2.89</v>
      </c>
      <c r="C62" s="100">
        <v>4.8600000000000003</v>
      </c>
      <c r="D62" s="100">
        <v>2.02</v>
      </c>
      <c r="E62" s="100">
        <v>5.46</v>
      </c>
      <c r="F62" s="100">
        <v>1.65</v>
      </c>
      <c r="G62" s="100">
        <v>17.690000000000001</v>
      </c>
      <c r="H62" s="100">
        <v>10.3</v>
      </c>
      <c r="I62" s="100">
        <v>3.79</v>
      </c>
      <c r="J62" s="100">
        <v>0.45</v>
      </c>
      <c r="K62" s="100">
        <v>252.51</v>
      </c>
      <c r="L62" s="100">
        <v>25.47</v>
      </c>
      <c r="M62" s="100">
        <v>95.76</v>
      </c>
      <c r="N62" s="100">
        <v>67.7</v>
      </c>
      <c r="O62" s="100">
        <v>0</v>
      </c>
      <c r="P62" s="100">
        <v>0.1</v>
      </c>
      <c r="Q62" s="100">
        <v>9.92</v>
      </c>
      <c r="R62" s="6"/>
      <c r="S62" s="6"/>
      <c r="T62" s="156"/>
      <c r="U62" s="6"/>
    </row>
    <row r="63" spans="1:21" customFormat="1">
      <c r="A63" s="163" t="s">
        <v>486</v>
      </c>
      <c r="B63" s="100">
        <v>2.88</v>
      </c>
      <c r="C63" s="100">
        <v>4.84</v>
      </c>
      <c r="D63" s="100">
        <v>2.02</v>
      </c>
      <c r="E63" s="100">
        <v>5.47</v>
      </c>
      <c r="F63" s="100">
        <v>1.75</v>
      </c>
      <c r="G63" s="100">
        <v>16.21</v>
      </c>
      <c r="H63" s="100">
        <v>7.81</v>
      </c>
      <c r="I63" s="100">
        <v>3.77</v>
      </c>
      <c r="J63" s="100">
        <v>0.75</v>
      </c>
      <c r="K63" s="100">
        <v>264.35000000000002</v>
      </c>
      <c r="L63" s="100">
        <v>25.56</v>
      </c>
      <c r="M63" s="100">
        <v>95.47</v>
      </c>
      <c r="N63" s="100">
        <v>123.8</v>
      </c>
      <c r="O63" s="100">
        <v>0</v>
      </c>
      <c r="P63" s="100">
        <v>0.09</v>
      </c>
      <c r="Q63" s="100">
        <v>9.92</v>
      </c>
      <c r="R63" s="6"/>
      <c r="S63" s="6"/>
      <c r="T63" s="156"/>
      <c r="U63" s="6"/>
    </row>
    <row r="64" spans="1:21" customFormat="1">
      <c r="A64" s="163" t="s">
        <v>487</v>
      </c>
      <c r="B64" s="100">
        <v>2.88</v>
      </c>
      <c r="C64" s="100">
        <v>4.83</v>
      </c>
      <c r="D64" s="100">
        <v>2.0099999999999998</v>
      </c>
      <c r="E64" s="100">
        <v>5.61</v>
      </c>
      <c r="F64" s="100">
        <v>1.92</v>
      </c>
      <c r="G64" s="100">
        <v>16.079999999999998</v>
      </c>
      <c r="H64" s="100">
        <v>7.81</v>
      </c>
      <c r="I64" s="100">
        <v>3.75</v>
      </c>
      <c r="J64" s="100">
        <v>0.59</v>
      </c>
      <c r="K64" s="100">
        <v>243.95</v>
      </c>
      <c r="L64" s="100">
        <v>25.89</v>
      </c>
      <c r="M64" s="100">
        <v>93.59</v>
      </c>
      <c r="N64" s="100">
        <v>122</v>
      </c>
      <c r="O64" s="100">
        <v>0</v>
      </c>
      <c r="P64" s="100">
        <v>0.09</v>
      </c>
      <c r="Q64" s="100">
        <v>9.92</v>
      </c>
      <c r="R64" s="6"/>
      <c r="S64" s="6"/>
      <c r="T64" s="156"/>
      <c r="U64" s="6"/>
    </row>
    <row r="65" spans="1:21" customFormat="1">
      <c r="A65" s="163" t="s">
        <v>488</v>
      </c>
      <c r="B65" s="100">
        <v>2.86</v>
      </c>
      <c r="C65" s="100">
        <v>4.79</v>
      </c>
      <c r="D65" s="100">
        <v>1.99</v>
      </c>
      <c r="E65" s="100">
        <v>5.67</v>
      </c>
      <c r="F65" s="100">
        <v>1.88</v>
      </c>
      <c r="G65" s="100">
        <v>16.079999999999998</v>
      </c>
      <c r="H65" s="100">
        <v>7.81</v>
      </c>
      <c r="I65" s="100">
        <v>3.73</v>
      </c>
      <c r="J65" s="100">
        <v>0.56999999999999995</v>
      </c>
      <c r="K65" s="100">
        <v>258.95999999999998</v>
      </c>
      <c r="L65" s="100">
        <v>26.02</v>
      </c>
      <c r="M65" s="100">
        <v>92.65</v>
      </c>
      <c r="N65" s="100">
        <v>85</v>
      </c>
      <c r="O65" s="100">
        <v>0</v>
      </c>
      <c r="P65" s="100">
        <v>0.13</v>
      </c>
      <c r="Q65" s="100">
        <v>9.91</v>
      </c>
      <c r="R65" s="6"/>
      <c r="S65" s="6"/>
      <c r="T65" s="156"/>
      <c r="U65" s="6"/>
    </row>
    <row r="66" spans="1:21" customFormat="1">
      <c r="A66" s="163" t="s">
        <v>489</v>
      </c>
      <c r="B66" s="100">
        <v>2.84</v>
      </c>
      <c r="C66" s="100">
        <v>4.76</v>
      </c>
      <c r="D66" s="100">
        <v>1.98</v>
      </c>
      <c r="E66" s="100">
        <v>5.76</v>
      </c>
      <c r="F66" s="100">
        <v>2.61</v>
      </c>
      <c r="G66" s="100">
        <v>16.079999999999998</v>
      </c>
      <c r="H66" s="100">
        <v>7.81</v>
      </c>
      <c r="I66" s="100">
        <v>3.73</v>
      </c>
      <c r="J66" s="100">
        <v>0.56000000000000005</v>
      </c>
      <c r="K66" s="100">
        <v>259.10000000000002</v>
      </c>
      <c r="L66" s="100">
        <v>25.85</v>
      </c>
      <c r="M66" s="100">
        <v>92.29</v>
      </c>
      <c r="N66" s="100">
        <v>56.2</v>
      </c>
      <c r="O66" s="100">
        <v>0</v>
      </c>
      <c r="P66" s="100">
        <v>0.13</v>
      </c>
      <c r="Q66" s="100">
        <v>9.9</v>
      </c>
      <c r="R66" s="6"/>
      <c r="S66" s="6"/>
      <c r="T66" s="156"/>
      <c r="U66" s="6"/>
    </row>
    <row r="67" spans="1:21" customFormat="1">
      <c r="A67" s="163" t="s">
        <v>490</v>
      </c>
      <c r="B67" s="100">
        <v>2.82</v>
      </c>
      <c r="C67" s="100">
        <v>4.7300000000000004</v>
      </c>
      <c r="D67" s="100">
        <v>1.97</v>
      </c>
      <c r="E67" s="100">
        <v>5.78</v>
      </c>
      <c r="F67" s="100">
        <v>2.4500000000000002</v>
      </c>
      <c r="G67" s="100">
        <v>12.17</v>
      </c>
      <c r="H67" s="100">
        <v>9.2799999999999994</v>
      </c>
      <c r="I67" s="100">
        <v>3.73</v>
      </c>
      <c r="J67" s="100">
        <v>0.81</v>
      </c>
      <c r="K67" s="100">
        <v>262.25</v>
      </c>
      <c r="L67" s="100">
        <v>26.01</v>
      </c>
      <c r="M67" s="100">
        <v>91.77</v>
      </c>
      <c r="N67" s="100">
        <v>142.9</v>
      </c>
      <c r="O67" s="100">
        <v>0</v>
      </c>
      <c r="P67" s="100">
        <v>0.13</v>
      </c>
      <c r="Q67" s="100">
        <v>9.9</v>
      </c>
      <c r="R67" s="6"/>
      <c r="S67" s="6"/>
      <c r="T67" s="156"/>
      <c r="U67" s="6"/>
    </row>
    <row r="68" spans="1:21" customFormat="1">
      <c r="A68" s="163" t="s">
        <v>491</v>
      </c>
      <c r="B68" s="100">
        <v>2.81</v>
      </c>
      <c r="C68" s="100">
        <v>4.71</v>
      </c>
      <c r="D68" s="100">
        <v>1.96</v>
      </c>
      <c r="E68" s="100">
        <v>5.73</v>
      </c>
      <c r="F68" s="100">
        <v>2.48</v>
      </c>
      <c r="G68" s="100">
        <v>11.79</v>
      </c>
      <c r="H68" s="100">
        <v>9.2799999999999994</v>
      </c>
      <c r="I68" s="100">
        <v>3.66</v>
      </c>
      <c r="J68" s="100">
        <v>0.72</v>
      </c>
      <c r="K68" s="100">
        <v>262.38</v>
      </c>
      <c r="L68" s="100">
        <v>26.28</v>
      </c>
      <c r="M68" s="100">
        <v>90.85</v>
      </c>
      <c r="N68" s="100">
        <v>127.7</v>
      </c>
      <c r="O68" s="100">
        <v>0</v>
      </c>
      <c r="P68" s="100">
        <v>0.13</v>
      </c>
      <c r="Q68" s="100">
        <v>9.9</v>
      </c>
      <c r="R68" s="6"/>
      <c r="S68" s="6"/>
      <c r="T68" s="156"/>
      <c r="U68" s="6"/>
    </row>
    <row r="69" spans="1:21" customFormat="1">
      <c r="A69" s="163" t="s">
        <v>492</v>
      </c>
      <c r="B69" s="100">
        <v>2.79</v>
      </c>
      <c r="C69" s="100">
        <v>4.7</v>
      </c>
      <c r="D69" s="100">
        <v>1.96</v>
      </c>
      <c r="E69" s="100">
        <v>5.71</v>
      </c>
      <c r="F69" s="100">
        <v>1.5</v>
      </c>
      <c r="G69" s="100">
        <v>11.79</v>
      </c>
      <c r="H69" s="100">
        <v>9.2799999999999994</v>
      </c>
      <c r="I69" s="100">
        <v>3.59</v>
      </c>
      <c r="J69" s="100">
        <v>0.61</v>
      </c>
      <c r="K69" s="100">
        <v>267.82</v>
      </c>
      <c r="L69" s="100">
        <v>26.62</v>
      </c>
      <c r="M69" s="100">
        <v>89.62</v>
      </c>
      <c r="N69" s="100">
        <v>153.1</v>
      </c>
      <c r="O69" s="100">
        <v>0</v>
      </c>
      <c r="P69" s="100">
        <v>0.13</v>
      </c>
      <c r="Q69" s="100">
        <v>9.9</v>
      </c>
      <c r="R69" s="6"/>
      <c r="S69" s="6"/>
      <c r="T69" s="156"/>
      <c r="U69" s="6"/>
    </row>
    <row r="70" spans="1:21" customFormat="1">
      <c r="A70" s="163" t="s">
        <v>493</v>
      </c>
      <c r="B70" s="100">
        <v>2.78</v>
      </c>
      <c r="C70" s="100">
        <v>4.67</v>
      </c>
      <c r="D70" s="100">
        <v>1.95</v>
      </c>
      <c r="E70" s="100">
        <v>6.05</v>
      </c>
      <c r="F70" s="100">
        <v>1.41</v>
      </c>
      <c r="G70" s="100">
        <v>11.79</v>
      </c>
      <c r="H70" s="100">
        <v>9.2799999999999994</v>
      </c>
      <c r="I70" s="100">
        <v>3.49</v>
      </c>
      <c r="J70" s="100">
        <v>0.76</v>
      </c>
      <c r="K70" s="100">
        <v>264.49</v>
      </c>
      <c r="L70" s="100">
        <v>26.92</v>
      </c>
      <c r="M70" s="100">
        <v>87.61</v>
      </c>
      <c r="N70" s="100">
        <v>176.9</v>
      </c>
      <c r="O70" s="100">
        <v>0</v>
      </c>
      <c r="P70" s="100">
        <v>0.13</v>
      </c>
      <c r="Q70" s="100">
        <v>9.91</v>
      </c>
      <c r="R70" s="6"/>
      <c r="S70" s="6"/>
      <c r="T70" s="156"/>
      <c r="U70" s="6"/>
    </row>
    <row r="71" spans="1:21" customFormat="1">
      <c r="A71" s="163" t="s">
        <v>494</v>
      </c>
      <c r="B71" s="100">
        <v>2.76</v>
      </c>
      <c r="C71" s="100">
        <v>4.6500000000000004</v>
      </c>
      <c r="D71" s="100">
        <v>1.95</v>
      </c>
      <c r="E71" s="100">
        <v>5.85</v>
      </c>
      <c r="F71" s="100">
        <v>1.97</v>
      </c>
      <c r="G71" s="100">
        <v>25.59</v>
      </c>
      <c r="H71" s="100">
        <v>14.87</v>
      </c>
      <c r="I71" s="100">
        <v>3.49</v>
      </c>
      <c r="J71" s="100">
        <v>0.74</v>
      </c>
      <c r="K71" s="100">
        <v>262.31</v>
      </c>
      <c r="L71" s="100">
        <v>27.05</v>
      </c>
      <c r="M71" s="100">
        <v>87.12</v>
      </c>
      <c r="N71" s="100">
        <v>183.8</v>
      </c>
      <c r="O71" s="100">
        <v>0</v>
      </c>
      <c r="P71" s="100">
        <v>0.13</v>
      </c>
      <c r="Q71" s="100">
        <v>9.92</v>
      </c>
      <c r="R71" s="6"/>
      <c r="S71" s="6"/>
      <c r="T71" s="156"/>
      <c r="U71" s="6"/>
    </row>
    <row r="72" spans="1:21" customFormat="1">
      <c r="A72" s="163" t="s">
        <v>495</v>
      </c>
      <c r="B72" s="100">
        <v>2.75</v>
      </c>
      <c r="C72" s="100">
        <v>4.6399999999999997</v>
      </c>
      <c r="D72" s="100">
        <v>1.94</v>
      </c>
      <c r="E72" s="100">
        <v>5.73</v>
      </c>
      <c r="F72" s="100">
        <v>2.58</v>
      </c>
      <c r="G72" s="100">
        <v>26.75</v>
      </c>
      <c r="H72" s="100">
        <v>14.87</v>
      </c>
      <c r="I72" s="100">
        <v>3.53</v>
      </c>
      <c r="J72" s="100">
        <v>0.77</v>
      </c>
      <c r="K72" s="100">
        <v>266.54000000000002</v>
      </c>
      <c r="L72" s="100">
        <v>27.56</v>
      </c>
      <c r="M72" s="100">
        <v>84.73</v>
      </c>
      <c r="N72" s="100">
        <v>221.1</v>
      </c>
      <c r="O72" s="100">
        <v>0</v>
      </c>
      <c r="P72" s="100">
        <v>0.13</v>
      </c>
      <c r="Q72" s="100">
        <v>9.91</v>
      </c>
      <c r="R72" s="6"/>
      <c r="S72" s="6"/>
      <c r="T72" s="156"/>
      <c r="U72" s="6"/>
    </row>
    <row r="73" spans="1:21" customFormat="1">
      <c r="A73" s="163" t="s">
        <v>496</v>
      </c>
      <c r="B73" s="100">
        <v>2.73</v>
      </c>
      <c r="C73" s="100">
        <v>4.62</v>
      </c>
      <c r="D73" s="100">
        <v>1.94</v>
      </c>
      <c r="E73" s="100">
        <v>5.73</v>
      </c>
      <c r="F73" s="100">
        <v>1.77</v>
      </c>
      <c r="G73" s="100">
        <v>26.75</v>
      </c>
      <c r="H73" s="100">
        <v>14.87</v>
      </c>
      <c r="I73" s="100">
        <v>3.55</v>
      </c>
      <c r="J73" s="100">
        <v>0.73</v>
      </c>
      <c r="K73" s="100">
        <v>261.08</v>
      </c>
      <c r="L73" s="100">
        <v>27.42</v>
      </c>
      <c r="M73" s="100">
        <v>84.49</v>
      </c>
      <c r="N73" s="100">
        <v>107.4</v>
      </c>
      <c r="O73" s="100">
        <v>0</v>
      </c>
      <c r="P73" s="100">
        <v>0.12</v>
      </c>
      <c r="Q73" s="100">
        <v>9.92</v>
      </c>
      <c r="R73" s="6"/>
      <c r="S73" s="6"/>
      <c r="T73" s="156"/>
      <c r="U73" s="6"/>
    </row>
    <row r="74" spans="1:21" customFormat="1">
      <c r="A74" s="163" t="s">
        <v>497</v>
      </c>
      <c r="B74" s="100">
        <v>2.71</v>
      </c>
      <c r="C74" s="100">
        <v>4.6100000000000003</v>
      </c>
      <c r="D74" s="100">
        <v>1.94</v>
      </c>
      <c r="E74" s="100">
        <v>5.62</v>
      </c>
      <c r="F74" s="100">
        <v>1.29</v>
      </c>
      <c r="G74" s="100">
        <v>26.75</v>
      </c>
      <c r="H74" s="100">
        <v>14.87</v>
      </c>
      <c r="I74" s="100">
        <v>3.48</v>
      </c>
      <c r="J74" s="100">
        <v>0.73</v>
      </c>
      <c r="K74" s="100">
        <v>260.33999999999997</v>
      </c>
      <c r="L74" s="100">
        <v>27.14</v>
      </c>
      <c r="M74" s="100">
        <v>85.7</v>
      </c>
      <c r="N74" s="100">
        <v>79.8</v>
      </c>
      <c r="O74" s="100">
        <v>0</v>
      </c>
      <c r="P74" s="100">
        <v>0.13</v>
      </c>
      <c r="Q74" s="100">
        <v>9.92</v>
      </c>
      <c r="R74" s="6"/>
      <c r="S74" s="6"/>
      <c r="T74" s="156"/>
      <c r="U74" s="6"/>
    </row>
    <row r="75" spans="1:21" customFormat="1">
      <c r="A75" s="163" t="s">
        <v>498</v>
      </c>
      <c r="B75" s="100">
        <v>2.72</v>
      </c>
      <c r="C75" s="100">
        <v>4.6100000000000003</v>
      </c>
      <c r="D75" s="100">
        <v>1.94</v>
      </c>
      <c r="E75" s="100">
        <v>5.81</v>
      </c>
      <c r="F75" s="100">
        <v>2.68</v>
      </c>
      <c r="G75" s="100">
        <v>19.48</v>
      </c>
      <c r="H75" s="100">
        <v>10.48</v>
      </c>
      <c r="I75" s="100">
        <v>3.41</v>
      </c>
      <c r="J75" s="100">
        <v>0.57999999999999996</v>
      </c>
      <c r="K75" s="100">
        <v>262.19</v>
      </c>
      <c r="L75" s="100">
        <v>26.99</v>
      </c>
      <c r="M75" s="100">
        <v>86.59</v>
      </c>
      <c r="N75" s="100">
        <v>64.3</v>
      </c>
      <c r="O75" s="100">
        <v>0</v>
      </c>
      <c r="P75" s="100">
        <v>0.1</v>
      </c>
      <c r="Q75" s="100">
        <v>9.9</v>
      </c>
      <c r="R75" s="6"/>
      <c r="S75" s="6"/>
      <c r="T75" s="156"/>
      <c r="U75" s="6"/>
    </row>
    <row r="76" spans="1:21" customFormat="1">
      <c r="A76" s="163" t="s">
        <v>499</v>
      </c>
      <c r="B76" s="100">
        <v>2.74</v>
      </c>
      <c r="C76" s="100">
        <v>4.58</v>
      </c>
      <c r="D76" s="100">
        <v>1.9</v>
      </c>
      <c r="E76" s="100">
        <v>5.45</v>
      </c>
      <c r="F76" s="100">
        <v>3.04</v>
      </c>
      <c r="G76" s="100">
        <v>18.87</v>
      </c>
      <c r="H76" s="100">
        <v>10.48</v>
      </c>
      <c r="I76" s="100">
        <v>3.43</v>
      </c>
      <c r="J76" s="100">
        <v>0.48</v>
      </c>
      <c r="K76" s="100">
        <v>263.44</v>
      </c>
      <c r="L76" s="100">
        <v>26.82</v>
      </c>
      <c r="M76" s="100">
        <v>87.24</v>
      </c>
      <c r="N76" s="100">
        <v>52</v>
      </c>
      <c r="O76" s="100">
        <v>0</v>
      </c>
      <c r="P76" s="100">
        <v>0.08</v>
      </c>
      <c r="Q76" s="100">
        <v>9.91</v>
      </c>
      <c r="R76" s="6"/>
      <c r="S76" s="6"/>
      <c r="T76" s="156"/>
      <c r="U76" s="6"/>
    </row>
    <row r="77" spans="1:21" customFormat="1">
      <c r="A77" s="163" t="s">
        <v>500</v>
      </c>
      <c r="B77" s="100">
        <v>2.7</v>
      </c>
      <c r="C77" s="100">
        <v>4.5</v>
      </c>
      <c r="D77" s="100">
        <v>1.86</v>
      </c>
      <c r="E77" s="100">
        <v>4.67</v>
      </c>
      <c r="F77" s="100">
        <v>3.57</v>
      </c>
      <c r="G77" s="100">
        <v>18.87</v>
      </c>
      <c r="H77" s="100">
        <v>10.48</v>
      </c>
      <c r="I77" s="100">
        <v>3.46</v>
      </c>
      <c r="J77" s="100">
        <v>0.37</v>
      </c>
      <c r="K77" s="100">
        <v>257.81</v>
      </c>
      <c r="L77" s="100">
        <v>26.79</v>
      </c>
      <c r="M77" s="100">
        <v>87.56</v>
      </c>
      <c r="N77" s="100">
        <v>53.6</v>
      </c>
      <c r="O77" s="100">
        <v>0</v>
      </c>
      <c r="P77" s="100">
        <v>0.09</v>
      </c>
      <c r="Q77" s="100">
        <v>9.91</v>
      </c>
      <c r="R77" s="6"/>
      <c r="S77" s="6"/>
      <c r="T77" s="156"/>
      <c r="U77" s="6"/>
    </row>
    <row r="78" spans="1:21" customFormat="1">
      <c r="A78" s="163" t="s">
        <v>501</v>
      </c>
      <c r="B78" s="100">
        <v>2.7</v>
      </c>
      <c r="C78" s="100">
        <v>4.51</v>
      </c>
      <c r="D78" s="100">
        <v>1.87</v>
      </c>
      <c r="E78" s="100">
        <v>4.6399999999999997</v>
      </c>
      <c r="F78" s="100">
        <v>3.28</v>
      </c>
      <c r="G78" s="100">
        <v>18.87</v>
      </c>
      <c r="H78" s="100">
        <v>10.48</v>
      </c>
      <c r="I78" s="100">
        <v>3.51</v>
      </c>
      <c r="J78" s="100">
        <v>0.4</v>
      </c>
      <c r="K78" s="100">
        <v>258.63</v>
      </c>
      <c r="L78" s="100">
        <v>26.95</v>
      </c>
      <c r="M78" s="100">
        <v>87.16</v>
      </c>
      <c r="N78" s="100">
        <v>59.9</v>
      </c>
      <c r="O78" s="100">
        <v>0</v>
      </c>
      <c r="P78" s="100">
        <v>0.1</v>
      </c>
      <c r="Q78" s="100">
        <v>9.9</v>
      </c>
      <c r="R78" s="6"/>
      <c r="S78" s="6"/>
      <c r="T78" s="156"/>
      <c r="U78" s="6"/>
    </row>
    <row r="79" spans="1:21" customFormat="1">
      <c r="A79" s="163" t="s">
        <v>502</v>
      </c>
      <c r="B79" s="100">
        <v>2.72</v>
      </c>
      <c r="C79" s="100">
        <v>4.54</v>
      </c>
      <c r="D79" s="100">
        <v>1.88</v>
      </c>
      <c r="E79" s="100">
        <v>5.38</v>
      </c>
      <c r="F79" s="100">
        <v>4.09</v>
      </c>
      <c r="G79" s="100">
        <v>28.16</v>
      </c>
      <c r="H79" s="100">
        <v>9.8800000000000008</v>
      </c>
      <c r="I79" s="100">
        <v>3.47</v>
      </c>
      <c r="J79" s="100">
        <v>0.42</v>
      </c>
      <c r="K79" s="100">
        <v>258</v>
      </c>
      <c r="L79" s="100">
        <v>27.05</v>
      </c>
      <c r="M79" s="100">
        <v>86.58</v>
      </c>
      <c r="N79" s="100">
        <v>65.400000000000006</v>
      </c>
      <c r="O79" s="100">
        <v>0</v>
      </c>
      <c r="P79" s="100">
        <v>0.09</v>
      </c>
      <c r="Q79" s="100">
        <v>9.9</v>
      </c>
      <c r="R79" s="6"/>
      <c r="S79" s="6"/>
      <c r="T79" s="156"/>
      <c r="U79" s="6"/>
    </row>
    <row r="80" spans="1:21" customFormat="1">
      <c r="A80" s="163" t="s">
        <v>503</v>
      </c>
      <c r="B80" s="100">
        <v>2.75</v>
      </c>
      <c r="C80" s="100">
        <v>4.54</v>
      </c>
      <c r="D80" s="100">
        <v>1.86</v>
      </c>
      <c r="E80" s="100">
        <v>4.72</v>
      </c>
      <c r="F80" s="100">
        <v>3.56</v>
      </c>
      <c r="G80" s="100">
        <v>28.94</v>
      </c>
      <c r="H80" s="100">
        <v>9.8800000000000008</v>
      </c>
      <c r="I80" s="100">
        <v>3.67</v>
      </c>
      <c r="J80" s="100">
        <v>0.42</v>
      </c>
      <c r="K80" s="100">
        <v>265.31</v>
      </c>
      <c r="L80" s="100">
        <v>27.08</v>
      </c>
      <c r="M80" s="100">
        <v>86.52</v>
      </c>
      <c r="N80" s="100">
        <v>51.8</v>
      </c>
      <c r="O80" s="100">
        <v>0</v>
      </c>
      <c r="P80" s="100">
        <v>0.08</v>
      </c>
      <c r="Q80" s="100">
        <v>9.91</v>
      </c>
      <c r="R80" s="6"/>
      <c r="S80" s="6"/>
      <c r="T80" s="156"/>
      <c r="U80" s="6"/>
    </row>
    <row r="81" spans="1:21" customFormat="1">
      <c r="A81" s="163" t="s">
        <v>504</v>
      </c>
      <c r="B81" s="100">
        <v>2.74</v>
      </c>
      <c r="C81" s="100">
        <v>4.53</v>
      </c>
      <c r="D81" s="100">
        <v>1.86</v>
      </c>
      <c r="E81" s="100">
        <v>3.98</v>
      </c>
      <c r="F81" s="100">
        <v>2.42</v>
      </c>
      <c r="G81" s="100">
        <v>28.94</v>
      </c>
      <c r="H81" s="100">
        <v>9.8800000000000008</v>
      </c>
      <c r="I81" s="100">
        <v>3.63</v>
      </c>
      <c r="J81" s="100">
        <v>0.3</v>
      </c>
      <c r="K81" s="100">
        <v>259.67</v>
      </c>
      <c r="L81" s="100">
        <v>26.91</v>
      </c>
      <c r="M81" s="100">
        <v>86.96</v>
      </c>
      <c r="N81" s="100">
        <v>27.5</v>
      </c>
      <c r="O81" s="100">
        <v>0</v>
      </c>
      <c r="P81" s="100">
        <v>0.1</v>
      </c>
      <c r="Q81" s="100">
        <v>9.91</v>
      </c>
      <c r="R81" s="6"/>
      <c r="S81" s="6"/>
      <c r="T81" s="156"/>
      <c r="U81" s="6"/>
    </row>
    <row r="82" spans="1:21" customFormat="1">
      <c r="A82" s="163" t="s">
        <v>505</v>
      </c>
      <c r="B82" s="100">
        <v>2.74</v>
      </c>
      <c r="C82" s="100">
        <v>4.5599999999999996</v>
      </c>
      <c r="D82" s="100">
        <v>1.88</v>
      </c>
      <c r="E82" s="100">
        <v>4.96</v>
      </c>
      <c r="F82" s="100">
        <v>2.7</v>
      </c>
      <c r="G82" s="100">
        <v>28.94</v>
      </c>
      <c r="H82" s="100">
        <v>9.8800000000000008</v>
      </c>
      <c r="I82" s="100">
        <v>3.6</v>
      </c>
      <c r="J82" s="100">
        <v>0.33</v>
      </c>
      <c r="K82" s="100">
        <v>257.79000000000002</v>
      </c>
      <c r="L82" s="100">
        <v>26.68</v>
      </c>
      <c r="M82" s="100">
        <v>87.9</v>
      </c>
      <c r="N82" s="100">
        <v>11.3</v>
      </c>
      <c r="O82" s="100">
        <v>0</v>
      </c>
      <c r="P82" s="100">
        <v>0.1</v>
      </c>
      <c r="Q82" s="100">
        <v>9.9</v>
      </c>
      <c r="R82" s="6"/>
      <c r="S82" s="6"/>
      <c r="T82" s="156"/>
      <c r="U82" s="6"/>
    </row>
    <row r="83" spans="1:21" customFormat="1">
      <c r="A83" s="163" t="s">
        <v>506</v>
      </c>
      <c r="B83" s="100">
        <v>2.75</v>
      </c>
      <c r="C83" s="100">
        <v>4.5599999999999996</v>
      </c>
      <c r="D83" s="100">
        <v>1.87</v>
      </c>
      <c r="E83" s="100">
        <v>4.43</v>
      </c>
      <c r="F83" s="100">
        <v>6.36</v>
      </c>
      <c r="G83" s="100">
        <v>29.14</v>
      </c>
      <c r="H83" s="100">
        <v>10.77</v>
      </c>
      <c r="I83" s="100">
        <v>3.75</v>
      </c>
      <c r="J83" s="100">
        <v>0.36</v>
      </c>
      <c r="K83" s="100">
        <v>260.37</v>
      </c>
      <c r="L83" s="100">
        <v>26.54</v>
      </c>
      <c r="M83" s="100">
        <v>88.22</v>
      </c>
      <c r="N83" s="100">
        <v>4.8</v>
      </c>
      <c r="O83" s="100">
        <v>0</v>
      </c>
      <c r="P83" s="100">
        <v>0.1</v>
      </c>
      <c r="Q83" s="100">
        <v>9.92</v>
      </c>
      <c r="R83" s="6"/>
      <c r="S83" s="6"/>
      <c r="T83" s="156"/>
      <c r="U83" s="6"/>
    </row>
    <row r="84" spans="1:21" customFormat="1">
      <c r="A84" s="163" t="s">
        <v>507</v>
      </c>
      <c r="B84" s="100">
        <v>2.78</v>
      </c>
      <c r="C84" s="100">
        <v>4.5599999999999996</v>
      </c>
      <c r="D84" s="100">
        <v>1.86</v>
      </c>
      <c r="E84" s="100">
        <v>4.93</v>
      </c>
      <c r="F84" s="100">
        <v>2.27</v>
      </c>
      <c r="G84" s="100">
        <v>29.15</v>
      </c>
      <c r="H84" s="100">
        <v>10.77</v>
      </c>
      <c r="I84" s="100">
        <v>3.64</v>
      </c>
      <c r="J84" s="100">
        <v>0.42</v>
      </c>
      <c r="K84" s="100">
        <v>259.48</v>
      </c>
      <c r="L84" s="100">
        <v>26.51</v>
      </c>
      <c r="M84" s="100">
        <v>87.79</v>
      </c>
      <c r="N84" s="100">
        <v>2.7</v>
      </c>
      <c r="O84" s="100">
        <v>0</v>
      </c>
      <c r="P84" s="100">
        <v>0.11</v>
      </c>
      <c r="Q84" s="100">
        <v>9.91</v>
      </c>
      <c r="R84" s="6"/>
      <c r="S84" s="6"/>
      <c r="T84" s="156"/>
      <c r="U84" s="6"/>
    </row>
    <row r="85" spans="1:21" customFormat="1">
      <c r="A85" s="163" t="s">
        <v>508</v>
      </c>
      <c r="B85" s="100">
        <v>2.78</v>
      </c>
      <c r="C85" s="100">
        <v>4.59</v>
      </c>
      <c r="D85" s="100">
        <v>1.88</v>
      </c>
      <c r="E85" s="100">
        <v>5.07</v>
      </c>
      <c r="F85" s="100">
        <v>2.25</v>
      </c>
      <c r="G85" s="100">
        <v>29.15</v>
      </c>
      <c r="H85" s="100">
        <v>10.77</v>
      </c>
      <c r="I85" s="100">
        <v>3.52</v>
      </c>
      <c r="J85" s="100">
        <v>0.41</v>
      </c>
      <c r="K85" s="100">
        <v>258.48</v>
      </c>
      <c r="L85" s="100">
        <v>26.46</v>
      </c>
      <c r="M85" s="100">
        <v>88.07</v>
      </c>
      <c r="N85" s="100">
        <v>2.2999999999999998</v>
      </c>
      <c r="O85" s="100">
        <v>0</v>
      </c>
      <c r="P85" s="100">
        <v>0.1</v>
      </c>
      <c r="Q85" s="100">
        <v>9.91</v>
      </c>
      <c r="R85" s="6"/>
      <c r="S85" s="6"/>
      <c r="T85" s="156"/>
      <c r="U85" s="6"/>
    </row>
    <row r="86" spans="1:21" customFormat="1">
      <c r="A86" s="163" t="s">
        <v>509</v>
      </c>
      <c r="B86" s="100">
        <v>2.79</v>
      </c>
      <c r="C86" s="100">
        <v>4.59</v>
      </c>
      <c r="D86" s="100">
        <v>1.88</v>
      </c>
      <c r="E86" s="100">
        <v>4.68</v>
      </c>
      <c r="F86" s="100">
        <v>3.76</v>
      </c>
      <c r="G86" s="100">
        <v>29.15</v>
      </c>
      <c r="H86" s="100">
        <v>10.77</v>
      </c>
      <c r="I86" s="100">
        <v>3.82</v>
      </c>
      <c r="J86" s="100">
        <v>0.37</v>
      </c>
      <c r="K86" s="100">
        <v>258.51</v>
      </c>
      <c r="L86" s="100">
        <v>26.41</v>
      </c>
      <c r="M86" s="100">
        <v>87.98</v>
      </c>
      <c r="N86" s="100">
        <v>2.2999999999999998</v>
      </c>
      <c r="O86" s="100">
        <v>0</v>
      </c>
      <c r="P86" s="100">
        <v>0.09</v>
      </c>
      <c r="Q86" s="100">
        <v>9.91</v>
      </c>
      <c r="R86" s="6"/>
      <c r="S86" s="6"/>
      <c r="T86" s="156"/>
      <c r="U86" s="6"/>
    </row>
    <row r="87" spans="1:21" customFormat="1">
      <c r="A87" s="163" t="s">
        <v>510</v>
      </c>
      <c r="B87" s="100">
        <v>2.79</v>
      </c>
      <c r="C87" s="100">
        <v>4.57</v>
      </c>
      <c r="D87" s="100">
        <v>1.87</v>
      </c>
      <c r="E87" s="100">
        <v>4.62</v>
      </c>
      <c r="F87" s="100">
        <v>3.35</v>
      </c>
      <c r="G87" s="100">
        <v>27.38</v>
      </c>
      <c r="H87" s="100">
        <v>8.61</v>
      </c>
      <c r="I87" s="100">
        <v>3.8</v>
      </c>
      <c r="J87" s="100">
        <v>0.28999999999999998</v>
      </c>
      <c r="K87" s="100">
        <v>257.42</v>
      </c>
      <c r="L87" s="100">
        <v>26.3</v>
      </c>
      <c r="M87" s="100">
        <v>88.97</v>
      </c>
      <c r="N87" s="100">
        <v>2.2999999999999998</v>
      </c>
      <c r="O87" s="100">
        <v>0</v>
      </c>
      <c r="P87" s="100">
        <v>0.11</v>
      </c>
      <c r="Q87" s="100">
        <v>9.9</v>
      </c>
      <c r="R87" s="6"/>
      <c r="S87" s="6"/>
      <c r="T87" s="156"/>
      <c r="U87" s="6"/>
    </row>
    <row r="88" spans="1:21" customFormat="1">
      <c r="A88" s="163" t="s">
        <v>511</v>
      </c>
      <c r="B88" s="100">
        <v>2.79</v>
      </c>
      <c r="C88" s="100">
        <v>4.6100000000000003</v>
      </c>
      <c r="D88" s="100">
        <v>1.89</v>
      </c>
      <c r="E88" s="100">
        <v>4.7300000000000004</v>
      </c>
      <c r="F88" s="100">
        <v>1.29</v>
      </c>
      <c r="G88" s="100">
        <v>27.23</v>
      </c>
      <c r="H88" s="100">
        <v>8.61</v>
      </c>
      <c r="I88" s="100">
        <v>3.74</v>
      </c>
      <c r="J88" s="100">
        <v>0.33</v>
      </c>
      <c r="K88" s="100">
        <v>257.37</v>
      </c>
      <c r="L88" s="100">
        <v>26.24</v>
      </c>
      <c r="M88" s="100">
        <v>89.53</v>
      </c>
      <c r="N88" s="100">
        <v>2.2999999999999998</v>
      </c>
      <c r="O88" s="100">
        <v>0</v>
      </c>
      <c r="P88" s="100">
        <v>0.11</v>
      </c>
      <c r="Q88" s="100">
        <v>9.9</v>
      </c>
      <c r="R88" s="6"/>
      <c r="S88" s="6"/>
      <c r="T88" s="156"/>
      <c r="U88" s="6"/>
    </row>
    <row r="89" spans="1:21" customFormat="1">
      <c r="A89" s="163" t="s">
        <v>512</v>
      </c>
      <c r="B89" s="100">
        <v>2.82</v>
      </c>
      <c r="C89" s="100">
        <v>4.62</v>
      </c>
      <c r="D89" s="100">
        <v>1.88</v>
      </c>
      <c r="E89" s="100">
        <v>4.54</v>
      </c>
      <c r="F89" s="100">
        <v>3.05</v>
      </c>
      <c r="G89" s="100">
        <v>27.23</v>
      </c>
      <c r="H89" s="100">
        <v>8.61</v>
      </c>
      <c r="I89" s="100">
        <v>3.87</v>
      </c>
      <c r="J89" s="100">
        <v>0.4</v>
      </c>
      <c r="K89" s="100">
        <v>262.89</v>
      </c>
      <c r="L89" s="100">
        <v>26.15</v>
      </c>
      <c r="M89" s="100">
        <v>89.95</v>
      </c>
      <c r="N89" s="100">
        <v>2.2000000000000002</v>
      </c>
      <c r="O89" s="100">
        <v>0</v>
      </c>
      <c r="P89" s="100">
        <v>0.1</v>
      </c>
      <c r="Q89" s="100">
        <v>9.91</v>
      </c>
      <c r="R89" s="6"/>
      <c r="S89" s="6"/>
      <c r="T89" s="156"/>
      <c r="U89" s="6"/>
    </row>
    <row r="90" spans="1:21" customFormat="1">
      <c r="A90" s="163" t="s">
        <v>513</v>
      </c>
      <c r="B90" s="100">
        <v>2.84</v>
      </c>
      <c r="C90" s="100">
        <v>4.62</v>
      </c>
      <c r="D90" s="100">
        <v>1.86</v>
      </c>
      <c r="E90" s="100">
        <v>4.45</v>
      </c>
      <c r="F90" s="100">
        <v>3.17</v>
      </c>
      <c r="G90" s="100">
        <v>27.23</v>
      </c>
      <c r="H90" s="100">
        <v>8.61</v>
      </c>
      <c r="I90" s="100">
        <v>3.85</v>
      </c>
      <c r="J90" s="100">
        <v>0.18</v>
      </c>
      <c r="K90" s="100">
        <v>259.67</v>
      </c>
      <c r="L90" s="100">
        <v>26.03</v>
      </c>
      <c r="M90" s="100">
        <v>90.58</v>
      </c>
      <c r="N90" s="100">
        <v>2.2999999999999998</v>
      </c>
      <c r="O90" s="100">
        <v>0</v>
      </c>
      <c r="P90" s="100">
        <v>0.12</v>
      </c>
      <c r="Q90" s="100">
        <v>9.92</v>
      </c>
      <c r="R90" s="6"/>
      <c r="S90" s="6"/>
      <c r="T90" s="156"/>
      <c r="U90" s="6"/>
    </row>
    <row r="91" spans="1:21" customFormat="1">
      <c r="A91" s="163" t="s">
        <v>514</v>
      </c>
      <c r="B91" s="100">
        <v>2.85</v>
      </c>
      <c r="C91" s="100">
        <v>4.6399999999999997</v>
      </c>
      <c r="D91" s="100">
        <v>1.88</v>
      </c>
      <c r="E91" s="100">
        <v>4.62</v>
      </c>
      <c r="F91" s="100">
        <v>3.22</v>
      </c>
      <c r="G91" s="100">
        <v>32.5</v>
      </c>
      <c r="H91" s="100">
        <v>11.31</v>
      </c>
      <c r="I91" s="100">
        <v>3.9</v>
      </c>
      <c r="J91" s="100">
        <v>0.26</v>
      </c>
      <c r="K91" s="100">
        <v>261.99</v>
      </c>
      <c r="L91" s="100">
        <v>25.83</v>
      </c>
      <c r="M91" s="100">
        <v>91.44</v>
      </c>
      <c r="N91" s="100">
        <v>2.1</v>
      </c>
      <c r="O91" s="100">
        <v>0</v>
      </c>
      <c r="P91" s="100">
        <v>0.11</v>
      </c>
      <c r="Q91" s="100">
        <v>9.91</v>
      </c>
      <c r="R91" s="6"/>
      <c r="S91" s="6"/>
      <c r="T91" s="156"/>
      <c r="U91" s="6"/>
    </row>
    <row r="92" spans="1:21" customFormat="1">
      <c r="A92" s="163" t="s">
        <v>515</v>
      </c>
      <c r="B92" s="100">
        <v>2.88</v>
      </c>
      <c r="C92" s="100">
        <v>4.6399999999999997</v>
      </c>
      <c r="D92" s="100">
        <v>1.86</v>
      </c>
      <c r="E92" s="100">
        <v>4.78</v>
      </c>
      <c r="F92" s="100">
        <v>3.4</v>
      </c>
      <c r="G92" s="100">
        <v>32.950000000000003</v>
      </c>
      <c r="H92" s="100">
        <v>11.31</v>
      </c>
      <c r="I92" s="100">
        <v>3.95</v>
      </c>
      <c r="J92" s="100">
        <v>0.09</v>
      </c>
      <c r="K92" s="100">
        <v>199.78</v>
      </c>
      <c r="L92" s="100">
        <v>25.71</v>
      </c>
      <c r="M92" s="100">
        <v>92.24</v>
      </c>
      <c r="N92" s="100">
        <v>2.1</v>
      </c>
      <c r="O92" s="100">
        <v>0</v>
      </c>
      <c r="P92" s="100">
        <v>0.1</v>
      </c>
      <c r="Q92" s="100">
        <v>9.91</v>
      </c>
      <c r="R92" s="6"/>
      <c r="S92" s="6"/>
      <c r="T92" s="156"/>
      <c r="U92" s="6"/>
    </row>
    <row r="93" spans="1:21" customFormat="1">
      <c r="A93" s="163" t="s">
        <v>516</v>
      </c>
      <c r="B93" s="100">
        <v>2.87</v>
      </c>
      <c r="C93" s="100">
        <v>4.6500000000000004</v>
      </c>
      <c r="D93" s="100">
        <v>1.87</v>
      </c>
      <c r="E93" s="100">
        <v>4.92</v>
      </c>
      <c r="F93" s="100">
        <v>2.04</v>
      </c>
      <c r="G93" s="100">
        <v>32.950000000000003</v>
      </c>
      <c r="H93" s="100">
        <v>11.31</v>
      </c>
      <c r="I93" s="100">
        <v>3.8</v>
      </c>
      <c r="J93" s="100">
        <v>0.15</v>
      </c>
      <c r="K93" s="100">
        <v>256.83</v>
      </c>
      <c r="L93" s="100">
        <v>25.7</v>
      </c>
      <c r="M93" s="100">
        <v>92.72</v>
      </c>
      <c r="N93" s="100">
        <v>2.1</v>
      </c>
      <c r="O93" s="100">
        <v>0</v>
      </c>
      <c r="P93" s="100">
        <v>0.13</v>
      </c>
      <c r="Q93" s="100">
        <v>9.89</v>
      </c>
      <c r="R93" s="6"/>
      <c r="S93" s="6"/>
      <c r="T93" s="156"/>
      <c r="U93" s="6"/>
    </row>
    <row r="94" spans="1:21" customFormat="1">
      <c r="A94" s="163" t="s">
        <v>517</v>
      </c>
      <c r="B94" s="100">
        <v>2.87</v>
      </c>
      <c r="C94" s="100">
        <v>4.7300000000000004</v>
      </c>
      <c r="D94" s="100">
        <v>1.94</v>
      </c>
      <c r="E94" s="100">
        <v>5.27</v>
      </c>
      <c r="F94" s="100">
        <v>1.63</v>
      </c>
      <c r="G94" s="100">
        <v>32.950000000000003</v>
      </c>
      <c r="H94" s="100">
        <v>11.31</v>
      </c>
      <c r="I94" s="100">
        <v>3.82</v>
      </c>
      <c r="J94" s="100">
        <v>0.28999999999999998</v>
      </c>
      <c r="K94" s="100">
        <v>264.55</v>
      </c>
      <c r="L94" s="100">
        <v>25.83</v>
      </c>
      <c r="M94" s="100">
        <v>91.99</v>
      </c>
      <c r="N94" s="100">
        <v>2.1</v>
      </c>
      <c r="O94" s="100">
        <v>0</v>
      </c>
      <c r="P94" s="100">
        <v>0.14000000000000001</v>
      </c>
      <c r="Q94" s="100">
        <v>9.89</v>
      </c>
      <c r="R94" s="6"/>
      <c r="S94" s="6"/>
      <c r="T94" s="156"/>
      <c r="U94" s="6"/>
    </row>
    <row r="95" spans="1:21" customFormat="1">
      <c r="A95" s="163" t="s">
        <v>518</v>
      </c>
      <c r="B95" s="100">
        <v>2.87</v>
      </c>
      <c r="C95" s="100">
        <v>4.75</v>
      </c>
      <c r="D95" s="100">
        <v>1.96</v>
      </c>
      <c r="E95" s="100">
        <v>5.16</v>
      </c>
      <c r="F95" s="100">
        <v>1.52</v>
      </c>
      <c r="G95" s="100">
        <v>33.57</v>
      </c>
      <c r="H95" s="100">
        <v>10.79</v>
      </c>
      <c r="I95" s="100">
        <v>4.0199999999999996</v>
      </c>
      <c r="J95" s="100">
        <v>0.28999999999999998</v>
      </c>
      <c r="K95" s="100">
        <v>261.54000000000002</v>
      </c>
      <c r="L95" s="100">
        <v>25.91</v>
      </c>
      <c r="M95" s="100">
        <v>91.28</v>
      </c>
      <c r="N95" s="100">
        <v>2.1</v>
      </c>
      <c r="O95" s="100">
        <v>0</v>
      </c>
      <c r="P95" s="100">
        <v>0.14000000000000001</v>
      </c>
      <c r="Q95" s="100">
        <v>9.9</v>
      </c>
      <c r="R95" s="6"/>
      <c r="S95" s="6"/>
      <c r="T95" s="156"/>
      <c r="U95" s="6"/>
    </row>
    <row r="96" spans="1:21" customFormat="1">
      <c r="A96" s="163" t="s">
        <v>519</v>
      </c>
      <c r="B96" s="100">
        <v>2.85</v>
      </c>
      <c r="C96" s="100">
        <v>4.74</v>
      </c>
      <c r="D96" s="100">
        <v>1.96</v>
      </c>
      <c r="E96" s="100">
        <v>5.0599999999999996</v>
      </c>
      <c r="F96" s="100">
        <v>1.59</v>
      </c>
      <c r="G96" s="100">
        <v>33.630000000000003</v>
      </c>
      <c r="H96" s="100">
        <v>10.79</v>
      </c>
      <c r="I96" s="100">
        <v>3.95</v>
      </c>
      <c r="J96" s="100">
        <v>0.2</v>
      </c>
      <c r="K96" s="100">
        <v>250.23</v>
      </c>
      <c r="L96" s="100">
        <v>25.96</v>
      </c>
      <c r="M96" s="100">
        <v>91.11</v>
      </c>
      <c r="N96" s="100">
        <v>2.2000000000000002</v>
      </c>
      <c r="O96" s="100">
        <v>0</v>
      </c>
      <c r="P96" s="100">
        <v>0.14000000000000001</v>
      </c>
      <c r="Q96" s="100">
        <v>9.91</v>
      </c>
      <c r="R96" s="6"/>
      <c r="S96" s="6"/>
      <c r="T96" s="156"/>
      <c r="U96" s="6"/>
    </row>
    <row r="97" spans="1:28" customFormat="1">
      <c r="A97" s="163" t="s">
        <v>520</v>
      </c>
      <c r="B97" s="100">
        <v>2.83</v>
      </c>
      <c r="C97" s="100">
        <v>4.7300000000000004</v>
      </c>
      <c r="D97" s="100">
        <v>1.96</v>
      </c>
      <c r="E97" s="100">
        <v>5.29</v>
      </c>
      <c r="F97" s="100">
        <v>1.48</v>
      </c>
      <c r="G97" s="100">
        <v>33.630000000000003</v>
      </c>
      <c r="H97" s="100">
        <v>10.79</v>
      </c>
      <c r="I97" s="100">
        <v>3.88</v>
      </c>
      <c r="J97" s="100">
        <v>0.22</v>
      </c>
      <c r="K97" s="100">
        <v>246.77</v>
      </c>
      <c r="L97" s="100">
        <v>26.04</v>
      </c>
      <c r="M97" s="100">
        <v>90.71</v>
      </c>
      <c r="N97" s="100">
        <v>2.2000000000000002</v>
      </c>
      <c r="O97" s="100">
        <v>0</v>
      </c>
      <c r="P97" s="100">
        <v>0.14000000000000001</v>
      </c>
      <c r="Q97" s="100">
        <v>9.91</v>
      </c>
      <c r="R97" s="6"/>
      <c r="S97" s="6"/>
      <c r="T97" s="156"/>
      <c r="U97" s="6"/>
    </row>
    <row r="98" spans="1:28" customFormat="1">
      <c r="A98" s="163" t="s">
        <v>521</v>
      </c>
      <c r="B98" s="100">
        <v>2.82</v>
      </c>
      <c r="C98" s="100">
        <v>4.71</v>
      </c>
      <c r="D98" s="100">
        <v>1.95</v>
      </c>
      <c r="E98" s="100">
        <v>5.27</v>
      </c>
      <c r="F98" s="100">
        <v>1.7</v>
      </c>
      <c r="G98" s="100">
        <v>33.630000000000003</v>
      </c>
      <c r="H98" s="100">
        <v>10.79</v>
      </c>
      <c r="I98" s="100">
        <v>3.78</v>
      </c>
      <c r="J98" s="100">
        <v>0.16</v>
      </c>
      <c r="K98" s="100">
        <v>241.9</v>
      </c>
      <c r="L98" s="100">
        <v>26.02</v>
      </c>
      <c r="M98" s="100">
        <v>91.09</v>
      </c>
      <c r="N98" s="100">
        <v>2.2999999999999998</v>
      </c>
      <c r="O98" s="100">
        <v>0</v>
      </c>
      <c r="P98" s="100">
        <v>0.14000000000000001</v>
      </c>
      <c r="Q98" s="100">
        <v>9.91</v>
      </c>
      <c r="R98" s="6"/>
      <c r="S98" s="6"/>
      <c r="T98" s="156"/>
      <c r="U98" s="6"/>
    </row>
    <row r="99" spans="1:28" customFormat="1">
      <c r="A99" s="163" t="s">
        <v>522</v>
      </c>
      <c r="B99" s="100">
        <v>2.81</v>
      </c>
      <c r="C99" s="100">
        <v>4.7</v>
      </c>
      <c r="D99" s="100">
        <v>1.95</v>
      </c>
      <c r="E99" s="100">
        <v>5.49</v>
      </c>
      <c r="F99" s="100">
        <v>1.8</v>
      </c>
      <c r="G99" s="100">
        <v>31.69</v>
      </c>
      <c r="H99" s="100">
        <v>13.38</v>
      </c>
      <c r="I99" s="100">
        <v>3.84</v>
      </c>
      <c r="J99" s="100">
        <v>0.18</v>
      </c>
      <c r="K99" s="100">
        <v>248.03</v>
      </c>
      <c r="L99" s="100">
        <v>25.97</v>
      </c>
      <c r="M99" s="100">
        <v>91.63</v>
      </c>
      <c r="N99" s="100">
        <v>2.2999999999999998</v>
      </c>
      <c r="O99" s="100">
        <v>0</v>
      </c>
      <c r="P99" s="100">
        <v>0.14000000000000001</v>
      </c>
      <c r="Q99" s="100">
        <v>9.9</v>
      </c>
      <c r="R99" s="6"/>
      <c r="S99" s="6"/>
      <c r="T99" s="156"/>
      <c r="U99" s="6"/>
    </row>
    <row r="100" spans="1:28" customFormat="1">
      <c r="A100" s="163" t="s">
        <v>523</v>
      </c>
      <c r="B100" s="100">
        <v>2.82</v>
      </c>
      <c r="C100" s="100">
        <v>4.6900000000000004</v>
      </c>
      <c r="D100" s="100">
        <v>1.94</v>
      </c>
      <c r="E100" s="100">
        <v>5.44</v>
      </c>
      <c r="F100" s="100">
        <v>1.83</v>
      </c>
      <c r="G100" s="100">
        <v>31.53</v>
      </c>
      <c r="H100" s="100">
        <v>13.38</v>
      </c>
      <c r="I100" s="100">
        <v>3.79</v>
      </c>
      <c r="J100" s="100">
        <v>0.22</v>
      </c>
      <c r="K100" s="100">
        <v>255.12</v>
      </c>
      <c r="L100" s="100">
        <v>25.97</v>
      </c>
      <c r="M100" s="100">
        <v>91.37</v>
      </c>
      <c r="N100" s="100">
        <v>2.2999999999999998</v>
      </c>
      <c r="O100" s="100">
        <v>0</v>
      </c>
      <c r="P100" s="100">
        <v>0.14000000000000001</v>
      </c>
      <c r="Q100" s="100">
        <v>9.92</v>
      </c>
      <c r="R100" s="6"/>
      <c r="S100" s="6"/>
      <c r="T100" s="156"/>
      <c r="U100" s="6"/>
      <c r="AB100" s="161"/>
    </row>
    <row r="101" spans="1:28" customFormat="1">
      <c r="A101" s="163" t="s">
        <v>524</v>
      </c>
      <c r="B101" s="100">
        <v>2.82</v>
      </c>
      <c r="C101" s="100">
        <v>4.6900000000000004</v>
      </c>
      <c r="D101" s="100">
        <v>1.94</v>
      </c>
      <c r="E101" s="100">
        <v>5.49</v>
      </c>
      <c r="F101" s="100">
        <v>1.68</v>
      </c>
      <c r="G101" s="100">
        <v>31.53</v>
      </c>
      <c r="H101" s="100">
        <v>13.38</v>
      </c>
      <c r="I101" s="100">
        <v>3.71</v>
      </c>
      <c r="J101" s="100">
        <v>0.31</v>
      </c>
      <c r="K101" s="100">
        <v>263.88</v>
      </c>
      <c r="L101" s="100">
        <v>25.91</v>
      </c>
      <c r="M101" s="100">
        <v>91.24</v>
      </c>
      <c r="N101" s="100">
        <v>2.2000000000000002</v>
      </c>
      <c r="O101" s="100">
        <v>0</v>
      </c>
      <c r="P101" s="100">
        <v>0.14000000000000001</v>
      </c>
      <c r="Q101" s="100">
        <v>9.9</v>
      </c>
      <c r="R101" s="6"/>
      <c r="S101" s="6"/>
      <c r="T101" s="156"/>
      <c r="U101" s="6"/>
    </row>
    <row r="102" spans="1:28" customFormat="1">
      <c r="A102" s="163" t="s">
        <v>525</v>
      </c>
      <c r="B102" s="100">
        <v>2.81</v>
      </c>
      <c r="C102" s="100">
        <v>4.68</v>
      </c>
      <c r="D102" s="100">
        <v>1.94</v>
      </c>
      <c r="E102" s="100">
        <v>5.33</v>
      </c>
      <c r="F102" s="100">
        <v>1.65</v>
      </c>
      <c r="G102" s="100">
        <v>31.53</v>
      </c>
      <c r="H102" s="100">
        <v>13.38</v>
      </c>
      <c r="I102" s="100">
        <v>3.67</v>
      </c>
      <c r="J102" s="100">
        <v>0.22</v>
      </c>
      <c r="K102" s="100">
        <v>244.53</v>
      </c>
      <c r="L102" s="100">
        <v>25.86</v>
      </c>
      <c r="M102" s="100">
        <v>91.83</v>
      </c>
      <c r="N102" s="100">
        <v>2.2000000000000002</v>
      </c>
      <c r="O102" s="100">
        <v>0</v>
      </c>
      <c r="P102" s="100">
        <v>0.14000000000000001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526</v>
      </c>
      <c r="B103" s="100">
        <v>2.8</v>
      </c>
      <c r="C103" s="100">
        <v>4.67</v>
      </c>
      <c r="D103" s="100">
        <v>1.94</v>
      </c>
      <c r="E103" s="100">
        <v>4.9800000000000004</v>
      </c>
      <c r="F103" s="100">
        <v>1.8</v>
      </c>
      <c r="G103" s="100">
        <v>26.79</v>
      </c>
      <c r="H103" s="100">
        <v>13.24</v>
      </c>
      <c r="I103" s="100">
        <v>3.62</v>
      </c>
      <c r="J103" s="100">
        <v>0.21</v>
      </c>
      <c r="K103" s="100">
        <v>248.58</v>
      </c>
      <c r="L103" s="100">
        <v>25.88</v>
      </c>
      <c r="M103" s="100">
        <v>91.79</v>
      </c>
      <c r="N103" s="100">
        <v>2.1</v>
      </c>
      <c r="O103" s="100">
        <v>0</v>
      </c>
      <c r="P103" s="100">
        <v>0.14000000000000001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527</v>
      </c>
      <c r="B104" s="100">
        <v>2.8</v>
      </c>
      <c r="C104" s="100">
        <v>4.66</v>
      </c>
      <c r="D104" s="100">
        <v>1.93</v>
      </c>
      <c r="E104" s="100">
        <v>5.3</v>
      </c>
      <c r="F104" s="100">
        <v>2.19</v>
      </c>
      <c r="G104" s="100">
        <v>26.39</v>
      </c>
      <c r="H104" s="100">
        <v>13.24</v>
      </c>
      <c r="I104" s="100">
        <v>3.63</v>
      </c>
      <c r="J104" s="100">
        <v>0.32</v>
      </c>
      <c r="K104" s="100">
        <v>255.33</v>
      </c>
      <c r="L104" s="100">
        <v>25.8</v>
      </c>
      <c r="M104" s="100">
        <v>91.95</v>
      </c>
      <c r="N104" s="100">
        <v>2.2000000000000002</v>
      </c>
      <c r="O104" s="100">
        <v>0</v>
      </c>
      <c r="P104" s="100">
        <v>0.14000000000000001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</v>
      </c>
      <c r="C106" s="158">
        <f>MIN(C9:C104)</f>
        <v>4.5</v>
      </c>
      <c r="D106" s="158">
        <f t="shared" ref="D106:Q106" si="0">MIN(D9:D104)</f>
        <v>1.86</v>
      </c>
      <c r="E106" s="158">
        <f t="shared" si="0"/>
        <v>3.88</v>
      </c>
      <c r="F106" s="158">
        <f t="shared" si="0"/>
        <v>0.74</v>
      </c>
      <c r="G106" s="158">
        <f t="shared" si="0"/>
        <v>11.79</v>
      </c>
      <c r="H106" s="158">
        <f t="shared" si="0"/>
        <v>6.61</v>
      </c>
      <c r="I106" s="158">
        <f t="shared" si="0"/>
        <v>3.09</v>
      </c>
      <c r="J106" s="158">
        <f t="shared" si="0"/>
        <v>0.09</v>
      </c>
      <c r="K106" s="158">
        <f t="shared" si="0"/>
        <v>199.78</v>
      </c>
      <c r="L106" s="158">
        <f t="shared" si="0"/>
        <v>24.84</v>
      </c>
      <c r="M106" s="158">
        <f t="shared" si="0"/>
        <v>84.49</v>
      </c>
      <c r="N106" s="158">
        <f t="shared" si="0"/>
        <v>2.1</v>
      </c>
      <c r="O106" s="158">
        <f t="shared" si="0"/>
        <v>0</v>
      </c>
      <c r="P106" s="158">
        <f t="shared" si="0"/>
        <v>0.02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3.07</v>
      </c>
      <c r="C107" s="157">
        <f t="shared" ref="C107:Q107" si="1">MAX(C9:C104)</f>
        <v>4.9400000000000004</v>
      </c>
      <c r="D107" s="157">
        <f t="shared" si="1"/>
        <v>2.04</v>
      </c>
      <c r="E107" s="157">
        <f t="shared" si="1"/>
        <v>6.05</v>
      </c>
      <c r="F107" s="157">
        <f t="shared" si="1"/>
        <v>6.36</v>
      </c>
      <c r="G107" s="157">
        <f t="shared" si="1"/>
        <v>33.630000000000003</v>
      </c>
      <c r="H107" s="157">
        <f t="shared" si="1"/>
        <v>14.87</v>
      </c>
      <c r="I107" s="157">
        <f t="shared" si="1"/>
        <v>4.5999999999999996</v>
      </c>
      <c r="J107" s="157">
        <f t="shared" si="1"/>
        <v>0.94</v>
      </c>
      <c r="K107" s="157">
        <f t="shared" si="1"/>
        <v>270.24</v>
      </c>
      <c r="L107" s="157">
        <f t="shared" si="1"/>
        <v>27.56</v>
      </c>
      <c r="M107" s="157">
        <f t="shared" si="1"/>
        <v>97.21</v>
      </c>
      <c r="N107" s="157">
        <f t="shared" si="1"/>
        <v>221.1</v>
      </c>
      <c r="O107" s="157">
        <f t="shared" si="1"/>
        <v>0.2</v>
      </c>
      <c r="P107" s="157">
        <f t="shared" si="1"/>
        <v>0.14000000000000001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2.8685416666666668</v>
      </c>
      <c r="C108" s="158">
        <f t="shared" ref="C108:Q108" si="2">AVERAGE(C9:C104)</f>
        <v>4.7195833333333335</v>
      </c>
      <c r="D108" s="158">
        <f t="shared" si="2"/>
        <v>1.9300000000000004</v>
      </c>
      <c r="E108" s="158">
        <f t="shared" si="2"/>
        <v>5.0810416666666685</v>
      </c>
      <c r="F108" s="158">
        <f t="shared" si="2"/>
        <v>2.1301041666666669</v>
      </c>
      <c r="G108" s="158">
        <f t="shared" si="2"/>
        <v>22.229062500000008</v>
      </c>
      <c r="H108" s="158">
        <f t="shared" si="2"/>
        <v>10.256458333333326</v>
      </c>
      <c r="I108" s="158">
        <f t="shared" si="2"/>
        <v>3.6643749999999993</v>
      </c>
      <c r="J108" s="158">
        <f t="shared" si="2"/>
        <v>0.52052083333333321</v>
      </c>
      <c r="K108" s="158">
        <f t="shared" si="2"/>
        <v>258.67874999999998</v>
      </c>
      <c r="L108" s="158">
        <f t="shared" si="2"/>
        <v>25.7309375</v>
      </c>
      <c r="M108" s="158">
        <f t="shared" si="2"/>
        <v>91.821562500000013</v>
      </c>
      <c r="N108" s="158">
        <f t="shared" si="2"/>
        <v>30.559375000000014</v>
      </c>
      <c r="O108" s="158">
        <f t="shared" si="2"/>
        <v>1.6666666666666666E-2</v>
      </c>
      <c r="P108" s="158">
        <f t="shared" si="2"/>
        <v>8.8020833333333312E-2</v>
      </c>
      <c r="Q108" s="158">
        <f t="shared" si="2"/>
        <v>9.9113541666666567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9.5575587795504208E-2</v>
      </c>
      <c r="C109" s="158">
        <f t="shared" ref="C109:Q109" si="3">STDEV(C9:C104)</f>
        <v>0.10238129626333808</v>
      </c>
      <c r="D109" s="158">
        <f t="shared" si="3"/>
        <v>5.2855313928935395E-2</v>
      </c>
      <c r="E109" s="158">
        <f t="shared" si="3"/>
        <v>0.50407075352712483</v>
      </c>
      <c r="F109" s="158">
        <f t="shared" si="3"/>
        <v>0.78870112382277036</v>
      </c>
      <c r="G109" s="158">
        <f t="shared" si="3"/>
        <v>5.885548774328492</v>
      </c>
      <c r="H109" s="158">
        <f t="shared" si="3"/>
        <v>2.0320438138494406</v>
      </c>
      <c r="I109" s="158">
        <f t="shared" si="3"/>
        <v>0.33392344694712978</v>
      </c>
      <c r="J109" s="158">
        <f t="shared" si="3"/>
        <v>0.18800542988612526</v>
      </c>
      <c r="K109" s="158">
        <f t="shared" si="3"/>
        <v>7.6753932523973907</v>
      </c>
      <c r="L109" s="158">
        <f t="shared" si="3"/>
        <v>0.6792628793114831</v>
      </c>
      <c r="M109" s="158">
        <f t="shared" si="3"/>
        <v>2.9819334342971078</v>
      </c>
      <c r="N109" s="158">
        <f t="shared" si="3"/>
        <v>45.177951255067555</v>
      </c>
      <c r="O109" s="158">
        <f t="shared" si="3"/>
        <v>5.5567250231099381E-2</v>
      </c>
      <c r="P109" s="158">
        <f t="shared" si="3"/>
        <v>3.3829908650456729E-2</v>
      </c>
      <c r="Q109" s="158">
        <f t="shared" si="3"/>
        <v>1.0917855164981068E-2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103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528</v>
      </c>
      <c r="B9" s="100">
        <v>2.82</v>
      </c>
      <c r="C9" s="100">
        <v>4.6500000000000004</v>
      </c>
      <c r="D9" s="100">
        <v>1.91</v>
      </c>
      <c r="E9" s="100">
        <v>5.31</v>
      </c>
      <c r="F9" s="100">
        <v>2.35</v>
      </c>
      <c r="G9" s="100">
        <v>26.39</v>
      </c>
      <c r="H9" s="100">
        <v>13.24</v>
      </c>
      <c r="I9" s="100">
        <v>3.68</v>
      </c>
      <c r="J9" s="100">
        <v>0.41</v>
      </c>
      <c r="K9" s="100">
        <v>259.95999999999998</v>
      </c>
      <c r="L9" s="100">
        <v>25.79</v>
      </c>
      <c r="M9" s="100">
        <v>91.6</v>
      </c>
      <c r="N9" s="100">
        <v>2.2000000000000002</v>
      </c>
      <c r="O9" s="100">
        <v>0</v>
      </c>
      <c r="P9" s="100">
        <v>0.14000000000000001</v>
      </c>
      <c r="Q9" s="100">
        <v>9.91</v>
      </c>
      <c r="R9" s="6"/>
      <c r="S9" s="6"/>
      <c r="T9" s="156"/>
      <c r="U9" s="6"/>
    </row>
    <row r="10" spans="1:21" customFormat="1">
      <c r="A10" s="163" t="s">
        <v>529</v>
      </c>
      <c r="B10" s="100">
        <v>2.82</v>
      </c>
      <c r="C10" s="100">
        <v>4.66</v>
      </c>
      <c r="D10" s="100">
        <v>1.92</v>
      </c>
      <c r="E10" s="100">
        <v>5.4</v>
      </c>
      <c r="F10" s="100">
        <v>1.99</v>
      </c>
      <c r="G10" s="100">
        <v>26.39</v>
      </c>
      <c r="H10" s="100">
        <v>13.24</v>
      </c>
      <c r="I10" s="100">
        <v>3.63</v>
      </c>
      <c r="J10" s="100">
        <v>0.44</v>
      </c>
      <c r="K10" s="100">
        <v>257.17</v>
      </c>
      <c r="L10" s="100">
        <v>25.78</v>
      </c>
      <c r="M10" s="100">
        <v>91.71</v>
      </c>
      <c r="N10" s="100">
        <v>2.1</v>
      </c>
      <c r="O10" s="100">
        <v>0</v>
      </c>
      <c r="P10" s="100">
        <v>0.13</v>
      </c>
      <c r="Q10" s="100">
        <v>9.92</v>
      </c>
      <c r="R10" s="6"/>
      <c r="S10" s="6"/>
      <c r="T10" s="156"/>
      <c r="U10" s="6"/>
    </row>
    <row r="11" spans="1:21" customFormat="1">
      <c r="A11" s="163" t="s">
        <v>530</v>
      </c>
      <c r="B11" s="100">
        <v>2.81</v>
      </c>
      <c r="C11" s="100">
        <v>4.67</v>
      </c>
      <c r="D11" s="100">
        <v>1.93</v>
      </c>
      <c r="E11" s="100">
        <v>5.41</v>
      </c>
      <c r="F11" s="100">
        <v>1.74</v>
      </c>
      <c r="G11" s="100">
        <v>32.14</v>
      </c>
      <c r="H11" s="100">
        <v>11.38</v>
      </c>
      <c r="I11" s="100">
        <v>3.55</v>
      </c>
      <c r="J11" s="100">
        <v>0.55000000000000004</v>
      </c>
      <c r="K11" s="100">
        <v>260.76</v>
      </c>
      <c r="L11" s="100">
        <v>25.74</v>
      </c>
      <c r="M11" s="100">
        <v>91.88</v>
      </c>
      <c r="N11" s="100">
        <v>2.1</v>
      </c>
      <c r="O11" s="100">
        <v>0</v>
      </c>
      <c r="P11" s="100">
        <v>0.14000000000000001</v>
      </c>
      <c r="Q11" s="100">
        <v>9.89</v>
      </c>
      <c r="R11" s="6"/>
      <c r="S11" s="6"/>
      <c r="T11" s="156"/>
      <c r="U11" s="6"/>
    </row>
    <row r="12" spans="1:21" customFormat="1">
      <c r="A12" s="163" t="s">
        <v>531</v>
      </c>
      <c r="B12" s="100">
        <v>2.8</v>
      </c>
      <c r="C12" s="100">
        <v>4.66</v>
      </c>
      <c r="D12" s="100">
        <v>1.93</v>
      </c>
      <c r="E12" s="100">
        <v>5.44</v>
      </c>
      <c r="F12" s="100">
        <v>1.55</v>
      </c>
      <c r="G12" s="100">
        <v>32.700000000000003</v>
      </c>
      <c r="H12" s="100">
        <v>11.38</v>
      </c>
      <c r="I12" s="100">
        <v>3.47</v>
      </c>
      <c r="J12" s="100">
        <v>0.79</v>
      </c>
      <c r="K12" s="100">
        <v>261.45999999999998</v>
      </c>
      <c r="L12" s="100">
        <v>25.8</v>
      </c>
      <c r="M12" s="100">
        <v>91.44</v>
      </c>
      <c r="N12" s="100">
        <v>2.1</v>
      </c>
      <c r="O12" s="100">
        <v>0</v>
      </c>
      <c r="P12" s="100">
        <v>0.13</v>
      </c>
      <c r="Q12" s="100">
        <v>9.91</v>
      </c>
      <c r="R12" s="6"/>
      <c r="S12" s="6"/>
      <c r="T12" s="156"/>
      <c r="U12" s="6"/>
    </row>
    <row r="13" spans="1:21" customFormat="1">
      <c r="A13" s="163" t="s">
        <v>532</v>
      </c>
      <c r="B13" s="100">
        <v>2.8</v>
      </c>
      <c r="C13" s="100">
        <v>4.6500000000000004</v>
      </c>
      <c r="D13" s="100">
        <v>1.92</v>
      </c>
      <c r="E13" s="100">
        <v>5.62</v>
      </c>
      <c r="F13" s="100">
        <v>2.6</v>
      </c>
      <c r="G13" s="100">
        <v>32.700000000000003</v>
      </c>
      <c r="H13" s="100">
        <v>11.38</v>
      </c>
      <c r="I13" s="100">
        <v>3.48</v>
      </c>
      <c r="J13" s="100">
        <v>0.79</v>
      </c>
      <c r="K13" s="100">
        <v>261.41000000000003</v>
      </c>
      <c r="L13" s="100">
        <v>25.85</v>
      </c>
      <c r="M13" s="100">
        <v>90.57</v>
      </c>
      <c r="N13" s="100">
        <v>2.2000000000000002</v>
      </c>
      <c r="O13" s="100">
        <v>0</v>
      </c>
      <c r="P13" s="100">
        <v>0.13</v>
      </c>
      <c r="Q13" s="100">
        <v>9.9</v>
      </c>
      <c r="R13" s="6"/>
      <c r="S13" s="6"/>
      <c r="T13" s="156"/>
      <c r="U13" s="6"/>
    </row>
    <row r="14" spans="1:21" customFormat="1">
      <c r="A14" s="163" t="s">
        <v>533</v>
      </c>
      <c r="B14" s="100">
        <v>2.79</v>
      </c>
      <c r="C14" s="100">
        <v>4.6399999999999997</v>
      </c>
      <c r="D14" s="100">
        <v>1.92</v>
      </c>
      <c r="E14" s="100">
        <v>5.67</v>
      </c>
      <c r="F14" s="100">
        <v>2.56</v>
      </c>
      <c r="G14" s="100">
        <v>32.700000000000003</v>
      </c>
      <c r="H14" s="100">
        <v>11.38</v>
      </c>
      <c r="I14" s="100">
        <v>3.48</v>
      </c>
      <c r="J14" s="100">
        <v>0.97</v>
      </c>
      <c r="K14" s="100">
        <v>258.63</v>
      </c>
      <c r="L14" s="100">
        <v>25.91</v>
      </c>
      <c r="M14" s="100">
        <v>89.01</v>
      </c>
      <c r="N14" s="100">
        <v>2.2000000000000002</v>
      </c>
      <c r="O14" s="100">
        <v>0</v>
      </c>
      <c r="P14" s="100">
        <v>0.13</v>
      </c>
      <c r="Q14" s="100">
        <v>9.91</v>
      </c>
      <c r="R14" s="6"/>
      <c r="S14" s="6"/>
      <c r="T14" s="156"/>
      <c r="U14" s="6"/>
    </row>
    <row r="15" spans="1:21" customFormat="1">
      <c r="A15" s="163" t="s">
        <v>534</v>
      </c>
      <c r="B15" s="100">
        <v>2.77</v>
      </c>
      <c r="C15" s="100">
        <v>4.63</v>
      </c>
      <c r="D15" s="100">
        <v>1.92</v>
      </c>
      <c r="E15" s="100">
        <v>5.32</v>
      </c>
      <c r="F15" s="100">
        <v>2.08</v>
      </c>
      <c r="G15" s="100">
        <v>30.6</v>
      </c>
      <c r="H15" s="100">
        <v>8.18</v>
      </c>
      <c r="I15" s="100">
        <v>3.44</v>
      </c>
      <c r="J15" s="100">
        <v>0.71</v>
      </c>
      <c r="K15" s="100">
        <v>262.52999999999997</v>
      </c>
      <c r="L15" s="100">
        <v>25.79</v>
      </c>
      <c r="M15" s="100">
        <v>89.03</v>
      </c>
      <c r="N15" s="100">
        <v>2.4</v>
      </c>
      <c r="O15" s="100">
        <v>0</v>
      </c>
      <c r="P15" s="100">
        <v>0.12</v>
      </c>
      <c r="Q15" s="100">
        <v>9.9</v>
      </c>
      <c r="R15" s="6"/>
      <c r="S15" s="6"/>
      <c r="T15" s="156"/>
      <c r="U15" s="6"/>
    </row>
    <row r="16" spans="1:21" customFormat="1">
      <c r="A16" s="163" t="s">
        <v>535</v>
      </c>
      <c r="B16" s="100">
        <v>2.76</v>
      </c>
      <c r="C16" s="100">
        <v>4.62</v>
      </c>
      <c r="D16" s="100">
        <v>1.92</v>
      </c>
      <c r="E16" s="100">
        <v>5.52</v>
      </c>
      <c r="F16" s="100">
        <v>1.71</v>
      </c>
      <c r="G16" s="100">
        <v>30.4</v>
      </c>
      <c r="H16" s="100">
        <v>8.18</v>
      </c>
      <c r="I16" s="100">
        <v>3.32</v>
      </c>
      <c r="J16" s="100">
        <v>0.87</v>
      </c>
      <c r="K16" s="100">
        <v>258.05</v>
      </c>
      <c r="L16" s="100">
        <v>25.66</v>
      </c>
      <c r="M16" s="100">
        <v>88.93</v>
      </c>
      <c r="N16" s="100">
        <v>2.2999999999999998</v>
      </c>
      <c r="O16" s="100">
        <v>0</v>
      </c>
      <c r="P16" s="100">
        <v>0.12</v>
      </c>
      <c r="Q16" s="100">
        <v>9.9</v>
      </c>
      <c r="R16" s="6"/>
      <c r="S16" s="6"/>
      <c r="T16" s="156"/>
      <c r="U16" s="6"/>
    </row>
    <row r="17" spans="1:21" customFormat="1">
      <c r="A17" s="163" t="s">
        <v>536</v>
      </c>
      <c r="B17" s="100">
        <v>2.75</v>
      </c>
      <c r="C17" s="100">
        <v>4.5999999999999996</v>
      </c>
      <c r="D17" s="100">
        <v>1.91</v>
      </c>
      <c r="E17" s="100">
        <v>4.29</v>
      </c>
      <c r="F17" s="100">
        <v>1.73</v>
      </c>
      <c r="G17" s="100">
        <v>30.4</v>
      </c>
      <c r="H17" s="100">
        <v>8.18</v>
      </c>
      <c r="I17" s="100">
        <v>3.25</v>
      </c>
      <c r="J17" s="100">
        <v>0.77</v>
      </c>
      <c r="K17" s="100">
        <v>255.46</v>
      </c>
      <c r="L17" s="100">
        <v>25.58</v>
      </c>
      <c r="M17" s="100">
        <v>88.91</v>
      </c>
      <c r="N17" s="100">
        <v>2.2999999999999998</v>
      </c>
      <c r="O17" s="100">
        <v>0</v>
      </c>
      <c r="P17" s="100">
        <v>0.12</v>
      </c>
      <c r="Q17" s="100">
        <v>9.9</v>
      </c>
      <c r="R17" s="6"/>
      <c r="S17" s="6"/>
      <c r="T17" s="156"/>
      <c r="U17" s="6"/>
    </row>
    <row r="18" spans="1:21" customFormat="1">
      <c r="A18" s="163" t="s">
        <v>537</v>
      </c>
      <c r="B18" s="100">
        <v>2.75</v>
      </c>
      <c r="C18" s="100">
        <v>4.59</v>
      </c>
      <c r="D18" s="100">
        <v>1.9</v>
      </c>
      <c r="E18" s="100">
        <v>5.17</v>
      </c>
      <c r="F18" s="100">
        <v>2.4900000000000002</v>
      </c>
      <c r="G18" s="100">
        <v>30.4</v>
      </c>
      <c r="H18" s="100">
        <v>8.18</v>
      </c>
      <c r="I18" s="100">
        <v>3.25</v>
      </c>
      <c r="J18" s="100">
        <v>0.78</v>
      </c>
      <c r="K18" s="100">
        <v>256.56</v>
      </c>
      <c r="L18" s="100">
        <v>25.48</v>
      </c>
      <c r="M18" s="100">
        <v>89.1</v>
      </c>
      <c r="N18" s="100">
        <v>2.4</v>
      </c>
      <c r="O18" s="100">
        <v>0</v>
      </c>
      <c r="P18" s="100">
        <v>0.11</v>
      </c>
      <c r="Q18" s="100">
        <v>9.9</v>
      </c>
      <c r="R18" s="6"/>
      <c r="S18" s="6"/>
      <c r="T18" s="156"/>
      <c r="U18" s="6"/>
    </row>
    <row r="19" spans="1:21" customFormat="1">
      <c r="A19" s="163" t="s">
        <v>538</v>
      </c>
      <c r="B19" s="100">
        <v>2.76</v>
      </c>
      <c r="C19" s="100">
        <v>4.57</v>
      </c>
      <c r="D19" s="100">
        <v>1.88</v>
      </c>
      <c r="E19" s="100">
        <v>5.32</v>
      </c>
      <c r="F19" s="100">
        <v>2.2000000000000002</v>
      </c>
      <c r="G19" s="100">
        <v>22.84</v>
      </c>
      <c r="H19" s="100">
        <v>6.31</v>
      </c>
      <c r="I19" s="100">
        <v>3.19</v>
      </c>
      <c r="J19" s="100">
        <v>0.76</v>
      </c>
      <c r="K19" s="100">
        <v>260.42</v>
      </c>
      <c r="L19" s="100">
        <v>25.42</v>
      </c>
      <c r="M19" s="100">
        <v>89.3</v>
      </c>
      <c r="N19" s="100">
        <v>2.4</v>
      </c>
      <c r="O19" s="100">
        <v>0</v>
      </c>
      <c r="P19" s="100">
        <v>0.08</v>
      </c>
      <c r="Q19" s="100">
        <v>9.91</v>
      </c>
      <c r="R19" s="6"/>
      <c r="S19" s="6"/>
      <c r="T19" s="156"/>
      <c r="U19" s="6"/>
    </row>
    <row r="20" spans="1:21" customFormat="1">
      <c r="A20" s="163" t="s">
        <v>539</v>
      </c>
      <c r="B20" s="100">
        <v>2.79</v>
      </c>
      <c r="C20" s="100">
        <v>4.5599999999999996</v>
      </c>
      <c r="D20" s="100">
        <v>1.85</v>
      </c>
      <c r="E20" s="100">
        <v>4.9000000000000004</v>
      </c>
      <c r="F20" s="100">
        <v>3.04</v>
      </c>
      <c r="G20" s="100">
        <v>22.2</v>
      </c>
      <c r="H20" s="100">
        <v>6.31</v>
      </c>
      <c r="I20" s="100">
        <v>3.17</v>
      </c>
      <c r="J20" s="100">
        <v>0.61</v>
      </c>
      <c r="K20" s="100">
        <v>258.56</v>
      </c>
      <c r="L20" s="100">
        <v>25.34</v>
      </c>
      <c r="M20" s="100">
        <v>89.69</v>
      </c>
      <c r="N20" s="100">
        <v>2.4</v>
      </c>
      <c r="O20" s="100">
        <v>0</v>
      </c>
      <c r="P20" s="100">
        <v>7.0000000000000007E-2</v>
      </c>
      <c r="Q20" s="100">
        <v>9.91</v>
      </c>
      <c r="R20" s="6"/>
      <c r="S20" s="6"/>
      <c r="T20" s="156"/>
      <c r="U20" s="6"/>
    </row>
    <row r="21" spans="1:21" customFormat="1">
      <c r="A21" s="163" t="s">
        <v>540</v>
      </c>
      <c r="B21" s="100">
        <v>2.79</v>
      </c>
      <c r="C21" s="100">
        <v>4.57</v>
      </c>
      <c r="D21" s="100">
        <v>1.86</v>
      </c>
      <c r="E21" s="100">
        <v>4.8499999999999996</v>
      </c>
      <c r="F21" s="100">
        <v>1.77</v>
      </c>
      <c r="G21" s="100">
        <v>22.2</v>
      </c>
      <c r="H21" s="100">
        <v>6.31</v>
      </c>
      <c r="I21" s="100">
        <v>3.16</v>
      </c>
      <c r="J21" s="100">
        <v>0.7</v>
      </c>
      <c r="K21" s="100">
        <v>257.47000000000003</v>
      </c>
      <c r="L21" s="100">
        <v>25.28</v>
      </c>
      <c r="M21" s="100">
        <v>89.73</v>
      </c>
      <c r="N21" s="100">
        <v>2.2999999999999998</v>
      </c>
      <c r="O21" s="100">
        <v>0</v>
      </c>
      <c r="P21" s="100">
        <v>0.09</v>
      </c>
      <c r="Q21" s="100">
        <v>9.91</v>
      </c>
      <c r="R21" s="6"/>
      <c r="S21" s="6"/>
      <c r="T21" s="156"/>
      <c r="U21" s="6"/>
    </row>
    <row r="22" spans="1:21" customFormat="1">
      <c r="A22" s="163" t="s">
        <v>541</v>
      </c>
      <c r="B22" s="100">
        <v>2.82</v>
      </c>
      <c r="C22" s="100">
        <v>4.58</v>
      </c>
      <c r="D22" s="100">
        <v>1.85</v>
      </c>
      <c r="E22" s="100">
        <v>4.8499999999999996</v>
      </c>
      <c r="F22" s="100">
        <v>2.12</v>
      </c>
      <c r="G22" s="100">
        <v>22.2</v>
      </c>
      <c r="H22" s="100">
        <v>6.31</v>
      </c>
      <c r="I22" s="100">
        <v>3.12</v>
      </c>
      <c r="J22" s="100">
        <v>0.52</v>
      </c>
      <c r="K22" s="100">
        <v>256.89999999999998</v>
      </c>
      <c r="L22" s="100">
        <v>25.24</v>
      </c>
      <c r="M22" s="100">
        <v>90.07</v>
      </c>
      <c r="N22" s="100">
        <v>2.2999999999999998</v>
      </c>
      <c r="O22" s="100">
        <v>0</v>
      </c>
      <c r="P22" s="100">
        <v>7.0000000000000007E-2</v>
      </c>
      <c r="Q22" s="100">
        <v>9.89</v>
      </c>
      <c r="R22" s="6"/>
      <c r="S22" s="6"/>
      <c r="T22" s="156"/>
      <c r="U22" s="6"/>
    </row>
    <row r="23" spans="1:21" customFormat="1">
      <c r="A23" s="163" t="s">
        <v>542</v>
      </c>
      <c r="B23" s="100">
        <v>2.81</v>
      </c>
      <c r="C23" s="100">
        <v>4.55</v>
      </c>
      <c r="D23" s="100">
        <v>1.84</v>
      </c>
      <c r="E23" s="100">
        <v>4.58</v>
      </c>
      <c r="F23" s="100">
        <v>3.09</v>
      </c>
      <c r="G23" s="100">
        <v>21.25</v>
      </c>
      <c r="H23" s="100">
        <v>4.45</v>
      </c>
      <c r="I23" s="100">
        <v>3.23</v>
      </c>
      <c r="J23" s="100">
        <v>0.57999999999999996</v>
      </c>
      <c r="K23" s="100">
        <v>259.22000000000003</v>
      </c>
      <c r="L23" s="100">
        <v>25.16</v>
      </c>
      <c r="M23" s="100">
        <v>90.95</v>
      </c>
      <c r="N23" s="100">
        <v>2.2999999999999998</v>
      </c>
      <c r="O23" s="100">
        <v>0</v>
      </c>
      <c r="P23" s="100">
        <v>0.08</v>
      </c>
      <c r="Q23" s="100">
        <v>9.91</v>
      </c>
      <c r="R23" s="6"/>
      <c r="S23" s="6"/>
      <c r="T23" s="156"/>
      <c r="U23" s="6"/>
    </row>
    <row r="24" spans="1:21" customFormat="1">
      <c r="A24" s="163" t="s">
        <v>543</v>
      </c>
      <c r="B24" s="100">
        <v>2.81</v>
      </c>
      <c r="C24" s="100">
        <v>4.57</v>
      </c>
      <c r="D24" s="100">
        <v>1.85</v>
      </c>
      <c r="E24" s="100">
        <v>4.59</v>
      </c>
      <c r="F24" s="100">
        <v>1.57</v>
      </c>
      <c r="G24" s="100">
        <v>21.17</v>
      </c>
      <c r="H24" s="100">
        <v>4.45</v>
      </c>
      <c r="I24" s="100">
        <v>3.07</v>
      </c>
      <c r="J24" s="100">
        <v>0.74</v>
      </c>
      <c r="K24" s="100">
        <v>263.19</v>
      </c>
      <c r="L24" s="100">
        <v>25.13</v>
      </c>
      <c r="M24" s="100">
        <v>91.42</v>
      </c>
      <c r="N24" s="100">
        <v>2.2000000000000002</v>
      </c>
      <c r="O24" s="100">
        <v>0</v>
      </c>
      <c r="P24" s="100">
        <v>0.08</v>
      </c>
      <c r="Q24" s="100">
        <v>9.9</v>
      </c>
      <c r="R24" s="6"/>
      <c r="S24" s="6"/>
      <c r="T24" s="156"/>
      <c r="U24" s="6"/>
    </row>
    <row r="25" spans="1:21" customFormat="1">
      <c r="A25" s="163" t="s">
        <v>544</v>
      </c>
      <c r="B25" s="100">
        <v>2.85</v>
      </c>
      <c r="C25" s="100">
        <v>4.5999999999999996</v>
      </c>
      <c r="D25" s="100">
        <v>1.84</v>
      </c>
      <c r="E25" s="100">
        <v>4.6399999999999997</v>
      </c>
      <c r="F25" s="100">
        <v>2.21</v>
      </c>
      <c r="G25" s="100">
        <v>21.17</v>
      </c>
      <c r="H25" s="100">
        <v>4.45</v>
      </c>
      <c r="I25" s="100">
        <v>3.15</v>
      </c>
      <c r="J25" s="100">
        <v>0.81</v>
      </c>
      <c r="K25" s="100">
        <v>260.26</v>
      </c>
      <c r="L25" s="100">
        <v>25.14</v>
      </c>
      <c r="M25" s="100">
        <v>91.05</v>
      </c>
      <c r="N25" s="100">
        <v>2.2999999999999998</v>
      </c>
      <c r="O25" s="100">
        <v>0</v>
      </c>
      <c r="P25" s="100">
        <v>7.0000000000000007E-2</v>
      </c>
      <c r="Q25" s="100">
        <v>9.9</v>
      </c>
      <c r="R25" s="6"/>
      <c r="S25" s="6"/>
      <c r="T25" s="156"/>
      <c r="U25" s="6"/>
    </row>
    <row r="26" spans="1:21" customFormat="1">
      <c r="A26" s="163" t="s">
        <v>545</v>
      </c>
      <c r="B26" s="100">
        <v>2.82</v>
      </c>
      <c r="C26" s="100">
        <v>4.57</v>
      </c>
      <c r="D26" s="100">
        <v>1.84</v>
      </c>
      <c r="E26" s="100">
        <v>4.78</v>
      </c>
      <c r="F26" s="100">
        <v>2.19</v>
      </c>
      <c r="G26" s="100">
        <v>21.17</v>
      </c>
      <c r="H26" s="100">
        <v>4.45</v>
      </c>
      <c r="I26" s="100">
        <v>3.22</v>
      </c>
      <c r="J26" s="100">
        <v>0.63</v>
      </c>
      <c r="K26" s="100">
        <v>260.75</v>
      </c>
      <c r="L26" s="100">
        <v>25.09</v>
      </c>
      <c r="M26" s="100">
        <v>91.56</v>
      </c>
      <c r="N26" s="100">
        <v>2.2999999999999998</v>
      </c>
      <c r="O26" s="100">
        <v>0</v>
      </c>
      <c r="P26" s="100">
        <v>0.08</v>
      </c>
      <c r="Q26" s="100">
        <v>9.89</v>
      </c>
      <c r="R26" s="6"/>
      <c r="S26" s="6"/>
      <c r="T26" s="156"/>
      <c r="U26" s="6"/>
    </row>
    <row r="27" spans="1:21" customFormat="1">
      <c r="A27" s="163" t="s">
        <v>546</v>
      </c>
      <c r="B27" s="100">
        <v>2.86</v>
      </c>
      <c r="C27" s="100">
        <v>4.5999999999999996</v>
      </c>
      <c r="D27" s="100">
        <v>1.85</v>
      </c>
      <c r="E27" s="100">
        <v>4.5599999999999996</v>
      </c>
      <c r="F27" s="100">
        <v>2.38</v>
      </c>
      <c r="G27" s="100">
        <v>16.53</v>
      </c>
      <c r="H27" s="100">
        <v>3.17</v>
      </c>
      <c r="I27" s="100">
        <v>3.09</v>
      </c>
      <c r="J27" s="100">
        <v>0.59</v>
      </c>
      <c r="K27" s="100">
        <v>255.43</v>
      </c>
      <c r="L27" s="100">
        <v>25.03</v>
      </c>
      <c r="M27" s="100">
        <v>92.14</v>
      </c>
      <c r="N27" s="100">
        <v>2.4</v>
      </c>
      <c r="O27" s="100">
        <v>0</v>
      </c>
      <c r="P27" s="100">
        <v>7.0000000000000007E-2</v>
      </c>
      <c r="Q27" s="100">
        <v>9.91</v>
      </c>
      <c r="R27" s="6"/>
      <c r="S27" s="6"/>
      <c r="T27" s="156"/>
      <c r="U27" s="6"/>
    </row>
    <row r="28" spans="1:21" customFormat="1">
      <c r="A28" s="163" t="s">
        <v>547</v>
      </c>
      <c r="B28" s="100">
        <v>2.88</v>
      </c>
      <c r="C28" s="100">
        <v>4.62</v>
      </c>
      <c r="D28" s="100">
        <v>1.84</v>
      </c>
      <c r="E28" s="100">
        <v>4.41</v>
      </c>
      <c r="F28" s="100">
        <v>2.82</v>
      </c>
      <c r="G28" s="100">
        <v>16.14</v>
      </c>
      <c r="H28" s="100">
        <v>3.17</v>
      </c>
      <c r="I28" s="100">
        <v>3.22</v>
      </c>
      <c r="J28" s="100">
        <v>0.56000000000000005</v>
      </c>
      <c r="K28" s="100">
        <v>257.94</v>
      </c>
      <c r="L28" s="100">
        <v>24.97</v>
      </c>
      <c r="M28" s="100">
        <v>92.48</v>
      </c>
      <c r="N28" s="100">
        <v>2.4</v>
      </c>
      <c r="O28" s="100">
        <v>0</v>
      </c>
      <c r="P28" s="100">
        <v>7.0000000000000007E-2</v>
      </c>
      <c r="Q28" s="100">
        <v>9.91</v>
      </c>
      <c r="R28" s="6"/>
      <c r="S28" s="6"/>
      <c r="T28" s="156"/>
      <c r="U28" s="6"/>
    </row>
    <row r="29" spans="1:21" customFormat="1">
      <c r="A29" s="163" t="s">
        <v>548</v>
      </c>
      <c r="B29" s="100">
        <v>2.87</v>
      </c>
      <c r="C29" s="100">
        <v>4.6399999999999997</v>
      </c>
      <c r="D29" s="100">
        <v>1.86</v>
      </c>
      <c r="E29" s="100">
        <v>4.7</v>
      </c>
      <c r="F29" s="100">
        <v>1.58</v>
      </c>
      <c r="G29" s="100">
        <v>16.14</v>
      </c>
      <c r="H29" s="100">
        <v>3.17</v>
      </c>
      <c r="I29" s="100">
        <v>2.99</v>
      </c>
      <c r="J29" s="100">
        <v>0.96</v>
      </c>
      <c r="K29" s="100">
        <v>264.87</v>
      </c>
      <c r="L29" s="100">
        <v>24.92</v>
      </c>
      <c r="M29" s="100">
        <v>92.41</v>
      </c>
      <c r="N29" s="100">
        <v>2.4</v>
      </c>
      <c r="O29" s="100">
        <v>0</v>
      </c>
      <c r="P29" s="100">
        <v>0.08</v>
      </c>
      <c r="Q29" s="100">
        <v>9.9</v>
      </c>
      <c r="R29" s="6"/>
      <c r="S29" s="6"/>
      <c r="T29" s="156"/>
      <c r="U29" s="6"/>
    </row>
    <row r="30" spans="1:21" customFormat="1">
      <c r="A30" s="163" t="s">
        <v>549</v>
      </c>
      <c r="B30" s="100">
        <v>2.89</v>
      </c>
      <c r="C30" s="100">
        <v>4.6399999999999997</v>
      </c>
      <c r="D30" s="100">
        <v>1.85</v>
      </c>
      <c r="E30" s="100">
        <v>4.71</v>
      </c>
      <c r="F30" s="100">
        <v>1.92</v>
      </c>
      <c r="G30" s="100">
        <v>16.14</v>
      </c>
      <c r="H30" s="100">
        <v>3.17</v>
      </c>
      <c r="I30" s="100">
        <v>2.97</v>
      </c>
      <c r="J30" s="100">
        <v>0.69</v>
      </c>
      <c r="K30" s="100">
        <v>260.75</v>
      </c>
      <c r="L30" s="100">
        <v>24.88</v>
      </c>
      <c r="M30" s="100">
        <v>92.29</v>
      </c>
      <c r="N30" s="100">
        <v>3</v>
      </c>
      <c r="O30" s="100">
        <v>0</v>
      </c>
      <c r="P30" s="100">
        <v>0.06</v>
      </c>
      <c r="Q30" s="100">
        <v>9.9</v>
      </c>
      <c r="R30" s="6"/>
      <c r="S30" s="6"/>
      <c r="T30" s="156"/>
      <c r="U30" s="6"/>
    </row>
    <row r="31" spans="1:21" customFormat="1">
      <c r="A31" s="163" t="s">
        <v>550</v>
      </c>
      <c r="B31" s="100">
        <v>2.87</v>
      </c>
      <c r="C31" s="100">
        <v>4.62</v>
      </c>
      <c r="D31" s="100">
        <v>1.85</v>
      </c>
      <c r="E31" s="100">
        <v>4.57</v>
      </c>
      <c r="F31" s="100">
        <v>2.04</v>
      </c>
      <c r="G31" s="100">
        <v>14.97</v>
      </c>
      <c r="H31" s="100">
        <v>4.59</v>
      </c>
      <c r="I31" s="100">
        <v>3.12</v>
      </c>
      <c r="J31" s="100">
        <v>0.53</v>
      </c>
      <c r="K31" s="100">
        <v>263.36</v>
      </c>
      <c r="L31" s="100">
        <v>24.86</v>
      </c>
      <c r="M31" s="100">
        <v>92.11</v>
      </c>
      <c r="N31" s="100">
        <v>5.3</v>
      </c>
      <c r="O31" s="100">
        <v>0</v>
      </c>
      <c r="P31" s="100">
        <v>0.08</v>
      </c>
      <c r="Q31" s="100">
        <v>9.9</v>
      </c>
      <c r="R31" s="6"/>
      <c r="S31" s="6"/>
      <c r="T31" s="156"/>
      <c r="U31" s="6"/>
    </row>
    <row r="32" spans="1:21" customFormat="1">
      <c r="A32" s="163" t="s">
        <v>551</v>
      </c>
      <c r="B32" s="100">
        <v>2.89</v>
      </c>
      <c r="C32" s="100">
        <v>4.66</v>
      </c>
      <c r="D32" s="100">
        <v>1.87</v>
      </c>
      <c r="E32" s="100">
        <v>4.9800000000000004</v>
      </c>
      <c r="F32" s="100">
        <v>1.29</v>
      </c>
      <c r="G32" s="100">
        <v>14.87</v>
      </c>
      <c r="H32" s="100">
        <v>4.59</v>
      </c>
      <c r="I32" s="100">
        <v>2.92</v>
      </c>
      <c r="J32" s="100">
        <v>0.73</v>
      </c>
      <c r="K32" s="100">
        <v>258.29000000000002</v>
      </c>
      <c r="L32" s="100">
        <v>24.93</v>
      </c>
      <c r="M32" s="100">
        <v>91.4</v>
      </c>
      <c r="N32" s="100">
        <v>8.8000000000000007</v>
      </c>
      <c r="O32" s="100">
        <v>0</v>
      </c>
      <c r="P32" s="100">
        <v>7.0000000000000007E-2</v>
      </c>
      <c r="Q32" s="100">
        <v>9.91</v>
      </c>
      <c r="R32" s="6"/>
      <c r="S32" s="6"/>
      <c r="T32" s="156"/>
      <c r="U32" s="6"/>
    </row>
    <row r="33" spans="1:21" customFormat="1">
      <c r="A33" s="163" t="s">
        <v>552</v>
      </c>
      <c r="B33" s="100">
        <v>2.9</v>
      </c>
      <c r="C33" s="100">
        <v>4.6399999999999997</v>
      </c>
      <c r="D33" s="100">
        <v>1.85</v>
      </c>
      <c r="E33" s="100">
        <v>4.7</v>
      </c>
      <c r="F33" s="100">
        <v>2.41</v>
      </c>
      <c r="G33" s="100">
        <v>14.87</v>
      </c>
      <c r="H33" s="100">
        <v>4.59</v>
      </c>
      <c r="I33" s="100">
        <v>3.04</v>
      </c>
      <c r="J33" s="100">
        <v>0.74</v>
      </c>
      <c r="K33" s="100">
        <v>261.01</v>
      </c>
      <c r="L33" s="100">
        <v>25</v>
      </c>
      <c r="M33" s="100">
        <v>90.94</v>
      </c>
      <c r="N33" s="100">
        <v>14.7</v>
      </c>
      <c r="O33" s="100">
        <v>0</v>
      </c>
      <c r="P33" s="100">
        <v>0.06</v>
      </c>
      <c r="Q33" s="100">
        <v>9.91</v>
      </c>
      <c r="R33" s="6"/>
      <c r="S33" s="6"/>
      <c r="T33" s="156"/>
      <c r="U33" s="6"/>
    </row>
    <row r="34" spans="1:21" customFormat="1">
      <c r="A34" s="163" t="s">
        <v>553</v>
      </c>
      <c r="B34" s="100">
        <v>2.88</v>
      </c>
      <c r="C34" s="100">
        <v>4.6399999999999997</v>
      </c>
      <c r="D34" s="100">
        <v>1.86</v>
      </c>
      <c r="E34" s="100">
        <v>4.46</v>
      </c>
      <c r="F34" s="100">
        <v>2.2999999999999998</v>
      </c>
      <c r="G34" s="100">
        <v>14.87</v>
      </c>
      <c r="H34" s="100">
        <v>4.59</v>
      </c>
      <c r="I34" s="100">
        <v>2.97</v>
      </c>
      <c r="J34" s="100">
        <v>0.76</v>
      </c>
      <c r="K34" s="100">
        <v>260.56</v>
      </c>
      <c r="L34" s="100">
        <v>25.03</v>
      </c>
      <c r="M34" s="100">
        <v>90.72</v>
      </c>
      <c r="N34" s="100">
        <v>23.4</v>
      </c>
      <c r="O34" s="100">
        <v>0</v>
      </c>
      <c r="P34" s="100">
        <v>0.09</v>
      </c>
      <c r="Q34" s="100">
        <v>9.9</v>
      </c>
      <c r="R34" s="6"/>
      <c r="S34" s="6"/>
      <c r="T34" s="156"/>
      <c r="U34" s="6"/>
    </row>
    <row r="35" spans="1:21" customFormat="1">
      <c r="A35" s="163" t="s">
        <v>554</v>
      </c>
      <c r="B35" s="100">
        <v>2.89</v>
      </c>
      <c r="C35" s="100">
        <v>4.66</v>
      </c>
      <c r="D35" s="100">
        <v>1.87</v>
      </c>
      <c r="E35" s="100">
        <v>5.01</v>
      </c>
      <c r="F35" s="100">
        <v>2.41</v>
      </c>
      <c r="G35" s="100">
        <v>10.97</v>
      </c>
      <c r="H35" s="100">
        <v>3.3</v>
      </c>
      <c r="I35" s="100">
        <v>2.91</v>
      </c>
      <c r="J35" s="100">
        <v>0.86</v>
      </c>
      <c r="K35" s="100">
        <v>259.31</v>
      </c>
      <c r="L35" s="100">
        <v>25.11</v>
      </c>
      <c r="M35" s="100">
        <v>90.14</v>
      </c>
      <c r="N35" s="100">
        <v>30.1</v>
      </c>
      <c r="O35" s="100">
        <v>0</v>
      </c>
      <c r="P35" s="100">
        <v>7.0000000000000007E-2</v>
      </c>
      <c r="Q35" s="100">
        <v>9.91</v>
      </c>
      <c r="R35" s="6"/>
      <c r="S35" s="6"/>
      <c r="T35" s="156"/>
      <c r="U35" s="6"/>
    </row>
    <row r="36" spans="1:21" customFormat="1">
      <c r="A36" s="163" t="s">
        <v>555</v>
      </c>
      <c r="B36" s="100">
        <v>2.89</v>
      </c>
      <c r="C36" s="100">
        <v>4.6500000000000004</v>
      </c>
      <c r="D36" s="100">
        <v>1.86</v>
      </c>
      <c r="E36" s="100">
        <v>5.1100000000000003</v>
      </c>
      <c r="F36" s="100">
        <v>2.15</v>
      </c>
      <c r="G36" s="100">
        <v>10.64</v>
      </c>
      <c r="H36" s="100">
        <v>3.3</v>
      </c>
      <c r="I36" s="100">
        <v>3.02</v>
      </c>
      <c r="J36" s="100">
        <v>0.8</v>
      </c>
      <c r="K36" s="100">
        <v>257.95</v>
      </c>
      <c r="L36" s="100">
        <v>25.2</v>
      </c>
      <c r="M36" s="100">
        <v>89.8</v>
      </c>
      <c r="N36" s="100">
        <v>35.5</v>
      </c>
      <c r="O36" s="100">
        <v>0</v>
      </c>
      <c r="P36" s="100">
        <v>0.08</v>
      </c>
      <c r="Q36" s="100">
        <v>9.92</v>
      </c>
      <c r="R36" s="6"/>
      <c r="S36" s="6"/>
      <c r="T36" s="156"/>
      <c r="U36" s="6"/>
    </row>
    <row r="37" spans="1:21" customFormat="1">
      <c r="A37" s="163" t="s">
        <v>556</v>
      </c>
      <c r="B37" s="100">
        <v>2.89</v>
      </c>
      <c r="C37" s="100">
        <v>4.74</v>
      </c>
      <c r="D37" s="100">
        <v>1.93</v>
      </c>
      <c r="E37" s="100">
        <v>4.87</v>
      </c>
      <c r="F37" s="100">
        <v>1.63</v>
      </c>
      <c r="G37" s="100">
        <v>10.64</v>
      </c>
      <c r="H37" s="100">
        <v>3.3</v>
      </c>
      <c r="I37" s="100">
        <v>2.92</v>
      </c>
      <c r="J37" s="100">
        <v>0.71</v>
      </c>
      <c r="K37" s="100">
        <v>260.13</v>
      </c>
      <c r="L37" s="100">
        <v>25.35</v>
      </c>
      <c r="M37" s="100">
        <v>89.02</v>
      </c>
      <c r="N37" s="100">
        <v>44.4</v>
      </c>
      <c r="O37" s="100">
        <v>0</v>
      </c>
      <c r="P37" s="100">
        <v>0.1</v>
      </c>
      <c r="Q37" s="100">
        <v>9.91</v>
      </c>
      <c r="R37" s="6"/>
      <c r="S37" s="6"/>
      <c r="T37" s="156"/>
      <c r="U37" s="6"/>
    </row>
    <row r="38" spans="1:21" customFormat="1">
      <c r="A38" s="163" t="s">
        <v>557</v>
      </c>
      <c r="B38" s="100">
        <v>2.87</v>
      </c>
      <c r="C38" s="100">
        <v>4.76</v>
      </c>
      <c r="D38" s="100">
        <v>1.97</v>
      </c>
      <c r="E38" s="100">
        <v>4.82</v>
      </c>
      <c r="F38" s="100">
        <v>1.66</v>
      </c>
      <c r="G38" s="100">
        <v>10.64</v>
      </c>
      <c r="H38" s="100">
        <v>3.3</v>
      </c>
      <c r="I38" s="100">
        <v>3.07</v>
      </c>
      <c r="J38" s="100">
        <v>0.86</v>
      </c>
      <c r="K38" s="100">
        <v>259.04000000000002</v>
      </c>
      <c r="L38" s="100">
        <v>25.54</v>
      </c>
      <c r="M38" s="100">
        <v>88.04</v>
      </c>
      <c r="N38" s="100">
        <v>52.8</v>
      </c>
      <c r="O38" s="100">
        <v>0</v>
      </c>
      <c r="P38" s="100">
        <v>0.11</v>
      </c>
      <c r="Q38" s="100">
        <v>9.91</v>
      </c>
      <c r="R38" s="6"/>
      <c r="S38" s="6"/>
      <c r="T38" s="156"/>
      <c r="U38" s="6"/>
    </row>
    <row r="39" spans="1:21" customFormat="1">
      <c r="A39" s="163" t="s">
        <v>558</v>
      </c>
      <c r="B39" s="100">
        <v>2.83</v>
      </c>
      <c r="C39" s="100">
        <v>4.74</v>
      </c>
      <c r="D39" s="100">
        <v>1.97</v>
      </c>
      <c r="E39" s="100">
        <v>4.96</v>
      </c>
      <c r="F39" s="100">
        <v>1.79</v>
      </c>
      <c r="G39" s="100">
        <v>7.98</v>
      </c>
      <c r="H39" s="100">
        <v>3.76</v>
      </c>
      <c r="I39" s="100">
        <v>3.06</v>
      </c>
      <c r="J39" s="100">
        <v>0.68</v>
      </c>
      <c r="K39" s="100">
        <v>273.44</v>
      </c>
      <c r="L39" s="100">
        <v>25.67</v>
      </c>
      <c r="M39" s="100">
        <v>87.72</v>
      </c>
      <c r="N39" s="100">
        <v>71.7</v>
      </c>
      <c r="O39" s="100">
        <v>0</v>
      </c>
      <c r="P39" s="100">
        <v>0.1</v>
      </c>
      <c r="Q39" s="100">
        <v>9.91</v>
      </c>
      <c r="R39" s="6"/>
      <c r="S39" s="6"/>
      <c r="T39" s="156"/>
      <c r="U39" s="6"/>
    </row>
    <row r="40" spans="1:21" customFormat="1">
      <c r="A40" s="163" t="s">
        <v>559</v>
      </c>
      <c r="B40" s="100">
        <v>2.81</v>
      </c>
      <c r="C40" s="100">
        <v>4.7300000000000004</v>
      </c>
      <c r="D40" s="100">
        <v>1.98</v>
      </c>
      <c r="E40" s="100">
        <v>5.29</v>
      </c>
      <c r="F40" s="100">
        <v>1.74</v>
      </c>
      <c r="G40" s="100">
        <v>7.76</v>
      </c>
      <c r="H40" s="100">
        <v>3.76</v>
      </c>
      <c r="I40" s="100">
        <v>3.2</v>
      </c>
      <c r="J40" s="100">
        <v>0.75</v>
      </c>
      <c r="K40" s="100">
        <v>261.93</v>
      </c>
      <c r="L40" s="100">
        <v>25.92</v>
      </c>
      <c r="M40" s="100">
        <v>86.82</v>
      </c>
      <c r="N40" s="100">
        <v>105.9</v>
      </c>
      <c r="O40" s="100">
        <v>0</v>
      </c>
      <c r="P40" s="100">
        <v>0.11</v>
      </c>
      <c r="Q40" s="100">
        <v>9.91</v>
      </c>
      <c r="R40" s="6"/>
      <c r="S40" s="6"/>
      <c r="T40" s="156"/>
      <c r="U40" s="6"/>
    </row>
    <row r="41" spans="1:21" customFormat="1">
      <c r="A41" s="163" t="s">
        <v>560</v>
      </c>
      <c r="B41" s="100">
        <v>2.79</v>
      </c>
      <c r="C41" s="100">
        <v>4.71</v>
      </c>
      <c r="D41" s="100">
        <v>1.97</v>
      </c>
      <c r="E41" s="100">
        <v>5.2</v>
      </c>
      <c r="F41" s="100">
        <v>2.35</v>
      </c>
      <c r="G41" s="100">
        <v>7.76</v>
      </c>
      <c r="H41" s="100">
        <v>3.76</v>
      </c>
      <c r="I41" s="100">
        <v>3.12</v>
      </c>
      <c r="J41" s="100">
        <v>0.92</v>
      </c>
      <c r="K41" s="100">
        <v>259.76</v>
      </c>
      <c r="L41" s="100">
        <v>26.27</v>
      </c>
      <c r="M41" s="100">
        <v>85.58</v>
      </c>
      <c r="N41" s="100">
        <v>164.5</v>
      </c>
      <c r="O41" s="100">
        <v>0</v>
      </c>
      <c r="P41" s="100">
        <v>0.11</v>
      </c>
      <c r="Q41" s="100">
        <v>9.9</v>
      </c>
      <c r="R41" s="6"/>
      <c r="S41" s="6"/>
      <c r="T41" s="156"/>
      <c r="U41" s="6"/>
    </row>
    <row r="42" spans="1:21" customFormat="1">
      <c r="A42" s="163" t="s">
        <v>561</v>
      </c>
      <c r="B42" s="100">
        <v>2.78</v>
      </c>
      <c r="C42" s="100">
        <v>4.6900000000000004</v>
      </c>
      <c r="D42" s="100">
        <v>1.97</v>
      </c>
      <c r="E42" s="100">
        <v>5.32</v>
      </c>
      <c r="F42" s="100">
        <v>2.06</v>
      </c>
      <c r="G42" s="100">
        <v>7.76</v>
      </c>
      <c r="H42" s="100">
        <v>3.76</v>
      </c>
      <c r="I42" s="100">
        <v>3.09</v>
      </c>
      <c r="J42" s="100">
        <v>0.98</v>
      </c>
      <c r="K42" s="100">
        <v>260.37</v>
      </c>
      <c r="L42" s="100">
        <v>26.72</v>
      </c>
      <c r="M42" s="100">
        <v>83.45</v>
      </c>
      <c r="N42" s="100">
        <v>167.2</v>
      </c>
      <c r="O42" s="100">
        <v>0</v>
      </c>
      <c r="P42" s="100">
        <v>0.11</v>
      </c>
      <c r="Q42" s="100">
        <v>9.9</v>
      </c>
      <c r="R42" s="6"/>
      <c r="S42" s="6"/>
      <c r="T42" s="156"/>
      <c r="U42" s="6"/>
    </row>
    <row r="43" spans="1:21" customFormat="1">
      <c r="A43" s="163" t="s">
        <v>562</v>
      </c>
      <c r="B43" s="100">
        <v>2.76</v>
      </c>
      <c r="C43" s="100">
        <v>4.6900000000000004</v>
      </c>
      <c r="D43" s="100">
        <v>1.98</v>
      </c>
      <c r="E43" s="100">
        <v>5.35</v>
      </c>
      <c r="F43" s="100">
        <v>1.68</v>
      </c>
      <c r="G43" s="100">
        <v>7.49</v>
      </c>
      <c r="H43" s="100">
        <v>2.65</v>
      </c>
      <c r="I43" s="100">
        <v>3.04</v>
      </c>
      <c r="J43" s="100">
        <v>0.87</v>
      </c>
      <c r="K43" s="100">
        <v>263.22000000000003</v>
      </c>
      <c r="L43" s="100">
        <v>26.69</v>
      </c>
      <c r="M43" s="100">
        <v>83.69</v>
      </c>
      <c r="N43" s="100">
        <v>155.69999999999999</v>
      </c>
      <c r="O43" s="100">
        <v>0</v>
      </c>
      <c r="P43" s="100">
        <v>0.11</v>
      </c>
      <c r="Q43" s="100">
        <v>9.91</v>
      </c>
      <c r="R43" s="6"/>
      <c r="S43" s="6"/>
      <c r="T43" s="156"/>
      <c r="U43" s="6"/>
    </row>
    <row r="44" spans="1:21" customFormat="1">
      <c r="A44" s="163" t="s">
        <v>563</v>
      </c>
      <c r="B44" s="100">
        <v>2.75</v>
      </c>
      <c r="C44" s="100">
        <v>4.67</v>
      </c>
      <c r="D44" s="100">
        <v>1.96</v>
      </c>
      <c r="E44" s="100">
        <v>5.15</v>
      </c>
      <c r="F44" s="100">
        <v>1.71</v>
      </c>
      <c r="G44" s="100">
        <v>7.47</v>
      </c>
      <c r="H44" s="100">
        <v>2.65</v>
      </c>
      <c r="I44" s="100">
        <v>2.97</v>
      </c>
      <c r="J44" s="100">
        <v>0.89</v>
      </c>
      <c r="K44" s="100">
        <v>265.05</v>
      </c>
      <c r="L44" s="100">
        <v>26.95</v>
      </c>
      <c r="M44" s="100">
        <v>83</v>
      </c>
      <c r="N44" s="100">
        <v>179.6</v>
      </c>
      <c r="O44" s="100">
        <v>0</v>
      </c>
      <c r="P44" s="100">
        <v>0.11</v>
      </c>
      <c r="Q44" s="100">
        <v>9.89</v>
      </c>
      <c r="R44" s="6"/>
      <c r="S44" s="6"/>
      <c r="T44" s="156"/>
      <c r="U44" s="6"/>
    </row>
    <row r="45" spans="1:21" customFormat="1">
      <c r="A45" s="163" t="s">
        <v>564</v>
      </c>
      <c r="B45" s="100">
        <v>2.74</v>
      </c>
      <c r="C45" s="100">
        <v>4.6399999999999997</v>
      </c>
      <c r="D45" s="100">
        <v>1.95</v>
      </c>
      <c r="E45" s="100">
        <v>5.61</v>
      </c>
      <c r="F45" s="100">
        <v>1.88</v>
      </c>
      <c r="G45" s="100">
        <v>7.47</v>
      </c>
      <c r="H45" s="100">
        <v>2.65</v>
      </c>
      <c r="I45" s="100">
        <v>2.97</v>
      </c>
      <c r="J45" s="100">
        <v>1.26</v>
      </c>
      <c r="K45" s="100">
        <v>263.04000000000002</v>
      </c>
      <c r="L45" s="100">
        <v>27.01</v>
      </c>
      <c r="M45" s="100">
        <v>81.790000000000006</v>
      </c>
      <c r="N45" s="100">
        <v>196.2</v>
      </c>
      <c r="O45" s="100">
        <v>0</v>
      </c>
      <c r="P45" s="100">
        <v>0.1</v>
      </c>
      <c r="Q45" s="100">
        <v>9.91</v>
      </c>
      <c r="R45" s="6"/>
      <c r="S45" s="6"/>
      <c r="T45" s="156"/>
      <c r="U45" s="6"/>
    </row>
    <row r="46" spans="1:21" customFormat="1">
      <c r="A46" s="163" t="s">
        <v>565</v>
      </c>
      <c r="B46" s="100">
        <v>2.72</v>
      </c>
      <c r="C46" s="100">
        <v>4.62</v>
      </c>
      <c r="D46" s="100">
        <v>1.94</v>
      </c>
      <c r="E46" s="100">
        <v>5.26</v>
      </c>
      <c r="F46" s="100">
        <v>2.15</v>
      </c>
      <c r="G46" s="100">
        <v>7.47</v>
      </c>
      <c r="H46" s="100">
        <v>2.65</v>
      </c>
      <c r="I46" s="100">
        <v>3.03</v>
      </c>
      <c r="J46" s="100">
        <v>1.34</v>
      </c>
      <c r="K46" s="100">
        <v>259</v>
      </c>
      <c r="L46" s="100">
        <v>27.14</v>
      </c>
      <c r="M46" s="100">
        <v>81.16</v>
      </c>
      <c r="N46" s="100">
        <v>218.2</v>
      </c>
      <c r="O46" s="100">
        <v>0</v>
      </c>
      <c r="P46" s="100">
        <v>0.11</v>
      </c>
      <c r="Q46" s="100">
        <v>9.91</v>
      </c>
      <c r="R46" s="6"/>
      <c r="S46" s="6"/>
      <c r="T46" s="156"/>
      <c r="U46" s="6"/>
    </row>
    <row r="47" spans="1:21" customFormat="1">
      <c r="A47" s="163" t="s">
        <v>566</v>
      </c>
      <c r="B47" s="100">
        <v>2.71</v>
      </c>
      <c r="C47" s="100">
        <v>4.5999999999999996</v>
      </c>
      <c r="D47" s="100">
        <v>1.94</v>
      </c>
      <c r="E47" s="100">
        <v>5.35</v>
      </c>
      <c r="F47" s="100">
        <v>2.35</v>
      </c>
      <c r="G47" s="100">
        <v>11.72</v>
      </c>
      <c r="H47" s="100">
        <v>3.97</v>
      </c>
      <c r="I47" s="100">
        <v>3.01</v>
      </c>
      <c r="J47" s="100">
        <v>1.2</v>
      </c>
      <c r="K47" s="100">
        <v>265.77</v>
      </c>
      <c r="L47" s="100">
        <v>27.32</v>
      </c>
      <c r="M47" s="100">
        <v>80.53</v>
      </c>
      <c r="N47" s="100">
        <v>210.1</v>
      </c>
      <c r="O47" s="100">
        <v>0</v>
      </c>
      <c r="P47" s="100">
        <v>0.1</v>
      </c>
      <c r="Q47" s="100">
        <v>9.91</v>
      </c>
      <c r="R47" s="6"/>
      <c r="S47" s="6"/>
      <c r="T47" s="156"/>
      <c r="U47" s="6"/>
    </row>
    <row r="48" spans="1:21" customFormat="1">
      <c r="A48" s="163" t="s">
        <v>567</v>
      </c>
      <c r="B48" s="100">
        <v>2.7</v>
      </c>
      <c r="C48" s="100">
        <v>4.59</v>
      </c>
      <c r="D48" s="100">
        <v>1.94</v>
      </c>
      <c r="E48" s="100">
        <v>5.23</v>
      </c>
      <c r="F48" s="100">
        <v>2.48</v>
      </c>
      <c r="G48" s="100">
        <v>12.08</v>
      </c>
      <c r="H48" s="100">
        <v>3.97</v>
      </c>
      <c r="I48" s="100">
        <v>2.94</v>
      </c>
      <c r="J48" s="100">
        <v>1.21</v>
      </c>
      <c r="K48" s="100">
        <v>262.08999999999997</v>
      </c>
      <c r="L48" s="100">
        <v>27.31</v>
      </c>
      <c r="M48" s="100">
        <v>80.55</v>
      </c>
      <c r="N48" s="100">
        <v>167.9</v>
      </c>
      <c r="O48" s="100">
        <v>0</v>
      </c>
      <c r="P48" s="100">
        <v>0.1</v>
      </c>
      <c r="Q48" s="100">
        <v>9.89</v>
      </c>
      <c r="R48" s="6"/>
      <c r="S48" s="6"/>
      <c r="T48" s="156"/>
      <c r="U48" s="6"/>
    </row>
    <row r="49" spans="1:21" customFormat="1">
      <c r="A49" s="163" t="s">
        <v>568</v>
      </c>
      <c r="B49" s="100">
        <v>2.7</v>
      </c>
      <c r="C49" s="100">
        <v>4.58</v>
      </c>
      <c r="D49" s="100">
        <v>1.93</v>
      </c>
      <c r="E49" s="100">
        <v>4.28</v>
      </c>
      <c r="F49" s="100">
        <v>1.93</v>
      </c>
      <c r="G49" s="100">
        <v>12.08</v>
      </c>
      <c r="H49" s="100">
        <v>3.97</v>
      </c>
      <c r="I49" s="100">
        <v>2.92</v>
      </c>
      <c r="J49" s="100">
        <v>1.08</v>
      </c>
      <c r="K49" s="100">
        <v>263.37</v>
      </c>
      <c r="L49" s="100">
        <v>27.26</v>
      </c>
      <c r="M49" s="100">
        <v>81.22</v>
      </c>
      <c r="N49" s="100">
        <v>142.80000000000001</v>
      </c>
      <c r="O49" s="100">
        <v>0</v>
      </c>
      <c r="P49" s="100">
        <v>0.1</v>
      </c>
      <c r="Q49" s="100">
        <v>9.9</v>
      </c>
      <c r="R49" s="6"/>
      <c r="S49" s="6"/>
      <c r="T49" s="156"/>
      <c r="U49" s="6"/>
    </row>
    <row r="50" spans="1:21" customFormat="1">
      <c r="A50" s="163" t="s">
        <v>569</v>
      </c>
      <c r="B50" s="100">
        <v>2.69</v>
      </c>
      <c r="C50" s="100">
        <v>4.57</v>
      </c>
      <c r="D50" s="100">
        <v>1.93</v>
      </c>
      <c r="E50" s="100">
        <v>4.93</v>
      </c>
      <c r="F50" s="100">
        <v>1.75</v>
      </c>
      <c r="G50" s="100">
        <v>12.08</v>
      </c>
      <c r="H50" s="100">
        <v>3.97</v>
      </c>
      <c r="I50" s="100">
        <v>2.87</v>
      </c>
      <c r="J50" s="100">
        <v>1.0900000000000001</v>
      </c>
      <c r="K50" s="100">
        <v>265.74</v>
      </c>
      <c r="L50" s="100">
        <v>27.52</v>
      </c>
      <c r="M50" s="100">
        <v>80.209999999999994</v>
      </c>
      <c r="N50" s="100">
        <v>237.2</v>
      </c>
      <c r="O50" s="100">
        <v>0</v>
      </c>
      <c r="P50" s="100">
        <v>0.11</v>
      </c>
      <c r="Q50" s="100">
        <v>9.91</v>
      </c>
      <c r="R50" s="6"/>
      <c r="S50" s="6"/>
      <c r="T50" s="156"/>
      <c r="U50" s="6"/>
    </row>
    <row r="51" spans="1:21" customFormat="1">
      <c r="A51" s="163" t="s">
        <v>570</v>
      </c>
      <c r="B51" s="100">
        <v>2.69</v>
      </c>
      <c r="C51" s="100">
        <v>4.57</v>
      </c>
      <c r="D51" s="100">
        <v>1.93</v>
      </c>
      <c r="E51" s="100">
        <v>5.17</v>
      </c>
      <c r="F51" s="100">
        <v>2.09</v>
      </c>
      <c r="G51" s="100">
        <v>19.78</v>
      </c>
      <c r="H51" s="100">
        <v>8.2799999999999994</v>
      </c>
      <c r="I51" s="100">
        <v>2.87</v>
      </c>
      <c r="J51" s="100">
        <v>1.1399999999999999</v>
      </c>
      <c r="K51" s="100">
        <v>259.86</v>
      </c>
      <c r="L51" s="100">
        <v>28</v>
      </c>
      <c r="M51" s="100">
        <v>78.8</v>
      </c>
      <c r="N51" s="100">
        <v>280.7</v>
      </c>
      <c r="O51" s="100">
        <v>0</v>
      </c>
      <c r="P51" s="100">
        <v>0.11</v>
      </c>
      <c r="Q51" s="100">
        <v>9.91</v>
      </c>
      <c r="R51" s="6"/>
      <c r="S51" s="6"/>
      <c r="T51" s="156"/>
      <c r="U51" s="6"/>
    </row>
    <row r="52" spans="1:21" customFormat="1">
      <c r="A52" s="163" t="s">
        <v>571</v>
      </c>
      <c r="B52" s="100">
        <v>2.69</v>
      </c>
      <c r="C52" s="100">
        <v>4.5599999999999996</v>
      </c>
      <c r="D52" s="100">
        <v>1.92</v>
      </c>
      <c r="E52" s="100">
        <v>4.96</v>
      </c>
      <c r="F52" s="100">
        <v>3.03</v>
      </c>
      <c r="G52" s="100">
        <v>20.43</v>
      </c>
      <c r="H52" s="100">
        <v>8.2799999999999994</v>
      </c>
      <c r="I52" s="100">
        <v>2.95</v>
      </c>
      <c r="J52" s="100">
        <v>0.81</v>
      </c>
      <c r="K52" s="100">
        <v>265.61</v>
      </c>
      <c r="L52" s="100">
        <v>27.76</v>
      </c>
      <c r="M52" s="100">
        <v>80.09</v>
      </c>
      <c r="N52" s="100">
        <v>171.6</v>
      </c>
      <c r="O52" s="100">
        <v>0</v>
      </c>
      <c r="P52" s="100">
        <v>0.11</v>
      </c>
      <c r="Q52" s="100">
        <v>9.92</v>
      </c>
      <c r="R52" s="6"/>
      <c r="S52" s="6"/>
      <c r="T52" s="156"/>
      <c r="U52" s="6"/>
    </row>
    <row r="53" spans="1:21" customFormat="1">
      <c r="A53" s="163" t="s">
        <v>572</v>
      </c>
      <c r="B53" s="100">
        <v>2.68</v>
      </c>
      <c r="C53" s="100">
        <v>4.5599999999999996</v>
      </c>
      <c r="D53" s="100">
        <v>1.92</v>
      </c>
      <c r="E53" s="100">
        <v>5.24</v>
      </c>
      <c r="F53" s="100">
        <v>1.77</v>
      </c>
      <c r="G53" s="100">
        <v>20.43</v>
      </c>
      <c r="H53" s="100">
        <v>8.2799999999999994</v>
      </c>
      <c r="I53" s="100">
        <v>2.99</v>
      </c>
      <c r="J53" s="100">
        <v>1.21</v>
      </c>
      <c r="K53" s="100">
        <v>261.95</v>
      </c>
      <c r="L53" s="100">
        <v>27.63</v>
      </c>
      <c r="M53" s="100">
        <v>79.97</v>
      </c>
      <c r="N53" s="100">
        <v>161.30000000000001</v>
      </c>
      <c r="O53" s="100">
        <v>0</v>
      </c>
      <c r="P53" s="100">
        <v>0.1</v>
      </c>
      <c r="Q53" s="100">
        <v>9.91</v>
      </c>
      <c r="R53" s="6"/>
      <c r="S53" s="6"/>
      <c r="T53" s="156"/>
      <c r="U53" s="6"/>
    </row>
    <row r="54" spans="1:21" customFormat="1">
      <c r="A54" s="163" t="s">
        <v>573</v>
      </c>
      <c r="B54" s="100">
        <v>2.68</v>
      </c>
      <c r="C54" s="100">
        <v>4.5599999999999996</v>
      </c>
      <c r="D54" s="100">
        <v>1.93</v>
      </c>
      <c r="E54" s="100">
        <v>5</v>
      </c>
      <c r="F54" s="100">
        <v>1.81</v>
      </c>
      <c r="G54" s="100">
        <v>20.43</v>
      </c>
      <c r="H54" s="100">
        <v>8.2799999999999994</v>
      </c>
      <c r="I54" s="100">
        <v>2.97</v>
      </c>
      <c r="J54" s="100">
        <v>1.05</v>
      </c>
      <c r="K54" s="100">
        <v>264.95</v>
      </c>
      <c r="L54" s="100">
        <v>28.25</v>
      </c>
      <c r="M54" s="100">
        <v>78.03</v>
      </c>
      <c r="N54" s="100">
        <v>277.5</v>
      </c>
      <c r="O54" s="100">
        <v>0</v>
      </c>
      <c r="P54" s="100">
        <v>0.11</v>
      </c>
      <c r="Q54" s="100">
        <v>9.9</v>
      </c>
      <c r="R54" s="6"/>
      <c r="S54" s="6"/>
      <c r="T54" s="156"/>
      <c r="U54" s="6"/>
    </row>
    <row r="55" spans="1:21" customFormat="1">
      <c r="A55" s="163" t="s">
        <v>574</v>
      </c>
      <c r="B55" s="100">
        <v>2.67</v>
      </c>
      <c r="C55" s="100">
        <v>4.5599999999999996</v>
      </c>
      <c r="D55" s="100">
        <v>1.93</v>
      </c>
      <c r="E55" s="100">
        <v>4.9400000000000004</v>
      </c>
      <c r="F55" s="100">
        <v>1.94</v>
      </c>
      <c r="G55" s="100">
        <v>23.83</v>
      </c>
      <c r="H55" s="100">
        <v>6.9</v>
      </c>
      <c r="I55" s="100">
        <v>2.96</v>
      </c>
      <c r="J55" s="100">
        <v>1.02</v>
      </c>
      <c r="K55" s="100">
        <v>266.45999999999998</v>
      </c>
      <c r="L55" s="100">
        <v>27.96</v>
      </c>
      <c r="M55" s="100">
        <v>78.72</v>
      </c>
      <c r="N55" s="100">
        <v>149.9</v>
      </c>
      <c r="O55" s="100">
        <v>0</v>
      </c>
      <c r="P55" s="100">
        <v>0.11</v>
      </c>
      <c r="Q55" s="100">
        <v>9.89</v>
      </c>
      <c r="R55" s="6"/>
      <c r="S55" s="6"/>
      <c r="T55" s="156"/>
      <c r="U55" s="6"/>
    </row>
    <row r="56" spans="1:21" customFormat="1">
      <c r="A56" s="163" t="s">
        <v>575</v>
      </c>
      <c r="B56" s="100">
        <v>2.67</v>
      </c>
      <c r="C56" s="100">
        <v>4.5599999999999996</v>
      </c>
      <c r="D56" s="100">
        <v>1.93</v>
      </c>
      <c r="E56" s="100">
        <v>4.72</v>
      </c>
      <c r="F56" s="100">
        <v>2.1</v>
      </c>
      <c r="G56" s="100">
        <v>24.12</v>
      </c>
      <c r="H56" s="100">
        <v>6.9</v>
      </c>
      <c r="I56" s="100">
        <v>3.01</v>
      </c>
      <c r="J56" s="100">
        <v>0.98</v>
      </c>
      <c r="K56" s="100">
        <v>263.20999999999998</v>
      </c>
      <c r="L56" s="100">
        <v>28.04</v>
      </c>
      <c r="M56" s="100">
        <v>78.63</v>
      </c>
      <c r="N56" s="100">
        <v>154.30000000000001</v>
      </c>
      <c r="O56" s="100">
        <v>0</v>
      </c>
      <c r="P56" s="100">
        <v>0.11</v>
      </c>
      <c r="Q56" s="100">
        <v>9.9</v>
      </c>
      <c r="R56" s="6"/>
      <c r="S56" s="6"/>
      <c r="T56" s="156"/>
      <c r="U56" s="6"/>
    </row>
    <row r="57" spans="1:21" customFormat="1">
      <c r="A57" s="163" t="s">
        <v>576</v>
      </c>
      <c r="B57" s="100">
        <v>2.67</v>
      </c>
      <c r="C57" s="100">
        <v>4.57</v>
      </c>
      <c r="D57" s="100">
        <v>1.94</v>
      </c>
      <c r="E57" s="100">
        <v>5.24</v>
      </c>
      <c r="F57" s="100">
        <v>1.97</v>
      </c>
      <c r="G57" s="100">
        <v>24.12</v>
      </c>
      <c r="H57" s="100">
        <v>6.9</v>
      </c>
      <c r="I57" s="100">
        <v>3.08</v>
      </c>
      <c r="J57" s="100">
        <v>1.24</v>
      </c>
      <c r="K57" s="100">
        <v>258.11</v>
      </c>
      <c r="L57" s="100">
        <v>28.17</v>
      </c>
      <c r="M57" s="100">
        <v>77.81</v>
      </c>
      <c r="N57" s="100">
        <v>244.2</v>
      </c>
      <c r="O57" s="100">
        <v>0</v>
      </c>
      <c r="P57" s="100">
        <v>0.11</v>
      </c>
      <c r="Q57" s="100">
        <v>9.9</v>
      </c>
      <c r="R57" s="6"/>
      <c r="S57" s="6"/>
      <c r="T57" s="156"/>
      <c r="U57" s="6"/>
    </row>
    <row r="58" spans="1:21" customFormat="1">
      <c r="A58" s="163" t="s">
        <v>577</v>
      </c>
      <c r="B58" s="100">
        <v>2.69</v>
      </c>
      <c r="C58" s="100">
        <v>4.58</v>
      </c>
      <c r="D58" s="100">
        <v>1.94</v>
      </c>
      <c r="E58" s="100">
        <v>5.15</v>
      </c>
      <c r="F58" s="100">
        <v>2.9</v>
      </c>
      <c r="G58" s="100">
        <v>24.12</v>
      </c>
      <c r="H58" s="100">
        <v>6.9</v>
      </c>
      <c r="I58" s="100">
        <v>3.14</v>
      </c>
      <c r="J58" s="100">
        <v>0.97</v>
      </c>
      <c r="K58" s="100">
        <v>263.64999999999998</v>
      </c>
      <c r="L58" s="100">
        <v>27.88</v>
      </c>
      <c r="M58" s="100">
        <v>78.36</v>
      </c>
      <c r="N58" s="100">
        <v>60.8</v>
      </c>
      <c r="O58" s="100">
        <v>0</v>
      </c>
      <c r="P58" s="100">
        <v>0.09</v>
      </c>
      <c r="Q58" s="100">
        <v>9.8800000000000008</v>
      </c>
      <c r="R58" s="6"/>
      <c r="S58" s="6"/>
      <c r="T58" s="156"/>
      <c r="U58" s="6"/>
    </row>
    <row r="59" spans="1:21" customFormat="1">
      <c r="A59" s="163" t="s">
        <v>578</v>
      </c>
      <c r="B59" s="100">
        <v>2.7</v>
      </c>
      <c r="C59" s="100">
        <v>4.59</v>
      </c>
      <c r="D59" s="100">
        <v>1.93</v>
      </c>
      <c r="E59" s="100">
        <v>4.72</v>
      </c>
      <c r="F59" s="100">
        <v>5.3</v>
      </c>
      <c r="G59" s="100">
        <v>26.74</v>
      </c>
      <c r="H59" s="100">
        <v>8.3800000000000008</v>
      </c>
      <c r="I59" s="100">
        <v>3.14</v>
      </c>
      <c r="J59" s="100">
        <v>1.05</v>
      </c>
      <c r="K59" s="100">
        <v>259.91000000000003</v>
      </c>
      <c r="L59" s="100">
        <v>27.91</v>
      </c>
      <c r="M59" s="100">
        <v>78.39</v>
      </c>
      <c r="N59" s="100">
        <v>170.1</v>
      </c>
      <c r="O59" s="100">
        <v>0</v>
      </c>
      <c r="P59" s="100">
        <v>0.09</v>
      </c>
      <c r="Q59" s="100">
        <v>9.9</v>
      </c>
      <c r="R59" s="6"/>
      <c r="S59" s="6"/>
      <c r="T59" s="156"/>
      <c r="U59" s="6"/>
    </row>
    <row r="60" spans="1:21" customFormat="1">
      <c r="A60" s="163" t="s">
        <v>579</v>
      </c>
      <c r="B60" s="100">
        <v>2.71</v>
      </c>
      <c r="C60" s="100">
        <v>4.57</v>
      </c>
      <c r="D60" s="100">
        <v>1.91</v>
      </c>
      <c r="E60" s="100">
        <v>4.59</v>
      </c>
      <c r="F60" s="100">
        <v>3.36</v>
      </c>
      <c r="G60" s="100">
        <v>26.96</v>
      </c>
      <c r="H60" s="100">
        <v>8.3800000000000008</v>
      </c>
      <c r="I60" s="100">
        <v>3.22</v>
      </c>
      <c r="J60" s="100">
        <v>1</v>
      </c>
      <c r="K60" s="100">
        <v>260.98</v>
      </c>
      <c r="L60" s="100">
        <v>28.3</v>
      </c>
      <c r="M60" s="100">
        <v>77.37</v>
      </c>
      <c r="N60" s="100">
        <v>159.1</v>
      </c>
      <c r="O60" s="100">
        <v>0</v>
      </c>
      <c r="P60" s="100">
        <v>0.1</v>
      </c>
      <c r="Q60" s="100">
        <v>9.9</v>
      </c>
      <c r="R60" s="6"/>
      <c r="S60" s="6"/>
      <c r="T60" s="156"/>
      <c r="U60" s="6"/>
    </row>
    <row r="61" spans="1:21" customFormat="1">
      <c r="A61" s="163" t="s">
        <v>580</v>
      </c>
      <c r="B61" s="100">
        <v>2.72</v>
      </c>
      <c r="C61" s="100">
        <v>4.5999999999999996</v>
      </c>
      <c r="D61" s="100">
        <v>1.93</v>
      </c>
      <c r="E61" s="100">
        <v>4.82</v>
      </c>
      <c r="F61" s="100">
        <v>2.44</v>
      </c>
      <c r="G61" s="100">
        <v>26.96</v>
      </c>
      <c r="H61" s="100">
        <v>8.3800000000000008</v>
      </c>
      <c r="I61" s="100">
        <v>3.41</v>
      </c>
      <c r="J61" s="100">
        <v>1</v>
      </c>
      <c r="K61" s="100">
        <v>260.98</v>
      </c>
      <c r="L61" s="100">
        <v>28.43</v>
      </c>
      <c r="M61" s="100">
        <v>75.52</v>
      </c>
      <c r="N61" s="100">
        <v>284.3</v>
      </c>
      <c r="O61" s="100">
        <v>0</v>
      </c>
      <c r="P61" s="100">
        <v>0.11</v>
      </c>
      <c r="Q61" s="100">
        <v>9.9</v>
      </c>
      <c r="R61" s="6"/>
      <c r="S61" s="6"/>
      <c r="T61" s="156"/>
      <c r="U61" s="6"/>
    </row>
    <row r="62" spans="1:21" customFormat="1">
      <c r="A62" s="163" t="s">
        <v>581</v>
      </c>
      <c r="B62" s="133" t="s">
        <v>4</v>
      </c>
      <c r="C62" s="133" t="s">
        <v>4</v>
      </c>
      <c r="D62" s="133" t="s">
        <v>4</v>
      </c>
      <c r="E62" s="133" t="s">
        <v>4</v>
      </c>
      <c r="F62" s="133" t="s">
        <v>4</v>
      </c>
      <c r="G62" s="133" t="s">
        <v>4</v>
      </c>
      <c r="H62" s="133" t="s">
        <v>4</v>
      </c>
      <c r="I62" s="133" t="s">
        <v>4</v>
      </c>
      <c r="J62" s="133" t="s">
        <v>4</v>
      </c>
      <c r="K62" s="133" t="s">
        <v>4</v>
      </c>
      <c r="L62" s="133" t="s">
        <v>4</v>
      </c>
      <c r="M62" s="133" t="s">
        <v>4</v>
      </c>
      <c r="N62" s="133" t="s">
        <v>4</v>
      </c>
      <c r="O62" s="133" t="s">
        <v>4</v>
      </c>
      <c r="P62" s="133" t="s">
        <v>4</v>
      </c>
      <c r="Q62" s="133" t="s">
        <v>4</v>
      </c>
      <c r="R62" s="6"/>
      <c r="S62" s="6"/>
      <c r="T62" s="156"/>
      <c r="U62" s="6"/>
    </row>
    <row r="63" spans="1:21" customFormat="1">
      <c r="A63" s="163" t="s">
        <v>582</v>
      </c>
      <c r="B63" s="133" t="s">
        <v>4</v>
      </c>
      <c r="C63" s="133" t="s">
        <v>4</v>
      </c>
      <c r="D63" s="133" t="s">
        <v>4</v>
      </c>
      <c r="E63" s="133" t="s">
        <v>4</v>
      </c>
      <c r="F63" s="133" t="s">
        <v>4</v>
      </c>
      <c r="G63" s="133" t="s">
        <v>4</v>
      </c>
      <c r="H63" s="133" t="s">
        <v>4</v>
      </c>
      <c r="I63" s="133" t="s">
        <v>4</v>
      </c>
      <c r="J63" s="133" t="s">
        <v>4</v>
      </c>
      <c r="K63" s="133" t="s">
        <v>4</v>
      </c>
      <c r="L63" s="133" t="s">
        <v>4</v>
      </c>
      <c r="M63" s="133" t="s">
        <v>4</v>
      </c>
      <c r="N63" s="133" t="s">
        <v>4</v>
      </c>
      <c r="O63" s="133" t="s">
        <v>4</v>
      </c>
      <c r="P63" s="133" t="s">
        <v>4</v>
      </c>
      <c r="Q63" s="133" t="s">
        <v>4</v>
      </c>
      <c r="R63" s="6"/>
      <c r="S63" s="6"/>
      <c r="T63" s="156"/>
      <c r="U63" s="6"/>
    </row>
    <row r="64" spans="1:21" customFormat="1">
      <c r="A64" s="163" t="s">
        <v>583</v>
      </c>
      <c r="B64" s="150" t="s">
        <v>21</v>
      </c>
      <c r="C64" s="150" t="s">
        <v>21</v>
      </c>
      <c r="D64" s="150" t="s">
        <v>21</v>
      </c>
      <c r="E64" s="150" t="s">
        <v>21</v>
      </c>
      <c r="F64" s="100">
        <v>6.09</v>
      </c>
      <c r="G64" s="100">
        <v>23.09</v>
      </c>
      <c r="H64" s="100">
        <v>6.32</v>
      </c>
      <c r="I64" s="100">
        <v>0</v>
      </c>
      <c r="J64" s="100">
        <v>0.7</v>
      </c>
      <c r="K64" s="100">
        <v>261.11</v>
      </c>
      <c r="L64" s="100">
        <v>27.58</v>
      </c>
      <c r="M64" s="100">
        <v>80.5</v>
      </c>
      <c r="N64" s="100">
        <v>127.6</v>
      </c>
      <c r="O64" s="100">
        <v>0</v>
      </c>
      <c r="P64" s="100">
        <v>0.18</v>
      </c>
      <c r="Q64" s="150" t="s">
        <v>21</v>
      </c>
      <c r="R64" s="6"/>
      <c r="S64" s="6"/>
      <c r="T64" s="156"/>
      <c r="U64" s="6"/>
    </row>
    <row r="65" spans="1:21" customFormat="1">
      <c r="A65" s="163" t="s">
        <v>584</v>
      </c>
      <c r="B65" s="100">
        <v>2.98</v>
      </c>
      <c r="C65" s="100">
        <v>4.66</v>
      </c>
      <c r="D65" s="100">
        <v>1.82</v>
      </c>
      <c r="E65" s="100">
        <v>3.11</v>
      </c>
      <c r="F65" s="100">
        <v>3.25</v>
      </c>
      <c r="G65" s="100">
        <v>18.87</v>
      </c>
      <c r="H65" s="100">
        <v>5.87</v>
      </c>
      <c r="I65" s="100">
        <v>0</v>
      </c>
      <c r="J65" s="100">
        <v>0.77</v>
      </c>
      <c r="K65" s="100">
        <v>259.47000000000003</v>
      </c>
      <c r="L65" s="100">
        <v>27.75</v>
      </c>
      <c r="M65" s="100">
        <v>80.739999999999995</v>
      </c>
      <c r="N65" s="100">
        <v>109.7</v>
      </c>
      <c r="O65" s="100">
        <v>0</v>
      </c>
      <c r="P65" s="100">
        <v>0.1</v>
      </c>
      <c r="Q65" s="150" t="s">
        <v>21</v>
      </c>
      <c r="R65" s="6"/>
      <c r="S65" s="6"/>
      <c r="T65" s="156"/>
      <c r="U65" s="6"/>
    </row>
    <row r="66" spans="1:21" customFormat="1">
      <c r="A66" s="163" t="s">
        <v>585</v>
      </c>
      <c r="B66" s="100">
        <v>2.58</v>
      </c>
      <c r="C66" s="100">
        <v>4.42</v>
      </c>
      <c r="D66" s="100">
        <v>1.88</v>
      </c>
      <c r="E66" s="100">
        <v>0.26</v>
      </c>
      <c r="F66" s="100">
        <v>3.5</v>
      </c>
      <c r="G66" s="100">
        <v>18.87</v>
      </c>
      <c r="H66" s="100">
        <v>5.87</v>
      </c>
      <c r="I66" s="100">
        <v>2.09</v>
      </c>
      <c r="J66" s="100">
        <v>0.94</v>
      </c>
      <c r="K66" s="100">
        <v>261.14</v>
      </c>
      <c r="L66" s="100">
        <v>28.02</v>
      </c>
      <c r="M66" s="100">
        <v>79.3</v>
      </c>
      <c r="N66" s="100">
        <v>157.4</v>
      </c>
      <c r="O66" s="100">
        <v>0</v>
      </c>
      <c r="P66" s="100">
        <v>0.09</v>
      </c>
      <c r="Q66" s="100">
        <v>11.36</v>
      </c>
      <c r="R66" s="6"/>
      <c r="S66" s="6"/>
      <c r="T66" s="156"/>
      <c r="U66" s="6"/>
    </row>
    <row r="67" spans="1:21" customFormat="1">
      <c r="A67" s="163" t="s">
        <v>586</v>
      </c>
      <c r="B67" s="100">
        <v>2.3199999999999998</v>
      </c>
      <c r="C67" s="100">
        <v>4.24</v>
      </c>
      <c r="D67" s="100">
        <v>1.89</v>
      </c>
      <c r="E67" s="100">
        <v>-3.92</v>
      </c>
      <c r="F67" s="100">
        <v>4.1900000000000004</v>
      </c>
      <c r="G67" s="100">
        <v>52.94</v>
      </c>
      <c r="H67" s="100">
        <v>9.5399999999999991</v>
      </c>
      <c r="I67" s="100">
        <v>3.89</v>
      </c>
      <c r="J67" s="100">
        <v>0.76</v>
      </c>
      <c r="K67" s="100">
        <v>258.66000000000003</v>
      </c>
      <c r="L67" s="100">
        <v>27.95</v>
      </c>
      <c r="M67" s="100">
        <v>78.97</v>
      </c>
      <c r="N67" s="100">
        <v>118.6</v>
      </c>
      <c r="O67" s="100">
        <v>0</v>
      </c>
      <c r="P67" s="100">
        <v>0.08</v>
      </c>
      <c r="Q67" s="100">
        <v>11.36</v>
      </c>
      <c r="R67" s="6"/>
      <c r="S67" s="6"/>
      <c r="T67" s="156"/>
      <c r="U67" s="6"/>
    </row>
    <row r="68" spans="1:21" customFormat="1">
      <c r="A68" s="163" t="s">
        <v>587</v>
      </c>
      <c r="B68" s="100">
        <v>2.2599999999999998</v>
      </c>
      <c r="C68" s="100">
        <v>4.16</v>
      </c>
      <c r="D68" s="100">
        <v>1.87</v>
      </c>
      <c r="E68" s="100">
        <v>-5.16</v>
      </c>
      <c r="F68" s="100">
        <v>3.7</v>
      </c>
      <c r="G68" s="100">
        <v>55.82</v>
      </c>
      <c r="H68" s="100">
        <v>9.5399999999999991</v>
      </c>
      <c r="I68" s="100">
        <v>3.96</v>
      </c>
      <c r="J68" s="100">
        <v>0.79</v>
      </c>
      <c r="K68" s="100">
        <v>259.92</v>
      </c>
      <c r="L68" s="100">
        <v>28.05</v>
      </c>
      <c r="M68" s="100">
        <v>78.3</v>
      </c>
      <c r="N68" s="100">
        <v>126.8</v>
      </c>
      <c r="O68" s="100">
        <v>0</v>
      </c>
      <c r="P68" s="100">
        <v>0.08</v>
      </c>
      <c r="Q68" s="100">
        <v>11.36</v>
      </c>
      <c r="R68" s="6"/>
      <c r="S68" s="6"/>
      <c r="T68" s="156"/>
      <c r="U68" s="6"/>
    </row>
    <row r="69" spans="1:21" customFormat="1">
      <c r="A69" s="163" t="s">
        <v>588</v>
      </c>
      <c r="B69" s="100">
        <v>2.2400000000000002</v>
      </c>
      <c r="C69" s="100">
        <v>4.17</v>
      </c>
      <c r="D69" s="100">
        <v>1.89</v>
      </c>
      <c r="E69" s="100">
        <v>-5.39</v>
      </c>
      <c r="F69" s="100">
        <v>2.44</v>
      </c>
      <c r="G69" s="100">
        <v>55.82</v>
      </c>
      <c r="H69" s="100">
        <v>9.5399999999999991</v>
      </c>
      <c r="I69" s="100">
        <v>3.94</v>
      </c>
      <c r="J69" s="100">
        <v>0.77</v>
      </c>
      <c r="K69" s="100">
        <v>261.04000000000002</v>
      </c>
      <c r="L69" s="100">
        <v>28.01</v>
      </c>
      <c r="M69" s="100">
        <v>78.41</v>
      </c>
      <c r="N69" s="100">
        <v>90.1</v>
      </c>
      <c r="O69" s="100">
        <v>0</v>
      </c>
      <c r="P69" s="100">
        <v>0.09</v>
      </c>
      <c r="Q69" s="100">
        <v>11.36</v>
      </c>
      <c r="R69" s="6"/>
      <c r="S69" s="6"/>
      <c r="T69" s="156"/>
      <c r="U69" s="6"/>
    </row>
    <row r="70" spans="1:21" customFormat="1">
      <c r="A70" s="163" t="s">
        <v>589</v>
      </c>
      <c r="B70" s="100">
        <v>2.23</v>
      </c>
      <c r="C70" s="100">
        <v>4.1399999999999997</v>
      </c>
      <c r="D70" s="100">
        <v>1.88</v>
      </c>
      <c r="E70" s="100">
        <v>-5.79</v>
      </c>
      <c r="F70" s="100">
        <v>3.23</v>
      </c>
      <c r="G70" s="100">
        <v>55.82</v>
      </c>
      <c r="H70" s="100">
        <v>9.5399999999999991</v>
      </c>
      <c r="I70" s="100">
        <v>3.99</v>
      </c>
      <c r="J70" s="100">
        <v>0.75</v>
      </c>
      <c r="K70" s="100">
        <v>262.04000000000002</v>
      </c>
      <c r="L70" s="100">
        <v>27.78</v>
      </c>
      <c r="M70" s="100">
        <v>79.459999999999994</v>
      </c>
      <c r="N70" s="100">
        <v>44.7</v>
      </c>
      <c r="O70" s="100">
        <v>0</v>
      </c>
      <c r="P70" s="100">
        <v>7.0000000000000007E-2</v>
      </c>
      <c r="Q70" s="100">
        <v>11.36</v>
      </c>
      <c r="R70" s="6"/>
      <c r="S70" s="6"/>
      <c r="T70" s="156"/>
      <c r="U70" s="6"/>
    </row>
    <row r="71" spans="1:21" customFormat="1">
      <c r="A71" s="163" t="s">
        <v>590</v>
      </c>
      <c r="B71" s="100">
        <v>2.2200000000000002</v>
      </c>
      <c r="C71" s="100">
        <v>4.1100000000000003</v>
      </c>
      <c r="D71" s="100">
        <v>1.86</v>
      </c>
      <c r="E71" s="100">
        <v>-6.18</v>
      </c>
      <c r="F71" s="100">
        <v>2.73</v>
      </c>
      <c r="G71" s="100">
        <v>37.75</v>
      </c>
      <c r="H71" s="100">
        <v>8.4700000000000006</v>
      </c>
      <c r="I71" s="100">
        <v>4.17</v>
      </c>
      <c r="J71" s="100">
        <v>0.8</v>
      </c>
      <c r="K71" s="100">
        <v>263.23</v>
      </c>
      <c r="L71" s="100">
        <v>27.55</v>
      </c>
      <c r="M71" s="100">
        <v>80.2</v>
      </c>
      <c r="N71" s="100">
        <v>62.2</v>
      </c>
      <c r="O71" s="100">
        <v>0</v>
      </c>
      <c r="P71" s="100">
        <v>0.08</v>
      </c>
      <c r="Q71" s="100">
        <v>11.36</v>
      </c>
      <c r="R71" s="6"/>
      <c r="S71" s="6"/>
      <c r="T71" s="156"/>
      <c r="U71" s="6"/>
    </row>
    <row r="72" spans="1:21" customFormat="1">
      <c r="A72" s="163" t="s">
        <v>591</v>
      </c>
      <c r="B72" s="100">
        <v>2.2200000000000002</v>
      </c>
      <c r="C72" s="100">
        <v>4.12</v>
      </c>
      <c r="D72" s="100">
        <v>1.87</v>
      </c>
      <c r="E72" s="100">
        <v>-6.54</v>
      </c>
      <c r="F72" s="100">
        <v>2.38</v>
      </c>
      <c r="G72" s="100">
        <v>36.22</v>
      </c>
      <c r="H72" s="100">
        <v>8.4700000000000006</v>
      </c>
      <c r="I72" s="100">
        <v>4.09</v>
      </c>
      <c r="J72" s="100">
        <v>1.48</v>
      </c>
      <c r="K72" s="100">
        <v>290.26</v>
      </c>
      <c r="L72" s="100">
        <v>27.06</v>
      </c>
      <c r="M72" s="100">
        <v>82.44</v>
      </c>
      <c r="N72" s="100">
        <v>24.6</v>
      </c>
      <c r="O72" s="100">
        <v>2</v>
      </c>
      <c r="P72" s="100">
        <v>0.08</v>
      </c>
      <c r="Q72" s="100">
        <v>11.36</v>
      </c>
      <c r="R72" s="6"/>
      <c r="S72" s="6"/>
      <c r="T72" s="156"/>
      <c r="U72" s="6"/>
    </row>
    <row r="73" spans="1:21" customFormat="1">
      <c r="A73" s="163" t="s">
        <v>592</v>
      </c>
      <c r="B73" s="100">
        <v>2.2799999999999998</v>
      </c>
      <c r="C73" s="100">
        <v>4.21</v>
      </c>
      <c r="D73" s="100">
        <v>1.9</v>
      </c>
      <c r="E73" s="100">
        <v>-6.94</v>
      </c>
      <c r="F73" s="100">
        <v>2.2799999999999998</v>
      </c>
      <c r="G73" s="100">
        <v>36.22</v>
      </c>
      <c r="H73" s="100">
        <v>8.4700000000000006</v>
      </c>
      <c r="I73" s="100">
        <v>4.05</v>
      </c>
      <c r="J73" s="100">
        <v>0.65</v>
      </c>
      <c r="K73" s="100">
        <v>274.7</v>
      </c>
      <c r="L73" s="100">
        <v>25.01</v>
      </c>
      <c r="M73" s="100">
        <v>96.91</v>
      </c>
      <c r="N73" s="100">
        <v>66</v>
      </c>
      <c r="O73" s="100">
        <v>0.6</v>
      </c>
      <c r="P73" s="100">
        <v>7.0000000000000007E-2</v>
      </c>
      <c r="Q73" s="100">
        <v>11.36</v>
      </c>
      <c r="R73" s="6"/>
      <c r="S73" s="6"/>
      <c r="T73" s="156"/>
      <c r="U73" s="6"/>
    </row>
    <row r="74" spans="1:21" customFormat="1">
      <c r="A74" s="163" t="s">
        <v>593</v>
      </c>
      <c r="B74" s="100">
        <v>2.3199999999999998</v>
      </c>
      <c r="C74" s="100">
        <v>4.25</v>
      </c>
      <c r="D74" s="100">
        <v>1.91</v>
      </c>
      <c r="E74" s="100">
        <v>-7.41</v>
      </c>
      <c r="F74" s="100">
        <v>3.13</v>
      </c>
      <c r="G74" s="100">
        <v>36.22</v>
      </c>
      <c r="H74" s="100">
        <v>8.4700000000000006</v>
      </c>
      <c r="I74" s="100">
        <v>4.13</v>
      </c>
      <c r="J74" s="100">
        <v>0.55000000000000004</v>
      </c>
      <c r="K74" s="100">
        <v>254.03</v>
      </c>
      <c r="L74" s="100">
        <v>25.28</v>
      </c>
      <c r="M74" s="100">
        <v>98.95</v>
      </c>
      <c r="N74" s="100">
        <v>48.7</v>
      </c>
      <c r="O74" s="100">
        <v>0</v>
      </c>
      <c r="P74" s="100">
        <v>0.08</v>
      </c>
      <c r="Q74" s="100">
        <v>11.36</v>
      </c>
      <c r="R74" s="6"/>
      <c r="S74" s="6"/>
      <c r="T74" s="156"/>
      <c r="U74" s="6"/>
    </row>
    <row r="75" spans="1:21" customFormat="1">
      <c r="A75" s="163" t="s">
        <v>594</v>
      </c>
      <c r="B75" s="100">
        <v>2.33</v>
      </c>
      <c r="C75" s="100">
        <v>4.2699999999999996</v>
      </c>
      <c r="D75" s="100">
        <v>1.92</v>
      </c>
      <c r="E75" s="100">
        <v>-7.25</v>
      </c>
      <c r="F75" s="100">
        <v>1.01</v>
      </c>
      <c r="G75" s="100">
        <v>44.2</v>
      </c>
      <c r="H75" s="100">
        <v>12.5</v>
      </c>
      <c r="I75" s="100">
        <v>4.17</v>
      </c>
      <c r="J75" s="100">
        <v>0.82</v>
      </c>
      <c r="K75" s="100">
        <v>269.10000000000002</v>
      </c>
      <c r="L75" s="100">
        <v>25.54</v>
      </c>
      <c r="M75" s="100">
        <v>98.24</v>
      </c>
      <c r="N75" s="100">
        <v>70.400000000000006</v>
      </c>
      <c r="O75" s="100">
        <v>0</v>
      </c>
      <c r="P75" s="100">
        <v>0.09</v>
      </c>
      <c r="Q75" s="100">
        <v>11.36</v>
      </c>
      <c r="R75" s="6"/>
      <c r="S75" s="6"/>
      <c r="T75" s="156"/>
      <c r="U75" s="6"/>
    </row>
    <row r="76" spans="1:21" customFormat="1">
      <c r="A76" s="163" t="s">
        <v>595</v>
      </c>
      <c r="B76" s="100">
        <v>2.37</v>
      </c>
      <c r="C76" s="100">
        <v>4.28</v>
      </c>
      <c r="D76" s="100">
        <v>1.9</v>
      </c>
      <c r="E76" s="100">
        <v>-7.32</v>
      </c>
      <c r="F76" s="100">
        <v>1.79</v>
      </c>
      <c r="G76" s="100">
        <v>44.87</v>
      </c>
      <c r="H76" s="100">
        <v>12.5</v>
      </c>
      <c r="I76" s="100">
        <v>4.21</v>
      </c>
      <c r="J76" s="100">
        <v>0.67</v>
      </c>
      <c r="K76" s="100">
        <v>259.14</v>
      </c>
      <c r="L76" s="100">
        <v>26.09</v>
      </c>
      <c r="M76" s="100">
        <v>91.62</v>
      </c>
      <c r="N76" s="100">
        <v>150.4</v>
      </c>
      <c r="O76" s="100">
        <v>0</v>
      </c>
      <c r="P76" s="100">
        <v>0.08</v>
      </c>
      <c r="Q76" s="100">
        <v>11.36</v>
      </c>
      <c r="R76" s="6"/>
      <c r="S76" s="6"/>
      <c r="T76" s="156"/>
      <c r="U76" s="6"/>
    </row>
    <row r="77" spans="1:21" customFormat="1">
      <c r="A77" s="163" t="s">
        <v>596</v>
      </c>
      <c r="B77" s="100">
        <v>2.38</v>
      </c>
      <c r="C77" s="100">
        <v>4.29</v>
      </c>
      <c r="D77" s="100">
        <v>1.9</v>
      </c>
      <c r="E77" s="100">
        <v>-7.34</v>
      </c>
      <c r="F77" s="100">
        <v>2.91</v>
      </c>
      <c r="G77" s="100">
        <v>44.87</v>
      </c>
      <c r="H77" s="100">
        <v>12.5</v>
      </c>
      <c r="I77" s="100">
        <v>4.4000000000000004</v>
      </c>
      <c r="J77" s="100">
        <v>0.72</v>
      </c>
      <c r="K77" s="100">
        <v>273.93</v>
      </c>
      <c r="L77" s="100">
        <v>26.68</v>
      </c>
      <c r="M77" s="100">
        <v>87.71</v>
      </c>
      <c r="N77" s="100">
        <v>134.80000000000001</v>
      </c>
      <c r="O77" s="100">
        <v>0</v>
      </c>
      <c r="P77" s="100">
        <v>0.09</v>
      </c>
      <c r="Q77" s="100">
        <v>11.36</v>
      </c>
      <c r="R77" s="6"/>
      <c r="S77" s="6"/>
      <c r="T77" s="156"/>
      <c r="U77" s="6"/>
    </row>
    <row r="78" spans="1:21" customFormat="1">
      <c r="A78" s="163" t="s">
        <v>597</v>
      </c>
      <c r="B78" s="100">
        <v>2.39</v>
      </c>
      <c r="C78" s="100">
        <v>4.33</v>
      </c>
      <c r="D78" s="100">
        <v>1.92</v>
      </c>
      <c r="E78" s="100">
        <v>-7.32</v>
      </c>
      <c r="F78" s="100">
        <v>2.14</v>
      </c>
      <c r="G78" s="100">
        <v>44.87</v>
      </c>
      <c r="H78" s="100">
        <v>12.5</v>
      </c>
      <c r="I78" s="100">
        <v>4.41</v>
      </c>
      <c r="J78" s="100">
        <v>0.65</v>
      </c>
      <c r="K78" s="100">
        <v>256.06</v>
      </c>
      <c r="L78" s="100">
        <v>26.55</v>
      </c>
      <c r="M78" s="100">
        <v>86.8</v>
      </c>
      <c r="N78" s="100">
        <v>78</v>
      </c>
      <c r="O78" s="100">
        <v>0</v>
      </c>
      <c r="P78" s="100">
        <v>0.11</v>
      </c>
      <c r="Q78" s="100">
        <v>11.36</v>
      </c>
      <c r="R78" s="6"/>
      <c r="S78" s="6"/>
      <c r="T78" s="156"/>
      <c r="U78" s="6"/>
    </row>
    <row r="79" spans="1:21" customFormat="1">
      <c r="A79" s="163" t="s">
        <v>598</v>
      </c>
      <c r="B79" s="100">
        <v>2.44</v>
      </c>
      <c r="C79" s="100">
        <v>4.43</v>
      </c>
      <c r="D79" s="100">
        <v>1.97</v>
      </c>
      <c r="E79" s="100">
        <v>-7.17</v>
      </c>
      <c r="F79" s="100">
        <v>2.2400000000000002</v>
      </c>
      <c r="G79" s="100">
        <v>42.49</v>
      </c>
      <c r="H79" s="100">
        <v>14.46</v>
      </c>
      <c r="I79" s="100">
        <v>4.5599999999999996</v>
      </c>
      <c r="J79" s="100">
        <v>0.43</v>
      </c>
      <c r="K79" s="100">
        <v>265.68</v>
      </c>
      <c r="L79" s="100">
        <v>26.48</v>
      </c>
      <c r="M79" s="100">
        <v>87.35</v>
      </c>
      <c r="N79" s="100">
        <v>49</v>
      </c>
      <c r="O79" s="100">
        <v>0</v>
      </c>
      <c r="P79" s="100">
        <v>0.12</v>
      </c>
      <c r="Q79" s="100">
        <v>11.36</v>
      </c>
      <c r="R79" s="6"/>
      <c r="S79" s="6"/>
      <c r="T79" s="156"/>
      <c r="U79" s="6"/>
    </row>
    <row r="80" spans="1:21" customFormat="1">
      <c r="A80" s="163" t="s">
        <v>599</v>
      </c>
      <c r="B80" s="100">
        <v>2.46</v>
      </c>
      <c r="C80" s="100">
        <v>4.4400000000000004</v>
      </c>
      <c r="D80" s="100">
        <v>1.97</v>
      </c>
      <c r="E80" s="100">
        <v>-7.22</v>
      </c>
      <c r="F80" s="100">
        <v>2.63</v>
      </c>
      <c r="G80" s="100">
        <v>42.29</v>
      </c>
      <c r="H80" s="100">
        <v>14.46</v>
      </c>
      <c r="I80" s="100">
        <v>4.99</v>
      </c>
      <c r="J80" s="100">
        <v>0.66</v>
      </c>
      <c r="K80" s="100">
        <v>260.24</v>
      </c>
      <c r="L80" s="100">
        <v>26.57</v>
      </c>
      <c r="M80" s="100">
        <v>85.72</v>
      </c>
      <c r="N80" s="100">
        <v>62.8</v>
      </c>
      <c r="O80" s="100">
        <v>0</v>
      </c>
      <c r="P80" s="100">
        <v>0.12</v>
      </c>
      <c r="Q80" s="100">
        <v>11.36</v>
      </c>
      <c r="R80" s="6"/>
      <c r="S80" s="6"/>
      <c r="T80" s="156"/>
      <c r="U80" s="6"/>
    </row>
    <row r="81" spans="1:21" customFormat="1">
      <c r="A81" s="163" t="s">
        <v>600</v>
      </c>
      <c r="B81" s="100">
        <v>2.4500000000000002</v>
      </c>
      <c r="C81" s="100">
        <v>4.41</v>
      </c>
      <c r="D81" s="100">
        <v>1.95</v>
      </c>
      <c r="E81" s="100">
        <v>5.03</v>
      </c>
      <c r="F81" s="100">
        <v>1.89</v>
      </c>
      <c r="G81" s="100">
        <v>42.29</v>
      </c>
      <c r="H81" s="100">
        <v>14.46</v>
      </c>
      <c r="I81" s="100">
        <v>5.37</v>
      </c>
      <c r="J81" s="100">
        <v>0.41</v>
      </c>
      <c r="K81" s="100">
        <v>259.54000000000002</v>
      </c>
      <c r="L81" s="100">
        <v>26.77</v>
      </c>
      <c r="M81" s="100">
        <v>85.75</v>
      </c>
      <c r="N81" s="100">
        <v>56.1</v>
      </c>
      <c r="O81" s="100">
        <v>0</v>
      </c>
      <c r="P81" s="100">
        <v>0.14000000000000001</v>
      </c>
      <c r="Q81" s="100">
        <v>11.36</v>
      </c>
      <c r="R81" s="6"/>
      <c r="S81" s="6"/>
      <c r="T81" s="156"/>
      <c r="U81" s="6"/>
    </row>
    <row r="82" spans="1:21" customFormat="1">
      <c r="A82" s="163" t="s">
        <v>601</v>
      </c>
      <c r="B82" s="100">
        <v>2.4700000000000002</v>
      </c>
      <c r="C82" s="100">
        <v>4.4800000000000004</v>
      </c>
      <c r="D82" s="100">
        <v>2</v>
      </c>
      <c r="E82" s="100">
        <v>6.15</v>
      </c>
      <c r="F82" s="100">
        <v>1.47</v>
      </c>
      <c r="G82" s="100">
        <v>42.29</v>
      </c>
      <c r="H82" s="100">
        <v>14.46</v>
      </c>
      <c r="I82" s="100">
        <v>5.42</v>
      </c>
      <c r="J82" s="100">
        <v>0.38</v>
      </c>
      <c r="K82" s="100">
        <v>263.02</v>
      </c>
      <c r="L82" s="100">
        <v>26.62</v>
      </c>
      <c r="M82" s="100">
        <v>86.64</v>
      </c>
      <c r="N82" s="100">
        <v>23.4</v>
      </c>
      <c r="O82" s="100">
        <v>0</v>
      </c>
      <c r="P82" s="100">
        <v>0.19</v>
      </c>
      <c r="Q82" s="100">
        <v>11.36</v>
      </c>
      <c r="R82" s="6"/>
      <c r="S82" s="6"/>
      <c r="T82" s="156"/>
      <c r="U82" s="6"/>
    </row>
    <row r="83" spans="1:21" customFormat="1">
      <c r="A83" s="163" t="s">
        <v>602</v>
      </c>
      <c r="B83" s="100">
        <v>2.4900000000000002</v>
      </c>
      <c r="C83" s="100">
        <v>4.63</v>
      </c>
      <c r="D83" s="100">
        <v>2.1</v>
      </c>
      <c r="E83" s="100">
        <v>5.4</v>
      </c>
      <c r="F83" s="100">
        <v>3.02</v>
      </c>
      <c r="G83" s="100">
        <v>44.21</v>
      </c>
      <c r="H83" s="100">
        <v>12.66</v>
      </c>
      <c r="I83" s="100">
        <v>5.55</v>
      </c>
      <c r="J83" s="100">
        <v>0.42</v>
      </c>
      <c r="K83" s="100">
        <v>257.77999999999997</v>
      </c>
      <c r="L83" s="100">
        <v>26.27</v>
      </c>
      <c r="M83" s="100">
        <v>87.57</v>
      </c>
      <c r="N83" s="100">
        <v>7.8</v>
      </c>
      <c r="O83" s="100">
        <v>0</v>
      </c>
      <c r="P83" s="100">
        <v>0.22</v>
      </c>
      <c r="Q83" s="100">
        <v>11.36</v>
      </c>
      <c r="R83" s="6"/>
      <c r="S83" s="6"/>
      <c r="T83" s="156"/>
      <c r="U83" s="6"/>
    </row>
    <row r="84" spans="1:21" customFormat="1">
      <c r="A84" s="163" t="s">
        <v>603</v>
      </c>
      <c r="B84" s="100">
        <v>2.4900000000000002</v>
      </c>
      <c r="C84" s="100">
        <v>4.67</v>
      </c>
      <c r="D84" s="100">
        <v>2.13</v>
      </c>
      <c r="E84" s="100">
        <v>5.93</v>
      </c>
      <c r="F84" s="100">
        <v>2.27</v>
      </c>
      <c r="G84" s="100">
        <v>44.38</v>
      </c>
      <c r="H84" s="100">
        <v>12.66</v>
      </c>
      <c r="I84" s="100">
        <v>6.26</v>
      </c>
      <c r="J84" s="100">
        <v>0.38</v>
      </c>
      <c r="K84" s="100">
        <v>253.62</v>
      </c>
      <c r="L84" s="100">
        <v>26.12</v>
      </c>
      <c r="M84" s="100">
        <v>88.8</v>
      </c>
      <c r="N84" s="100">
        <v>3</v>
      </c>
      <c r="O84" s="100">
        <v>0</v>
      </c>
      <c r="P84" s="100">
        <v>0.2</v>
      </c>
      <c r="Q84" s="100">
        <v>11.36</v>
      </c>
      <c r="R84" s="6"/>
      <c r="S84" s="6"/>
      <c r="T84" s="156"/>
      <c r="U84" s="6"/>
    </row>
    <row r="85" spans="1:21" customFormat="1">
      <c r="A85" s="163" t="s">
        <v>604</v>
      </c>
      <c r="B85" s="100">
        <v>2.46</v>
      </c>
      <c r="C85" s="100">
        <v>4.63</v>
      </c>
      <c r="D85" s="100">
        <v>2.12</v>
      </c>
      <c r="E85" s="100">
        <v>6.02</v>
      </c>
      <c r="F85" s="100">
        <v>1.71</v>
      </c>
      <c r="G85" s="100">
        <v>44.38</v>
      </c>
      <c r="H85" s="100">
        <v>12.66</v>
      </c>
      <c r="I85" s="100">
        <v>7.17</v>
      </c>
      <c r="J85" s="100">
        <v>0.35</v>
      </c>
      <c r="K85" s="100">
        <v>253.53</v>
      </c>
      <c r="L85" s="100">
        <v>26.12</v>
      </c>
      <c r="M85" s="100">
        <v>88.78</v>
      </c>
      <c r="N85" s="100">
        <v>2.2000000000000002</v>
      </c>
      <c r="O85" s="100">
        <v>0</v>
      </c>
      <c r="P85" s="100">
        <v>0.22</v>
      </c>
      <c r="Q85" s="100">
        <v>11.36</v>
      </c>
      <c r="R85" s="6"/>
      <c r="S85" s="6"/>
      <c r="T85" s="156"/>
      <c r="U85" s="6"/>
    </row>
    <row r="86" spans="1:21" customFormat="1">
      <c r="A86" s="163" t="s">
        <v>605</v>
      </c>
      <c r="B86" s="100">
        <v>2.42</v>
      </c>
      <c r="C86" s="100">
        <v>4.5599999999999996</v>
      </c>
      <c r="D86" s="100">
        <v>2.09</v>
      </c>
      <c r="E86" s="100">
        <v>5.83</v>
      </c>
      <c r="F86" s="100">
        <v>1.46</v>
      </c>
      <c r="G86" s="100">
        <v>44.38</v>
      </c>
      <c r="H86" s="100">
        <v>12.66</v>
      </c>
      <c r="I86" s="100">
        <v>6.52</v>
      </c>
      <c r="J86" s="100">
        <v>0.13</v>
      </c>
      <c r="K86" s="100">
        <v>230.81</v>
      </c>
      <c r="L86" s="100">
        <v>26</v>
      </c>
      <c r="M86" s="100">
        <v>90.2</v>
      </c>
      <c r="N86" s="100">
        <v>2.1</v>
      </c>
      <c r="O86" s="100">
        <v>0</v>
      </c>
      <c r="P86" s="100">
        <v>0.22</v>
      </c>
      <c r="Q86" s="100">
        <v>11.36</v>
      </c>
      <c r="R86" s="6"/>
      <c r="S86" s="6"/>
      <c r="T86" s="156"/>
      <c r="U86" s="6"/>
    </row>
    <row r="87" spans="1:21" customFormat="1">
      <c r="A87" s="163" t="s">
        <v>606</v>
      </c>
      <c r="B87" s="100">
        <v>2.38</v>
      </c>
      <c r="C87" s="100">
        <v>4.51</v>
      </c>
      <c r="D87" s="100">
        <v>2.0699999999999998</v>
      </c>
      <c r="E87" s="100">
        <v>5.78</v>
      </c>
      <c r="F87" s="100">
        <v>1.58</v>
      </c>
      <c r="G87" s="100">
        <v>39.72</v>
      </c>
      <c r="H87" s="100">
        <v>16.18</v>
      </c>
      <c r="I87" s="100">
        <v>6.51</v>
      </c>
      <c r="J87" s="100">
        <v>0.11</v>
      </c>
      <c r="K87" s="100">
        <v>251.67</v>
      </c>
      <c r="L87" s="100">
        <v>25.82</v>
      </c>
      <c r="M87" s="100">
        <v>91.45</v>
      </c>
      <c r="N87" s="100">
        <v>2.2000000000000002</v>
      </c>
      <c r="O87" s="100">
        <v>0</v>
      </c>
      <c r="P87" s="100">
        <v>0.21</v>
      </c>
      <c r="Q87" s="100">
        <v>11.36</v>
      </c>
      <c r="R87" s="6"/>
      <c r="S87" s="6"/>
      <c r="T87" s="156"/>
      <c r="U87" s="6"/>
    </row>
    <row r="88" spans="1:21" customFormat="1">
      <c r="A88" s="163" t="s">
        <v>607</v>
      </c>
      <c r="B88" s="100">
        <v>2.37</v>
      </c>
      <c r="C88" s="100">
        <v>4.47</v>
      </c>
      <c r="D88" s="100">
        <v>2.0499999999999998</v>
      </c>
      <c r="E88" s="100">
        <v>5.83</v>
      </c>
      <c r="F88" s="100">
        <v>1.57</v>
      </c>
      <c r="G88" s="100">
        <v>39.32</v>
      </c>
      <c r="H88" s="100">
        <v>16.18</v>
      </c>
      <c r="I88" s="100">
        <v>6.43</v>
      </c>
      <c r="J88" s="100">
        <v>0.33</v>
      </c>
      <c r="K88" s="100">
        <v>256.69</v>
      </c>
      <c r="L88" s="100">
        <v>25.95</v>
      </c>
      <c r="M88" s="100">
        <v>90.36</v>
      </c>
      <c r="N88" s="100">
        <v>1.9</v>
      </c>
      <c r="O88" s="100">
        <v>0</v>
      </c>
      <c r="P88" s="100">
        <v>0.2</v>
      </c>
      <c r="Q88" s="100">
        <v>11.36</v>
      </c>
      <c r="R88" s="6"/>
      <c r="S88" s="6"/>
      <c r="T88" s="156"/>
      <c r="U88" s="6"/>
    </row>
    <row r="89" spans="1:21" customFormat="1">
      <c r="A89" s="163" t="s">
        <v>608</v>
      </c>
      <c r="B89" s="100">
        <v>2.34</v>
      </c>
      <c r="C89" s="100">
        <v>4.42</v>
      </c>
      <c r="D89" s="100">
        <v>2.0299999999999998</v>
      </c>
      <c r="E89" s="100">
        <v>6.01</v>
      </c>
      <c r="F89" s="100">
        <v>1.62</v>
      </c>
      <c r="G89" s="100">
        <v>39.32</v>
      </c>
      <c r="H89" s="100">
        <v>16.18</v>
      </c>
      <c r="I89" s="100">
        <v>6.33</v>
      </c>
      <c r="J89" s="100">
        <v>0.32</v>
      </c>
      <c r="K89" s="100">
        <v>256.66000000000003</v>
      </c>
      <c r="L89" s="100">
        <v>26.12</v>
      </c>
      <c r="M89" s="100">
        <v>88.71</v>
      </c>
      <c r="N89" s="100">
        <v>2.1</v>
      </c>
      <c r="O89" s="100">
        <v>0</v>
      </c>
      <c r="P89" s="100">
        <v>0.2</v>
      </c>
      <c r="Q89" s="100">
        <v>11.36</v>
      </c>
      <c r="R89" s="6"/>
      <c r="S89" s="6"/>
      <c r="T89" s="156"/>
      <c r="U89" s="6"/>
    </row>
    <row r="90" spans="1:21" customFormat="1">
      <c r="A90" s="163" t="s">
        <v>609</v>
      </c>
      <c r="B90" s="100">
        <v>2.3199999999999998</v>
      </c>
      <c r="C90" s="100">
        <v>4.38</v>
      </c>
      <c r="D90" s="100">
        <v>2.0099999999999998</v>
      </c>
      <c r="E90" s="100">
        <v>6.33</v>
      </c>
      <c r="F90" s="100">
        <v>1.85</v>
      </c>
      <c r="G90" s="100">
        <v>39.32</v>
      </c>
      <c r="H90" s="100">
        <v>16.18</v>
      </c>
      <c r="I90" s="100">
        <v>6.22</v>
      </c>
      <c r="J90" s="100">
        <v>0.36</v>
      </c>
      <c r="K90" s="100">
        <v>254.27</v>
      </c>
      <c r="L90" s="100">
        <v>26.21</v>
      </c>
      <c r="M90" s="100">
        <v>87.57</v>
      </c>
      <c r="N90" s="100">
        <v>2.1</v>
      </c>
      <c r="O90" s="100">
        <v>0</v>
      </c>
      <c r="P90" s="100">
        <v>0.2</v>
      </c>
      <c r="Q90" s="100">
        <v>11.36</v>
      </c>
      <c r="R90" s="6"/>
      <c r="S90" s="6"/>
      <c r="T90" s="156"/>
      <c r="U90" s="6"/>
    </row>
    <row r="91" spans="1:21" customFormat="1">
      <c r="A91" s="163" t="s">
        <v>610</v>
      </c>
      <c r="B91" s="100">
        <v>2.2999999999999998</v>
      </c>
      <c r="C91" s="100">
        <v>4.38</v>
      </c>
      <c r="D91" s="100">
        <v>2.02</v>
      </c>
      <c r="E91" s="100">
        <v>6.21</v>
      </c>
      <c r="F91" s="100">
        <v>1.91</v>
      </c>
      <c r="G91" s="100">
        <v>29.7</v>
      </c>
      <c r="H91" s="100">
        <v>14</v>
      </c>
      <c r="I91" s="100">
        <v>6.1</v>
      </c>
      <c r="J91" s="100">
        <v>0.35</v>
      </c>
      <c r="K91" s="100">
        <v>259.27999999999997</v>
      </c>
      <c r="L91" s="100">
        <v>26.21</v>
      </c>
      <c r="M91" s="100">
        <v>87.69</v>
      </c>
      <c r="N91" s="100">
        <v>2.1</v>
      </c>
      <c r="O91" s="100">
        <v>0</v>
      </c>
      <c r="P91" s="100">
        <v>0.2</v>
      </c>
      <c r="Q91" s="100">
        <v>11.36</v>
      </c>
      <c r="R91" s="6"/>
      <c r="S91" s="6"/>
      <c r="T91" s="156"/>
      <c r="U91" s="6"/>
    </row>
    <row r="92" spans="1:21" customFormat="1">
      <c r="A92" s="163" t="s">
        <v>611</v>
      </c>
      <c r="B92" s="100">
        <v>2.2999999999999998</v>
      </c>
      <c r="C92" s="100">
        <v>4.3499999999999996</v>
      </c>
      <c r="D92" s="100">
        <v>2</v>
      </c>
      <c r="E92" s="100">
        <v>6.22</v>
      </c>
      <c r="F92" s="100">
        <v>1.58</v>
      </c>
      <c r="G92" s="100">
        <v>28.89</v>
      </c>
      <c r="H92" s="100">
        <v>14</v>
      </c>
      <c r="I92" s="100">
        <v>6.03</v>
      </c>
      <c r="J92" s="100">
        <v>0.47</v>
      </c>
      <c r="K92" s="100">
        <v>255.33</v>
      </c>
      <c r="L92" s="100">
        <v>26.29</v>
      </c>
      <c r="M92" s="100">
        <v>86.61</v>
      </c>
      <c r="N92" s="100">
        <v>2.2999999999999998</v>
      </c>
      <c r="O92" s="100">
        <v>0</v>
      </c>
      <c r="P92" s="100">
        <v>0.2</v>
      </c>
      <c r="Q92" s="100">
        <v>11.36</v>
      </c>
      <c r="R92" s="6"/>
      <c r="S92" s="6"/>
      <c r="T92" s="156"/>
      <c r="U92" s="6"/>
    </row>
    <row r="93" spans="1:21" customFormat="1">
      <c r="A93" s="163" t="s">
        <v>612</v>
      </c>
      <c r="B93" s="100">
        <v>2.2799999999999998</v>
      </c>
      <c r="C93" s="100">
        <v>4.32</v>
      </c>
      <c r="D93" s="100">
        <v>1.99</v>
      </c>
      <c r="E93" s="100">
        <v>6.19</v>
      </c>
      <c r="F93" s="100">
        <v>2.0699999999999998</v>
      </c>
      <c r="G93" s="100">
        <v>28.89</v>
      </c>
      <c r="H93" s="100">
        <v>14</v>
      </c>
      <c r="I93" s="100">
        <v>5.88</v>
      </c>
      <c r="J93" s="100">
        <v>0.32</v>
      </c>
      <c r="K93" s="100">
        <v>254.61</v>
      </c>
      <c r="L93" s="100">
        <v>26.25</v>
      </c>
      <c r="M93" s="100">
        <v>87.38</v>
      </c>
      <c r="N93" s="100">
        <v>2.4</v>
      </c>
      <c r="O93" s="100">
        <v>0</v>
      </c>
      <c r="P93" s="100">
        <v>0.19</v>
      </c>
      <c r="Q93" s="100">
        <v>11.36</v>
      </c>
      <c r="R93" s="6"/>
      <c r="S93" s="6"/>
      <c r="T93" s="156"/>
      <c r="U93" s="6"/>
    </row>
    <row r="94" spans="1:21" customFormat="1">
      <c r="A94" s="163" t="s">
        <v>613</v>
      </c>
      <c r="B94" s="100">
        <v>2.2599999999999998</v>
      </c>
      <c r="C94" s="100">
        <v>4.3</v>
      </c>
      <c r="D94" s="100">
        <v>1.98</v>
      </c>
      <c r="E94" s="100">
        <v>6.16</v>
      </c>
      <c r="F94" s="100">
        <v>1.1100000000000001</v>
      </c>
      <c r="G94" s="100">
        <v>28.89</v>
      </c>
      <c r="H94" s="100">
        <v>14</v>
      </c>
      <c r="I94" s="100">
        <v>5.87</v>
      </c>
      <c r="J94" s="100">
        <v>0.3</v>
      </c>
      <c r="K94" s="100">
        <v>247.78</v>
      </c>
      <c r="L94" s="100">
        <v>26.26</v>
      </c>
      <c r="M94" s="100">
        <v>87.63</v>
      </c>
      <c r="N94" s="100">
        <v>2.2999999999999998</v>
      </c>
      <c r="O94" s="100">
        <v>0</v>
      </c>
      <c r="P94" s="100">
        <v>0.19</v>
      </c>
      <c r="Q94" s="100">
        <v>11.36</v>
      </c>
      <c r="R94" s="6"/>
      <c r="S94" s="6"/>
      <c r="T94" s="156"/>
      <c r="U94" s="6"/>
    </row>
    <row r="95" spans="1:21" customFormat="1">
      <c r="A95" s="163" t="s">
        <v>614</v>
      </c>
      <c r="B95" s="100">
        <v>2.25</v>
      </c>
      <c r="C95" s="100">
        <v>4.2699999999999996</v>
      </c>
      <c r="D95" s="100">
        <v>1.97</v>
      </c>
      <c r="E95" s="100">
        <v>6.36</v>
      </c>
      <c r="F95" s="100">
        <v>1.64</v>
      </c>
      <c r="G95" s="100">
        <v>43.48</v>
      </c>
      <c r="H95" s="100">
        <v>11.35</v>
      </c>
      <c r="I95" s="100">
        <v>5.81</v>
      </c>
      <c r="J95" s="100">
        <v>0.54</v>
      </c>
      <c r="K95" s="100">
        <v>257.25</v>
      </c>
      <c r="L95" s="100">
        <v>26.2</v>
      </c>
      <c r="M95" s="100">
        <v>87.95</v>
      </c>
      <c r="N95" s="100">
        <v>2.2999999999999998</v>
      </c>
      <c r="O95" s="100">
        <v>0</v>
      </c>
      <c r="P95" s="100">
        <v>0.18</v>
      </c>
      <c r="Q95" s="100">
        <v>11.36</v>
      </c>
      <c r="R95" s="6"/>
      <c r="S95" s="6"/>
      <c r="T95" s="156"/>
      <c r="U95" s="6"/>
    </row>
    <row r="96" spans="1:21" customFormat="1">
      <c r="A96" s="163" t="s">
        <v>615</v>
      </c>
      <c r="B96" s="100">
        <v>2.25</v>
      </c>
      <c r="C96" s="100">
        <v>4.24</v>
      </c>
      <c r="D96" s="100">
        <v>1.95</v>
      </c>
      <c r="E96" s="100">
        <v>6.41</v>
      </c>
      <c r="F96" s="100">
        <v>1.62</v>
      </c>
      <c r="G96" s="100">
        <v>44.52</v>
      </c>
      <c r="H96" s="100">
        <v>11.35</v>
      </c>
      <c r="I96" s="100">
        <v>5.72</v>
      </c>
      <c r="J96" s="100">
        <v>0.39</v>
      </c>
      <c r="K96" s="100">
        <v>256.14</v>
      </c>
      <c r="L96" s="100">
        <v>26.01</v>
      </c>
      <c r="M96" s="100">
        <v>89.28</v>
      </c>
      <c r="N96" s="100">
        <v>2</v>
      </c>
      <c r="O96" s="100">
        <v>0</v>
      </c>
      <c r="P96" s="100">
        <v>0.18</v>
      </c>
      <c r="Q96" s="100">
        <v>11.36</v>
      </c>
      <c r="R96" s="6"/>
      <c r="S96" s="6"/>
      <c r="T96" s="156"/>
      <c r="U96" s="6"/>
    </row>
    <row r="97" spans="1:28" customFormat="1">
      <c r="A97" s="163" t="s">
        <v>616</v>
      </c>
      <c r="B97" s="100">
        <v>2.23</v>
      </c>
      <c r="C97" s="100">
        <v>4.2</v>
      </c>
      <c r="D97" s="100">
        <v>1.93</v>
      </c>
      <c r="E97" s="100">
        <v>6.45</v>
      </c>
      <c r="F97" s="100">
        <v>2.2200000000000002</v>
      </c>
      <c r="G97" s="100">
        <v>44.52</v>
      </c>
      <c r="H97" s="100">
        <v>11.35</v>
      </c>
      <c r="I97" s="100">
        <v>5.67</v>
      </c>
      <c r="J97" s="100">
        <v>0.26</v>
      </c>
      <c r="K97" s="100">
        <v>256.89999999999998</v>
      </c>
      <c r="L97" s="100">
        <v>25.75</v>
      </c>
      <c r="M97" s="100">
        <v>90.9</v>
      </c>
      <c r="N97" s="100">
        <v>1.4</v>
      </c>
      <c r="O97" s="100">
        <v>0</v>
      </c>
      <c r="P97" s="100">
        <v>0.18</v>
      </c>
      <c r="Q97" s="100">
        <v>11.36</v>
      </c>
      <c r="R97" s="6"/>
      <c r="S97" s="6"/>
      <c r="T97" s="156"/>
      <c r="U97" s="6"/>
    </row>
    <row r="98" spans="1:28" customFormat="1">
      <c r="A98" s="163" t="s">
        <v>617</v>
      </c>
      <c r="B98" s="100">
        <v>2.21</v>
      </c>
      <c r="C98" s="100">
        <v>4.17</v>
      </c>
      <c r="D98" s="100">
        <v>1.92</v>
      </c>
      <c r="E98" s="100">
        <v>6.73</v>
      </c>
      <c r="F98" s="100">
        <v>2.38</v>
      </c>
      <c r="G98" s="100">
        <v>44.52</v>
      </c>
      <c r="H98" s="100">
        <v>11.35</v>
      </c>
      <c r="I98" s="100">
        <v>5.54</v>
      </c>
      <c r="J98" s="100">
        <v>0.13</v>
      </c>
      <c r="K98" s="100">
        <v>259.45</v>
      </c>
      <c r="L98" s="100">
        <v>25.77</v>
      </c>
      <c r="M98" s="100">
        <v>91.49</v>
      </c>
      <c r="N98" s="100">
        <v>1.8</v>
      </c>
      <c r="O98" s="100">
        <v>0</v>
      </c>
      <c r="P98" s="100">
        <v>0.16</v>
      </c>
      <c r="Q98" s="100">
        <v>11.36</v>
      </c>
      <c r="R98" s="6"/>
      <c r="S98" s="6"/>
      <c r="T98" s="156"/>
      <c r="U98" s="6"/>
    </row>
    <row r="99" spans="1:28" customFormat="1">
      <c r="A99" s="163" t="s">
        <v>618</v>
      </c>
      <c r="B99" s="100">
        <v>2.2000000000000002</v>
      </c>
      <c r="C99" s="100">
        <v>4.16</v>
      </c>
      <c r="D99" s="100">
        <v>1.91</v>
      </c>
      <c r="E99" s="100">
        <v>6.54</v>
      </c>
      <c r="F99" s="100">
        <v>1.9</v>
      </c>
      <c r="G99" s="100">
        <v>34.950000000000003</v>
      </c>
      <c r="H99" s="100">
        <v>15.37</v>
      </c>
      <c r="I99" s="100">
        <v>5.35</v>
      </c>
      <c r="J99" s="100">
        <v>0.08</v>
      </c>
      <c r="K99" s="100">
        <v>167.5</v>
      </c>
      <c r="L99" s="100">
        <v>25.68</v>
      </c>
      <c r="M99" s="100">
        <v>92.41</v>
      </c>
      <c r="N99" s="100">
        <v>2</v>
      </c>
      <c r="O99" s="100">
        <v>0</v>
      </c>
      <c r="P99" s="100">
        <v>0.16</v>
      </c>
      <c r="Q99" s="100">
        <v>11.36</v>
      </c>
      <c r="R99" s="6"/>
      <c r="S99" s="6"/>
      <c r="T99" s="156"/>
      <c r="U99" s="6"/>
    </row>
    <row r="100" spans="1:28" customFormat="1">
      <c r="A100" s="163" t="s">
        <v>619</v>
      </c>
      <c r="B100" s="100">
        <v>2.2200000000000002</v>
      </c>
      <c r="C100" s="100">
        <v>4.1500000000000004</v>
      </c>
      <c r="D100" s="100">
        <v>1.89</v>
      </c>
      <c r="E100" s="100">
        <v>6.54</v>
      </c>
      <c r="F100" s="100">
        <v>2.52</v>
      </c>
      <c r="G100" s="100">
        <v>34.14</v>
      </c>
      <c r="H100" s="100">
        <v>15.37</v>
      </c>
      <c r="I100" s="100">
        <v>5.17</v>
      </c>
      <c r="J100" s="100">
        <v>0.19</v>
      </c>
      <c r="K100" s="100">
        <v>250.4</v>
      </c>
      <c r="L100" s="100">
        <v>25.58</v>
      </c>
      <c r="M100" s="100">
        <v>92.57</v>
      </c>
      <c r="N100" s="100">
        <v>1.8</v>
      </c>
      <c r="O100" s="100">
        <v>0</v>
      </c>
      <c r="P100" s="100">
        <v>0.15</v>
      </c>
      <c r="Q100" s="100">
        <v>11.36</v>
      </c>
      <c r="R100" s="6"/>
      <c r="S100" s="6"/>
      <c r="T100" s="156"/>
      <c r="U100" s="6"/>
      <c r="AB100" s="161"/>
    </row>
    <row r="101" spans="1:28" customFormat="1">
      <c r="A101" s="163" t="s">
        <v>620</v>
      </c>
      <c r="B101" s="100">
        <v>2.2200000000000002</v>
      </c>
      <c r="C101" s="100">
        <v>4.1399999999999997</v>
      </c>
      <c r="D101" s="100">
        <v>1.88</v>
      </c>
      <c r="E101" s="100">
        <v>6.74</v>
      </c>
      <c r="F101" s="100">
        <v>1.58</v>
      </c>
      <c r="G101" s="100">
        <v>34.14</v>
      </c>
      <c r="H101" s="100">
        <v>15.37</v>
      </c>
      <c r="I101" s="100">
        <v>5.0599999999999996</v>
      </c>
      <c r="J101" s="100">
        <v>0.1</v>
      </c>
      <c r="K101" s="100">
        <v>198.3</v>
      </c>
      <c r="L101" s="100">
        <v>25.59</v>
      </c>
      <c r="M101" s="100">
        <v>93.09</v>
      </c>
      <c r="N101" s="100">
        <v>1.7</v>
      </c>
      <c r="O101" s="100">
        <v>0</v>
      </c>
      <c r="P101" s="100">
        <v>0.15</v>
      </c>
      <c r="Q101" s="100">
        <v>11.36</v>
      </c>
      <c r="R101" s="6"/>
      <c r="S101" s="6"/>
      <c r="T101" s="156"/>
      <c r="U101" s="6"/>
    </row>
    <row r="102" spans="1:28" customFormat="1">
      <c r="A102" s="163" t="s">
        <v>621</v>
      </c>
      <c r="B102" s="100">
        <v>2.23</v>
      </c>
      <c r="C102" s="100">
        <v>4.13</v>
      </c>
      <c r="D102" s="100">
        <v>1.87</v>
      </c>
      <c r="E102" s="100">
        <v>6.38</v>
      </c>
      <c r="F102" s="100">
        <v>1.26</v>
      </c>
      <c r="G102" s="100">
        <v>34.14</v>
      </c>
      <c r="H102" s="100">
        <v>15.37</v>
      </c>
      <c r="I102" s="100">
        <v>4.97</v>
      </c>
      <c r="J102" s="100">
        <v>0.12</v>
      </c>
      <c r="K102" s="100">
        <v>245.08</v>
      </c>
      <c r="L102" s="100">
        <v>25.69</v>
      </c>
      <c r="M102" s="100">
        <v>92.3</v>
      </c>
      <c r="N102" s="100">
        <v>1.7</v>
      </c>
      <c r="O102" s="100">
        <v>0</v>
      </c>
      <c r="P102" s="100">
        <v>0.14000000000000001</v>
      </c>
      <c r="Q102" s="100">
        <v>11.36</v>
      </c>
      <c r="R102" s="6"/>
      <c r="S102" s="6"/>
      <c r="T102" s="156"/>
      <c r="U102" s="6"/>
    </row>
    <row r="103" spans="1:28" customFormat="1">
      <c r="A103" s="163" t="s">
        <v>622</v>
      </c>
      <c r="B103" s="100">
        <v>2.2400000000000002</v>
      </c>
      <c r="C103" s="100">
        <v>4.1500000000000004</v>
      </c>
      <c r="D103" s="100">
        <v>1.88</v>
      </c>
      <c r="E103" s="100">
        <v>6.77</v>
      </c>
      <c r="F103" s="100">
        <v>1.42</v>
      </c>
      <c r="G103" s="100">
        <v>31.32</v>
      </c>
      <c r="H103" s="100">
        <v>10.97</v>
      </c>
      <c r="I103" s="100">
        <v>4.8499999999999996</v>
      </c>
      <c r="J103" s="100">
        <v>0.26</v>
      </c>
      <c r="K103" s="100">
        <v>253.24</v>
      </c>
      <c r="L103" s="100">
        <v>25.74</v>
      </c>
      <c r="M103" s="100">
        <v>91.37</v>
      </c>
      <c r="N103" s="100">
        <v>1.8</v>
      </c>
      <c r="O103" s="100">
        <v>0</v>
      </c>
      <c r="P103" s="100">
        <v>0.14000000000000001</v>
      </c>
      <c r="Q103" s="100">
        <v>11.36</v>
      </c>
      <c r="R103" s="6"/>
      <c r="S103" s="6"/>
      <c r="T103" s="156"/>
      <c r="U103" s="6"/>
    </row>
    <row r="104" spans="1:28" customFormat="1">
      <c r="A104" s="163" t="s">
        <v>623</v>
      </c>
      <c r="B104" s="100">
        <v>2.25</v>
      </c>
      <c r="C104" s="100">
        <v>4.1500000000000004</v>
      </c>
      <c r="D104" s="100">
        <v>1.87</v>
      </c>
      <c r="E104" s="100">
        <v>6.7</v>
      </c>
      <c r="F104" s="100">
        <v>1.04</v>
      </c>
      <c r="G104" s="100">
        <v>31.12</v>
      </c>
      <c r="H104" s="100">
        <v>10.97</v>
      </c>
      <c r="I104" s="100">
        <v>4.8</v>
      </c>
      <c r="J104" s="100">
        <v>0.26</v>
      </c>
      <c r="K104" s="100">
        <v>247.84</v>
      </c>
      <c r="L104" s="100">
        <v>25.86</v>
      </c>
      <c r="M104" s="100">
        <v>90.83</v>
      </c>
      <c r="N104" s="100">
        <v>2</v>
      </c>
      <c r="O104" s="100">
        <v>0</v>
      </c>
      <c r="P104" s="100">
        <v>0.12</v>
      </c>
      <c r="Q104" s="100">
        <v>11.36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2.2000000000000002</v>
      </c>
      <c r="C106" s="158">
        <f>MIN(C9:C104)</f>
        <v>4.1100000000000003</v>
      </c>
      <c r="D106" s="158">
        <f t="shared" ref="D106:Q106" si="0">MIN(D9:D104)</f>
        <v>1.82</v>
      </c>
      <c r="E106" s="158">
        <f t="shared" si="0"/>
        <v>-7.41</v>
      </c>
      <c r="F106" s="158">
        <f t="shared" si="0"/>
        <v>1.01</v>
      </c>
      <c r="G106" s="158">
        <f t="shared" si="0"/>
        <v>7.47</v>
      </c>
      <c r="H106" s="158">
        <f t="shared" si="0"/>
        <v>2.65</v>
      </c>
      <c r="I106" s="158">
        <f t="shared" si="0"/>
        <v>0</v>
      </c>
      <c r="J106" s="158">
        <f t="shared" si="0"/>
        <v>0.08</v>
      </c>
      <c r="K106" s="158">
        <f t="shared" si="0"/>
        <v>167.5</v>
      </c>
      <c r="L106" s="158">
        <f t="shared" si="0"/>
        <v>24.86</v>
      </c>
      <c r="M106" s="158">
        <f t="shared" si="0"/>
        <v>75.52</v>
      </c>
      <c r="N106" s="158">
        <f t="shared" si="0"/>
        <v>1.4</v>
      </c>
      <c r="O106" s="158">
        <f t="shared" si="0"/>
        <v>0</v>
      </c>
      <c r="P106" s="158">
        <f t="shared" si="0"/>
        <v>0.06</v>
      </c>
      <c r="Q106" s="158">
        <f t="shared" si="0"/>
        <v>9.8800000000000008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2.98</v>
      </c>
      <c r="C107" s="157">
        <f t="shared" ref="C107:Q107" si="1">MAX(C9:C104)</f>
        <v>4.76</v>
      </c>
      <c r="D107" s="157">
        <f t="shared" si="1"/>
        <v>2.13</v>
      </c>
      <c r="E107" s="157">
        <f t="shared" si="1"/>
        <v>6.77</v>
      </c>
      <c r="F107" s="157">
        <f t="shared" si="1"/>
        <v>6.09</v>
      </c>
      <c r="G107" s="157">
        <f t="shared" si="1"/>
        <v>55.82</v>
      </c>
      <c r="H107" s="157">
        <f t="shared" si="1"/>
        <v>16.18</v>
      </c>
      <c r="I107" s="157">
        <f t="shared" si="1"/>
        <v>7.17</v>
      </c>
      <c r="J107" s="157">
        <f t="shared" si="1"/>
        <v>1.48</v>
      </c>
      <c r="K107" s="157">
        <f t="shared" si="1"/>
        <v>290.26</v>
      </c>
      <c r="L107" s="157">
        <f t="shared" si="1"/>
        <v>28.43</v>
      </c>
      <c r="M107" s="157">
        <f t="shared" si="1"/>
        <v>98.95</v>
      </c>
      <c r="N107" s="157">
        <f t="shared" si="1"/>
        <v>284.3</v>
      </c>
      <c r="O107" s="157">
        <f t="shared" si="1"/>
        <v>2</v>
      </c>
      <c r="P107" s="157">
        <f t="shared" si="1"/>
        <v>0.22</v>
      </c>
      <c r="Q107" s="157">
        <f t="shared" si="1"/>
        <v>11.36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2.5924731182795693</v>
      </c>
      <c r="C108" s="158">
        <f t="shared" ref="C108:Q108" si="2">AVERAGE(C9:C104)</f>
        <v>4.4915053763440858</v>
      </c>
      <c r="D108" s="158">
        <f t="shared" si="2"/>
        <v>1.9255913978494625</v>
      </c>
      <c r="E108" s="158">
        <f t="shared" si="2"/>
        <v>3.5072043010752703</v>
      </c>
      <c r="F108" s="158">
        <f t="shared" si="2"/>
        <v>2.2179787234042547</v>
      </c>
      <c r="G108" s="158">
        <f t="shared" si="2"/>
        <v>27.846170212765948</v>
      </c>
      <c r="H108" s="158">
        <f t="shared" si="2"/>
        <v>8.6968085106382951</v>
      </c>
      <c r="I108" s="158">
        <f t="shared" si="2"/>
        <v>3.8905319148936188</v>
      </c>
      <c r="J108" s="158">
        <f t="shared" si="2"/>
        <v>0.68968085106382992</v>
      </c>
      <c r="K108" s="158">
        <f t="shared" si="2"/>
        <v>258.21585106382986</v>
      </c>
      <c r="L108" s="158">
        <f t="shared" si="2"/>
        <v>26.307872340425529</v>
      </c>
      <c r="M108" s="158">
        <f t="shared" si="2"/>
        <v>86.955319148936155</v>
      </c>
      <c r="N108" s="158">
        <f t="shared" si="2"/>
        <v>64.352127659574478</v>
      </c>
      <c r="O108" s="158">
        <f t="shared" si="2"/>
        <v>2.7659574468085108E-2</v>
      </c>
      <c r="P108" s="158">
        <f t="shared" si="2"/>
        <v>0.11914893617021276</v>
      </c>
      <c r="Q108" s="158">
        <f t="shared" si="2"/>
        <v>10.521195652173921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0.24444549456473266</v>
      </c>
      <c r="C109" s="158">
        <f t="shared" ref="C109:Q109" si="3">STDEV(C9:C104)</f>
        <v>0.18871387495681261</v>
      </c>
      <c r="D109" s="158">
        <f t="shared" si="3"/>
        <v>6.4377662301916147E-2</v>
      </c>
      <c r="E109" s="158">
        <f t="shared" si="3"/>
        <v>4.3351067800878793</v>
      </c>
      <c r="F109" s="158">
        <f t="shared" si="3"/>
        <v>0.78946229119563416</v>
      </c>
      <c r="G109" s="158">
        <f t="shared" si="3"/>
        <v>12.997372447974316</v>
      </c>
      <c r="H109" s="158">
        <f t="shared" si="3"/>
        <v>4.2128562100798721</v>
      </c>
      <c r="I109" s="158">
        <f t="shared" si="3"/>
        <v>1.3201957878759174</v>
      </c>
      <c r="J109" s="158">
        <f t="shared" si="3"/>
        <v>0.31026333639175785</v>
      </c>
      <c r="K109" s="158">
        <f t="shared" si="3"/>
        <v>13.113418836023554</v>
      </c>
      <c r="L109" s="158">
        <f t="shared" si="3"/>
        <v>1.031761071304292</v>
      </c>
      <c r="M109" s="158">
        <f t="shared" si="3"/>
        <v>5.3526851270265974</v>
      </c>
      <c r="N109" s="158">
        <f t="shared" si="3"/>
        <v>80.597623605837526</v>
      </c>
      <c r="O109" s="158">
        <f t="shared" si="3"/>
        <v>0.214728763802426</v>
      </c>
      <c r="P109" s="158">
        <f t="shared" si="3"/>
        <v>4.3494149265866491E-2</v>
      </c>
      <c r="Q109" s="158">
        <f t="shared" si="3"/>
        <v>0.72351073625440698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COUNT(B9:B104)+3</f>
        <v>96</v>
      </c>
      <c r="C110" s="157">
        <f t="shared" ref="C110:E110" si="4">COUNT(C9:C104)+3</f>
        <v>96</v>
      </c>
      <c r="D110" s="157">
        <f t="shared" si="4"/>
        <v>96</v>
      </c>
      <c r="E110" s="157">
        <f t="shared" si="4"/>
        <v>96</v>
      </c>
      <c r="F110" s="157">
        <f>COUNT(F9:F104)+2</f>
        <v>96</v>
      </c>
      <c r="G110" s="157">
        <f>COUNT(G9:G104)+2</f>
        <v>96</v>
      </c>
      <c r="H110" s="157">
        <f t="shared" ref="H110:P110" si="5">COUNT(H9:H104)+2</f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>COUNT(Q9:Q104)+4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101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624</v>
      </c>
      <c r="B9" s="100">
        <v>2.83</v>
      </c>
      <c r="C9" s="100">
        <v>4.66</v>
      </c>
      <c r="D9" s="100">
        <v>1.9</v>
      </c>
      <c r="E9" s="100">
        <v>6.53</v>
      </c>
      <c r="F9" s="100">
        <v>1.97</v>
      </c>
      <c r="G9" s="100">
        <v>31.12</v>
      </c>
      <c r="H9" s="100">
        <v>10.97</v>
      </c>
      <c r="I9" s="100">
        <v>4.71</v>
      </c>
      <c r="J9" s="100">
        <v>0.18</v>
      </c>
      <c r="K9" s="100">
        <v>247.37</v>
      </c>
      <c r="L9" s="100">
        <v>25.75</v>
      </c>
      <c r="M9" s="100">
        <v>91.71</v>
      </c>
      <c r="N9" s="100">
        <v>2.2000000000000002</v>
      </c>
      <c r="O9" s="100">
        <v>0</v>
      </c>
      <c r="P9" s="100">
        <v>0.09</v>
      </c>
      <c r="Q9" s="151" t="s">
        <v>8</v>
      </c>
      <c r="R9" s="6"/>
      <c r="S9" s="6"/>
      <c r="T9" s="156"/>
      <c r="U9" s="6"/>
    </row>
    <row r="10" spans="1:21" customFormat="1">
      <c r="A10" s="163" t="s">
        <v>625</v>
      </c>
      <c r="B10" s="100">
        <v>2.87</v>
      </c>
      <c r="C10" s="100">
        <v>4.6500000000000004</v>
      </c>
      <c r="D10" s="100">
        <v>1.88</v>
      </c>
      <c r="E10" s="100">
        <v>6.01</v>
      </c>
      <c r="F10" s="100">
        <v>2.59</v>
      </c>
      <c r="G10" s="100">
        <v>31.12</v>
      </c>
      <c r="H10" s="100">
        <v>10.97</v>
      </c>
      <c r="I10" s="100">
        <v>4.5999999999999996</v>
      </c>
      <c r="J10" s="100">
        <v>0.12</v>
      </c>
      <c r="K10" s="100">
        <v>235.58</v>
      </c>
      <c r="L10" s="100">
        <v>25.57</v>
      </c>
      <c r="M10" s="100">
        <v>93.4</v>
      </c>
      <c r="N10" s="100">
        <v>2.1</v>
      </c>
      <c r="O10" s="100">
        <v>0</v>
      </c>
      <c r="P10" s="100">
        <v>0.08</v>
      </c>
      <c r="Q10" s="151" t="s">
        <v>8</v>
      </c>
      <c r="R10" s="6"/>
      <c r="S10" s="6"/>
      <c r="T10" s="156"/>
      <c r="U10" s="6"/>
    </row>
    <row r="11" spans="1:21" customFormat="1">
      <c r="A11" s="163" t="s">
        <v>626</v>
      </c>
      <c r="B11" s="100">
        <v>2.89</v>
      </c>
      <c r="C11" s="100">
        <v>4.67</v>
      </c>
      <c r="D11" s="100">
        <v>1.88</v>
      </c>
      <c r="E11" s="100">
        <v>6.21</v>
      </c>
      <c r="F11" s="100">
        <v>2.2999999999999998</v>
      </c>
      <c r="G11" s="100">
        <v>30.68</v>
      </c>
      <c r="H11" s="100">
        <v>8.1999999999999993</v>
      </c>
      <c r="I11" s="100">
        <v>4.51</v>
      </c>
      <c r="J11" s="100">
        <v>0.14000000000000001</v>
      </c>
      <c r="K11" s="100">
        <v>230.78</v>
      </c>
      <c r="L11" s="100">
        <v>25.47</v>
      </c>
      <c r="M11" s="100">
        <v>94.27</v>
      </c>
      <c r="N11" s="100">
        <v>2</v>
      </c>
      <c r="O11" s="100">
        <v>0</v>
      </c>
      <c r="P11" s="100">
        <v>0.1</v>
      </c>
      <c r="Q11" s="151" t="s">
        <v>8</v>
      </c>
      <c r="R11" s="6"/>
      <c r="S11" s="6"/>
      <c r="T11" s="156"/>
      <c r="U11" s="6"/>
    </row>
    <row r="12" spans="1:21" customFormat="1">
      <c r="A12" s="163" t="s">
        <v>627</v>
      </c>
      <c r="B12" s="100">
        <v>2.92</v>
      </c>
      <c r="C12" s="100">
        <v>4.72</v>
      </c>
      <c r="D12" s="100">
        <v>1.9</v>
      </c>
      <c r="E12" s="100">
        <v>6.34</v>
      </c>
      <c r="F12" s="100">
        <v>1.3</v>
      </c>
      <c r="G12" s="100">
        <v>30.65</v>
      </c>
      <c r="H12" s="100">
        <v>8.1999999999999993</v>
      </c>
      <c r="I12" s="100">
        <v>4.43</v>
      </c>
      <c r="J12" s="100">
        <v>0.32</v>
      </c>
      <c r="K12" s="100">
        <v>259.51</v>
      </c>
      <c r="L12" s="100">
        <v>25.47</v>
      </c>
      <c r="M12" s="100">
        <v>94.48</v>
      </c>
      <c r="N12" s="100">
        <v>1.9</v>
      </c>
      <c r="O12" s="100">
        <v>0</v>
      </c>
      <c r="P12" s="100">
        <v>0.09</v>
      </c>
      <c r="Q12" s="151" t="s">
        <v>8</v>
      </c>
      <c r="R12" s="6"/>
      <c r="S12" s="6"/>
      <c r="T12" s="156"/>
      <c r="U12" s="6"/>
    </row>
    <row r="13" spans="1:21" customFormat="1">
      <c r="A13" s="163" t="s">
        <v>628</v>
      </c>
      <c r="B13" s="100">
        <v>2.95</v>
      </c>
      <c r="C13" s="100">
        <v>4.71</v>
      </c>
      <c r="D13" s="100">
        <v>1.87</v>
      </c>
      <c r="E13" s="100">
        <v>5.94</v>
      </c>
      <c r="F13" s="100">
        <v>2.63</v>
      </c>
      <c r="G13" s="100">
        <v>30.65</v>
      </c>
      <c r="H13" s="100">
        <v>8.1999999999999993</v>
      </c>
      <c r="I13" s="100">
        <v>4.68</v>
      </c>
      <c r="J13" s="100">
        <v>0.36</v>
      </c>
      <c r="K13" s="100">
        <v>258.72000000000003</v>
      </c>
      <c r="L13" s="100">
        <v>25.57</v>
      </c>
      <c r="M13" s="100">
        <v>93.33</v>
      </c>
      <c r="N13" s="100">
        <v>2.1</v>
      </c>
      <c r="O13" s="100">
        <v>0</v>
      </c>
      <c r="P13" s="100">
        <v>7.0000000000000007E-2</v>
      </c>
      <c r="Q13" s="151" t="s">
        <v>8</v>
      </c>
      <c r="R13" s="6"/>
      <c r="S13" s="6"/>
      <c r="T13" s="156"/>
      <c r="U13" s="6"/>
    </row>
    <row r="14" spans="1:21" customFormat="1">
      <c r="A14" s="163" t="s">
        <v>629</v>
      </c>
      <c r="B14" s="100">
        <v>2.96</v>
      </c>
      <c r="C14" s="100">
        <v>4.71</v>
      </c>
      <c r="D14" s="100">
        <v>1.86</v>
      </c>
      <c r="E14" s="100">
        <v>5.85</v>
      </c>
      <c r="F14" s="100">
        <v>2.96</v>
      </c>
      <c r="G14" s="100">
        <v>30.65</v>
      </c>
      <c r="H14" s="100">
        <v>8.1999999999999993</v>
      </c>
      <c r="I14" s="100">
        <v>4.59</v>
      </c>
      <c r="J14" s="100">
        <v>0.31</v>
      </c>
      <c r="K14" s="100">
        <v>244.91</v>
      </c>
      <c r="L14" s="100">
        <v>25.59</v>
      </c>
      <c r="M14" s="100">
        <v>93.11</v>
      </c>
      <c r="N14" s="100">
        <v>2.2999999999999998</v>
      </c>
      <c r="O14" s="100">
        <v>0</v>
      </c>
      <c r="P14" s="100">
        <v>0.09</v>
      </c>
      <c r="Q14" s="151" t="s">
        <v>8</v>
      </c>
      <c r="R14" s="6"/>
      <c r="S14" s="6"/>
      <c r="T14" s="156"/>
      <c r="U14" s="6"/>
    </row>
    <row r="15" spans="1:21" customFormat="1">
      <c r="A15" s="163" t="s">
        <v>630</v>
      </c>
      <c r="B15" s="100">
        <v>2.96</v>
      </c>
      <c r="C15" s="100">
        <v>4.74</v>
      </c>
      <c r="D15" s="100">
        <v>1.89</v>
      </c>
      <c r="E15" s="100">
        <v>5.95</v>
      </c>
      <c r="F15" s="100">
        <v>1.9</v>
      </c>
      <c r="G15" s="100">
        <v>23.07</v>
      </c>
      <c r="H15" s="100">
        <v>6.29</v>
      </c>
      <c r="I15" s="100">
        <v>4.51</v>
      </c>
      <c r="J15" s="100">
        <v>0.37</v>
      </c>
      <c r="K15" s="100">
        <v>259.2</v>
      </c>
      <c r="L15" s="100">
        <v>25.56</v>
      </c>
      <c r="M15" s="100">
        <v>93.11</v>
      </c>
      <c r="N15" s="100">
        <v>2.4</v>
      </c>
      <c r="O15" s="100">
        <v>0</v>
      </c>
      <c r="P15" s="100">
        <v>0.08</v>
      </c>
      <c r="Q15" s="151" t="s">
        <v>8</v>
      </c>
      <c r="R15" s="6"/>
      <c r="S15" s="6"/>
      <c r="T15" s="156"/>
      <c r="U15" s="6"/>
    </row>
    <row r="16" spans="1:21" customFormat="1">
      <c r="A16" s="163" t="s">
        <v>631</v>
      </c>
      <c r="B16" s="100">
        <v>2.99</v>
      </c>
      <c r="C16" s="100">
        <v>4.74</v>
      </c>
      <c r="D16" s="100">
        <v>1.87</v>
      </c>
      <c r="E16" s="100">
        <v>6.02</v>
      </c>
      <c r="F16" s="100">
        <v>2.5299999999999998</v>
      </c>
      <c r="G16" s="100">
        <v>22.43</v>
      </c>
      <c r="H16" s="100">
        <v>6.29</v>
      </c>
      <c r="I16" s="100">
        <v>4.55</v>
      </c>
      <c r="J16" s="100">
        <v>0.21</v>
      </c>
      <c r="K16" s="100">
        <v>260.12</v>
      </c>
      <c r="L16" s="100">
        <v>25.52</v>
      </c>
      <c r="M16" s="100">
        <v>93.58</v>
      </c>
      <c r="N16" s="100">
        <v>2.4</v>
      </c>
      <c r="O16" s="100">
        <v>0</v>
      </c>
      <c r="P16" s="100">
        <v>7.0000000000000007E-2</v>
      </c>
      <c r="Q16" s="151" t="s">
        <v>8</v>
      </c>
      <c r="R16" s="6"/>
      <c r="S16" s="6"/>
      <c r="T16" s="156"/>
      <c r="U16" s="6"/>
    </row>
    <row r="17" spans="1:21" customFormat="1">
      <c r="A17" s="163" t="s">
        <v>632</v>
      </c>
      <c r="B17" s="100">
        <v>3</v>
      </c>
      <c r="C17" s="100">
        <v>4.75</v>
      </c>
      <c r="D17" s="100">
        <v>1.88</v>
      </c>
      <c r="E17" s="100">
        <v>4.8600000000000003</v>
      </c>
      <c r="F17" s="100">
        <v>2.13</v>
      </c>
      <c r="G17" s="100">
        <v>22.43</v>
      </c>
      <c r="H17" s="100">
        <v>6.29</v>
      </c>
      <c r="I17" s="100">
        <v>4.4400000000000004</v>
      </c>
      <c r="J17" s="100">
        <v>0.35</v>
      </c>
      <c r="K17" s="100">
        <v>253.42</v>
      </c>
      <c r="L17" s="100">
        <v>25.5</v>
      </c>
      <c r="M17" s="100">
        <v>93.82</v>
      </c>
      <c r="N17" s="100">
        <v>2.2999999999999998</v>
      </c>
      <c r="O17" s="100">
        <v>0</v>
      </c>
      <c r="P17" s="100">
        <v>0.09</v>
      </c>
      <c r="Q17" s="151" t="s">
        <v>8</v>
      </c>
      <c r="R17" s="6"/>
      <c r="S17" s="6"/>
      <c r="T17" s="156"/>
      <c r="U17" s="6"/>
    </row>
    <row r="18" spans="1:21" customFormat="1">
      <c r="A18" s="163" t="s">
        <v>633</v>
      </c>
      <c r="B18" s="100">
        <v>3.01</v>
      </c>
      <c r="C18" s="100">
        <v>4.7699999999999996</v>
      </c>
      <c r="D18" s="100">
        <v>1.88</v>
      </c>
      <c r="E18" s="100">
        <v>5.71</v>
      </c>
      <c r="F18" s="100">
        <v>2.61</v>
      </c>
      <c r="G18" s="100">
        <v>22.43</v>
      </c>
      <c r="H18" s="100">
        <v>6.29</v>
      </c>
      <c r="I18" s="100">
        <v>4.38</v>
      </c>
      <c r="J18" s="100">
        <v>0.39</v>
      </c>
      <c r="K18" s="100">
        <v>259.07</v>
      </c>
      <c r="L18" s="100">
        <v>25.51</v>
      </c>
      <c r="M18" s="100">
        <v>93.39</v>
      </c>
      <c r="N18" s="100">
        <v>2.2999999999999998</v>
      </c>
      <c r="O18" s="100">
        <v>0</v>
      </c>
      <c r="P18" s="100">
        <v>7.0000000000000007E-2</v>
      </c>
      <c r="Q18" s="151" t="s">
        <v>8</v>
      </c>
      <c r="R18" s="6"/>
      <c r="S18" s="6"/>
      <c r="T18" s="156"/>
      <c r="U18" s="6"/>
    </row>
    <row r="19" spans="1:21" customFormat="1">
      <c r="A19" s="163" t="s">
        <v>634</v>
      </c>
      <c r="B19" s="100">
        <v>3</v>
      </c>
      <c r="C19" s="100">
        <v>4.75</v>
      </c>
      <c r="D19" s="100">
        <v>1.87</v>
      </c>
      <c r="E19" s="100">
        <v>5.32</v>
      </c>
      <c r="F19" s="100">
        <v>3.46</v>
      </c>
      <c r="G19" s="100">
        <v>24.19</v>
      </c>
      <c r="H19" s="100">
        <v>4.8</v>
      </c>
      <c r="I19" s="100">
        <v>4.53</v>
      </c>
      <c r="J19" s="100">
        <v>0.43</v>
      </c>
      <c r="K19" s="100">
        <v>261.51</v>
      </c>
      <c r="L19" s="100">
        <v>25.52</v>
      </c>
      <c r="M19" s="100">
        <v>93.13</v>
      </c>
      <c r="N19" s="100">
        <v>2.2999999999999998</v>
      </c>
      <c r="O19" s="100">
        <v>0</v>
      </c>
      <c r="P19" s="100">
        <v>7.0000000000000007E-2</v>
      </c>
      <c r="Q19" s="151" t="s">
        <v>8</v>
      </c>
      <c r="R19" s="6"/>
      <c r="S19" s="6"/>
      <c r="T19" s="156"/>
      <c r="U19" s="6"/>
    </row>
    <row r="20" spans="1:21" customFormat="1">
      <c r="A20" s="163" t="s">
        <v>635</v>
      </c>
      <c r="B20" s="100">
        <v>3.02</v>
      </c>
      <c r="C20" s="100">
        <v>4.78</v>
      </c>
      <c r="D20" s="100">
        <v>1.88</v>
      </c>
      <c r="E20" s="100">
        <v>6.11</v>
      </c>
      <c r="F20" s="100">
        <v>1.48</v>
      </c>
      <c r="G20" s="100">
        <v>24.34</v>
      </c>
      <c r="H20" s="100">
        <v>4.8</v>
      </c>
      <c r="I20" s="100">
        <v>4.42</v>
      </c>
      <c r="J20" s="100">
        <v>0.61</v>
      </c>
      <c r="K20" s="100">
        <v>257.3</v>
      </c>
      <c r="L20" s="100">
        <v>25.49</v>
      </c>
      <c r="M20" s="100">
        <v>92.94</v>
      </c>
      <c r="N20" s="100">
        <v>2.2000000000000002</v>
      </c>
      <c r="O20" s="100">
        <v>0</v>
      </c>
      <c r="P20" s="100">
        <v>0.08</v>
      </c>
      <c r="Q20" s="151" t="s">
        <v>8</v>
      </c>
      <c r="R20" s="6"/>
      <c r="S20" s="6"/>
      <c r="T20" s="156"/>
      <c r="U20" s="6"/>
    </row>
    <row r="21" spans="1:21" customFormat="1">
      <c r="A21" s="163" t="s">
        <v>636</v>
      </c>
      <c r="B21" s="100">
        <v>3.05</v>
      </c>
      <c r="C21" s="100">
        <v>4.79</v>
      </c>
      <c r="D21" s="100">
        <v>1.87</v>
      </c>
      <c r="E21" s="100">
        <v>5.8</v>
      </c>
      <c r="F21" s="100">
        <v>1.63</v>
      </c>
      <c r="G21" s="100">
        <v>24.34</v>
      </c>
      <c r="H21" s="100">
        <v>4.8</v>
      </c>
      <c r="I21" s="100">
        <v>4.33</v>
      </c>
      <c r="J21" s="100">
        <v>0.77</v>
      </c>
      <c r="K21" s="100">
        <v>258.83</v>
      </c>
      <c r="L21" s="100">
        <v>25.54</v>
      </c>
      <c r="M21" s="100">
        <v>91.92</v>
      </c>
      <c r="N21" s="100">
        <v>2.1</v>
      </c>
      <c r="O21" s="100">
        <v>0</v>
      </c>
      <c r="P21" s="100">
        <v>0.06</v>
      </c>
      <c r="Q21" s="151" t="s">
        <v>8</v>
      </c>
      <c r="R21" s="6"/>
      <c r="S21" s="6"/>
      <c r="T21" s="156"/>
      <c r="U21" s="6"/>
    </row>
    <row r="22" spans="1:21" customFormat="1">
      <c r="A22" s="163" t="s">
        <v>637</v>
      </c>
      <c r="B22" s="100">
        <v>3.03</v>
      </c>
      <c r="C22" s="100">
        <v>4.7699999999999996</v>
      </c>
      <c r="D22" s="100">
        <v>1.87</v>
      </c>
      <c r="E22" s="100">
        <v>5.6</v>
      </c>
      <c r="F22" s="100">
        <v>2.35</v>
      </c>
      <c r="G22" s="100">
        <v>24.34</v>
      </c>
      <c r="H22" s="100">
        <v>4.8</v>
      </c>
      <c r="I22" s="100">
        <v>4.47</v>
      </c>
      <c r="J22" s="100">
        <v>0.73</v>
      </c>
      <c r="K22" s="100">
        <v>257.83</v>
      </c>
      <c r="L22" s="100">
        <v>25.54</v>
      </c>
      <c r="M22" s="100">
        <v>91.64</v>
      </c>
      <c r="N22" s="100">
        <v>2.2999999999999998</v>
      </c>
      <c r="O22" s="100">
        <v>0</v>
      </c>
      <c r="P22" s="100">
        <v>7.0000000000000007E-2</v>
      </c>
      <c r="Q22" s="151" t="s">
        <v>8</v>
      </c>
      <c r="R22" s="6"/>
      <c r="S22" s="6"/>
      <c r="T22" s="156"/>
      <c r="U22" s="6"/>
    </row>
    <row r="23" spans="1:21" customFormat="1">
      <c r="A23" s="163" t="s">
        <v>638</v>
      </c>
      <c r="B23" s="100">
        <v>3.03</v>
      </c>
      <c r="C23" s="100">
        <v>4.79</v>
      </c>
      <c r="D23" s="100">
        <v>1.88</v>
      </c>
      <c r="E23" s="100">
        <v>5.78</v>
      </c>
      <c r="F23" s="100">
        <v>1.43</v>
      </c>
      <c r="G23" s="100">
        <v>23.02</v>
      </c>
      <c r="H23" s="100">
        <v>3.59</v>
      </c>
      <c r="I23" s="100">
        <v>4.3899999999999997</v>
      </c>
      <c r="J23" s="100">
        <v>0.77</v>
      </c>
      <c r="K23" s="100">
        <v>252.87</v>
      </c>
      <c r="L23" s="100">
        <v>25.48</v>
      </c>
      <c r="M23" s="100">
        <v>91.76</v>
      </c>
      <c r="N23" s="100">
        <v>2.4</v>
      </c>
      <c r="O23" s="100">
        <v>0</v>
      </c>
      <c r="P23" s="100">
        <v>0.06</v>
      </c>
      <c r="Q23" s="151" t="s">
        <v>8</v>
      </c>
      <c r="R23" s="6"/>
      <c r="S23" s="6"/>
      <c r="T23" s="156"/>
      <c r="U23" s="6"/>
    </row>
    <row r="24" spans="1:21" customFormat="1">
      <c r="A24" s="163" t="s">
        <v>639</v>
      </c>
      <c r="B24" s="100">
        <v>3.03</v>
      </c>
      <c r="C24" s="100">
        <v>4.78</v>
      </c>
      <c r="D24" s="100">
        <v>1.87</v>
      </c>
      <c r="E24" s="100">
        <v>5.73</v>
      </c>
      <c r="F24" s="100">
        <v>2.17</v>
      </c>
      <c r="G24" s="100">
        <v>22.91</v>
      </c>
      <c r="H24" s="100">
        <v>3.59</v>
      </c>
      <c r="I24" s="100">
        <v>4.3099999999999996</v>
      </c>
      <c r="J24" s="100">
        <v>0.77</v>
      </c>
      <c r="K24" s="100">
        <v>260.16000000000003</v>
      </c>
      <c r="L24" s="100">
        <v>25.3</v>
      </c>
      <c r="M24" s="100">
        <v>92.42</v>
      </c>
      <c r="N24" s="100">
        <v>2.5</v>
      </c>
      <c r="O24" s="100">
        <v>0</v>
      </c>
      <c r="P24" s="100">
        <v>0.06</v>
      </c>
      <c r="Q24" s="151" t="s">
        <v>8</v>
      </c>
      <c r="R24" s="6"/>
      <c r="S24" s="6"/>
      <c r="T24" s="156"/>
      <c r="U24" s="6"/>
    </row>
    <row r="25" spans="1:21" customFormat="1">
      <c r="A25" s="163" t="s">
        <v>640</v>
      </c>
      <c r="B25" s="100">
        <v>3</v>
      </c>
      <c r="C25" s="100">
        <v>4.78</v>
      </c>
      <c r="D25" s="100">
        <v>1.89</v>
      </c>
      <c r="E25" s="100">
        <v>5.82</v>
      </c>
      <c r="F25" s="100">
        <v>1.35</v>
      </c>
      <c r="G25" s="100">
        <v>22.91</v>
      </c>
      <c r="H25" s="100">
        <v>3.59</v>
      </c>
      <c r="I25" s="100">
        <v>4.28</v>
      </c>
      <c r="J25" s="100">
        <v>0.83</v>
      </c>
      <c r="K25" s="100">
        <v>258.44</v>
      </c>
      <c r="L25" s="100">
        <v>25.13</v>
      </c>
      <c r="M25" s="100">
        <v>93.4</v>
      </c>
      <c r="N25" s="100">
        <v>2.5</v>
      </c>
      <c r="O25" s="100">
        <v>0</v>
      </c>
      <c r="P25" s="100">
        <v>7.0000000000000007E-2</v>
      </c>
      <c r="Q25" s="151" t="s">
        <v>8</v>
      </c>
      <c r="R25" s="6"/>
      <c r="S25" s="6"/>
      <c r="T25" s="156"/>
      <c r="U25" s="6"/>
    </row>
    <row r="26" spans="1:21" customFormat="1">
      <c r="A26" s="163" t="s">
        <v>641</v>
      </c>
      <c r="B26" s="100">
        <v>3</v>
      </c>
      <c r="C26" s="100">
        <v>4.78</v>
      </c>
      <c r="D26" s="100">
        <v>1.89</v>
      </c>
      <c r="E26" s="100">
        <v>5.73</v>
      </c>
      <c r="F26" s="100">
        <v>1.71</v>
      </c>
      <c r="G26" s="100">
        <v>22.91</v>
      </c>
      <c r="H26" s="100">
        <v>3.59</v>
      </c>
      <c r="I26" s="100">
        <v>4.21</v>
      </c>
      <c r="J26" s="100">
        <v>0.83</v>
      </c>
      <c r="K26" s="100">
        <v>257.93</v>
      </c>
      <c r="L26" s="100">
        <v>25</v>
      </c>
      <c r="M26" s="100">
        <v>93.41</v>
      </c>
      <c r="N26" s="100">
        <v>2.4</v>
      </c>
      <c r="O26" s="100">
        <v>0</v>
      </c>
      <c r="P26" s="100">
        <v>0.05</v>
      </c>
      <c r="Q26" s="151" t="s">
        <v>8</v>
      </c>
      <c r="R26" s="6"/>
      <c r="S26" s="6"/>
      <c r="T26" s="156"/>
      <c r="U26" s="6"/>
    </row>
    <row r="27" spans="1:21" customFormat="1">
      <c r="A27" s="163" t="s">
        <v>642</v>
      </c>
      <c r="B27" s="100">
        <v>2.97</v>
      </c>
      <c r="C27" s="100">
        <v>4.8499999999999996</v>
      </c>
      <c r="D27" s="100">
        <v>1.97</v>
      </c>
      <c r="E27" s="100">
        <v>5.43</v>
      </c>
      <c r="F27" s="100">
        <v>2.39</v>
      </c>
      <c r="G27" s="100">
        <v>17.16</v>
      </c>
      <c r="H27" s="100">
        <v>3.72</v>
      </c>
      <c r="I27" s="100">
        <v>4.2</v>
      </c>
      <c r="J27" s="100">
        <v>0.68</v>
      </c>
      <c r="K27" s="100">
        <v>262.48</v>
      </c>
      <c r="L27" s="100">
        <v>24.9</v>
      </c>
      <c r="M27" s="100">
        <v>93.28</v>
      </c>
      <c r="N27" s="100">
        <v>2.2999999999999998</v>
      </c>
      <c r="O27" s="100">
        <v>0</v>
      </c>
      <c r="P27" s="100">
        <v>7.0000000000000007E-2</v>
      </c>
      <c r="Q27" s="151" t="s">
        <v>8</v>
      </c>
      <c r="R27" s="6"/>
      <c r="S27" s="6"/>
      <c r="T27" s="156"/>
      <c r="U27" s="6"/>
    </row>
    <row r="28" spans="1:21" customFormat="1">
      <c r="A28" s="163" t="s">
        <v>643</v>
      </c>
      <c r="B28" s="100">
        <v>2.93</v>
      </c>
      <c r="C28" s="100">
        <v>4.8600000000000003</v>
      </c>
      <c r="D28" s="100">
        <v>2.0099999999999998</v>
      </c>
      <c r="E28" s="100">
        <v>5.55</v>
      </c>
      <c r="F28" s="100">
        <v>1.75</v>
      </c>
      <c r="G28" s="100">
        <v>16.670000000000002</v>
      </c>
      <c r="H28" s="100">
        <v>3.72</v>
      </c>
      <c r="I28" s="100">
        <v>3.95</v>
      </c>
      <c r="J28" s="100">
        <v>0.83</v>
      </c>
      <c r="K28" s="100">
        <v>260.92</v>
      </c>
      <c r="L28" s="100">
        <v>24.86</v>
      </c>
      <c r="M28" s="100">
        <v>91.67</v>
      </c>
      <c r="N28" s="100">
        <v>2.1</v>
      </c>
      <c r="O28" s="100">
        <v>0.2</v>
      </c>
      <c r="P28" s="100">
        <v>0.08</v>
      </c>
      <c r="Q28" s="151" t="s">
        <v>8</v>
      </c>
      <c r="R28" s="6"/>
      <c r="S28" s="6"/>
      <c r="T28" s="156"/>
      <c r="U28" s="6"/>
    </row>
    <row r="29" spans="1:21" customFormat="1">
      <c r="A29" s="163" t="s">
        <v>644</v>
      </c>
      <c r="B29" s="100">
        <v>2.87</v>
      </c>
      <c r="C29" s="100">
        <v>4.8099999999999996</v>
      </c>
      <c r="D29" s="100">
        <v>2.0099999999999998</v>
      </c>
      <c r="E29" s="100">
        <v>5.68</v>
      </c>
      <c r="F29" s="100">
        <v>1.47</v>
      </c>
      <c r="G29" s="100">
        <v>16.670000000000002</v>
      </c>
      <c r="H29" s="100">
        <v>3.72</v>
      </c>
      <c r="I29" s="100">
        <v>3.92</v>
      </c>
      <c r="J29" s="100">
        <v>0.64</v>
      </c>
      <c r="K29" s="100">
        <v>260.06</v>
      </c>
      <c r="L29" s="100">
        <v>24.18</v>
      </c>
      <c r="M29" s="100">
        <v>94.57</v>
      </c>
      <c r="N29" s="100">
        <v>3.3</v>
      </c>
      <c r="O29" s="100">
        <v>4.8</v>
      </c>
      <c r="P29" s="100">
        <v>7.0000000000000007E-2</v>
      </c>
      <c r="Q29" s="151" t="s">
        <v>8</v>
      </c>
      <c r="R29" s="6"/>
      <c r="S29" s="6"/>
      <c r="T29" s="156"/>
      <c r="U29" s="6"/>
    </row>
    <row r="30" spans="1:21" customFormat="1">
      <c r="A30" s="163" t="s">
        <v>645</v>
      </c>
      <c r="B30" s="100">
        <v>2.83</v>
      </c>
      <c r="C30" s="100">
        <v>4.78</v>
      </c>
      <c r="D30" s="100">
        <v>2</v>
      </c>
      <c r="E30" s="100">
        <v>5.76</v>
      </c>
      <c r="F30" s="100">
        <v>1.8</v>
      </c>
      <c r="G30" s="100">
        <v>16.670000000000002</v>
      </c>
      <c r="H30" s="100">
        <v>3.72</v>
      </c>
      <c r="I30" s="100">
        <v>3.91</v>
      </c>
      <c r="J30" s="100">
        <v>0.46</v>
      </c>
      <c r="K30" s="100">
        <v>256.35000000000002</v>
      </c>
      <c r="L30" s="100">
        <v>23.63</v>
      </c>
      <c r="M30" s="100">
        <v>98.68</v>
      </c>
      <c r="N30" s="100">
        <v>2.7</v>
      </c>
      <c r="O30" s="100">
        <v>4.4000000000000004</v>
      </c>
      <c r="P30" s="100">
        <v>7.0000000000000007E-2</v>
      </c>
      <c r="Q30" s="151" t="s">
        <v>8</v>
      </c>
      <c r="R30" s="6"/>
      <c r="S30" s="6"/>
      <c r="T30" s="156"/>
      <c r="U30" s="6"/>
    </row>
    <row r="31" spans="1:21" customFormat="1">
      <c r="A31" s="163" t="s">
        <v>646</v>
      </c>
      <c r="B31" s="100">
        <v>2.81</v>
      </c>
      <c r="C31" s="100">
        <v>4.76</v>
      </c>
      <c r="D31" s="100">
        <v>2</v>
      </c>
      <c r="E31" s="100">
        <v>5.71</v>
      </c>
      <c r="F31" s="100">
        <v>1.97</v>
      </c>
      <c r="G31" s="100">
        <v>14.07</v>
      </c>
      <c r="H31" s="100">
        <v>5.09</v>
      </c>
      <c r="I31" s="100">
        <v>3.76</v>
      </c>
      <c r="J31" s="100">
        <v>0.33</v>
      </c>
      <c r="K31" s="100">
        <v>251.16</v>
      </c>
      <c r="L31" s="100">
        <v>23.58</v>
      </c>
      <c r="M31" s="100">
        <v>99.76</v>
      </c>
      <c r="N31" s="100">
        <v>3.1</v>
      </c>
      <c r="O31" s="100">
        <v>1.8</v>
      </c>
      <c r="P31" s="100">
        <v>7.0000000000000007E-2</v>
      </c>
      <c r="Q31" s="151" t="s">
        <v>8</v>
      </c>
      <c r="R31" s="6"/>
      <c r="S31" s="6"/>
      <c r="T31" s="156"/>
      <c r="U31" s="6"/>
    </row>
    <row r="32" spans="1:21" customFormat="1">
      <c r="A32" s="163" t="s">
        <v>647</v>
      </c>
      <c r="B32" s="100">
        <v>2.8</v>
      </c>
      <c r="C32" s="100">
        <v>4.74</v>
      </c>
      <c r="D32" s="100">
        <v>1.99</v>
      </c>
      <c r="E32" s="100">
        <v>5.91</v>
      </c>
      <c r="F32" s="100">
        <v>1.55</v>
      </c>
      <c r="G32" s="100">
        <v>13.85</v>
      </c>
      <c r="H32" s="100">
        <v>5.09</v>
      </c>
      <c r="I32" s="100">
        <v>3.7</v>
      </c>
      <c r="J32" s="100">
        <v>0.38</v>
      </c>
      <c r="K32" s="100">
        <v>262.56</v>
      </c>
      <c r="L32" s="100">
        <v>23.62</v>
      </c>
      <c r="M32" s="100">
        <v>100.05</v>
      </c>
      <c r="N32" s="100">
        <v>5.2</v>
      </c>
      <c r="O32" s="100">
        <v>0</v>
      </c>
      <c r="P32" s="100">
        <v>7.0000000000000007E-2</v>
      </c>
      <c r="Q32" s="151" t="s">
        <v>8</v>
      </c>
      <c r="R32" s="6"/>
      <c r="S32" s="6"/>
      <c r="T32" s="156"/>
      <c r="U32" s="6"/>
    </row>
    <row r="33" spans="1:21" customFormat="1">
      <c r="A33" s="163" t="s">
        <v>648</v>
      </c>
      <c r="B33" s="100">
        <v>2.79</v>
      </c>
      <c r="C33" s="100">
        <v>4.72</v>
      </c>
      <c r="D33" s="100">
        <v>1.99</v>
      </c>
      <c r="E33" s="100">
        <v>5.65</v>
      </c>
      <c r="F33" s="100">
        <v>1.7</v>
      </c>
      <c r="G33" s="100">
        <v>13.85</v>
      </c>
      <c r="H33" s="100">
        <v>5.09</v>
      </c>
      <c r="I33" s="100">
        <v>3.6</v>
      </c>
      <c r="J33" s="100">
        <v>0.33</v>
      </c>
      <c r="K33" s="100">
        <v>262.04000000000002</v>
      </c>
      <c r="L33" s="100">
        <v>23.75</v>
      </c>
      <c r="M33" s="100">
        <v>100.07</v>
      </c>
      <c r="N33" s="100">
        <v>9.4</v>
      </c>
      <c r="O33" s="100">
        <v>0</v>
      </c>
      <c r="P33" s="100">
        <v>0.08</v>
      </c>
      <c r="Q33" s="151" t="s">
        <v>8</v>
      </c>
      <c r="R33" s="6"/>
      <c r="S33" s="6"/>
      <c r="T33" s="156"/>
      <c r="U33" s="6"/>
    </row>
    <row r="34" spans="1:21" customFormat="1">
      <c r="A34" s="163" t="s">
        <v>649</v>
      </c>
      <c r="B34" s="100">
        <v>2.78</v>
      </c>
      <c r="C34" s="100">
        <v>4.71</v>
      </c>
      <c r="D34" s="100">
        <v>1.98</v>
      </c>
      <c r="E34" s="100">
        <v>5.81</v>
      </c>
      <c r="F34" s="100">
        <v>2.0099999999999998</v>
      </c>
      <c r="G34" s="100">
        <v>13.85</v>
      </c>
      <c r="H34" s="100">
        <v>5.09</v>
      </c>
      <c r="I34" s="100">
        <v>3.54</v>
      </c>
      <c r="J34" s="100">
        <v>0.32</v>
      </c>
      <c r="K34" s="100">
        <v>251.21</v>
      </c>
      <c r="L34" s="100">
        <v>23.88</v>
      </c>
      <c r="M34" s="100">
        <v>100.09</v>
      </c>
      <c r="N34" s="100">
        <v>16.399999999999999</v>
      </c>
      <c r="O34" s="100">
        <v>0</v>
      </c>
      <c r="P34" s="100">
        <v>7.0000000000000007E-2</v>
      </c>
      <c r="Q34" s="151" t="s">
        <v>8</v>
      </c>
      <c r="R34" s="6"/>
      <c r="S34" s="6"/>
      <c r="T34" s="156"/>
      <c r="U34" s="6"/>
    </row>
    <row r="35" spans="1:21" customFormat="1">
      <c r="A35" s="163" t="s">
        <v>650</v>
      </c>
      <c r="B35" s="100">
        <v>2.78</v>
      </c>
      <c r="C35" s="100">
        <v>4.7</v>
      </c>
      <c r="D35" s="100">
        <v>1.97</v>
      </c>
      <c r="E35" s="100">
        <v>6.02</v>
      </c>
      <c r="F35" s="100">
        <v>2.09</v>
      </c>
      <c r="G35" s="100">
        <v>16.920000000000002</v>
      </c>
      <c r="H35" s="100">
        <v>5.67</v>
      </c>
      <c r="I35" s="100">
        <v>3.52</v>
      </c>
      <c r="J35" s="100">
        <v>0.38</v>
      </c>
      <c r="K35" s="100">
        <v>255.48</v>
      </c>
      <c r="L35" s="100">
        <v>23.99</v>
      </c>
      <c r="M35" s="100">
        <v>100.08</v>
      </c>
      <c r="N35" s="100">
        <v>25.7</v>
      </c>
      <c r="O35" s="100">
        <v>0</v>
      </c>
      <c r="P35" s="100">
        <v>7.0000000000000007E-2</v>
      </c>
      <c r="Q35" s="151" t="s">
        <v>8</v>
      </c>
      <c r="R35" s="6"/>
      <c r="S35" s="6"/>
      <c r="T35" s="156"/>
      <c r="U35" s="6"/>
    </row>
    <row r="36" spans="1:21" customFormat="1">
      <c r="A36" s="163" t="s">
        <v>651</v>
      </c>
      <c r="B36" s="100">
        <v>2.78</v>
      </c>
      <c r="C36" s="100">
        <v>4.6900000000000004</v>
      </c>
      <c r="D36" s="100">
        <v>1.96</v>
      </c>
      <c r="E36" s="100">
        <v>5.88</v>
      </c>
      <c r="F36" s="100">
        <v>2.54</v>
      </c>
      <c r="G36" s="100">
        <v>17.18</v>
      </c>
      <c r="H36" s="100">
        <v>5.67</v>
      </c>
      <c r="I36" s="100">
        <v>3.49</v>
      </c>
      <c r="J36" s="100">
        <v>0.56000000000000005</v>
      </c>
      <c r="K36" s="100">
        <v>256.75</v>
      </c>
      <c r="L36" s="100">
        <v>24.18</v>
      </c>
      <c r="M36" s="100">
        <v>100.05</v>
      </c>
      <c r="N36" s="100">
        <v>45.3</v>
      </c>
      <c r="O36" s="100">
        <v>0</v>
      </c>
      <c r="P36" s="100">
        <v>7.0000000000000007E-2</v>
      </c>
      <c r="Q36" s="151" t="s">
        <v>8</v>
      </c>
      <c r="R36" s="6"/>
      <c r="S36" s="6"/>
      <c r="T36" s="156"/>
      <c r="U36" s="6"/>
    </row>
    <row r="37" spans="1:21" customFormat="1">
      <c r="A37" s="163" t="s">
        <v>652</v>
      </c>
      <c r="B37" s="100">
        <v>2.78</v>
      </c>
      <c r="C37" s="100">
        <v>4.68</v>
      </c>
      <c r="D37" s="100">
        <v>1.96</v>
      </c>
      <c r="E37" s="100">
        <v>5.85</v>
      </c>
      <c r="F37" s="100">
        <v>1.94</v>
      </c>
      <c r="G37" s="100">
        <v>17.18</v>
      </c>
      <c r="H37" s="100">
        <v>5.67</v>
      </c>
      <c r="I37" s="100">
        <v>3.44</v>
      </c>
      <c r="J37" s="100">
        <v>0.54</v>
      </c>
      <c r="K37" s="100">
        <v>260.66000000000003</v>
      </c>
      <c r="L37" s="100">
        <v>24.48</v>
      </c>
      <c r="M37" s="100">
        <v>99.23</v>
      </c>
      <c r="N37" s="100">
        <v>54.9</v>
      </c>
      <c r="O37" s="100">
        <v>0</v>
      </c>
      <c r="P37" s="100">
        <v>0.06</v>
      </c>
      <c r="Q37" s="151" t="s">
        <v>8</v>
      </c>
      <c r="R37" s="6"/>
      <c r="S37" s="6"/>
      <c r="T37" s="156"/>
      <c r="U37" s="6"/>
    </row>
    <row r="38" spans="1:21" customFormat="1">
      <c r="A38" s="163" t="s">
        <v>653</v>
      </c>
      <c r="B38" s="100">
        <v>2.77</v>
      </c>
      <c r="C38" s="100">
        <v>4.67</v>
      </c>
      <c r="D38" s="100">
        <v>1.95</v>
      </c>
      <c r="E38" s="100">
        <v>5.72</v>
      </c>
      <c r="F38" s="100">
        <v>1.88</v>
      </c>
      <c r="G38" s="100">
        <v>17.18</v>
      </c>
      <c r="H38" s="100">
        <v>5.67</v>
      </c>
      <c r="I38" s="100">
        <v>3.4</v>
      </c>
      <c r="J38" s="100">
        <v>0.44</v>
      </c>
      <c r="K38" s="100">
        <v>259.68</v>
      </c>
      <c r="L38" s="100">
        <v>24.69</v>
      </c>
      <c r="M38" s="100">
        <v>97.41</v>
      </c>
      <c r="N38" s="100">
        <v>67.5</v>
      </c>
      <c r="O38" s="100">
        <v>0</v>
      </c>
      <c r="P38" s="100">
        <v>7.0000000000000007E-2</v>
      </c>
      <c r="Q38" s="151" t="s">
        <v>8</v>
      </c>
      <c r="R38" s="6"/>
      <c r="S38" s="6"/>
      <c r="T38" s="156"/>
      <c r="U38" s="6"/>
    </row>
    <row r="39" spans="1:21" customFormat="1">
      <c r="A39" s="163" t="s">
        <v>654</v>
      </c>
      <c r="B39" s="100">
        <v>2.77</v>
      </c>
      <c r="C39" s="100">
        <v>4.6900000000000004</v>
      </c>
      <c r="D39" s="100">
        <v>1.96</v>
      </c>
      <c r="E39" s="100">
        <v>5.73</v>
      </c>
      <c r="F39" s="100">
        <v>1.59</v>
      </c>
      <c r="G39" s="100">
        <v>17.71</v>
      </c>
      <c r="H39" s="100">
        <v>4.45</v>
      </c>
      <c r="I39" s="100">
        <v>3.38</v>
      </c>
      <c r="J39" s="100">
        <v>0.66</v>
      </c>
      <c r="K39" s="100">
        <v>263.29000000000002</v>
      </c>
      <c r="L39" s="100">
        <v>24.92</v>
      </c>
      <c r="M39" s="100">
        <v>95.05</v>
      </c>
      <c r="N39" s="100">
        <v>84.2</v>
      </c>
      <c r="O39" s="100">
        <v>0</v>
      </c>
      <c r="P39" s="100">
        <v>7.0000000000000007E-2</v>
      </c>
      <c r="Q39" s="151" t="s">
        <v>8</v>
      </c>
      <c r="R39" s="6"/>
      <c r="S39" s="6"/>
      <c r="T39" s="156"/>
      <c r="U39" s="6"/>
    </row>
    <row r="40" spans="1:21" customFormat="1">
      <c r="A40" s="163" t="s">
        <v>655</v>
      </c>
      <c r="B40" s="100">
        <v>2.77</v>
      </c>
      <c r="C40" s="100">
        <v>4.68</v>
      </c>
      <c r="D40" s="100">
        <v>1.96</v>
      </c>
      <c r="E40" s="100">
        <v>5.9</v>
      </c>
      <c r="F40" s="100">
        <v>1.59</v>
      </c>
      <c r="G40" s="100">
        <v>17.75</v>
      </c>
      <c r="H40" s="100">
        <v>4.45</v>
      </c>
      <c r="I40" s="100">
        <v>3.35</v>
      </c>
      <c r="J40" s="100">
        <v>0.59</v>
      </c>
      <c r="K40" s="100">
        <v>256.57</v>
      </c>
      <c r="L40" s="100">
        <v>25.15</v>
      </c>
      <c r="M40" s="100">
        <v>93.25</v>
      </c>
      <c r="N40" s="100">
        <v>98.4</v>
      </c>
      <c r="O40" s="100">
        <v>0</v>
      </c>
      <c r="P40" s="100">
        <v>0.06</v>
      </c>
      <c r="Q40" s="151" t="s">
        <v>8</v>
      </c>
      <c r="R40" s="6"/>
      <c r="S40" s="6"/>
      <c r="T40" s="156"/>
      <c r="U40" s="6"/>
    </row>
    <row r="41" spans="1:21" customFormat="1">
      <c r="A41" s="163" t="s">
        <v>656</v>
      </c>
      <c r="B41" s="100">
        <v>2.76</v>
      </c>
      <c r="C41" s="100">
        <v>4.66</v>
      </c>
      <c r="D41" s="100">
        <v>1.95</v>
      </c>
      <c r="E41" s="100">
        <v>5.99</v>
      </c>
      <c r="F41" s="100">
        <v>1.77</v>
      </c>
      <c r="G41" s="100">
        <v>17.75</v>
      </c>
      <c r="H41" s="100">
        <v>4.45</v>
      </c>
      <c r="I41" s="100">
        <v>3.37</v>
      </c>
      <c r="J41" s="100">
        <v>0.63</v>
      </c>
      <c r="K41" s="100">
        <v>262.77999999999997</v>
      </c>
      <c r="L41" s="100">
        <v>25.46</v>
      </c>
      <c r="M41" s="100">
        <v>91.67</v>
      </c>
      <c r="N41" s="100">
        <v>130.69999999999999</v>
      </c>
      <c r="O41" s="100">
        <v>0</v>
      </c>
      <c r="P41" s="100">
        <v>7.0000000000000007E-2</v>
      </c>
      <c r="Q41" s="151" t="s">
        <v>8</v>
      </c>
      <c r="R41" s="6"/>
      <c r="S41" s="6"/>
      <c r="T41" s="156"/>
      <c r="U41" s="6"/>
    </row>
    <row r="42" spans="1:21" customFormat="1">
      <c r="A42" s="163" t="s">
        <v>657</v>
      </c>
      <c r="B42" s="100">
        <v>2.77</v>
      </c>
      <c r="C42" s="100">
        <v>4.66</v>
      </c>
      <c r="D42" s="100">
        <v>1.95</v>
      </c>
      <c r="E42" s="100">
        <v>5.99</v>
      </c>
      <c r="F42" s="100">
        <v>2.68</v>
      </c>
      <c r="G42" s="100">
        <v>17.75</v>
      </c>
      <c r="H42" s="100">
        <v>4.45</v>
      </c>
      <c r="I42" s="100">
        <v>3.38</v>
      </c>
      <c r="J42" s="100">
        <v>0.7</v>
      </c>
      <c r="K42" s="100">
        <v>261.31</v>
      </c>
      <c r="L42" s="100">
        <v>25.73</v>
      </c>
      <c r="M42" s="100">
        <v>89.97</v>
      </c>
      <c r="N42" s="100">
        <v>154.9</v>
      </c>
      <c r="O42" s="100">
        <v>0</v>
      </c>
      <c r="P42" s="100">
        <v>7.0000000000000007E-2</v>
      </c>
      <c r="Q42" s="151" t="s">
        <v>8</v>
      </c>
      <c r="R42" s="6"/>
      <c r="S42" s="6"/>
      <c r="T42" s="156"/>
      <c r="U42" s="6"/>
    </row>
    <row r="43" spans="1:21" customFormat="1">
      <c r="A43" s="163" t="s">
        <v>658</v>
      </c>
      <c r="B43" s="100">
        <v>2.76</v>
      </c>
      <c r="C43" s="100">
        <v>4.66</v>
      </c>
      <c r="D43" s="100">
        <v>1.95</v>
      </c>
      <c r="E43" s="100">
        <v>5.93</v>
      </c>
      <c r="F43" s="100">
        <v>2.2400000000000002</v>
      </c>
      <c r="G43" s="100">
        <v>14.4</v>
      </c>
      <c r="H43" s="100">
        <v>8.27</v>
      </c>
      <c r="I43" s="100">
        <v>3.34</v>
      </c>
      <c r="J43" s="100">
        <v>1.01</v>
      </c>
      <c r="K43" s="100">
        <v>262.58999999999997</v>
      </c>
      <c r="L43" s="100">
        <v>25.91</v>
      </c>
      <c r="M43" s="100">
        <v>87.66</v>
      </c>
      <c r="N43" s="100">
        <v>171.9</v>
      </c>
      <c r="O43" s="100">
        <v>0</v>
      </c>
      <c r="P43" s="100">
        <v>7.0000000000000007E-2</v>
      </c>
      <c r="Q43" s="151" t="s">
        <v>8</v>
      </c>
      <c r="R43" s="6"/>
      <c r="S43" s="6"/>
      <c r="T43" s="156"/>
      <c r="U43" s="6"/>
    </row>
    <row r="44" spans="1:21" customFormat="1">
      <c r="A44" s="163" t="s">
        <v>659</v>
      </c>
      <c r="B44" s="100">
        <v>2.76</v>
      </c>
      <c r="C44" s="100">
        <v>4.6500000000000004</v>
      </c>
      <c r="D44" s="100">
        <v>1.94</v>
      </c>
      <c r="E44" s="100">
        <v>5.88</v>
      </c>
      <c r="F44" s="100">
        <v>2.44</v>
      </c>
      <c r="G44" s="100">
        <v>14.11</v>
      </c>
      <c r="H44" s="100">
        <v>8.27</v>
      </c>
      <c r="I44" s="100">
        <v>3.3</v>
      </c>
      <c r="J44" s="100">
        <v>0.71</v>
      </c>
      <c r="K44" s="100">
        <v>258.98</v>
      </c>
      <c r="L44" s="100">
        <v>26.25</v>
      </c>
      <c r="M44" s="100">
        <v>87.23</v>
      </c>
      <c r="N44" s="100">
        <v>180.3</v>
      </c>
      <c r="O44" s="100">
        <v>0</v>
      </c>
      <c r="P44" s="100">
        <v>0.06</v>
      </c>
      <c r="Q44" s="151" t="s">
        <v>8</v>
      </c>
      <c r="R44" s="6"/>
      <c r="S44" s="6"/>
      <c r="T44" s="156"/>
      <c r="U44" s="6"/>
    </row>
    <row r="45" spans="1:21" customFormat="1">
      <c r="A45" s="163" t="s">
        <v>660</v>
      </c>
      <c r="B45" s="100">
        <v>2.75</v>
      </c>
      <c r="C45" s="100">
        <v>4.6399999999999997</v>
      </c>
      <c r="D45" s="100">
        <v>1.94</v>
      </c>
      <c r="E45" s="100">
        <v>6.15</v>
      </c>
      <c r="F45" s="100">
        <v>1.49</v>
      </c>
      <c r="G45" s="100">
        <v>14.11</v>
      </c>
      <c r="H45" s="100">
        <v>8.27</v>
      </c>
      <c r="I45" s="100">
        <v>3.25</v>
      </c>
      <c r="J45" s="100">
        <v>0.96</v>
      </c>
      <c r="K45" s="100">
        <v>260.58</v>
      </c>
      <c r="L45" s="100">
        <v>26.44</v>
      </c>
      <c r="M45" s="100">
        <v>85.78</v>
      </c>
      <c r="N45" s="100">
        <v>197.1</v>
      </c>
      <c r="O45" s="100">
        <v>0</v>
      </c>
      <c r="P45" s="100">
        <v>0.06</v>
      </c>
      <c r="Q45" s="151" t="s">
        <v>8</v>
      </c>
      <c r="R45" s="6"/>
      <c r="S45" s="6"/>
      <c r="T45" s="156"/>
      <c r="U45" s="6"/>
    </row>
    <row r="46" spans="1:21" customFormat="1">
      <c r="A46" s="163" t="s">
        <v>661</v>
      </c>
      <c r="B46" s="100">
        <v>2.73</v>
      </c>
      <c r="C46" s="100">
        <v>4.63</v>
      </c>
      <c r="D46" s="100">
        <v>1.95</v>
      </c>
      <c r="E46" s="100">
        <v>6</v>
      </c>
      <c r="F46" s="100">
        <v>1.86</v>
      </c>
      <c r="G46" s="100">
        <v>14.11</v>
      </c>
      <c r="H46" s="100">
        <v>8.27</v>
      </c>
      <c r="I46" s="100">
        <v>3.2</v>
      </c>
      <c r="J46" s="100">
        <v>1.0900000000000001</v>
      </c>
      <c r="K46" s="100">
        <v>261.88</v>
      </c>
      <c r="L46" s="100">
        <v>26.79</v>
      </c>
      <c r="M46" s="100">
        <v>84.81</v>
      </c>
      <c r="N46" s="100">
        <v>235.9</v>
      </c>
      <c r="O46" s="100">
        <v>0</v>
      </c>
      <c r="P46" s="100">
        <v>0.06</v>
      </c>
      <c r="Q46" s="151" t="s">
        <v>8</v>
      </c>
      <c r="R46" s="6"/>
      <c r="S46" s="6"/>
      <c r="T46" s="156"/>
      <c r="U46" s="6"/>
    </row>
    <row r="47" spans="1:21" customFormat="1">
      <c r="A47" s="163" t="s">
        <v>662</v>
      </c>
      <c r="B47" s="100">
        <v>2.72</v>
      </c>
      <c r="C47" s="100">
        <v>4.5999999999999996</v>
      </c>
      <c r="D47" s="100">
        <v>1.93</v>
      </c>
      <c r="E47" s="100">
        <v>6.08</v>
      </c>
      <c r="F47" s="100">
        <v>2.48</v>
      </c>
      <c r="G47" s="100">
        <v>23.46</v>
      </c>
      <c r="H47" s="100">
        <v>6.31</v>
      </c>
      <c r="I47" s="100">
        <v>3.22</v>
      </c>
      <c r="J47" s="100">
        <v>1.08</v>
      </c>
      <c r="K47" s="100">
        <v>263.02999999999997</v>
      </c>
      <c r="L47" s="100">
        <v>26.92</v>
      </c>
      <c r="M47" s="100">
        <v>83.95</v>
      </c>
      <c r="N47" s="100">
        <v>263.2</v>
      </c>
      <c r="O47" s="100">
        <v>0</v>
      </c>
      <c r="P47" s="100">
        <v>0.06</v>
      </c>
      <c r="Q47" s="151" t="s">
        <v>8</v>
      </c>
      <c r="R47" s="6"/>
      <c r="S47" s="6"/>
      <c r="T47" s="156"/>
      <c r="U47" s="6"/>
    </row>
    <row r="48" spans="1:21" customFormat="1">
      <c r="A48" s="163" t="s">
        <v>663</v>
      </c>
      <c r="B48" s="100">
        <v>2.74</v>
      </c>
      <c r="C48" s="100">
        <v>4.5999999999999996</v>
      </c>
      <c r="D48" s="100">
        <v>1.92</v>
      </c>
      <c r="E48" s="100">
        <v>5.98</v>
      </c>
      <c r="F48" s="100">
        <v>1.82</v>
      </c>
      <c r="G48" s="100">
        <v>24.25</v>
      </c>
      <c r="H48" s="100">
        <v>6.31</v>
      </c>
      <c r="I48" s="100">
        <v>3.25</v>
      </c>
      <c r="J48" s="100">
        <v>1.1299999999999999</v>
      </c>
      <c r="K48" s="100">
        <v>263.74</v>
      </c>
      <c r="L48" s="100">
        <v>27.42</v>
      </c>
      <c r="M48" s="100">
        <v>81.98</v>
      </c>
      <c r="N48" s="100">
        <v>328.4</v>
      </c>
      <c r="O48" s="100">
        <v>0</v>
      </c>
      <c r="P48" s="100">
        <v>0.04</v>
      </c>
      <c r="Q48" s="151" t="s">
        <v>8</v>
      </c>
      <c r="R48" s="6"/>
      <c r="S48" s="6"/>
      <c r="T48" s="156"/>
      <c r="U48" s="6"/>
    </row>
    <row r="49" spans="1:21" customFormat="1">
      <c r="A49" s="163" t="s">
        <v>664</v>
      </c>
      <c r="B49" s="100">
        <v>2.75</v>
      </c>
      <c r="C49" s="100">
        <v>4.59</v>
      </c>
      <c r="D49" s="100">
        <v>1.9</v>
      </c>
      <c r="E49" s="100">
        <v>4.79</v>
      </c>
      <c r="F49" s="100">
        <v>3.01</v>
      </c>
      <c r="G49" s="100">
        <v>24.25</v>
      </c>
      <c r="H49" s="100">
        <v>6.31</v>
      </c>
      <c r="I49" s="100">
        <v>3.26</v>
      </c>
      <c r="J49" s="100">
        <v>0.88</v>
      </c>
      <c r="K49" s="100">
        <v>266.16000000000003</v>
      </c>
      <c r="L49" s="100">
        <v>28.03</v>
      </c>
      <c r="M49" s="100">
        <v>81.25</v>
      </c>
      <c r="N49" s="100">
        <v>281.5</v>
      </c>
      <c r="O49" s="100">
        <v>0.2</v>
      </c>
      <c r="P49" s="100">
        <v>0.02</v>
      </c>
      <c r="Q49" s="151" t="s">
        <v>8</v>
      </c>
      <c r="R49" s="6"/>
      <c r="S49" s="6"/>
      <c r="T49" s="156"/>
      <c r="U49" s="6"/>
    </row>
    <row r="50" spans="1:21" customFormat="1">
      <c r="A50" s="163" t="s">
        <v>665</v>
      </c>
      <c r="B50" s="100">
        <v>2.77</v>
      </c>
      <c r="C50" s="100">
        <v>4.59</v>
      </c>
      <c r="D50" s="100">
        <v>1.89</v>
      </c>
      <c r="E50" s="100">
        <v>5.46</v>
      </c>
      <c r="F50" s="100">
        <v>2.7</v>
      </c>
      <c r="G50" s="100">
        <v>24.25</v>
      </c>
      <c r="H50" s="100">
        <v>6.31</v>
      </c>
      <c r="I50" s="100">
        <v>3.24</v>
      </c>
      <c r="J50" s="100">
        <v>1.02</v>
      </c>
      <c r="K50" s="100">
        <v>265.22000000000003</v>
      </c>
      <c r="L50" s="100">
        <v>27.58</v>
      </c>
      <c r="M50" s="100">
        <v>81.209999999999994</v>
      </c>
      <c r="N50" s="100">
        <v>242.2</v>
      </c>
      <c r="O50" s="100">
        <v>0</v>
      </c>
      <c r="P50" s="100">
        <v>0.02</v>
      </c>
      <c r="Q50" s="151" t="s">
        <v>8</v>
      </c>
      <c r="R50" s="6"/>
      <c r="S50" s="6"/>
      <c r="T50" s="156"/>
      <c r="U50" s="6"/>
    </row>
    <row r="51" spans="1:21" customFormat="1">
      <c r="A51" s="163" t="s">
        <v>666</v>
      </c>
      <c r="B51" s="100">
        <v>2.77</v>
      </c>
      <c r="C51" s="100">
        <v>4.58</v>
      </c>
      <c r="D51" s="100">
        <v>1.88</v>
      </c>
      <c r="E51" s="100">
        <v>5.03</v>
      </c>
      <c r="F51" s="100">
        <v>3.26</v>
      </c>
      <c r="G51" s="100">
        <v>18.93</v>
      </c>
      <c r="H51" s="100">
        <v>8.3800000000000008</v>
      </c>
      <c r="I51" s="100">
        <v>3.33</v>
      </c>
      <c r="J51" s="100">
        <v>1.07</v>
      </c>
      <c r="K51" s="100">
        <v>263.82</v>
      </c>
      <c r="L51" s="100">
        <v>28.04</v>
      </c>
      <c r="M51" s="100">
        <v>79.87</v>
      </c>
      <c r="N51" s="100">
        <v>338.6</v>
      </c>
      <c r="O51" s="100">
        <v>0</v>
      </c>
      <c r="P51" s="100">
        <v>0.02</v>
      </c>
      <c r="Q51" s="151" t="s">
        <v>8</v>
      </c>
      <c r="R51" s="6"/>
      <c r="S51" s="6"/>
      <c r="T51" s="156"/>
      <c r="U51" s="6"/>
    </row>
    <row r="52" spans="1:21" customFormat="1">
      <c r="A52" s="163" t="s">
        <v>667</v>
      </c>
      <c r="B52" s="100">
        <v>2.77</v>
      </c>
      <c r="C52" s="100">
        <v>4.59</v>
      </c>
      <c r="D52" s="100">
        <v>1.89</v>
      </c>
      <c r="E52" s="100">
        <v>5.27</v>
      </c>
      <c r="F52" s="100">
        <v>2.4</v>
      </c>
      <c r="G52" s="100">
        <v>18.48</v>
      </c>
      <c r="H52" s="100">
        <v>8.3800000000000008</v>
      </c>
      <c r="I52" s="100">
        <v>3.4</v>
      </c>
      <c r="J52" s="100">
        <v>1.18</v>
      </c>
      <c r="K52" s="100">
        <v>264.56</v>
      </c>
      <c r="L52" s="100">
        <v>28.14</v>
      </c>
      <c r="M52" s="100">
        <v>79.03</v>
      </c>
      <c r="N52" s="100">
        <v>292.89999999999998</v>
      </c>
      <c r="O52" s="100">
        <v>0</v>
      </c>
      <c r="P52" s="100">
        <v>0.03</v>
      </c>
      <c r="Q52" s="151" t="s">
        <v>8</v>
      </c>
      <c r="R52" s="6"/>
      <c r="S52" s="6"/>
      <c r="T52" s="156"/>
      <c r="U52" s="6"/>
    </row>
    <row r="53" spans="1:21" customFormat="1">
      <c r="A53" s="163" t="s">
        <v>668</v>
      </c>
      <c r="B53" s="100">
        <v>2.77</v>
      </c>
      <c r="C53" s="100">
        <v>4.5999999999999996</v>
      </c>
      <c r="D53" s="100">
        <v>1.9</v>
      </c>
      <c r="E53" s="100">
        <v>5.35</v>
      </c>
      <c r="F53" s="100">
        <v>2.93</v>
      </c>
      <c r="G53" s="100">
        <v>18.48</v>
      </c>
      <c r="H53" s="100">
        <v>8.3800000000000008</v>
      </c>
      <c r="I53" s="100">
        <v>3.41</v>
      </c>
      <c r="J53" s="100">
        <v>0.91</v>
      </c>
      <c r="K53" s="100">
        <v>262.43</v>
      </c>
      <c r="L53" s="100">
        <v>27.92</v>
      </c>
      <c r="M53" s="100">
        <v>79.489999999999995</v>
      </c>
      <c r="N53" s="100">
        <v>161.19999999999999</v>
      </c>
      <c r="O53" s="100">
        <v>0</v>
      </c>
      <c r="P53" s="100">
        <v>0.03</v>
      </c>
      <c r="Q53" s="151" t="s">
        <v>8</v>
      </c>
      <c r="R53" s="6"/>
      <c r="S53" s="6"/>
      <c r="T53" s="156"/>
      <c r="U53" s="6"/>
    </row>
    <row r="54" spans="1:21" customFormat="1">
      <c r="A54" s="163" t="s">
        <v>669</v>
      </c>
      <c r="B54" s="100">
        <v>2.76</v>
      </c>
      <c r="C54" s="100">
        <v>4.59</v>
      </c>
      <c r="D54" s="100">
        <v>1.89</v>
      </c>
      <c r="E54" s="100">
        <v>5.22</v>
      </c>
      <c r="F54" s="100">
        <v>3.42</v>
      </c>
      <c r="G54" s="100">
        <v>18.48</v>
      </c>
      <c r="H54" s="100">
        <v>8.3800000000000008</v>
      </c>
      <c r="I54" s="100">
        <v>3.55</v>
      </c>
      <c r="J54" s="100">
        <v>0.95</v>
      </c>
      <c r="K54" s="100">
        <v>263.8</v>
      </c>
      <c r="L54" s="100">
        <v>27.49</v>
      </c>
      <c r="M54" s="100">
        <v>80.650000000000006</v>
      </c>
      <c r="N54" s="100">
        <v>95.5</v>
      </c>
      <c r="O54" s="100">
        <v>0</v>
      </c>
      <c r="P54" s="100">
        <v>0.02</v>
      </c>
      <c r="Q54" s="151" t="s">
        <v>8</v>
      </c>
      <c r="R54" s="6"/>
      <c r="S54" s="6"/>
      <c r="T54" s="156"/>
      <c r="U54" s="6"/>
    </row>
    <row r="55" spans="1:21" customFormat="1">
      <c r="A55" s="163" t="s">
        <v>670</v>
      </c>
      <c r="B55" s="100">
        <v>2.75</v>
      </c>
      <c r="C55" s="100">
        <v>4.57</v>
      </c>
      <c r="D55" s="100">
        <v>1.89</v>
      </c>
      <c r="E55" s="100">
        <v>5.13</v>
      </c>
      <c r="F55" s="100">
        <v>3.58</v>
      </c>
      <c r="G55" s="100">
        <v>32.43</v>
      </c>
      <c r="H55" s="100">
        <v>10.9</v>
      </c>
      <c r="I55" s="100">
        <v>3.56</v>
      </c>
      <c r="J55" s="100">
        <v>0.88</v>
      </c>
      <c r="K55" s="100">
        <v>262.45999999999998</v>
      </c>
      <c r="L55" s="100">
        <v>27.38</v>
      </c>
      <c r="M55" s="100">
        <v>81.83</v>
      </c>
      <c r="N55" s="100">
        <v>69</v>
      </c>
      <c r="O55" s="100">
        <v>0</v>
      </c>
      <c r="P55" s="100">
        <v>0.03</v>
      </c>
      <c r="Q55" s="151" t="s">
        <v>8</v>
      </c>
      <c r="R55" s="6"/>
      <c r="S55" s="6"/>
      <c r="T55" s="156"/>
      <c r="U55" s="6"/>
    </row>
    <row r="56" spans="1:21" customFormat="1">
      <c r="A56" s="163" t="s">
        <v>671</v>
      </c>
      <c r="B56" s="100">
        <v>2.74</v>
      </c>
      <c r="C56" s="100">
        <v>4.57</v>
      </c>
      <c r="D56" s="100">
        <v>1.89</v>
      </c>
      <c r="E56" s="100">
        <v>5.32</v>
      </c>
      <c r="F56" s="100">
        <v>1.93</v>
      </c>
      <c r="G56" s="100">
        <v>33.61</v>
      </c>
      <c r="H56" s="100">
        <v>10.9</v>
      </c>
      <c r="I56" s="100">
        <v>3.59</v>
      </c>
      <c r="J56" s="100">
        <v>0.75</v>
      </c>
      <c r="K56" s="100">
        <v>260.58999999999997</v>
      </c>
      <c r="L56" s="100">
        <v>27.08</v>
      </c>
      <c r="M56" s="100">
        <v>83.27</v>
      </c>
      <c r="N56" s="100">
        <v>51.6</v>
      </c>
      <c r="O56" s="100">
        <v>0</v>
      </c>
      <c r="P56" s="100">
        <v>0.04</v>
      </c>
      <c r="Q56" s="151" t="s">
        <v>8</v>
      </c>
      <c r="R56" s="6"/>
      <c r="S56" s="6"/>
      <c r="T56" s="156"/>
      <c r="U56" s="6"/>
    </row>
    <row r="57" spans="1:21" customFormat="1">
      <c r="A57" s="163" t="s">
        <v>672</v>
      </c>
      <c r="B57" s="100">
        <v>2.75</v>
      </c>
      <c r="C57" s="100">
        <v>4.57</v>
      </c>
      <c r="D57" s="100">
        <v>1.89</v>
      </c>
      <c r="E57" s="100">
        <v>5.38</v>
      </c>
      <c r="F57" s="100">
        <v>2.19</v>
      </c>
      <c r="G57" s="100">
        <v>33.61</v>
      </c>
      <c r="H57" s="100">
        <v>10.9</v>
      </c>
      <c r="I57" s="100">
        <v>3.57</v>
      </c>
      <c r="J57" s="100">
        <v>0.63</v>
      </c>
      <c r="K57" s="100">
        <v>258.51</v>
      </c>
      <c r="L57" s="100">
        <v>26.73</v>
      </c>
      <c r="M57" s="100">
        <v>86.47</v>
      </c>
      <c r="N57" s="100">
        <v>46.6</v>
      </c>
      <c r="O57" s="100">
        <v>0.6</v>
      </c>
      <c r="P57" s="100">
        <v>0.03</v>
      </c>
      <c r="Q57" s="151" t="s">
        <v>8</v>
      </c>
      <c r="R57" s="6"/>
      <c r="S57" s="6"/>
      <c r="T57" s="156"/>
      <c r="U57" s="6"/>
    </row>
    <row r="58" spans="1:21" customFormat="1">
      <c r="A58" s="163" t="s">
        <v>673</v>
      </c>
      <c r="B58" s="100">
        <v>2.75</v>
      </c>
      <c r="C58" s="100">
        <v>4.5599999999999996</v>
      </c>
      <c r="D58" s="100">
        <v>1.88</v>
      </c>
      <c r="E58" s="100">
        <v>5.21</v>
      </c>
      <c r="F58" s="100">
        <v>2.96</v>
      </c>
      <c r="G58" s="100">
        <v>33.61</v>
      </c>
      <c r="H58" s="100">
        <v>10.9</v>
      </c>
      <c r="I58" s="100">
        <v>3.67</v>
      </c>
      <c r="J58" s="100">
        <v>0.93</v>
      </c>
      <c r="K58" s="100">
        <v>267.8</v>
      </c>
      <c r="L58" s="100">
        <v>25.68</v>
      </c>
      <c r="M58" s="100">
        <v>93.11</v>
      </c>
      <c r="N58" s="100">
        <v>65.8</v>
      </c>
      <c r="O58" s="100">
        <v>0.2</v>
      </c>
      <c r="P58" s="100">
        <v>0.02</v>
      </c>
      <c r="Q58" s="151" t="s">
        <v>8</v>
      </c>
      <c r="R58" s="6"/>
      <c r="S58" s="6"/>
      <c r="T58" s="156"/>
      <c r="U58" s="6"/>
    </row>
    <row r="59" spans="1:21" customFormat="1">
      <c r="A59" s="163" t="s">
        <v>674</v>
      </c>
      <c r="B59" s="100">
        <v>2.76</v>
      </c>
      <c r="C59" s="100">
        <v>4.57</v>
      </c>
      <c r="D59" s="100">
        <v>1.88</v>
      </c>
      <c r="E59" s="100">
        <v>5.0999999999999996</v>
      </c>
      <c r="F59" s="100">
        <v>1.49</v>
      </c>
      <c r="G59" s="100">
        <v>30.36</v>
      </c>
      <c r="H59" s="100">
        <v>15.68</v>
      </c>
      <c r="I59" s="100">
        <v>3.58</v>
      </c>
      <c r="J59" s="100">
        <v>0.53</v>
      </c>
      <c r="K59" s="100">
        <v>262.49</v>
      </c>
      <c r="L59" s="100">
        <v>25.79</v>
      </c>
      <c r="M59" s="100">
        <v>95.45</v>
      </c>
      <c r="N59" s="100">
        <v>176.8</v>
      </c>
      <c r="O59" s="100">
        <v>0</v>
      </c>
      <c r="P59" s="100">
        <v>0.05</v>
      </c>
      <c r="Q59" s="151" t="s">
        <v>8</v>
      </c>
      <c r="R59" s="6"/>
      <c r="S59" s="6"/>
      <c r="T59" s="156"/>
      <c r="U59" s="6"/>
    </row>
    <row r="60" spans="1:21" customFormat="1">
      <c r="A60" s="163" t="s">
        <v>675</v>
      </c>
      <c r="B60" s="100">
        <v>2.78</v>
      </c>
      <c r="C60" s="100">
        <v>4.5999999999999996</v>
      </c>
      <c r="D60" s="100">
        <v>1.89</v>
      </c>
      <c r="E60" s="100">
        <v>5.08</v>
      </c>
      <c r="F60" s="100">
        <v>1.84</v>
      </c>
      <c r="G60" s="100">
        <v>30.09</v>
      </c>
      <c r="H60" s="100">
        <v>15.68</v>
      </c>
      <c r="I60" s="100">
        <v>3.59</v>
      </c>
      <c r="J60" s="100">
        <v>0.46</v>
      </c>
      <c r="K60" s="100">
        <v>255.74</v>
      </c>
      <c r="L60" s="100">
        <v>26.43</v>
      </c>
      <c r="M60" s="100">
        <v>93.99</v>
      </c>
      <c r="N60" s="100">
        <v>152.4</v>
      </c>
      <c r="O60" s="100">
        <v>0</v>
      </c>
      <c r="P60" s="100">
        <v>0.03</v>
      </c>
      <c r="Q60" s="151" t="s">
        <v>8</v>
      </c>
      <c r="R60" s="6"/>
      <c r="S60" s="6"/>
      <c r="T60" s="156"/>
      <c r="U60" s="6"/>
    </row>
    <row r="61" spans="1:21" customFormat="1">
      <c r="A61" s="163" t="s">
        <v>676</v>
      </c>
      <c r="B61" s="100">
        <v>2.8</v>
      </c>
      <c r="C61" s="100">
        <v>4.5999999999999996</v>
      </c>
      <c r="D61" s="100">
        <v>1.88</v>
      </c>
      <c r="E61" s="100">
        <v>4.92</v>
      </c>
      <c r="F61" s="100">
        <v>2.34</v>
      </c>
      <c r="G61" s="100">
        <v>30.09</v>
      </c>
      <c r="H61" s="100">
        <v>15.68</v>
      </c>
      <c r="I61" s="100">
        <v>3.75</v>
      </c>
      <c r="J61" s="100">
        <v>0.69</v>
      </c>
      <c r="K61" s="100">
        <v>265.23</v>
      </c>
      <c r="L61" s="100">
        <v>26.48</v>
      </c>
      <c r="M61" s="100">
        <v>91.97</v>
      </c>
      <c r="N61" s="100">
        <v>101.7</v>
      </c>
      <c r="O61" s="100">
        <v>0</v>
      </c>
      <c r="P61" s="100">
        <v>0.03</v>
      </c>
      <c r="Q61" s="151" t="s">
        <v>8</v>
      </c>
      <c r="R61" s="6"/>
      <c r="S61" s="6"/>
      <c r="T61" s="156"/>
      <c r="U61" s="6"/>
    </row>
    <row r="62" spans="1:21" customFormat="1">
      <c r="A62" s="163" t="s">
        <v>677</v>
      </c>
      <c r="B62" s="100">
        <v>2.79</v>
      </c>
      <c r="C62" s="100">
        <v>4.62</v>
      </c>
      <c r="D62" s="100">
        <v>1.9</v>
      </c>
      <c r="E62" s="100">
        <v>4.99</v>
      </c>
      <c r="F62" s="100">
        <v>2.2000000000000002</v>
      </c>
      <c r="G62" s="100">
        <v>30.09</v>
      </c>
      <c r="H62" s="100">
        <v>15.68</v>
      </c>
      <c r="I62" s="100">
        <v>3.73</v>
      </c>
      <c r="J62" s="100">
        <v>1.06</v>
      </c>
      <c r="K62" s="100">
        <v>255.9</v>
      </c>
      <c r="L62" s="100">
        <v>26.47</v>
      </c>
      <c r="M62" s="100">
        <v>89</v>
      </c>
      <c r="N62" s="100">
        <v>123.1</v>
      </c>
      <c r="O62" s="100">
        <v>0</v>
      </c>
      <c r="P62" s="100">
        <v>0.06</v>
      </c>
      <c r="Q62" s="151" t="s">
        <v>8</v>
      </c>
      <c r="R62" s="6"/>
      <c r="S62" s="6"/>
      <c r="T62" s="156"/>
      <c r="U62" s="6"/>
    </row>
    <row r="63" spans="1:21" customFormat="1">
      <c r="A63" s="163" t="s">
        <v>678</v>
      </c>
      <c r="B63" s="100">
        <v>2.82</v>
      </c>
      <c r="C63" s="100">
        <v>4.68</v>
      </c>
      <c r="D63" s="100">
        <v>1.93</v>
      </c>
      <c r="E63" s="100">
        <v>4.93</v>
      </c>
      <c r="F63" s="100">
        <v>2.39</v>
      </c>
      <c r="G63" s="100">
        <v>22.85</v>
      </c>
      <c r="H63" s="100">
        <v>19.329999999999998</v>
      </c>
      <c r="I63" s="100">
        <v>3.71</v>
      </c>
      <c r="J63" s="100">
        <v>0.98</v>
      </c>
      <c r="K63" s="100">
        <v>257.66000000000003</v>
      </c>
      <c r="L63" s="100">
        <v>26.8</v>
      </c>
      <c r="M63" s="100">
        <v>87.98</v>
      </c>
      <c r="N63" s="100">
        <v>186.3</v>
      </c>
      <c r="O63" s="100">
        <v>0</v>
      </c>
      <c r="P63" s="100">
        <v>7.0000000000000007E-2</v>
      </c>
      <c r="Q63" s="151" t="s">
        <v>8</v>
      </c>
      <c r="R63" s="6"/>
      <c r="S63" s="6"/>
      <c r="T63" s="156"/>
      <c r="U63" s="6"/>
    </row>
    <row r="64" spans="1:21" customFormat="1">
      <c r="A64" s="163" t="s">
        <v>679</v>
      </c>
      <c r="B64" s="100">
        <v>2.84</v>
      </c>
      <c r="C64" s="100">
        <v>4.6900000000000004</v>
      </c>
      <c r="D64" s="100">
        <v>1.93</v>
      </c>
      <c r="E64" s="100">
        <v>4.93</v>
      </c>
      <c r="F64" s="100">
        <v>2.75</v>
      </c>
      <c r="G64" s="100">
        <v>22.24</v>
      </c>
      <c r="H64" s="100">
        <v>19.329999999999998</v>
      </c>
      <c r="I64" s="100">
        <v>4.0199999999999996</v>
      </c>
      <c r="J64" s="100">
        <v>1.01</v>
      </c>
      <c r="K64" s="100">
        <v>265.04000000000002</v>
      </c>
      <c r="L64" s="100">
        <v>26.97</v>
      </c>
      <c r="M64" s="100">
        <v>85.64</v>
      </c>
      <c r="N64" s="100">
        <v>148.6</v>
      </c>
      <c r="O64" s="100">
        <v>0</v>
      </c>
      <c r="P64" s="100">
        <v>0.06</v>
      </c>
      <c r="Q64" s="151" t="s">
        <v>8</v>
      </c>
      <c r="R64" s="6"/>
      <c r="S64" s="6"/>
      <c r="T64" s="156"/>
      <c r="U64" s="6"/>
    </row>
    <row r="65" spans="1:21" customFormat="1">
      <c r="A65" s="163" t="s">
        <v>680</v>
      </c>
      <c r="B65" s="100">
        <v>2.82</v>
      </c>
      <c r="C65" s="100">
        <v>4.6900000000000004</v>
      </c>
      <c r="D65" s="100">
        <v>1.94</v>
      </c>
      <c r="E65" s="100">
        <v>4.8499999999999996</v>
      </c>
      <c r="F65" s="100">
        <v>2.82</v>
      </c>
      <c r="G65" s="100">
        <v>22.24</v>
      </c>
      <c r="H65" s="100">
        <v>19.329999999999998</v>
      </c>
      <c r="I65" s="100">
        <v>4.32</v>
      </c>
      <c r="J65" s="100">
        <v>1.02</v>
      </c>
      <c r="K65" s="100">
        <v>278.35000000000002</v>
      </c>
      <c r="L65" s="100">
        <v>27.18</v>
      </c>
      <c r="M65" s="100">
        <v>83.46</v>
      </c>
      <c r="N65" s="100">
        <v>134.19999999999999</v>
      </c>
      <c r="O65" s="100">
        <v>0</v>
      </c>
      <c r="P65" s="100">
        <v>0.14000000000000001</v>
      </c>
      <c r="Q65" s="151" t="s">
        <v>8</v>
      </c>
      <c r="R65" s="6"/>
      <c r="S65" s="6"/>
      <c r="T65" s="156"/>
      <c r="U65" s="6"/>
    </row>
    <row r="66" spans="1:21" customFormat="1">
      <c r="A66" s="163" t="s">
        <v>681</v>
      </c>
      <c r="B66" s="100">
        <v>2.85</v>
      </c>
      <c r="C66" s="100">
        <v>4.8099999999999996</v>
      </c>
      <c r="D66" s="100">
        <v>2.02</v>
      </c>
      <c r="E66" s="100">
        <v>5.3</v>
      </c>
      <c r="F66" s="100">
        <v>2.35</v>
      </c>
      <c r="G66" s="100">
        <v>22.24</v>
      </c>
      <c r="H66" s="100">
        <v>19.329999999999998</v>
      </c>
      <c r="I66" s="100">
        <v>4.33</v>
      </c>
      <c r="J66" s="100">
        <v>0.92</v>
      </c>
      <c r="K66" s="100">
        <v>266.37</v>
      </c>
      <c r="L66" s="100">
        <v>27.36</v>
      </c>
      <c r="M66" s="100">
        <v>82.53</v>
      </c>
      <c r="N66" s="100">
        <v>109.3</v>
      </c>
      <c r="O66" s="100">
        <v>0</v>
      </c>
      <c r="P66" s="100">
        <v>0.16</v>
      </c>
      <c r="Q66" s="151" t="s">
        <v>8</v>
      </c>
      <c r="R66" s="6"/>
      <c r="S66" s="6"/>
      <c r="T66" s="156"/>
      <c r="U66" s="6"/>
    </row>
    <row r="67" spans="1:21" customFormat="1">
      <c r="A67" s="163" t="s">
        <v>682</v>
      </c>
      <c r="B67" s="100">
        <v>2.83</v>
      </c>
      <c r="C67" s="100">
        <v>4.87</v>
      </c>
      <c r="D67" s="100">
        <v>2.0699999999999998</v>
      </c>
      <c r="E67" s="100">
        <v>5.05</v>
      </c>
      <c r="F67" s="100">
        <v>2.5</v>
      </c>
      <c r="G67" s="100">
        <v>29.64</v>
      </c>
      <c r="H67" s="100">
        <v>13.56</v>
      </c>
      <c r="I67" s="100">
        <v>4.43</v>
      </c>
      <c r="J67" s="100">
        <v>0.66</v>
      </c>
      <c r="K67" s="100">
        <v>263.86</v>
      </c>
      <c r="L67" s="100">
        <v>27.25</v>
      </c>
      <c r="M67" s="100">
        <v>83.38</v>
      </c>
      <c r="N67" s="100">
        <v>55.3</v>
      </c>
      <c r="O67" s="100">
        <v>0</v>
      </c>
      <c r="P67" s="100">
        <v>0.17</v>
      </c>
      <c r="Q67" s="151" t="s">
        <v>8</v>
      </c>
      <c r="R67" s="6"/>
      <c r="S67" s="6"/>
      <c r="T67" s="156"/>
      <c r="U67" s="6"/>
    </row>
    <row r="68" spans="1:21" customFormat="1">
      <c r="A68" s="163" t="s">
        <v>683</v>
      </c>
      <c r="B68" s="100">
        <v>2.79</v>
      </c>
      <c r="C68" s="100">
        <v>4.84</v>
      </c>
      <c r="D68" s="100">
        <v>2.08</v>
      </c>
      <c r="E68" s="100">
        <v>5.03</v>
      </c>
      <c r="F68" s="100">
        <v>2.2000000000000002</v>
      </c>
      <c r="G68" s="100">
        <v>30.26</v>
      </c>
      <c r="H68" s="100">
        <v>13.56</v>
      </c>
      <c r="I68" s="100">
        <v>4.37</v>
      </c>
      <c r="J68" s="100">
        <v>0.66</v>
      </c>
      <c r="K68" s="100">
        <v>268.85000000000002</v>
      </c>
      <c r="L68" s="100">
        <v>27.4</v>
      </c>
      <c r="M68" s="100">
        <v>82.94</v>
      </c>
      <c r="N68" s="100">
        <v>82.8</v>
      </c>
      <c r="O68" s="100">
        <v>0</v>
      </c>
      <c r="P68" s="100">
        <v>0.17</v>
      </c>
      <c r="Q68" s="151" t="s">
        <v>8</v>
      </c>
      <c r="R68" s="6"/>
      <c r="S68" s="6"/>
      <c r="T68" s="156"/>
      <c r="U68" s="6"/>
    </row>
    <row r="69" spans="1:21" customFormat="1">
      <c r="A69" s="163" t="s">
        <v>684</v>
      </c>
      <c r="B69" s="100">
        <v>2.78</v>
      </c>
      <c r="C69" s="100">
        <v>4.8499999999999996</v>
      </c>
      <c r="D69" s="100">
        <v>2.08</v>
      </c>
      <c r="E69" s="100">
        <v>5.32</v>
      </c>
      <c r="F69" s="100">
        <v>2.0699999999999998</v>
      </c>
      <c r="G69" s="100">
        <v>30.26</v>
      </c>
      <c r="H69" s="100">
        <v>13.56</v>
      </c>
      <c r="I69" s="100">
        <v>4.3600000000000003</v>
      </c>
      <c r="J69" s="100">
        <v>1.03</v>
      </c>
      <c r="K69" s="100">
        <v>282.94</v>
      </c>
      <c r="L69" s="100">
        <v>27.76</v>
      </c>
      <c r="M69" s="100">
        <v>78.599999999999994</v>
      </c>
      <c r="N69" s="100">
        <v>122.6</v>
      </c>
      <c r="O69" s="100">
        <v>0</v>
      </c>
      <c r="P69" s="100">
        <v>0.18</v>
      </c>
      <c r="Q69" s="151" t="s">
        <v>8</v>
      </c>
      <c r="R69" s="6"/>
      <c r="S69" s="6"/>
      <c r="T69" s="156"/>
      <c r="U69" s="6"/>
    </row>
    <row r="70" spans="1:21" customFormat="1">
      <c r="A70" s="163" t="s">
        <v>685</v>
      </c>
      <c r="B70" s="100">
        <v>2.79</v>
      </c>
      <c r="C70" s="100">
        <v>4.88</v>
      </c>
      <c r="D70" s="100">
        <v>2.11</v>
      </c>
      <c r="E70" s="100">
        <v>5.28</v>
      </c>
      <c r="F70" s="100">
        <v>2.41</v>
      </c>
      <c r="G70" s="100">
        <v>30.26</v>
      </c>
      <c r="H70" s="100">
        <v>13.56</v>
      </c>
      <c r="I70" s="100">
        <v>4.2699999999999996</v>
      </c>
      <c r="J70" s="100">
        <v>0.75</v>
      </c>
      <c r="K70" s="100">
        <v>268.98</v>
      </c>
      <c r="L70" s="100">
        <v>27.78</v>
      </c>
      <c r="M70" s="100">
        <v>80.02</v>
      </c>
      <c r="N70" s="100">
        <v>95</v>
      </c>
      <c r="O70" s="100">
        <v>0</v>
      </c>
      <c r="P70" s="100">
        <v>0.19</v>
      </c>
      <c r="Q70" s="151" t="s">
        <v>8</v>
      </c>
      <c r="R70" s="6"/>
      <c r="S70" s="6"/>
      <c r="T70" s="156"/>
      <c r="U70" s="6"/>
    </row>
    <row r="71" spans="1:21" customFormat="1">
      <c r="A71" s="163" t="s">
        <v>686</v>
      </c>
      <c r="B71" s="100">
        <v>2.76</v>
      </c>
      <c r="C71" s="100">
        <v>4.8600000000000003</v>
      </c>
      <c r="D71" s="100">
        <v>2.11</v>
      </c>
      <c r="E71" s="100">
        <v>5.42</v>
      </c>
      <c r="F71" s="100">
        <v>2.09</v>
      </c>
      <c r="G71" s="100">
        <v>35.630000000000003</v>
      </c>
      <c r="H71" s="100">
        <v>18.55</v>
      </c>
      <c r="I71" s="100">
        <v>4.3600000000000003</v>
      </c>
      <c r="J71" s="100">
        <v>0.86</v>
      </c>
      <c r="K71" s="100">
        <v>263.66000000000003</v>
      </c>
      <c r="L71" s="100">
        <v>27.48</v>
      </c>
      <c r="M71" s="100">
        <v>80.709999999999994</v>
      </c>
      <c r="N71" s="100">
        <v>47.6</v>
      </c>
      <c r="O71" s="100">
        <v>0</v>
      </c>
      <c r="P71" s="100">
        <v>0.19</v>
      </c>
      <c r="Q71" s="151" t="s">
        <v>8</v>
      </c>
      <c r="R71" s="6"/>
      <c r="S71" s="6"/>
      <c r="T71" s="156"/>
      <c r="U71" s="6"/>
    </row>
    <row r="72" spans="1:21" customFormat="1">
      <c r="A72" s="163" t="s">
        <v>687</v>
      </c>
      <c r="B72" s="100">
        <v>2.74</v>
      </c>
      <c r="C72" s="100">
        <v>4.83</v>
      </c>
      <c r="D72" s="100">
        <v>2.1</v>
      </c>
      <c r="E72" s="100">
        <v>5.37</v>
      </c>
      <c r="F72" s="100">
        <v>2.0099999999999998</v>
      </c>
      <c r="G72" s="100">
        <v>36.090000000000003</v>
      </c>
      <c r="H72" s="100">
        <v>18.55</v>
      </c>
      <c r="I72" s="100">
        <v>4.38</v>
      </c>
      <c r="J72" s="100">
        <v>0.56000000000000005</v>
      </c>
      <c r="K72" s="100">
        <v>262.19</v>
      </c>
      <c r="L72" s="100">
        <v>27.48</v>
      </c>
      <c r="M72" s="100">
        <v>80.97</v>
      </c>
      <c r="N72" s="100">
        <v>66.099999999999994</v>
      </c>
      <c r="O72" s="100">
        <v>0</v>
      </c>
      <c r="P72" s="100">
        <v>0.2</v>
      </c>
      <c r="Q72" s="151" t="s">
        <v>8</v>
      </c>
      <c r="R72" s="6"/>
      <c r="S72" s="6"/>
      <c r="T72" s="156"/>
      <c r="U72" s="6"/>
    </row>
    <row r="73" spans="1:21" customFormat="1">
      <c r="A73" s="163" t="s">
        <v>688</v>
      </c>
      <c r="B73" s="100">
        <v>2.72</v>
      </c>
      <c r="C73" s="100">
        <v>4.8</v>
      </c>
      <c r="D73" s="100">
        <v>2.09</v>
      </c>
      <c r="E73" s="100">
        <v>5.51</v>
      </c>
      <c r="F73" s="100">
        <v>1.69</v>
      </c>
      <c r="G73" s="100">
        <v>36.090000000000003</v>
      </c>
      <c r="H73" s="100">
        <v>18.55</v>
      </c>
      <c r="I73" s="100">
        <v>4.37</v>
      </c>
      <c r="J73" s="100">
        <v>0.56000000000000005</v>
      </c>
      <c r="K73" s="100">
        <v>263.22000000000003</v>
      </c>
      <c r="L73" s="100">
        <v>27.56</v>
      </c>
      <c r="M73" s="100">
        <v>80.89</v>
      </c>
      <c r="N73" s="100">
        <v>47.1</v>
      </c>
      <c r="O73" s="100">
        <v>0</v>
      </c>
      <c r="P73" s="100">
        <v>0.2</v>
      </c>
      <c r="Q73" s="151" t="s">
        <v>8</v>
      </c>
      <c r="R73" s="6"/>
      <c r="S73" s="6"/>
      <c r="T73" s="156"/>
      <c r="U73" s="6"/>
    </row>
    <row r="74" spans="1:21" customFormat="1">
      <c r="A74" s="163" t="s">
        <v>689</v>
      </c>
      <c r="B74" s="100">
        <v>2.71</v>
      </c>
      <c r="C74" s="100">
        <v>4.79</v>
      </c>
      <c r="D74" s="100">
        <v>2.09</v>
      </c>
      <c r="E74" s="100">
        <v>5.59</v>
      </c>
      <c r="F74" s="100">
        <v>1.8</v>
      </c>
      <c r="G74" s="100">
        <v>36.090000000000003</v>
      </c>
      <c r="H74" s="100">
        <v>18.55</v>
      </c>
      <c r="I74" s="100">
        <v>4.43</v>
      </c>
      <c r="J74" s="100">
        <v>0.46</v>
      </c>
      <c r="K74" s="100">
        <v>261.99</v>
      </c>
      <c r="L74" s="100">
        <v>27.49</v>
      </c>
      <c r="M74" s="100">
        <v>81.260000000000005</v>
      </c>
      <c r="N74" s="100">
        <v>24.9</v>
      </c>
      <c r="O74" s="100">
        <v>0</v>
      </c>
      <c r="P74" s="100">
        <v>0.21</v>
      </c>
      <c r="Q74" s="151" t="s">
        <v>8</v>
      </c>
      <c r="R74" s="6"/>
      <c r="S74" s="6"/>
      <c r="T74" s="156"/>
      <c r="U74" s="6"/>
    </row>
    <row r="75" spans="1:21" customFormat="1">
      <c r="A75" s="163" t="s">
        <v>690</v>
      </c>
      <c r="B75" s="100">
        <v>2.71</v>
      </c>
      <c r="C75" s="100">
        <v>4.8099999999999996</v>
      </c>
      <c r="D75" s="100">
        <v>2.1</v>
      </c>
      <c r="E75" s="100">
        <v>5.67</v>
      </c>
      <c r="F75" s="100">
        <v>2.11</v>
      </c>
      <c r="G75" s="100">
        <v>42.46</v>
      </c>
      <c r="H75" s="100">
        <v>16.34</v>
      </c>
      <c r="I75" s="100">
        <v>4.5599999999999996</v>
      </c>
      <c r="J75" s="100">
        <v>0.51</v>
      </c>
      <c r="K75" s="100">
        <v>290.55</v>
      </c>
      <c r="L75" s="100">
        <v>27.49</v>
      </c>
      <c r="M75" s="100">
        <v>79.98</v>
      </c>
      <c r="N75" s="100">
        <v>19.600000000000001</v>
      </c>
      <c r="O75" s="100">
        <v>0</v>
      </c>
      <c r="P75" s="100">
        <v>0.22</v>
      </c>
      <c r="Q75" s="151" t="s">
        <v>8</v>
      </c>
      <c r="R75" s="6"/>
      <c r="S75" s="6"/>
      <c r="T75" s="156"/>
      <c r="U75" s="6"/>
    </row>
    <row r="76" spans="1:21" customFormat="1">
      <c r="A76" s="163" t="s">
        <v>691</v>
      </c>
      <c r="B76" s="100">
        <v>2.77</v>
      </c>
      <c r="C76" s="100">
        <v>4.9000000000000004</v>
      </c>
      <c r="D76" s="100">
        <v>2.14</v>
      </c>
      <c r="E76" s="100">
        <v>5.82</v>
      </c>
      <c r="F76" s="100">
        <v>2.0699999999999998</v>
      </c>
      <c r="G76" s="100">
        <v>43</v>
      </c>
      <c r="H76" s="100">
        <v>16.34</v>
      </c>
      <c r="I76" s="100">
        <v>4.63</v>
      </c>
      <c r="J76" s="100">
        <v>0.44</v>
      </c>
      <c r="K76" s="100">
        <v>311.57</v>
      </c>
      <c r="L76" s="100">
        <v>27.63</v>
      </c>
      <c r="M76" s="100">
        <v>78.680000000000007</v>
      </c>
      <c r="N76" s="100">
        <v>12.8</v>
      </c>
      <c r="O76" s="100">
        <v>0</v>
      </c>
      <c r="P76" s="100">
        <v>0.23</v>
      </c>
      <c r="Q76" s="151" t="s">
        <v>8</v>
      </c>
      <c r="R76" s="6"/>
      <c r="S76" s="6"/>
      <c r="T76" s="156"/>
      <c r="U76" s="6"/>
    </row>
    <row r="77" spans="1:21" customFormat="1">
      <c r="A77" s="163" t="s">
        <v>692</v>
      </c>
      <c r="B77" s="100">
        <v>2.86</v>
      </c>
      <c r="C77" s="100">
        <v>5.01</v>
      </c>
      <c r="D77" s="100">
        <v>2.17</v>
      </c>
      <c r="E77" s="100">
        <v>5.62</v>
      </c>
      <c r="F77" s="100">
        <v>2.04</v>
      </c>
      <c r="G77" s="100">
        <v>43</v>
      </c>
      <c r="H77" s="100">
        <v>16.34</v>
      </c>
      <c r="I77" s="100">
        <v>4.71</v>
      </c>
      <c r="J77" s="100">
        <v>0.6</v>
      </c>
      <c r="K77" s="100">
        <v>314.11</v>
      </c>
      <c r="L77" s="100">
        <v>27.35</v>
      </c>
      <c r="M77" s="100">
        <v>81.569999999999993</v>
      </c>
      <c r="N77" s="100">
        <v>12</v>
      </c>
      <c r="O77" s="100">
        <v>0.2</v>
      </c>
      <c r="P77" s="100">
        <v>0.23</v>
      </c>
      <c r="Q77" s="151" t="s">
        <v>8</v>
      </c>
      <c r="R77" s="6"/>
      <c r="S77" s="6"/>
      <c r="T77" s="156"/>
      <c r="U77" s="6"/>
    </row>
    <row r="78" spans="1:21" customFormat="1">
      <c r="A78" s="163" t="s">
        <v>693</v>
      </c>
      <c r="B78" s="100">
        <v>2.99</v>
      </c>
      <c r="C78" s="100">
        <v>5.17</v>
      </c>
      <c r="D78" s="100">
        <v>2.2200000000000002</v>
      </c>
      <c r="E78" s="100">
        <v>5.82</v>
      </c>
      <c r="F78" s="100">
        <v>1.18</v>
      </c>
      <c r="G78" s="100">
        <v>43</v>
      </c>
      <c r="H78" s="100">
        <v>16.34</v>
      </c>
      <c r="I78" s="100">
        <v>4.87</v>
      </c>
      <c r="J78" s="100">
        <v>0.33</v>
      </c>
      <c r="K78" s="100">
        <v>302.39999999999998</v>
      </c>
      <c r="L78" s="100">
        <v>26.8</v>
      </c>
      <c r="M78" s="100">
        <v>85.78</v>
      </c>
      <c r="N78" s="100">
        <v>19.3</v>
      </c>
      <c r="O78" s="100">
        <v>0</v>
      </c>
      <c r="P78" s="100">
        <v>0.24</v>
      </c>
      <c r="Q78" s="151" t="s">
        <v>8</v>
      </c>
      <c r="R78" s="6"/>
      <c r="S78" s="6"/>
      <c r="T78" s="156"/>
      <c r="U78" s="6"/>
    </row>
    <row r="79" spans="1:21" customFormat="1">
      <c r="A79" s="163" t="s">
        <v>694</v>
      </c>
      <c r="B79" s="100">
        <v>3.16</v>
      </c>
      <c r="C79" s="100">
        <v>5.38</v>
      </c>
      <c r="D79" s="100">
        <v>2.27</v>
      </c>
      <c r="E79" s="100">
        <v>5.75</v>
      </c>
      <c r="F79" s="100">
        <v>1.58</v>
      </c>
      <c r="G79" s="100">
        <v>56.41</v>
      </c>
      <c r="H79" s="100">
        <v>16</v>
      </c>
      <c r="I79" s="100">
        <v>5.01</v>
      </c>
      <c r="J79" s="100">
        <v>0.23</v>
      </c>
      <c r="K79" s="100">
        <v>10.210000000000001</v>
      </c>
      <c r="L79" s="100">
        <v>26.79</v>
      </c>
      <c r="M79" s="100">
        <v>86.44</v>
      </c>
      <c r="N79" s="100">
        <v>18.5</v>
      </c>
      <c r="O79" s="100">
        <v>0</v>
      </c>
      <c r="P79" s="100">
        <v>0.25</v>
      </c>
      <c r="Q79" s="151" t="s">
        <v>8</v>
      </c>
      <c r="R79" s="6"/>
      <c r="S79" s="6"/>
      <c r="T79" s="156"/>
      <c r="U79" s="6"/>
    </row>
    <row r="80" spans="1:21" customFormat="1">
      <c r="A80" s="163" t="s">
        <v>695</v>
      </c>
      <c r="B80" s="100">
        <v>3.41</v>
      </c>
      <c r="C80" s="100">
        <v>5.63</v>
      </c>
      <c r="D80" s="100">
        <v>2.31</v>
      </c>
      <c r="E80" s="100">
        <v>5.92</v>
      </c>
      <c r="F80" s="100">
        <v>1.99</v>
      </c>
      <c r="G80" s="100">
        <v>57.54</v>
      </c>
      <c r="H80" s="100">
        <v>16</v>
      </c>
      <c r="I80" s="100">
        <v>5.17</v>
      </c>
      <c r="J80" s="100">
        <v>0.17</v>
      </c>
      <c r="K80" s="100">
        <v>291.35000000000002</v>
      </c>
      <c r="L80" s="100">
        <v>26.75</v>
      </c>
      <c r="M80" s="100">
        <v>87.4</v>
      </c>
      <c r="N80" s="100">
        <v>18.8</v>
      </c>
      <c r="O80" s="100">
        <v>0</v>
      </c>
      <c r="P80" s="100">
        <v>0.26</v>
      </c>
      <c r="Q80" s="151" t="s">
        <v>8</v>
      </c>
      <c r="R80" s="6"/>
      <c r="S80" s="6"/>
      <c r="T80" s="156"/>
      <c r="U80" s="6"/>
    </row>
    <row r="81" spans="1:21" customFormat="1">
      <c r="A81" s="163" t="s">
        <v>696</v>
      </c>
      <c r="B81" s="100">
        <v>3.57</v>
      </c>
      <c r="C81" s="100">
        <v>5.78</v>
      </c>
      <c r="D81" s="100">
        <v>2.33</v>
      </c>
      <c r="E81" s="100">
        <v>4.0199999999999996</v>
      </c>
      <c r="F81" s="100">
        <v>1.66</v>
      </c>
      <c r="G81" s="100">
        <v>57.54</v>
      </c>
      <c r="H81" s="100">
        <v>16</v>
      </c>
      <c r="I81" s="100">
        <v>5.38</v>
      </c>
      <c r="J81" s="100">
        <v>0.32</v>
      </c>
      <c r="K81" s="100">
        <v>310.43</v>
      </c>
      <c r="L81" s="100">
        <v>26.84</v>
      </c>
      <c r="M81" s="100">
        <v>86.2</v>
      </c>
      <c r="N81" s="100">
        <v>11.9</v>
      </c>
      <c r="O81" s="100">
        <v>0</v>
      </c>
      <c r="P81" s="100">
        <v>0.27</v>
      </c>
      <c r="Q81" s="151" t="s">
        <v>8</v>
      </c>
      <c r="R81" s="6"/>
      <c r="S81" s="6"/>
      <c r="T81" s="156"/>
      <c r="U81" s="6"/>
    </row>
    <row r="82" spans="1:21" customFormat="1">
      <c r="A82" s="163" t="s">
        <v>697</v>
      </c>
      <c r="B82" s="100">
        <v>3.73</v>
      </c>
      <c r="C82" s="100">
        <v>5.94</v>
      </c>
      <c r="D82" s="100">
        <v>2.35</v>
      </c>
      <c r="E82" s="100">
        <v>4.8899999999999997</v>
      </c>
      <c r="F82" s="100">
        <v>2.36</v>
      </c>
      <c r="G82" s="100">
        <v>57.54</v>
      </c>
      <c r="H82" s="100">
        <v>16</v>
      </c>
      <c r="I82" s="100">
        <v>5.51</v>
      </c>
      <c r="J82" s="100">
        <v>0.37</v>
      </c>
      <c r="K82" s="100">
        <v>250.04</v>
      </c>
      <c r="L82" s="100">
        <v>26.72</v>
      </c>
      <c r="M82" s="100">
        <v>87.84</v>
      </c>
      <c r="N82" s="100">
        <v>7.3</v>
      </c>
      <c r="O82" s="100">
        <v>0</v>
      </c>
      <c r="P82" s="100">
        <v>0.28000000000000003</v>
      </c>
      <c r="Q82" s="151" t="s">
        <v>8</v>
      </c>
      <c r="R82" s="6"/>
      <c r="S82" s="6"/>
      <c r="T82" s="156"/>
      <c r="U82" s="6"/>
    </row>
    <row r="83" spans="1:21" customFormat="1">
      <c r="A83" s="163" t="s">
        <v>698</v>
      </c>
      <c r="B83" s="100">
        <v>3.73</v>
      </c>
      <c r="C83" s="100">
        <v>5.95</v>
      </c>
      <c r="D83" s="100">
        <v>2.36</v>
      </c>
      <c r="E83" s="100">
        <v>4.72</v>
      </c>
      <c r="F83" s="100">
        <v>1.97</v>
      </c>
      <c r="G83" s="100">
        <v>75.06</v>
      </c>
      <c r="H83" s="100">
        <v>18.5</v>
      </c>
      <c r="I83" s="100">
        <v>5.58</v>
      </c>
      <c r="J83" s="100">
        <v>0.86</v>
      </c>
      <c r="K83" s="100">
        <v>261.79000000000002</v>
      </c>
      <c r="L83" s="100">
        <v>26.53</v>
      </c>
      <c r="M83" s="100">
        <v>85.7</v>
      </c>
      <c r="N83" s="100">
        <v>4.5999999999999996</v>
      </c>
      <c r="O83" s="100">
        <v>0</v>
      </c>
      <c r="P83" s="100">
        <v>0.28000000000000003</v>
      </c>
      <c r="Q83" s="151" t="s">
        <v>8</v>
      </c>
      <c r="R83" s="6"/>
      <c r="S83" s="6"/>
      <c r="T83" s="156"/>
      <c r="U83" s="6"/>
    </row>
    <row r="84" spans="1:21" customFormat="1">
      <c r="A84" s="163" t="s">
        <v>699</v>
      </c>
      <c r="B84" s="100">
        <v>3.63</v>
      </c>
      <c r="C84" s="100">
        <v>5.83</v>
      </c>
      <c r="D84" s="100">
        <v>2.33</v>
      </c>
      <c r="E84" s="100">
        <v>4.79</v>
      </c>
      <c r="F84" s="100">
        <v>1.59</v>
      </c>
      <c r="G84" s="100">
        <v>76.540000000000006</v>
      </c>
      <c r="H84" s="100">
        <v>18.5</v>
      </c>
      <c r="I84" s="100">
        <v>5.71</v>
      </c>
      <c r="J84" s="100">
        <v>0.71</v>
      </c>
      <c r="K84" s="100">
        <v>261.32</v>
      </c>
      <c r="L84" s="100">
        <v>26.25</v>
      </c>
      <c r="M84" s="100">
        <v>86.4</v>
      </c>
      <c r="N84" s="100">
        <v>2.4</v>
      </c>
      <c r="O84" s="100">
        <v>0</v>
      </c>
      <c r="P84" s="100">
        <v>0.27</v>
      </c>
      <c r="Q84" s="151" t="s">
        <v>8</v>
      </c>
      <c r="R84" s="6"/>
      <c r="S84" s="6"/>
      <c r="T84" s="156"/>
      <c r="U84" s="6"/>
    </row>
    <row r="85" spans="1:21" customFormat="1">
      <c r="A85" s="163" t="s">
        <v>700</v>
      </c>
      <c r="B85" s="100">
        <v>3.5</v>
      </c>
      <c r="C85" s="100">
        <v>5.67</v>
      </c>
      <c r="D85" s="100">
        <v>2.29</v>
      </c>
      <c r="E85" s="100">
        <v>4.67</v>
      </c>
      <c r="F85" s="100">
        <v>1.51</v>
      </c>
      <c r="G85" s="100">
        <v>76.540000000000006</v>
      </c>
      <c r="H85" s="100">
        <v>18.5</v>
      </c>
      <c r="I85" s="100">
        <v>5.82</v>
      </c>
      <c r="J85" s="100">
        <v>0.51</v>
      </c>
      <c r="K85" s="100">
        <v>261.54000000000002</v>
      </c>
      <c r="L85" s="100">
        <v>26.3</v>
      </c>
      <c r="M85" s="100">
        <v>86.62</v>
      </c>
      <c r="N85" s="100">
        <v>2</v>
      </c>
      <c r="O85" s="100">
        <v>0</v>
      </c>
      <c r="P85" s="100">
        <v>0.27</v>
      </c>
      <c r="Q85" s="151" t="s">
        <v>8</v>
      </c>
      <c r="R85" s="6"/>
      <c r="S85" s="6"/>
      <c r="T85" s="156"/>
      <c r="U85" s="6"/>
    </row>
    <row r="86" spans="1:21" customFormat="1">
      <c r="A86" s="163" t="s">
        <v>701</v>
      </c>
      <c r="B86" s="100">
        <v>3.4</v>
      </c>
      <c r="C86" s="100">
        <v>5.57</v>
      </c>
      <c r="D86" s="100">
        <v>2.27</v>
      </c>
      <c r="E86" s="100">
        <v>4.6500000000000004</v>
      </c>
      <c r="F86" s="100">
        <v>2</v>
      </c>
      <c r="G86" s="100">
        <v>76.540000000000006</v>
      </c>
      <c r="H86" s="100">
        <v>18.5</v>
      </c>
      <c r="I86" s="100">
        <v>5.77</v>
      </c>
      <c r="J86" s="100">
        <v>0.49</v>
      </c>
      <c r="K86" s="100">
        <v>264.70999999999998</v>
      </c>
      <c r="L86" s="100">
        <v>26.41</v>
      </c>
      <c r="M86" s="100">
        <v>85.69</v>
      </c>
      <c r="N86" s="100">
        <v>2.1</v>
      </c>
      <c r="O86" s="100">
        <v>0</v>
      </c>
      <c r="P86" s="100">
        <v>0.27</v>
      </c>
      <c r="Q86" s="151" t="s">
        <v>8</v>
      </c>
      <c r="R86" s="6"/>
      <c r="S86" s="6"/>
      <c r="T86" s="156"/>
      <c r="U86" s="6"/>
    </row>
    <row r="87" spans="1:21" customFormat="1">
      <c r="A87" s="163" t="s">
        <v>702</v>
      </c>
      <c r="B87" s="100">
        <v>3.39</v>
      </c>
      <c r="C87" s="100">
        <v>5.62</v>
      </c>
      <c r="D87" s="100">
        <v>2.31</v>
      </c>
      <c r="E87" s="100">
        <v>4.97</v>
      </c>
      <c r="F87" s="100">
        <v>0.75</v>
      </c>
      <c r="G87" s="100">
        <v>48.8</v>
      </c>
      <c r="H87" s="100">
        <v>16.57</v>
      </c>
      <c r="I87" s="100">
        <v>5.71</v>
      </c>
      <c r="J87" s="100">
        <v>0.41</v>
      </c>
      <c r="K87" s="100">
        <v>255.65</v>
      </c>
      <c r="L87" s="100">
        <v>26.35</v>
      </c>
      <c r="M87" s="100">
        <v>86.36</v>
      </c>
      <c r="N87" s="100">
        <v>2.2000000000000002</v>
      </c>
      <c r="O87" s="100">
        <v>0</v>
      </c>
      <c r="P87" s="100">
        <v>0.25</v>
      </c>
      <c r="Q87" s="151" t="s">
        <v>8</v>
      </c>
      <c r="R87" s="6"/>
      <c r="S87" s="6"/>
      <c r="T87" s="156"/>
      <c r="U87" s="6"/>
    </row>
    <row r="88" spans="1:21" customFormat="1">
      <c r="A88" s="163" t="s">
        <v>703</v>
      </c>
      <c r="B88" s="100">
        <v>3.42</v>
      </c>
      <c r="C88" s="100">
        <v>5.57</v>
      </c>
      <c r="D88" s="100">
        <v>2.25</v>
      </c>
      <c r="E88" s="100">
        <v>4.7699999999999996</v>
      </c>
      <c r="F88" s="100">
        <v>2.2400000000000002</v>
      </c>
      <c r="G88" s="100">
        <v>46.46</v>
      </c>
      <c r="H88" s="100">
        <v>16.57</v>
      </c>
      <c r="I88" s="100">
        <v>5.7</v>
      </c>
      <c r="J88" s="100">
        <v>0.59</v>
      </c>
      <c r="K88" s="100">
        <v>263.52</v>
      </c>
      <c r="L88" s="100">
        <v>26.37</v>
      </c>
      <c r="M88" s="100">
        <v>86.48</v>
      </c>
      <c r="N88" s="100">
        <v>2.2999999999999998</v>
      </c>
      <c r="O88" s="100">
        <v>0</v>
      </c>
      <c r="P88" s="100">
        <v>0.23</v>
      </c>
      <c r="Q88" s="151" t="s">
        <v>8</v>
      </c>
      <c r="R88" s="6"/>
      <c r="S88" s="6"/>
      <c r="T88" s="156"/>
      <c r="U88" s="6"/>
    </row>
    <row r="89" spans="1:21" customFormat="1">
      <c r="A89" s="163" t="s">
        <v>704</v>
      </c>
      <c r="B89" s="100">
        <v>3.41</v>
      </c>
      <c r="C89" s="100">
        <v>5.47</v>
      </c>
      <c r="D89" s="100">
        <v>2.1800000000000002</v>
      </c>
      <c r="E89" s="100">
        <v>4.41</v>
      </c>
      <c r="F89" s="100">
        <v>2.78</v>
      </c>
      <c r="G89" s="100">
        <v>46.46</v>
      </c>
      <c r="H89" s="100">
        <v>16.57</v>
      </c>
      <c r="I89" s="100">
        <v>5.72</v>
      </c>
      <c r="J89" s="100">
        <v>0.45</v>
      </c>
      <c r="K89" s="100">
        <v>254.31</v>
      </c>
      <c r="L89" s="100">
        <v>26.25</v>
      </c>
      <c r="M89" s="100">
        <v>88.2</v>
      </c>
      <c r="N89" s="100">
        <v>2.4</v>
      </c>
      <c r="O89" s="100">
        <v>0</v>
      </c>
      <c r="P89" s="100">
        <v>0.23</v>
      </c>
      <c r="Q89" s="151" t="s">
        <v>8</v>
      </c>
      <c r="R89" s="6"/>
      <c r="S89" s="6"/>
      <c r="T89" s="156"/>
      <c r="U89" s="6"/>
    </row>
    <row r="90" spans="1:21" customFormat="1">
      <c r="A90" s="163" t="s">
        <v>705</v>
      </c>
      <c r="B90" s="100">
        <v>3.38</v>
      </c>
      <c r="C90" s="100">
        <v>5.39</v>
      </c>
      <c r="D90" s="100">
        <v>2.14</v>
      </c>
      <c r="E90" s="100">
        <v>4.24</v>
      </c>
      <c r="F90" s="100">
        <v>1.41</v>
      </c>
      <c r="G90" s="100">
        <v>46.46</v>
      </c>
      <c r="H90" s="100">
        <v>16.57</v>
      </c>
      <c r="I90" s="100">
        <v>5.74</v>
      </c>
      <c r="J90" s="100">
        <v>0.56999999999999995</v>
      </c>
      <c r="K90" s="100">
        <v>261.97000000000003</v>
      </c>
      <c r="L90" s="100">
        <v>25.91</v>
      </c>
      <c r="M90" s="100">
        <v>91.22</v>
      </c>
      <c r="N90" s="100">
        <v>2.1</v>
      </c>
      <c r="O90" s="100">
        <v>0</v>
      </c>
      <c r="P90" s="100">
        <v>0.25</v>
      </c>
      <c r="Q90" s="151" t="s">
        <v>8</v>
      </c>
      <c r="R90" s="6"/>
      <c r="S90" s="6"/>
      <c r="T90" s="156"/>
      <c r="U90" s="6"/>
    </row>
    <row r="91" spans="1:21" customFormat="1">
      <c r="A91" s="163" t="s">
        <v>706</v>
      </c>
      <c r="B91" s="100">
        <v>3.37</v>
      </c>
      <c r="C91" s="100">
        <v>5.4</v>
      </c>
      <c r="D91" s="100">
        <v>2.15</v>
      </c>
      <c r="E91" s="100">
        <v>4.33</v>
      </c>
      <c r="F91" s="100">
        <v>1.89</v>
      </c>
      <c r="G91" s="100">
        <v>54.69</v>
      </c>
      <c r="H91" s="100">
        <v>16.55</v>
      </c>
      <c r="I91" s="100">
        <v>5.79</v>
      </c>
      <c r="J91" s="100">
        <v>0.55000000000000004</v>
      </c>
      <c r="K91" s="100">
        <v>258.39999999999998</v>
      </c>
      <c r="L91" s="100">
        <v>25.63</v>
      </c>
      <c r="M91" s="100">
        <v>93.57</v>
      </c>
      <c r="N91" s="100">
        <v>2</v>
      </c>
      <c r="O91" s="100">
        <v>0</v>
      </c>
      <c r="P91" s="100">
        <v>0.24</v>
      </c>
      <c r="Q91" s="151" t="s">
        <v>8</v>
      </c>
      <c r="R91" s="6"/>
      <c r="S91" s="6"/>
      <c r="T91" s="156"/>
      <c r="U91" s="6"/>
    </row>
    <row r="92" spans="1:21" customFormat="1">
      <c r="A92" s="163" t="s">
        <v>707</v>
      </c>
      <c r="B92" s="100">
        <v>3.37</v>
      </c>
      <c r="C92" s="100">
        <v>5.32</v>
      </c>
      <c r="D92" s="100">
        <v>2.09</v>
      </c>
      <c r="E92" s="100">
        <v>4.05</v>
      </c>
      <c r="F92" s="100">
        <v>2.59</v>
      </c>
      <c r="G92" s="100">
        <v>55.38</v>
      </c>
      <c r="H92" s="100">
        <v>16.55</v>
      </c>
      <c r="I92" s="100">
        <v>6.07</v>
      </c>
      <c r="J92" s="100">
        <v>0.7</v>
      </c>
      <c r="K92" s="100">
        <v>261.10000000000002</v>
      </c>
      <c r="L92" s="100">
        <v>25.62</v>
      </c>
      <c r="M92" s="100">
        <v>92.52</v>
      </c>
      <c r="N92" s="100">
        <v>2</v>
      </c>
      <c r="O92" s="100">
        <v>0</v>
      </c>
      <c r="P92" s="100">
        <v>0.23</v>
      </c>
      <c r="Q92" s="151" t="s">
        <v>8</v>
      </c>
      <c r="R92" s="6"/>
      <c r="S92" s="6"/>
      <c r="T92" s="156"/>
      <c r="U92" s="6"/>
    </row>
    <row r="93" spans="1:21" customFormat="1">
      <c r="A93" s="163" t="s">
        <v>708</v>
      </c>
      <c r="B93" s="100">
        <v>3.33</v>
      </c>
      <c r="C93" s="100">
        <v>5.27</v>
      </c>
      <c r="D93" s="100">
        <v>2.08</v>
      </c>
      <c r="E93" s="100">
        <v>4.17</v>
      </c>
      <c r="F93" s="100">
        <v>1.8</v>
      </c>
      <c r="G93" s="100">
        <v>55.38</v>
      </c>
      <c r="H93" s="100">
        <v>16.55</v>
      </c>
      <c r="I93" s="100">
        <v>6.32</v>
      </c>
      <c r="J93" s="100">
        <v>0.69</v>
      </c>
      <c r="K93" s="100">
        <v>260.79000000000002</v>
      </c>
      <c r="L93" s="100">
        <v>25.59</v>
      </c>
      <c r="M93" s="100">
        <v>91.56</v>
      </c>
      <c r="N93" s="100">
        <v>2.4</v>
      </c>
      <c r="O93" s="100">
        <v>0</v>
      </c>
      <c r="P93" s="100">
        <v>0.25</v>
      </c>
      <c r="Q93" s="151" t="s">
        <v>8</v>
      </c>
      <c r="R93" s="6"/>
      <c r="S93" s="6"/>
      <c r="T93" s="156"/>
      <c r="U93" s="6"/>
    </row>
    <row r="94" spans="1:21" customFormat="1">
      <c r="A94" s="163" t="s">
        <v>709</v>
      </c>
      <c r="B94" s="100">
        <v>3.3</v>
      </c>
      <c r="C94" s="100">
        <v>5.25</v>
      </c>
      <c r="D94" s="100">
        <v>2.0699999999999998</v>
      </c>
      <c r="E94" s="100">
        <v>3.94</v>
      </c>
      <c r="F94" s="100">
        <v>2.68</v>
      </c>
      <c r="G94" s="100">
        <v>55.38</v>
      </c>
      <c r="H94" s="100">
        <v>16.55</v>
      </c>
      <c r="I94" s="100">
        <v>6.34</v>
      </c>
      <c r="J94" s="100">
        <v>0.39</v>
      </c>
      <c r="K94" s="100">
        <v>258.20999999999998</v>
      </c>
      <c r="L94" s="100">
        <v>25.61</v>
      </c>
      <c r="M94" s="100">
        <v>91.77</v>
      </c>
      <c r="N94" s="100">
        <v>2.2000000000000002</v>
      </c>
      <c r="O94" s="100">
        <v>0</v>
      </c>
      <c r="P94" s="100">
        <v>0.23</v>
      </c>
      <c r="Q94" s="151" t="s">
        <v>8</v>
      </c>
      <c r="R94" s="6"/>
      <c r="S94" s="6"/>
      <c r="T94" s="156"/>
      <c r="U94" s="6"/>
    </row>
    <row r="95" spans="1:21" customFormat="1">
      <c r="A95" s="163" t="s">
        <v>710</v>
      </c>
      <c r="B95" s="100">
        <v>3.26</v>
      </c>
      <c r="C95" s="100">
        <v>5.18</v>
      </c>
      <c r="D95" s="100">
        <v>2.0499999999999998</v>
      </c>
      <c r="E95" s="100">
        <v>3.95</v>
      </c>
      <c r="F95" s="100">
        <v>3.54</v>
      </c>
      <c r="G95" s="100">
        <v>36.85</v>
      </c>
      <c r="H95" s="100">
        <v>11.67</v>
      </c>
      <c r="I95" s="100">
        <v>6.42</v>
      </c>
      <c r="J95" s="100">
        <v>0.41</v>
      </c>
      <c r="K95" s="100">
        <v>254.07</v>
      </c>
      <c r="L95" s="100">
        <v>25.66</v>
      </c>
      <c r="M95" s="100">
        <v>91.47</v>
      </c>
      <c r="N95" s="100">
        <v>2.2000000000000002</v>
      </c>
      <c r="O95" s="100">
        <v>0</v>
      </c>
      <c r="P95" s="100">
        <v>0.23</v>
      </c>
      <c r="Q95" s="151" t="s">
        <v>8</v>
      </c>
      <c r="R95" s="6"/>
      <c r="S95" s="6"/>
      <c r="T95" s="156"/>
      <c r="U95" s="6"/>
    </row>
    <row r="96" spans="1:21" customFormat="1">
      <c r="A96" s="163" t="s">
        <v>711</v>
      </c>
      <c r="B96" s="100">
        <v>3.26</v>
      </c>
      <c r="C96" s="100">
        <v>5.18</v>
      </c>
      <c r="D96" s="100">
        <v>2.0499999999999998</v>
      </c>
      <c r="E96" s="100">
        <v>4.1900000000000004</v>
      </c>
      <c r="F96" s="100">
        <v>1.88</v>
      </c>
      <c r="G96" s="100">
        <v>35.29</v>
      </c>
      <c r="H96" s="100">
        <v>11.67</v>
      </c>
      <c r="I96" s="100">
        <v>6.31</v>
      </c>
      <c r="J96" s="100">
        <v>0.37</v>
      </c>
      <c r="K96" s="100">
        <v>280.45999999999998</v>
      </c>
      <c r="L96" s="100">
        <v>25.53</v>
      </c>
      <c r="M96" s="100">
        <v>92.99</v>
      </c>
      <c r="N96" s="100">
        <v>3</v>
      </c>
      <c r="O96" s="100">
        <v>0.4</v>
      </c>
      <c r="P96" s="100">
        <v>0.25</v>
      </c>
      <c r="Q96" s="151" t="s">
        <v>8</v>
      </c>
      <c r="R96" s="6"/>
      <c r="S96" s="6"/>
      <c r="T96" s="156"/>
      <c r="U96" s="6"/>
    </row>
    <row r="97" spans="1:28" customFormat="1">
      <c r="A97" s="163" t="s">
        <v>712</v>
      </c>
      <c r="B97" s="100">
        <v>3.31</v>
      </c>
      <c r="C97" s="100">
        <v>5.25</v>
      </c>
      <c r="D97" s="100">
        <v>2.0699999999999998</v>
      </c>
      <c r="E97" s="100">
        <v>4.1399999999999997</v>
      </c>
      <c r="F97" s="100">
        <v>1.59</v>
      </c>
      <c r="G97" s="100">
        <v>35.29</v>
      </c>
      <c r="H97" s="100">
        <v>11.67</v>
      </c>
      <c r="I97" s="100">
        <v>6.12</v>
      </c>
      <c r="J97" s="100">
        <v>0.5</v>
      </c>
      <c r="K97" s="100">
        <v>256.67</v>
      </c>
      <c r="L97" s="100">
        <v>25.24</v>
      </c>
      <c r="M97" s="100">
        <v>95.76</v>
      </c>
      <c r="N97" s="100">
        <v>2.6</v>
      </c>
      <c r="O97" s="100">
        <v>0</v>
      </c>
      <c r="P97" s="100">
        <v>0.23</v>
      </c>
      <c r="Q97" s="151" t="s">
        <v>8</v>
      </c>
      <c r="R97" s="6"/>
      <c r="S97" s="6"/>
      <c r="T97" s="156"/>
      <c r="U97" s="6"/>
    </row>
    <row r="98" spans="1:28" customFormat="1">
      <c r="A98" s="163" t="s">
        <v>713</v>
      </c>
      <c r="B98" s="100">
        <v>3.31</v>
      </c>
      <c r="C98" s="100">
        <v>5.19</v>
      </c>
      <c r="D98" s="100">
        <v>2.0299999999999998</v>
      </c>
      <c r="E98" s="100">
        <v>4.0999999999999996</v>
      </c>
      <c r="F98" s="100">
        <v>2.72</v>
      </c>
      <c r="G98" s="100">
        <v>35.29</v>
      </c>
      <c r="H98" s="100">
        <v>11.67</v>
      </c>
      <c r="I98" s="100">
        <v>6.35</v>
      </c>
      <c r="J98" s="100">
        <v>0.35</v>
      </c>
      <c r="K98" s="100">
        <v>253.79</v>
      </c>
      <c r="L98" s="100">
        <v>25.18</v>
      </c>
      <c r="M98" s="100">
        <v>96.41</v>
      </c>
      <c r="N98" s="100">
        <v>2.2000000000000002</v>
      </c>
      <c r="O98" s="100">
        <v>0</v>
      </c>
      <c r="P98" s="100">
        <v>0.24</v>
      </c>
      <c r="Q98" s="151" t="s">
        <v>8</v>
      </c>
      <c r="R98" s="6"/>
      <c r="S98" s="6"/>
      <c r="T98" s="156"/>
      <c r="U98" s="6"/>
    </row>
    <row r="99" spans="1:28" customFormat="1">
      <c r="A99" s="163" t="s">
        <v>714</v>
      </c>
      <c r="B99" s="100">
        <v>3.29</v>
      </c>
      <c r="C99" s="100">
        <v>5.21</v>
      </c>
      <c r="D99" s="100">
        <v>2.0499999999999998</v>
      </c>
      <c r="E99" s="100">
        <v>4.0999999999999996</v>
      </c>
      <c r="F99" s="100">
        <v>1.38</v>
      </c>
      <c r="G99" s="100">
        <v>33.65</v>
      </c>
      <c r="H99" s="100">
        <v>12.77</v>
      </c>
      <c r="I99" s="100">
        <v>6.31</v>
      </c>
      <c r="J99" s="100">
        <v>0.48</v>
      </c>
      <c r="K99" s="100">
        <v>258.81</v>
      </c>
      <c r="L99" s="100">
        <v>25.16</v>
      </c>
      <c r="M99" s="100">
        <v>97.07</v>
      </c>
      <c r="N99" s="100">
        <v>2.2999999999999998</v>
      </c>
      <c r="O99" s="100">
        <v>0</v>
      </c>
      <c r="P99" s="100">
        <v>0.25</v>
      </c>
      <c r="Q99" s="151" t="s">
        <v>8</v>
      </c>
      <c r="R99" s="6"/>
      <c r="S99" s="6"/>
      <c r="T99" s="156"/>
      <c r="U99" s="6"/>
    </row>
    <row r="100" spans="1:28" customFormat="1">
      <c r="A100" s="163" t="s">
        <v>715</v>
      </c>
      <c r="B100" s="100">
        <v>3.32</v>
      </c>
      <c r="C100" s="100">
        <v>5.23</v>
      </c>
      <c r="D100" s="100">
        <v>2.0499999999999998</v>
      </c>
      <c r="E100" s="100">
        <v>4.04</v>
      </c>
      <c r="F100" s="100">
        <v>1.99</v>
      </c>
      <c r="G100" s="100">
        <v>33.520000000000003</v>
      </c>
      <c r="H100" s="100">
        <v>12.77</v>
      </c>
      <c r="I100" s="100">
        <v>6.3</v>
      </c>
      <c r="J100" s="100">
        <v>0.37</v>
      </c>
      <c r="K100" s="100">
        <v>261.37</v>
      </c>
      <c r="L100" s="100">
        <v>25.08</v>
      </c>
      <c r="M100" s="100">
        <v>97.63</v>
      </c>
      <c r="N100" s="100">
        <v>2.4</v>
      </c>
      <c r="O100" s="100">
        <v>0</v>
      </c>
      <c r="P100" s="100">
        <v>0.24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63" t="s">
        <v>716</v>
      </c>
      <c r="B101" s="100">
        <v>3.31</v>
      </c>
      <c r="C101" s="100">
        <v>5.21</v>
      </c>
      <c r="D101" s="100">
        <v>2.04</v>
      </c>
      <c r="E101" s="100">
        <v>4.1500000000000004</v>
      </c>
      <c r="F101" s="100">
        <v>1.5</v>
      </c>
      <c r="G101" s="100">
        <v>33.520000000000003</v>
      </c>
      <c r="H101" s="100">
        <v>12.77</v>
      </c>
      <c r="I101" s="100">
        <v>6.5</v>
      </c>
      <c r="J101" s="100">
        <v>0.52</v>
      </c>
      <c r="K101" s="100">
        <v>259.41000000000003</v>
      </c>
      <c r="L101" s="100">
        <v>25.1</v>
      </c>
      <c r="M101" s="100">
        <v>98.09</v>
      </c>
      <c r="N101" s="100">
        <v>2.6</v>
      </c>
      <c r="O101" s="100">
        <v>0</v>
      </c>
      <c r="P101" s="100">
        <v>0.27</v>
      </c>
      <c r="Q101" s="151" t="s">
        <v>8</v>
      </c>
      <c r="R101" s="6"/>
      <c r="S101" s="6"/>
      <c r="T101" s="156"/>
      <c r="U101" s="6"/>
    </row>
    <row r="102" spans="1:28" customFormat="1">
      <c r="A102" s="163" t="s">
        <v>717</v>
      </c>
      <c r="B102" s="100">
        <v>3.32</v>
      </c>
      <c r="C102" s="100">
        <v>5.2</v>
      </c>
      <c r="D102" s="100">
        <v>2.0299999999999998</v>
      </c>
      <c r="E102" s="100">
        <v>3.9</v>
      </c>
      <c r="F102" s="100">
        <v>2.15</v>
      </c>
      <c r="G102" s="100">
        <v>33.520000000000003</v>
      </c>
      <c r="H102" s="100">
        <v>12.77</v>
      </c>
      <c r="I102" s="100">
        <v>6.91</v>
      </c>
      <c r="J102" s="100">
        <v>0.81</v>
      </c>
      <c r="K102" s="100">
        <v>262.42</v>
      </c>
      <c r="L102" s="100">
        <v>25.17</v>
      </c>
      <c r="M102" s="100">
        <v>97.36</v>
      </c>
      <c r="N102" s="100">
        <v>2.7</v>
      </c>
      <c r="O102" s="100">
        <v>0</v>
      </c>
      <c r="P102" s="100">
        <v>0.26</v>
      </c>
      <c r="Q102" s="151" t="s">
        <v>8</v>
      </c>
      <c r="R102" s="6"/>
      <c r="S102" s="6"/>
      <c r="T102" s="156"/>
      <c r="U102" s="6"/>
    </row>
    <row r="103" spans="1:28" customFormat="1">
      <c r="A103" s="163" t="s">
        <v>718</v>
      </c>
      <c r="B103" s="100">
        <v>3.28</v>
      </c>
      <c r="C103" s="100">
        <v>5.12</v>
      </c>
      <c r="D103" s="100">
        <v>1.99</v>
      </c>
      <c r="E103" s="100">
        <v>3.77</v>
      </c>
      <c r="F103" s="100">
        <v>3.4</v>
      </c>
      <c r="G103" s="100">
        <v>36.76</v>
      </c>
      <c r="H103" s="100">
        <v>13.34</v>
      </c>
      <c r="I103" s="100">
        <v>7.24</v>
      </c>
      <c r="J103" s="100">
        <v>0.57999999999999996</v>
      </c>
      <c r="K103" s="100">
        <v>261.35000000000002</v>
      </c>
      <c r="L103" s="100">
        <v>25.16</v>
      </c>
      <c r="M103" s="100">
        <v>96.11</v>
      </c>
      <c r="N103" s="100">
        <v>2.7</v>
      </c>
      <c r="O103" s="100">
        <v>0</v>
      </c>
      <c r="P103" s="100">
        <v>0.24</v>
      </c>
      <c r="Q103" s="151" t="s">
        <v>8</v>
      </c>
      <c r="R103" s="6"/>
      <c r="S103" s="6"/>
      <c r="T103" s="156"/>
      <c r="U103" s="6"/>
    </row>
    <row r="104" spans="1:28" customFormat="1">
      <c r="A104" s="163" t="s">
        <v>719</v>
      </c>
      <c r="B104" s="100">
        <v>3.24</v>
      </c>
      <c r="C104" s="100">
        <v>5.0999999999999996</v>
      </c>
      <c r="D104" s="100">
        <v>2</v>
      </c>
      <c r="E104" s="100">
        <v>4.05</v>
      </c>
      <c r="F104" s="100">
        <v>2</v>
      </c>
      <c r="G104" s="100">
        <v>37.03</v>
      </c>
      <c r="H104" s="100">
        <v>13.34</v>
      </c>
      <c r="I104" s="100">
        <v>7.2</v>
      </c>
      <c r="J104" s="100">
        <v>0.56999999999999995</v>
      </c>
      <c r="K104" s="100">
        <v>267.17</v>
      </c>
      <c r="L104" s="100">
        <v>25.15</v>
      </c>
      <c r="M104" s="100">
        <v>95.77</v>
      </c>
      <c r="N104" s="100">
        <v>2.7</v>
      </c>
      <c r="O104" s="100">
        <v>0</v>
      </c>
      <c r="P104" s="100">
        <v>0.26</v>
      </c>
      <c r="Q104" s="151" t="s">
        <v>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2.71</v>
      </c>
      <c r="C106" s="158">
        <f>MIN(C9:C104)</f>
        <v>4.5599999999999996</v>
      </c>
      <c r="D106" s="158">
        <f t="shared" ref="D106:Q106" si="0">MIN(D9:D104)</f>
        <v>1.86</v>
      </c>
      <c r="E106" s="158">
        <f t="shared" si="0"/>
        <v>3.77</v>
      </c>
      <c r="F106" s="158">
        <f t="shared" si="0"/>
        <v>0.75</v>
      </c>
      <c r="G106" s="158">
        <f t="shared" si="0"/>
        <v>13.85</v>
      </c>
      <c r="H106" s="158">
        <f t="shared" si="0"/>
        <v>3.59</v>
      </c>
      <c r="I106" s="158">
        <f t="shared" si="0"/>
        <v>3.2</v>
      </c>
      <c r="J106" s="158">
        <f t="shared" si="0"/>
        <v>0.12</v>
      </c>
      <c r="K106" s="158">
        <f t="shared" si="0"/>
        <v>10.210000000000001</v>
      </c>
      <c r="L106" s="158">
        <f t="shared" si="0"/>
        <v>23.58</v>
      </c>
      <c r="M106" s="158">
        <f t="shared" si="0"/>
        <v>78.599999999999994</v>
      </c>
      <c r="N106" s="158">
        <f t="shared" si="0"/>
        <v>1.9</v>
      </c>
      <c r="O106" s="158">
        <f t="shared" si="0"/>
        <v>0</v>
      </c>
      <c r="P106" s="158">
        <f t="shared" si="0"/>
        <v>0.02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3.73</v>
      </c>
      <c r="C107" s="157">
        <f t="shared" ref="C107:Q107" si="1">MAX(C9:C104)</f>
        <v>5.95</v>
      </c>
      <c r="D107" s="157">
        <f t="shared" si="1"/>
        <v>2.36</v>
      </c>
      <c r="E107" s="157">
        <f t="shared" si="1"/>
        <v>6.53</v>
      </c>
      <c r="F107" s="157">
        <f t="shared" si="1"/>
        <v>3.58</v>
      </c>
      <c r="G107" s="157">
        <f t="shared" si="1"/>
        <v>76.540000000000006</v>
      </c>
      <c r="H107" s="157">
        <f t="shared" si="1"/>
        <v>19.329999999999998</v>
      </c>
      <c r="I107" s="157">
        <f t="shared" si="1"/>
        <v>7.24</v>
      </c>
      <c r="J107" s="157">
        <f t="shared" si="1"/>
        <v>1.18</v>
      </c>
      <c r="K107" s="157">
        <f t="shared" si="1"/>
        <v>314.11</v>
      </c>
      <c r="L107" s="157">
        <f t="shared" si="1"/>
        <v>28.14</v>
      </c>
      <c r="M107" s="157">
        <f t="shared" si="1"/>
        <v>100.09</v>
      </c>
      <c r="N107" s="157">
        <f t="shared" si="1"/>
        <v>338.6</v>
      </c>
      <c r="O107" s="157">
        <f t="shared" si="1"/>
        <v>4.8</v>
      </c>
      <c r="P107" s="157">
        <f t="shared" si="1"/>
        <v>0.28000000000000003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2.9838541666666667</v>
      </c>
      <c r="C108" s="158">
        <f t="shared" ref="C108:Q108" si="2">AVERAGE(C9:C104)</f>
        <v>4.9101041666666658</v>
      </c>
      <c r="D108" s="158">
        <f t="shared" si="2"/>
        <v>2.0087500000000005</v>
      </c>
      <c r="E108" s="158">
        <f t="shared" si="2"/>
        <v>5.2744791666666684</v>
      </c>
      <c r="F108" s="158">
        <f t="shared" si="2"/>
        <v>2.1378125000000003</v>
      </c>
      <c r="G108" s="158">
        <f t="shared" si="2"/>
        <v>31.524895833333336</v>
      </c>
      <c r="H108" s="158">
        <f t="shared" si="2"/>
        <v>10.972708333333328</v>
      </c>
      <c r="I108" s="158">
        <f t="shared" si="2"/>
        <v>4.5225000000000009</v>
      </c>
      <c r="J108" s="158">
        <f t="shared" si="2"/>
        <v>0.61666666666666659</v>
      </c>
      <c r="K108" s="158">
        <f t="shared" si="2"/>
        <v>260.26</v>
      </c>
      <c r="L108" s="158">
        <f t="shared" si="2"/>
        <v>26.027187499999997</v>
      </c>
      <c r="M108" s="158">
        <f t="shared" si="2"/>
        <v>89.736666666666679</v>
      </c>
      <c r="N108" s="158">
        <f t="shared" si="2"/>
        <v>58.506250000000023</v>
      </c>
      <c r="O108" s="158">
        <f t="shared" si="2"/>
        <v>0.13333333333333333</v>
      </c>
      <c r="P108" s="158">
        <f t="shared" si="2"/>
        <v>0.13166666666666668</v>
      </c>
      <c r="Q108" s="158" t="e">
        <f t="shared" si="2"/>
        <v>#DIV/0!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0.27018656241340339</v>
      </c>
      <c r="C109" s="158">
        <f t="shared" ref="C109:Q109" si="3">STDEV(C9:C104)</f>
        <v>0.35248439992853936</v>
      </c>
      <c r="D109" s="158">
        <f t="shared" si="3"/>
        <v>0.13472193585307482</v>
      </c>
      <c r="E109" s="158">
        <f t="shared" si="3"/>
        <v>0.68848555355660312</v>
      </c>
      <c r="F109" s="158">
        <f t="shared" si="3"/>
        <v>0.56404964903716148</v>
      </c>
      <c r="G109" s="158">
        <f t="shared" si="3"/>
        <v>15.065378853153193</v>
      </c>
      <c r="H109" s="158">
        <f t="shared" si="3"/>
        <v>5.2382241826519156</v>
      </c>
      <c r="I109" s="158">
        <f t="shared" si="3"/>
        <v>1.0636679339362463</v>
      </c>
      <c r="J109" s="158">
        <f t="shared" si="3"/>
        <v>0.25785212680574465</v>
      </c>
      <c r="K109" s="158">
        <f t="shared" si="3"/>
        <v>28.772209325557377</v>
      </c>
      <c r="L109" s="158">
        <f t="shared" si="3"/>
        <v>1.1331481095416853</v>
      </c>
      <c r="M109" s="158">
        <f t="shared" si="3"/>
        <v>6.1642085190774223</v>
      </c>
      <c r="N109" s="158">
        <f t="shared" si="3"/>
        <v>84.189830380359368</v>
      </c>
      <c r="O109" s="158">
        <f t="shared" si="3"/>
        <v>0.68528390838229902</v>
      </c>
      <c r="P109" s="158">
        <f t="shared" si="3"/>
        <v>8.9073200726813948E-2</v>
      </c>
      <c r="Q109" s="158" t="e">
        <f t="shared" si="3"/>
        <v>#DIV/0!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P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COUNT(Q9:Q104)+96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7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720</v>
      </c>
      <c r="B9" s="100">
        <v>3.28</v>
      </c>
      <c r="C9" s="100">
        <v>5.15</v>
      </c>
      <c r="D9" s="100">
        <v>2.02</v>
      </c>
      <c r="E9" s="100">
        <v>4.2300000000000004</v>
      </c>
      <c r="F9" s="100">
        <v>2.04</v>
      </c>
      <c r="G9" s="100">
        <v>37.03</v>
      </c>
      <c r="H9" s="100">
        <v>13.34</v>
      </c>
      <c r="I9" s="100">
        <v>7.06</v>
      </c>
      <c r="J9" s="100">
        <v>0.53</v>
      </c>
      <c r="K9" s="100">
        <v>258.33</v>
      </c>
      <c r="L9" s="100">
        <v>25.12</v>
      </c>
      <c r="M9" s="100">
        <v>95.41</v>
      </c>
      <c r="N9" s="100">
        <v>2.5</v>
      </c>
      <c r="O9" s="100">
        <v>0</v>
      </c>
      <c r="P9" s="100">
        <v>0.24</v>
      </c>
      <c r="Q9" s="151" t="s">
        <v>8</v>
      </c>
      <c r="R9" s="6"/>
      <c r="S9" s="6"/>
      <c r="T9" s="156"/>
      <c r="U9" s="6"/>
    </row>
    <row r="10" spans="1:21" customFormat="1">
      <c r="A10" s="163" t="s">
        <v>721</v>
      </c>
      <c r="B10" s="100">
        <v>3.23</v>
      </c>
      <c r="C10" s="100">
        <v>5.23</v>
      </c>
      <c r="D10" s="100">
        <v>2.1</v>
      </c>
      <c r="E10" s="100">
        <v>3.89</v>
      </c>
      <c r="F10" s="100">
        <v>2.13</v>
      </c>
      <c r="G10" s="100">
        <v>37.03</v>
      </c>
      <c r="H10" s="100">
        <v>13.34</v>
      </c>
      <c r="I10" s="100">
        <v>7.02</v>
      </c>
      <c r="J10" s="100">
        <v>0.6</v>
      </c>
      <c r="K10" s="100">
        <v>262.58999999999997</v>
      </c>
      <c r="L10" s="100">
        <v>25.26</v>
      </c>
      <c r="M10" s="100">
        <v>95.94</v>
      </c>
      <c r="N10" s="100">
        <v>2.5</v>
      </c>
      <c r="O10" s="100">
        <v>0</v>
      </c>
      <c r="P10" s="100">
        <v>0.25</v>
      </c>
      <c r="Q10" s="151" t="s">
        <v>8</v>
      </c>
      <c r="R10" s="6"/>
      <c r="S10" s="6"/>
      <c r="T10" s="156"/>
      <c r="U10" s="6"/>
    </row>
    <row r="11" spans="1:21" customFormat="1">
      <c r="A11" s="163" t="s">
        <v>722</v>
      </c>
      <c r="B11" s="100">
        <v>3.16</v>
      </c>
      <c r="C11" s="100">
        <v>5.19</v>
      </c>
      <c r="D11" s="100">
        <v>2.12</v>
      </c>
      <c r="E11" s="100">
        <v>3.75</v>
      </c>
      <c r="F11" s="100">
        <v>2.08</v>
      </c>
      <c r="G11" s="100">
        <v>26.35</v>
      </c>
      <c r="H11" s="100">
        <v>12.79</v>
      </c>
      <c r="I11" s="100">
        <v>6.72</v>
      </c>
      <c r="J11" s="100">
        <v>0.62</v>
      </c>
      <c r="K11" s="100">
        <v>262</v>
      </c>
      <c r="L11" s="100">
        <v>25.19</v>
      </c>
      <c r="M11" s="100">
        <v>96.67</v>
      </c>
      <c r="N11" s="100">
        <v>2.5</v>
      </c>
      <c r="O11" s="100">
        <v>0</v>
      </c>
      <c r="P11" s="100">
        <v>0.24</v>
      </c>
      <c r="Q11" s="151" t="s">
        <v>8</v>
      </c>
      <c r="R11" s="6"/>
      <c r="S11" s="6"/>
      <c r="T11" s="156"/>
      <c r="U11" s="6"/>
    </row>
    <row r="12" spans="1:21" customFormat="1">
      <c r="A12" s="163" t="s">
        <v>723</v>
      </c>
      <c r="B12" s="100">
        <v>3.09</v>
      </c>
      <c r="C12" s="100">
        <v>5.12</v>
      </c>
      <c r="D12" s="100">
        <v>2.1</v>
      </c>
      <c r="E12" s="100">
        <v>4.07</v>
      </c>
      <c r="F12" s="100">
        <v>2.17</v>
      </c>
      <c r="G12" s="100">
        <v>25.45</v>
      </c>
      <c r="H12" s="100">
        <v>12.79</v>
      </c>
      <c r="I12" s="100">
        <v>6.59</v>
      </c>
      <c r="J12" s="100">
        <v>0.66</v>
      </c>
      <c r="K12" s="100">
        <v>259.87</v>
      </c>
      <c r="L12" s="100">
        <v>25.24</v>
      </c>
      <c r="M12" s="100">
        <v>96.14</v>
      </c>
      <c r="N12" s="100">
        <v>2.6</v>
      </c>
      <c r="O12" s="100">
        <v>0</v>
      </c>
      <c r="P12" s="100">
        <v>0.24</v>
      </c>
      <c r="Q12" s="151" t="s">
        <v>8</v>
      </c>
      <c r="R12" s="6"/>
      <c r="S12" s="6"/>
      <c r="T12" s="156"/>
      <c r="U12" s="6"/>
    </row>
    <row r="13" spans="1:21" customFormat="1">
      <c r="A13" s="163" t="s">
        <v>724</v>
      </c>
      <c r="B13" s="100">
        <v>3.03</v>
      </c>
      <c r="C13" s="100">
        <v>5.05</v>
      </c>
      <c r="D13" s="100">
        <v>2.09</v>
      </c>
      <c r="E13" s="100">
        <v>3.95</v>
      </c>
      <c r="F13" s="100">
        <v>2.2200000000000002</v>
      </c>
      <c r="G13" s="100">
        <v>25.45</v>
      </c>
      <c r="H13" s="100">
        <v>12.79</v>
      </c>
      <c r="I13" s="100">
        <v>6.37</v>
      </c>
      <c r="J13" s="100">
        <v>0.62</v>
      </c>
      <c r="K13" s="100">
        <v>264.48</v>
      </c>
      <c r="L13" s="100">
        <v>25.34</v>
      </c>
      <c r="M13" s="100">
        <v>96.07</v>
      </c>
      <c r="N13" s="100">
        <v>2.6</v>
      </c>
      <c r="O13" s="100">
        <v>0</v>
      </c>
      <c r="P13" s="100">
        <v>0.23</v>
      </c>
      <c r="Q13" s="151" t="s">
        <v>8</v>
      </c>
      <c r="R13" s="6"/>
      <c r="S13" s="6"/>
      <c r="T13" s="156"/>
      <c r="U13" s="6"/>
    </row>
    <row r="14" spans="1:21" customFormat="1">
      <c r="A14" s="163" t="s">
        <v>725</v>
      </c>
      <c r="B14" s="100">
        <v>2.97</v>
      </c>
      <c r="C14" s="100">
        <v>4.9800000000000004</v>
      </c>
      <c r="D14" s="100">
        <v>2.08</v>
      </c>
      <c r="E14" s="100">
        <v>4.01</v>
      </c>
      <c r="F14" s="100">
        <v>2.2999999999999998</v>
      </c>
      <c r="G14" s="100">
        <v>25.45</v>
      </c>
      <c r="H14" s="100">
        <v>12.79</v>
      </c>
      <c r="I14" s="100">
        <v>6.18</v>
      </c>
      <c r="J14" s="100">
        <v>0.8</v>
      </c>
      <c r="K14" s="100">
        <v>258.81</v>
      </c>
      <c r="L14" s="100">
        <v>25.39</v>
      </c>
      <c r="M14" s="100">
        <v>95.24</v>
      </c>
      <c r="N14" s="100">
        <v>2.8</v>
      </c>
      <c r="O14" s="100">
        <v>0</v>
      </c>
      <c r="P14" s="100">
        <v>0.22</v>
      </c>
      <c r="Q14" s="151" t="s">
        <v>8</v>
      </c>
      <c r="R14" s="6"/>
      <c r="S14" s="6"/>
      <c r="T14" s="156"/>
      <c r="U14" s="6"/>
    </row>
    <row r="15" spans="1:21" customFormat="1">
      <c r="A15" s="163" t="s">
        <v>726</v>
      </c>
      <c r="B15" s="100">
        <v>2.92</v>
      </c>
      <c r="C15" s="100">
        <v>4.9400000000000004</v>
      </c>
      <c r="D15" s="100">
        <v>2.0699999999999998</v>
      </c>
      <c r="E15" s="100">
        <v>4.21</v>
      </c>
      <c r="F15" s="100">
        <v>2.39</v>
      </c>
      <c r="G15" s="100">
        <v>24.66</v>
      </c>
      <c r="H15" s="100">
        <v>10.4</v>
      </c>
      <c r="I15" s="100">
        <v>5.99</v>
      </c>
      <c r="J15" s="100">
        <v>1.22</v>
      </c>
      <c r="K15" s="100">
        <v>265.52</v>
      </c>
      <c r="L15" s="100">
        <v>25.39</v>
      </c>
      <c r="M15" s="100">
        <v>94.27</v>
      </c>
      <c r="N15" s="100">
        <v>3.1</v>
      </c>
      <c r="O15" s="100">
        <v>0.2</v>
      </c>
      <c r="P15" s="100">
        <v>0.22</v>
      </c>
      <c r="Q15" s="151" t="s">
        <v>8</v>
      </c>
      <c r="R15" s="6"/>
      <c r="S15" s="6"/>
      <c r="T15" s="156"/>
      <c r="U15" s="6"/>
    </row>
    <row r="16" spans="1:21" customFormat="1">
      <c r="A16" s="163" t="s">
        <v>727</v>
      </c>
      <c r="B16" s="100">
        <v>2.89</v>
      </c>
      <c r="C16" s="100">
        <v>4.9000000000000004</v>
      </c>
      <c r="D16" s="100">
        <v>2.06</v>
      </c>
      <c r="E16" s="100">
        <v>4.26</v>
      </c>
      <c r="F16" s="100">
        <v>2.52</v>
      </c>
      <c r="G16" s="100">
        <v>24.59</v>
      </c>
      <c r="H16" s="100">
        <v>10.4</v>
      </c>
      <c r="I16" s="100">
        <v>5.79</v>
      </c>
      <c r="J16" s="100">
        <v>1.23</v>
      </c>
      <c r="K16" s="100">
        <v>267.19</v>
      </c>
      <c r="L16" s="100">
        <v>25.28</v>
      </c>
      <c r="M16" s="100">
        <v>85.7</v>
      </c>
      <c r="N16" s="100">
        <v>3.4</v>
      </c>
      <c r="O16" s="100">
        <v>0</v>
      </c>
      <c r="P16" s="100">
        <v>0.22</v>
      </c>
      <c r="Q16" s="151" t="s">
        <v>8</v>
      </c>
      <c r="R16" s="6"/>
      <c r="S16" s="6"/>
      <c r="T16" s="156"/>
      <c r="U16" s="6"/>
    </row>
    <row r="17" spans="1:21" customFormat="1">
      <c r="A17" s="163" t="s">
        <v>728</v>
      </c>
      <c r="B17" s="100">
        <v>2.85</v>
      </c>
      <c r="C17" s="100">
        <v>4.88</v>
      </c>
      <c r="D17" s="100">
        <v>2.0699999999999998</v>
      </c>
      <c r="E17" s="100">
        <v>4.67</v>
      </c>
      <c r="F17" s="100">
        <v>2.09</v>
      </c>
      <c r="G17" s="100">
        <v>24.59</v>
      </c>
      <c r="H17" s="100">
        <v>10.4</v>
      </c>
      <c r="I17" s="100">
        <v>5.69</v>
      </c>
      <c r="J17" s="100">
        <v>1.07</v>
      </c>
      <c r="K17" s="100">
        <v>263.86</v>
      </c>
      <c r="L17" s="100">
        <v>25.27</v>
      </c>
      <c r="M17" s="100">
        <v>85.42</v>
      </c>
      <c r="N17" s="100">
        <v>2.6</v>
      </c>
      <c r="O17" s="100">
        <v>0</v>
      </c>
      <c r="P17" s="100">
        <v>0.23</v>
      </c>
      <c r="Q17" s="151" t="s">
        <v>8</v>
      </c>
      <c r="R17" s="6"/>
      <c r="S17" s="6"/>
      <c r="T17" s="156"/>
      <c r="U17" s="6"/>
    </row>
    <row r="18" spans="1:21" customFormat="1">
      <c r="A18" s="163" t="s">
        <v>729</v>
      </c>
      <c r="B18" s="100">
        <v>2.82</v>
      </c>
      <c r="C18" s="100">
        <v>4.87</v>
      </c>
      <c r="D18" s="100">
        <v>2.08</v>
      </c>
      <c r="E18" s="100">
        <v>5.78</v>
      </c>
      <c r="F18" s="100">
        <v>2</v>
      </c>
      <c r="G18" s="100">
        <v>24.59</v>
      </c>
      <c r="H18" s="100">
        <v>10.4</v>
      </c>
      <c r="I18" s="100">
        <v>5.78</v>
      </c>
      <c r="J18" s="100">
        <v>0.87</v>
      </c>
      <c r="K18" s="100">
        <v>266.98</v>
      </c>
      <c r="L18" s="100">
        <v>25.06</v>
      </c>
      <c r="M18" s="100">
        <v>86.42</v>
      </c>
      <c r="N18" s="100">
        <v>2.4</v>
      </c>
      <c r="O18" s="100">
        <v>0</v>
      </c>
      <c r="P18" s="100">
        <v>0.23</v>
      </c>
      <c r="Q18" s="151" t="s">
        <v>8</v>
      </c>
      <c r="R18" s="6"/>
      <c r="S18" s="6"/>
      <c r="T18" s="156"/>
      <c r="U18" s="6"/>
    </row>
    <row r="19" spans="1:21" customFormat="1">
      <c r="A19" s="163" t="s">
        <v>730</v>
      </c>
      <c r="B19" s="100">
        <v>2.8</v>
      </c>
      <c r="C19" s="100">
        <v>4.88</v>
      </c>
      <c r="D19" s="100">
        <v>2.1</v>
      </c>
      <c r="E19" s="100">
        <v>5.7</v>
      </c>
      <c r="F19" s="100">
        <v>1.9</v>
      </c>
      <c r="G19" s="100">
        <v>17.64</v>
      </c>
      <c r="H19" s="100">
        <v>7.28</v>
      </c>
      <c r="I19" s="100">
        <v>5.85</v>
      </c>
      <c r="J19" s="100">
        <v>0.96</v>
      </c>
      <c r="K19" s="100">
        <v>265.97000000000003</v>
      </c>
      <c r="L19" s="100">
        <v>25.1</v>
      </c>
      <c r="M19" s="100">
        <v>87.11</v>
      </c>
      <c r="N19" s="100">
        <v>2.2000000000000002</v>
      </c>
      <c r="O19" s="100">
        <v>0</v>
      </c>
      <c r="P19" s="100">
        <v>0.25</v>
      </c>
      <c r="Q19" s="151" t="s">
        <v>8</v>
      </c>
      <c r="R19" s="6"/>
      <c r="S19" s="6"/>
      <c r="T19" s="156"/>
      <c r="U19" s="6"/>
    </row>
    <row r="20" spans="1:21" customFormat="1">
      <c r="A20" s="163" t="s">
        <v>731</v>
      </c>
      <c r="B20" s="100">
        <v>2.79</v>
      </c>
      <c r="C20" s="100">
        <v>4.92</v>
      </c>
      <c r="D20" s="100">
        <v>2.14</v>
      </c>
      <c r="E20" s="100">
        <v>5.58</v>
      </c>
      <c r="F20" s="100">
        <v>2.09</v>
      </c>
      <c r="G20" s="100">
        <v>16.97</v>
      </c>
      <c r="H20" s="100">
        <v>7.28</v>
      </c>
      <c r="I20" s="100">
        <v>6.19</v>
      </c>
      <c r="J20" s="100">
        <v>1.24</v>
      </c>
      <c r="K20" s="100">
        <v>261.25</v>
      </c>
      <c r="L20" s="100">
        <v>25.01</v>
      </c>
      <c r="M20" s="100">
        <v>88.52</v>
      </c>
      <c r="N20" s="100">
        <v>2.5</v>
      </c>
      <c r="O20" s="100">
        <v>0</v>
      </c>
      <c r="P20" s="100">
        <v>0.3</v>
      </c>
      <c r="Q20" s="151" t="s">
        <v>8</v>
      </c>
      <c r="R20" s="6"/>
      <c r="S20" s="6"/>
      <c r="T20" s="156"/>
      <c r="U20" s="6"/>
    </row>
    <row r="21" spans="1:21" customFormat="1">
      <c r="A21" s="163" t="s">
        <v>732</v>
      </c>
      <c r="B21" s="100">
        <v>2.8</v>
      </c>
      <c r="C21" s="100">
        <v>4.95</v>
      </c>
      <c r="D21" s="100">
        <v>2.15</v>
      </c>
      <c r="E21" s="100">
        <v>5.89</v>
      </c>
      <c r="F21" s="100">
        <v>2.15</v>
      </c>
      <c r="G21" s="100">
        <v>16.97</v>
      </c>
      <c r="H21" s="100">
        <v>7.28</v>
      </c>
      <c r="I21" s="100">
        <v>6.82</v>
      </c>
      <c r="J21" s="100">
        <v>0.77</v>
      </c>
      <c r="K21" s="100">
        <v>260.95999999999998</v>
      </c>
      <c r="L21" s="100">
        <v>24.89</v>
      </c>
      <c r="M21" s="100">
        <v>90.35</v>
      </c>
      <c r="N21" s="100">
        <v>2.6</v>
      </c>
      <c r="O21" s="100">
        <v>0</v>
      </c>
      <c r="P21" s="100">
        <v>0.31</v>
      </c>
      <c r="Q21" s="151" t="s">
        <v>8</v>
      </c>
      <c r="R21" s="6"/>
      <c r="S21" s="6"/>
      <c r="T21" s="156"/>
      <c r="U21" s="6"/>
    </row>
    <row r="22" spans="1:21" customFormat="1">
      <c r="A22" s="163" t="s">
        <v>733</v>
      </c>
      <c r="B22" s="100">
        <v>2.79</v>
      </c>
      <c r="C22" s="100">
        <v>4.9000000000000004</v>
      </c>
      <c r="D22" s="100">
        <v>2.12</v>
      </c>
      <c r="E22" s="100">
        <v>5.96</v>
      </c>
      <c r="F22" s="100">
        <v>1.82</v>
      </c>
      <c r="G22" s="100">
        <v>16.97</v>
      </c>
      <c r="H22" s="100">
        <v>7.28</v>
      </c>
      <c r="I22" s="100">
        <v>7.62</v>
      </c>
      <c r="J22" s="100">
        <v>0.66</v>
      </c>
      <c r="K22" s="100">
        <v>254.95</v>
      </c>
      <c r="L22" s="100">
        <v>24.67</v>
      </c>
      <c r="M22" s="100">
        <v>91.69</v>
      </c>
      <c r="N22" s="100">
        <v>2.5</v>
      </c>
      <c r="O22" s="100">
        <v>0</v>
      </c>
      <c r="P22" s="100">
        <v>0.3</v>
      </c>
      <c r="Q22" s="151" t="s">
        <v>8</v>
      </c>
      <c r="R22" s="6"/>
      <c r="S22" s="6"/>
      <c r="T22" s="156"/>
      <c r="U22" s="6"/>
    </row>
    <row r="23" spans="1:21" customFormat="1">
      <c r="A23" s="163" t="s">
        <v>734</v>
      </c>
      <c r="B23" s="100">
        <v>2.78</v>
      </c>
      <c r="C23" s="100">
        <v>4.8499999999999996</v>
      </c>
      <c r="D23" s="100">
        <v>2.09</v>
      </c>
      <c r="E23" s="100">
        <v>5.7</v>
      </c>
      <c r="F23" s="100">
        <v>2</v>
      </c>
      <c r="G23" s="100">
        <v>18.09</v>
      </c>
      <c r="H23" s="100">
        <v>5.43</v>
      </c>
      <c r="I23" s="100">
        <v>7.66</v>
      </c>
      <c r="J23" s="100">
        <v>0.65</v>
      </c>
      <c r="K23" s="100">
        <v>256.95999999999998</v>
      </c>
      <c r="L23" s="100">
        <v>24.56</v>
      </c>
      <c r="M23" s="100">
        <v>93.13</v>
      </c>
      <c r="N23" s="100">
        <v>2.4</v>
      </c>
      <c r="O23" s="100">
        <v>0</v>
      </c>
      <c r="P23" s="100">
        <v>0.28999999999999998</v>
      </c>
      <c r="Q23" s="151" t="s">
        <v>8</v>
      </c>
      <c r="R23" s="6"/>
      <c r="S23" s="6"/>
      <c r="T23" s="156"/>
      <c r="U23" s="6"/>
    </row>
    <row r="24" spans="1:21" customFormat="1">
      <c r="A24" s="163" t="s">
        <v>735</v>
      </c>
      <c r="B24" s="100">
        <v>2.77</v>
      </c>
      <c r="C24" s="100">
        <v>4.8</v>
      </c>
      <c r="D24" s="100">
        <v>2.06</v>
      </c>
      <c r="E24" s="100">
        <v>5.69</v>
      </c>
      <c r="F24" s="100">
        <v>2.2000000000000002</v>
      </c>
      <c r="G24" s="100">
        <v>18.18</v>
      </c>
      <c r="H24" s="100">
        <v>5.43</v>
      </c>
      <c r="I24" s="100">
        <v>7.39</v>
      </c>
      <c r="J24" s="100">
        <v>0.69</v>
      </c>
      <c r="K24" s="100">
        <v>259.45999999999998</v>
      </c>
      <c r="L24" s="100">
        <v>24.59</v>
      </c>
      <c r="M24" s="100">
        <v>93.26</v>
      </c>
      <c r="N24" s="100">
        <v>2.2000000000000002</v>
      </c>
      <c r="O24" s="100">
        <v>0</v>
      </c>
      <c r="P24" s="100">
        <v>0.27</v>
      </c>
      <c r="Q24" s="151" t="s">
        <v>8</v>
      </c>
      <c r="R24" s="6"/>
      <c r="S24" s="6"/>
      <c r="T24" s="156"/>
      <c r="U24" s="6"/>
    </row>
    <row r="25" spans="1:21" customFormat="1">
      <c r="A25" s="163" t="s">
        <v>736</v>
      </c>
      <c r="B25" s="100">
        <v>2.76</v>
      </c>
      <c r="C25" s="100">
        <v>4.76</v>
      </c>
      <c r="D25" s="100">
        <v>2.0299999999999998</v>
      </c>
      <c r="E25" s="100">
        <v>5.84</v>
      </c>
      <c r="F25" s="100">
        <v>2.2200000000000002</v>
      </c>
      <c r="G25" s="100">
        <v>18.18</v>
      </c>
      <c r="H25" s="100">
        <v>5.43</v>
      </c>
      <c r="I25" s="100">
        <v>7.1</v>
      </c>
      <c r="J25" s="100">
        <v>0.73</v>
      </c>
      <c r="K25" s="100">
        <v>260.93</v>
      </c>
      <c r="L25" s="100">
        <v>24.74</v>
      </c>
      <c r="M25" s="100">
        <v>93.36</v>
      </c>
      <c r="N25" s="100">
        <v>2.2000000000000002</v>
      </c>
      <c r="O25" s="100">
        <v>0</v>
      </c>
      <c r="P25" s="100">
        <v>0.26</v>
      </c>
      <c r="Q25" s="151" t="s">
        <v>8</v>
      </c>
      <c r="R25" s="6"/>
      <c r="S25" s="6"/>
      <c r="T25" s="156"/>
      <c r="U25" s="6"/>
    </row>
    <row r="26" spans="1:21" customFormat="1">
      <c r="A26" s="163" t="s">
        <v>737</v>
      </c>
      <c r="B26" s="100">
        <v>2.75</v>
      </c>
      <c r="C26" s="100">
        <v>4.72</v>
      </c>
      <c r="D26" s="100">
        <v>2.0099999999999998</v>
      </c>
      <c r="E26" s="100">
        <v>6.03</v>
      </c>
      <c r="F26" s="100">
        <v>2.2400000000000002</v>
      </c>
      <c r="G26" s="100">
        <v>18.18</v>
      </c>
      <c r="H26" s="100">
        <v>5.43</v>
      </c>
      <c r="I26" s="100">
        <v>6.81</v>
      </c>
      <c r="J26" s="100">
        <v>0.91</v>
      </c>
      <c r="K26" s="100">
        <v>260.79000000000002</v>
      </c>
      <c r="L26" s="100">
        <v>24.74</v>
      </c>
      <c r="M26" s="100">
        <v>93.34</v>
      </c>
      <c r="N26" s="100">
        <v>2</v>
      </c>
      <c r="O26" s="100">
        <v>0</v>
      </c>
      <c r="P26" s="100">
        <v>0.25</v>
      </c>
      <c r="Q26" s="151" t="s">
        <v>8</v>
      </c>
      <c r="R26" s="6"/>
      <c r="S26" s="6"/>
      <c r="T26" s="156"/>
      <c r="U26" s="6"/>
    </row>
    <row r="27" spans="1:21" customFormat="1">
      <c r="A27" s="163" t="s">
        <v>738</v>
      </c>
      <c r="B27" s="100">
        <v>2.73</v>
      </c>
      <c r="C27" s="100">
        <v>4.6900000000000004</v>
      </c>
      <c r="D27" s="100">
        <v>1.99</v>
      </c>
      <c r="E27" s="100">
        <v>6.1</v>
      </c>
      <c r="F27" s="100">
        <v>2.29</v>
      </c>
      <c r="G27" s="100">
        <v>17.22</v>
      </c>
      <c r="H27" s="100">
        <v>6.38</v>
      </c>
      <c r="I27" s="100">
        <v>6.58</v>
      </c>
      <c r="J27" s="100">
        <v>0.87</v>
      </c>
      <c r="K27" s="100">
        <v>254.8</v>
      </c>
      <c r="L27" s="100">
        <v>24.78</v>
      </c>
      <c r="M27" s="100">
        <v>92.47</v>
      </c>
      <c r="N27" s="100">
        <v>2</v>
      </c>
      <c r="O27" s="100">
        <v>0</v>
      </c>
      <c r="P27" s="100">
        <v>0.24</v>
      </c>
      <c r="Q27" s="151" t="s">
        <v>8</v>
      </c>
      <c r="R27" s="6"/>
      <c r="S27" s="6"/>
      <c r="T27" s="156"/>
      <c r="U27" s="6"/>
    </row>
    <row r="28" spans="1:21" customFormat="1">
      <c r="A28" s="163" t="s">
        <v>739</v>
      </c>
      <c r="B28" s="100">
        <v>2.73</v>
      </c>
      <c r="C28" s="100">
        <v>4.67</v>
      </c>
      <c r="D28" s="100">
        <v>1.98</v>
      </c>
      <c r="E28" s="100">
        <v>5.91</v>
      </c>
      <c r="F28" s="100">
        <v>2.4500000000000002</v>
      </c>
      <c r="G28" s="100">
        <v>17.14</v>
      </c>
      <c r="H28" s="100">
        <v>6.38</v>
      </c>
      <c r="I28" s="100">
        <v>6.32</v>
      </c>
      <c r="J28" s="100">
        <v>0.76</v>
      </c>
      <c r="K28" s="100">
        <v>259.63</v>
      </c>
      <c r="L28" s="100">
        <v>24.72</v>
      </c>
      <c r="M28" s="100">
        <v>92.5</v>
      </c>
      <c r="N28" s="100">
        <v>2.1</v>
      </c>
      <c r="O28" s="100">
        <v>0</v>
      </c>
      <c r="P28" s="100">
        <v>0.23</v>
      </c>
      <c r="Q28" s="151" t="s">
        <v>8</v>
      </c>
      <c r="R28" s="6"/>
      <c r="S28" s="6"/>
      <c r="T28" s="156"/>
      <c r="U28" s="6"/>
    </row>
    <row r="29" spans="1:21" customFormat="1">
      <c r="A29" s="163" t="s">
        <v>740</v>
      </c>
      <c r="B29" s="100">
        <v>2.73</v>
      </c>
      <c r="C29" s="100">
        <v>4.6500000000000004</v>
      </c>
      <c r="D29" s="100">
        <v>1.97</v>
      </c>
      <c r="E29" s="100">
        <v>6.26</v>
      </c>
      <c r="F29" s="100">
        <v>2.39</v>
      </c>
      <c r="G29" s="100">
        <v>17.14</v>
      </c>
      <c r="H29" s="100">
        <v>6.38</v>
      </c>
      <c r="I29" s="100">
        <v>6.02</v>
      </c>
      <c r="J29" s="100">
        <v>0.74</v>
      </c>
      <c r="K29" s="100">
        <v>260.83</v>
      </c>
      <c r="L29" s="100">
        <v>24.74</v>
      </c>
      <c r="M29" s="100">
        <v>92.71</v>
      </c>
      <c r="N29" s="100">
        <v>2</v>
      </c>
      <c r="O29" s="100">
        <v>0</v>
      </c>
      <c r="P29" s="100">
        <v>0.22</v>
      </c>
      <c r="Q29" s="151" t="s">
        <v>8</v>
      </c>
      <c r="R29" s="6"/>
      <c r="S29" s="6"/>
      <c r="T29" s="156"/>
      <c r="U29" s="6"/>
    </row>
    <row r="30" spans="1:21" customFormat="1">
      <c r="A30" s="163" t="s">
        <v>741</v>
      </c>
      <c r="B30" s="100">
        <v>2.75</v>
      </c>
      <c r="C30" s="100">
        <v>4.63</v>
      </c>
      <c r="D30" s="100">
        <v>1.94</v>
      </c>
      <c r="E30" s="100">
        <v>5.88</v>
      </c>
      <c r="F30" s="100">
        <v>0.23</v>
      </c>
      <c r="G30" s="100">
        <v>17.14</v>
      </c>
      <c r="H30" s="100">
        <v>6.38</v>
      </c>
      <c r="I30" s="100">
        <v>5.79</v>
      </c>
      <c r="J30" s="100">
        <v>1</v>
      </c>
      <c r="K30" s="100">
        <v>260.3</v>
      </c>
      <c r="L30" s="100">
        <v>24.68</v>
      </c>
      <c r="M30" s="100">
        <v>92.75</v>
      </c>
      <c r="N30" s="100">
        <v>2.7</v>
      </c>
      <c r="O30" s="100">
        <v>0</v>
      </c>
      <c r="P30" s="100">
        <v>0.2</v>
      </c>
      <c r="Q30" s="151" t="s">
        <v>8</v>
      </c>
      <c r="R30" s="6"/>
      <c r="S30" s="6"/>
      <c r="T30" s="156"/>
      <c r="U30" s="6"/>
    </row>
    <row r="31" spans="1:21" customFormat="1">
      <c r="A31" s="163" t="s">
        <v>742</v>
      </c>
      <c r="B31" s="100">
        <v>2.78</v>
      </c>
      <c r="C31" s="100">
        <v>4.63</v>
      </c>
      <c r="D31" s="100">
        <v>1.91</v>
      </c>
      <c r="E31" s="100">
        <v>6.05</v>
      </c>
      <c r="F31" s="100">
        <v>1.66</v>
      </c>
      <c r="G31" s="100">
        <v>13.09</v>
      </c>
      <c r="H31" s="100">
        <v>7.81</v>
      </c>
      <c r="I31" s="100">
        <v>5.62</v>
      </c>
      <c r="J31" s="100">
        <v>0.82</v>
      </c>
      <c r="K31" s="100">
        <v>261.87</v>
      </c>
      <c r="L31" s="100">
        <v>24.47</v>
      </c>
      <c r="M31" s="100">
        <v>94.03</v>
      </c>
      <c r="N31" s="100">
        <v>3</v>
      </c>
      <c r="O31" s="100">
        <v>0</v>
      </c>
      <c r="P31" s="100">
        <v>0.17</v>
      </c>
      <c r="Q31" s="151" t="s">
        <v>8</v>
      </c>
      <c r="R31" s="6"/>
      <c r="S31" s="6"/>
      <c r="T31" s="156"/>
      <c r="U31" s="6"/>
    </row>
    <row r="32" spans="1:21" customFormat="1">
      <c r="A32" s="163" t="s">
        <v>743</v>
      </c>
      <c r="B32" s="100">
        <v>2.79</v>
      </c>
      <c r="C32" s="100">
        <v>4.5999999999999996</v>
      </c>
      <c r="D32" s="100">
        <v>1.89</v>
      </c>
      <c r="E32" s="100">
        <v>5.68</v>
      </c>
      <c r="F32" s="100">
        <v>2.61</v>
      </c>
      <c r="G32" s="100">
        <v>12.75</v>
      </c>
      <c r="H32" s="100">
        <v>7.81</v>
      </c>
      <c r="I32" s="100">
        <v>5.53</v>
      </c>
      <c r="J32" s="100">
        <v>0.68</v>
      </c>
      <c r="K32" s="100">
        <v>259.85000000000002</v>
      </c>
      <c r="L32" s="100">
        <v>24.32</v>
      </c>
      <c r="M32" s="100">
        <v>95.66</v>
      </c>
      <c r="N32" s="100">
        <v>4.0999999999999996</v>
      </c>
      <c r="O32" s="100">
        <v>0</v>
      </c>
      <c r="P32" s="100">
        <v>0.18</v>
      </c>
      <c r="Q32" s="151" t="s">
        <v>8</v>
      </c>
      <c r="R32" s="6"/>
      <c r="S32" s="6"/>
      <c r="T32" s="156"/>
      <c r="U32" s="6"/>
    </row>
    <row r="33" spans="1:21" customFormat="1">
      <c r="A33" s="163" t="s">
        <v>744</v>
      </c>
      <c r="B33" s="100">
        <v>2.82</v>
      </c>
      <c r="C33" s="100">
        <v>4.63</v>
      </c>
      <c r="D33" s="100">
        <v>1.89</v>
      </c>
      <c r="E33" s="100">
        <v>5.9</v>
      </c>
      <c r="F33" s="100">
        <v>1.51</v>
      </c>
      <c r="G33" s="100">
        <v>12.75</v>
      </c>
      <c r="H33" s="100">
        <v>7.81</v>
      </c>
      <c r="I33" s="100">
        <v>5.46</v>
      </c>
      <c r="J33" s="100">
        <v>0.86</v>
      </c>
      <c r="K33" s="100">
        <v>258.39999999999998</v>
      </c>
      <c r="L33" s="100">
        <v>24.23</v>
      </c>
      <c r="M33" s="100">
        <v>96.35</v>
      </c>
      <c r="N33" s="100">
        <v>6.7</v>
      </c>
      <c r="O33" s="100">
        <v>0.2</v>
      </c>
      <c r="P33" s="100">
        <v>0.17</v>
      </c>
      <c r="Q33" s="151" t="s">
        <v>8</v>
      </c>
      <c r="R33" s="6"/>
      <c r="S33" s="6"/>
      <c r="T33" s="156"/>
      <c r="U33" s="6"/>
    </row>
    <row r="34" spans="1:21" customFormat="1">
      <c r="A34" s="163" t="s">
        <v>745</v>
      </c>
      <c r="B34" s="100">
        <v>2.85</v>
      </c>
      <c r="C34" s="100">
        <v>4.63</v>
      </c>
      <c r="D34" s="100">
        <v>1.87</v>
      </c>
      <c r="E34" s="100">
        <v>5.48</v>
      </c>
      <c r="F34" s="100">
        <v>2.27</v>
      </c>
      <c r="G34" s="100">
        <v>12.75</v>
      </c>
      <c r="H34" s="100">
        <v>7.81</v>
      </c>
      <c r="I34" s="100">
        <v>5.42</v>
      </c>
      <c r="J34" s="100">
        <v>0.76</v>
      </c>
      <c r="K34" s="100">
        <v>261.16000000000003</v>
      </c>
      <c r="L34" s="100">
        <v>24.17</v>
      </c>
      <c r="M34" s="100">
        <v>97.02</v>
      </c>
      <c r="N34" s="100">
        <v>9.3000000000000007</v>
      </c>
      <c r="O34" s="100">
        <v>0</v>
      </c>
      <c r="P34" s="100">
        <v>0.16</v>
      </c>
      <c r="Q34" s="151" t="s">
        <v>8</v>
      </c>
      <c r="R34" s="6"/>
      <c r="S34" s="6"/>
      <c r="T34" s="156"/>
      <c r="U34" s="6"/>
    </row>
    <row r="35" spans="1:21" customFormat="1">
      <c r="A35" s="163" t="s">
        <v>746</v>
      </c>
      <c r="B35" s="100">
        <v>2.86</v>
      </c>
      <c r="C35" s="100">
        <v>4.6500000000000004</v>
      </c>
      <c r="D35" s="100">
        <v>1.88</v>
      </c>
      <c r="E35" s="100">
        <v>5.44</v>
      </c>
      <c r="F35" s="100">
        <v>2.09</v>
      </c>
      <c r="G35" s="100">
        <v>11.43</v>
      </c>
      <c r="H35" s="100">
        <v>5.72</v>
      </c>
      <c r="I35" s="100">
        <v>5.37</v>
      </c>
      <c r="J35" s="100">
        <v>0.85</v>
      </c>
      <c r="K35" s="100">
        <v>260.52</v>
      </c>
      <c r="L35" s="100">
        <v>24.13</v>
      </c>
      <c r="M35" s="100">
        <v>97.56</v>
      </c>
      <c r="N35" s="100">
        <v>11.6</v>
      </c>
      <c r="O35" s="100">
        <v>0.2</v>
      </c>
      <c r="P35" s="100">
        <v>0.17</v>
      </c>
      <c r="Q35" s="151" t="s">
        <v>8</v>
      </c>
      <c r="R35" s="6"/>
      <c r="S35" s="6"/>
      <c r="T35" s="156"/>
      <c r="U35" s="6"/>
    </row>
    <row r="36" spans="1:21" customFormat="1">
      <c r="A36" s="163" t="s">
        <v>747</v>
      </c>
      <c r="B36" s="100">
        <v>2.9</v>
      </c>
      <c r="C36" s="100">
        <v>4.6900000000000004</v>
      </c>
      <c r="D36" s="100">
        <v>1.89</v>
      </c>
      <c r="E36" s="100">
        <v>5.68</v>
      </c>
      <c r="F36" s="100">
        <v>1.65</v>
      </c>
      <c r="G36" s="100">
        <v>11.32</v>
      </c>
      <c r="H36" s="100">
        <v>5.72</v>
      </c>
      <c r="I36" s="100">
        <v>5.27</v>
      </c>
      <c r="J36" s="100">
        <v>0.85</v>
      </c>
      <c r="K36" s="100">
        <v>258.20999999999998</v>
      </c>
      <c r="L36" s="100">
        <v>24.14</v>
      </c>
      <c r="M36" s="100">
        <v>97.61</v>
      </c>
      <c r="N36" s="100">
        <v>14.1</v>
      </c>
      <c r="O36" s="100">
        <v>0</v>
      </c>
      <c r="P36" s="100">
        <v>0.14000000000000001</v>
      </c>
      <c r="Q36" s="151" t="s">
        <v>8</v>
      </c>
      <c r="R36" s="6"/>
      <c r="S36" s="6"/>
      <c r="T36" s="156"/>
      <c r="U36" s="6"/>
    </row>
    <row r="37" spans="1:21" customFormat="1">
      <c r="A37" s="163" t="s">
        <v>748</v>
      </c>
      <c r="B37" s="100">
        <v>2.9</v>
      </c>
      <c r="C37" s="100">
        <v>4.68</v>
      </c>
      <c r="D37" s="100">
        <v>1.88</v>
      </c>
      <c r="E37" s="100">
        <v>5.37</v>
      </c>
      <c r="F37" s="100">
        <v>2.4500000000000002</v>
      </c>
      <c r="G37" s="100">
        <v>11.32</v>
      </c>
      <c r="H37" s="100">
        <v>5.72</v>
      </c>
      <c r="I37" s="100">
        <v>5.27</v>
      </c>
      <c r="J37" s="100">
        <v>0.81</v>
      </c>
      <c r="K37" s="100">
        <v>259.66000000000003</v>
      </c>
      <c r="L37" s="100">
        <v>24.12</v>
      </c>
      <c r="M37" s="100">
        <v>98.08</v>
      </c>
      <c r="N37" s="100">
        <v>20.100000000000001</v>
      </c>
      <c r="O37" s="100">
        <v>0.2</v>
      </c>
      <c r="P37" s="100">
        <v>0.16</v>
      </c>
      <c r="Q37" s="151" t="s">
        <v>8</v>
      </c>
      <c r="R37" s="6"/>
      <c r="S37" s="6"/>
      <c r="T37" s="156"/>
      <c r="U37" s="6"/>
    </row>
    <row r="38" spans="1:21" customFormat="1">
      <c r="A38" s="163" t="s">
        <v>749</v>
      </c>
      <c r="B38" s="100">
        <v>2.93</v>
      </c>
      <c r="C38" s="100">
        <v>4.72</v>
      </c>
      <c r="D38" s="100">
        <v>1.89</v>
      </c>
      <c r="E38" s="100">
        <v>5.51</v>
      </c>
      <c r="F38" s="100">
        <v>1.4</v>
      </c>
      <c r="G38" s="100">
        <v>11.32</v>
      </c>
      <c r="H38" s="100">
        <v>5.72</v>
      </c>
      <c r="I38" s="100">
        <v>5.07</v>
      </c>
      <c r="J38" s="100">
        <v>0.75</v>
      </c>
      <c r="K38" s="100">
        <v>258.93</v>
      </c>
      <c r="L38" s="100">
        <v>24.17</v>
      </c>
      <c r="M38" s="100">
        <v>98.38</v>
      </c>
      <c r="N38" s="100">
        <v>25.4</v>
      </c>
      <c r="O38" s="100">
        <v>0</v>
      </c>
      <c r="P38" s="100">
        <v>0.15</v>
      </c>
      <c r="Q38" s="151" t="s">
        <v>8</v>
      </c>
      <c r="R38" s="6"/>
      <c r="S38" s="6"/>
      <c r="T38" s="156"/>
      <c r="U38" s="6"/>
    </row>
    <row r="39" spans="1:21" customFormat="1">
      <c r="A39" s="163" t="s">
        <v>750</v>
      </c>
      <c r="B39" s="100">
        <v>2.95</v>
      </c>
      <c r="C39" s="100">
        <v>4.71</v>
      </c>
      <c r="D39" s="100">
        <v>1.87</v>
      </c>
      <c r="E39" s="100">
        <v>5.37</v>
      </c>
      <c r="F39" s="100">
        <v>2.4700000000000002</v>
      </c>
      <c r="G39" s="100">
        <v>8.32</v>
      </c>
      <c r="H39" s="100">
        <v>4.1500000000000004</v>
      </c>
      <c r="I39" s="100">
        <v>5.13</v>
      </c>
      <c r="J39" s="100">
        <v>0.76</v>
      </c>
      <c r="K39" s="100">
        <v>261.89</v>
      </c>
      <c r="L39" s="100">
        <v>24.23</v>
      </c>
      <c r="M39" s="100">
        <v>98.28</v>
      </c>
      <c r="N39" s="100">
        <v>26.5</v>
      </c>
      <c r="O39" s="100">
        <v>0.6</v>
      </c>
      <c r="P39" s="100">
        <v>0.14000000000000001</v>
      </c>
      <c r="Q39" s="151" t="s">
        <v>8</v>
      </c>
      <c r="R39" s="6"/>
      <c r="S39" s="6"/>
      <c r="T39" s="156"/>
      <c r="U39" s="6"/>
    </row>
    <row r="40" spans="1:21" customFormat="1">
      <c r="A40" s="163" t="s">
        <v>751</v>
      </c>
      <c r="B40" s="100">
        <v>2.95</v>
      </c>
      <c r="C40" s="100">
        <v>4.7300000000000004</v>
      </c>
      <c r="D40" s="100">
        <v>1.89</v>
      </c>
      <c r="E40" s="100">
        <v>5.52</v>
      </c>
      <c r="F40" s="100">
        <v>1.92</v>
      </c>
      <c r="G40" s="100">
        <v>8.07</v>
      </c>
      <c r="H40" s="100">
        <v>4.1500000000000004</v>
      </c>
      <c r="I40" s="100">
        <v>4.88</v>
      </c>
      <c r="J40" s="100">
        <v>0.77</v>
      </c>
      <c r="K40" s="100">
        <v>258.48</v>
      </c>
      <c r="L40" s="100">
        <v>24.17</v>
      </c>
      <c r="M40" s="100">
        <v>98.58</v>
      </c>
      <c r="N40" s="100">
        <v>29.5</v>
      </c>
      <c r="O40" s="100">
        <v>1.2</v>
      </c>
      <c r="P40" s="100">
        <v>0.16</v>
      </c>
      <c r="Q40" s="151" t="s">
        <v>8</v>
      </c>
      <c r="R40" s="6"/>
      <c r="S40" s="6"/>
      <c r="T40" s="156"/>
      <c r="U40" s="6"/>
    </row>
    <row r="41" spans="1:21" customFormat="1">
      <c r="A41" s="163" t="s">
        <v>752</v>
      </c>
      <c r="B41" s="100">
        <v>2.99</v>
      </c>
      <c r="C41" s="100">
        <v>4.7699999999999996</v>
      </c>
      <c r="D41" s="100">
        <v>1.89</v>
      </c>
      <c r="E41" s="100">
        <v>5.56</v>
      </c>
      <c r="F41" s="100">
        <v>1.62</v>
      </c>
      <c r="G41" s="100">
        <v>8.07</v>
      </c>
      <c r="H41" s="100">
        <v>4.1500000000000004</v>
      </c>
      <c r="I41" s="100">
        <v>4.8499999999999996</v>
      </c>
      <c r="J41" s="100">
        <v>0.7</v>
      </c>
      <c r="K41" s="100">
        <v>261.35000000000002</v>
      </c>
      <c r="L41" s="100">
        <v>24.12</v>
      </c>
      <c r="M41" s="100">
        <v>99.05</v>
      </c>
      <c r="N41" s="100">
        <v>25.5</v>
      </c>
      <c r="O41" s="100">
        <v>1.2</v>
      </c>
      <c r="P41" s="100">
        <v>0.13</v>
      </c>
      <c r="Q41" s="151" t="s">
        <v>8</v>
      </c>
      <c r="R41" s="6"/>
      <c r="S41" s="6"/>
      <c r="T41" s="156"/>
      <c r="U41" s="6"/>
    </row>
    <row r="42" spans="1:21" customFormat="1">
      <c r="A42" s="163" t="s">
        <v>753</v>
      </c>
      <c r="B42" s="100">
        <v>2.99</v>
      </c>
      <c r="C42" s="100">
        <v>4.76</v>
      </c>
      <c r="D42" s="100">
        <v>1.88</v>
      </c>
      <c r="E42" s="100">
        <v>5.38</v>
      </c>
      <c r="F42" s="100">
        <v>2.2799999999999998</v>
      </c>
      <c r="G42" s="100">
        <v>8.07</v>
      </c>
      <c r="H42" s="100">
        <v>4.1500000000000004</v>
      </c>
      <c r="I42" s="100">
        <v>4.99</v>
      </c>
      <c r="J42" s="100">
        <v>0.79</v>
      </c>
      <c r="K42" s="100">
        <v>264.39</v>
      </c>
      <c r="L42" s="100">
        <v>23.99</v>
      </c>
      <c r="M42" s="100">
        <v>99.83</v>
      </c>
      <c r="N42" s="100">
        <v>26.2</v>
      </c>
      <c r="O42" s="100">
        <v>0.4</v>
      </c>
      <c r="P42" s="100">
        <v>0.13</v>
      </c>
      <c r="Q42" s="151" t="s">
        <v>8</v>
      </c>
      <c r="R42" s="6"/>
      <c r="S42" s="6"/>
      <c r="T42" s="156"/>
      <c r="U42" s="6"/>
    </row>
    <row r="43" spans="1:21" customFormat="1">
      <c r="A43" s="163" t="s">
        <v>754</v>
      </c>
      <c r="B43" s="100">
        <v>2.99</v>
      </c>
      <c r="C43" s="100">
        <v>4.79</v>
      </c>
      <c r="D43" s="100">
        <v>1.91</v>
      </c>
      <c r="E43" s="100">
        <v>4.5</v>
      </c>
      <c r="F43" s="100">
        <v>1.33</v>
      </c>
      <c r="G43" s="100">
        <v>5.98</v>
      </c>
      <c r="H43" s="100">
        <v>3.22</v>
      </c>
      <c r="I43" s="100">
        <v>4.75</v>
      </c>
      <c r="J43" s="100">
        <v>0.94</v>
      </c>
      <c r="K43" s="100">
        <v>263.32</v>
      </c>
      <c r="L43" s="100">
        <v>24.04</v>
      </c>
      <c r="M43" s="100">
        <v>100.08</v>
      </c>
      <c r="N43" s="100">
        <v>22.6</v>
      </c>
      <c r="O43" s="100">
        <v>0.4</v>
      </c>
      <c r="P43" s="100">
        <v>0.14000000000000001</v>
      </c>
      <c r="Q43" s="151" t="s">
        <v>8</v>
      </c>
      <c r="R43" s="6"/>
      <c r="S43" s="6"/>
      <c r="T43" s="156"/>
      <c r="U43" s="6"/>
    </row>
    <row r="44" spans="1:21" customFormat="1">
      <c r="A44" s="163" t="s">
        <v>755</v>
      </c>
      <c r="B44" s="100">
        <v>3.03</v>
      </c>
      <c r="C44" s="100">
        <v>4.82</v>
      </c>
      <c r="D44" s="100">
        <v>1.91</v>
      </c>
      <c r="E44" s="100">
        <v>5.29</v>
      </c>
      <c r="F44" s="100">
        <v>1.66</v>
      </c>
      <c r="G44" s="100">
        <v>5.81</v>
      </c>
      <c r="H44" s="100">
        <v>3.22</v>
      </c>
      <c r="I44" s="100">
        <v>4.66</v>
      </c>
      <c r="J44" s="100">
        <v>0.84</v>
      </c>
      <c r="K44" s="100">
        <v>264.06</v>
      </c>
      <c r="L44" s="100">
        <v>24.08</v>
      </c>
      <c r="M44" s="100">
        <v>100.08</v>
      </c>
      <c r="N44" s="100">
        <v>17.399999999999999</v>
      </c>
      <c r="O44" s="100">
        <v>0.8</v>
      </c>
      <c r="P44" s="100">
        <v>0.13</v>
      </c>
      <c r="Q44" s="151" t="s">
        <v>8</v>
      </c>
      <c r="R44" s="6"/>
      <c r="S44" s="6"/>
      <c r="T44" s="156"/>
      <c r="U44" s="6"/>
    </row>
    <row r="45" spans="1:21" customFormat="1">
      <c r="A45" s="163" t="s">
        <v>756</v>
      </c>
      <c r="B45" s="100">
        <v>3.03</v>
      </c>
      <c r="C45" s="100">
        <v>4.82</v>
      </c>
      <c r="D45" s="100">
        <v>1.91</v>
      </c>
      <c r="E45" s="100">
        <v>5.41</v>
      </c>
      <c r="F45" s="100">
        <v>1.74</v>
      </c>
      <c r="G45" s="100">
        <v>5.81</v>
      </c>
      <c r="H45" s="100">
        <v>3.22</v>
      </c>
      <c r="I45" s="100">
        <v>4.68</v>
      </c>
      <c r="J45" s="100">
        <v>0.71</v>
      </c>
      <c r="K45" s="100">
        <v>262.89</v>
      </c>
      <c r="L45" s="100">
        <v>24.03</v>
      </c>
      <c r="M45" s="100">
        <v>100.08</v>
      </c>
      <c r="N45" s="100">
        <v>16.2</v>
      </c>
      <c r="O45" s="100">
        <v>1</v>
      </c>
      <c r="P45" s="100">
        <v>0.14000000000000001</v>
      </c>
      <c r="Q45" s="151" t="s">
        <v>8</v>
      </c>
      <c r="R45" s="6"/>
      <c r="S45" s="6"/>
      <c r="T45" s="156"/>
      <c r="U45" s="6"/>
    </row>
    <row r="46" spans="1:21" customFormat="1">
      <c r="A46" s="163" t="s">
        <v>757</v>
      </c>
      <c r="B46" s="100">
        <v>3.06</v>
      </c>
      <c r="C46" s="100">
        <v>4.8499999999999996</v>
      </c>
      <c r="D46" s="100">
        <v>1.91</v>
      </c>
      <c r="E46" s="100">
        <v>5.26</v>
      </c>
      <c r="F46" s="100">
        <v>1.47</v>
      </c>
      <c r="G46" s="100">
        <v>5.81</v>
      </c>
      <c r="H46" s="100">
        <v>3.22</v>
      </c>
      <c r="I46" s="100">
        <v>4.62</v>
      </c>
      <c r="J46" s="100">
        <v>0.67</v>
      </c>
      <c r="K46" s="100">
        <v>258.5</v>
      </c>
      <c r="L46" s="100">
        <v>24.09</v>
      </c>
      <c r="M46" s="100">
        <v>100.1</v>
      </c>
      <c r="N46" s="100">
        <v>12.2</v>
      </c>
      <c r="O46" s="100">
        <v>0.8</v>
      </c>
      <c r="P46" s="100">
        <v>0.13</v>
      </c>
      <c r="Q46" s="151" t="s">
        <v>8</v>
      </c>
      <c r="R46" s="6"/>
      <c r="S46" s="6"/>
      <c r="T46" s="156"/>
      <c r="U46" s="6"/>
    </row>
    <row r="47" spans="1:21" customFormat="1">
      <c r="A47" s="163" t="s">
        <v>758</v>
      </c>
      <c r="B47" s="100">
        <v>3.09</v>
      </c>
      <c r="C47" s="100">
        <v>4.8499999999999996</v>
      </c>
      <c r="D47" s="100">
        <v>1.9</v>
      </c>
      <c r="E47" s="100">
        <v>5.29</v>
      </c>
      <c r="F47" s="100">
        <v>2.04</v>
      </c>
      <c r="G47" s="100">
        <v>4.84</v>
      </c>
      <c r="H47" s="100">
        <v>2.5099999999999998</v>
      </c>
      <c r="I47" s="100">
        <v>4.62</v>
      </c>
      <c r="J47" s="100">
        <v>0.76</v>
      </c>
      <c r="K47" s="100">
        <v>260.92</v>
      </c>
      <c r="L47" s="100">
        <v>24.08</v>
      </c>
      <c r="M47" s="100">
        <v>100.13</v>
      </c>
      <c r="N47" s="100">
        <v>19.600000000000001</v>
      </c>
      <c r="O47" s="100">
        <v>1</v>
      </c>
      <c r="P47" s="100">
        <v>0.14000000000000001</v>
      </c>
      <c r="Q47" s="151" t="s">
        <v>8</v>
      </c>
      <c r="R47" s="6"/>
      <c r="S47" s="6"/>
      <c r="T47" s="156"/>
      <c r="U47" s="6"/>
    </row>
    <row r="48" spans="1:21" customFormat="1">
      <c r="A48" s="163" t="s">
        <v>759</v>
      </c>
      <c r="B48" s="100">
        <v>3.12</v>
      </c>
      <c r="C48" s="100">
        <v>4.92</v>
      </c>
      <c r="D48" s="100">
        <v>1.93</v>
      </c>
      <c r="E48" s="100">
        <v>5.46</v>
      </c>
      <c r="F48" s="100">
        <v>1.35</v>
      </c>
      <c r="G48" s="100">
        <v>4.75</v>
      </c>
      <c r="H48" s="100">
        <v>2.5099999999999998</v>
      </c>
      <c r="I48" s="100">
        <v>4.5599999999999996</v>
      </c>
      <c r="J48" s="100">
        <v>0.88</v>
      </c>
      <c r="K48" s="100">
        <v>264.5</v>
      </c>
      <c r="L48" s="100">
        <v>24.04</v>
      </c>
      <c r="M48" s="100">
        <v>100.13</v>
      </c>
      <c r="N48" s="100">
        <v>22.6</v>
      </c>
      <c r="O48" s="100">
        <v>1.4</v>
      </c>
      <c r="P48" s="100">
        <v>0.12</v>
      </c>
      <c r="Q48" s="151" t="s">
        <v>8</v>
      </c>
      <c r="R48" s="6"/>
      <c r="S48" s="6"/>
      <c r="T48" s="156"/>
      <c r="U48" s="6"/>
    </row>
    <row r="49" spans="1:21" customFormat="1">
      <c r="A49" s="163" t="s">
        <v>760</v>
      </c>
      <c r="B49" s="100">
        <v>3.14</v>
      </c>
      <c r="C49" s="100">
        <v>5</v>
      </c>
      <c r="D49" s="100">
        <v>1.98</v>
      </c>
      <c r="E49" s="100">
        <v>4.4400000000000004</v>
      </c>
      <c r="F49" s="100">
        <v>1.82</v>
      </c>
      <c r="G49" s="100">
        <v>4.75</v>
      </c>
      <c r="H49" s="100">
        <v>2.5099999999999998</v>
      </c>
      <c r="I49" s="100">
        <v>4.57</v>
      </c>
      <c r="J49" s="100">
        <v>0.64</v>
      </c>
      <c r="K49" s="100">
        <v>266.45</v>
      </c>
      <c r="L49" s="100">
        <v>24.06</v>
      </c>
      <c r="M49" s="100">
        <v>100.13</v>
      </c>
      <c r="N49" s="100">
        <v>22.1</v>
      </c>
      <c r="O49" s="100">
        <v>1.4</v>
      </c>
      <c r="P49" s="100">
        <v>0.14000000000000001</v>
      </c>
      <c r="Q49" s="151" t="s">
        <v>8</v>
      </c>
      <c r="R49" s="6"/>
      <c r="S49" s="6"/>
      <c r="T49" s="156"/>
      <c r="U49" s="6"/>
    </row>
    <row r="50" spans="1:21" customFormat="1">
      <c r="A50" s="163" t="s">
        <v>761</v>
      </c>
      <c r="B50" s="100">
        <v>3.1</v>
      </c>
      <c r="C50" s="100">
        <v>5.0199999999999996</v>
      </c>
      <c r="D50" s="100">
        <v>2.02</v>
      </c>
      <c r="E50" s="100">
        <v>5.2</v>
      </c>
      <c r="F50" s="100">
        <v>1.94</v>
      </c>
      <c r="G50" s="100">
        <v>4.75</v>
      </c>
      <c r="H50" s="100">
        <v>2.5099999999999998</v>
      </c>
      <c r="I50" s="100">
        <v>4.53</v>
      </c>
      <c r="J50" s="100">
        <v>0.75</v>
      </c>
      <c r="K50" s="100">
        <v>263.60000000000002</v>
      </c>
      <c r="L50" s="100">
        <v>24.11</v>
      </c>
      <c r="M50" s="100">
        <v>100.13</v>
      </c>
      <c r="N50" s="100">
        <v>33.1</v>
      </c>
      <c r="O50" s="100">
        <v>1.2</v>
      </c>
      <c r="P50" s="100">
        <v>0.15</v>
      </c>
      <c r="Q50" s="151" t="s">
        <v>8</v>
      </c>
      <c r="R50" s="6"/>
      <c r="S50" s="6"/>
      <c r="T50" s="156"/>
      <c r="U50" s="6"/>
    </row>
    <row r="51" spans="1:21" customFormat="1">
      <c r="A51" s="163" t="s">
        <v>762</v>
      </c>
      <c r="B51" s="100">
        <v>3.08</v>
      </c>
      <c r="C51" s="100">
        <v>5.0199999999999996</v>
      </c>
      <c r="D51" s="100">
        <v>2.0299999999999998</v>
      </c>
      <c r="E51" s="100">
        <v>5.23</v>
      </c>
      <c r="F51" s="100">
        <v>1.96</v>
      </c>
      <c r="G51" s="100">
        <v>10.17</v>
      </c>
      <c r="H51" s="100">
        <v>2.0699999999999998</v>
      </c>
      <c r="I51" s="100">
        <v>4.45</v>
      </c>
      <c r="J51" s="100">
        <v>0.86</v>
      </c>
      <c r="K51" s="100">
        <v>258.66000000000003</v>
      </c>
      <c r="L51" s="100">
        <v>24.13</v>
      </c>
      <c r="M51" s="100">
        <v>100.13</v>
      </c>
      <c r="N51" s="100">
        <v>33.299999999999997</v>
      </c>
      <c r="O51" s="100">
        <v>1</v>
      </c>
      <c r="P51" s="100">
        <v>0.15</v>
      </c>
      <c r="Q51" s="151" t="s">
        <v>8</v>
      </c>
      <c r="R51" s="6"/>
      <c r="S51" s="6"/>
      <c r="T51" s="156"/>
      <c r="U51" s="6"/>
    </row>
    <row r="52" spans="1:21" customFormat="1">
      <c r="A52" s="163" t="s">
        <v>763</v>
      </c>
      <c r="B52" s="100">
        <v>3.05</v>
      </c>
      <c r="C52" s="100">
        <v>5.01</v>
      </c>
      <c r="D52" s="100">
        <v>2.0499999999999998</v>
      </c>
      <c r="E52" s="100">
        <v>5.3</v>
      </c>
      <c r="F52" s="100">
        <v>1.83</v>
      </c>
      <c r="G52" s="100">
        <v>10.62</v>
      </c>
      <c r="H52" s="100">
        <v>2.0699999999999998</v>
      </c>
      <c r="I52" s="100">
        <v>4.4400000000000004</v>
      </c>
      <c r="J52" s="100">
        <v>0.78</v>
      </c>
      <c r="K52" s="100">
        <v>270.35000000000002</v>
      </c>
      <c r="L52" s="100">
        <v>24.18</v>
      </c>
      <c r="M52" s="100">
        <v>100.13</v>
      </c>
      <c r="N52" s="100">
        <v>38.1</v>
      </c>
      <c r="O52" s="100">
        <v>1.6</v>
      </c>
      <c r="P52" s="100">
        <v>0.16</v>
      </c>
      <c r="Q52" s="151" t="s">
        <v>8</v>
      </c>
      <c r="R52" s="6"/>
      <c r="S52" s="6"/>
      <c r="T52" s="156"/>
      <c r="U52" s="6"/>
    </row>
    <row r="53" spans="1:21" customFormat="1">
      <c r="A53" s="163" t="s">
        <v>764</v>
      </c>
      <c r="B53" s="100">
        <v>3.03</v>
      </c>
      <c r="C53" s="100">
        <v>5.03</v>
      </c>
      <c r="D53" s="100">
        <v>2.0699999999999998</v>
      </c>
      <c r="E53" s="100">
        <v>5.13</v>
      </c>
      <c r="F53" s="100">
        <v>2</v>
      </c>
      <c r="G53" s="100">
        <v>10.62</v>
      </c>
      <c r="H53" s="100">
        <v>2.0699999999999998</v>
      </c>
      <c r="I53" s="100">
        <v>4.59</v>
      </c>
      <c r="J53" s="100">
        <v>0.86</v>
      </c>
      <c r="K53" s="100">
        <v>264.88</v>
      </c>
      <c r="L53" s="100">
        <v>24.19</v>
      </c>
      <c r="M53" s="100">
        <v>100.13</v>
      </c>
      <c r="N53" s="100">
        <v>47.2</v>
      </c>
      <c r="O53" s="100">
        <v>3.8</v>
      </c>
      <c r="P53" s="100">
        <v>0.18</v>
      </c>
      <c r="Q53" s="151" t="s">
        <v>8</v>
      </c>
      <c r="R53" s="6"/>
      <c r="S53" s="6"/>
      <c r="T53" s="156"/>
      <c r="U53" s="6"/>
    </row>
    <row r="54" spans="1:21" customFormat="1">
      <c r="A54" s="163" t="s">
        <v>765</v>
      </c>
      <c r="B54" s="100">
        <v>3.03</v>
      </c>
      <c r="C54" s="100">
        <v>5.05</v>
      </c>
      <c r="D54" s="100">
        <v>2.09</v>
      </c>
      <c r="E54" s="100">
        <v>5.12</v>
      </c>
      <c r="F54" s="100">
        <v>1.68</v>
      </c>
      <c r="G54" s="100">
        <v>10.62</v>
      </c>
      <c r="H54" s="100">
        <v>2.0699999999999998</v>
      </c>
      <c r="I54" s="100">
        <v>4.92</v>
      </c>
      <c r="J54" s="100">
        <v>0.83</v>
      </c>
      <c r="K54" s="100">
        <v>261.88</v>
      </c>
      <c r="L54" s="100">
        <v>24.23</v>
      </c>
      <c r="M54" s="100">
        <v>100.13</v>
      </c>
      <c r="N54" s="100">
        <v>66.3</v>
      </c>
      <c r="O54" s="100">
        <v>1</v>
      </c>
      <c r="P54" s="100">
        <v>0.21</v>
      </c>
      <c r="Q54" s="151" t="s">
        <v>8</v>
      </c>
      <c r="R54" s="6"/>
      <c r="S54" s="6"/>
      <c r="T54" s="156"/>
      <c r="U54" s="6"/>
    </row>
    <row r="55" spans="1:21" customFormat="1">
      <c r="A55" s="163" t="s">
        <v>766</v>
      </c>
      <c r="B55" s="100">
        <v>3.07</v>
      </c>
      <c r="C55" s="100">
        <v>5.09</v>
      </c>
      <c r="D55" s="100">
        <v>2.1</v>
      </c>
      <c r="E55" s="100">
        <v>5.33</v>
      </c>
      <c r="F55" s="100">
        <v>1.94</v>
      </c>
      <c r="G55" s="100">
        <v>14.19</v>
      </c>
      <c r="H55" s="100">
        <v>3.59</v>
      </c>
      <c r="I55" s="100">
        <v>5.38</v>
      </c>
      <c r="J55" s="100">
        <v>1.01</v>
      </c>
      <c r="K55" s="100">
        <v>261.08999999999997</v>
      </c>
      <c r="L55" s="100">
        <v>24.29</v>
      </c>
      <c r="M55" s="100">
        <v>100.13</v>
      </c>
      <c r="N55" s="100">
        <v>84.9</v>
      </c>
      <c r="O55" s="100">
        <v>0.4</v>
      </c>
      <c r="P55" s="100">
        <v>0.22</v>
      </c>
      <c r="Q55" s="151" t="s">
        <v>8</v>
      </c>
      <c r="R55" s="6"/>
      <c r="S55" s="6"/>
      <c r="T55" s="156"/>
      <c r="U55" s="6"/>
    </row>
    <row r="56" spans="1:21" customFormat="1">
      <c r="A56" s="163" t="s">
        <v>767</v>
      </c>
      <c r="B56" s="100">
        <v>3.08</v>
      </c>
      <c r="C56" s="100">
        <v>5.12</v>
      </c>
      <c r="D56" s="100">
        <v>2.11</v>
      </c>
      <c r="E56" s="100">
        <v>5.09</v>
      </c>
      <c r="F56" s="100">
        <v>2.21</v>
      </c>
      <c r="G56" s="100">
        <v>14.49</v>
      </c>
      <c r="H56" s="100">
        <v>3.59</v>
      </c>
      <c r="I56" s="100">
        <v>6.13</v>
      </c>
      <c r="J56" s="100">
        <v>1.06</v>
      </c>
      <c r="K56" s="100">
        <v>261.83999999999997</v>
      </c>
      <c r="L56" s="100">
        <v>24.37</v>
      </c>
      <c r="M56" s="100">
        <v>100.13</v>
      </c>
      <c r="N56" s="100">
        <v>90.9</v>
      </c>
      <c r="O56" s="100">
        <v>0</v>
      </c>
      <c r="P56" s="100">
        <v>0.23</v>
      </c>
      <c r="Q56" s="151" t="s">
        <v>8</v>
      </c>
      <c r="R56" s="6"/>
      <c r="S56" s="6"/>
      <c r="T56" s="156"/>
      <c r="U56" s="6"/>
    </row>
    <row r="57" spans="1:21" customFormat="1">
      <c r="A57" s="163" t="s">
        <v>768</v>
      </c>
      <c r="B57" s="100">
        <v>3.07</v>
      </c>
      <c r="C57" s="100">
        <v>5.0999999999999996</v>
      </c>
      <c r="D57" s="100">
        <v>2.11</v>
      </c>
      <c r="E57" s="100">
        <v>5.33</v>
      </c>
      <c r="F57" s="100">
        <v>1.92</v>
      </c>
      <c r="G57" s="100">
        <v>14.49</v>
      </c>
      <c r="H57" s="100">
        <v>3.59</v>
      </c>
      <c r="I57" s="100">
        <v>6.41</v>
      </c>
      <c r="J57" s="100">
        <v>1.0900000000000001</v>
      </c>
      <c r="K57" s="100">
        <v>262.51</v>
      </c>
      <c r="L57" s="100">
        <v>24.51</v>
      </c>
      <c r="M57" s="100">
        <v>100.13</v>
      </c>
      <c r="N57" s="100">
        <v>102.8</v>
      </c>
      <c r="O57" s="100">
        <v>0</v>
      </c>
      <c r="P57" s="100">
        <v>0.22</v>
      </c>
      <c r="Q57" s="151" t="s">
        <v>8</v>
      </c>
      <c r="R57" s="6"/>
      <c r="S57" s="6"/>
      <c r="T57" s="156"/>
      <c r="U57" s="6"/>
    </row>
    <row r="58" spans="1:21" customFormat="1">
      <c r="A58" s="163" t="s">
        <v>769</v>
      </c>
      <c r="B58" s="100">
        <v>3.04</v>
      </c>
      <c r="C58" s="100">
        <v>5.07</v>
      </c>
      <c r="D58" s="100">
        <v>2.1</v>
      </c>
      <c r="E58" s="100">
        <v>5.38</v>
      </c>
      <c r="F58" s="100">
        <v>1.93</v>
      </c>
      <c r="G58" s="100">
        <v>14.49</v>
      </c>
      <c r="H58" s="100">
        <v>3.59</v>
      </c>
      <c r="I58" s="100">
        <v>6.52</v>
      </c>
      <c r="J58" s="100">
        <v>0.83</v>
      </c>
      <c r="K58" s="100">
        <v>264.39</v>
      </c>
      <c r="L58" s="100">
        <v>24.76</v>
      </c>
      <c r="M58" s="100">
        <v>100.13</v>
      </c>
      <c r="N58" s="100">
        <v>115.5</v>
      </c>
      <c r="O58" s="100">
        <v>0</v>
      </c>
      <c r="P58" s="100">
        <v>0.22</v>
      </c>
      <c r="Q58" s="151" t="s">
        <v>8</v>
      </c>
      <c r="R58" s="6"/>
      <c r="S58" s="6"/>
      <c r="T58" s="156"/>
      <c r="U58" s="6"/>
    </row>
    <row r="59" spans="1:21" customFormat="1">
      <c r="A59" s="163" t="s">
        <v>770</v>
      </c>
      <c r="B59" s="100">
        <v>3.02</v>
      </c>
      <c r="C59" s="100">
        <v>5.04</v>
      </c>
      <c r="D59" s="100">
        <v>2.08</v>
      </c>
      <c r="E59" s="100">
        <v>5.51</v>
      </c>
      <c r="F59" s="100">
        <v>1.44</v>
      </c>
      <c r="G59" s="100">
        <v>12.61</v>
      </c>
      <c r="H59" s="100">
        <v>6.95</v>
      </c>
      <c r="I59" s="100">
        <v>6.35</v>
      </c>
      <c r="J59" s="100">
        <v>0.86</v>
      </c>
      <c r="K59" s="100">
        <v>261.43</v>
      </c>
      <c r="L59" s="100">
        <v>25.01</v>
      </c>
      <c r="M59" s="100">
        <v>100.13</v>
      </c>
      <c r="N59" s="100">
        <v>139.4</v>
      </c>
      <c r="O59" s="100">
        <v>0</v>
      </c>
      <c r="P59" s="100">
        <v>0.21</v>
      </c>
      <c r="Q59" s="151" t="s">
        <v>8</v>
      </c>
      <c r="R59" s="6"/>
      <c r="S59" s="6"/>
      <c r="T59" s="156"/>
      <c r="U59" s="6"/>
    </row>
    <row r="60" spans="1:21" customFormat="1">
      <c r="A60" s="163" t="s">
        <v>771</v>
      </c>
      <c r="B60" s="100">
        <v>2.99</v>
      </c>
      <c r="C60" s="100">
        <v>4.99</v>
      </c>
      <c r="D60" s="100">
        <v>2.0699999999999998</v>
      </c>
      <c r="E60" s="100">
        <v>5.65</v>
      </c>
      <c r="F60" s="100">
        <v>1.69</v>
      </c>
      <c r="G60" s="100">
        <v>12.45</v>
      </c>
      <c r="H60" s="100">
        <v>6.95</v>
      </c>
      <c r="I60" s="100">
        <v>6.21</v>
      </c>
      <c r="J60" s="100">
        <v>1.06</v>
      </c>
      <c r="K60" s="100">
        <v>265.70999999999998</v>
      </c>
      <c r="L60" s="100">
        <v>25.32</v>
      </c>
      <c r="M60" s="100">
        <v>100.13</v>
      </c>
      <c r="N60" s="100">
        <v>167.2</v>
      </c>
      <c r="O60" s="100">
        <v>0</v>
      </c>
      <c r="P60" s="100">
        <v>0.21</v>
      </c>
      <c r="Q60" s="151" t="s">
        <v>8</v>
      </c>
      <c r="R60" s="6"/>
      <c r="S60" s="6"/>
      <c r="T60" s="156"/>
      <c r="U60" s="6"/>
    </row>
    <row r="61" spans="1:21" customFormat="1">
      <c r="A61" s="163" t="s">
        <v>772</v>
      </c>
      <c r="B61" s="100">
        <v>2.96</v>
      </c>
      <c r="C61" s="100">
        <v>4.9800000000000004</v>
      </c>
      <c r="D61" s="100">
        <v>2.0699999999999998</v>
      </c>
      <c r="E61" s="100">
        <v>5.23</v>
      </c>
      <c r="F61" s="100">
        <v>1.9</v>
      </c>
      <c r="G61" s="100">
        <v>12.45</v>
      </c>
      <c r="H61" s="100">
        <v>6.95</v>
      </c>
      <c r="I61" s="100">
        <v>6.05</v>
      </c>
      <c r="J61" s="100">
        <v>0.83</v>
      </c>
      <c r="K61" s="100">
        <v>264.43</v>
      </c>
      <c r="L61" s="100">
        <v>25.58</v>
      </c>
      <c r="M61" s="100">
        <v>100.13</v>
      </c>
      <c r="N61" s="100">
        <v>172.7</v>
      </c>
      <c r="O61" s="100">
        <v>0</v>
      </c>
      <c r="P61" s="100">
        <v>0.22</v>
      </c>
      <c r="Q61" s="151" t="s">
        <v>8</v>
      </c>
      <c r="R61" s="6"/>
      <c r="S61" s="6"/>
      <c r="T61" s="156"/>
      <c r="U61" s="6"/>
    </row>
    <row r="62" spans="1:21" customFormat="1">
      <c r="A62" s="163" t="s">
        <v>773</v>
      </c>
      <c r="B62" s="100">
        <v>2.96</v>
      </c>
      <c r="C62" s="100">
        <v>4.9800000000000004</v>
      </c>
      <c r="D62" s="100">
        <v>2.08</v>
      </c>
      <c r="E62" s="100">
        <v>5.48</v>
      </c>
      <c r="F62" s="100">
        <v>2.12</v>
      </c>
      <c r="G62" s="100">
        <v>12.45</v>
      </c>
      <c r="H62" s="100">
        <v>6.95</v>
      </c>
      <c r="I62" s="100">
        <v>5.92</v>
      </c>
      <c r="J62" s="100">
        <v>0.88</v>
      </c>
      <c r="K62" s="100">
        <v>260.73</v>
      </c>
      <c r="L62" s="100">
        <v>25.72</v>
      </c>
      <c r="M62" s="100">
        <v>100.13</v>
      </c>
      <c r="N62" s="100">
        <v>128.19999999999999</v>
      </c>
      <c r="O62" s="100">
        <v>0</v>
      </c>
      <c r="P62" s="100">
        <v>0.22</v>
      </c>
      <c r="Q62" s="151" t="s">
        <v>8</v>
      </c>
      <c r="R62" s="6"/>
      <c r="S62" s="6"/>
      <c r="T62" s="156"/>
      <c r="U62" s="6"/>
    </row>
    <row r="63" spans="1:21" customFormat="1">
      <c r="A63" s="163" t="s">
        <v>774</v>
      </c>
      <c r="B63" s="100">
        <v>2.95</v>
      </c>
      <c r="C63" s="100">
        <v>4.9800000000000004</v>
      </c>
      <c r="D63" s="100">
        <v>2.08</v>
      </c>
      <c r="E63" s="100">
        <v>5.62</v>
      </c>
      <c r="F63" s="100">
        <v>2.4300000000000002</v>
      </c>
      <c r="G63" s="100">
        <v>9.14</v>
      </c>
      <c r="H63" s="100">
        <v>4.9000000000000004</v>
      </c>
      <c r="I63" s="100">
        <v>5.84</v>
      </c>
      <c r="J63" s="100">
        <v>0.6</v>
      </c>
      <c r="K63" s="100">
        <v>268.43</v>
      </c>
      <c r="L63" s="100">
        <v>25.76</v>
      </c>
      <c r="M63" s="100">
        <v>99.29</v>
      </c>
      <c r="N63" s="100">
        <v>96.8</v>
      </c>
      <c r="O63" s="100">
        <v>0</v>
      </c>
      <c r="P63" s="100">
        <v>0.21</v>
      </c>
      <c r="Q63" s="151" t="s">
        <v>8</v>
      </c>
      <c r="R63" s="6"/>
      <c r="S63" s="6"/>
      <c r="T63" s="156"/>
      <c r="U63" s="6"/>
    </row>
    <row r="64" spans="1:21" customFormat="1">
      <c r="A64" s="163" t="s">
        <v>775</v>
      </c>
      <c r="B64" s="100">
        <v>2.94</v>
      </c>
      <c r="C64" s="100">
        <v>4.9800000000000004</v>
      </c>
      <c r="D64" s="100">
        <v>2.09</v>
      </c>
      <c r="E64" s="100">
        <v>5.48</v>
      </c>
      <c r="F64" s="100">
        <v>2.0699999999999998</v>
      </c>
      <c r="G64" s="100">
        <v>8.86</v>
      </c>
      <c r="H64" s="100">
        <v>4.9000000000000004</v>
      </c>
      <c r="I64" s="100">
        <v>5.83</v>
      </c>
      <c r="J64" s="100">
        <v>0.76</v>
      </c>
      <c r="K64" s="100">
        <v>260.19</v>
      </c>
      <c r="L64" s="100">
        <v>25.88</v>
      </c>
      <c r="M64" s="100">
        <v>96.45</v>
      </c>
      <c r="N64" s="100">
        <v>113.2</v>
      </c>
      <c r="O64" s="100">
        <v>0</v>
      </c>
      <c r="P64" s="100">
        <v>0.24</v>
      </c>
      <c r="Q64" s="151" t="s">
        <v>8</v>
      </c>
      <c r="R64" s="6"/>
      <c r="S64" s="6"/>
      <c r="T64" s="156"/>
      <c r="U64" s="6"/>
    </row>
    <row r="65" spans="1:21" customFormat="1">
      <c r="A65" s="163" t="s">
        <v>776</v>
      </c>
      <c r="B65" s="100">
        <v>2.94</v>
      </c>
      <c r="C65" s="100">
        <v>4.99</v>
      </c>
      <c r="D65" s="100">
        <v>2.1</v>
      </c>
      <c r="E65" s="100">
        <v>6.02</v>
      </c>
      <c r="F65" s="100">
        <v>1.56</v>
      </c>
      <c r="G65" s="100">
        <v>8.86</v>
      </c>
      <c r="H65" s="100">
        <v>4.9000000000000004</v>
      </c>
      <c r="I65" s="100">
        <v>5.92</v>
      </c>
      <c r="J65" s="100">
        <v>0.69</v>
      </c>
      <c r="K65" s="100">
        <v>258.45</v>
      </c>
      <c r="L65" s="100">
        <v>25.96</v>
      </c>
      <c r="M65" s="100">
        <v>95.5</v>
      </c>
      <c r="N65" s="100">
        <v>119.5</v>
      </c>
      <c r="O65" s="100">
        <v>0</v>
      </c>
      <c r="P65" s="100">
        <v>0.24</v>
      </c>
      <c r="Q65" s="151" t="s">
        <v>8</v>
      </c>
      <c r="R65" s="6"/>
      <c r="S65" s="6"/>
      <c r="T65" s="156"/>
      <c r="U65" s="6"/>
    </row>
    <row r="66" spans="1:21" customFormat="1">
      <c r="A66" s="163" t="s">
        <v>777</v>
      </c>
      <c r="B66" s="100">
        <v>2.94</v>
      </c>
      <c r="C66" s="100">
        <v>4.99</v>
      </c>
      <c r="D66" s="100">
        <v>2.1</v>
      </c>
      <c r="E66" s="100">
        <v>5.78</v>
      </c>
      <c r="F66" s="100">
        <v>1.39</v>
      </c>
      <c r="G66" s="100">
        <v>8.86</v>
      </c>
      <c r="H66" s="100">
        <v>4.9000000000000004</v>
      </c>
      <c r="I66" s="100">
        <v>6.13</v>
      </c>
      <c r="J66" s="100">
        <v>0.73</v>
      </c>
      <c r="K66" s="100">
        <v>261.13</v>
      </c>
      <c r="L66" s="100">
        <v>26.19</v>
      </c>
      <c r="M66" s="100">
        <v>93.95</v>
      </c>
      <c r="N66" s="100">
        <v>144.30000000000001</v>
      </c>
      <c r="O66" s="100">
        <v>0.2</v>
      </c>
      <c r="P66" s="100">
        <v>0.27</v>
      </c>
      <c r="Q66" s="151" t="s">
        <v>8</v>
      </c>
      <c r="R66" s="6"/>
      <c r="S66" s="6"/>
      <c r="T66" s="156"/>
      <c r="U66" s="6"/>
    </row>
    <row r="67" spans="1:21" customFormat="1">
      <c r="A67" s="163" t="s">
        <v>778</v>
      </c>
      <c r="B67" s="100">
        <v>2.93</v>
      </c>
      <c r="C67" s="100">
        <v>4.9800000000000004</v>
      </c>
      <c r="D67" s="100">
        <v>2.1</v>
      </c>
      <c r="E67" s="100">
        <v>5.65</v>
      </c>
      <c r="F67" s="100">
        <v>1.9</v>
      </c>
      <c r="G67" s="100">
        <v>13.29</v>
      </c>
      <c r="H67" s="100">
        <v>6.85</v>
      </c>
      <c r="I67" s="100">
        <v>6.49</v>
      </c>
      <c r="J67" s="100">
        <v>0.84</v>
      </c>
      <c r="K67" s="100">
        <v>258.58</v>
      </c>
      <c r="L67" s="100">
        <v>26.38</v>
      </c>
      <c r="M67" s="100">
        <v>92.35</v>
      </c>
      <c r="N67" s="100">
        <v>136.69999999999999</v>
      </c>
      <c r="O67" s="100">
        <v>0</v>
      </c>
      <c r="P67" s="100">
        <v>0.28999999999999998</v>
      </c>
      <c r="Q67" s="151" t="s">
        <v>8</v>
      </c>
      <c r="R67" s="6"/>
      <c r="S67" s="6"/>
      <c r="T67" s="156"/>
      <c r="U67" s="6"/>
    </row>
    <row r="68" spans="1:21" customFormat="1">
      <c r="A68" s="163" t="s">
        <v>779</v>
      </c>
      <c r="B68" s="100">
        <v>2.93</v>
      </c>
      <c r="C68" s="100">
        <v>4.97</v>
      </c>
      <c r="D68" s="100">
        <v>2.09</v>
      </c>
      <c r="E68" s="100">
        <v>5.86</v>
      </c>
      <c r="F68" s="100">
        <v>2.36</v>
      </c>
      <c r="G68" s="100">
        <v>13.66</v>
      </c>
      <c r="H68" s="100">
        <v>6.85</v>
      </c>
      <c r="I68" s="100">
        <v>6.91</v>
      </c>
      <c r="J68" s="100">
        <v>0.85</v>
      </c>
      <c r="K68" s="100">
        <v>265.62</v>
      </c>
      <c r="L68" s="100">
        <v>26.32</v>
      </c>
      <c r="M68" s="100">
        <v>91.8</v>
      </c>
      <c r="N68" s="100">
        <v>119.1</v>
      </c>
      <c r="O68" s="100">
        <v>0</v>
      </c>
      <c r="P68" s="100">
        <v>0.31</v>
      </c>
      <c r="Q68" s="151" t="s">
        <v>8</v>
      </c>
      <c r="R68" s="6"/>
      <c r="S68" s="6"/>
      <c r="T68" s="156"/>
      <c r="U68" s="6"/>
    </row>
    <row r="69" spans="1:21" customFormat="1">
      <c r="A69" s="163" t="s">
        <v>780</v>
      </c>
      <c r="B69" s="100">
        <v>2.92</v>
      </c>
      <c r="C69" s="100">
        <v>4.9800000000000004</v>
      </c>
      <c r="D69" s="100">
        <v>2.11</v>
      </c>
      <c r="E69" s="100">
        <v>6.08</v>
      </c>
      <c r="F69" s="100">
        <v>1.76</v>
      </c>
      <c r="G69" s="100">
        <v>13.66</v>
      </c>
      <c r="H69" s="100">
        <v>6.85</v>
      </c>
      <c r="I69" s="100">
        <v>7.28</v>
      </c>
      <c r="J69" s="100">
        <v>0.84</v>
      </c>
      <c r="K69" s="100">
        <v>264.27</v>
      </c>
      <c r="L69" s="100">
        <v>26.42</v>
      </c>
      <c r="M69" s="100">
        <v>91.16</v>
      </c>
      <c r="N69" s="100">
        <v>111.8</v>
      </c>
      <c r="O69" s="100">
        <v>0</v>
      </c>
      <c r="P69" s="100">
        <v>0.32</v>
      </c>
      <c r="Q69" s="151" t="s">
        <v>8</v>
      </c>
      <c r="R69" s="6"/>
      <c r="S69" s="6"/>
      <c r="T69" s="156"/>
      <c r="U69" s="6"/>
    </row>
    <row r="70" spans="1:21" customFormat="1">
      <c r="A70" s="163" t="s">
        <v>781</v>
      </c>
      <c r="B70" s="100">
        <v>2.97</v>
      </c>
      <c r="C70" s="100">
        <v>5</v>
      </c>
      <c r="D70" s="100">
        <v>2.08</v>
      </c>
      <c r="E70" s="100">
        <v>5.93</v>
      </c>
      <c r="F70" s="100">
        <v>2.52</v>
      </c>
      <c r="G70" s="100">
        <v>13.66</v>
      </c>
      <c r="H70" s="100">
        <v>6.85</v>
      </c>
      <c r="I70" s="100">
        <v>7.7</v>
      </c>
      <c r="J70" s="100">
        <v>0.73</v>
      </c>
      <c r="K70" s="100">
        <v>262.99</v>
      </c>
      <c r="L70" s="100">
        <v>26.35</v>
      </c>
      <c r="M70" s="100">
        <v>91.21</v>
      </c>
      <c r="N70" s="100">
        <v>69.3</v>
      </c>
      <c r="O70" s="100">
        <v>0</v>
      </c>
      <c r="P70" s="100">
        <v>0.31</v>
      </c>
      <c r="Q70" s="151" t="s">
        <v>8</v>
      </c>
      <c r="R70" s="6"/>
      <c r="S70" s="6"/>
      <c r="T70" s="156"/>
      <c r="U70" s="6"/>
    </row>
    <row r="71" spans="1:21" customFormat="1">
      <c r="A71" s="163" t="s">
        <v>782</v>
      </c>
      <c r="B71" s="100">
        <v>3.02</v>
      </c>
      <c r="C71" s="100">
        <v>5.03</v>
      </c>
      <c r="D71" s="100">
        <v>2.08</v>
      </c>
      <c r="E71" s="100">
        <v>5.66</v>
      </c>
      <c r="F71" s="100">
        <v>3.12</v>
      </c>
      <c r="G71" s="100">
        <v>18.809999999999999</v>
      </c>
      <c r="H71" s="100">
        <v>8.69</v>
      </c>
      <c r="I71" s="100">
        <v>8.0299999999999994</v>
      </c>
      <c r="J71" s="100">
        <v>0.69</v>
      </c>
      <c r="K71" s="100">
        <v>258.10000000000002</v>
      </c>
      <c r="L71" s="100">
        <v>26.28</v>
      </c>
      <c r="M71" s="100">
        <v>91.72</v>
      </c>
      <c r="N71" s="100">
        <v>46.8</v>
      </c>
      <c r="O71" s="100">
        <v>0</v>
      </c>
      <c r="P71" s="100">
        <v>0.31</v>
      </c>
      <c r="Q71" s="151" t="s">
        <v>8</v>
      </c>
      <c r="R71" s="6"/>
      <c r="S71" s="6"/>
      <c r="T71" s="156"/>
      <c r="U71" s="6"/>
    </row>
    <row r="72" spans="1:21" customFormat="1">
      <c r="A72" s="163" t="s">
        <v>783</v>
      </c>
      <c r="B72" s="100">
        <v>3.01</v>
      </c>
      <c r="C72" s="100">
        <v>4.97</v>
      </c>
      <c r="D72" s="100">
        <v>2.0299999999999998</v>
      </c>
      <c r="E72" s="100">
        <v>5.52</v>
      </c>
      <c r="F72" s="100">
        <v>1.64</v>
      </c>
      <c r="G72" s="100">
        <v>19.239999999999998</v>
      </c>
      <c r="H72" s="100">
        <v>8.69</v>
      </c>
      <c r="I72" s="100">
        <v>8.33</v>
      </c>
      <c r="J72" s="100">
        <v>0.77</v>
      </c>
      <c r="K72" s="100">
        <v>257.86</v>
      </c>
      <c r="L72" s="100">
        <v>26.18</v>
      </c>
      <c r="M72" s="100">
        <v>91.79</v>
      </c>
      <c r="N72" s="100">
        <v>33.700000000000003</v>
      </c>
      <c r="O72" s="100">
        <v>0</v>
      </c>
      <c r="P72" s="100">
        <v>0.32</v>
      </c>
      <c r="Q72" s="151" t="s">
        <v>8</v>
      </c>
      <c r="R72" s="6"/>
      <c r="S72" s="6"/>
      <c r="T72" s="156"/>
      <c r="U72" s="6"/>
    </row>
    <row r="73" spans="1:21" customFormat="1">
      <c r="A73" s="163" t="s">
        <v>784</v>
      </c>
      <c r="B73" s="100">
        <v>3.03</v>
      </c>
      <c r="C73" s="100">
        <v>4.9400000000000004</v>
      </c>
      <c r="D73" s="100">
        <v>2</v>
      </c>
      <c r="E73" s="100">
        <v>5.47</v>
      </c>
      <c r="F73" s="100">
        <v>2.3199999999999998</v>
      </c>
      <c r="G73" s="100">
        <v>19.239999999999998</v>
      </c>
      <c r="H73" s="100">
        <v>8.69</v>
      </c>
      <c r="I73" s="100">
        <v>8.5399999999999991</v>
      </c>
      <c r="J73" s="100">
        <v>0.86</v>
      </c>
      <c r="K73" s="100">
        <v>261.12</v>
      </c>
      <c r="L73" s="100">
        <v>26.21</v>
      </c>
      <c r="M73" s="100">
        <v>90.94</v>
      </c>
      <c r="N73" s="100">
        <v>49.1</v>
      </c>
      <c r="O73" s="100">
        <v>0</v>
      </c>
      <c r="P73" s="100">
        <v>0.3</v>
      </c>
      <c r="Q73" s="151" t="s">
        <v>8</v>
      </c>
      <c r="R73" s="6"/>
      <c r="S73" s="6"/>
      <c r="T73" s="156"/>
      <c r="U73" s="6"/>
    </row>
    <row r="74" spans="1:21" customFormat="1">
      <c r="A74" s="163" t="s">
        <v>785</v>
      </c>
      <c r="B74" s="100">
        <v>3.05</v>
      </c>
      <c r="C74" s="100">
        <v>4.95</v>
      </c>
      <c r="D74" s="100">
        <v>2</v>
      </c>
      <c r="E74" s="100">
        <v>5.26</v>
      </c>
      <c r="F74" s="100">
        <v>2.62</v>
      </c>
      <c r="G74" s="100">
        <v>19.239999999999998</v>
      </c>
      <c r="H74" s="100">
        <v>8.69</v>
      </c>
      <c r="I74" s="100">
        <v>8.42</v>
      </c>
      <c r="J74" s="100">
        <v>0.71</v>
      </c>
      <c r="K74" s="100">
        <v>268.64999999999998</v>
      </c>
      <c r="L74" s="100">
        <v>26.21</v>
      </c>
      <c r="M74" s="100">
        <v>90.72</v>
      </c>
      <c r="N74" s="100">
        <v>30.4</v>
      </c>
      <c r="O74" s="100">
        <v>0.6</v>
      </c>
      <c r="P74" s="100">
        <v>0.3</v>
      </c>
      <c r="Q74" s="151" t="s">
        <v>8</v>
      </c>
      <c r="R74" s="6"/>
      <c r="S74" s="6"/>
      <c r="T74" s="156"/>
      <c r="U74" s="6"/>
    </row>
    <row r="75" spans="1:21" customFormat="1">
      <c r="A75" s="163" t="s">
        <v>786</v>
      </c>
      <c r="B75" s="100">
        <v>3.05</v>
      </c>
      <c r="C75" s="100">
        <v>4.9800000000000004</v>
      </c>
      <c r="D75" s="100">
        <v>2.02</v>
      </c>
      <c r="E75" s="100">
        <v>5.33</v>
      </c>
      <c r="F75" s="100">
        <v>1.71</v>
      </c>
      <c r="G75" s="100">
        <v>20.22</v>
      </c>
      <c r="H75" s="100">
        <v>8.7100000000000009</v>
      </c>
      <c r="I75" s="100">
        <v>8.33</v>
      </c>
      <c r="J75" s="100">
        <v>0.59</v>
      </c>
      <c r="K75" s="100">
        <v>266.77999999999997</v>
      </c>
      <c r="L75" s="100">
        <v>25.55</v>
      </c>
      <c r="M75" s="100">
        <v>95.36</v>
      </c>
      <c r="N75" s="100">
        <v>35.4</v>
      </c>
      <c r="O75" s="100">
        <v>0</v>
      </c>
      <c r="P75" s="100">
        <v>0.32</v>
      </c>
      <c r="Q75" s="151" t="s">
        <v>8</v>
      </c>
      <c r="R75" s="6"/>
      <c r="S75" s="6"/>
      <c r="T75" s="156"/>
      <c r="U75" s="6"/>
    </row>
    <row r="76" spans="1:21" customFormat="1">
      <c r="A76" s="163" t="s">
        <v>787</v>
      </c>
      <c r="B76" s="100">
        <v>3.09</v>
      </c>
      <c r="C76" s="100">
        <v>5.03</v>
      </c>
      <c r="D76" s="100">
        <v>2.04</v>
      </c>
      <c r="E76" s="100">
        <v>5.27</v>
      </c>
      <c r="F76" s="100">
        <v>1.37</v>
      </c>
      <c r="G76" s="100">
        <v>20.3</v>
      </c>
      <c r="H76" s="100">
        <v>8.7100000000000009</v>
      </c>
      <c r="I76" s="100">
        <v>8.33</v>
      </c>
      <c r="J76" s="100">
        <v>0.56000000000000005</v>
      </c>
      <c r="K76" s="100">
        <v>260.20999999999998</v>
      </c>
      <c r="L76" s="100">
        <v>25.48</v>
      </c>
      <c r="M76" s="100">
        <v>96.32</v>
      </c>
      <c r="N76" s="100">
        <v>58.9</v>
      </c>
      <c r="O76" s="100">
        <v>0</v>
      </c>
      <c r="P76" s="100">
        <v>0.32</v>
      </c>
      <c r="Q76" s="151" t="s">
        <v>8</v>
      </c>
      <c r="R76" s="6"/>
      <c r="S76" s="6"/>
      <c r="T76" s="156"/>
      <c r="U76" s="6"/>
    </row>
    <row r="77" spans="1:21" customFormat="1">
      <c r="A77" s="163" t="s">
        <v>788</v>
      </c>
      <c r="B77" s="100">
        <v>3.13</v>
      </c>
      <c r="C77" s="100">
        <v>5.01</v>
      </c>
      <c r="D77" s="100">
        <v>2</v>
      </c>
      <c r="E77" s="100">
        <v>4.9800000000000004</v>
      </c>
      <c r="F77" s="100">
        <v>2.2200000000000002</v>
      </c>
      <c r="G77" s="100">
        <v>20.3</v>
      </c>
      <c r="H77" s="100">
        <v>8.7100000000000009</v>
      </c>
      <c r="I77" s="100">
        <v>8.5399999999999991</v>
      </c>
      <c r="J77" s="100">
        <v>0.59</v>
      </c>
      <c r="K77" s="100">
        <v>266.14999999999998</v>
      </c>
      <c r="L77" s="100">
        <v>25.58</v>
      </c>
      <c r="M77" s="100">
        <v>95.7</v>
      </c>
      <c r="N77" s="100">
        <v>56.9</v>
      </c>
      <c r="O77" s="100">
        <v>0</v>
      </c>
      <c r="P77" s="100">
        <v>0.33</v>
      </c>
      <c r="Q77" s="151" t="s">
        <v>8</v>
      </c>
      <c r="R77" s="6"/>
      <c r="S77" s="6"/>
      <c r="T77" s="156"/>
      <c r="U77" s="6"/>
    </row>
    <row r="78" spans="1:21" customFormat="1">
      <c r="A78" s="163" t="s">
        <v>789</v>
      </c>
      <c r="B78" s="100">
        <v>3.1</v>
      </c>
      <c r="C78" s="100">
        <v>4.99</v>
      </c>
      <c r="D78" s="100">
        <v>2</v>
      </c>
      <c r="E78" s="100">
        <v>5.0599999999999996</v>
      </c>
      <c r="F78" s="100">
        <v>1.9</v>
      </c>
      <c r="G78" s="100">
        <v>20.3</v>
      </c>
      <c r="H78" s="100">
        <v>8.7100000000000009</v>
      </c>
      <c r="I78" s="100">
        <v>8.69</v>
      </c>
      <c r="J78" s="100">
        <v>0.62</v>
      </c>
      <c r="K78" s="100">
        <v>259.60000000000002</v>
      </c>
      <c r="L78" s="100">
        <v>25.63</v>
      </c>
      <c r="M78" s="100">
        <v>94.56</v>
      </c>
      <c r="N78" s="100">
        <v>23.9</v>
      </c>
      <c r="O78" s="100">
        <v>0</v>
      </c>
      <c r="P78" s="100">
        <v>0.35</v>
      </c>
      <c r="Q78" s="151" t="s">
        <v>8</v>
      </c>
      <c r="R78" s="6"/>
      <c r="S78" s="6"/>
      <c r="T78" s="156"/>
      <c r="U78" s="6"/>
    </row>
    <row r="79" spans="1:21" customFormat="1">
      <c r="A79" s="163" t="s">
        <v>790</v>
      </c>
      <c r="B79" s="100">
        <v>3.12</v>
      </c>
      <c r="C79" s="100">
        <v>5.05</v>
      </c>
      <c r="D79" s="100">
        <v>2.0299999999999998</v>
      </c>
      <c r="E79" s="100">
        <v>5.19</v>
      </c>
      <c r="F79" s="100">
        <v>2.12</v>
      </c>
      <c r="G79" s="100">
        <v>24.84</v>
      </c>
      <c r="H79" s="100">
        <v>10.87</v>
      </c>
      <c r="I79" s="100">
        <v>8.7100000000000009</v>
      </c>
      <c r="J79" s="100">
        <v>0.69</v>
      </c>
      <c r="K79" s="100">
        <v>261.16000000000003</v>
      </c>
      <c r="L79" s="100">
        <v>25.67</v>
      </c>
      <c r="M79" s="100">
        <v>93.6</v>
      </c>
      <c r="N79" s="100">
        <v>28.6</v>
      </c>
      <c r="O79" s="100">
        <v>0</v>
      </c>
      <c r="P79" s="100">
        <v>0.34</v>
      </c>
      <c r="Q79" s="151" t="s">
        <v>8</v>
      </c>
      <c r="R79" s="6"/>
      <c r="S79" s="6"/>
      <c r="T79" s="156"/>
      <c r="U79" s="6"/>
    </row>
    <row r="80" spans="1:21" customFormat="1">
      <c r="A80" s="163" t="s">
        <v>791</v>
      </c>
      <c r="B80" s="100">
        <v>3.17</v>
      </c>
      <c r="C80" s="100">
        <v>5.04</v>
      </c>
      <c r="D80" s="100">
        <v>1.99</v>
      </c>
      <c r="E80" s="100">
        <v>5.15</v>
      </c>
      <c r="F80" s="100">
        <v>2.73</v>
      </c>
      <c r="G80" s="100">
        <v>25.22</v>
      </c>
      <c r="H80" s="100">
        <v>10.87</v>
      </c>
      <c r="I80" s="100">
        <v>8.75</v>
      </c>
      <c r="J80" s="100">
        <v>0.62</v>
      </c>
      <c r="K80" s="100">
        <v>260.26</v>
      </c>
      <c r="L80" s="100">
        <v>25.72</v>
      </c>
      <c r="M80" s="100">
        <v>92.99</v>
      </c>
      <c r="N80" s="100">
        <v>25.6</v>
      </c>
      <c r="O80" s="100">
        <v>0</v>
      </c>
      <c r="P80" s="100">
        <v>0.34</v>
      </c>
      <c r="Q80" s="151" t="s">
        <v>8</v>
      </c>
      <c r="R80" s="6"/>
      <c r="S80" s="6"/>
      <c r="T80" s="156"/>
      <c r="U80" s="6"/>
    </row>
    <row r="81" spans="1:21" customFormat="1">
      <c r="A81" s="163" t="s">
        <v>792</v>
      </c>
      <c r="B81" s="100">
        <v>3.13</v>
      </c>
      <c r="C81" s="100">
        <v>5.0199999999999996</v>
      </c>
      <c r="D81" s="100">
        <v>2</v>
      </c>
      <c r="E81" s="100">
        <v>4.3899999999999997</v>
      </c>
      <c r="F81" s="100">
        <v>0.75</v>
      </c>
      <c r="G81" s="100">
        <v>25.22</v>
      </c>
      <c r="H81" s="100">
        <v>10.87</v>
      </c>
      <c r="I81" s="100">
        <v>8.68</v>
      </c>
      <c r="J81" s="100">
        <v>0.51</v>
      </c>
      <c r="K81" s="100">
        <v>258.3</v>
      </c>
      <c r="L81" s="100">
        <v>25.71</v>
      </c>
      <c r="M81" s="100">
        <v>93.31</v>
      </c>
      <c r="N81" s="100">
        <v>16.2</v>
      </c>
      <c r="O81" s="100">
        <v>0</v>
      </c>
      <c r="P81" s="100">
        <v>0.36</v>
      </c>
      <c r="Q81" s="151" t="s">
        <v>8</v>
      </c>
      <c r="R81" s="6"/>
      <c r="S81" s="6"/>
      <c r="T81" s="156"/>
      <c r="U81" s="6"/>
    </row>
    <row r="82" spans="1:21" customFormat="1">
      <c r="A82" s="163" t="s">
        <v>793</v>
      </c>
      <c r="B82" s="100">
        <v>3.15</v>
      </c>
      <c r="C82" s="100">
        <v>5.0599999999999996</v>
      </c>
      <c r="D82" s="100">
        <v>2.0299999999999998</v>
      </c>
      <c r="E82" s="100">
        <v>5.29</v>
      </c>
      <c r="F82" s="100">
        <v>1.45</v>
      </c>
      <c r="G82" s="100">
        <v>25.22</v>
      </c>
      <c r="H82" s="100">
        <v>10.87</v>
      </c>
      <c r="I82" s="100">
        <v>8.56</v>
      </c>
      <c r="J82" s="100">
        <v>0.59</v>
      </c>
      <c r="K82" s="100">
        <v>257.48</v>
      </c>
      <c r="L82" s="100">
        <v>25.71</v>
      </c>
      <c r="M82" s="100">
        <v>93.82</v>
      </c>
      <c r="N82" s="100">
        <v>7</v>
      </c>
      <c r="O82" s="100">
        <v>0</v>
      </c>
      <c r="P82" s="100">
        <v>0.36</v>
      </c>
      <c r="Q82" s="151" t="s">
        <v>8</v>
      </c>
      <c r="R82" s="6"/>
      <c r="S82" s="6"/>
      <c r="T82" s="156"/>
      <c r="U82" s="6"/>
    </row>
    <row r="83" spans="1:21" customFormat="1">
      <c r="A83" s="163" t="s">
        <v>794</v>
      </c>
      <c r="B83" s="100">
        <v>3.14</v>
      </c>
      <c r="C83" s="100">
        <v>5.07</v>
      </c>
      <c r="D83" s="100">
        <v>2.04</v>
      </c>
      <c r="E83" s="100">
        <v>5.29</v>
      </c>
      <c r="F83" s="100">
        <v>2.5499999999999998</v>
      </c>
      <c r="G83" s="100">
        <v>26.84</v>
      </c>
      <c r="H83" s="100">
        <v>9.4</v>
      </c>
      <c r="I83" s="100">
        <v>8.56</v>
      </c>
      <c r="J83" s="100">
        <v>0.62</v>
      </c>
      <c r="K83" s="100">
        <v>258.32</v>
      </c>
      <c r="L83" s="100">
        <v>25.7</v>
      </c>
      <c r="M83" s="100">
        <v>93.75</v>
      </c>
      <c r="N83" s="100">
        <v>3.9</v>
      </c>
      <c r="O83" s="100">
        <v>0</v>
      </c>
      <c r="P83" s="100">
        <v>0.37</v>
      </c>
      <c r="Q83" s="151" t="s">
        <v>8</v>
      </c>
      <c r="R83" s="6"/>
      <c r="S83" s="6"/>
      <c r="T83" s="156"/>
      <c r="U83" s="6"/>
    </row>
    <row r="84" spans="1:21" customFormat="1">
      <c r="A84" s="163" t="s">
        <v>795</v>
      </c>
      <c r="B84" s="100">
        <v>3.14</v>
      </c>
      <c r="C84" s="100">
        <v>5.0599999999999996</v>
      </c>
      <c r="D84" s="100">
        <v>2.0299999999999998</v>
      </c>
      <c r="E84" s="100">
        <v>5.5</v>
      </c>
      <c r="F84" s="100">
        <v>1.1299999999999999</v>
      </c>
      <c r="G84" s="100">
        <v>26.98</v>
      </c>
      <c r="H84" s="100">
        <v>9.4</v>
      </c>
      <c r="I84" s="100">
        <v>8.52</v>
      </c>
      <c r="J84" s="100">
        <v>0.72</v>
      </c>
      <c r="K84" s="100">
        <v>265.06</v>
      </c>
      <c r="L84" s="100">
        <v>25.69</v>
      </c>
      <c r="M84" s="100">
        <v>93.41</v>
      </c>
      <c r="N84" s="100">
        <v>3.1</v>
      </c>
      <c r="O84" s="100">
        <v>0</v>
      </c>
      <c r="P84" s="100">
        <v>0.39</v>
      </c>
      <c r="Q84" s="151" t="s">
        <v>8</v>
      </c>
      <c r="R84" s="6"/>
      <c r="S84" s="6"/>
      <c r="T84" s="156"/>
      <c r="U84" s="6"/>
    </row>
    <row r="85" spans="1:21" customFormat="1">
      <c r="A85" s="163" t="s">
        <v>796</v>
      </c>
      <c r="B85" s="100">
        <v>3.18</v>
      </c>
      <c r="C85" s="100">
        <v>5.12</v>
      </c>
      <c r="D85" s="100">
        <v>2.0499999999999998</v>
      </c>
      <c r="E85" s="100">
        <v>5.48</v>
      </c>
      <c r="F85" s="100">
        <v>1.57</v>
      </c>
      <c r="G85" s="100">
        <v>26.98</v>
      </c>
      <c r="H85" s="100">
        <v>9.4</v>
      </c>
      <c r="I85" s="100">
        <v>8.92</v>
      </c>
      <c r="J85" s="100">
        <v>0.93</v>
      </c>
      <c r="K85" s="100">
        <v>263.49</v>
      </c>
      <c r="L85" s="100">
        <v>25.57</v>
      </c>
      <c r="M85" s="100">
        <v>93.94</v>
      </c>
      <c r="N85" s="100">
        <v>3.1</v>
      </c>
      <c r="O85" s="100">
        <v>0</v>
      </c>
      <c r="P85" s="100">
        <v>0.39</v>
      </c>
      <c r="Q85" s="151" t="s">
        <v>8</v>
      </c>
      <c r="R85" s="6"/>
      <c r="S85" s="6"/>
      <c r="T85" s="156"/>
      <c r="U85" s="6"/>
    </row>
    <row r="86" spans="1:21" customFormat="1">
      <c r="A86" s="163" t="s">
        <v>797</v>
      </c>
      <c r="B86" s="100">
        <v>3.21</v>
      </c>
      <c r="C86" s="100">
        <v>5.0999999999999996</v>
      </c>
      <c r="D86" s="100">
        <v>2.0099999999999998</v>
      </c>
      <c r="E86" s="100">
        <v>5.14</v>
      </c>
      <c r="F86" s="100">
        <v>2.2200000000000002</v>
      </c>
      <c r="G86" s="100">
        <v>26.98</v>
      </c>
      <c r="H86" s="100">
        <v>9.4</v>
      </c>
      <c r="I86" s="100">
        <v>9.0399999999999991</v>
      </c>
      <c r="J86" s="100">
        <v>0.68</v>
      </c>
      <c r="K86" s="100">
        <v>268.02</v>
      </c>
      <c r="L86" s="100">
        <v>25.39</v>
      </c>
      <c r="M86" s="100">
        <v>95.21</v>
      </c>
      <c r="N86" s="100">
        <v>3</v>
      </c>
      <c r="O86" s="100">
        <v>0</v>
      </c>
      <c r="P86" s="100">
        <v>0.38</v>
      </c>
      <c r="Q86" s="151" t="s">
        <v>8</v>
      </c>
      <c r="R86" s="6"/>
      <c r="S86" s="6"/>
      <c r="T86" s="156"/>
      <c r="U86" s="6"/>
    </row>
    <row r="87" spans="1:21" customFormat="1">
      <c r="A87" s="163" t="s">
        <v>798</v>
      </c>
      <c r="B87" s="100">
        <v>3.17</v>
      </c>
      <c r="C87" s="100">
        <v>5.0599999999999996</v>
      </c>
      <c r="D87" s="100">
        <v>2.0099999999999998</v>
      </c>
      <c r="E87" s="100">
        <v>5.35</v>
      </c>
      <c r="F87" s="100">
        <v>1.81</v>
      </c>
      <c r="G87" s="100">
        <v>28.34</v>
      </c>
      <c r="H87" s="100">
        <v>10.3</v>
      </c>
      <c r="I87" s="100">
        <v>9.23</v>
      </c>
      <c r="J87" s="100">
        <v>0.56999999999999995</v>
      </c>
      <c r="K87" s="100">
        <v>261.05</v>
      </c>
      <c r="L87" s="100">
        <v>25.32</v>
      </c>
      <c r="M87" s="100">
        <v>95.49</v>
      </c>
      <c r="N87" s="100">
        <v>2.7</v>
      </c>
      <c r="O87" s="100">
        <v>0</v>
      </c>
      <c r="P87" s="100">
        <v>0.4</v>
      </c>
      <c r="Q87" s="151" t="s">
        <v>8</v>
      </c>
      <c r="R87" s="6"/>
      <c r="S87" s="6"/>
      <c r="T87" s="156"/>
      <c r="U87" s="6"/>
    </row>
    <row r="88" spans="1:21" customFormat="1">
      <c r="A88" s="163" t="s">
        <v>799</v>
      </c>
      <c r="B88" s="100">
        <v>3.15</v>
      </c>
      <c r="C88" s="100">
        <v>5.12</v>
      </c>
      <c r="D88" s="100">
        <v>2.0699999999999998</v>
      </c>
      <c r="E88" s="100">
        <v>5.59</v>
      </c>
      <c r="F88" s="100">
        <v>1.48</v>
      </c>
      <c r="G88" s="100">
        <v>28.45</v>
      </c>
      <c r="H88" s="100">
        <v>10.3</v>
      </c>
      <c r="I88" s="100">
        <v>9.16</v>
      </c>
      <c r="J88" s="100">
        <v>0.55000000000000004</v>
      </c>
      <c r="K88" s="100">
        <v>259.14999999999998</v>
      </c>
      <c r="L88" s="100">
        <v>25.39</v>
      </c>
      <c r="M88" s="100">
        <v>95.65</v>
      </c>
      <c r="N88" s="100">
        <v>2.5</v>
      </c>
      <c r="O88" s="100">
        <v>0</v>
      </c>
      <c r="P88" s="100">
        <v>0.41</v>
      </c>
      <c r="Q88" s="151" t="s">
        <v>8</v>
      </c>
      <c r="R88" s="6"/>
      <c r="S88" s="6"/>
      <c r="T88" s="156"/>
      <c r="U88" s="6"/>
    </row>
    <row r="89" spans="1:21" customFormat="1">
      <c r="A89" s="163" t="s">
        <v>800</v>
      </c>
      <c r="B89" s="100">
        <v>3.1</v>
      </c>
      <c r="C89" s="100">
        <v>5.14</v>
      </c>
      <c r="D89" s="100">
        <v>2.12</v>
      </c>
      <c r="E89" s="100">
        <v>5.49</v>
      </c>
      <c r="F89" s="100">
        <v>2.0099999999999998</v>
      </c>
      <c r="G89" s="100">
        <v>28.45</v>
      </c>
      <c r="H89" s="100">
        <v>10.3</v>
      </c>
      <c r="I89" s="100">
        <v>9.1199999999999992</v>
      </c>
      <c r="J89" s="100">
        <v>0.56000000000000005</v>
      </c>
      <c r="K89" s="100">
        <v>261.2</v>
      </c>
      <c r="L89" s="100">
        <v>25.43</v>
      </c>
      <c r="M89" s="100">
        <v>96.09</v>
      </c>
      <c r="N89" s="100">
        <v>2.6</v>
      </c>
      <c r="O89" s="100">
        <v>0</v>
      </c>
      <c r="P89" s="100">
        <v>0.43</v>
      </c>
      <c r="Q89" s="151" t="s">
        <v>8</v>
      </c>
      <c r="R89" s="6"/>
      <c r="S89" s="6"/>
      <c r="T89" s="156"/>
      <c r="U89" s="6"/>
    </row>
    <row r="90" spans="1:21" customFormat="1">
      <c r="A90" s="163" t="s">
        <v>801</v>
      </c>
      <c r="B90" s="100">
        <v>3.05</v>
      </c>
      <c r="C90" s="100">
        <v>5.12</v>
      </c>
      <c r="D90" s="100">
        <v>2.13</v>
      </c>
      <c r="E90" s="100">
        <v>5.26</v>
      </c>
      <c r="F90" s="100">
        <v>2.0699999999999998</v>
      </c>
      <c r="G90" s="100">
        <v>28.45</v>
      </c>
      <c r="H90" s="100">
        <v>10.3</v>
      </c>
      <c r="I90" s="100">
        <v>8.99</v>
      </c>
      <c r="J90" s="100">
        <v>0.54</v>
      </c>
      <c r="K90" s="100">
        <v>259.33999999999997</v>
      </c>
      <c r="L90" s="100">
        <v>25.33</v>
      </c>
      <c r="M90" s="100">
        <v>96.58</v>
      </c>
      <c r="N90" s="100">
        <v>2.4</v>
      </c>
      <c r="O90" s="100">
        <v>0</v>
      </c>
      <c r="P90" s="100">
        <v>0.42</v>
      </c>
      <c r="Q90" s="151" t="s">
        <v>8</v>
      </c>
      <c r="R90" s="6"/>
      <c r="S90" s="6"/>
      <c r="T90" s="156"/>
      <c r="U90" s="6"/>
    </row>
    <row r="91" spans="1:21" customFormat="1">
      <c r="A91" s="163" t="s">
        <v>802</v>
      </c>
      <c r="B91" s="100">
        <v>3.01</v>
      </c>
      <c r="C91" s="100">
        <v>5.07</v>
      </c>
      <c r="D91" s="100">
        <v>2.12</v>
      </c>
      <c r="E91" s="100">
        <v>5.48</v>
      </c>
      <c r="F91" s="100">
        <v>1.64</v>
      </c>
      <c r="G91" s="100">
        <v>25.84</v>
      </c>
      <c r="H91" s="100">
        <v>7.66</v>
      </c>
      <c r="I91" s="100">
        <v>9.1199999999999992</v>
      </c>
      <c r="J91" s="100">
        <v>0.52</v>
      </c>
      <c r="K91" s="100">
        <v>256.86</v>
      </c>
      <c r="L91" s="100">
        <v>25.23</v>
      </c>
      <c r="M91" s="100">
        <v>96.91</v>
      </c>
      <c r="N91" s="100">
        <v>2.1</v>
      </c>
      <c r="O91" s="100">
        <v>0.2</v>
      </c>
      <c r="P91" s="100">
        <v>0.41</v>
      </c>
      <c r="Q91" s="151" t="s">
        <v>8</v>
      </c>
      <c r="R91" s="6"/>
      <c r="S91" s="6"/>
      <c r="T91" s="156"/>
      <c r="U91" s="6"/>
    </row>
    <row r="92" spans="1:21" customFormat="1">
      <c r="A92" s="163" t="s">
        <v>803</v>
      </c>
      <c r="B92" s="100">
        <v>2.97</v>
      </c>
      <c r="C92" s="100">
        <v>5</v>
      </c>
      <c r="D92" s="100">
        <v>2.09</v>
      </c>
      <c r="E92" s="100">
        <v>5.41</v>
      </c>
      <c r="F92" s="100">
        <v>1.56</v>
      </c>
      <c r="G92" s="100">
        <v>25.62</v>
      </c>
      <c r="H92" s="100">
        <v>7.66</v>
      </c>
      <c r="I92" s="100">
        <v>9.25</v>
      </c>
      <c r="J92" s="100">
        <v>0.53</v>
      </c>
      <c r="K92" s="100">
        <v>256.08999999999997</v>
      </c>
      <c r="L92" s="100">
        <v>25.06</v>
      </c>
      <c r="M92" s="100">
        <v>97.17</v>
      </c>
      <c r="N92" s="100">
        <v>2.6</v>
      </c>
      <c r="O92" s="100">
        <v>0.2</v>
      </c>
      <c r="P92" s="100">
        <v>0.39</v>
      </c>
      <c r="Q92" s="151" t="s">
        <v>8</v>
      </c>
      <c r="R92" s="6"/>
      <c r="S92" s="6"/>
      <c r="T92" s="156"/>
      <c r="U92" s="6"/>
    </row>
    <row r="93" spans="1:21" customFormat="1">
      <c r="A93" s="163" t="s">
        <v>804</v>
      </c>
      <c r="B93" s="100">
        <v>2.91</v>
      </c>
      <c r="C93" s="100">
        <v>4.95</v>
      </c>
      <c r="D93" s="100">
        <v>2.08</v>
      </c>
      <c r="E93" s="100">
        <v>5.52</v>
      </c>
      <c r="F93" s="100">
        <v>1.33</v>
      </c>
      <c r="G93" s="100">
        <v>25.62</v>
      </c>
      <c r="H93" s="100">
        <v>7.66</v>
      </c>
      <c r="I93" s="100">
        <v>8.9600000000000009</v>
      </c>
      <c r="J93" s="100">
        <v>0.54</v>
      </c>
      <c r="K93" s="100">
        <v>255.75</v>
      </c>
      <c r="L93" s="100">
        <v>24.91</v>
      </c>
      <c r="M93" s="100">
        <v>98.03</v>
      </c>
      <c r="N93" s="100">
        <v>2.4</v>
      </c>
      <c r="O93" s="100">
        <v>0</v>
      </c>
      <c r="P93" s="100">
        <v>0.38</v>
      </c>
      <c r="Q93" s="151" t="s">
        <v>8</v>
      </c>
      <c r="R93" s="6"/>
      <c r="S93" s="6"/>
      <c r="T93" s="156"/>
      <c r="U93" s="6"/>
    </row>
    <row r="94" spans="1:21" customFormat="1">
      <c r="A94" s="163" t="s">
        <v>805</v>
      </c>
      <c r="B94" s="100">
        <v>2.87</v>
      </c>
      <c r="C94" s="100">
        <v>4.9000000000000004</v>
      </c>
      <c r="D94" s="100">
        <v>2.0699999999999998</v>
      </c>
      <c r="E94" s="100">
        <v>5.82</v>
      </c>
      <c r="F94" s="100">
        <v>1.64</v>
      </c>
      <c r="G94" s="100">
        <v>25.62</v>
      </c>
      <c r="H94" s="100">
        <v>7.66</v>
      </c>
      <c r="I94" s="100">
        <v>8.61</v>
      </c>
      <c r="J94" s="100">
        <v>0.55000000000000004</v>
      </c>
      <c r="K94" s="100">
        <v>262.70999999999998</v>
      </c>
      <c r="L94" s="100">
        <v>24.78</v>
      </c>
      <c r="M94" s="100">
        <v>98.36</v>
      </c>
      <c r="N94" s="100">
        <v>2.4</v>
      </c>
      <c r="O94" s="100">
        <v>0</v>
      </c>
      <c r="P94" s="100">
        <v>0.36</v>
      </c>
      <c r="Q94" s="151" t="s">
        <v>8</v>
      </c>
      <c r="R94" s="6"/>
      <c r="S94" s="6"/>
      <c r="T94" s="156"/>
      <c r="U94" s="6"/>
    </row>
    <row r="95" spans="1:21" customFormat="1">
      <c r="A95" s="163" t="s">
        <v>806</v>
      </c>
      <c r="B95" s="100">
        <v>2.84</v>
      </c>
      <c r="C95" s="100">
        <v>4.8600000000000003</v>
      </c>
      <c r="D95" s="100">
        <v>2.06</v>
      </c>
      <c r="E95" s="100">
        <v>5.76</v>
      </c>
      <c r="F95" s="100">
        <v>1.92</v>
      </c>
      <c r="G95" s="100">
        <v>19.47</v>
      </c>
      <c r="H95" s="100">
        <v>6.9</v>
      </c>
      <c r="I95" s="100">
        <v>8.2899999999999991</v>
      </c>
      <c r="J95" s="100">
        <v>0.56000000000000005</v>
      </c>
      <c r="K95" s="100">
        <v>254.72</v>
      </c>
      <c r="L95" s="100">
        <v>24.79</v>
      </c>
      <c r="M95" s="100">
        <v>98.58</v>
      </c>
      <c r="N95" s="100">
        <v>2.2999999999999998</v>
      </c>
      <c r="O95" s="100">
        <v>0</v>
      </c>
      <c r="P95" s="100">
        <v>0.35</v>
      </c>
      <c r="Q95" s="151" t="s">
        <v>8</v>
      </c>
      <c r="R95" s="6"/>
      <c r="S95" s="6"/>
      <c r="T95" s="156"/>
      <c r="U95" s="6"/>
    </row>
    <row r="96" spans="1:21" customFormat="1">
      <c r="A96" s="163" t="s">
        <v>807</v>
      </c>
      <c r="B96" s="100">
        <v>2.82</v>
      </c>
      <c r="C96" s="100">
        <v>4.82</v>
      </c>
      <c r="D96" s="100">
        <v>2.04</v>
      </c>
      <c r="E96" s="100">
        <v>5.61</v>
      </c>
      <c r="F96" s="100">
        <v>2.0499999999999998</v>
      </c>
      <c r="G96" s="100">
        <v>18.96</v>
      </c>
      <c r="H96" s="100">
        <v>6.9</v>
      </c>
      <c r="I96" s="100">
        <v>8.01</v>
      </c>
      <c r="J96" s="100">
        <v>0.6</v>
      </c>
      <c r="K96" s="100">
        <v>258.76</v>
      </c>
      <c r="L96" s="100">
        <v>24.79</v>
      </c>
      <c r="M96" s="100">
        <v>98.53</v>
      </c>
      <c r="N96" s="100">
        <v>2.2999999999999998</v>
      </c>
      <c r="O96" s="100">
        <v>0</v>
      </c>
      <c r="P96" s="100">
        <v>0.33</v>
      </c>
      <c r="Q96" s="151" t="s">
        <v>8</v>
      </c>
      <c r="R96" s="6"/>
      <c r="S96" s="6"/>
      <c r="T96" s="156"/>
      <c r="U96" s="6"/>
    </row>
    <row r="97" spans="1:28" customFormat="1">
      <c r="A97" s="163" t="s">
        <v>808</v>
      </c>
      <c r="B97" s="100">
        <v>2.8</v>
      </c>
      <c r="C97" s="100">
        <v>4.78</v>
      </c>
      <c r="D97" s="100">
        <v>2.0299999999999998</v>
      </c>
      <c r="E97" s="100">
        <v>5.82</v>
      </c>
      <c r="F97" s="100">
        <v>2.2000000000000002</v>
      </c>
      <c r="G97" s="100">
        <v>18.96</v>
      </c>
      <c r="H97" s="100">
        <v>6.9</v>
      </c>
      <c r="I97" s="100">
        <v>7.72</v>
      </c>
      <c r="J97" s="100">
        <v>0.65</v>
      </c>
      <c r="K97" s="100">
        <v>258.66000000000003</v>
      </c>
      <c r="L97" s="100">
        <v>24.85</v>
      </c>
      <c r="M97" s="100">
        <v>98.72</v>
      </c>
      <c r="N97" s="100">
        <v>2.1</v>
      </c>
      <c r="O97" s="100">
        <v>0</v>
      </c>
      <c r="P97" s="100">
        <v>0.31</v>
      </c>
      <c r="Q97" s="151" t="s">
        <v>8</v>
      </c>
      <c r="R97" s="6"/>
      <c r="S97" s="6"/>
      <c r="T97" s="156"/>
      <c r="U97" s="6"/>
    </row>
    <row r="98" spans="1:28" customFormat="1">
      <c r="A98" s="163" t="s">
        <v>809</v>
      </c>
      <c r="B98" s="100">
        <v>2.77</v>
      </c>
      <c r="C98" s="100">
        <v>4.75</v>
      </c>
      <c r="D98" s="100">
        <v>2.0099999999999998</v>
      </c>
      <c r="E98" s="100">
        <v>5.95</v>
      </c>
      <c r="F98" s="100">
        <v>2.41</v>
      </c>
      <c r="G98" s="100">
        <v>18.96</v>
      </c>
      <c r="H98" s="100">
        <v>6.9</v>
      </c>
      <c r="I98" s="100">
        <v>7.43</v>
      </c>
      <c r="J98" s="100">
        <v>0.61</v>
      </c>
      <c r="K98" s="100">
        <v>261.2</v>
      </c>
      <c r="L98" s="100">
        <v>24.91</v>
      </c>
      <c r="M98" s="100">
        <v>98.62</v>
      </c>
      <c r="N98" s="100">
        <v>2.1</v>
      </c>
      <c r="O98" s="100">
        <v>0</v>
      </c>
      <c r="P98" s="100">
        <v>0.3</v>
      </c>
      <c r="Q98" s="151" t="s">
        <v>8</v>
      </c>
      <c r="R98" s="6"/>
      <c r="S98" s="6"/>
      <c r="T98" s="156"/>
      <c r="U98" s="6"/>
    </row>
    <row r="99" spans="1:28" customFormat="1">
      <c r="A99" s="163" t="s">
        <v>810</v>
      </c>
      <c r="B99" s="100">
        <v>2.76</v>
      </c>
      <c r="C99" s="100">
        <v>4.7300000000000004</v>
      </c>
      <c r="D99" s="100">
        <v>2.0099999999999998</v>
      </c>
      <c r="E99" s="100">
        <v>5.81</v>
      </c>
      <c r="F99" s="100">
        <v>2.64</v>
      </c>
      <c r="G99" s="100">
        <v>17.149999999999999</v>
      </c>
      <c r="H99" s="100">
        <v>9.3699999999999992</v>
      </c>
      <c r="I99" s="100">
        <v>7.12</v>
      </c>
      <c r="J99" s="100">
        <v>0.66</v>
      </c>
      <c r="K99" s="100">
        <v>259.57</v>
      </c>
      <c r="L99" s="100">
        <v>24.95</v>
      </c>
      <c r="M99" s="100">
        <v>98.58</v>
      </c>
      <c r="N99" s="100">
        <v>2.2000000000000002</v>
      </c>
      <c r="O99" s="100">
        <v>0</v>
      </c>
      <c r="P99" s="100">
        <v>0.28999999999999998</v>
      </c>
      <c r="Q99" s="151" t="s">
        <v>8</v>
      </c>
      <c r="R99" s="6"/>
      <c r="S99" s="6"/>
      <c r="T99" s="156"/>
      <c r="U99" s="6"/>
    </row>
    <row r="100" spans="1:28" customFormat="1">
      <c r="A100" s="163" t="s">
        <v>811</v>
      </c>
      <c r="B100" s="100">
        <v>2.75</v>
      </c>
      <c r="C100" s="100">
        <v>4.7</v>
      </c>
      <c r="D100" s="100">
        <v>1.99</v>
      </c>
      <c r="E100" s="100">
        <v>5.92</v>
      </c>
      <c r="F100" s="100">
        <v>2.16</v>
      </c>
      <c r="G100" s="100">
        <v>17</v>
      </c>
      <c r="H100" s="100">
        <v>9.3699999999999992</v>
      </c>
      <c r="I100" s="100">
        <v>6.84</v>
      </c>
      <c r="J100" s="100">
        <v>0.41</v>
      </c>
      <c r="K100" s="100">
        <v>261.12</v>
      </c>
      <c r="L100" s="100">
        <v>25.01</v>
      </c>
      <c r="M100" s="100">
        <v>98.45</v>
      </c>
      <c r="N100" s="100">
        <v>2.2000000000000002</v>
      </c>
      <c r="O100" s="100">
        <v>0</v>
      </c>
      <c r="P100" s="100">
        <v>0.28000000000000003</v>
      </c>
      <c r="Q100" s="151" t="s">
        <v>8</v>
      </c>
      <c r="R100" s="6"/>
      <c r="S100" s="6"/>
      <c r="T100" s="156"/>
      <c r="U100" s="6"/>
      <c r="AB100" s="161"/>
    </row>
    <row r="101" spans="1:28" customFormat="1">
      <c r="A101" s="163" t="s">
        <v>812</v>
      </c>
      <c r="B101" s="100">
        <v>2.74</v>
      </c>
      <c r="C101" s="100">
        <v>4.68</v>
      </c>
      <c r="D101" s="100">
        <v>1.98</v>
      </c>
      <c r="E101" s="100">
        <v>5.9</v>
      </c>
      <c r="F101" s="100">
        <v>1.8</v>
      </c>
      <c r="G101" s="100">
        <v>17</v>
      </c>
      <c r="H101" s="100">
        <v>9.3699999999999992</v>
      </c>
      <c r="I101" s="100">
        <v>6.64</v>
      </c>
      <c r="J101" s="100">
        <v>0.54</v>
      </c>
      <c r="K101" s="100">
        <v>262.94</v>
      </c>
      <c r="L101" s="100">
        <v>25.1</v>
      </c>
      <c r="M101" s="100">
        <v>98.09</v>
      </c>
      <c r="N101" s="100">
        <v>2.2999999999999998</v>
      </c>
      <c r="O101" s="100">
        <v>0</v>
      </c>
      <c r="P101" s="100">
        <v>0.27</v>
      </c>
      <c r="Q101" s="151" t="s">
        <v>8</v>
      </c>
      <c r="R101" s="6"/>
      <c r="S101" s="6"/>
      <c r="T101" s="156"/>
      <c r="U101" s="6"/>
    </row>
    <row r="102" spans="1:28" customFormat="1">
      <c r="A102" s="163" t="s">
        <v>813</v>
      </c>
      <c r="B102" s="100">
        <v>2.74</v>
      </c>
      <c r="C102" s="100">
        <v>4.66</v>
      </c>
      <c r="D102" s="100">
        <v>1.97</v>
      </c>
      <c r="E102" s="100">
        <v>5.83</v>
      </c>
      <c r="F102" s="100">
        <v>2</v>
      </c>
      <c r="G102" s="100">
        <v>17</v>
      </c>
      <c r="H102" s="100">
        <v>9.3699999999999992</v>
      </c>
      <c r="I102" s="100">
        <v>6.41</v>
      </c>
      <c r="J102" s="100">
        <v>0.48</v>
      </c>
      <c r="K102" s="100">
        <v>259.99</v>
      </c>
      <c r="L102" s="100">
        <v>25.07</v>
      </c>
      <c r="M102" s="100">
        <v>97.96</v>
      </c>
      <c r="N102" s="100">
        <v>2.4</v>
      </c>
      <c r="O102" s="100">
        <v>0</v>
      </c>
      <c r="P102" s="100">
        <v>0.26</v>
      </c>
      <c r="Q102" s="151" t="s">
        <v>8</v>
      </c>
      <c r="R102" s="6"/>
      <c r="S102" s="6"/>
      <c r="T102" s="156"/>
      <c r="U102" s="6"/>
    </row>
    <row r="103" spans="1:28" customFormat="1">
      <c r="A103" s="163" t="s">
        <v>814</v>
      </c>
      <c r="B103" s="100">
        <v>2.74</v>
      </c>
      <c r="C103" s="100">
        <v>4.6500000000000004</v>
      </c>
      <c r="D103" s="100">
        <v>1.96</v>
      </c>
      <c r="E103" s="100">
        <v>6</v>
      </c>
      <c r="F103" s="100">
        <v>2.0499999999999998</v>
      </c>
      <c r="G103" s="100">
        <v>17.98</v>
      </c>
      <c r="H103" s="100">
        <v>9.85</v>
      </c>
      <c r="I103" s="100">
        <v>6.22</v>
      </c>
      <c r="J103" s="100">
        <v>0.5</v>
      </c>
      <c r="K103" s="100">
        <v>263.06</v>
      </c>
      <c r="L103" s="100">
        <v>25.03</v>
      </c>
      <c r="M103" s="100">
        <v>98.09</v>
      </c>
      <c r="N103" s="100">
        <v>2.5</v>
      </c>
      <c r="O103" s="100">
        <v>0</v>
      </c>
      <c r="P103" s="100">
        <v>0.25</v>
      </c>
      <c r="Q103" s="151" t="s">
        <v>8</v>
      </c>
      <c r="R103" s="6"/>
      <c r="S103" s="6"/>
      <c r="T103" s="156"/>
      <c r="U103" s="6"/>
    </row>
    <row r="104" spans="1:28" customFormat="1">
      <c r="A104" s="163" t="s">
        <v>815</v>
      </c>
      <c r="B104" s="100">
        <v>2.73</v>
      </c>
      <c r="C104" s="100">
        <v>4.63</v>
      </c>
      <c r="D104" s="100">
        <v>1.95</v>
      </c>
      <c r="E104" s="100">
        <v>5.9</v>
      </c>
      <c r="F104" s="100">
        <v>2.14</v>
      </c>
      <c r="G104" s="100">
        <v>18.059999999999999</v>
      </c>
      <c r="H104" s="100">
        <v>9.85</v>
      </c>
      <c r="I104" s="100">
        <v>6.06</v>
      </c>
      <c r="J104" s="100">
        <v>0.49</v>
      </c>
      <c r="K104" s="100">
        <v>261.33</v>
      </c>
      <c r="L104" s="100">
        <v>25.04</v>
      </c>
      <c r="M104" s="100">
        <v>98.23</v>
      </c>
      <c r="N104" s="100">
        <v>2.5</v>
      </c>
      <c r="O104" s="100">
        <v>0</v>
      </c>
      <c r="P104" s="100">
        <v>0.24</v>
      </c>
      <c r="Q104" s="151" t="s">
        <v>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2.73</v>
      </c>
      <c r="C106" s="158">
        <f>MIN(C9:C104)</f>
        <v>4.5999999999999996</v>
      </c>
      <c r="D106" s="158">
        <f t="shared" ref="D106:Q106" si="0">MIN(D9:D104)</f>
        <v>1.87</v>
      </c>
      <c r="E106" s="158">
        <f t="shared" si="0"/>
        <v>3.75</v>
      </c>
      <c r="F106" s="158">
        <f t="shared" si="0"/>
        <v>0.23</v>
      </c>
      <c r="G106" s="158">
        <f t="shared" si="0"/>
        <v>4.75</v>
      </c>
      <c r="H106" s="158">
        <f t="shared" si="0"/>
        <v>2.0699999999999998</v>
      </c>
      <c r="I106" s="158">
        <f t="shared" si="0"/>
        <v>4.4400000000000004</v>
      </c>
      <c r="J106" s="158">
        <f t="shared" si="0"/>
        <v>0.41</v>
      </c>
      <c r="K106" s="158">
        <f t="shared" si="0"/>
        <v>254.72</v>
      </c>
      <c r="L106" s="158">
        <f t="shared" si="0"/>
        <v>23.99</v>
      </c>
      <c r="M106" s="158">
        <f t="shared" si="0"/>
        <v>85.42</v>
      </c>
      <c r="N106" s="158">
        <f t="shared" si="0"/>
        <v>2</v>
      </c>
      <c r="O106" s="158">
        <f t="shared" si="0"/>
        <v>0</v>
      </c>
      <c r="P106" s="158">
        <f t="shared" si="0"/>
        <v>0.12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3.28</v>
      </c>
      <c r="C107" s="157">
        <f t="shared" ref="C107:Q107" si="1">MAX(C9:C104)</f>
        <v>5.23</v>
      </c>
      <c r="D107" s="157">
        <f t="shared" si="1"/>
        <v>2.15</v>
      </c>
      <c r="E107" s="157">
        <f t="shared" si="1"/>
        <v>6.26</v>
      </c>
      <c r="F107" s="157">
        <f t="shared" si="1"/>
        <v>3.12</v>
      </c>
      <c r="G107" s="157">
        <f t="shared" si="1"/>
        <v>37.03</v>
      </c>
      <c r="H107" s="157">
        <f t="shared" si="1"/>
        <v>13.34</v>
      </c>
      <c r="I107" s="157">
        <f t="shared" si="1"/>
        <v>9.25</v>
      </c>
      <c r="J107" s="157">
        <f t="shared" si="1"/>
        <v>1.24</v>
      </c>
      <c r="K107" s="157">
        <f t="shared" si="1"/>
        <v>270.35000000000002</v>
      </c>
      <c r="L107" s="157">
        <f t="shared" si="1"/>
        <v>26.42</v>
      </c>
      <c r="M107" s="157">
        <f t="shared" si="1"/>
        <v>100.13</v>
      </c>
      <c r="N107" s="157">
        <f t="shared" si="1"/>
        <v>172.7</v>
      </c>
      <c r="O107" s="157">
        <f t="shared" si="1"/>
        <v>3.8</v>
      </c>
      <c r="P107" s="157">
        <f t="shared" si="1"/>
        <v>0.43</v>
      </c>
      <c r="Q107" s="157">
        <f t="shared" si="1"/>
        <v>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2.9607291666666664</v>
      </c>
      <c r="C108" s="158">
        <f t="shared" ref="C108:Q108" si="2">AVERAGE(C9:C104)</f>
        <v>4.9103125000000007</v>
      </c>
      <c r="D108" s="158">
        <f t="shared" si="2"/>
        <v>2.023124999999999</v>
      </c>
      <c r="E108" s="158">
        <f t="shared" si="2"/>
        <v>5.393229166666667</v>
      </c>
      <c r="F108" s="158">
        <f t="shared" si="2"/>
        <v>1.9597916666666662</v>
      </c>
      <c r="G108" s="158">
        <f t="shared" si="2"/>
        <v>17.284062500000001</v>
      </c>
      <c r="H108" s="158">
        <f t="shared" si="2"/>
        <v>7.2310416666666599</v>
      </c>
      <c r="I108" s="158">
        <f t="shared" si="2"/>
        <v>6.6957291666666663</v>
      </c>
      <c r="J108" s="158">
        <f t="shared" si="2"/>
        <v>0.74364583333333345</v>
      </c>
      <c r="K108" s="158">
        <f t="shared" si="2"/>
        <v>261.42739583333338</v>
      </c>
      <c r="L108" s="158">
        <f t="shared" si="2"/>
        <v>25.014270833333342</v>
      </c>
      <c r="M108" s="158">
        <f t="shared" si="2"/>
        <v>95.919791666666683</v>
      </c>
      <c r="N108" s="158">
        <f t="shared" si="2"/>
        <v>31.120833333333334</v>
      </c>
      <c r="O108" s="158">
        <f t="shared" si="2"/>
        <v>0.2208333333333333</v>
      </c>
      <c r="P108" s="158">
        <f t="shared" si="2"/>
        <v>0.25614583333333341</v>
      </c>
      <c r="Q108" s="158" t="e">
        <f t="shared" si="2"/>
        <v>#DIV/0!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0.14351412761314261</v>
      </c>
      <c r="C109" s="158">
        <f t="shared" ref="C109:Q109" si="3">STDEV(C9:C104)</f>
        <v>0.16109789848020006</v>
      </c>
      <c r="D109" s="158">
        <f t="shared" si="3"/>
        <v>7.6795182140548368E-2</v>
      </c>
      <c r="E109" s="158">
        <f t="shared" si="3"/>
        <v>0.53800116374686635</v>
      </c>
      <c r="F109" s="158">
        <f t="shared" si="3"/>
        <v>0.42879262357821513</v>
      </c>
      <c r="G109" s="158">
        <f t="shared" si="3"/>
        <v>7.3192342967546473</v>
      </c>
      <c r="H109" s="158">
        <f t="shared" si="3"/>
        <v>2.8989495299492645</v>
      </c>
      <c r="I109" s="158">
        <f t="shared" si="3"/>
        <v>1.4596890402747578</v>
      </c>
      <c r="J109" s="158">
        <f t="shared" si="3"/>
        <v>0.17167974954405327</v>
      </c>
      <c r="K109" s="158">
        <f t="shared" si="3"/>
        <v>3.2272488674090472</v>
      </c>
      <c r="L109" s="158">
        <f t="shared" si="3"/>
        <v>0.68172497123364117</v>
      </c>
      <c r="M109" s="158">
        <f t="shared" si="3"/>
        <v>3.655152665590307</v>
      </c>
      <c r="N109" s="158">
        <f t="shared" si="3"/>
        <v>43.78260629559513</v>
      </c>
      <c r="O109" s="158">
        <f t="shared" si="3"/>
        <v>0.53624752074836846</v>
      </c>
      <c r="P109" s="158">
        <f t="shared" si="3"/>
        <v>8.2018865502063346E-2</v>
      </c>
      <c r="Q109" s="158" t="e">
        <f t="shared" si="3"/>
        <v>#DIV/0!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P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COUNT(Q9:Q104)+96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1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816</v>
      </c>
      <c r="B9" s="100">
        <v>2.81</v>
      </c>
      <c r="C9" s="100">
        <v>4.5599999999999996</v>
      </c>
      <c r="D9" s="100">
        <v>1.84</v>
      </c>
      <c r="E9" s="100">
        <v>5.72</v>
      </c>
      <c r="F9" s="100">
        <v>2.62</v>
      </c>
      <c r="G9" s="100">
        <v>18.059999999999999</v>
      </c>
      <c r="H9" s="100">
        <v>9.85</v>
      </c>
      <c r="I9" s="100">
        <v>5.92</v>
      </c>
      <c r="J9" s="100">
        <v>0.42</v>
      </c>
      <c r="K9" s="100">
        <v>258.57</v>
      </c>
      <c r="L9" s="100">
        <v>25.07</v>
      </c>
      <c r="M9" s="100">
        <v>98.16</v>
      </c>
      <c r="N9" s="100">
        <v>2.4</v>
      </c>
      <c r="O9" s="100">
        <v>0</v>
      </c>
      <c r="P9" s="100">
        <v>0.23</v>
      </c>
      <c r="Q9" s="151" t="s">
        <v>8</v>
      </c>
      <c r="R9" s="6"/>
      <c r="S9" s="6"/>
      <c r="T9" s="156"/>
      <c r="U9" s="6"/>
    </row>
    <row r="10" spans="1:21" customFormat="1">
      <c r="A10" s="163" t="s">
        <v>817</v>
      </c>
      <c r="B10" s="100">
        <v>2.74</v>
      </c>
      <c r="C10" s="100">
        <v>4.5999999999999996</v>
      </c>
      <c r="D10" s="100">
        <v>1.92</v>
      </c>
      <c r="E10" s="100">
        <v>6.05</v>
      </c>
      <c r="F10" s="100">
        <v>2.5299999999999998</v>
      </c>
      <c r="G10" s="100">
        <v>18.059999999999999</v>
      </c>
      <c r="H10" s="100">
        <v>9.85</v>
      </c>
      <c r="I10" s="100">
        <v>5.71</v>
      </c>
      <c r="J10" s="100">
        <v>0.4</v>
      </c>
      <c r="K10" s="100">
        <v>262.57</v>
      </c>
      <c r="L10" s="100">
        <v>25.1</v>
      </c>
      <c r="M10" s="100">
        <v>97.96</v>
      </c>
      <c r="N10" s="100">
        <v>2.5</v>
      </c>
      <c r="O10" s="100">
        <v>0</v>
      </c>
      <c r="P10" s="100">
        <v>0.22</v>
      </c>
      <c r="Q10" s="151" t="s">
        <v>8</v>
      </c>
      <c r="R10" s="6"/>
      <c r="S10" s="6"/>
      <c r="T10" s="156"/>
      <c r="U10" s="6"/>
    </row>
    <row r="11" spans="1:21" customFormat="1">
      <c r="A11" s="163" t="s">
        <v>818</v>
      </c>
      <c r="B11" s="100">
        <v>2.73</v>
      </c>
      <c r="C11" s="100">
        <v>4.62</v>
      </c>
      <c r="D11" s="100">
        <v>1.94</v>
      </c>
      <c r="E11" s="100">
        <v>6.13</v>
      </c>
      <c r="F11" s="100">
        <v>2.06</v>
      </c>
      <c r="G11" s="100">
        <v>15.01</v>
      </c>
      <c r="H11" s="100">
        <v>11.22</v>
      </c>
      <c r="I11" s="100">
        <v>5.53</v>
      </c>
      <c r="J11" s="100">
        <v>0.3</v>
      </c>
      <c r="K11" s="100">
        <v>280.87</v>
      </c>
      <c r="L11" s="100">
        <v>25.08</v>
      </c>
      <c r="M11" s="100">
        <v>98.24</v>
      </c>
      <c r="N11" s="100">
        <v>2.4</v>
      </c>
      <c r="O11" s="100">
        <v>0</v>
      </c>
      <c r="P11" s="100">
        <v>0.22</v>
      </c>
      <c r="Q11" s="151" t="s">
        <v>8</v>
      </c>
      <c r="R11" s="6"/>
      <c r="S11" s="6"/>
      <c r="T11" s="156"/>
      <c r="U11" s="6"/>
    </row>
    <row r="12" spans="1:21" customFormat="1">
      <c r="A12" s="163" t="s">
        <v>819</v>
      </c>
      <c r="B12" s="100">
        <v>2.75</v>
      </c>
      <c r="C12" s="100">
        <v>4.68</v>
      </c>
      <c r="D12" s="100">
        <v>1.97</v>
      </c>
      <c r="E12" s="100">
        <v>6.21</v>
      </c>
      <c r="F12" s="100">
        <v>0.84</v>
      </c>
      <c r="G12" s="100">
        <v>14.76</v>
      </c>
      <c r="H12" s="100">
        <v>11.22</v>
      </c>
      <c r="I12" s="100">
        <v>5.41</v>
      </c>
      <c r="J12" s="100">
        <v>0.31</v>
      </c>
      <c r="K12" s="100">
        <v>268.44</v>
      </c>
      <c r="L12" s="100">
        <v>25</v>
      </c>
      <c r="M12" s="100">
        <v>98.71</v>
      </c>
      <c r="N12" s="100">
        <v>2.6</v>
      </c>
      <c r="O12" s="100">
        <v>1.2</v>
      </c>
      <c r="P12" s="100">
        <v>0.22</v>
      </c>
      <c r="Q12" s="151" t="s">
        <v>8</v>
      </c>
      <c r="R12" s="6"/>
      <c r="S12" s="6"/>
      <c r="T12" s="156"/>
      <c r="U12" s="6"/>
    </row>
    <row r="13" spans="1:21" customFormat="1">
      <c r="A13" s="163" t="s">
        <v>820</v>
      </c>
      <c r="B13" s="100">
        <v>2.85</v>
      </c>
      <c r="C13" s="100">
        <v>4.78</v>
      </c>
      <c r="D13" s="100">
        <v>1.99</v>
      </c>
      <c r="E13" s="100">
        <v>6.29</v>
      </c>
      <c r="F13" s="100">
        <v>1.02</v>
      </c>
      <c r="G13" s="100">
        <v>14.76</v>
      </c>
      <c r="H13" s="100">
        <v>11.22</v>
      </c>
      <c r="I13" s="100">
        <v>5.38</v>
      </c>
      <c r="J13" s="100">
        <v>0.5</v>
      </c>
      <c r="K13" s="100">
        <v>269.64999999999998</v>
      </c>
      <c r="L13" s="100">
        <v>24.72</v>
      </c>
      <c r="M13" s="100">
        <v>99.62</v>
      </c>
      <c r="N13" s="100">
        <v>2.6</v>
      </c>
      <c r="O13" s="100">
        <v>2.2000000000000002</v>
      </c>
      <c r="P13" s="100">
        <v>0.2</v>
      </c>
      <c r="Q13" s="151" t="s">
        <v>8</v>
      </c>
      <c r="R13" s="6"/>
      <c r="S13" s="6"/>
      <c r="T13" s="156"/>
      <c r="U13" s="6"/>
    </row>
    <row r="14" spans="1:21" customFormat="1">
      <c r="A14" s="163" t="s">
        <v>821</v>
      </c>
      <c r="B14" s="100">
        <v>2.93</v>
      </c>
      <c r="C14" s="100">
        <v>4.82</v>
      </c>
      <c r="D14" s="100">
        <v>1.97</v>
      </c>
      <c r="E14" s="100">
        <v>5.79</v>
      </c>
      <c r="F14" s="100">
        <v>1.87</v>
      </c>
      <c r="G14" s="100">
        <v>14.76</v>
      </c>
      <c r="H14" s="100">
        <v>11.22</v>
      </c>
      <c r="I14" s="100">
        <v>5.51</v>
      </c>
      <c r="J14" s="100">
        <v>0.56999999999999995</v>
      </c>
      <c r="K14" s="100">
        <v>275.36</v>
      </c>
      <c r="L14" s="100">
        <v>24.56</v>
      </c>
      <c r="M14" s="100">
        <v>100.13</v>
      </c>
      <c r="N14" s="100">
        <v>2.7</v>
      </c>
      <c r="O14" s="100">
        <v>2.4</v>
      </c>
      <c r="P14" s="100">
        <v>0.19</v>
      </c>
      <c r="Q14" s="151" t="s">
        <v>8</v>
      </c>
      <c r="R14" s="6"/>
      <c r="S14" s="6"/>
      <c r="T14" s="156"/>
      <c r="U14" s="6"/>
    </row>
    <row r="15" spans="1:21" customFormat="1">
      <c r="A15" s="163" t="s">
        <v>822</v>
      </c>
      <c r="B15" s="100">
        <v>2.97</v>
      </c>
      <c r="C15" s="100">
        <v>4.82</v>
      </c>
      <c r="D15" s="100">
        <v>1.94</v>
      </c>
      <c r="E15" s="100">
        <v>5.7</v>
      </c>
      <c r="F15" s="100">
        <v>2.39</v>
      </c>
      <c r="G15" s="100">
        <v>10.67</v>
      </c>
      <c r="H15" s="100">
        <v>11.99</v>
      </c>
      <c r="I15" s="100">
        <v>5.8</v>
      </c>
      <c r="J15" s="100">
        <v>0.57999999999999996</v>
      </c>
      <c r="K15" s="100">
        <v>264.38</v>
      </c>
      <c r="L15" s="100">
        <v>24.39</v>
      </c>
      <c r="M15" s="100">
        <v>100.15</v>
      </c>
      <c r="N15" s="100">
        <v>2.5</v>
      </c>
      <c r="O15" s="100">
        <v>1.6</v>
      </c>
      <c r="P15" s="100">
        <v>0.21</v>
      </c>
      <c r="Q15" s="151" t="s">
        <v>8</v>
      </c>
      <c r="R15" s="6"/>
      <c r="S15" s="6"/>
      <c r="T15" s="156"/>
      <c r="U15" s="6"/>
    </row>
    <row r="16" spans="1:21" customFormat="1">
      <c r="A16" s="163" t="s">
        <v>823</v>
      </c>
      <c r="B16" s="100">
        <v>3.02</v>
      </c>
      <c r="C16" s="100">
        <v>4.87</v>
      </c>
      <c r="D16" s="100">
        <v>1.96</v>
      </c>
      <c r="E16" s="100">
        <v>5.85</v>
      </c>
      <c r="F16" s="100">
        <v>1.37</v>
      </c>
      <c r="G16" s="100">
        <v>10.33</v>
      </c>
      <c r="H16" s="100">
        <v>11.99</v>
      </c>
      <c r="I16" s="100">
        <v>6.05</v>
      </c>
      <c r="J16" s="100">
        <v>0.4</v>
      </c>
      <c r="K16" s="100">
        <v>256.39</v>
      </c>
      <c r="L16" s="100">
        <v>24.39</v>
      </c>
      <c r="M16" s="100">
        <v>100.15</v>
      </c>
      <c r="N16" s="100">
        <v>2.2999999999999998</v>
      </c>
      <c r="O16" s="100">
        <v>0.8</v>
      </c>
      <c r="P16" s="100">
        <v>0.19</v>
      </c>
      <c r="Q16" s="151" t="s">
        <v>8</v>
      </c>
      <c r="R16" s="6"/>
      <c r="S16" s="6"/>
      <c r="T16" s="156"/>
      <c r="U16" s="6"/>
    </row>
    <row r="17" spans="1:21" customFormat="1">
      <c r="A17" s="163" t="s">
        <v>824</v>
      </c>
      <c r="B17" s="100">
        <v>3.07</v>
      </c>
      <c r="C17" s="100">
        <v>4.91</v>
      </c>
      <c r="D17" s="100">
        <v>1.95</v>
      </c>
      <c r="E17" s="100">
        <v>4.62</v>
      </c>
      <c r="F17" s="100">
        <v>2.14</v>
      </c>
      <c r="G17" s="100">
        <v>10.33</v>
      </c>
      <c r="H17" s="100">
        <v>11.99</v>
      </c>
      <c r="I17" s="100">
        <v>6.12</v>
      </c>
      <c r="J17" s="100">
        <v>0.52</v>
      </c>
      <c r="K17" s="100">
        <v>261.14</v>
      </c>
      <c r="L17" s="100">
        <v>24.44</v>
      </c>
      <c r="M17" s="100">
        <v>100.15</v>
      </c>
      <c r="N17" s="100">
        <v>2.4</v>
      </c>
      <c r="O17" s="100">
        <v>0.8</v>
      </c>
      <c r="P17" s="100">
        <v>0.19</v>
      </c>
      <c r="Q17" s="151" t="s">
        <v>8</v>
      </c>
      <c r="R17" s="6"/>
      <c r="S17" s="6"/>
      <c r="T17" s="156"/>
      <c r="U17" s="6"/>
    </row>
    <row r="18" spans="1:21" customFormat="1">
      <c r="A18" s="163" t="s">
        <v>825</v>
      </c>
      <c r="B18" s="100">
        <v>3.07</v>
      </c>
      <c r="C18" s="100">
        <v>4.92</v>
      </c>
      <c r="D18" s="100">
        <v>1.96</v>
      </c>
      <c r="E18" s="100">
        <v>5.59</v>
      </c>
      <c r="F18" s="100">
        <v>1.8</v>
      </c>
      <c r="G18" s="100">
        <v>10.33</v>
      </c>
      <c r="H18" s="100">
        <v>11.99</v>
      </c>
      <c r="I18" s="100">
        <v>6.16</v>
      </c>
      <c r="J18" s="100">
        <v>0.46</v>
      </c>
      <c r="K18" s="100">
        <v>255.57</v>
      </c>
      <c r="L18" s="100">
        <v>24.46</v>
      </c>
      <c r="M18" s="100">
        <v>100.15</v>
      </c>
      <c r="N18" s="100">
        <v>2.4</v>
      </c>
      <c r="O18" s="100">
        <v>0.8</v>
      </c>
      <c r="P18" s="100">
        <v>0.22</v>
      </c>
      <c r="Q18" s="151" t="s">
        <v>8</v>
      </c>
      <c r="R18" s="6"/>
      <c r="S18" s="6"/>
      <c r="T18" s="156"/>
      <c r="U18" s="6"/>
    </row>
    <row r="19" spans="1:21" customFormat="1">
      <c r="A19" s="163" t="s">
        <v>826</v>
      </c>
      <c r="B19" s="100">
        <v>3.13</v>
      </c>
      <c r="C19" s="100">
        <v>4.9800000000000004</v>
      </c>
      <c r="D19" s="100">
        <v>1.97</v>
      </c>
      <c r="E19" s="100">
        <v>5.89</v>
      </c>
      <c r="F19" s="100">
        <v>1.55</v>
      </c>
      <c r="G19" s="100">
        <v>7.75</v>
      </c>
      <c r="H19" s="100">
        <v>8.86</v>
      </c>
      <c r="I19" s="100">
        <v>6.28</v>
      </c>
      <c r="J19" s="100">
        <v>0.55000000000000004</v>
      </c>
      <c r="K19" s="100">
        <v>260.60000000000002</v>
      </c>
      <c r="L19" s="100">
        <v>24.45</v>
      </c>
      <c r="M19" s="100">
        <v>100.15</v>
      </c>
      <c r="N19" s="100">
        <v>2.5</v>
      </c>
      <c r="O19" s="100">
        <v>0.4</v>
      </c>
      <c r="P19" s="100">
        <v>0.2</v>
      </c>
      <c r="Q19" s="151" t="s">
        <v>8</v>
      </c>
      <c r="R19" s="6"/>
      <c r="S19" s="6"/>
      <c r="T19" s="156"/>
      <c r="U19" s="6"/>
    </row>
    <row r="20" spans="1:21" customFormat="1">
      <c r="A20" s="163" t="s">
        <v>827</v>
      </c>
      <c r="B20" s="100">
        <v>3.13</v>
      </c>
      <c r="C20" s="100">
        <v>4.9400000000000004</v>
      </c>
      <c r="D20" s="100">
        <v>1.94</v>
      </c>
      <c r="E20" s="100">
        <v>6.1</v>
      </c>
      <c r="F20" s="100">
        <v>2.15</v>
      </c>
      <c r="G20" s="100">
        <v>7.5</v>
      </c>
      <c r="H20" s="100">
        <v>8.86</v>
      </c>
      <c r="I20" s="100">
        <v>6.55</v>
      </c>
      <c r="J20" s="100">
        <v>0.51</v>
      </c>
      <c r="K20" s="100">
        <v>263.14999999999998</v>
      </c>
      <c r="L20" s="100">
        <v>24.45</v>
      </c>
      <c r="M20" s="100">
        <v>100.16</v>
      </c>
      <c r="N20" s="100">
        <v>2.4</v>
      </c>
      <c r="O20" s="100">
        <v>0.2</v>
      </c>
      <c r="P20" s="100">
        <v>0.22</v>
      </c>
      <c r="Q20" s="151" t="s">
        <v>8</v>
      </c>
      <c r="R20" s="6"/>
      <c r="S20" s="6"/>
      <c r="T20" s="156"/>
      <c r="U20" s="6"/>
    </row>
    <row r="21" spans="1:21" customFormat="1">
      <c r="A21" s="163" t="s">
        <v>828</v>
      </c>
      <c r="B21" s="100">
        <v>3.17</v>
      </c>
      <c r="C21" s="100">
        <v>4.97</v>
      </c>
      <c r="D21" s="100">
        <v>1.94</v>
      </c>
      <c r="E21" s="100">
        <v>5.7</v>
      </c>
      <c r="F21" s="100">
        <v>1.38</v>
      </c>
      <c r="G21" s="100">
        <v>7.5</v>
      </c>
      <c r="H21" s="100">
        <v>8.86</v>
      </c>
      <c r="I21" s="100">
        <v>6.6</v>
      </c>
      <c r="J21" s="100">
        <v>0.48</v>
      </c>
      <c r="K21" s="100">
        <v>262.41000000000003</v>
      </c>
      <c r="L21" s="100">
        <v>24.45</v>
      </c>
      <c r="M21" s="100">
        <v>100.16</v>
      </c>
      <c r="N21" s="100">
        <v>2.4</v>
      </c>
      <c r="O21" s="100">
        <v>0.4</v>
      </c>
      <c r="P21" s="100">
        <v>0.2</v>
      </c>
      <c r="Q21" s="151" t="s">
        <v>8</v>
      </c>
      <c r="R21" s="6"/>
      <c r="S21" s="6"/>
      <c r="T21" s="156"/>
      <c r="U21" s="6"/>
    </row>
    <row r="22" spans="1:21" customFormat="1">
      <c r="A22" s="163" t="s">
        <v>829</v>
      </c>
      <c r="B22" s="100">
        <v>3.16</v>
      </c>
      <c r="C22" s="100">
        <v>4.96</v>
      </c>
      <c r="D22" s="100">
        <v>1.93</v>
      </c>
      <c r="E22" s="100">
        <v>5.78</v>
      </c>
      <c r="F22" s="100">
        <v>2.2799999999999998</v>
      </c>
      <c r="G22" s="100">
        <v>7.5</v>
      </c>
      <c r="H22" s="100">
        <v>8.86</v>
      </c>
      <c r="I22" s="100">
        <v>6.49</v>
      </c>
      <c r="J22" s="100">
        <v>0.62</v>
      </c>
      <c r="K22" s="100">
        <v>258.77</v>
      </c>
      <c r="L22" s="100">
        <v>24.41</v>
      </c>
      <c r="M22" s="100">
        <v>100.17</v>
      </c>
      <c r="N22" s="100">
        <v>2.5</v>
      </c>
      <c r="O22" s="100">
        <v>0.8</v>
      </c>
      <c r="P22" s="100">
        <v>0.21</v>
      </c>
      <c r="Q22" s="151" t="s">
        <v>8</v>
      </c>
      <c r="R22" s="6"/>
      <c r="S22" s="6"/>
      <c r="T22" s="156"/>
      <c r="U22" s="6"/>
    </row>
    <row r="23" spans="1:21" customFormat="1">
      <c r="A23" s="163" t="s">
        <v>830</v>
      </c>
      <c r="B23" s="100">
        <v>3.17</v>
      </c>
      <c r="C23" s="100">
        <v>4.96</v>
      </c>
      <c r="D23" s="100">
        <v>1.93</v>
      </c>
      <c r="E23" s="100">
        <v>5.08</v>
      </c>
      <c r="F23" s="100">
        <v>1.39</v>
      </c>
      <c r="G23" s="100">
        <v>6.27</v>
      </c>
      <c r="H23" s="100">
        <v>8.1999999999999993</v>
      </c>
      <c r="I23" s="100">
        <v>6.28</v>
      </c>
      <c r="J23" s="100">
        <v>0.7</v>
      </c>
      <c r="K23" s="100">
        <v>260</v>
      </c>
      <c r="L23" s="100">
        <v>24.39</v>
      </c>
      <c r="M23" s="100">
        <v>100.17</v>
      </c>
      <c r="N23" s="100">
        <v>2.5</v>
      </c>
      <c r="O23" s="100">
        <v>0.4</v>
      </c>
      <c r="P23" s="100">
        <v>0.2</v>
      </c>
      <c r="Q23" s="151" t="s">
        <v>8</v>
      </c>
      <c r="R23" s="6"/>
      <c r="S23" s="6"/>
      <c r="T23" s="156"/>
      <c r="U23" s="6"/>
    </row>
    <row r="24" spans="1:21" customFormat="1">
      <c r="A24" s="163" t="s">
        <v>831</v>
      </c>
      <c r="B24" s="100">
        <v>3.18</v>
      </c>
      <c r="C24" s="100">
        <v>4.9400000000000004</v>
      </c>
      <c r="D24" s="100">
        <v>1.91</v>
      </c>
      <c r="E24" s="100">
        <v>5.57</v>
      </c>
      <c r="F24" s="100">
        <v>2.25</v>
      </c>
      <c r="G24" s="100">
        <v>6.15</v>
      </c>
      <c r="H24" s="100">
        <v>8.1999999999999993</v>
      </c>
      <c r="I24" s="100">
        <v>6.36</v>
      </c>
      <c r="J24" s="100">
        <v>0.75</v>
      </c>
      <c r="K24" s="100">
        <v>260.27</v>
      </c>
      <c r="L24" s="100">
        <v>24.38</v>
      </c>
      <c r="M24" s="100">
        <v>100.17</v>
      </c>
      <c r="N24" s="100">
        <v>2.4</v>
      </c>
      <c r="O24" s="100">
        <v>0.6</v>
      </c>
      <c r="P24" s="100">
        <v>0.2</v>
      </c>
      <c r="Q24" s="151" t="s">
        <v>8</v>
      </c>
      <c r="R24" s="6"/>
      <c r="S24" s="6"/>
      <c r="T24" s="156"/>
      <c r="U24" s="6"/>
    </row>
    <row r="25" spans="1:21" customFormat="1">
      <c r="A25" s="163" t="s">
        <v>832</v>
      </c>
      <c r="B25" s="100">
        <v>3.17</v>
      </c>
      <c r="C25" s="100">
        <v>4.95</v>
      </c>
      <c r="D25" s="100">
        <v>1.92</v>
      </c>
      <c r="E25" s="100">
        <v>5.61</v>
      </c>
      <c r="F25" s="100">
        <v>1.26</v>
      </c>
      <c r="G25" s="100">
        <v>6.15</v>
      </c>
      <c r="H25" s="100">
        <v>8.1999999999999993</v>
      </c>
      <c r="I25" s="100">
        <v>6.31</v>
      </c>
      <c r="J25" s="100">
        <v>0.66</v>
      </c>
      <c r="K25" s="100">
        <v>261.12</v>
      </c>
      <c r="L25" s="100">
        <v>24.37</v>
      </c>
      <c r="M25" s="100">
        <v>100.18</v>
      </c>
      <c r="N25" s="100">
        <v>2.4</v>
      </c>
      <c r="O25" s="100">
        <v>0.4</v>
      </c>
      <c r="P25" s="100">
        <v>0.19</v>
      </c>
      <c r="Q25" s="151" t="s">
        <v>8</v>
      </c>
      <c r="R25" s="6"/>
      <c r="S25" s="6"/>
      <c r="T25" s="156"/>
      <c r="U25" s="6"/>
    </row>
    <row r="26" spans="1:21" customFormat="1">
      <c r="A26" s="163" t="s">
        <v>833</v>
      </c>
      <c r="B26" s="100">
        <v>3.19</v>
      </c>
      <c r="C26" s="100">
        <v>4.96</v>
      </c>
      <c r="D26" s="100">
        <v>1.92</v>
      </c>
      <c r="E26" s="100">
        <v>5.44</v>
      </c>
      <c r="F26" s="100">
        <v>1.95</v>
      </c>
      <c r="G26" s="100">
        <v>6.15</v>
      </c>
      <c r="H26" s="100">
        <v>8.1999999999999993</v>
      </c>
      <c r="I26" s="100">
        <v>6.19</v>
      </c>
      <c r="J26" s="100">
        <v>0.54</v>
      </c>
      <c r="K26" s="100">
        <v>263.51</v>
      </c>
      <c r="L26" s="100">
        <v>24.35</v>
      </c>
      <c r="M26" s="100">
        <v>100.17</v>
      </c>
      <c r="N26" s="100">
        <v>2.4</v>
      </c>
      <c r="O26" s="100">
        <v>1</v>
      </c>
      <c r="P26" s="100">
        <v>0.18</v>
      </c>
      <c r="Q26" s="151" t="s">
        <v>8</v>
      </c>
      <c r="R26" s="6"/>
      <c r="S26" s="6"/>
      <c r="T26" s="156"/>
      <c r="U26" s="6"/>
    </row>
    <row r="27" spans="1:21" customFormat="1">
      <c r="A27" s="163" t="s">
        <v>834</v>
      </c>
      <c r="B27" s="100">
        <v>3.18</v>
      </c>
      <c r="C27" s="100">
        <v>4.96</v>
      </c>
      <c r="D27" s="100">
        <v>1.93</v>
      </c>
      <c r="E27" s="100">
        <v>5.43</v>
      </c>
      <c r="F27" s="100">
        <v>1.65</v>
      </c>
      <c r="G27" s="100">
        <v>8.3699999999999992</v>
      </c>
      <c r="H27" s="100">
        <v>7.32</v>
      </c>
      <c r="I27" s="100">
        <v>6.01</v>
      </c>
      <c r="J27" s="100">
        <v>0.56000000000000005</v>
      </c>
      <c r="K27" s="100">
        <v>260.60000000000002</v>
      </c>
      <c r="L27" s="100">
        <v>24.32</v>
      </c>
      <c r="M27" s="100">
        <v>100.18</v>
      </c>
      <c r="N27" s="100">
        <v>2.4</v>
      </c>
      <c r="O27" s="100">
        <v>1.2</v>
      </c>
      <c r="P27" s="100">
        <v>0.2</v>
      </c>
      <c r="Q27" s="151" t="s">
        <v>8</v>
      </c>
      <c r="R27" s="6"/>
      <c r="S27" s="6"/>
      <c r="T27" s="156"/>
      <c r="U27" s="6"/>
    </row>
    <row r="28" spans="1:21" customFormat="1">
      <c r="A28" s="163" t="s">
        <v>835</v>
      </c>
      <c r="B28" s="100">
        <v>3.2</v>
      </c>
      <c r="C28" s="100">
        <v>5</v>
      </c>
      <c r="D28" s="100">
        <v>1.94</v>
      </c>
      <c r="E28" s="100">
        <v>5.58</v>
      </c>
      <c r="F28" s="100">
        <v>1.17</v>
      </c>
      <c r="G28" s="100">
        <v>8.58</v>
      </c>
      <c r="H28" s="100">
        <v>7.32</v>
      </c>
      <c r="I28" s="100">
        <v>6.09</v>
      </c>
      <c r="J28" s="100">
        <v>0.55000000000000004</v>
      </c>
      <c r="K28" s="100">
        <v>260.17</v>
      </c>
      <c r="L28" s="100">
        <v>24.3</v>
      </c>
      <c r="M28" s="100">
        <v>100.18</v>
      </c>
      <c r="N28" s="100">
        <v>2.4</v>
      </c>
      <c r="O28" s="100">
        <v>1</v>
      </c>
      <c r="P28" s="100">
        <v>0.18</v>
      </c>
      <c r="Q28" s="151" t="s">
        <v>8</v>
      </c>
      <c r="R28" s="6"/>
      <c r="S28" s="6"/>
      <c r="T28" s="156"/>
      <c r="U28" s="6"/>
    </row>
    <row r="29" spans="1:21" customFormat="1">
      <c r="A29" s="163" t="s">
        <v>836</v>
      </c>
      <c r="B29" s="100">
        <v>3.22</v>
      </c>
      <c r="C29" s="100">
        <v>5</v>
      </c>
      <c r="D29" s="100">
        <v>1.93</v>
      </c>
      <c r="E29" s="100">
        <v>5.38</v>
      </c>
      <c r="F29" s="100">
        <v>2.17</v>
      </c>
      <c r="G29" s="100">
        <v>8.58</v>
      </c>
      <c r="H29" s="100">
        <v>7.32</v>
      </c>
      <c r="I29" s="100">
        <v>6.11</v>
      </c>
      <c r="J29" s="100">
        <v>0.47</v>
      </c>
      <c r="K29" s="100">
        <v>260.57</v>
      </c>
      <c r="L29" s="100">
        <v>24.32</v>
      </c>
      <c r="M29" s="100">
        <v>100.18</v>
      </c>
      <c r="N29" s="100">
        <v>2.4</v>
      </c>
      <c r="O29" s="100">
        <v>0.4</v>
      </c>
      <c r="P29" s="100">
        <v>0.19</v>
      </c>
      <c r="Q29" s="151" t="s">
        <v>8</v>
      </c>
      <c r="R29" s="6"/>
      <c r="S29" s="6"/>
      <c r="T29" s="156"/>
      <c r="U29" s="6"/>
    </row>
    <row r="30" spans="1:21" customFormat="1">
      <c r="A30" s="163" t="s">
        <v>837</v>
      </c>
      <c r="B30" s="100">
        <v>3.23</v>
      </c>
      <c r="C30" s="100">
        <v>5.03</v>
      </c>
      <c r="D30" s="100">
        <v>1.95</v>
      </c>
      <c r="E30" s="100">
        <v>5.78</v>
      </c>
      <c r="F30" s="100">
        <v>1.22</v>
      </c>
      <c r="G30" s="100">
        <v>8.58</v>
      </c>
      <c r="H30" s="100">
        <v>7.32</v>
      </c>
      <c r="I30" s="100">
        <v>6</v>
      </c>
      <c r="J30" s="100">
        <v>0.42</v>
      </c>
      <c r="K30" s="100">
        <v>258.06</v>
      </c>
      <c r="L30" s="100">
        <v>24.34</v>
      </c>
      <c r="M30" s="100">
        <v>100.18</v>
      </c>
      <c r="N30" s="100">
        <v>2.6</v>
      </c>
      <c r="O30" s="100">
        <v>0.4</v>
      </c>
      <c r="P30" s="100">
        <v>0.2</v>
      </c>
      <c r="Q30" s="151" t="s">
        <v>8</v>
      </c>
      <c r="R30" s="6"/>
      <c r="S30" s="6"/>
      <c r="T30" s="156"/>
      <c r="U30" s="6"/>
    </row>
    <row r="31" spans="1:21" customFormat="1">
      <c r="A31" s="163" t="s">
        <v>838</v>
      </c>
      <c r="B31" s="100">
        <v>3.24</v>
      </c>
      <c r="C31" s="100">
        <v>5.1100000000000003</v>
      </c>
      <c r="D31" s="100">
        <v>2</v>
      </c>
      <c r="E31" s="100">
        <v>5.67</v>
      </c>
      <c r="F31" s="100">
        <v>1.84</v>
      </c>
      <c r="G31" s="100">
        <v>15.42</v>
      </c>
      <c r="H31" s="100">
        <v>7.94</v>
      </c>
      <c r="I31" s="100">
        <v>6.13</v>
      </c>
      <c r="J31" s="100">
        <v>0.48</v>
      </c>
      <c r="K31" s="100">
        <v>267.88</v>
      </c>
      <c r="L31" s="100">
        <v>24.36</v>
      </c>
      <c r="M31" s="100">
        <v>100.18</v>
      </c>
      <c r="N31" s="100">
        <v>3.1</v>
      </c>
      <c r="O31" s="100">
        <v>0.6</v>
      </c>
      <c r="P31" s="100">
        <v>0.2</v>
      </c>
      <c r="Q31" s="151" t="s">
        <v>8</v>
      </c>
      <c r="R31" s="6"/>
      <c r="S31" s="6"/>
      <c r="T31" s="156"/>
      <c r="U31" s="6"/>
    </row>
    <row r="32" spans="1:21" customFormat="1">
      <c r="A32" s="163" t="s">
        <v>839</v>
      </c>
      <c r="B32" s="100">
        <v>3.23</v>
      </c>
      <c r="C32" s="100">
        <v>5.19</v>
      </c>
      <c r="D32" s="100">
        <v>2.08</v>
      </c>
      <c r="E32" s="100">
        <v>5.47</v>
      </c>
      <c r="F32" s="100">
        <v>1.79</v>
      </c>
      <c r="G32" s="100">
        <v>15.99</v>
      </c>
      <c r="H32" s="100">
        <v>7.94</v>
      </c>
      <c r="I32" s="100">
        <v>6.15</v>
      </c>
      <c r="J32" s="100">
        <v>0.45</v>
      </c>
      <c r="K32" s="100">
        <v>265.3</v>
      </c>
      <c r="L32" s="100">
        <v>24.41</v>
      </c>
      <c r="M32" s="100">
        <v>100.18</v>
      </c>
      <c r="N32" s="100">
        <v>3.9</v>
      </c>
      <c r="O32" s="100">
        <v>0.4</v>
      </c>
      <c r="P32" s="100">
        <v>0.22</v>
      </c>
      <c r="Q32" s="151" t="s">
        <v>8</v>
      </c>
      <c r="R32" s="6"/>
      <c r="S32" s="6"/>
      <c r="T32" s="156"/>
      <c r="U32" s="6"/>
    </row>
    <row r="33" spans="1:21" customFormat="1">
      <c r="A33" s="163" t="s">
        <v>840</v>
      </c>
      <c r="B33" s="100">
        <v>3.23</v>
      </c>
      <c r="C33" s="100">
        <v>5.24</v>
      </c>
      <c r="D33" s="100">
        <v>2.11</v>
      </c>
      <c r="E33" s="100">
        <v>5.38</v>
      </c>
      <c r="F33" s="100">
        <v>1.65</v>
      </c>
      <c r="G33" s="100">
        <v>15.99</v>
      </c>
      <c r="H33" s="100">
        <v>7.94</v>
      </c>
      <c r="I33" s="100">
        <v>6.28</v>
      </c>
      <c r="J33" s="100">
        <v>0.43</v>
      </c>
      <c r="K33" s="100">
        <v>269.42</v>
      </c>
      <c r="L33" s="100">
        <v>24.42</v>
      </c>
      <c r="M33" s="100">
        <v>100.18</v>
      </c>
      <c r="N33" s="100">
        <v>5.6</v>
      </c>
      <c r="O33" s="100">
        <v>0.8</v>
      </c>
      <c r="P33" s="100">
        <v>0.23</v>
      </c>
      <c r="Q33" s="151" t="s">
        <v>8</v>
      </c>
      <c r="R33" s="6"/>
      <c r="S33" s="6"/>
      <c r="T33" s="156"/>
      <c r="U33" s="6"/>
    </row>
    <row r="34" spans="1:21" customFormat="1">
      <c r="A34" s="163" t="s">
        <v>841</v>
      </c>
      <c r="B34" s="100">
        <v>3.3</v>
      </c>
      <c r="C34" s="100">
        <v>5.33</v>
      </c>
      <c r="D34" s="100">
        <v>2.14</v>
      </c>
      <c r="E34" s="100">
        <v>5.47</v>
      </c>
      <c r="F34" s="100">
        <v>2.23</v>
      </c>
      <c r="G34" s="100">
        <v>15.99</v>
      </c>
      <c r="H34" s="100">
        <v>7.94</v>
      </c>
      <c r="I34" s="100">
        <v>6.5</v>
      </c>
      <c r="J34" s="100">
        <v>0.46</v>
      </c>
      <c r="K34" s="100">
        <v>287.27</v>
      </c>
      <c r="L34" s="100">
        <v>24.43</v>
      </c>
      <c r="M34" s="100">
        <v>100.18</v>
      </c>
      <c r="N34" s="100">
        <v>8.4</v>
      </c>
      <c r="O34" s="100">
        <v>0.6</v>
      </c>
      <c r="P34" s="100">
        <v>0.25</v>
      </c>
      <c r="Q34" s="151" t="s">
        <v>8</v>
      </c>
      <c r="R34" s="6"/>
      <c r="S34" s="6"/>
      <c r="T34" s="156"/>
      <c r="U34" s="6"/>
    </row>
    <row r="35" spans="1:21" customFormat="1">
      <c r="A35" s="163" t="s">
        <v>842</v>
      </c>
      <c r="B35" s="100">
        <v>3.4</v>
      </c>
      <c r="C35" s="100">
        <v>5.47</v>
      </c>
      <c r="D35" s="100">
        <v>2.19</v>
      </c>
      <c r="E35" s="100">
        <v>5.41</v>
      </c>
      <c r="F35" s="100">
        <v>1.47</v>
      </c>
      <c r="G35" s="100">
        <v>11.97</v>
      </c>
      <c r="H35" s="100">
        <v>7.48</v>
      </c>
      <c r="I35" s="100">
        <v>6.86</v>
      </c>
      <c r="J35" s="100">
        <v>0.42</v>
      </c>
      <c r="K35" s="100">
        <v>296.57</v>
      </c>
      <c r="L35" s="100">
        <v>24.44</v>
      </c>
      <c r="M35" s="100">
        <v>100.18</v>
      </c>
      <c r="N35" s="100">
        <v>9.5</v>
      </c>
      <c r="O35" s="100">
        <v>0.8</v>
      </c>
      <c r="P35" s="100">
        <v>0.25</v>
      </c>
      <c r="Q35" s="151" t="s">
        <v>8</v>
      </c>
      <c r="R35" s="6"/>
      <c r="S35" s="6"/>
      <c r="T35" s="156"/>
      <c r="U35" s="6"/>
    </row>
    <row r="36" spans="1:21" customFormat="1">
      <c r="A36" s="163" t="s">
        <v>843</v>
      </c>
      <c r="B36" s="100">
        <v>3.5</v>
      </c>
      <c r="C36" s="100">
        <v>5.57</v>
      </c>
      <c r="D36" s="100">
        <v>2.21</v>
      </c>
      <c r="E36" s="100">
        <v>5.66</v>
      </c>
      <c r="F36" s="100">
        <v>2.08</v>
      </c>
      <c r="G36" s="100">
        <v>11.63</v>
      </c>
      <c r="H36" s="100">
        <v>7.48</v>
      </c>
      <c r="I36" s="100">
        <v>7.24</v>
      </c>
      <c r="J36" s="100">
        <v>0.44</v>
      </c>
      <c r="K36" s="100">
        <v>299.60000000000002</v>
      </c>
      <c r="L36" s="100">
        <v>24.43</v>
      </c>
      <c r="M36" s="100">
        <v>100.18</v>
      </c>
      <c r="N36" s="100">
        <v>9.6999999999999993</v>
      </c>
      <c r="O36" s="100">
        <v>1</v>
      </c>
      <c r="P36" s="100">
        <v>0.25</v>
      </c>
      <c r="Q36" s="151" t="s">
        <v>8</v>
      </c>
      <c r="R36" s="6"/>
      <c r="S36" s="6"/>
      <c r="T36" s="156"/>
      <c r="U36" s="6"/>
    </row>
    <row r="37" spans="1:21" customFormat="1">
      <c r="A37" s="163" t="s">
        <v>844</v>
      </c>
      <c r="B37" s="100">
        <v>3.66</v>
      </c>
      <c r="C37" s="100">
        <v>5.74</v>
      </c>
      <c r="D37" s="100">
        <v>2.2400000000000002</v>
      </c>
      <c r="E37" s="100">
        <v>5.73</v>
      </c>
      <c r="F37" s="100">
        <v>1.9</v>
      </c>
      <c r="G37" s="100">
        <v>11.63</v>
      </c>
      <c r="H37" s="100">
        <v>7.48</v>
      </c>
      <c r="I37" s="100">
        <v>7.3</v>
      </c>
      <c r="J37" s="100">
        <v>0.47</v>
      </c>
      <c r="K37" s="100">
        <v>314.61</v>
      </c>
      <c r="L37" s="100">
        <v>24.41</v>
      </c>
      <c r="M37" s="100">
        <v>100.18</v>
      </c>
      <c r="N37" s="100">
        <v>12.6</v>
      </c>
      <c r="O37" s="100">
        <v>3.8</v>
      </c>
      <c r="P37" s="100">
        <v>0.25</v>
      </c>
      <c r="Q37" s="151" t="s">
        <v>8</v>
      </c>
      <c r="R37" s="6"/>
      <c r="S37" s="6"/>
      <c r="T37" s="156"/>
      <c r="U37" s="6"/>
    </row>
    <row r="38" spans="1:21" customFormat="1">
      <c r="A38" s="163" t="s">
        <v>845</v>
      </c>
      <c r="B38" s="100">
        <v>3.83</v>
      </c>
      <c r="C38" s="100">
        <v>5.92</v>
      </c>
      <c r="D38" s="100">
        <v>2.2799999999999998</v>
      </c>
      <c r="E38" s="100">
        <v>5.76</v>
      </c>
      <c r="F38" s="100">
        <v>1.52</v>
      </c>
      <c r="G38" s="100">
        <v>11.63</v>
      </c>
      <c r="H38" s="100">
        <v>7.48</v>
      </c>
      <c r="I38" s="100">
        <v>7.24</v>
      </c>
      <c r="J38" s="100">
        <v>0.37</v>
      </c>
      <c r="K38" s="100">
        <v>260.58</v>
      </c>
      <c r="L38" s="100">
        <v>24.41</v>
      </c>
      <c r="M38" s="100">
        <v>100.18</v>
      </c>
      <c r="N38" s="100">
        <v>16</v>
      </c>
      <c r="O38" s="100">
        <v>5.8</v>
      </c>
      <c r="P38" s="100">
        <v>0.25</v>
      </c>
      <c r="Q38" s="151" t="s">
        <v>8</v>
      </c>
      <c r="R38" s="6"/>
      <c r="S38" s="6"/>
      <c r="T38" s="156"/>
      <c r="U38" s="6"/>
    </row>
    <row r="39" spans="1:21" customFormat="1">
      <c r="A39" s="163" t="s">
        <v>846</v>
      </c>
      <c r="B39" s="100">
        <v>3.87</v>
      </c>
      <c r="C39" s="100">
        <v>5.96</v>
      </c>
      <c r="D39" s="100">
        <v>2.2799999999999998</v>
      </c>
      <c r="E39" s="100">
        <v>5.81</v>
      </c>
      <c r="F39" s="100">
        <v>1.51</v>
      </c>
      <c r="G39" s="100">
        <v>13.23</v>
      </c>
      <c r="H39" s="100">
        <v>5.57</v>
      </c>
      <c r="I39" s="100">
        <v>7.2</v>
      </c>
      <c r="J39" s="100">
        <v>0.17</v>
      </c>
      <c r="K39" s="100">
        <v>347.28</v>
      </c>
      <c r="L39" s="100">
        <v>24.35</v>
      </c>
      <c r="M39" s="100">
        <v>100.18</v>
      </c>
      <c r="N39" s="100">
        <v>12.6</v>
      </c>
      <c r="O39" s="100">
        <v>5.2</v>
      </c>
      <c r="P39" s="100">
        <v>0.24</v>
      </c>
      <c r="Q39" s="151" t="s">
        <v>8</v>
      </c>
      <c r="R39" s="6"/>
      <c r="S39" s="6"/>
      <c r="T39" s="156"/>
      <c r="U39" s="6"/>
    </row>
    <row r="40" spans="1:21" customFormat="1">
      <c r="A40" s="163" t="s">
        <v>847</v>
      </c>
      <c r="B40" s="100">
        <v>3.99</v>
      </c>
      <c r="C40" s="100">
        <v>6.07</v>
      </c>
      <c r="D40" s="100">
        <v>2.29</v>
      </c>
      <c r="E40" s="100">
        <v>6.04</v>
      </c>
      <c r="F40" s="100">
        <v>1.1299999999999999</v>
      </c>
      <c r="G40" s="100">
        <v>13.39</v>
      </c>
      <c r="H40" s="100">
        <v>5.57</v>
      </c>
      <c r="I40" s="100">
        <v>7.13</v>
      </c>
      <c r="J40" s="100">
        <v>0.15</v>
      </c>
      <c r="K40" s="100">
        <v>277.14999999999998</v>
      </c>
      <c r="L40" s="100">
        <v>24.4</v>
      </c>
      <c r="M40" s="100">
        <v>100.18</v>
      </c>
      <c r="N40" s="100">
        <v>13.9</v>
      </c>
      <c r="O40" s="100">
        <v>2.6</v>
      </c>
      <c r="P40" s="100">
        <v>0.24</v>
      </c>
      <c r="Q40" s="151" t="s">
        <v>8</v>
      </c>
      <c r="R40" s="6"/>
      <c r="S40" s="6"/>
      <c r="T40" s="156"/>
      <c r="U40" s="6"/>
    </row>
    <row r="41" spans="1:21" customFormat="1">
      <c r="A41" s="163" t="s">
        <v>848</v>
      </c>
      <c r="B41" s="100">
        <v>4.0999999999999996</v>
      </c>
      <c r="C41" s="100">
        <v>6.18</v>
      </c>
      <c r="D41" s="100">
        <v>2.31</v>
      </c>
      <c r="E41" s="100">
        <v>5.93</v>
      </c>
      <c r="F41" s="100">
        <v>1.47</v>
      </c>
      <c r="G41" s="100">
        <v>13.39</v>
      </c>
      <c r="H41" s="100">
        <v>5.57</v>
      </c>
      <c r="I41" s="100">
        <v>7.07</v>
      </c>
      <c r="J41" s="100">
        <v>0.76</v>
      </c>
      <c r="K41" s="100">
        <v>309.8</v>
      </c>
      <c r="L41" s="100">
        <v>24.36</v>
      </c>
      <c r="M41" s="100">
        <v>100.18</v>
      </c>
      <c r="N41" s="100">
        <v>24.2</v>
      </c>
      <c r="O41" s="100">
        <v>0.6</v>
      </c>
      <c r="P41" s="100">
        <v>0.24</v>
      </c>
      <c r="Q41" s="151" t="s">
        <v>8</v>
      </c>
      <c r="R41" s="6"/>
      <c r="S41" s="6"/>
      <c r="T41" s="156"/>
      <c r="U41" s="6"/>
    </row>
    <row r="42" spans="1:21" customFormat="1">
      <c r="A42" s="163" t="s">
        <v>849</v>
      </c>
      <c r="B42" s="100">
        <v>4.16</v>
      </c>
      <c r="C42" s="100">
        <v>6.22</v>
      </c>
      <c r="D42" s="100">
        <v>2.31</v>
      </c>
      <c r="E42" s="100">
        <v>6.23</v>
      </c>
      <c r="F42" s="100">
        <v>1.61</v>
      </c>
      <c r="G42" s="100">
        <v>13.39</v>
      </c>
      <c r="H42" s="100">
        <v>5.57</v>
      </c>
      <c r="I42" s="100">
        <v>7.01</v>
      </c>
      <c r="J42" s="100">
        <v>0.99</v>
      </c>
      <c r="K42" s="100">
        <v>305.89999999999998</v>
      </c>
      <c r="L42" s="100">
        <v>24.36</v>
      </c>
      <c r="M42" s="100">
        <v>100.18</v>
      </c>
      <c r="N42" s="100">
        <v>21.9</v>
      </c>
      <c r="O42" s="100">
        <v>0.2</v>
      </c>
      <c r="P42" s="100">
        <v>0.24</v>
      </c>
      <c r="Q42" s="151" t="s">
        <v>8</v>
      </c>
      <c r="R42" s="6"/>
      <c r="S42" s="6"/>
      <c r="T42" s="156"/>
      <c r="U42" s="6"/>
    </row>
    <row r="43" spans="1:21" customFormat="1">
      <c r="A43" s="163" t="s">
        <v>850</v>
      </c>
      <c r="B43" s="100">
        <v>4.16</v>
      </c>
      <c r="C43" s="100">
        <v>6.22</v>
      </c>
      <c r="D43" s="100">
        <v>2.2999999999999998</v>
      </c>
      <c r="E43" s="100">
        <v>6.28</v>
      </c>
      <c r="F43" s="100">
        <v>1.41</v>
      </c>
      <c r="G43" s="100">
        <v>11.89</v>
      </c>
      <c r="H43" s="100">
        <v>4.16</v>
      </c>
      <c r="I43" s="100">
        <v>6.96</v>
      </c>
      <c r="J43" s="100">
        <v>1.01</v>
      </c>
      <c r="K43" s="100">
        <v>301.04000000000002</v>
      </c>
      <c r="L43" s="100">
        <v>24.37</v>
      </c>
      <c r="M43" s="100">
        <v>100.18</v>
      </c>
      <c r="N43" s="100">
        <v>24.2</v>
      </c>
      <c r="O43" s="100">
        <v>0.2</v>
      </c>
      <c r="P43" s="100">
        <v>0.24</v>
      </c>
      <c r="Q43" s="151" t="s">
        <v>8</v>
      </c>
      <c r="R43" s="6"/>
      <c r="S43" s="6"/>
      <c r="T43" s="156"/>
      <c r="U43" s="6"/>
    </row>
    <row r="44" spans="1:21" customFormat="1">
      <c r="A44" s="163" t="s">
        <v>851</v>
      </c>
      <c r="B44" s="100">
        <v>4.1399999999999997</v>
      </c>
      <c r="C44" s="100">
        <v>6.19</v>
      </c>
      <c r="D44" s="100">
        <v>2.29</v>
      </c>
      <c r="E44" s="100">
        <v>6.28</v>
      </c>
      <c r="F44" s="100">
        <v>1.84</v>
      </c>
      <c r="G44" s="100">
        <v>11.76</v>
      </c>
      <c r="H44" s="100">
        <v>4.16</v>
      </c>
      <c r="I44" s="100">
        <v>6.89</v>
      </c>
      <c r="J44" s="100">
        <v>1.1499999999999999</v>
      </c>
      <c r="K44" s="100">
        <v>306.77999999999997</v>
      </c>
      <c r="L44" s="100">
        <v>24.35</v>
      </c>
      <c r="M44" s="100">
        <v>100.19</v>
      </c>
      <c r="N44" s="100">
        <v>22.2</v>
      </c>
      <c r="O44" s="100">
        <v>0</v>
      </c>
      <c r="P44" s="100">
        <v>0.24</v>
      </c>
      <c r="Q44" s="151" t="s">
        <v>8</v>
      </c>
      <c r="R44" s="6"/>
      <c r="S44" s="6"/>
      <c r="T44" s="156"/>
      <c r="U44" s="6"/>
    </row>
    <row r="45" spans="1:21" customFormat="1">
      <c r="A45" s="163" t="s">
        <v>852</v>
      </c>
      <c r="B45" s="100">
        <v>4.1100000000000003</v>
      </c>
      <c r="C45" s="100">
        <v>6.16</v>
      </c>
      <c r="D45" s="100">
        <v>2.2799999999999998</v>
      </c>
      <c r="E45" s="100">
        <v>6.34</v>
      </c>
      <c r="F45" s="100">
        <v>2.21</v>
      </c>
      <c r="G45" s="100">
        <v>11.76</v>
      </c>
      <c r="H45" s="100">
        <v>4.16</v>
      </c>
      <c r="I45" s="100">
        <v>6.79</v>
      </c>
      <c r="J45" s="100">
        <v>0.82</v>
      </c>
      <c r="K45" s="100">
        <v>274.77999999999997</v>
      </c>
      <c r="L45" s="100">
        <v>24.29</v>
      </c>
      <c r="M45" s="100">
        <v>100.2</v>
      </c>
      <c r="N45" s="100">
        <v>29.2</v>
      </c>
      <c r="O45" s="100">
        <v>0.2</v>
      </c>
      <c r="P45" s="100">
        <v>0.24</v>
      </c>
      <c r="Q45" s="151" t="s">
        <v>8</v>
      </c>
      <c r="R45" s="6"/>
      <c r="S45" s="6"/>
      <c r="T45" s="156"/>
      <c r="U45" s="6"/>
    </row>
    <row r="46" spans="1:21" customFormat="1">
      <c r="A46" s="163" t="s">
        <v>853</v>
      </c>
      <c r="B46" s="100">
        <v>4.09</v>
      </c>
      <c r="C46" s="100">
        <v>6.15</v>
      </c>
      <c r="D46" s="100">
        <v>2.29</v>
      </c>
      <c r="E46" s="100">
        <v>6.12</v>
      </c>
      <c r="F46" s="100">
        <v>2.08</v>
      </c>
      <c r="G46" s="100">
        <v>11.76</v>
      </c>
      <c r="H46" s="100">
        <v>4.16</v>
      </c>
      <c r="I46" s="100">
        <v>6.7</v>
      </c>
      <c r="J46" s="100">
        <v>0.89</v>
      </c>
      <c r="K46" s="100">
        <v>294.23</v>
      </c>
      <c r="L46" s="100">
        <v>24.34</v>
      </c>
      <c r="M46" s="100">
        <v>100.2</v>
      </c>
      <c r="N46" s="100">
        <v>52.8</v>
      </c>
      <c r="O46" s="100">
        <v>0</v>
      </c>
      <c r="P46" s="100">
        <v>0.23</v>
      </c>
      <c r="Q46" s="151" t="s">
        <v>8</v>
      </c>
      <c r="R46" s="6"/>
      <c r="S46" s="6"/>
      <c r="T46" s="156"/>
      <c r="U46" s="6"/>
    </row>
    <row r="47" spans="1:21" customFormat="1">
      <c r="A47" s="163" t="s">
        <v>854</v>
      </c>
      <c r="B47" s="100">
        <v>4.07</v>
      </c>
      <c r="C47" s="100">
        <v>6.14</v>
      </c>
      <c r="D47" s="100">
        <v>2.2999999999999998</v>
      </c>
      <c r="E47" s="100">
        <v>6.28</v>
      </c>
      <c r="F47" s="100">
        <v>1.84</v>
      </c>
      <c r="G47" s="100">
        <v>9.16</v>
      </c>
      <c r="H47" s="100">
        <v>2.96</v>
      </c>
      <c r="I47" s="100">
        <v>6.57</v>
      </c>
      <c r="J47" s="100">
        <v>0.88</v>
      </c>
      <c r="K47" s="100">
        <v>272.55</v>
      </c>
      <c r="L47" s="100">
        <v>24.39</v>
      </c>
      <c r="M47" s="100">
        <v>100.2</v>
      </c>
      <c r="N47" s="100">
        <v>70</v>
      </c>
      <c r="O47" s="100">
        <v>0</v>
      </c>
      <c r="P47" s="100">
        <v>0.23</v>
      </c>
      <c r="Q47" s="151" t="s">
        <v>8</v>
      </c>
      <c r="R47" s="6"/>
      <c r="S47" s="6"/>
      <c r="T47" s="156"/>
      <c r="U47" s="6"/>
    </row>
    <row r="48" spans="1:21" customFormat="1">
      <c r="A48" s="163" t="s">
        <v>855</v>
      </c>
      <c r="B48" s="100">
        <v>4.04</v>
      </c>
      <c r="C48" s="100">
        <v>6.11</v>
      </c>
      <c r="D48" s="100">
        <v>2.29</v>
      </c>
      <c r="E48" s="100">
        <v>6.33</v>
      </c>
      <c r="F48" s="100">
        <v>2.1800000000000002</v>
      </c>
      <c r="G48" s="100">
        <v>8.94</v>
      </c>
      <c r="H48" s="100">
        <v>2.96</v>
      </c>
      <c r="I48" s="100">
        <v>6.48</v>
      </c>
      <c r="J48" s="100">
        <v>0.9</v>
      </c>
      <c r="K48" s="100">
        <v>268.77</v>
      </c>
      <c r="L48" s="100">
        <v>24.53</v>
      </c>
      <c r="M48" s="100">
        <v>100.2</v>
      </c>
      <c r="N48" s="100">
        <v>102.7</v>
      </c>
      <c r="O48" s="100">
        <v>0</v>
      </c>
      <c r="P48" s="100">
        <v>0.23</v>
      </c>
      <c r="Q48" s="151" t="s">
        <v>8</v>
      </c>
      <c r="R48" s="6"/>
      <c r="S48" s="6"/>
      <c r="T48" s="156"/>
      <c r="U48" s="6"/>
    </row>
    <row r="49" spans="1:21" customFormat="1">
      <c r="A49" s="163" t="s">
        <v>856</v>
      </c>
      <c r="B49" s="100">
        <v>3.98</v>
      </c>
      <c r="C49" s="100">
        <v>6.05</v>
      </c>
      <c r="D49" s="100">
        <v>2.2799999999999998</v>
      </c>
      <c r="E49" s="100">
        <v>4.12</v>
      </c>
      <c r="F49" s="100">
        <v>1.97</v>
      </c>
      <c r="G49" s="100">
        <v>8.94</v>
      </c>
      <c r="H49" s="100">
        <v>2.96</v>
      </c>
      <c r="I49" s="100">
        <v>6.38</v>
      </c>
      <c r="J49" s="100">
        <v>0.88</v>
      </c>
      <c r="K49" s="100">
        <v>267.56</v>
      </c>
      <c r="L49" s="100">
        <v>24.68</v>
      </c>
      <c r="M49" s="100">
        <v>100.2</v>
      </c>
      <c r="N49" s="100">
        <v>98.2</v>
      </c>
      <c r="O49" s="100">
        <v>0</v>
      </c>
      <c r="P49" s="100">
        <v>0.23</v>
      </c>
      <c r="Q49" s="151" t="s">
        <v>8</v>
      </c>
      <c r="R49" s="6"/>
      <c r="S49" s="6"/>
      <c r="T49" s="156"/>
      <c r="U49" s="6"/>
    </row>
    <row r="50" spans="1:21" customFormat="1">
      <c r="A50" s="163" t="s">
        <v>857</v>
      </c>
      <c r="B50" s="100">
        <v>3.9</v>
      </c>
      <c r="C50" s="100">
        <v>5.98</v>
      </c>
      <c r="D50" s="100">
        <v>2.27</v>
      </c>
      <c r="E50" s="100">
        <v>5.08</v>
      </c>
      <c r="F50" s="100">
        <v>1.9</v>
      </c>
      <c r="G50" s="100">
        <v>8.94</v>
      </c>
      <c r="H50" s="100">
        <v>2.96</v>
      </c>
      <c r="I50" s="100">
        <v>6.33</v>
      </c>
      <c r="J50" s="100">
        <v>0.77</v>
      </c>
      <c r="K50" s="100">
        <v>282.99</v>
      </c>
      <c r="L50" s="100">
        <v>24.75</v>
      </c>
      <c r="M50" s="100">
        <v>100.15</v>
      </c>
      <c r="N50" s="100">
        <v>83.2</v>
      </c>
      <c r="O50" s="100">
        <v>0.2</v>
      </c>
      <c r="P50" s="100">
        <v>0.23</v>
      </c>
      <c r="Q50" s="151" t="s">
        <v>8</v>
      </c>
      <c r="R50" s="6"/>
      <c r="S50" s="6"/>
      <c r="T50" s="156"/>
      <c r="U50" s="6"/>
    </row>
    <row r="51" spans="1:21" customFormat="1">
      <c r="A51" s="163" t="s">
        <v>858</v>
      </c>
      <c r="B51" s="100">
        <v>3.86</v>
      </c>
      <c r="C51" s="100">
        <v>5.93</v>
      </c>
      <c r="D51" s="100">
        <v>2.2599999999999998</v>
      </c>
      <c r="E51" s="100">
        <v>5.01</v>
      </c>
      <c r="F51" s="100">
        <v>1.92</v>
      </c>
      <c r="G51" s="100">
        <v>6.66</v>
      </c>
      <c r="H51" s="100">
        <v>3.93</v>
      </c>
      <c r="I51" s="100">
        <v>6.3</v>
      </c>
      <c r="J51" s="100">
        <v>0.93</v>
      </c>
      <c r="K51" s="100">
        <v>291.27999999999997</v>
      </c>
      <c r="L51" s="100">
        <v>24.73</v>
      </c>
      <c r="M51" s="100">
        <v>100.04</v>
      </c>
      <c r="N51" s="100">
        <v>65.8</v>
      </c>
      <c r="O51" s="100">
        <v>0.6</v>
      </c>
      <c r="P51" s="100">
        <v>0.24</v>
      </c>
      <c r="Q51" s="151" t="s">
        <v>8</v>
      </c>
      <c r="R51" s="6"/>
      <c r="S51" s="6"/>
      <c r="T51" s="156"/>
      <c r="U51" s="6"/>
    </row>
    <row r="52" spans="1:21" customFormat="1">
      <c r="A52" s="163" t="s">
        <v>859</v>
      </c>
      <c r="B52" s="100">
        <v>3.95</v>
      </c>
      <c r="C52" s="100">
        <v>5.99</v>
      </c>
      <c r="D52" s="100">
        <v>2.25</v>
      </c>
      <c r="E52" s="100">
        <v>5.0599999999999996</v>
      </c>
      <c r="F52" s="100">
        <v>0.95</v>
      </c>
      <c r="G52" s="100">
        <v>6.47</v>
      </c>
      <c r="H52" s="100">
        <v>3.93</v>
      </c>
      <c r="I52" s="100">
        <v>6.24</v>
      </c>
      <c r="J52" s="100">
        <v>0.78</v>
      </c>
      <c r="K52" s="100">
        <v>275</v>
      </c>
      <c r="L52" s="100">
        <v>24.62</v>
      </c>
      <c r="M52" s="100">
        <v>100.13</v>
      </c>
      <c r="N52" s="100">
        <v>76.2</v>
      </c>
      <c r="O52" s="100">
        <v>0</v>
      </c>
      <c r="P52" s="100">
        <v>0.21</v>
      </c>
      <c r="Q52" s="151" t="s">
        <v>8</v>
      </c>
      <c r="R52" s="6"/>
      <c r="S52" s="6"/>
      <c r="T52" s="156"/>
      <c r="U52" s="6"/>
    </row>
    <row r="53" spans="1:21" customFormat="1">
      <c r="A53" s="163" t="s">
        <v>860</v>
      </c>
      <c r="B53" s="100">
        <v>4.03</v>
      </c>
      <c r="C53" s="100">
        <v>6.02</v>
      </c>
      <c r="D53" s="100">
        <v>2.23</v>
      </c>
      <c r="E53" s="100">
        <v>4.78</v>
      </c>
      <c r="F53" s="100">
        <v>1.86</v>
      </c>
      <c r="G53" s="100">
        <v>6.47</v>
      </c>
      <c r="H53" s="100">
        <v>3.93</v>
      </c>
      <c r="I53" s="100">
        <v>6.22</v>
      </c>
      <c r="J53" s="100">
        <v>0.83</v>
      </c>
      <c r="K53" s="100">
        <v>278.95</v>
      </c>
      <c r="L53" s="100">
        <v>24.76</v>
      </c>
      <c r="M53" s="100">
        <v>100.13</v>
      </c>
      <c r="N53" s="100">
        <v>97.8</v>
      </c>
      <c r="O53" s="100">
        <v>0</v>
      </c>
      <c r="P53" s="100">
        <v>0.19</v>
      </c>
      <c r="Q53" s="151" t="s">
        <v>8</v>
      </c>
      <c r="R53" s="6"/>
      <c r="S53" s="6"/>
      <c r="T53" s="156"/>
      <c r="U53" s="6"/>
    </row>
    <row r="54" spans="1:21" customFormat="1">
      <c r="A54" s="163" t="s">
        <v>861</v>
      </c>
      <c r="B54" s="100">
        <v>4.03</v>
      </c>
      <c r="C54" s="100">
        <v>5.97</v>
      </c>
      <c r="D54" s="100">
        <v>2.1800000000000002</v>
      </c>
      <c r="E54" s="100">
        <v>4.4000000000000004</v>
      </c>
      <c r="F54" s="100">
        <v>2.89</v>
      </c>
      <c r="G54" s="100">
        <v>6.47</v>
      </c>
      <c r="H54" s="100">
        <v>3.93</v>
      </c>
      <c r="I54" s="100">
        <v>6.23</v>
      </c>
      <c r="J54" s="100">
        <v>0.88</v>
      </c>
      <c r="K54" s="100">
        <v>278.10000000000002</v>
      </c>
      <c r="L54" s="100">
        <v>24.83</v>
      </c>
      <c r="M54" s="100">
        <v>99.73</v>
      </c>
      <c r="N54" s="100">
        <v>73.5</v>
      </c>
      <c r="O54" s="100">
        <v>0.2</v>
      </c>
      <c r="P54" s="100">
        <v>0.2</v>
      </c>
      <c r="Q54" s="151" t="s">
        <v>8</v>
      </c>
      <c r="R54" s="6"/>
      <c r="S54" s="6"/>
      <c r="T54" s="156"/>
      <c r="U54" s="6"/>
    </row>
    <row r="55" spans="1:21" customFormat="1">
      <c r="A55" s="163" t="s">
        <v>862</v>
      </c>
      <c r="B55" s="100">
        <v>4.05</v>
      </c>
      <c r="C55" s="100">
        <v>6.17</v>
      </c>
      <c r="D55" s="100">
        <v>2.33</v>
      </c>
      <c r="E55" s="100">
        <v>4.0599999999999996</v>
      </c>
      <c r="F55" s="100">
        <v>3.08</v>
      </c>
      <c r="G55" s="100">
        <v>5.4</v>
      </c>
      <c r="H55" s="100">
        <v>3.05</v>
      </c>
      <c r="I55" s="100">
        <v>6.25</v>
      </c>
      <c r="J55" s="100">
        <v>0.84</v>
      </c>
      <c r="K55" s="100">
        <v>283.49</v>
      </c>
      <c r="L55" s="100">
        <v>24.75</v>
      </c>
      <c r="M55" s="100">
        <v>99.25</v>
      </c>
      <c r="N55" s="100">
        <v>28</v>
      </c>
      <c r="O55" s="100">
        <v>0</v>
      </c>
      <c r="P55" s="100">
        <v>0.21</v>
      </c>
      <c r="Q55" s="100">
        <v>5.22</v>
      </c>
      <c r="R55" s="6"/>
      <c r="S55" s="6"/>
      <c r="T55" s="156"/>
      <c r="U55" s="6"/>
    </row>
    <row r="56" spans="1:21" customFormat="1">
      <c r="A56" s="163" t="s">
        <v>863</v>
      </c>
      <c r="B56" s="100">
        <v>3.85</v>
      </c>
      <c r="C56" s="100">
        <v>6.65</v>
      </c>
      <c r="D56" s="100">
        <v>2.84</v>
      </c>
      <c r="E56" s="100">
        <v>2.91</v>
      </c>
      <c r="F56" s="100">
        <v>3.87</v>
      </c>
      <c r="G56" s="100">
        <v>5.3</v>
      </c>
      <c r="H56" s="100">
        <v>3.05</v>
      </c>
      <c r="I56" s="100">
        <v>6.19</v>
      </c>
      <c r="J56" s="100">
        <v>1.04</v>
      </c>
      <c r="K56" s="100">
        <v>299.83</v>
      </c>
      <c r="L56" s="100">
        <v>24.63</v>
      </c>
      <c r="M56" s="100">
        <v>98.5</v>
      </c>
      <c r="N56" s="100">
        <v>36.9</v>
      </c>
      <c r="O56" s="100">
        <v>0.6</v>
      </c>
      <c r="P56" s="100">
        <v>0.2</v>
      </c>
      <c r="Q56" s="100">
        <v>10.01</v>
      </c>
      <c r="R56" s="6"/>
      <c r="S56" s="6"/>
      <c r="T56" s="156"/>
      <c r="U56" s="6"/>
    </row>
    <row r="57" spans="1:21" customFormat="1">
      <c r="A57" s="163" t="s">
        <v>864</v>
      </c>
      <c r="B57" s="100">
        <v>3.61</v>
      </c>
      <c r="C57" s="100">
        <v>6.78</v>
      </c>
      <c r="D57" s="100">
        <v>3.1</v>
      </c>
      <c r="E57" s="100">
        <v>2.23</v>
      </c>
      <c r="F57" s="100">
        <v>4.41</v>
      </c>
      <c r="G57" s="100">
        <v>5.3</v>
      </c>
      <c r="H57" s="100">
        <v>3.05</v>
      </c>
      <c r="I57" s="100">
        <v>5.93</v>
      </c>
      <c r="J57" s="100">
        <v>1</v>
      </c>
      <c r="K57" s="100">
        <v>294.41000000000003</v>
      </c>
      <c r="L57" s="100">
        <v>24.45</v>
      </c>
      <c r="M57" s="100">
        <v>99.67</v>
      </c>
      <c r="N57" s="100">
        <v>54.7</v>
      </c>
      <c r="O57" s="100">
        <v>0.4</v>
      </c>
      <c r="P57" s="100">
        <v>0.18</v>
      </c>
      <c r="Q57" s="100">
        <v>10</v>
      </c>
      <c r="R57" s="6"/>
      <c r="S57" s="6"/>
      <c r="T57" s="156"/>
      <c r="U57" s="6"/>
    </row>
    <row r="58" spans="1:21" customFormat="1">
      <c r="A58" s="163" t="s">
        <v>865</v>
      </c>
      <c r="B58" s="100">
        <v>3.6</v>
      </c>
      <c r="C58" s="100">
        <v>6.59</v>
      </c>
      <c r="D58" s="100">
        <v>2.96</v>
      </c>
      <c r="E58" s="100">
        <v>2.4300000000000002</v>
      </c>
      <c r="F58" s="100">
        <v>2.83</v>
      </c>
      <c r="G58" s="100">
        <v>0</v>
      </c>
      <c r="H58" s="100">
        <v>0</v>
      </c>
      <c r="I58" s="100">
        <v>5.51</v>
      </c>
      <c r="J58" s="100">
        <v>0.63</v>
      </c>
      <c r="K58" s="100">
        <v>282.39999999999998</v>
      </c>
      <c r="L58" s="100">
        <v>24.4</v>
      </c>
      <c r="M58" s="100">
        <v>99.87</v>
      </c>
      <c r="N58" s="100">
        <v>34.5</v>
      </c>
      <c r="O58" s="100">
        <v>0.6</v>
      </c>
      <c r="P58" s="100">
        <v>0.2</v>
      </c>
      <c r="Q58" s="100">
        <v>9.98</v>
      </c>
      <c r="R58" s="6"/>
      <c r="S58" s="6"/>
      <c r="T58" s="156"/>
      <c r="U58" s="6"/>
    </row>
    <row r="59" spans="1:21" customFormat="1">
      <c r="A59" s="163" t="s">
        <v>866</v>
      </c>
      <c r="B59" s="100">
        <v>2.78</v>
      </c>
      <c r="C59" s="100">
        <v>4.76</v>
      </c>
      <c r="D59" s="100">
        <v>2.02</v>
      </c>
      <c r="E59" s="100">
        <v>2.7</v>
      </c>
      <c r="F59" s="100">
        <v>5.22</v>
      </c>
      <c r="G59" s="100">
        <v>0</v>
      </c>
      <c r="H59" s="100">
        <v>0</v>
      </c>
      <c r="I59" s="100">
        <v>5.45</v>
      </c>
      <c r="J59" s="100">
        <v>0.53</v>
      </c>
      <c r="K59" s="100">
        <v>273.55</v>
      </c>
      <c r="L59" s="100">
        <v>24.38</v>
      </c>
      <c r="M59" s="100">
        <v>100.16</v>
      </c>
      <c r="N59" s="100">
        <v>20.399999999999999</v>
      </c>
      <c r="O59" s="100">
        <v>0.8</v>
      </c>
      <c r="P59" s="100">
        <v>0.18</v>
      </c>
      <c r="Q59" s="100">
        <v>10</v>
      </c>
      <c r="R59" s="6"/>
      <c r="S59" s="6"/>
      <c r="T59" s="156"/>
      <c r="U59" s="6"/>
    </row>
    <row r="60" spans="1:21" customFormat="1">
      <c r="A60" s="163" t="s">
        <v>867</v>
      </c>
      <c r="B60" s="100">
        <v>177.57</v>
      </c>
      <c r="C60" s="100">
        <v>174.99</v>
      </c>
      <c r="D60" s="100">
        <v>17.11</v>
      </c>
      <c r="E60" s="100">
        <v>2.27</v>
      </c>
      <c r="F60" s="100">
        <v>6.76</v>
      </c>
      <c r="G60" s="100">
        <v>0</v>
      </c>
      <c r="H60" s="100">
        <v>0</v>
      </c>
      <c r="I60" s="100">
        <v>5.57</v>
      </c>
      <c r="J60" s="100">
        <v>0.65</v>
      </c>
      <c r="K60" s="100">
        <v>271.14999999999998</v>
      </c>
      <c r="L60" s="100">
        <v>24.3</v>
      </c>
      <c r="M60" s="100">
        <v>100.19</v>
      </c>
      <c r="N60" s="100">
        <v>11.5</v>
      </c>
      <c r="O60" s="100">
        <v>1.6</v>
      </c>
      <c r="P60" s="100">
        <v>0.2</v>
      </c>
      <c r="Q60" s="100">
        <v>10</v>
      </c>
      <c r="R60" s="6"/>
      <c r="S60" s="6"/>
      <c r="T60" s="156"/>
      <c r="U60" s="6"/>
    </row>
    <row r="61" spans="1:21" customFormat="1">
      <c r="A61" s="163" t="s">
        <v>868</v>
      </c>
      <c r="B61" s="100">
        <v>196.46</v>
      </c>
      <c r="C61" s="100">
        <v>218.31</v>
      </c>
      <c r="D61" s="100">
        <v>21.86</v>
      </c>
      <c r="E61" s="100">
        <v>2.15</v>
      </c>
      <c r="F61" s="100">
        <v>7.28</v>
      </c>
      <c r="G61" s="100">
        <v>0</v>
      </c>
      <c r="H61" s="100">
        <v>0</v>
      </c>
      <c r="I61" s="100">
        <v>5.56</v>
      </c>
      <c r="J61" s="100">
        <v>0.84</v>
      </c>
      <c r="K61" s="100">
        <v>259.19</v>
      </c>
      <c r="L61" s="100">
        <v>24.12</v>
      </c>
      <c r="M61" s="100">
        <v>100.2</v>
      </c>
      <c r="N61" s="100">
        <v>17.8</v>
      </c>
      <c r="O61" s="100">
        <v>3.8</v>
      </c>
      <c r="P61" s="100">
        <v>0.23</v>
      </c>
      <c r="Q61" s="100">
        <v>9.98</v>
      </c>
      <c r="R61" s="6"/>
      <c r="S61" s="6"/>
      <c r="T61" s="156"/>
      <c r="U61" s="6"/>
    </row>
    <row r="62" spans="1:21" customFormat="1">
      <c r="A62" s="163" t="s">
        <v>869</v>
      </c>
      <c r="B62" s="100">
        <v>3.12</v>
      </c>
      <c r="C62" s="100">
        <v>5.46</v>
      </c>
      <c r="D62" s="100">
        <v>2.34</v>
      </c>
      <c r="E62" s="100">
        <v>1.89</v>
      </c>
      <c r="F62" s="100">
        <v>7.6</v>
      </c>
      <c r="G62" s="100">
        <v>0.66</v>
      </c>
      <c r="H62" s="100">
        <v>0</v>
      </c>
      <c r="I62" s="100">
        <v>5.82</v>
      </c>
      <c r="J62" s="100">
        <v>0.92</v>
      </c>
      <c r="K62" s="100">
        <v>261.56</v>
      </c>
      <c r="L62" s="100">
        <v>23.9</v>
      </c>
      <c r="M62" s="100">
        <v>100.2</v>
      </c>
      <c r="N62" s="100">
        <v>20.399999999999999</v>
      </c>
      <c r="O62" s="100">
        <v>6.2</v>
      </c>
      <c r="P62" s="100">
        <v>0.21</v>
      </c>
      <c r="Q62" s="100">
        <v>9.9499999999999993</v>
      </c>
      <c r="R62" s="6"/>
      <c r="S62" s="6"/>
      <c r="T62" s="156"/>
      <c r="U62" s="6"/>
    </row>
    <row r="63" spans="1:21" customFormat="1">
      <c r="A63" s="163" t="s">
        <v>870</v>
      </c>
      <c r="B63" s="100">
        <v>2.95</v>
      </c>
      <c r="C63" s="100">
        <v>5.31</v>
      </c>
      <c r="D63" s="100">
        <v>2.37</v>
      </c>
      <c r="E63" s="100">
        <v>1.86</v>
      </c>
      <c r="F63" s="100">
        <v>5.65</v>
      </c>
      <c r="G63" s="100">
        <v>19.850000000000001</v>
      </c>
      <c r="H63" s="100">
        <v>0</v>
      </c>
      <c r="I63" s="100">
        <v>5.82</v>
      </c>
      <c r="J63" s="100">
        <v>0.85</v>
      </c>
      <c r="K63" s="100">
        <v>259.29000000000002</v>
      </c>
      <c r="L63" s="100">
        <v>23.79</v>
      </c>
      <c r="M63" s="100">
        <v>100.2</v>
      </c>
      <c r="N63" s="100">
        <v>19.899999999999999</v>
      </c>
      <c r="O63" s="100">
        <v>8</v>
      </c>
      <c r="P63" s="100">
        <v>10.97</v>
      </c>
      <c r="Q63" s="100">
        <v>9.9499999999999993</v>
      </c>
      <c r="R63" s="6"/>
      <c r="S63" s="6"/>
      <c r="T63" s="156"/>
      <c r="U63" s="6"/>
    </row>
    <row r="64" spans="1:21" customFormat="1">
      <c r="A64" s="163" t="s">
        <v>871</v>
      </c>
      <c r="B64" s="100">
        <v>2.75</v>
      </c>
      <c r="C64" s="100">
        <v>5.15</v>
      </c>
      <c r="D64" s="100">
        <v>2.4</v>
      </c>
      <c r="E64" s="100">
        <v>1.65</v>
      </c>
      <c r="F64" s="100">
        <v>7.41</v>
      </c>
      <c r="G64" s="100">
        <v>19.850000000000001</v>
      </c>
      <c r="H64" s="100">
        <v>0</v>
      </c>
      <c r="I64" s="100">
        <v>5.44</v>
      </c>
      <c r="J64" s="100">
        <v>0.75</v>
      </c>
      <c r="K64" s="100">
        <v>265.77999999999997</v>
      </c>
      <c r="L64" s="100">
        <v>23.77</v>
      </c>
      <c r="M64" s="100">
        <v>100.22</v>
      </c>
      <c r="N64" s="100">
        <v>27.9</v>
      </c>
      <c r="O64" s="100">
        <v>6.2</v>
      </c>
      <c r="P64" s="100">
        <v>11.87</v>
      </c>
      <c r="Q64" s="100">
        <v>9.94</v>
      </c>
      <c r="R64" s="6"/>
      <c r="S64" s="6"/>
      <c r="T64" s="156"/>
      <c r="U64" s="6"/>
    </row>
    <row r="65" spans="1:21" customFormat="1">
      <c r="A65" s="163" t="s">
        <v>872</v>
      </c>
      <c r="B65" s="100">
        <v>2.66</v>
      </c>
      <c r="C65" s="100">
        <v>5.05</v>
      </c>
      <c r="D65" s="100">
        <v>2.39</v>
      </c>
      <c r="E65" s="100">
        <v>1.54</v>
      </c>
      <c r="F65" s="100">
        <v>8.59</v>
      </c>
      <c r="G65" s="100">
        <v>19.850000000000001</v>
      </c>
      <c r="H65" s="100">
        <v>0</v>
      </c>
      <c r="I65" s="100">
        <v>5.16</v>
      </c>
      <c r="J65" s="100">
        <v>0.91</v>
      </c>
      <c r="K65" s="100">
        <v>260.68</v>
      </c>
      <c r="L65" s="100">
        <v>23.75</v>
      </c>
      <c r="M65" s="100">
        <v>100.22</v>
      </c>
      <c r="N65" s="100">
        <v>29.8</v>
      </c>
      <c r="O65" s="100">
        <v>4.8</v>
      </c>
      <c r="P65" s="100">
        <v>0.17</v>
      </c>
      <c r="Q65" s="100">
        <v>9.92</v>
      </c>
      <c r="R65" s="6"/>
      <c r="S65" s="6"/>
      <c r="T65" s="156"/>
      <c r="U65" s="6"/>
    </row>
    <row r="66" spans="1:21" customFormat="1">
      <c r="A66" s="163" t="s">
        <v>873</v>
      </c>
      <c r="B66" s="100">
        <v>2.6</v>
      </c>
      <c r="C66" s="100">
        <v>5.01</v>
      </c>
      <c r="D66" s="100">
        <v>2.41</v>
      </c>
      <c r="E66" s="100">
        <v>1.24</v>
      </c>
      <c r="F66" s="100">
        <v>9.81</v>
      </c>
      <c r="G66" s="100">
        <v>19.670000000000002</v>
      </c>
      <c r="H66" s="100">
        <v>0</v>
      </c>
      <c r="I66" s="100">
        <v>4.84</v>
      </c>
      <c r="J66" s="100">
        <v>0.75</v>
      </c>
      <c r="K66" s="100">
        <v>273.06</v>
      </c>
      <c r="L66" s="100">
        <v>23.8</v>
      </c>
      <c r="M66" s="100">
        <v>100.22</v>
      </c>
      <c r="N66" s="100">
        <v>33.4</v>
      </c>
      <c r="O66" s="100">
        <v>2</v>
      </c>
      <c r="P66" s="100">
        <v>0.3</v>
      </c>
      <c r="Q66" s="100">
        <v>9.93</v>
      </c>
      <c r="R66" s="6"/>
      <c r="S66" s="6"/>
      <c r="T66" s="156"/>
      <c r="U66" s="6"/>
    </row>
    <row r="67" spans="1:21" customFormat="1">
      <c r="A67" s="163" t="s">
        <v>874</v>
      </c>
      <c r="B67" s="100">
        <v>2.56</v>
      </c>
      <c r="C67" s="100">
        <v>4.9800000000000004</v>
      </c>
      <c r="D67" s="100">
        <v>2.42</v>
      </c>
      <c r="E67" s="100">
        <v>1.1399999999999999</v>
      </c>
      <c r="F67" s="100">
        <v>5.62</v>
      </c>
      <c r="G67" s="100">
        <v>14.5</v>
      </c>
      <c r="H67" s="100">
        <v>0</v>
      </c>
      <c r="I67" s="100">
        <v>5.35</v>
      </c>
      <c r="J67" s="100">
        <v>0.77</v>
      </c>
      <c r="K67" s="100">
        <v>264.24</v>
      </c>
      <c r="L67" s="100">
        <v>23.8</v>
      </c>
      <c r="M67" s="100">
        <v>100.22</v>
      </c>
      <c r="N67" s="100">
        <v>38.6</v>
      </c>
      <c r="O67" s="100">
        <v>0.6</v>
      </c>
      <c r="P67" s="100">
        <v>0.33</v>
      </c>
      <c r="Q67" s="100">
        <v>9.93</v>
      </c>
      <c r="R67" s="6"/>
      <c r="S67" s="6"/>
      <c r="T67" s="156"/>
      <c r="U67" s="6"/>
    </row>
    <row r="68" spans="1:21" customFormat="1">
      <c r="A68" s="163" t="s">
        <v>875</v>
      </c>
      <c r="B68" s="100">
        <v>2.58</v>
      </c>
      <c r="C68" s="100">
        <v>4.88</v>
      </c>
      <c r="D68" s="100">
        <v>2.31</v>
      </c>
      <c r="E68" s="100">
        <v>1.07</v>
      </c>
      <c r="F68" s="100">
        <v>3.15</v>
      </c>
      <c r="G68" s="100">
        <v>14.5</v>
      </c>
      <c r="H68" s="100">
        <v>0</v>
      </c>
      <c r="I68" s="100">
        <v>7.82</v>
      </c>
      <c r="J68" s="100">
        <v>0.68</v>
      </c>
      <c r="K68" s="100">
        <v>257.08999999999997</v>
      </c>
      <c r="L68" s="100">
        <v>23.94</v>
      </c>
      <c r="M68" s="100">
        <v>100.22</v>
      </c>
      <c r="N68" s="100">
        <v>50.6</v>
      </c>
      <c r="O68" s="100">
        <v>0.2</v>
      </c>
      <c r="P68" s="100">
        <v>0.32</v>
      </c>
      <c r="Q68" s="100">
        <v>9.92</v>
      </c>
      <c r="R68" s="6"/>
      <c r="S68" s="6"/>
      <c r="T68" s="156"/>
      <c r="U68" s="6"/>
    </row>
    <row r="69" spans="1:21" customFormat="1">
      <c r="A69" s="163" t="s">
        <v>876</v>
      </c>
      <c r="B69" s="100">
        <v>2.61</v>
      </c>
      <c r="C69" s="100">
        <v>4.8099999999999996</v>
      </c>
      <c r="D69" s="100">
        <v>2.2000000000000002</v>
      </c>
      <c r="E69" s="100">
        <v>1.08</v>
      </c>
      <c r="F69" s="100">
        <v>2.27</v>
      </c>
      <c r="G69" s="100">
        <v>14.5</v>
      </c>
      <c r="H69" s="100">
        <v>0</v>
      </c>
      <c r="I69" s="100">
        <v>8.9600000000000009</v>
      </c>
      <c r="J69" s="100">
        <v>0.85</v>
      </c>
      <c r="K69" s="100">
        <v>262.2</v>
      </c>
      <c r="L69" s="100">
        <v>23.9</v>
      </c>
      <c r="M69" s="100">
        <v>100.22</v>
      </c>
      <c r="N69" s="100">
        <v>67.8</v>
      </c>
      <c r="O69" s="100">
        <v>0.2</v>
      </c>
      <c r="P69" s="100">
        <v>0.3</v>
      </c>
      <c r="Q69" s="100">
        <v>9.92</v>
      </c>
      <c r="R69" s="6"/>
      <c r="S69" s="6"/>
      <c r="T69" s="156"/>
      <c r="U69" s="6"/>
    </row>
    <row r="70" spans="1:21" customFormat="1">
      <c r="A70" s="163" t="s">
        <v>877</v>
      </c>
      <c r="B70" s="100">
        <v>2.64</v>
      </c>
      <c r="C70" s="100">
        <v>4.79</v>
      </c>
      <c r="D70" s="100">
        <v>2.15</v>
      </c>
      <c r="E70" s="100">
        <v>1.22</v>
      </c>
      <c r="F70" s="100">
        <v>2.11</v>
      </c>
      <c r="G70" s="100">
        <v>14.42</v>
      </c>
      <c r="H70" s="100">
        <v>0</v>
      </c>
      <c r="I70" s="100">
        <v>9.14</v>
      </c>
      <c r="J70" s="100">
        <v>0.77</v>
      </c>
      <c r="K70" s="100">
        <v>257.5</v>
      </c>
      <c r="L70" s="100">
        <v>23.88</v>
      </c>
      <c r="M70" s="100">
        <v>100.23</v>
      </c>
      <c r="N70" s="100">
        <v>53.2</v>
      </c>
      <c r="O70" s="100">
        <v>0</v>
      </c>
      <c r="P70" s="100">
        <v>0.3</v>
      </c>
      <c r="Q70" s="100">
        <v>9.91</v>
      </c>
      <c r="R70" s="6"/>
      <c r="S70" s="6"/>
      <c r="T70" s="156"/>
      <c r="U70" s="6"/>
    </row>
    <row r="71" spans="1:21" customFormat="1">
      <c r="A71" s="163" t="s">
        <v>878</v>
      </c>
      <c r="B71" s="100">
        <v>2.66</v>
      </c>
      <c r="C71" s="100">
        <v>4.84</v>
      </c>
      <c r="D71" s="100">
        <v>2.1800000000000002</v>
      </c>
      <c r="E71" s="100">
        <v>1.34</v>
      </c>
      <c r="F71" s="100">
        <v>2.68</v>
      </c>
      <c r="G71" s="100">
        <v>12.02</v>
      </c>
      <c r="H71" s="100">
        <v>0.06</v>
      </c>
      <c r="I71" s="100">
        <v>9.1199999999999992</v>
      </c>
      <c r="J71" s="100">
        <v>0.89</v>
      </c>
      <c r="K71" s="100">
        <v>259.92</v>
      </c>
      <c r="L71" s="100">
        <v>23.77</v>
      </c>
      <c r="M71" s="100">
        <v>100.23</v>
      </c>
      <c r="N71" s="100">
        <v>43.6</v>
      </c>
      <c r="O71" s="100">
        <v>0</v>
      </c>
      <c r="P71" s="100">
        <v>0.28999999999999998</v>
      </c>
      <c r="Q71" s="100">
        <v>9.9</v>
      </c>
      <c r="R71" s="6"/>
      <c r="S71" s="6"/>
      <c r="T71" s="156"/>
      <c r="U71" s="6"/>
    </row>
    <row r="72" spans="1:21" customFormat="1">
      <c r="A72" s="163" t="s">
        <v>879</v>
      </c>
      <c r="B72" s="100">
        <v>2.67</v>
      </c>
      <c r="C72" s="100">
        <v>4.8499999999999996</v>
      </c>
      <c r="D72" s="100">
        <v>2.1800000000000002</v>
      </c>
      <c r="E72" s="100">
        <v>1.38</v>
      </c>
      <c r="F72" s="100">
        <v>2.7</v>
      </c>
      <c r="G72" s="100">
        <v>12.02</v>
      </c>
      <c r="H72" s="100">
        <v>0.06</v>
      </c>
      <c r="I72" s="100">
        <v>8.52</v>
      </c>
      <c r="J72" s="100">
        <v>0.97</v>
      </c>
      <c r="K72" s="100">
        <v>265</v>
      </c>
      <c r="L72" s="100">
        <v>23.73</v>
      </c>
      <c r="M72" s="100">
        <v>100.23</v>
      </c>
      <c r="N72" s="100">
        <v>42.4</v>
      </c>
      <c r="O72" s="100">
        <v>0</v>
      </c>
      <c r="P72" s="100">
        <v>0.28999999999999998</v>
      </c>
      <c r="Q72" s="100">
        <v>9.91</v>
      </c>
      <c r="R72" s="6"/>
      <c r="S72" s="6"/>
      <c r="T72" s="156"/>
      <c r="U72" s="6"/>
    </row>
    <row r="73" spans="1:21" customFormat="1">
      <c r="A73" s="163" t="s">
        <v>880</v>
      </c>
      <c r="B73" s="100">
        <v>2.68</v>
      </c>
      <c r="C73" s="100">
        <v>4.8499999999999996</v>
      </c>
      <c r="D73" s="100">
        <v>2.17</v>
      </c>
      <c r="E73" s="100">
        <v>1.75</v>
      </c>
      <c r="F73" s="100">
        <v>2.69</v>
      </c>
      <c r="G73" s="100">
        <v>12.02</v>
      </c>
      <c r="H73" s="100">
        <v>0.06</v>
      </c>
      <c r="I73" s="100">
        <v>6.64</v>
      </c>
      <c r="J73" s="100">
        <v>0.81</v>
      </c>
      <c r="K73" s="100">
        <v>262.62</v>
      </c>
      <c r="L73" s="100">
        <v>23.8</v>
      </c>
      <c r="M73" s="100">
        <v>100.23</v>
      </c>
      <c r="N73" s="100">
        <v>33.4</v>
      </c>
      <c r="O73" s="100">
        <v>0</v>
      </c>
      <c r="P73" s="100">
        <v>0.28999999999999998</v>
      </c>
      <c r="Q73" s="100">
        <v>9.92</v>
      </c>
      <c r="R73" s="6"/>
      <c r="S73" s="6"/>
      <c r="T73" s="156"/>
      <c r="U73" s="6"/>
    </row>
    <row r="74" spans="1:21" customFormat="1">
      <c r="A74" s="163" t="s">
        <v>881</v>
      </c>
      <c r="B74" s="100">
        <v>2.7</v>
      </c>
      <c r="C74" s="100">
        <v>4.8600000000000003</v>
      </c>
      <c r="D74" s="100">
        <v>2.17</v>
      </c>
      <c r="E74" s="100">
        <v>2.0699999999999998</v>
      </c>
      <c r="F74" s="100">
        <v>2.66</v>
      </c>
      <c r="G74" s="100">
        <v>11.98</v>
      </c>
      <c r="H74" s="100">
        <v>0.06</v>
      </c>
      <c r="I74" s="100">
        <v>6.7</v>
      </c>
      <c r="J74" s="100">
        <v>0.85</v>
      </c>
      <c r="K74" s="100">
        <v>258.35000000000002</v>
      </c>
      <c r="L74" s="100">
        <v>23.93</v>
      </c>
      <c r="M74" s="100">
        <v>100.23</v>
      </c>
      <c r="N74" s="100">
        <v>31.5</v>
      </c>
      <c r="O74" s="100">
        <v>0</v>
      </c>
      <c r="P74" s="100">
        <v>0.28000000000000003</v>
      </c>
      <c r="Q74" s="100">
        <v>9.91</v>
      </c>
      <c r="R74" s="6"/>
      <c r="S74" s="6"/>
      <c r="T74" s="156"/>
      <c r="U74" s="6"/>
    </row>
    <row r="75" spans="1:21" customFormat="1">
      <c r="A75" s="163" t="s">
        <v>882</v>
      </c>
      <c r="B75" s="100">
        <v>2.7</v>
      </c>
      <c r="C75" s="100">
        <v>4.87</v>
      </c>
      <c r="D75" s="100">
        <v>2.16</v>
      </c>
      <c r="E75" s="100">
        <v>2.2999999999999998</v>
      </c>
      <c r="F75" s="100">
        <v>2.39</v>
      </c>
      <c r="G75" s="100">
        <v>10.71</v>
      </c>
      <c r="H75" s="100">
        <v>0.09</v>
      </c>
      <c r="I75" s="100">
        <v>7.61</v>
      </c>
      <c r="J75" s="100">
        <v>0.94</v>
      </c>
      <c r="K75" s="100">
        <v>260.52</v>
      </c>
      <c r="L75" s="100">
        <v>24.03</v>
      </c>
      <c r="M75" s="100">
        <v>100.23</v>
      </c>
      <c r="N75" s="100">
        <v>23.5</v>
      </c>
      <c r="O75" s="100">
        <v>0</v>
      </c>
      <c r="P75" s="100">
        <v>0.28000000000000003</v>
      </c>
      <c r="Q75" s="100">
        <v>9.91</v>
      </c>
      <c r="R75" s="6"/>
      <c r="S75" s="6"/>
      <c r="T75" s="156"/>
      <c r="U75" s="6"/>
    </row>
    <row r="76" spans="1:21" customFormat="1">
      <c r="A76" s="163" t="s">
        <v>883</v>
      </c>
      <c r="B76" s="100">
        <v>2.69</v>
      </c>
      <c r="C76" s="100">
        <v>4.8499999999999996</v>
      </c>
      <c r="D76" s="100">
        <v>2.15</v>
      </c>
      <c r="E76" s="100">
        <v>2.4900000000000002</v>
      </c>
      <c r="F76" s="100">
        <v>2.1</v>
      </c>
      <c r="G76" s="100">
        <v>10.71</v>
      </c>
      <c r="H76" s="100">
        <v>0.09</v>
      </c>
      <c r="I76" s="100">
        <v>7.46</v>
      </c>
      <c r="J76" s="100">
        <v>0.81</v>
      </c>
      <c r="K76" s="100">
        <v>258.83</v>
      </c>
      <c r="L76" s="100">
        <v>24.09</v>
      </c>
      <c r="M76" s="100">
        <v>100.23</v>
      </c>
      <c r="N76" s="100">
        <v>20.5</v>
      </c>
      <c r="O76" s="100">
        <v>0</v>
      </c>
      <c r="P76" s="100">
        <v>0.28000000000000003</v>
      </c>
      <c r="Q76" s="100">
        <v>9.92</v>
      </c>
      <c r="R76" s="6"/>
      <c r="S76" s="6"/>
      <c r="T76" s="156"/>
      <c r="U76" s="6"/>
    </row>
    <row r="77" spans="1:21" customFormat="1">
      <c r="A77" s="163" t="s">
        <v>884</v>
      </c>
      <c r="B77" s="100">
        <v>2.69</v>
      </c>
      <c r="C77" s="100">
        <v>4.8099999999999996</v>
      </c>
      <c r="D77" s="100">
        <v>2.12</v>
      </c>
      <c r="E77" s="100">
        <v>2.73</v>
      </c>
      <c r="F77" s="100">
        <v>2.56</v>
      </c>
      <c r="G77" s="100">
        <v>10.71</v>
      </c>
      <c r="H77" s="100">
        <v>0.09</v>
      </c>
      <c r="I77" s="100">
        <v>7.27</v>
      </c>
      <c r="J77" s="100">
        <v>0.71</v>
      </c>
      <c r="K77" s="100">
        <v>261.01</v>
      </c>
      <c r="L77" s="100">
        <v>24.13</v>
      </c>
      <c r="M77" s="100">
        <v>100.23</v>
      </c>
      <c r="N77" s="100">
        <v>14</v>
      </c>
      <c r="O77" s="100">
        <v>0</v>
      </c>
      <c r="P77" s="100">
        <v>0.26</v>
      </c>
      <c r="Q77" s="100">
        <v>9.92</v>
      </c>
      <c r="R77" s="6"/>
      <c r="S77" s="6"/>
      <c r="T77" s="156"/>
      <c r="U77" s="6"/>
    </row>
    <row r="78" spans="1:21" customFormat="1">
      <c r="A78" s="163" t="s">
        <v>885</v>
      </c>
      <c r="B78" s="100">
        <v>2.68</v>
      </c>
      <c r="C78" s="100">
        <v>4.78</v>
      </c>
      <c r="D78" s="100">
        <v>2.1</v>
      </c>
      <c r="E78" s="100">
        <v>2.9</v>
      </c>
      <c r="F78" s="100">
        <v>2.42</v>
      </c>
      <c r="G78" s="100">
        <v>10.62</v>
      </c>
      <c r="H78" s="100">
        <v>0.1</v>
      </c>
      <c r="I78" s="100">
        <v>7.05</v>
      </c>
      <c r="J78" s="100">
        <v>0.79</v>
      </c>
      <c r="K78" s="100">
        <v>260.94</v>
      </c>
      <c r="L78" s="100">
        <v>24.2</v>
      </c>
      <c r="M78" s="100">
        <v>100.22</v>
      </c>
      <c r="N78" s="100">
        <v>8.6999999999999993</v>
      </c>
      <c r="O78" s="100">
        <v>0</v>
      </c>
      <c r="P78" s="100">
        <v>0.25</v>
      </c>
      <c r="Q78" s="100">
        <v>9.93</v>
      </c>
      <c r="R78" s="6"/>
      <c r="S78" s="6"/>
      <c r="T78" s="156"/>
      <c r="U78" s="6"/>
    </row>
    <row r="79" spans="1:21" customFormat="1">
      <c r="A79" s="163" t="s">
        <v>886</v>
      </c>
      <c r="B79" s="100">
        <v>2.66</v>
      </c>
      <c r="C79" s="100">
        <v>4.76</v>
      </c>
      <c r="D79" s="100">
        <v>2.1</v>
      </c>
      <c r="E79" s="100">
        <v>3.1</v>
      </c>
      <c r="F79" s="100">
        <v>2.64</v>
      </c>
      <c r="G79" s="100">
        <v>7.85</v>
      </c>
      <c r="H79" s="100">
        <v>0.42</v>
      </c>
      <c r="I79" s="100">
        <v>6.84</v>
      </c>
      <c r="J79" s="100">
        <v>0.78</v>
      </c>
      <c r="K79" s="100">
        <v>261.55</v>
      </c>
      <c r="L79" s="100">
        <v>24.28</v>
      </c>
      <c r="M79" s="100">
        <v>98.52</v>
      </c>
      <c r="N79" s="100">
        <v>8.1</v>
      </c>
      <c r="O79" s="100">
        <v>0</v>
      </c>
      <c r="P79" s="100">
        <v>0.24</v>
      </c>
      <c r="Q79" s="100">
        <v>9.91</v>
      </c>
      <c r="R79" s="6"/>
      <c r="S79" s="6"/>
      <c r="T79" s="156"/>
      <c r="U79" s="6"/>
    </row>
    <row r="80" spans="1:21" customFormat="1">
      <c r="A80" s="163" t="s">
        <v>887</v>
      </c>
      <c r="B80" s="100">
        <v>2.65</v>
      </c>
      <c r="C80" s="100">
        <v>4.75</v>
      </c>
      <c r="D80" s="100">
        <v>2.1</v>
      </c>
      <c r="E80" s="100">
        <v>2.97</v>
      </c>
      <c r="F80" s="100">
        <v>1.66</v>
      </c>
      <c r="G80" s="100">
        <v>7.85</v>
      </c>
      <c r="H80" s="100">
        <v>0.42</v>
      </c>
      <c r="I80" s="100">
        <v>6.68</v>
      </c>
      <c r="J80" s="100">
        <v>0.86</v>
      </c>
      <c r="K80" s="100">
        <v>262.91000000000003</v>
      </c>
      <c r="L80" s="100">
        <v>24.22</v>
      </c>
      <c r="M80" s="100">
        <v>96.21</v>
      </c>
      <c r="N80" s="100">
        <v>6.9</v>
      </c>
      <c r="O80" s="100">
        <v>0.2</v>
      </c>
      <c r="P80" s="100">
        <v>0.24</v>
      </c>
      <c r="Q80" s="100">
        <v>9.92</v>
      </c>
      <c r="R80" s="6"/>
      <c r="S80" s="6"/>
      <c r="T80" s="156"/>
      <c r="U80" s="6"/>
    </row>
    <row r="81" spans="1:21" customFormat="1">
      <c r="A81" s="163" t="s">
        <v>888</v>
      </c>
      <c r="B81" s="100">
        <v>2.65</v>
      </c>
      <c r="C81" s="100">
        <v>4.74</v>
      </c>
      <c r="D81" s="100">
        <v>2.09</v>
      </c>
      <c r="E81" s="100">
        <v>3.3</v>
      </c>
      <c r="F81" s="100">
        <v>1.98</v>
      </c>
      <c r="G81" s="100">
        <v>7.85</v>
      </c>
      <c r="H81" s="100">
        <v>0.42</v>
      </c>
      <c r="I81" s="100">
        <v>6.47</v>
      </c>
      <c r="J81" s="100">
        <v>0.6</v>
      </c>
      <c r="K81" s="100">
        <v>266.58999999999997</v>
      </c>
      <c r="L81" s="100">
        <v>24.08</v>
      </c>
      <c r="M81" s="100">
        <v>97.33</v>
      </c>
      <c r="N81" s="100">
        <v>6</v>
      </c>
      <c r="O81" s="100">
        <v>0</v>
      </c>
      <c r="P81" s="100">
        <v>0.23</v>
      </c>
      <c r="Q81" s="100">
        <v>9.91</v>
      </c>
      <c r="R81" s="6"/>
      <c r="S81" s="6"/>
      <c r="T81" s="156"/>
      <c r="U81" s="6"/>
    </row>
    <row r="82" spans="1:21" customFormat="1">
      <c r="A82" s="163" t="s">
        <v>889</v>
      </c>
      <c r="B82" s="100">
        <v>2.65</v>
      </c>
      <c r="C82" s="100">
        <v>4.7300000000000004</v>
      </c>
      <c r="D82" s="100">
        <v>2.0699999999999998</v>
      </c>
      <c r="E82" s="100">
        <v>4.08</v>
      </c>
      <c r="F82" s="100">
        <v>2.25</v>
      </c>
      <c r="G82" s="100">
        <v>7.79</v>
      </c>
      <c r="H82" s="100">
        <v>0.42</v>
      </c>
      <c r="I82" s="100">
        <v>6.32</v>
      </c>
      <c r="J82" s="100">
        <v>0.61</v>
      </c>
      <c r="K82" s="100">
        <v>260.27999999999997</v>
      </c>
      <c r="L82" s="100">
        <v>24.05</v>
      </c>
      <c r="M82" s="100">
        <v>97.77</v>
      </c>
      <c r="N82" s="100">
        <v>4.5999999999999996</v>
      </c>
      <c r="O82" s="100">
        <v>0.2</v>
      </c>
      <c r="P82" s="100">
        <v>0.22</v>
      </c>
      <c r="Q82" s="100">
        <v>9.9</v>
      </c>
      <c r="R82" s="6"/>
      <c r="S82" s="6"/>
      <c r="T82" s="156"/>
      <c r="U82" s="6"/>
    </row>
    <row r="83" spans="1:21" customFormat="1">
      <c r="A83" s="163" t="s">
        <v>890</v>
      </c>
      <c r="B83" s="100">
        <v>2.65</v>
      </c>
      <c r="C83" s="100">
        <v>4.7300000000000004</v>
      </c>
      <c r="D83" s="100">
        <v>2.08</v>
      </c>
      <c r="E83" s="100">
        <v>4.2699999999999996</v>
      </c>
      <c r="F83" s="100">
        <v>2.16</v>
      </c>
      <c r="G83" s="100">
        <v>5.96</v>
      </c>
      <c r="H83" s="100">
        <v>0.4</v>
      </c>
      <c r="I83" s="100">
        <v>6.21</v>
      </c>
      <c r="J83" s="100">
        <v>0.48</v>
      </c>
      <c r="K83" s="100">
        <v>262.20999999999998</v>
      </c>
      <c r="L83" s="100">
        <v>24</v>
      </c>
      <c r="M83" s="100">
        <v>97.92</v>
      </c>
      <c r="N83" s="100">
        <v>3.1</v>
      </c>
      <c r="O83" s="100">
        <v>0</v>
      </c>
      <c r="P83" s="100">
        <v>0.22</v>
      </c>
      <c r="Q83" s="100">
        <v>9.91</v>
      </c>
      <c r="R83" s="6"/>
      <c r="S83" s="6"/>
      <c r="T83" s="156"/>
      <c r="U83" s="6"/>
    </row>
    <row r="84" spans="1:21" customFormat="1">
      <c r="A84" s="163" t="s">
        <v>891</v>
      </c>
      <c r="B84" s="100">
        <v>2.65</v>
      </c>
      <c r="C84" s="100">
        <v>4.72</v>
      </c>
      <c r="D84" s="100">
        <v>2.06</v>
      </c>
      <c r="E84" s="100">
        <v>4.4000000000000004</v>
      </c>
      <c r="F84" s="100">
        <v>1.79</v>
      </c>
      <c r="G84" s="100">
        <v>5.96</v>
      </c>
      <c r="H84" s="100">
        <v>0.4</v>
      </c>
      <c r="I84" s="100">
        <v>6.05</v>
      </c>
      <c r="J84" s="100">
        <v>0.73</v>
      </c>
      <c r="K84" s="100">
        <v>259</v>
      </c>
      <c r="L84" s="100">
        <v>24.03</v>
      </c>
      <c r="M84" s="100">
        <v>97.75</v>
      </c>
      <c r="N84" s="100">
        <v>2.5</v>
      </c>
      <c r="O84" s="100">
        <v>0</v>
      </c>
      <c r="P84" s="100">
        <v>0.22</v>
      </c>
      <c r="Q84" s="100">
        <v>9.92</v>
      </c>
      <c r="R84" s="6"/>
      <c r="S84" s="6"/>
      <c r="T84" s="156"/>
      <c r="U84" s="6"/>
    </row>
    <row r="85" spans="1:21" customFormat="1">
      <c r="A85" s="163" t="s">
        <v>892</v>
      </c>
      <c r="B85" s="100">
        <v>2.65</v>
      </c>
      <c r="C85" s="100">
        <v>4.7</v>
      </c>
      <c r="D85" s="100">
        <v>2.0499999999999998</v>
      </c>
      <c r="E85" s="100">
        <v>4.58</v>
      </c>
      <c r="F85" s="100">
        <v>1.98</v>
      </c>
      <c r="G85" s="100">
        <v>5.96</v>
      </c>
      <c r="H85" s="100">
        <v>0.4</v>
      </c>
      <c r="I85" s="100">
        <v>6</v>
      </c>
      <c r="J85" s="100">
        <v>0.59</v>
      </c>
      <c r="K85" s="100">
        <v>255.16</v>
      </c>
      <c r="L85" s="100">
        <v>24.04</v>
      </c>
      <c r="M85" s="100">
        <v>97.32</v>
      </c>
      <c r="N85" s="100">
        <v>2.2999999999999998</v>
      </c>
      <c r="O85" s="100">
        <v>0.2</v>
      </c>
      <c r="P85" s="100">
        <v>0.22</v>
      </c>
      <c r="Q85" s="100">
        <v>9.92</v>
      </c>
      <c r="R85" s="6"/>
      <c r="S85" s="6"/>
      <c r="T85" s="156"/>
      <c r="U85" s="6"/>
    </row>
    <row r="86" spans="1:21" customFormat="1">
      <c r="A86" s="163" t="s">
        <v>893</v>
      </c>
      <c r="B86" s="100">
        <v>2.65</v>
      </c>
      <c r="C86" s="100">
        <v>4.68</v>
      </c>
      <c r="D86" s="100">
        <v>2.0299999999999998</v>
      </c>
      <c r="E86" s="100">
        <v>4.76</v>
      </c>
      <c r="F86" s="100">
        <v>2.38</v>
      </c>
      <c r="G86" s="100">
        <v>5.91</v>
      </c>
      <c r="H86" s="100">
        <v>0.49</v>
      </c>
      <c r="I86" s="100">
        <v>5.94</v>
      </c>
      <c r="J86" s="100">
        <v>0.55000000000000004</v>
      </c>
      <c r="K86" s="100">
        <v>261.23</v>
      </c>
      <c r="L86" s="100">
        <v>24.06</v>
      </c>
      <c r="M86" s="100">
        <v>97.32</v>
      </c>
      <c r="N86" s="100">
        <v>2.2999999999999998</v>
      </c>
      <c r="O86" s="100">
        <v>0</v>
      </c>
      <c r="P86" s="100">
        <v>0.21</v>
      </c>
      <c r="Q86" s="100">
        <v>9.9</v>
      </c>
      <c r="R86" s="6"/>
      <c r="S86" s="6"/>
      <c r="T86" s="156"/>
      <c r="U86" s="6"/>
    </row>
    <row r="87" spans="1:21" customFormat="1">
      <c r="A87" s="163" t="s">
        <v>894</v>
      </c>
      <c r="B87" s="100">
        <v>2.65</v>
      </c>
      <c r="C87" s="100">
        <v>4.6900000000000004</v>
      </c>
      <c r="D87" s="100">
        <v>2.04</v>
      </c>
      <c r="E87" s="100">
        <v>4.91</v>
      </c>
      <c r="F87" s="100">
        <v>1.81</v>
      </c>
      <c r="G87" s="100">
        <v>4.4800000000000004</v>
      </c>
      <c r="H87" s="100">
        <v>3.34</v>
      </c>
      <c r="I87" s="100">
        <v>5.75</v>
      </c>
      <c r="J87" s="100">
        <v>0.75</v>
      </c>
      <c r="K87" s="100">
        <v>261.85000000000002</v>
      </c>
      <c r="L87" s="100">
        <v>24.16</v>
      </c>
      <c r="M87" s="100">
        <v>96.56</v>
      </c>
      <c r="N87" s="100">
        <v>2.5</v>
      </c>
      <c r="O87" s="100">
        <v>0</v>
      </c>
      <c r="P87" s="100">
        <v>0.2</v>
      </c>
      <c r="Q87" s="100">
        <v>9.91</v>
      </c>
      <c r="R87" s="6"/>
      <c r="S87" s="6"/>
      <c r="T87" s="156"/>
      <c r="U87" s="6"/>
    </row>
    <row r="88" spans="1:21" customFormat="1">
      <c r="A88" s="163" t="s">
        <v>895</v>
      </c>
      <c r="B88" s="100">
        <v>2.65</v>
      </c>
      <c r="C88" s="100">
        <v>4.68</v>
      </c>
      <c r="D88" s="100">
        <v>2.0299999999999998</v>
      </c>
      <c r="E88" s="100">
        <v>4.91</v>
      </c>
      <c r="F88" s="100">
        <v>2.4300000000000002</v>
      </c>
      <c r="G88" s="100">
        <v>4.4800000000000004</v>
      </c>
      <c r="H88" s="100">
        <v>3.34</v>
      </c>
      <c r="I88" s="100">
        <v>5.68</v>
      </c>
      <c r="J88" s="100">
        <v>0.59</v>
      </c>
      <c r="K88" s="100">
        <v>257.27999999999997</v>
      </c>
      <c r="L88" s="100">
        <v>24.16</v>
      </c>
      <c r="M88" s="100">
        <v>96.39</v>
      </c>
      <c r="N88" s="100">
        <v>2.6</v>
      </c>
      <c r="O88" s="100">
        <v>0</v>
      </c>
      <c r="P88" s="100">
        <v>0.2</v>
      </c>
      <c r="Q88" s="100">
        <v>9.92</v>
      </c>
      <c r="R88" s="6"/>
      <c r="S88" s="6"/>
      <c r="T88" s="156"/>
      <c r="U88" s="6"/>
    </row>
    <row r="89" spans="1:21" customFormat="1">
      <c r="A89" s="163" t="s">
        <v>896</v>
      </c>
      <c r="B89" s="100">
        <v>2.66</v>
      </c>
      <c r="C89" s="100">
        <v>4.6900000000000004</v>
      </c>
      <c r="D89" s="100">
        <v>2.0299999999999998</v>
      </c>
      <c r="E89" s="100">
        <v>4.51</v>
      </c>
      <c r="F89" s="100">
        <v>2.59</v>
      </c>
      <c r="G89" s="100">
        <v>4.4800000000000004</v>
      </c>
      <c r="H89" s="100">
        <v>3.34</v>
      </c>
      <c r="I89" s="100">
        <v>5.63</v>
      </c>
      <c r="J89" s="100">
        <v>0.71</v>
      </c>
      <c r="K89" s="100">
        <v>260</v>
      </c>
      <c r="L89" s="100">
        <v>24.12</v>
      </c>
      <c r="M89" s="100">
        <v>96.51</v>
      </c>
      <c r="N89" s="100">
        <v>2.4</v>
      </c>
      <c r="O89" s="100">
        <v>0.2</v>
      </c>
      <c r="P89" s="100">
        <v>0.19</v>
      </c>
      <c r="Q89" s="100">
        <v>9.92</v>
      </c>
      <c r="R89" s="6"/>
      <c r="S89" s="6"/>
      <c r="T89" s="156"/>
      <c r="U89" s="6"/>
    </row>
    <row r="90" spans="1:21" customFormat="1">
      <c r="A90" s="163" t="s">
        <v>897</v>
      </c>
      <c r="B90" s="100">
        <v>2.66</v>
      </c>
      <c r="C90" s="100">
        <v>4.6900000000000004</v>
      </c>
      <c r="D90" s="100">
        <v>2.0299999999999998</v>
      </c>
      <c r="E90" s="100">
        <v>4.5999999999999996</v>
      </c>
      <c r="F90" s="100">
        <v>2.91</v>
      </c>
      <c r="G90" s="100">
        <v>4.57</v>
      </c>
      <c r="H90" s="100">
        <v>3.32</v>
      </c>
      <c r="I90" s="100">
        <v>5.51</v>
      </c>
      <c r="J90" s="100">
        <v>0.74</v>
      </c>
      <c r="K90" s="100">
        <v>261.99</v>
      </c>
      <c r="L90" s="100">
        <v>24.04</v>
      </c>
      <c r="M90" s="100">
        <v>97.1</v>
      </c>
      <c r="N90" s="100">
        <v>2.4</v>
      </c>
      <c r="O90" s="100">
        <v>0</v>
      </c>
      <c r="P90" s="100">
        <v>0.2</v>
      </c>
      <c r="Q90" s="100">
        <v>9.92</v>
      </c>
      <c r="R90" s="6"/>
      <c r="S90" s="6"/>
      <c r="T90" s="156"/>
      <c r="U90" s="6"/>
    </row>
    <row r="91" spans="1:21" customFormat="1">
      <c r="A91" s="163" t="s">
        <v>898</v>
      </c>
      <c r="B91" s="100">
        <v>2.69</v>
      </c>
      <c r="C91" s="100">
        <v>4.71</v>
      </c>
      <c r="D91" s="100">
        <v>2.02</v>
      </c>
      <c r="E91" s="100">
        <v>4.82</v>
      </c>
      <c r="F91" s="100">
        <v>0.11</v>
      </c>
      <c r="G91" s="100">
        <v>7.16</v>
      </c>
      <c r="H91" s="100">
        <v>2.95</v>
      </c>
      <c r="I91" s="100">
        <v>5.36</v>
      </c>
      <c r="J91" s="100">
        <v>0.63</v>
      </c>
      <c r="K91" s="100">
        <v>259.93</v>
      </c>
      <c r="L91" s="100">
        <v>23.95</v>
      </c>
      <c r="M91" s="100">
        <v>97.75</v>
      </c>
      <c r="N91" s="100">
        <v>2.4</v>
      </c>
      <c r="O91" s="100">
        <v>0</v>
      </c>
      <c r="P91" s="100">
        <v>0.19</v>
      </c>
      <c r="Q91" s="100">
        <v>9.93</v>
      </c>
      <c r="R91" s="6"/>
      <c r="S91" s="6"/>
      <c r="T91" s="156"/>
      <c r="U91" s="6"/>
    </row>
    <row r="92" spans="1:21" customFormat="1">
      <c r="A92" s="163" t="s">
        <v>899</v>
      </c>
      <c r="B92" s="100">
        <v>2.74</v>
      </c>
      <c r="C92" s="100">
        <v>4.72</v>
      </c>
      <c r="D92" s="100">
        <v>1.98</v>
      </c>
      <c r="E92" s="100">
        <v>4.2300000000000004</v>
      </c>
      <c r="F92" s="100">
        <v>1.47</v>
      </c>
      <c r="G92" s="100">
        <v>7.16</v>
      </c>
      <c r="H92" s="100">
        <v>2.95</v>
      </c>
      <c r="I92" s="100">
        <v>5.35</v>
      </c>
      <c r="J92" s="100">
        <v>0.76</v>
      </c>
      <c r="K92" s="100">
        <v>261.08</v>
      </c>
      <c r="L92" s="100">
        <v>23.95</v>
      </c>
      <c r="M92" s="100">
        <v>97.72</v>
      </c>
      <c r="N92" s="100">
        <v>2.4</v>
      </c>
      <c r="O92" s="100">
        <v>0.2</v>
      </c>
      <c r="P92" s="100">
        <v>0.17</v>
      </c>
      <c r="Q92" s="100">
        <v>9.93</v>
      </c>
      <c r="R92" s="6"/>
      <c r="S92" s="6"/>
      <c r="T92" s="156"/>
      <c r="U92" s="6"/>
    </row>
    <row r="93" spans="1:21" customFormat="1">
      <c r="A93" s="163" t="s">
        <v>900</v>
      </c>
      <c r="B93" s="100">
        <v>2.75</v>
      </c>
      <c r="C93" s="100">
        <v>4.6900000000000004</v>
      </c>
      <c r="D93" s="100">
        <v>1.94</v>
      </c>
      <c r="E93" s="100">
        <v>4.21</v>
      </c>
      <c r="F93" s="100">
        <v>2.73</v>
      </c>
      <c r="G93" s="100">
        <v>7.16</v>
      </c>
      <c r="H93" s="100">
        <v>2.95</v>
      </c>
      <c r="I93" s="100">
        <v>5.43</v>
      </c>
      <c r="J93" s="100">
        <v>0.72</v>
      </c>
      <c r="K93" s="100">
        <v>256.77</v>
      </c>
      <c r="L93" s="100">
        <v>23.92</v>
      </c>
      <c r="M93" s="100">
        <v>97.7</v>
      </c>
      <c r="N93" s="100">
        <v>2.4</v>
      </c>
      <c r="O93" s="100">
        <v>0</v>
      </c>
      <c r="P93" s="100">
        <v>0.18</v>
      </c>
      <c r="Q93" s="100">
        <v>9.93</v>
      </c>
      <c r="R93" s="6"/>
      <c r="S93" s="6"/>
      <c r="T93" s="156"/>
      <c r="U93" s="6"/>
    </row>
    <row r="94" spans="1:21" customFormat="1">
      <c r="A94" s="163" t="s">
        <v>901</v>
      </c>
      <c r="B94" s="100">
        <v>2.78</v>
      </c>
      <c r="C94" s="100">
        <v>4.7</v>
      </c>
      <c r="D94" s="100">
        <v>1.92</v>
      </c>
      <c r="E94" s="100">
        <v>4.43</v>
      </c>
      <c r="F94" s="100">
        <v>1.74</v>
      </c>
      <c r="G94" s="100">
        <v>7.21</v>
      </c>
      <c r="H94" s="100">
        <v>2.94</v>
      </c>
      <c r="I94" s="100">
        <v>5.38</v>
      </c>
      <c r="J94" s="100">
        <v>0.66</v>
      </c>
      <c r="K94" s="100">
        <v>257.5</v>
      </c>
      <c r="L94" s="100">
        <v>23.87</v>
      </c>
      <c r="M94" s="100">
        <v>98.58</v>
      </c>
      <c r="N94" s="100">
        <v>2.2999999999999998</v>
      </c>
      <c r="O94" s="100">
        <v>0.2</v>
      </c>
      <c r="P94" s="100">
        <v>0.17</v>
      </c>
      <c r="Q94" s="100">
        <v>9.93</v>
      </c>
      <c r="R94" s="6"/>
      <c r="S94" s="6"/>
      <c r="T94" s="156"/>
      <c r="U94" s="6"/>
    </row>
    <row r="95" spans="1:21" customFormat="1">
      <c r="A95" s="163" t="s">
        <v>902</v>
      </c>
      <c r="B95" s="100">
        <v>2.79</v>
      </c>
      <c r="C95" s="100">
        <v>4.7</v>
      </c>
      <c r="D95" s="100">
        <v>1.91</v>
      </c>
      <c r="E95" s="100">
        <v>4.28</v>
      </c>
      <c r="F95" s="100">
        <v>2.5299999999999998</v>
      </c>
      <c r="G95" s="100">
        <v>8.8699999999999992</v>
      </c>
      <c r="H95" s="100">
        <v>2.58</v>
      </c>
      <c r="I95" s="100">
        <v>5.34</v>
      </c>
      <c r="J95" s="100">
        <v>0.65</v>
      </c>
      <c r="K95" s="100">
        <v>260.7</v>
      </c>
      <c r="L95" s="100">
        <v>23.86</v>
      </c>
      <c r="M95" s="100">
        <v>98.7</v>
      </c>
      <c r="N95" s="100">
        <v>2.4</v>
      </c>
      <c r="O95" s="100">
        <v>0</v>
      </c>
      <c r="P95" s="100">
        <v>0.18</v>
      </c>
      <c r="Q95" s="100">
        <v>9.92</v>
      </c>
      <c r="R95" s="6"/>
      <c r="S95" s="6"/>
      <c r="T95" s="156"/>
      <c r="U95" s="6"/>
    </row>
    <row r="96" spans="1:21" customFormat="1">
      <c r="A96" s="163" t="s">
        <v>903</v>
      </c>
      <c r="B96" s="100">
        <v>2.81</v>
      </c>
      <c r="C96" s="100">
        <v>4.72</v>
      </c>
      <c r="D96" s="100">
        <v>1.91</v>
      </c>
      <c r="E96" s="100">
        <v>4.47</v>
      </c>
      <c r="F96" s="100">
        <v>1.18</v>
      </c>
      <c r="G96" s="100">
        <v>8.8699999999999992</v>
      </c>
      <c r="H96" s="100">
        <v>2.58</v>
      </c>
      <c r="I96" s="100">
        <v>5.33</v>
      </c>
      <c r="J96" s="100">
        <v>0.61</v>
      </c>
      <c r="K96" s="100">
        <v>261.18</v>
      </c>
      <c r="L96" s="100">
        <v>23.82</v>
      </c>
      <c r="M96" s="100">
        <v>98.87</v>
      </c>
      <c r="N96" s="100">
        <v>2.4</v>
      </c>
      <c r="O96" s="100">
        <v>0</v>
      </c>
      <c r="P96" s="100">
        <v>0.17</v>
      </c>
      <c r="Q96" s="100">
        <v>9.93</v>
      </c>
      <c r="R96" s="6"/>
      <c r="S96" s="6"/>
      <c r="T96" s="156"/>
      <c r="U96" s="6"/>
    </row>
    <row r="97" spans="1:28" customFormat="1">
      <c r="A97" s="163" t="s">
        <v>904</v>
      </c>
      <c r="B97" s="100">
        <v>2.82</v>
      </c>
      <c r="C97" s="100">
        <v>4.72</v>
      </c>
      <c r="D97" s="100">
        <v>1.9</v>
      </c>
      <c r="E97" s="100">
        <v>4.37</v>
      </c>
      <c r="F97" s="100">
        <v>2.19</v>
      </c>
      <c r="G97" s="100">
        <v>8.8699999999999992</v>
      </c>
      <c r="H97" s="100">
        <v>2.58</v>
      </c>
      <c r="I97" s="100">
        <v>5.33</v>
      </c>
      <c r="J97" s="100">
        <v>0.76</v>
      </c>
      <c r="K97" s="100">
        <v>262.10000000000002</v>
      </c>
      <c r="L97" s="100">
        <v>23.83</v>
      </c>
      <c r="M97" s="100">
        <v>98.81</v>
      </c>
      <c r="N97" s="100">
        <v>2.4</v>
      </c>
      <c r="O97" s="100">
        <v>0</v>
      </c>
      <c r="P97" s="100">
        <v>0.16</v>
      </c>
      <c r="Q97" s="100">
        <v>9.93</v>
      </c>
      <c r="R97" s="6"/>
      <c r="S97" s="6"/>
      <c r="T97" s="156"/>
      <c r="U97" s="6"/>
    </row>
    <row r="98" spans="1:28" customFormat="1">
      <c r="A98" s="163" t="s">
        <v>905</v>
      </c>
      <c r="B98" s="100">
        <v>2.83</v>
      </c>
      <c r="C98" s="100">
        <v>4.7300000000000004</v>
      </c>
      <c r="D98" s="100">
        <v>1.9</v>
      </c>
      <c r="E98" s="100">
        <v>4.3600000000000003</v>
      </c>
      <c r="F98" s="100">
        <v>1.85</v>
      </c>
      <c r="G98" s="100">
        <v>8.86</v>
      </c>
      <c r="H98" s="100">
        <v>2.59</v>
      </c>
      <c r="I98" s="100">
        <v>5.3</v>
      </c>
      <c r="J98" s="100">
        <v>0.56000000000000005</v>
      </c>
      <c r="K98" s="100">
        <v>262.57</v>
      </c>
      <c r="L98" s="100">
        <v>23.82</v>
      </c>
      <c r="M98" s="100">
        <v>98.91</v>
      </c>
      <c r="N98" s="100">
        <v>2.4</v>
      </c>
      <c r="O98" s="100">
        <v>0</v>
      </c>
      <c r="P98" s="100">
        <v>0.18</v>
      </c>
      <c r="Q98" s="100">
        <v>9.92</v>
      </c>
      <c r="R98" s="6"/>
      <c r="S98" s="6"/>
      <c r="T98" s="156"/>
      <c r="U98" s="6"/>
    </row>
    <row r="99" spans="1:28" customFormat="1">
      <c r="A99" s="163" t="s">
        <v>906</v>
      </c>
      <c r="B99" s="100">
        <v>2.85</v>
      </c>
      <c r="C99" s="100">
        <v>4.75</v>
      </c>
      <c r="D99" s="100">
        <v>1.9</v>
      </c>
      <c r="E99" s="100">
        <v>3.78</v>
      </c>
      <c r="F99" s="100">
        <v>2.2999999999999998</v>
      </c>
      <c r="G99" s="100">
        <v>8.3699999999999992</v>
      </c>
      <c r="H99" s="100">
        <v>3</v>
      </c>
      <c r="I99" s="100">
        <v>5.21</v>
      </c>
      <c r="J99" s="100">
        <v>0.65</v>
      </c>
      <c r="K99" s="100">
        <v>261.68</v>
      </c>
      <c r="L99" s="100">
        <v>23.87</v>
      </c>
      <c r="M99" s="100">
        <v>98.78</v>
      </c>
      <c r="N99" s="100">
        <v>2.8</v>
      </c>
      <c r="O99" s="100">
        <v>0</v>
      </c>
      <c r="P99" s="100">
        <v>0.16</v>
      </c>
      <c r="Q99" s="100">
        <v>9.92</v>
      </c>
      <c r="R99" s="6"/>
      <c r="S99" s="6"/>
      <c r="T99" s="156"/>
      <c r="U99" s="6"/>
    </row>
    <row r="100" spans="1:28" customFormat="1">
      <c r="A100" s="163" t="s">
        <v>907</v>
      </c>
      <c r="B100" s="100">
        <v>2.86</v>
      </c>
      <c r="C100" s="100">
        <v>4.76</v>
      </c>
      <c r="D100" s="100">
        <v>1.9</v>
      </c>
      <c r="E100" s="100">
        <v>4.72</v>
      </c>
      <c r="F100" s="100">
        <v>1.07</v>
      </c>
      <c r="G100" s="100">
        <v>8.3699999999999992</v>
      </c>
      <c r="H100" s="100">
        <v>3</v>
      </c>
      <c r="I100" s="100">
        <v>5.23</v>
      </c>
      <c r="J100" s="100">
        <v>0.71</v>
      </c>
      <c r="K100" s="100">
        <v>264.42</v>
      </c>
      <c r="L100" s="100">
        <v>23.92</v>
      </c>
      <c r="M100" s="100">
        <v>98.55</v>
      </c>
      <c r="N100" s="100">
        <v>3</v>
      </c>
      <c r="O100" s="100">
        <v>0</v>
      </c>
      <c r="P100" s="100">
        <v>0.16</v>
      </c>
      <c r="Q100" s="100">
        <v>9.93</v>
      </c>
      <c r="R100" s="6"/>
      <c r="S100" s="6"/>
      <c r="T100" s="156"/>
      <c r="U100" s="6"/>
      <c r="AB100" s="161"/>
    </row>
    <row r="101" spans="1:28" customFormat="1">
      <c r="A101" s="163" t="s">
        <v>908</v>
      </c>
      <c r="B101" s="100">
        <v>2.89</v>
      </c>
      <c r="C101" s="100">
        <v>4.76</v>
      </c>
      <c r="D101" s="100">
        <v>1.87</v>
      </c>
      <c r="E101" s="100">
        <v>4.22</v>
      </c>
      <c r="F101" s="100">
        <v>2.13</v>
      </c>
      <c r="G101" s="100">
        <v>8.3699999999999992</v>
      </c>
      <c r="H101" s="100">
        <v>3</v>
      </c>
      <c r="I101" s="100">
        <v>5.0999999999999996</v>
      </c>
      <c r="J101" s="100">
        <v>0.83</v>
      </c>
      <c r="K101" s="100">
        <v>262.17</v>
      </c>
      <c r="L101" s="100">
        <v>23.96</v>
      </c>
      <c r="M101" s="100">
        <v>98.07</v>
      </c>
      <c r="N101" s="100">
        <v>3.1</v>
      </c>
      <c r="O101" s="100">
        <v>0</v>
      </c>
      <c r="P101" s="100">
        <v>0.15</v>
      </c>
      <c r="Q101" s="100">
        <v>9.94</v>
      </c>
      <c r="R101" s="6"/>
      <c r="S101" s="6"/>
      <c r="T101" s="156"/>
      <c r="U101" s="6"/>
    </row>
    <row r="102" spans="1:28" customFormat="1">
      <c r="A102" s="163" t="s">
        <v>909</v>
      </c>
      <c r="B102" s="100">
        <v>2.86</v>
      </c>
      <c r="C102" s="100">
        <v>4.75</v>
      </c>
      <c r="D102" s="100">
        <v>1.89</v>
      </c>
      <c r="E102" s="100">
        <v>4.67</v>
      </c>
      <c r="F102" s="100">
        <v>1.05</v>
      </c>
      <c r="G102" s="100">
        <v>8.42</v>
      </c>
      <c r="H102" s="100">
        <v>2.99</v>
      </c>
      <c r="I102" s="100">
        <v>5.08</v>
      </c>
      <c r="J102" s="100">
        <v>0.85</v>
      </c>
      <c r="K102" s="100">
        <v>256.08</v>
      </c>
      <c r="L102" s="100">
        <v>23.98</v>
      </c>
      <c r="M102" s="100">
        <v>97.41</v>
      </c>
      <c r="N102" s="100">
        <v>3.2</v>
      </c>
      <c r="O102" s="100">
        <v>0</v>
      </c>
      <c r="P102" s="100">
        <v>0.15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910</v>
      </c>
      <c r="B103" s="100">
        <v>2.88</v>
      </c>
      <c r="C103" s="100">
        <v>4.76</v>
      </c>
      <c r="D103" s="100">
        <v>1.88</v>
      </c>
      <c r="E103" s="100">
        <v>4.4000000000000004</v>
      </c>
      <c r="F103" s="100">
        <v>1.92</v>
      </c>
      <c r="G103" s="100">
        <v>9.83</v>
      </c>
      <c r="H103" s="100">
        <v>2.57</v>
      </c>
      <c r="I103" s="100">
        <v>4.9000000000000004</v>
      </c>
      <c r="J103" s="100">
        <v>0.81</v>
      </c>
      <c r="K103" s="100">
        <v>258.7</v>
      </c>
      <c r="L103" s="100">
        <v>24.01</v>
      </c>
      <c r="M103" s="100">
        <v>96.87</v>
      </c>
      <c r="N103" s="100">
        <v>3.1</v>
      </c>
      <c r="O103" s="100">
        <v>0</v>
      </c>
      <c r="P103" s="100">
        <v>0.15</v>
      </c>
      <c r="Q103" s="100">
        <v>9.94</v>
      </c>
      <c r="R103" s="6"/>
      <c r="S103" s="6"/>
      <c r="T103" s="156"/>
      <c r="U103" s="6"/>
    </row>
    <row r="104" spans="1:28" customFormat="1">
      <c r="A104" s="163" t="s">
        <v>911</v>
      </c>
      <c r="B104" s="100">
        <v>2.87</v>
      </c>
      <c r="C104" s="100">
        <v>4.76</v>
      </c>
      <c r="D104" s="100">
        <v>1.89</v>
      </c>
      <c r="E104" s="100">
        <v>4.33</v>
      </c>
      <c r="F104" s="100">
        <v>1.31</v>
      </c>
      <c r="G104" s="100">
        <v>9.83</v>
      </c>
      <c r="H104" s="100">
        <v>2.57</v>
      </c>
      <c r="I104" s="100">
        <v>4.91</v>
      </c>
      <c r="J104" s="100">
        <v>0.94</v>
      </c>
      <c r="K104" s="100">
        <v>261.66000000000003</v>
      </c>
      <c r="L104" s="100">
        <v>24.02</v>
      </c>
      <c r="M104" s="100">
        <v>96.14</v>
      </c>
      <c r="N104" s="100">
        <v>3.2</v>
      </c>
      <c r="O104" s="100">
        <v>0</v>
      </c>
      <c r="P104" s="100">
        <v>0.15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4.5599999999999996</v>
      </c>
      <c r="D106" s="158">
        <f t="shared" ref="D106:Q106" si="0">MIN(D9:D104)</f>
        <v>1.84</v>
      </c>
      <c r="E106" s="158">
        <f t="shared" si="0"/>
        <v>1.07</v>
      </c>
      <c r="F106" s="158">
        <f t="shared" si="0"/>
        <v>0.11</v>
      </c>
      <c r="G106" s="158">
        <f t="shared" si="0"/>
        <v>0</v>
      </c>
      <c r="H106" s="158">
        <f t="shared" si="0"/>
        <v>0</v>
      </c>
      <c r="I106" s="158">
        <f t="shared" si="0"/>
        <v>4.84</v>
      </c>
      <c r="J106" s="158">
        <f t="shared" si="0"/>
        <v>0.15</v>
      </c>
      <c r="K106" s="158">
        <f t="shared" si="0"/>
        <v>255.16</v>
      </c>
      <c r="L106" s="158">
        <f t="shared" si="0"/>
        <v>23.73</v>
      </c>
      <c r="M106" s="158">
        <f t="shared" si="0"/>
        <v>96.14</v>
      </c>
      <c r="N106" s="158">
        <f t="shared" si="0"/>
        <v>2.2999999999999998</v>
      </c>
      <c r="O106" s="158">
        <f t="shared" si="0"/>
        <v>0</v>
      </c>
      <c r="P106" s="158">
        <f t="shared" si="0"/>
        <v>0.15</v>
      </c>
      <c r="Q106" s="158">
        <f t="shared" si="0"/>
        <v>5.22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196.46</v>
      </c>
      <c r="C107" s="157">
        <f t="shared" ref="C107:Q107" si="1">MAX(C9:C104)</f>
        <v>218.31</v>
      </c>
      <c r="D107" s="157">
        <f t="shared" si="1"/>
        <v>21.86</v>
      </c>
      <c r="E107" s="157">
        <f t="shared" si="1"/>
        <v>6.34</v>
      </c>
      <c r="F107" s="157">
        <f t="shared" si="1"/>
        <v>9.81</v>
      </c>
      <c r="G107" s="157">
        <f t="shared" si="1"/>
        <v>19.850000000000001</v>
      </c>
      <c r="H107" s="157">
        <f t="shared" si="1"/>
        <v>11.99</v>
      </c>
      <c r="I107" s="157">
        <f t="shared" si="1"/>
        <v>9.14</v>
      </c>
      <c r="J107" s="157">
        <f t="shared" si="1"/>
        <v>1.1499999999999999</v>
      </c>
      <c r="K107" s="157">
        <f t="shared" si="1"/>
        <v>347.28</v>
      </c>
      <c r="L107" s="157">
        <f t="shared" si="1"/>
        <v>25.1</v>
      </c>
      <c r="M107" s="157">
        <f t="shared" si="1"/>
        <v>100.23</v>
      </c>
      <c r="N107" s="157">
        <f t="shared" si="1"/>
        <v>102.7</v>
      </c>
      <c r="O107" s="157">
        <f t="shared" si="1"/>
        <v>8</v>
      </c>
      <c r="P107" s="157">
        <f t="shared" si="1"/>
        <v>11.87</v>
      </c>
      <c r="Q107" s="157">
        <f t="shared" si="1"/>
        <v>10.01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6.958854166666665</v>
      </c>
      <c r="C108" s="158">
        <f t="shared" ref="C108:Q108" si="2">AVERAGE(C9:C104)</f>
        <v>9.1596875000000022</v>
      </c>
      <c r="D108" s="158">
        <f t="shared" si="2"/>
        <v>2.4819791666666666</v>
      </c>
      <c r="E108" s="158">
        <f t="shared" si="2"/>
        <v>4.3751041666666666</v>
      </c>
      <c r="F108" s="158">
        <f t="shared" si="2"/>
        <v>2.4826041666666665</v>
      </c>
      <c r="G108" s="158">
        <f t="shared" si="2"/>
        <v>9.7302083333333371</v>
      </c>
      <c r="H108" s="158">
        <f t="shared" si="2"/>
        <v>4.2077083333333309</v>
      </c>
      <c r="I108" s="158">
        <f t="shared" si="2"/>
        <v>6.235104166666666</v>
      </c>
      <c r="J108" s="158">
        <f t="shared" si="2"/>
        <v>0.67979166666666668</v>
      </c>
      <c r="K108" s="158">
        <f t="shared" si="2"/>
        <v>269.42458333333326</v>
      </c>
      <c r="L108" s="158">
        <f t="shared" si="2"/>
        <v>24.254375000000007</v>
      </c>
      <c r="M108" s="158">
        <f t="shared" si="2"/>
        <v>99.378749999999968</v>
      </c>
      <c r="N108" s="158">
        <f t="shared" si="2"/>
        <v>19.140625000000007</v>
      </c>
      <c r="O108" s="158">
        <f t="shared" si="2"/>
        <v>0.81250000000000044</v>
      </c>
      <c r="P108" s="158">
        <f t="shared" si="2"/>
        <v>0.4513541666666665</v>
      </c>
      <c r="Q108" s="158">
        <f t="shared" si="2"/>
        <v>9.8362000000000034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26.44216146391539</v>
      </c>
      <c r="C109" s="158">
        <f t="shared" ref="C109:Q109" si="3">STDEV(C9:C104)</f>
        <v>27.676901425789978</v>
      </c>
      <c r="D109" s="158">
        <f t="shared" si="3"/>
        <v>2.5264931467577814</v>
      </c>
      <c r="E109" s="158">
        <f t="shared" si="3"/>
        <v>1.5870283350978669</v>
      </c>
      <c r="F109" s="158">
        <f t="shared" si="3"/>
        <v>1.6747934639619961</v>
      </c>
      <c r="G109" s="158">
        <f t="shared" si="3"/>
        <v>4.4193564616454797</v>
      </c>
      <c r="H109" s="158">
        <f t="shared" si="3"/>
        <v>3.7287484789535261</v>
      </c>
      <c r="I109" s="158">
        <f t="shared" si="3"/>
        <v>0.87656626109366587</v>
      </c>
      <c r="J109" s="158">
        <f t="shared" si="3"/>
        <v>0.19890214026879877</v>
      </c>
      <c r="K109" s="158">
        <f t="shared" si="3"/>
        <v>15.987540933105361</v>
      </c>
      <c r="L109" s="158">
        <f t="shared" si="3"/>
        <v>0.32557903883130412</v>
      </c>
      <c r="M109" s="158">
        <f t="shared" si="3"/>
        <v>1.2150583698346626</v>
      </c>
      <c r="N109" s="158">
        <f t="shared" si="3"/>
        <v>24.831917398995301</v>
      </c>
      <c r="O109" s="158">
        <f t="shared" si="3"/>
        <v>1.5615950010705153</v>
      </c>
      <c r="P109" s="158">
        <f t="shared" si="3"/>
        <v>1.6101347572186335</v>
      </c>
      <c r="Q109" s="158">
        <f t="shared" si="3"/>
        <v>0.66669422051902438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P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>COUNT(Q9:Q104)+46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1" sqref="H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912</v>
      </c>
      <c r="B9" s="100">
        <v>2.9</v>
      </c>
      <c r="C9" s="100">
        <v>4.8099999999999996</v>
      </c>
      <c r="D9" s="100">
        <v>1.9</v>
      </c>
      <c r="E9" s="100">
        <v>4.49</v>
      </c>
      <c r="F9" s="100">
        <v>2.35</v>
      </c>
      <c r="G9" s="100">
        <v>9.83</v>
      </c>
      <c r="H9" s="100">
        <v>2.57</v>
      </c>
      <c r="I9" s="100">
        <v>4.88</v>
      </c>
      <c r="J9" s="100">
        <v>0.85</v>
      </c>
      <c r="K9" s="100">
        <v>261.58</v>
      </c>
      <c r="L9" s="100">
        <v>24</v>
      </c>
      <c r="M9" s="100">
        <v>95.74</v>
      </c>
      <c r="N9" s="100">
        <v>3.2</v>
      </c>
      <c r="O9" s="100">
        <v>0</v>
      </c>
      <c r="P9" s="100">
        <v>0.14000000000000001</v>
      </c>
      <c r="Q9" s="100">
        <v>9.93</v>
      </c>
      <c r="R9" s="6"/>
      <c r="S9" s="6"/>
      <c r="T9" s="156"/>
      <c r="U9" s="6"/>
    </row>
    <row r="10" spans="1:21" customFormat="1">
      <c r="A10" s="163" t="s">
        <v>913</v>
      </c>
      <c r="B10" s="100">
        <v>2.9</v>
      </c>
      <c r="C10" s="100">
        <v>4.8</v>
      </c>
      <c r="D10" s="100">
        <v>1.9</v>
      </c>
      <c r="E10" s="100">
        <v>4.6100000000000003</v>
      </c>
      <c r="F10" s="100">
        <v>1.65</v>
      </c>
      <c r="G10" s="100">
        <v>9.76</v>
      </c>
      <c r="H10" s="100">
        <v>2.56</v>
      </c>
      <c r="I10" s="100">
        <v>4.84</v>
      </c>
      <c r="J10" s="100">
        <v>0.98</v>
      </c>
      <c r="K10" s="100">
        <v>260.27999999999997</v>
      </c>
      <c r="L10" s="100">
        <v>24.01</v>
      </c>
      <c r="M10" s="100">
        <v>95.35</v>
      </c>
      <c r="N10" s="100">
        <v>3.1</v>
      </c>
      <c r="O10" s="100">
        <v>0</v>
      </c>
      <c r="P10" s="100">
        <v>0.14000000000000001</v>
      </c>
      <c r="Q10" s="100">
        <v>9.93</v>
      </c>
      <c r="R10" s="6"/>
      <c r="S10" s="6"/>
      <c r="T10" s="156"/>
      <c r="U10" s="6"/>
    </row>
    <row r="11" spans="1:21" customFormat="1">
      <c r="A11" s="163" t="s">
        <v>914</v>
      </c>
      <c r="B11" s="100">
        <v>2.9</v>
      </c>
      <c r="C11" s="100">
        <v>4.78</v>
      </c>
      <c r="D11" s="100">
        <v>1.88</v>
      </c>
      <c r="E11" s="100">
        <v>4.4800000000000004</v>
      </c>
      <c r="F11" s="100">
        <v>2.64</v>
      </c>
      <c r="G11" s="100">
        <v>7.73</v>
      </c>
      <c r="H11" s="100">
        <v>2.4</v>
      </c>
      <c r="I11" s="100">
        <v>4.76</v>
      </c>
      <c r="J11" s="100">
        <v>0.98</v>
      </c>
      <c r="K11" s="100">
        <v>260.36</v>
      </c>
      <c r="L11" s="100">
        <v>24.02</v>
      </c>
      <c r="M11" s="100">
        <v>95.04</v>
      </c>
      <c r="N11" s="100">
        <v>3.2</v>
      </c>
      <c r="O11" s="100">
        <v>0</v>
      </c>
      <c r="P11" s="100">
        <v>0.14000000000000001</v>
      </c>
      <c r="Q11" s="100">
        <v>9.9499999999999993</v>
      </c>
      <c r="R11" s="6"/>
      <c r="S11" s="6"/>
      <c r="T11" s="156"/>
      <c r="U11" s="6"/>
    </row>
    <row r="12" spans="1:21" customFormat="1">
      <c r="A12" s="163" t="s">
        <v>915</v>
      </c>
      <c r="B12" s="100">
        <v>2.89</v>
      </c>
      <c r="C12" s="100">
        <v>4.79</v>
      </c>
      <c r="D12" s="100">
        <v>1.9</v>
      </c>
      <c r="E12" s="100">
        <v>4.7300000000000004</v>
      </c>
      <c r="F12" s="100">
        <v>0.61</v>
      </c>
      <c r="G12" s="100">
        <v>7.73</v>
      </c>
      <c r="H12" s="100">
        <v>2.4</v>
      </c>
      <c r="I12" s="100">
        <v>4.71</v>
      </c>
      <c r="J12" s="100">
        <v>1.18</v>
      </c>
      <c r="K12" s="100">
        <v>257.25</v>
      </c>
      <c r="L12" s="100">
        <v>23.99</v>
      </c>
      <c r="M12" s="100">
        <v>94.13</v>
      </c>
      <c r="N12" s="100">
        <v>3.3</v>
      </c>
      <c r="O12" s="100">
        <v>0</v>
      </c>
      <c r="P12" s="100">
        <v>0.13</v>
      </c>
      <c r="Q12" s="100">
        <v>9.94</v>
      </c>
      <c r="R12" s="6"/>
      <c r="S12" s="6"/>
      <c r="T12" s="156"/>
      <c r="U12" s="6"/>
    </row>
    <row r="13" spans="1:21" customFormat="1">
      <c r="A13" s="163" t="s">
        <v>916</v>
      </c>
      <c r="B13" s="100">
        <v>2.89</v>
      </c>
      <c r="C13" s="100">
        <v>4.7699999999999996</v>
      </c>
      <c r="D13" s="100">
        <v>1.89</v>
      </c>
      <c r="E13" s="100">
        <v>4.6500000000000004</v>
      </c>
      <c r="F13" s="100">
        <v>1.94</v>
      </c>
      <c r="G13" s="100">
        <v>7.73</v>
      </c>
      <c r="H13" s="100">
        <v>2.4</v>
      </c>
      <c r="I13" s="100">
        <v>4.53</v>
      </c>
      <c r="J13" s="100">
        <v>1.07</v>
      </c>
      <c r="K13" s="100">
        <v>256.92</v>
      </c>
      <c r="L13" s="100">
        <v>23.91</v>
      </c>
      <c r="M13" s="100">
        <v>93.84</v>
      </c>
      <c r="N13" s="100">
        <v>3.2</v>
      </c>
      <c r="O13" s="100">
        <v>0</v>
      </c>
      <c r="P13" s="100">
        <v>0.12</v>
      </c>
      <c r="Q13" s="100">
        <v>9.94</v>
      </c>
      <c r="R13" s="6"/>
      <c r="S13" s="6"/>
      <c r="T13" s="156"/>
      <c r="U13" s="6"/>
    </row>
    <row r="14" spans="1:21" customFormat="1">
      <c r="A14" s="163" t="s">
        <v>917</v>
      </c>
      <c r="B14" s="100">
        <v>2.84</v>
      </c>
      <c r="C14" s="100">
        <v>4.76</v>
      </c>
      <c r="D14" s="100">
        <v>1.91</v>
      </c>
      <c r="E14" s="100">
        <v>4.62</v>
      </c>
      <c r="F14" s="100">
        <v>2.39</v>
      </c>
      <c r="G14" s="100">
        <v>7.67</v>
      </c>
      <c r="H14" s="100">
        <v>2.4</v>
      </c>
      <c r="I14" s="100">
        <v>4.5199999999999996</v>
      </c>
      <c r="J14" s="100">
        <v>1.1100000000000001</v>
      </c>
      <c r="K14" s="100">
        <v>260.58999999999997</v>
      </c>
      <c r="L14" s="100">
        <v>23.88</v>
      </c>
      <c r="M14" s="100">
        <v>93.03</v>
      </c>
      <c r="N14" s="100">
        <v>2.8</v>
      </c>
      <c r="O14" s="100">
        <v>0</v>
      </c>
      <c r="P14" s="100">
        <v>0.13</v>
      </c>
      <c r="Q14" s="100">
        <v>9.93</v>
      </c>
      <c r="R14" s="6"/>
      <c r="S14" s="6"/>
      <c r="T14" s="156"/>
      <c r="U14" s="6"/>
    </row>
    <row r="15" spans="1:21" customFormat="1">
      <c r="A15" s="163" t="s">
        <v>918</v>
      </c>
      <c r="B15" s="100">
        <v>2.79</v>
      </c>
      <c r="C15" s="100">
        <v>4.7300000000000004</v>
      </c>
      <c r="D15" s="100">
        <v>1.94</v>
      </c>
      <c r="E15" s="100">
        <v>4.59</v>
      </c>
      <c r="F15" s="100">
        <v>2.62</v>
      </c>
      <c r="G15" s="100">
        <v>5.94</v>
      </c>
      <c r="H15" s="100">
        <v>2.2000000000000002</v>
      </c>
      <c r="I15" s="100">
        <v>4.29</v>
      </c>
      <c r="J15" s="100">
        <v>0.93</v>
      </c>
      <c r="K15" s="100">
        <v>255.24</v>
      </c>
      <c r="L15" s="100">
        <v>23.8</v>
      </c>
      <c r="M15" s="100">
        <v>93.01</v>
      </c>
      <c r="N15" s="100">
        <v>2.8</v>
      </c>
      <c r="O15" s="100">
        <v>0</v>
      </c>
      <c r="P15" s="100">
        <v>0.13</v>
      </c>
      <c r="Q15" s="100">
        <v>9.92</v>
      </c>
      <c r="R15" s="6"/>
      <c r="S15" s="6"/>
      <c r="T15" s="156"/>
      <c r="U15" s="6"/>
    </row>
    <row r="16" spans="1:21" customFormat="1">
      <c r="A16" s="163" t="s">
        <v>919</v>
      </c>
      <c r="B16" s="100">
        <v>2.75</v>
      </c>
      <c r="C16" s="100">
        <v>4.7</v>
      </c>
      <c r="D16" s="100">
        <v>1.95</v>
      </c>
      <c r="E16" s="100">
        <v>4.62</v>
      </c>
      <c r="F16" s="100">
        <v>2.89</v>
      </c>
      <c r="G16" s="100">
        <v>5.94</v>
      </c>
      <c r="H16" s="100">
        <v>2.2000000000000002</v>
      </c>
      <c r="I16" s="100">
        <v>4.2</v>
      </c>
      <c r="J16" s="100">
        <v>1.22</v>
      </c>
      <c r="K16" s="100">
        <v>258.08999999999997</v>
      </c>
      <c r="L16" s="100">
        <v>23.71</v>
      </c>
      <c r="M16" s="100">
        <v>92.53</v>
      </c>
      <c r="N16" s="100">
        <v>2.6</v>
      </c>
      <c r="O16" s="100">
        <v>0</v>
      </c>
      <c r="P16" s="100">
        <v>0.12</v>
      </c>
      <c r="Q16" s="100">
        <v>9.9</v>
      </c>
      <c r="R16" s="6"/>
      <c r="S16" s="6"/>
      <c r="T16" s="156"/>
      <c r="U16" s="6"/>
    </row>
    <row r="17" spans="1:21" customFormat="1">
      <c r="A17" s="163" t="s">
        <v>920</v>
      </c>
      <c r="B17" s="100">
        <v>2.71</v>
      </c>
      <c r="C17" s="100">
        <v>4.66</v>
      </c>
      <c r="D17" s="100">
        <v>1.95</v>
      </c>
      <c r="E17" s="100">
        <v>3.76</v>
      </c>
      <c r="F17" s="100">
        <v>3.38</v>
      </c>
      <c r="G17" s="100">
        <v>5.94</v>
      </c>
      <c r="H17" s="100">
        <v>2.2000000000000002</v>
      </c>
      <c r="I17" s="100">
        <v>4.08</v>
      </c>
      <c r="J17" s="100">
        <v>1.17</v>
      </c>
      <c r="K17" s="100">
        <v>258.35000000000002</v>
      </c>
      <c r="L17" s="100">
        <v>23.62</v>
      </c>
      <c r="M17" s="100">
        <v>92.9</v>
      </c>
      <c r="N17" s="100">
        <v>2.5</v>
      </c>
      <c r="O17" s="100">
        <v>0</v>
      </c>
      <c r="P17" s="100">
        <v>0.12</v>
      </c>
      <c r="Q17" s="100">
        <v>9.89</v>
      </c>
      <c r="R17" s="6"/>
      <c r="S17" s="6"/>
      <c r="T17" s="156"/>
      <c r="U17" s="6"/>
    </row>
    <row r="18" spans="1:21" customFormat="1">
      <c r="A18" s="163" t="s">
        <v>921</v>
      </c>
      <c r="B18" s="100">
        <v>2.68</v>
      </c>
      <c r="C18" s="100">
        <v>4.62</v>
      </c>
      <c r="D18" s="100">
        <v>1.95</v>
      </c>
      <c r="E18" s="100">
        <v>4.59</v>
      </c>
      <c r="F18" s="100">
        <v>3.03</v>
      </c>
      <c r="G18" s="100">
        <v>5.89</v>
      </c>
      <c r="H18" s="100">
        <v>2.19</v>
      </c>
      <c r="I18" s="100">
        <v>3.92</v>
      </c>
      <c r="J18" s="100">
        <v>1.1200000000000001</v>
      </c>
      <c r="K18" s="100">
        <v>256.45</v>
      </c>
      <c r="L18" s="100">
        <v>23.5</v>
      </c>
      <c r="M18" s="100">
        <v>93.81</v>
      </c>
      <c r="N18" s="100">
        <v>2.2000000000000002</v>
      </c>
      <c r="O18" s="100">
        <v>0</v>
      </c>
      <c r="P18" s="100">
        <v>0.12</v>
      </c>
      <c r="Q18" s="100">
        <v>9.9</v>
      </c>
      <c r="R18" s="6"/>
      <c r="S18" s="6"/>
      <c r="T18" s="156"/>
      <c r="U18" s="6"/>
    </row>
    <row r="19" spans="1:21" customFormat="1">
      <c r="A19" s="163" t="s">
        <v>922</v>
      </c>
      <c r="B19" s="100">
        <v>2.66</v>
      </c>
      <c r="C19" s="100">
        <v>4.5999999999999996</v>
      </c>
      <c r="D19" s="100">
        <v>1.94</v>
      </c>
      <c r="E19" s="100">
        <v>4.9800000000000004</v>
      </c>
      <c r="F19" s="100">
        <v>3.18</v>
      </c>
      <c r="G19" s="100">
        <v>4.67</v>
      </c>
      <c r="H19" s="100">
        <v>2.14</v>
      </c>
      <c r="I19" s="100">
        <v>3.8</v>
      </c>
      <c r="J19" s="100">
        <v>1</v>
      </c>
      <c r="K19" s="100">
        <v>256.49</v>
      </c>
      <c r="L19" s="100">
        <v>23.44</v>
      </c>
      <c r="M19" s="100">
        <v>94.69</v>
      </c>
      <c r="N19" s="100">
        <v>2.2000000000000002</v>
      </c>
      <c r="O19" s="100">
        <v>0</v>
      </c>
      <c r="P19" s="100">
        <v>0.11</v>
      </c>
      <c r="Q19" s="100">
        <v>9.91</v>
      </c>
      <c r="R19" s="6"/>
      <c r="S19" s="6"/>
      <c r="T19" s="156"/>
      <c r="U19" s="6"/>
    </row>
    <row r="20" spans="1:21" customFormat="1">
      <c r="A20" s="163" t="s">
        <v>923</v>
      </c>
      <c r="B20" s="100">
        <v>2.64</v>
      </c>
      <c r="C20" s="100">
        <v>4.58</v>
      </c>
      <c r="D20" s="100">
        <v>1.93</v>
      </c>
      <c r="E20" s="100">
        <v>4.87</v>
      </c>
      <c r="F20" s="100">
        <v>3</v>
      </c>
      <c r="G20" s="100">
        <v>4.67</v>
      </c>
      <c r="H20" s="100">
        <v>2.14</v>
      </c>
      <c r="I20" s="100">
        <v>3.71</v>
      </c>
      <c r="J20" s="100">
        <v>0.92</v>
      </c>
      <c r="K20" s="100">
        <v>258.2</v>
      </c>
      <c r="L20" s="100">
        <v>23.33</v>
      </c>
      <c r="M20" s="100">
        <v>95.68</v>
      </c>
      <c r="N20" s="100">
        <v>2.4</v>
      </c>
      <c r="O20" s="100">
        <v>0</v>
      </c>
      <c r="P20" s="100">
        <v>0.11</v>
      </c>
      <c r="Q20" s="100">
        <v>9.9</v>
      </c>
      <c r="R20" s="6"/>
      <c r="S20" s="6"/>
      <c r="T20" s="156"/>
      <c r="U20" s="6"/>
    </row>
    <row r="21" spans="1:21" customFormat="1">
      <c r="A21" s="163" t="s">
        <v>924</v>
      </c>
      <c r="B21" s="100">
        <v>2.63</v>
      </c>
      <c r="C21" s="100">
        <v>4.57</v>
      </c>
      <c r="D21" s="100">
        <v>1.94</v>
      </c>
      <c r="E21" s="100">
        <v>4.72</v>
      </c>
      <c r="F21" s="100">
        <v>3.26</v>
      </c>
      <c r="G21" s="100">
        <v>4.67</v>
      </c>
      <c r="H21" s="100">
        <v>2.14</v>
      </c>
      <c r="I21" s="100">
        <v>3.57</v>
      </c>
      <c r="J21" s="100">
        <v>0.93</v>
      </c>
      <c r="K21" s="100">
        <v>259.58</v>
      </c>
      <c r="L21" s="100">
        <v>23.18</v>
      </c>
      <c r="M21" s="100">
        <v>97.04</v>
      </c>
      <c r="N21" s="100">
        <v>2.1</v>
      </c>
      <c r="O21" s="100">
        <v>0.2</v>
      </c>
      <c r="P21" s="100">
        <v>0.1</v>
      </c>
      <c r="Q21" s="100">
        <v>9.9</v>
      </c>
      <c r="R21" s="6"/>
      <c r="S21" s="6"/>
      <c r="T21" s="156"/>
      <c r="U21" s="6"/>
    </row>
    <row r="22" spans="1:21" customFormat="1">
      <c r="A22" s="163" t="s">
        <v>925</v>
      </c>
      <c r="B22" s="100">
        <v>2.63</v>
      </c>
      <c r="C22" s="100">
        <v>4.55</v>
      </c>
      <c r="D22" s="100">
        <v>1.92</v>
      </c>
      <c r="E22" s="100">
        <v>4.72</v>
      </c>
      <c r="F22" s="100">
        <v>2.99</v>
      </c>
      <c r="G22" s="100">
        <v>4.7300000000000004</v>
      </c>
      <c r="H22" s="100">
        <v>2.14</v>
      </c>
      <c r="I22" s="100">
        <v>3.47</v>
      </c>
      <c r="J22" s="100">
        <v>0.78</v>
      </c>
      <c r="K22" s="100">
        <v>261.27</v>
      </c>
      <c r="L22" s="100">
        <v>23.11</v>
      </c>
      <c r="M22" s="100">
        <v>97.97</v>
      </c>
      <c r="N22" s="100">
        <v>2.2999999999999998</v>
      </c>
      <c r="O22" s="100">
        <v>0</v>
      </c>
      <c r="P22" s="100">
        <v>0.1</v>
      </c>
      <c r="Q22" s="100">
        <v>9.91</v>
      </c>
      <c r="R22" s="6"/>
      <c r="S22" s="6"/>
      <c r="T22" s="156"/>
      <c r="U22" s="6"/>
    </row>
    <row r="23" spans="1:21" customFormat="1">
      <c r="A23" s="163" t="s">
        <v>926</v>
      </c>
      <c r="B23" s="100">
        <v>2.62</v>
      </c>
      <c r="C23" s="100">
        <v>4.55</v>
      </c>
      <c r="D23" s="100">
        <v>1.93</v>
      </c>
      <c r="E23" s="100">
        <v>4.7300000000000004</v>
      </c>
      <c r="F23" s="100">
        <v>2.8</v>
      </c>
      <c r="G23" s="100">
        <v>6.73</v>
      </c>
      <c r="H23" s="100">
        <v>1.98</v>
      </c>
      <c r="I23" s="100">
        <v>3.4</v>
      </c>
      <c r="J23" s="100">
        <v>0.74</v>
      </c>
      <c r="K23" s="100">
        <v>257.73</v>
      </c>
      <c r="L23" s="100">
        <v>23.09</v>
      </c>
      <c r="M23" s="100">
        <v>98.63</v>
      </c>
      <c r="N23" s="100">
        <v>2.2999999999999998</v>
      </c>
      <c r="O23" s="100">
        <v>0.2</v>
      </c>
      <c r="P23" s="100">
        <v>0.1</v>
      </c>
      <c r="Q23" s="100">
        <v>9.9</v>
      </c>
      <c r="R23" s="6"/>
      <c r="S23" s="6"/>
      <c r="T23" s="156"/>
      <c r="U23" s="6"/>
    </row>
    <row r="24" spans="1:21" customFormat="1">
      <c r="A24" s="163" t="s">
        <v>927</v>
      </c>
      <c r="B24" s="100">
        <v>2.62</v>
      </c>
      <c r="C24" s="100">
        <v>4.55</v>
      </c>
      <c r="D24" s="100">
        <v>1.92</v>
      </c>
      <c r="E24" s="100">
        <v>5.01</v>
      </c>
      <c r="F24" s="100">
        <v>3.02</v>
      </c>
      <c r="G24" s="100">
        <v>6.73</v>
      </c>
      <c r="H24" s="100">
        <v>1.98</v>
      </c>
      <c r="I24" s="100">
        <v>3.37</v>
      </c>
      <c r="J24" s="100">
        <v>0.61</v>
      </c>
      <c r="K24" s="100">
        <v>258.39999999999998</v>
      </c>
      <c r="L24" s="100">
        <v>23.13</v>
      </c>
      <c r="M24" s="100">
        <v>99.03</v>
      </c>
      <c r="N24" s="100">
        <v>2.2999999999999998</v>
      </c>
      <c r="O24" s="100">
        <v>0</v>
      </c>
      <c r="P24" s="100">
        <v>0.09</v>
      </c>
      <c r="Q24" s="100">
        <v>9.9</v>
      </c>
      <c r="R24" s="6"/>
      <c r="S24" s="6"/>
      <c r="T24" s="156"/>
      <c r="U24" s="6"/>
    </row>
    <row r="25" spans="1:21" customFormat="1">
      <c r="A25" s="163" t="s">
        <v>928</v>
      </c>
      <c r="B25" s="100">
        <v>2.63</v>
      </c>
      <c r="C25" s="100">
        <v>4.54</v>
      </c>
      <c r="D25" s="100">
        <v>1.91</v>
      </c>
      <c r="E25" s="100">
        <v>5.34</v>
      </c>
      <c r="F25" s="100">
        <v>3.21</v>
      </c>
      <c r="G25" s="100">
        <v>6.73</v>
      </c>
      <c r="H25" s="100">
        <v>1.98</v>
      </c>
      <c r="I25" s="100">
        <v>3.27</v>
      </c>
      <c r="J25" s="100">
        <v>0.61</v>
      </c>
      <c r="K25" s="100">
        <v>258.89</v>
      </c>
      <c r="L25" s="100">
        <v>23.14</v>
      </c>
      <c r="M25" s="100">
        <v>99.37</v>
      </c>
      <c r="N25" s="100">
        <v>2.2999999999999998</v>
      </c>
      <c r="O25" s="100">
        <v>0</v>
      </c>
      <c r="P25" s="100">
        <v>0.1</v>
      </c>
      <c r="Q25" s="100">
        <v>9.9</v>
      </c>
      <c r="R25" s="6"/>
      <c r="S25" s="6"/>
      <c r="T25" s="156"/>
      <c r="U25" s="6"/>
    </row>
    <row r="26" spans="1:21" customFormat="1">
      <c r="A26" s="163" t="s">
        <v>929</v>
      </c>
      <c r="B26" s="100">
        <v>2.63</v>
      </c>
      <c r="C26" s="100">
        <v>4.55</v>
      </c>
      <c r="D26" s="100">
        <v>1.91</v>
      </c>
      <c r="E26" s="100">
        <v>4.9400000000000004</v>
      </c>
      <c r="F26" s="100">
        <v>2.83</v>
      </c>
      <c r="G26" s="100">
        <v>6.67</v>
      </c>
      <c r="H26" s="100">
        <v>1.98</v>
      </c>
      <c r="I26" s="100">
        <v>3.26</v>
      </c>
      <c r="J26" s="100">
        <v>0.64</v>
      </c>
      <c r="K26" s="100">
        <v>253.19</v>
      </c>
      <c r="L26" s="100">
        <v>23.17</v>
      </c>
      <c r="M26" s="100">
        <v>99.66</v>
      </c>
      <c r="N26" s="100">
        <v>2.2999999999999998</v>
      </c>
      <c r="O26" s="100">
        <v>0</v>
      </c>
      <c r="P26" s="100">
        <v>0.1</v>
      </c>
      <c r="Q26" s="100">
        <v>9.91</v>
      </c>
      <c r="R26" s="6"/>
      <c r="S26" s="6"/>
      <c r="T26" s="156"/>
      <c r="U26" s="6"/>
    </row>
    <row r="27" spans="1:21" customFormat="1">
      <c r="A27" s="163" t="s">
        <v>930</v>
      </c>
      <c r="B27" s="100">
        <v>2.64</v>
      </c>
      <c r="C27" s="100">
        <v>4.55</v>
      </c>
      <c r="D27" s="100">
        <v>1.91</v>
      </c>
      <c r="E27" s="100">
        <v>4.96</v>
      </c>
      <c r="F27" s="100">
        <v>2.5</v>
      </c>
      <c r="G27" s="100">
        <v>5.14</v>
      </c>
      <c r="H27" s="100">
        <v>1.96</v>
      </c>
      <c r="I27" s="100">
        <v>3.19</v>
      </c>
      <c r="J27" s="100">
        <v>0.76</v>
      </c>
      <c r="K27" s="100">
        <v>256.19</v>
      </c>
      <c r="L27" s="100">
        <v>23.19</v>
      </c>
      <c r="M27" s="100">
        <v>99.78</v>
      </c>
      <c r="N27" s="100">
        <v>2.2999999999999998</v>
      </c>
      <c r="O27" s="100">
        <v>0</v>
      </c>
      <c r="P27" s="100">
        <v>0.09</v>
      </c>
      <c r="Q27" s="100">
        <v>9.92</v>
      </c>
      <c r="R27" s="6"/>
      <c r="S27" s="6"/>
      <c r="T27" s="156"/>
      <c r="U27" s="6"/>
    </row>
    <row r="28" spans="1:21" customFormat="1">
      <c r="A28" s="163" t="s">
        <v>931</v>
      </c>
      <c r="B28" s="100">
        <v>2.65</v>
      </c>
      <c r="C28" s="100">
        <v>4.5599999999999996</v>
      </c>
      <c r="D28" s="100">
        <v>1.91</v>
      </c>
      <c r="E28" s="100">
        <v>5.22</v>
      </c>
      <c r="F28" s="100">
        <v>2.37</v>
      </c>
      <c r="G28" s="100">
        <v>5.14</v>
      </c>
      <c r="H28" s="100">
        <v>1.96</v>
      </c>
      <c r="I28" s="100">
        <v>3.1</v>
      </c>
      <c r="J28" s="100">
        <v>0.67</v>
      </c>
      <c r="K28" s="100">
        <v>261.01</v>
      </c>
      <c r="L28" s="100">
        <v>23.25</v>
      </c>
      <c r="M28" s="100">
        <v>99.67</v>
      </c>
      <c r="N28" s="100">
        <v>2.6</v>
      </c>
      <c r="O28" s="100">
        <v>0</v>
      </c>
      <c r="P28" s="100">
        <v>0.09</v>
      </c>
      <c r="Q28" s="100">
        <v>9.91</v>
      </c>
      <c r="R28" s="6"/>
      <c r="S28" s="6"/>
      <c r="T28" s="156"/>
      <c r="U28" s="6"/>
    </row>
    <row r="29" spans="1:21" customFormat="1">
      <c r="A29" s="163" t="s">
        <v>932</v>
      </c>
      <c r="B29" s="100">
        <v>2.64</v>
      </c>
      <c r="C29" s="100">
        <v>4.5599999999999996</v>
      </c>
      <c r="D29" s="100">
        <v>1.91</v>
      </c>
      <c r="E29" s="100">
        <v>5.23</v>
      </c>
      <c r="F29" s="100">
        <v>2.48</v>
      </c>
      <c r="G29" s="100">
        <v>5.14</v>
      </c>
      <c r="H29" s="100">
        <v>1.96</v>
      </c>
      <c r="I29" s="100">
        <v>2.99</v>
      </c>
      <c r="J29" s="100">
        <v>0.63</v>
      </c>
      <c r="K29" s="100">
        <v>261.20999999999998</v>
      </c>
      <c r="L29" s="100">
        <v>23.28</v>
      </c>
      <c r="M29" s="100">
        <v>99.41</v>
      </c>
      <c r="N29" s="100">
        <v>2.7</v>
      </c>
      <c r="O29" s="100">
        <v>0</v>
      </c>
      <c r="P29" s="100">
        <v>0.09</v>
      </c>
      <c r="Q29" s="100">
        <v>9.92</v>
      </c>
      <c r="R29" s="6"/>
      <c r="S29" s="6"/>
      <c r="T29" s="156"/>
      <c r="U29" s="6"/>
    </row>
    <row r="30" spans="1:21" customFormat="1">
      <c r="A30" s="163" t="s">
        <v>933</v>
      </c>
      <c r="B30" s="100">
        <v>2.64</v>
      </c>
      <c r="C30" s="100">
        <v>4.5599999999999996</v>
      </c>
      <c r="D30" s="100">
        <v>1.92</v>
      </c>
      <c r="E30" s="100">
        <v>5.14</v>
      </c>
      <c r="F30" s="100">
        <v>2.35</v>
      </c>
      <c r="G30" s="100">
        <v>5.16</v>
      </c>
      <c r="H30" s="100">
        <v>1.96</v>
      </c>
      <c r="I30" s="100">
        <v>2.95</v>
      </c>
      <c r="J30" s="100">
        <v>0.56999999999999995</v>
      </c>
      <c r="K30" s="100">
        <v>255.11</v>
      </c>
      <c r="L30" s="100">
        <v>23.32</v>
      </c>
      <c r="M30" s="100">
        <v>99.28</v>
      </c>
      <c r="N30" s="100">
        <v>2.5</v>
      </c>
      <c r="O30" s="100">
        <v>0</v>
      </c>
      <c r="P30" s="100">
        <v>0.09</v>
      </c>
      <c r="Q30" s="100">
        <v>9.92</v>
      </c>
      <c r="R30" s="6"/>
      <c r="S30" s="6"/>
      <c r="T30" s="156"/>
      <c r="U30" s="6"/>
    </row>
    <row r="31" spans="1:21" customFormat="1">
      <c r="A31" s="163" t="s">
        <v>934</v>
      </c>
      <c r="B31" s="100">
        <v>2.66</v>
      </c>
      <c r="C31" s="100">
        <v>4.57</v>
      </c>
      <c r="D31" s="100">
        <v>1.91</v>
      </c>
      <c r="E31" s="100">
        <v>5.34</v>
      </c>
      <c r="F31" s="100">
        <v>2.85</v>
      </c>
      <c r="G31" s="100">
        <v>5.66</v>
      </c>
      <c r="H31" s="100">
        <v>1.91</v>
      </c>
      <c r="I31" s="100">
        <v>2.95</v>
      </c>
      <c r="J31" s="100">
        <v>0.89</v>
      </c>
      <c r="K31" s="100">
        <v>255.78</v>
      </c>
      <c r="L31" s="100">
        <v>23.38</v>
      </c>
      <c r="M31" s="100">
        <v>98.98</v>
      </c>
      <c r="N31" s="100">
        <v>3.3</v>
      </c>
      <c r="O31" s="100">
        <v>0.2</v>
      </c>
      <c r="P31" s="100">
        <v>0.09</v>
      </c>
      <c r="Q31" s="100">
        <v>9.92</v>
      </c>
      <c r="R31" s="6"/>
      <c r="S31" s="6"/>
      <c r="T31" s="156"/>
      <c r="U31" s="6"/>
    </row>
    <row r="32" spans="1:21" customFormat="1">
      <c r="A32" s="163" t="s">
        <v>935</v>
      </c>
      <c r="B32" s="100">
        <v>2.66</v>
      </c>
      <c r="C32" s="100">
        <v>4.57</v>
      </c>
      <c r="D32" s="100">
        <v>1.91</v>
      </c>
      <c r="E32" s="100">
        <v>5.44</v>
      </c>
      <c r="F32" s="100">
        <v>2.56</v>
      </c>
      <c r="G32" s="100">
        <v>5.66</v>
      </c>
      <c r="H32" s="100">
        <v>1.91</v>
      </c>
      <c r="I32" s="100">
        <v>2.83</v>
      </c>
      <c r="J32" s="100">
        <v>0.64</v>
      </c>
      <c r="K32" s="100">
        <v>260.64</v>
      </c>
      <c r="L32" s="100">
        <v>23.38</v>
      </c>
      <c r="M32" s="100">
        <v>98.82</v>
      </c>
      <c r="N32" s="100">
        <v>6.7</v>
      </c>
      <c r="O32" s="100">
        <v>0.2</v>
      </c>
      <c r="P32" s="100">
        <v>0.08</v>
      </c>
      <c r="Q32" s="100">
        <v>9.9</v>
      </c>
      <c r="R32" s="6"/>
      <c r="S32" s="6"/>
      <c r="T32" s="156"/>
      <c r="U32" s="6"/>
    </row>
    <row r="33" spans="1:21" customFormat="1">
      <c r="A33" s="163" t="s">
        <v>936</v>
      </c>
      <c r="B33" s="100">
        <v>2.66</v>
      </c>
      <c r="C33" s="100">
        <v>4.57</v>
      </c>
      <c r="D33" s="100">
        <v>1.91</v>
      </c>
      <c r="E33" s="100">
        <v>5.61</v>
      </c>
      <c r="F33" s="100">
        <v>2.29</v>
      </c>
      <c r="G33" s="100">
        <v>5.66</v>
      </c>
      <c r="H33" s="100">
        <v>1.91</v>
      </c>
      <c r="I33" s="100">
        <v>2.83</v>
      </c>
      <c r="J33" s="100">
        <v>0.54</v>
      </c>
      <c r="K33" s="100">
        <v>257.89999999999998</v>
      </c>
      <c r="L33" s="100">
        <v>23.26</v>
      </c>
      <c r="M33" s="100">
        <v>99.63</v>
      </c>
      <c r="N33" s="100">
        <v>9.4</v>
      </c>
      <c r="O33" s="100">
        <v>0.6</v>
      </c>
      <c r="P33" s="100">
        <v>0.08</v>
      </c>
      <c r="Q33" s="100">
        <v>9.91</v>
      </c>
      <c r="R33" s="6"/>
      <c r="S33" s="6"/>
      <c r="T33" s="156"/>
      <c r="U33" s="6"/>
    </row>
    <row r="34" spans="1:21" customFormat="1">
      <c r="A34" s="163" t="s">
        <v>937</v>
      </c>
      <c r="B34" s="100">
        <v>2.67</v>
      </c>
      <c r="C34" s="100">
        <v>4.59</v>
      </c>
      <c r="D34" s="100">
        <v>1.92</v>
      </c>
      <c r="E34" s="100">
        <v>5.46</v>
      </c>
      <c r="F34" s="100">
        <v>0.78</v>
      </c>
      <c r="G34" s="100">
        <v>5.62</v>
      </c>
      <c r="H34" s="100">
        <v>1.91</v>
      </c>
      <c r="I34" s="100">
        <v>2.82</v>
      </c>
      <c r="J34" s="100">
        <v>0.75</v>
      </c>
      <c r="K34" s="100">
        <v>260.94</v>
      </c>
      <c r="L34" s="100">
        <v>23.18</v>
      </c>
      <c r="M34" s="100">
        <v>100.19</v>
      </c>
      <c r="N34" s="100">
        <v>14.7</v>
      </c>
      <c r="O34" s="100">
        <v>0.4</v>
      </c>
      <c r="P34" s="100">
        <v>0.09</v>
      </c>
      <c r="Q34" s="100">
        <v>9.91</v>
      </c>
      <c r="R34" s="6"/>
      <c r="S34" s="6"/>
      <c r="T34" s="156"/>
      <c r="U34" s="6"/>
    </row>
    <row r="35" spans="1:21" customFormat="1">
      <c r="A35" s="163" t="s">
        <v>938</v>
      </c>
      <c r="B35" s="100">
        <v>2.72</v>
      </c>
      <c r="C35" s="100">
        <v>4.5999999999999996</v>
      </c>
      <c r="D35" s="100">
        <v>1.89</v>
      </c>
      <c r="E35" s="100">
        <v>5.27</v>
      </c>
      <c r="F35" s="100">
        <v>1.64</v>
      </c>
      <c r="G35" s="100">
        <v>4.4800000000000004</v>
      </c>
      <c r="H35" s="100">
        <v>1.89</v>
      </c>
      <c r="I35" s="100">
        <v>2.89</v>
      </c>
      <c r="J35" s="100">
        <v>0.88</v>
      </c>
      <c r="K35" s="100">
        <v>263.3</v>
      </c>
      <c r="L35" s="100">
        <v>23.16</v>
      </c>
      <c r="M35" s="100">
        <v>100.25</v>
      </c>
      <c r="N35" s="100">
        <v>15.3</v>
      </c>
      <c r="O35" s="100">
        <v>0</v>
      </c>
      <c r="P35" s="100">
        <v>7.0000000000000007E-2</v>
      </c>
      <c r="Q35" s="100">
        <v>9.92</v>
      </c>
      <c r="R35" s="6"/>
      <c r="S35" s="6"/>
      <c r="T35" s="156"/>
      <c r="U35" s="6"/>
    </row>
    <row r="36" spans="1:21" customFormat="1">
      <c r="A36" s="163" t="s">
        <v>939</v>
      </c>
      <c r="B36" s="100">
        <v>2.73</v>
      </c>
      <c r="C36" s="100">
        <v>4.59</v>
      </c>
      <c r="D36" s="100">
        <v>1.86</v>
      </c>
      <c r="E36" s="100">
        <v>5.17</v>
      </c>
      <c r="F36" s="100">
        <v>2.58</v>
      </c>
      <c r="G36" s="100">
        <v>4.4800000000000004</v>
      </c>
      <c r="H36" s="100">
        <v>1.89</v>
      </c>
      <c r="I36" s="100">
        <v>2.89</v>
      </c>
      <c r="J36" s="100">
        <v>0.65</v>
      </c>
      <c r="K36" s="100">
        <v>265.89999999999998</v>
      </c>
      <c r="L36" s="100">
        <v>23.09</v>
      </c>
      <c r="M36" s="100">
        <v>100.25</v>
      </c>
      <c r="N36" s="100">
        <v>17.100000000000001</v>
      </c>
      <c r="O36" s="100">
        <v>1.8</v>
      </c>
      <c r="P36" s="100">
        <v>0.08</v>
      </c>
      <c r="Q36" s="100">
        <v>9.91</v>
      </c>
      <c r="R36" s="6"/>
      <c r="S36" s="6"/>
      <c r="T36" s="156"/>
      <c r="U36" s="6"/>
    </row>
    <row r="37" spans="1:21" customFormat="1">
      <c r="A37" s="163" t="s">
        <v>940</v>
      </c>
      <c r="B37" s="100">
        <v>2.77</v>
      </c>
      <c r="C37" s="100">
        <v>4.63</v>
      </c>
      <c r="D37" s="100">
        <v>1.86</v>
      </c>
      <c r="E37" s="100">
        <v>4.99</v>
      </c>
      <c r="F37" s="100">
        <v>1.74</v>
      </c>
      <c r="G37" s="100">
        <v>4.4800000000000004</v>
      </c>
      <c r="H37" s="100">
        <v>1.89</v>
      </c>
      <c r="I37" s="100">
        <v>2.83</v>
      </c>
      <c r="J37" s="100">
        <v>0.62</v>
      </c>
      <c r="K37" s="100">
        <v>257.58</v>
      </c>
      <c r="L37" s="100">
        <v>23.05</v>
      </c>
      <c r="M37" s="100">
        <v>100.28</v>
      </c>
      <c r="N37" s="100">
        <v>27.8</v>
      </c>
      <c r="O37" s="100">
        <v>2.4</v>
      </c>
      <c r="P37" s="100">
        <v>0.05</v>
      </c>
      <c r="Q37" s="100">
        <v>9.93</v>
      </c>
      <c r="R37" s="6"/>
      <c r="S37" s="6"/>
      <c r="T37" s="156"/>
      <c r="U37" s="6"/>
    </row>
    <row r="38" spans="1:21" customFormat="1">
      <c r="A38" s="163" t="s">
        <v>941</v>
      </c>
      <c r="B38" s="100">
        <v>2.78</v>
      </c>
      <c r="C38" s="100">
        <v>4.62</v>
      </c>
      <c r="D38" s="100">
        <v>1.84</v>
      </c>
      <c r="E38" s="100">
        <v>4.9400000000000004</v>
      </c>
      <c r="F38" s="100">
        <v>2.84</v>
      </c>
      <c r="G38" s="100">
        <v>4.46</v>
      </c>
      <c r="H38" s="100">
        <v>1.89</v>
      </c>
      <c r="I38" s="100">
        <v>2.97</v>
      </c>
      <c r="J38" s="100">
        <v>0.66</v>
      </c>
      <c r="K38" s="100">
        <v>254.97</v>
      </c>
      <c r="L38" s="100">
        <v>23.04</v>
      </c>
      <c r="M38" s="100">
        <v>100.28</v>
      </c>
      <c r="N38" s="100">
        <v>26</v>
      </c>
      <c r="O38" s="100">
        <v>2.2000000000000002</v>
      </c>
      <c r="P38" s="100">
        <v>7.0000000000000007E-2</v>
      </c>
      <c r="Q38" s="100">
        <v>9.91</v>
      </c>
      <c r="R38" s="6"/>
      <c r="S38" s="6"/>
      <c r="T38" s="156"/>
      <c r="U38" s="6"/>
    </row>
    <row r="39" spans="1:21" customFormat="1">
      <c r="A39" s="163" t="s">
        <v>942</v>
      </c>
      <c r="B39" s="100">
        <v>2.78</v>
      </c>
      <c r="C39" s="100">
        <v>4.6500000000000004</v>
      </c>
      <c r="D39" s="100">
        <v>1.86</v>
      </c>
      <c r="E39" s="100">
        <v>4.97</v>
      </c>
      <c r="F39" s="100">
        <v>1.48</v>
      </c>
      <c r="G39" s="100">
        <v>3.91</v>
      </c>
      <c r="H39" s="100">
        <v>1.83</v>
      </c>
      <c r="I39" s="100">
        <v>2.9</v>
      </c>
      <c r="J39" s="100">
        <v>0.8</v>
      </c>
      <c r="K39" s="100">
        <v>257.89</v>
      </c>
      <c r="L39" s="100">
        <v>23.02</v>
      </c>
      <c r="M39" s="100">
        <v>100.28</v>
      </c>
      <c r="N39" s="100">
        <v>21.4</v>
      </c>
      <c r="O39" s="100">
        <v>0.6</v>
      </c>
      <c r="P39" s="100">
        <v>7.0000000000000007E-2</v>
      </c>
      <c r="Q39" s="100">
        <v>9.91</v>
      </c>
      <c r="R39" s="6"/>
      <c r="S39" s="6"/>
      <c r="T39" s="156"/>
      <c r="U39" s="6"/>
    </row>
    <row r="40" spans="1:21" customFormat="1">
      <c r="A40" s="163" t="s">
        <v>943</v>
      </c>
      <c r="B40" s="100">
        <v>2.81</v>
      </c>
      <c r="C40" s="100">
        <v>4.67</v>
      </c>
      <c r="D40" s="100">
        <v>1.86</v>
      </c>
      <c r="E40" s="100">
        <v>4.91</v>
      </c>
      <c r="F40" s="100">
        <v>2.04</v>
      </c>
      <c r="G40" s="100">
        <v>3.91</v>
      </c>
      <c r="H40" s="100">
        <v>1.83</v>
      </c>
      <c r="I40" s="100">
        <v>2.97</v>
      </c>
      <c r="J40" s="100">
        <v>0.87</v>
      </c>
      <c r="K40" s="100">
        <v>259.31</v>
      </c>
      <c r="L40" s="100">
        <v>23.08</v>
      </c>
      <c r="M40" s="100">
        <v>100.28</v>
      </c>
      <c r="N40" s="100">
        <v>19.8</v>
      </c>
      <c r="O40" s="100">
        <v>0.8</v>
      </c>
      <c r="P40" s="100">
        <v>0.06</v>
      </c>
      <c r="Q40" s="100">
        <v>9.91</v>
      </c>
      <c r="R40" s="6"/>
      <c r="S40" s="6"/>
      <c r="T40" s="156"/>
      <c r="U40" s="6"/>
    </row>
    <row r="41" spans="1:21" customFormat="1">
      <c r="A41" s="163" t="s">
        <v>944</v>
      </c>
      <c r="B41" s="100">
        <v>2.8</v>
      </c>
      <c r="C41" s="100">
        <v>4.67</v>
      </c>
      <c r="D41" s="100">
        <v>1.87</v>
      </c>
      <c r="E41" s="100">
        <v>4.9400000000000004</v>
      </c>
      <c r="F41" s="100">
        <v>2.1</v>
      </c>
      <c r="G41" s="100">
        <v>3.91</v>
      </c>
      <c r="H41" s="100">
        <v>1.83</v>
      </c>
      <c r="I41" s="100">
        <v>3.05</v>
      </c>
      <c r="J41" s="100">
        <v>0.82</v>
      </c>
      <c r="K41" s="100">
        <v>255.6</v>
      </c>
      <c r="L41" s="100">
        <v>23.07</v>
      </c>
      <c r="M41" s="100">
        <v>100.28</v>
      </c>
      <c r="N41" s="100">
        <v>12.6</v>
      </c>
      <c r="O41" s="100">
        <v>0.4</v>
      </c>
      <c r="P41" s="100">
        <v>0.08</v>
      </c>
      <c r="Q41" s="100">
        <v>9.92</v>
      </c>
      <c r="R41" s="6"/>
      <c r="S41" s="6"/>
      <c r="T41" s="156"/>
      <c r="U41" s="6"/>
    </row>
    <row r="42" spans="1:21" customFormat="1">
      <c r="A42" s="163" t="s">
        <v>945</v>
      </c>
      <c r="B42" s="100">
        <v>2.82</v>
      </c>
      <c r="C42" s="100">
        <v>4.6900000000000004</v>
      </c>
      <c r="D42" s="100">
        <v>1.88</v>
      </c>
      <c r="E42" s="100">
        <v>4.63</v>
      </c>
      <c r="F42" s="100">
        <v>1.73</v>
      </c>
      <c r="G42" s="100">
        <v>3.89</v>
      </c>
      <c r="H42" s="100">
        <v>1.83</v>
      </c>
      <c r="I42" s="100">
        <v>2.98</v>
      </c>
      <c r="J42" s="100">
        <v>0.57999999999999996</v>
      </c>
      <c r="K42" s="100">
        <v>254.27</v>
      </c>
      <c r="L42" s="100">
        <v>23.09</v>
      </c>
      <c r="M42" s="100">
        <v>100.28</v>
      </c>
      <c r="N42" s="100">
        <v>16.100000000000001</v>
      </c>
      <c r="O42" s="100">
        <v>1</v>
      </c>
      <c r="P42" s="100">
        <v>7.0000000000000007E-2</v>
      </c>
      <c r="Q42" s="100">
        <v>9.94</v>
      </c>
      <c r="R42" s="6"/>
      <c r="S42" s="6"/>
      <c r="T42" s="156"/>
      <c r="U42" s="6"/>
    </row>
    <row r="43" spans="1:21" customFormat="1">
      <c r="A43" s="163" t="s">
        <v>946</v>
      </c>
      <c r="B43" s="100">
        <v>2.82</v>
      </c>
      <c r="C43" s="100">
        <v>4.6900000000000004</v>
      </c>
      <c r="D43" s="100">
        <v>1.87</v>
      </c>
      <c r="E43" s="100">
        <v>4.76</v>
      </c>
      <c r="F43" s="100">
        <v>2.39</v>
      </c>
      <c r="G43" s="100">
        <v>3.53</v>
      </c>
      <c r="H43" s="100">
        <v>1.78</v>
      </c>
      <c r="I43" s="100">
        <v>3.14</v>
      </c>
      <c r="J43" s="100">
        <v>0.78</v>
      </c>
      <c r="K43" s="100">
        <v>257.11</v>
      </c>
      <c r="L43" s="100">
        <v>23.01</v>
      </c>
      <c r="M43" s="100">
        <v>100.29</v>
      </c>
      <c r="N43" s="100">
        <v>21.3</v>
      </c>
      <c r="O43" s="100">
        <v>3.8</v>
      </c>
      <c r="P43" s="100">
        <v>0.09</v>
      </c>
      <c r="Q43" s="100">
        <v>9.92</v>
      </c>
      <c r="R43" s="6"/>
      <c r="S43" s="6"/>
      <c r="T43" s="156"/>
      <c r="U43" s="6"/>
    </row>
    <row r="44" spans="1:21" customFormat="1">
      <c r="A44" s="163" t="s">
        <v>947</v>
      </c>
      <c r="B44" s="100">
        <v>2.84</v>
      </c>
      <c r="C44" s="100">
        <v>4.7300000000000004</v>
      </c>
      <c r="D44" s="100">
        <v>1.89</v>
      </c>
      <c r="E44" s="100">
        <v>4.88</v>
      </c>
      <c r="F44" s="100">
        <v>1.64</v>
      </c>
      <c r="G44" s="100">
        <v>3.53</v>
      </c>
      <c r="H44" s="100">
        <v>1.78</v>
      </c>
      <c r="I44" s="100">
        <v>3.11</v>
      </c>
      <c r="J44" s="100">
        <v>0.65</v>
      </c>
      <c r="K44" s="100">
        <v>258.61</v>
      </c>
      <c r="L44" s="100">
        <v>22.99</v>
      </c>
      <c r="M44" s="100">
        <v>100.29</v>
      </c>
      <c r="N44" s="100">
        <v>25.9</v>
      </c>
      <c r="O44" s="100">
        <v>2.8</v>
      </c>
      <c r="P44" s="100">
        <v>7.0000000000000007E-2</v>
      </c>
      <c r="Q44" s="100">
        <v>9.94</v>
      </c>
      <c r="R44" s="6"/>
      <c r="S44" s="6"/>
      <c r="T44" s="156"/>
      <c r="U44" s="6"/>
    </row>
    <row r="45" spans="1:21" customFormat="1">
      <c r="A45" s="163" t="s">
        <v>948</v>
      </c>
      <c r="B45" s="100">
        <v>2.85</v>
      </c>
      <c r="C45" s="100">
        <v>4.7300000000000004</v>
      </c>
      <c r="D45" s="100">
        <v>1.88</v>
      </c>
      <c r="E45" s="100">
        <v>4.8499999999999996</v>
      </c>
      <c r="F45" s="100">
        <v>2.2400000000000002</v>
      </c>
      <c r="G45" s="100">
        <v>3.53</v>
      </c>
      <c r="H45" s="100">
        <v>1.78</v>
      </c>
      <c r="I45" s="100">
        <v>3.17</v>
      </c>
      <c r="J45" s="100">
        <v>0.54</v>
      </c>
      <c r="K45" s="100">
        <v>262.42</v>
      </c>
      <c r="L45" s="100">
        <v>23.07</v>
      </c>
      <c r="M45" s="100">
        <v>100.3</v>
      </c>
      <c r="N45" s="100">
        <v>31</v>
      </c>
      <c r="O45" s="100">
        <v>1</v>
      </c>
      <c r="P45" s="100">
        <v>0.09</v>
      </c>
      <c r="Q45" s="100">
        <v>9.93</v>
      </c>
      <c r="R45" s="6"/>
      <c r="S45" s="6"/>
      <c r="T45" s="156"/>
      <c r="U45" s="6"/>
    </row>
    <row r="46" spans="1:21" customFormat="1">
      <c r="A46" s="163" t="s">
        <v>949</v>
      </c>
      <c r="B46" s="100">
        <v>2.87</v>
      </c>
      <c r="C46" s="100">
        <v>4.76</v>
      </c>
      <c r="D46" s="100">
        <v>1.89</v>
      </c>
      <c r="E46" s="100">
        <v>4.91</v>
      </c>
      <c r="F46" s="100">
        <v>1.45</v>
      </c>
      <c r="G46" s="100">
        <v>3.51</v>
      </c>
      <c r="H46" s="100">
        <v>1.77</v>
      </c>
      <c r="I46" s="100">
        <v>3.19</v>
      </c>
      <c r="J46" s="100">
        <v>0.66</v>
      </c>
      <c r="K46" s="100">
        <v>258.87</v>
      </c>
      <c r="L46" s="100">
        <v>23.08</v>
      </c>
      <c r="M46" s="100">
        <v>100.3</v>
      </c>
      <c r="N46" s="100">
        <v>39</v>
      </c>
      <c r="O46" s="100">
        <v>0.8</v>
      </c>
      <c r="P46" s="100">
        <v>7.0000000000000007E-2</v>
      </c>
      <c r="Q46" s="100">
        <v>9.94</v>
      </c>
      <c r="R46" s="6"/>
      <c r="S46" s="6"/>
      <c r="T46" s="156"/>
      <c r="U46" s="6"/>
    </row>
    <row r="47" spans="1:21" customFormat="1">
      <c r="A47" s="163" t="s">
        <v>950</v>
      </c>
      <c r="B47" s="100">
        <v>2.88</v>
      </c>
      <c r="C47" s="100">
        <v>4.76</v>
      </c>
      <c r="D47" s="100">
        <v>1.88</v>
      </c>
      <c r="E47" s="100">
        <v>4.9400000000000004</v>
      </c>
      <c r="F47" s="100">
        <v>2.0299999999999998</v>
      </c>
      <c r="G47" s="100">
        <v>2.82</v>
      </c>
      <c r="H47" s="100">
        <v>1.72</v>
      </c>
      <c r="I47" s="100">
        <v>3.24</v>
      </c>
      <c r="J47" s="100">
        <v>0.48</v>
      </c>
      <c r="K47" s="100">
        <v>271.91000000000003</v>
      </c>
      <c r="L47" s="100">
        <v>23.05</v>
      </c>
      <c r="M47" s="100">
        <v>100.3</v>
      </c>
      <c r="N47" s="100">
        <v>17.8</v>
      </c>
      <c r="O47" s="100">
        <v>0.4</v>
      </c>
      <c r="P47" s="100">
        <v>0.08</v>
      </c>
      <c r="Q47" s="100">
        <v>9.93</v>
      </c>
      <c r="R47" s="6"/>
      <c r="S47" s="6"/>
      <c r="T47" s="156"/>
      <c r="U47" s="6"/>
    </row>
    <row r="48" spans="1:21" customFormat="1">
      <c r="A48" s="163" t="s">
        <v>951</v>
      </c>
      <c r="B48" s="100">
        <v>2.9</v>
      </c>
      <c r="C48" s="100">
        <v>4.78</v>
      </c>
      <c r="D48" s="100">
        <v>1.88</v>
      </c>
      <c r="E48" s="100">
        <v>4.9000000000000004</v>
      </c>
      <c r="F48" s="100">
        <v>1.27</v>
      </c>
      <c r="G48" s="100">
        <v>2.82</v>
      </c>
      <c r="H48" s="100">
        <v>1.72</v>
      </c>
      <c r="I48" s="100">
        <v>3.23</v>
      </c>
      <c r="J48" s="100">
        <v>0.47</v>
      </c>
      <c r="K48" s="100">
        <v>266</v>
      </c>
      <c r="L48" s="100">
        <v>22.99</v>
      </c>
      <c r="M48" s="100">
        <v>100.3</v>
      </c>
      <c r="N48" s="100">
        <v>14.3</v>
      </c>
      <c r="O48" s="100">
        <v>0.2</v>
      </c>
      <c r="P48" s="100">
        <v>7.0000000000000007E-2</v>
      </c>
      <c r="Q48" s="100">
        <v>9.94</v>
      </c>
      <c r="R48" s="6"/>
      <c r="S48" s="6"/>
      <c r="T48" s="156"/>
      <c r="U48" s="6"/>
    </row>
    <row r="49" spans="1:21" customFormat="1">
      <c r="A49" s="163" t="s">
        <v>952</v>
      </c>
      <c r="B49" s="100">
        <v>2.91</v>
      </c>
      <c r="C49" s="100">
        <v>4.78</v>
      </c>
      <c r="D49" s="100">
        <v>1.87</v>
      </c>
      <c r="E49" s="100">
        <v>5.61</v>
      </c>
      <c r="F49" s="100">
        <v>2.17</v>
      </c>
      <c r="G49" s="100">
        <v>2.82</v>
      </c>
      <c r="H49" s="100">
        <v>1.72</v>
      </c>
      <c r="I49" s="100">
        <v>3.24</v>
      </c>
      <c r="J49" s="100">
        <v>0.6</v>
      </c>
      <c r="K49" s="100">
        <v>258.82</v>
      </c>
      <c r="L49" s="100">
        <v>23.02</v>
      </c>
      <c r="M49" s="100">
        <v>100.3</v>
      </c>
      <c r="N49" s="100">
        <v>19.7</v>
      </c>
      <c r="O49" s="100">
        <v>1</v>
      </c>
      <c r="P49" s="100">
        <v>0.08</v>
      </c>
      <c r="Q49" s="100">
        <v>9.94</v>
      </c>
      <c r="R49" s="6"/>
      <c r="S49" s="6"/>
      <c r="T49" s="156"/>
      <c r="U49" s="6"/>
    </row>
    <row r="50" spans="1:21" customFormat="1">
      <c r="A50" s="163" t="s">
        <v>953</v>
      </c>
      <c r="B50" s="100">
        <v>2.92</v>
      </c>
      <c r="C50" s="100">
        <v>4.8099999999999996</v>
      </c>
      <c r="D50" s="100">
        <v>1.89</v>
      </c>
      <c r="E50" s="100">
        <v>6.63</v>
      </c>
      <c r="F50" s="100">
        <v>1.22</v>
      </c>
      <c r="G50" s="100">
        <v>2.81</v>
      </c>
      <c r="H50" s="100">
        <v>1.72</v>
      </c>
      <c r="I50" s="100">
        <v>3.29</v>
      </c>
      <c r="J50" s="100">
        <v>0.67</v>
      </c>
      <c r="K50" s="100">
        <v>254.53</v>
      </c>
      <c r="L50" s="100">
        <v>22.95</v>
      </c>
      <c r="M50" s="100">
        <v>100.3</v>
      </c>
      <c r="N50" s="100">
        <v>20.399999999999999</v>
      </c>
      <c r="O50" s="100">
        <v>0.6</v>
      </c>
      <c r="P50" s="100">
        <v>0.08</v>
      </c>
      <c r="Q50" s="100">
        <v>9.92</v>
      </c>
      <c r="R50" s="6"/>
      <c r="S50" s="6"/>
      <c r="T50" s="156"/>
      <c r="U50" s="6"/>
    </row>
    <row r="51" spans="1:21" customFormat="1">
      <c r="A51" s="163" t="s">
        <v>954</v>
      </c>
      <c r="B51" s="100">
        <v>2.93</v>
      </c>
      <c r="C51" s="100">
        <v>4.8099999999999996</v>
      </c>
      <c r="D51" s="100">
        <v>1.88</v>
      </c>
      <c r="E51" s="100">
        <v>6.55</v>
      </c>
      <c r="F51" s="100">
        <v>2.15</v>
      </c>
      <c r="G51" s="100">
        <v>2.4900000000000002</v>
      </c>
      <c r="H51" s="100">
        <v>1.67</v>
      </c>
      <c r="I51" s="100">
        <v>3.3</v>
      </c>
      <c r="J51" s="100">
        <v>0.57999999999999996</v>
      </c>
      <c r="K51" s="100">
        <v>264.27999999999997</v>
      </c>
      <c r="L51" s="100">
        <v>22.94</v>
      </c>
      <c r="M51" s="100">
        <v>100.3</v>
      </c>
      <c r="N51" s="100">
        <v>19.100000000000001</v>
      </c>
      <c r="O51" s="100">
        <v>1</v>
      </c>
      <c r="P51" s="100">
        <v>0.08</v>
      </c>
      <c r="Q51" s="100">
        <v>9.92</v>
      </c>
      <c r="R51" s="6"/>
      <c r="S51" s="6"/>
      <c r="T51" s="156"/>
      <c r="U51" s="6"/>
    </row>
    <row r="52" spans="1:21" customFormat="1">
      <c r="A52" s="163" t="s">
        <v>955</v>
      </c>
      <c r="B52" s="100">
        <v>2.94</v>
      </c>
      <c r="C52" s="100">
        <v>4.84</v>
      </c>
      <c r="D52" s="100">
        <v>1.91</v>
      </c>
      <c r="E52" s="100">
        <v>6.7</v>
      </c>
      <c r="F52" s="100">
        <v>1.1100000000000001</v>
      </c>
      <c r="G52" s="100">
        <v>2.4900000000000002</v>
      </c>
      <c r="H52" s="100">
        <v>1.67</v>
      </c>
      <c r="I52" s="100">
        <v>3.33</v>
      </c>
      <c r="J52" s="100">
        <v>0.66</v>
      </c>
      <c r="K52" s="100">
        <v>259.55</v>
      </c>
      <c r="L52" s="100">
        <v>22.97</v>
      </c>
      <c r="M52" s="100">
        <v>100.3</v>
      </c>
      <c r="N52" s="100">
        <v>35.5</v>
      </c>
      <c r="O52" s="100">
        <v>0.4</v>
      </c>
      <c r="P52" s="100">
        <v>0.08</v>
      </c>
      <c r="Q52" s="100">
        <v>9.94</v>
      </c>
      <c r="R52" s="6"/>
      <c r="S52" s="6"/>
      <c r="T52" s="156"/>
      <c r="U52" s="6"/>
    </row>
    <row r="53" spans="1:21" customFormat="1">
      <c r="A53" s="163" t="s">
        <v>956</v>
      </c>
      <c r="B53" s="100">
        <v>2.93</v>
      </c>
      <c r="C53" s="100">
        <v>4.8499999999999996</v>
      </c>
      <c r="D53" s="100">
        <v>1.91</v>
      </c>
      <c r="E53" s="100">
        <v>6.49</v>
      </c>
      <c r="F53" s="100">
        <v>1.99</v>
      </c>
      <c r="G53" s="100">
        <v>2.4900000000000002</v>
      </c>
      <c r="H53" s="100">
        <v>1.67</v>
      </c>
      <c r="I53" s="100">
        <v>3.28</v>
      </c>
      <c r="J53" s="100">
        <v>0.8</v>
      </c>
      <c r="K53" s="100">
        <v>259.69</v>
      </c>
      <c r="L53" s="100">
        <v>23.06</v>
      </c>
      <c r="M53" s="100">
        <v>100.3</v>
      </c>
      <c r="N53" s="100">
        <v>67.2</v>
      </c>
      <c r="O53" s="100">
        <v>0.4</v>
      </c>
      <c r="P53" s="100">
        <v>0.09</v>
      </c>
      <c r="Q53" s="100">
        <v>9.93</v>
      </c>
      <c r="R53" s="6"/>
      <c r="S53" s="6"/>
      <c r="T53" s="156"/>
      <c r="U53" s="6"/>
    </row>
    <row r="54" spans="1:21" customFormat="1">
      <c r="A54" s="163" t="s">
        <v>957</v>
      </c>
      <c r="B54" s="100">
        <v>2.89</v>
      </c>
      <c r="C54" s="100">
        <v>4.84</v>
      </c>
      <c r="D54" s="100">
        <v>1.94</v>
      </c>
      <c r="E54" s="100">
        <v>6.4</v>
      </c>
      <c r="F54" s="100">
        <v>2.5</v>
      </c>
      <c r="G54" s="100">
        <v>2.4700000000000002</v>
      </c>
      <c r="H54" s="100">
        <v>1.67</v>
      </c>
      <c r="I54" s="100">
        <v>3.44</v>
      </c>
      <c r="J54" s="100">
        <v>1.03</v>
      </c>
      <c r="K54" s="100">
        <v>257.95999999999998</v>
      </c>
      <c r="L54" s="100">
        <v>23.01</v>
      </c>
      <c r="M54" s="100">
        <v>100.3</v>
      </c>
      <c r="N54" s="100">
        <v>77.3</v>
      </c>
      <c r="O54" s="100">
        <v>0.8</v>
      </c>
      <c r="P54" s="100">
        <v>0.09</v>
      </c>
      <c r="Q54" s="100">
        <v>9.94</v>
      </c>
      <c r="R54" s="6"/>
      <c r="S54" s="6"/>
      <c r="T54" s="156"/>
      <c r="U54" s="6"/>
    </row>
    <row r="55" spans="1:21" customFormat="1">
      <c r="A55" s="163" t="s">
        <v>958</v>
      </c>
      <c r="B55" s="100">
        <v>2.85</v>
      </c>
      <c r="C55" s="100">
        <v>4.8099999999999996</v>
      </c>
      <c r="D55" s="100">
        <v>1.96</v>
      </c>
      <c r="E55" s="100">
        <v>6.39</v>
      </c>
      <c r="F55" s="100">
        <v>2.5299999999999998</v>
      </c>
      <c r="G55" s="100">
        <v>2.09</v>
      </c>
      <c r="H55" s="100">
        <v>1.62</v>
      </c>
      <c r="I55" s="100">
        <v>3.41</v>
      </c>
      <c r="J55" s="100">
        <v>0.86</v>
      </c>
      <c r="K55" s="100">
        <v>265.01</v>
      </c>
      <c r="L55" s="100">
        <v>23.05</v>
      </c>
      <c r="M55" s="100">
        <v>100.3</v>
      </c>
      <c r="N55" s="100">
        <v>89.4</v>
      </c>
      <c r="O55" s="100">
        <v>0.2</v>
      </c>
      <c r="P55" s="100">
        <v>0.09</v>
      </c>
      <c r="Q55" s="100">
        <v>9.93</v>
      </c>
      <c r="R55" s="6"/>
      <c r="S55" s="6"/>
      <c r="T55" s="156"/>
      <c r="U55" s="6"/>
    </row>
    <row r="56" spans="1:21" customFormat="1">
      <c r="A56" s="163" t="s">
        <v>959</v>
      </c>
      <c r="B56" s="100">
        <v>2.83</v>
      </c>
      <c r="C56" s="100">
        <v>4.79</v>
      </c>
      <c r="D56" s="100">
        <v>1.97</v>
      </c>
      <c r="E56" s="100">
        <v>6.15</v>
      </c>
      <c r="F56" s="100">
        <v>2.69</v>
      </c>
      <c r="G56" s="100">
        <v>2.09</v>
      </c>
      <c r="H56" s="100">
        <v>1.62</v>
      </c>
      <c r="I56" s="100">
        <v>3.36</v>
      </c>
      <c r="J56" s="100">
        <v>0.96</v>
      </c>
      <c r="K56" s="100">
        <v>263</v>
      </c>
      <c r="L56" s="100">
        <v>23.13</v>
      </c>
      <c r="M56" s="100">
        <v>100.31</v>
      </c>
      <c r="N56" s="100">
        <v>66.599999999999994</v>
      </c>
      <c r="O56" s="100">
        <v>0</v>
      </c>
      <c r="P56" s="100">
        <v>0.1</v>
      </c>
      <c r="Q56" s="100">
        <v>9.93</v>
      </c>
      <c r="R56" s="6"/>
      <c r="S56" s="6"/>
      <c r="T56" s="156"/>
      <c r="U56" s="6"/>
    </row>
    <row r="57" spans="1:21" customFormat="1">
      <c r="A57" s="163" t="s">
        <v>960</v>
      </c>
      <c r="B57" s="100">
        <v>2.79</v>
      </c>
      <c r="C57" s="100">
        <v>4.7699999999999996</v>
      </c>
      <c r="D57" s="100">
        <v>1.98</v>
      </c>
      <c r="E57" s="100">
        <v>6.27</v>
      </c>
      <c r="F57" s="100">
        <v>2.85</v>
      </c>
      <c r="G57" s="100">
        <v>2.09</v>
      </c>
      <c r="H57" s="100">
        <v>1.62</v>
      </c>
      <c r="I57" s="100">
        <v>3.33</v>
      </c>
      <c r="J57" s="100">
        <v>0.87</v>
      </c>
      <c r="K57" s="100">
        <v>259.36</v>
      </c>
      <c r="L57" s="100">
        <v>23.28</v>
      </c>
      <c r="M57" s="100">
        <v>100.33</v>
      </c>
      <c r="N57" s="100">
        <v>72.900000000000006</v>
      </c>
      <c r="O57" s="100">
        <v>0.2</v>
      </c>
      <c r="P57" s="100">
        <v>0.1</v>
      </c>
      <c r="Q57" s="100">
        <v>9.92</v>
      </c>
      <c r="R57" s="6"/>
      <c r="S57" s="6"/>
      <c r="T57" s="156"/>
      <c r="U57" s="6"/>
    </row>
    <row r="58" spans="1:21" customFormat="1">
      <c r="A58" s="163" t="s">
        <v>961</v>
      </c>
      <c r="B58" s="100">
        <v>2.77</v>
      </c>
      <c r="C58" s="100">
        <v>4.75</v>
      </c>
      <c r="D58" s="100">
        <v>1.99</v>
      </c>
      <c r="E58" s="100">
        <v>6.27</v>
      </c>
      <c r="F58" s="100">
        <v>2.85</v>
      </c>
      <c r="G58" s="100">
        <v>2.09</v>
      </c>
      <c r="H58" s="100">
        <v>1.62</v>
      </c>
      <c r="I58" s="100">
        <v>3.31</v>
      </c>
      <c r="J58" s="100">
        <v>0.89</v>
      </c>
      <c r="K58" s="100">
        <v>263.79000000000002</v>
      </c>
      <c r="L58" s="100">
        <v>23.35</v>
      </c>
      <c r="M58" s="100">
        <v>100.35</v>
      </c>
      <c r="N58" s="100">
        <v>62.2</v>
      </c>
      <c r="O58" s="100">
        <v>0</v>
      </c>
      <c r="P58" s="100">
        <v>0.1</v>
      </c>
      <c r="Q58" s="100">
        <v>9.93</v>
      </c>
      <c r="R58" s="6"/>
      <c r="S58" s="6"/>
      <c r="T58" s="156"/>
      <c r="U58" s="6"/>
    </row>
    <row r="59" spans="1:21" customFormat="1">
      <c r="A59" s="163" t="s">
        <v>962</v>
      </c>
      <c r="B59" s="100">
        <v>2.75</v>
      </c>
      <c r="C59" s="100">
        <v>4.7300000000000004</v>
      </c>
      <c r="D59" s="100">
        <v>1.99</v>
      </c>
      <c r="E59" s="100">
        <v>6.66</v>
      </c>
      <c r="F59" s="100">
        <v>2.4</v>
      </c>
      <c r="G59" s="100">
        <v>2.08</v>
      </c>
      <c r="H59" s="100">
        <v>1.59</v>
      </c>
      <c r="I59" s="100">
        <v>3.29</v>
      </c>
      <c r="J59" s="100">
        <v>0.78</v>
      </c>
      <c r="K59" s="100">
        <v>261.52999999999997</v>
      </c>
      <c r="L59" s="100">
        <v>23.4</v>
      </c>
      <c r="M59" s="100">
        <v>100.35</v>
      </c>
      <c r="N59" s="100">
        <v>56.5</v>
      </c>
      <c r="O59" s="100">
        <v>0</v>
      </c>
      <c r="P59" s="100">
        <v>0.1</v>
      </c>
      <c r="Q59" s="100">
        <v>9.91</v>
      </c>
      <c r="R59" s="6"/>
      <c r="S59" s="6"/>
      <c r="T59" s="156"/>
      <c r="U59" s="6"/>
    </row>
    <row r="60" spans="1:21" customFormat="1">
      <c r="A60" s="163" t="s">
        <v>963</v>
      </c>
      <c r="B60" s="100">
        <v>2.73</v>
      </c>
      <c r="C60" s="100">
        <v>4.71</v>
      </c>
      <c r="D60" s="100">
        <v>1.99</v>
      </c>
      <c r="E60" s="100">
        <v>6.32</v>
      </c>
      <c r="F60" s="100">
        <v>3.04</v>
      </c>
      <c r="G60" s="100">
        <v>2.08</v>
      </c>
      <c r="H60" s="100">
        <v>1.59</v>
      </c>
      <c r="I60" s="100">
        <v>3.23</v>
      </c>
      <c r="J60" s="100">
        <v>0.85</v>
      </c>
      <c r="K60" s="100">
        <v>260.87</v>
      </c>
      <c r="L60" s="100">
        <v>23.49</v>
      </c>
      <c r="M60" s="100">
        <v>100.35</v>
      </c>
      <c r="N60" s="100">
        <v>102.7</v>
      </c>
      <c r="O60" s="100">
        <v>0</v>
      </c>
      <c r="P60" s="100">
        <v>0.1</v>
      </c>
      <c r="Q60" s="100">
        <v>9.92</v>
      </c>
      <c r="R60" s="6"/>
      <c r="S60" s="6"/>
      <c r="T60" s="156"/>
      <c r="U60" s="6"/>
    </row>
    <row r="61" spans="1:21" customFormat="1">
      <c r="A61" s="163" t="s">
        <v>964</v>
      </c>
      <c r="B61" s="100">
        <v>2.72</v>
      </c>
      <c r="C61" s="100">
        <v>4.7</v>
      </c>
      <c r="D61" s="100">
        <v>1.98</v>
      </c>
      <c r="E61" s="100">
        <v>6.31</v>
      </c>
      <c r="F61" s="100">
        <v>2.27</v>
      </c>
      <c r="G61" s="100">
        <v>2.08</v>
      </c>
      <c r="H61" s="100">
        <v>1.59</v>
      </c>
      <c r="I61" s="100">
        <v>3.28</v>
      </c>
      <c r="J61" s="100">
        <v>0.83</v>
      </c>
      <c r="K61" s="100">
        <v>260.99</v>
      </c>
      <c r="L61" s="100">
        <v>23.88</v>
      </c>
      <c r="M61" s="100">
        <v>100.35</v>
      </c>
      <c r="N61" s="100">
        <v>212.9</v>
      </c>
      <c r="O61" s="100">
        <v>0</v>
      </c>
      <c r="P61" s="100">
        <v>0.11</v>
      </c>
      <c r="Q61" s="100">
        <v>9.9</v>
      </c>
      <c r="R61" s="6"/>
      <c r="S61" s="6"/>
      <c r="T61" s="156"/>
      <c r="U61" s="6"/>
    </row>
    <row r="62" spans="1:21" customFormat="1">
      <c r="A62" s="163" t="s">
        <v>965</v>
      </c>
      <c r="B62" s="100">
        <v>2.7</v>
      </c>
      <c r="C62" s="100">
        <v>4.68</v>
      </c>
      <c r="D62" s="100">
        <v>1.98</v>
      </c>
      <c r="E62" s="100">
        <v>6.52</v>
      </c>
      <c r="F62" s="100">
        <v>2.77</v>
      </c>
      <c r="G62" s="100">
        <v>2.08</v>
      </c>
      <c r="H62" s="100">
        <v>1.58</v>
      </c>
      <c r="I62" s="100">
        <v>3.24</v>
      </c>
      <c r="J62" s="100">
        <v>1.04</v>
      </c>
      <c r="K62" s="100">
        <v>259.75</v>
      </c>
      <c r="L62" s="100">
        <v>24.23</v>
      </c>
      <c r="M62" s="100">
        <v>100.33</v>
      </c>
      <c r="N62" s="100">
        <v>198.7</v>
      </c>
      <c r="O62" s="100">
        <v>0</v>
      </c>
      <c r="P62" s="100">
        <v>0.1</v>
      </c>
      <c r="Q62" s="100">
        <v>9.92</v>
      </c>
      <c r="R62" s="6"/>
      <c r="S62" s="6"/>
      <c r="T62" s="156"/>
      <c r="U62" s="6"/>
    </row>
    <row r="63" spans="1:21" customFormat="1">
      <c r="A63" s="163" t="s">
        <v>966</v>
      </c>
      <c r="B63" s="100">
        <v>2.68</v>
      </c>
      <c r="C63" s="100">
        <v>4.66</v>
      </c>
      <c r="D63" s="100">
        <v>1.98</v>
      </c>
      <c r="E63" s="100">
        <v>6.96</v>
      </c>
      <c r="F63" s="100">
        <v>2.8</v>
      </c>
      <c r="G63" s="100">
        <v>2.08</v>
      </c>
      <c r="H63" s="100">
        <v>1.54</v>
      </c>
      <c r="I63" s="100">
        <v>3.28</v>
      </c>
      <c r="J63" s="100">
        <v>0.71</v>
      </c>
      <c r="K63" s="100">
        <v>261.10000000000002</v>
      </c>
      <c r="L63" s="100">
        <v>24.35</v>
      </c>
      <c r="M63" s="100">
        <v>100.33</v>
      </c>
      <c r="N63" s="100">
        <v>113.7</v>
      </c>
      <c r="O63" s="100">
        <v>0</v>
      </c>
      <c r="P63" s="100">
        <v>0.1</v>
      </c>
      <c r="Q63" s="100">
        <v>9.93</v>
      </c>
      <c r="R63" s="6"/>
      <c r="S63" s="6"/>
      <c r="T63" s="156"/>
      <c r="U63" s="6"/>
    </row>
    <row r="64" spans="1:21" customFormat="1">
      <c r="A64" s="163" t="s">
        <v>967</v>
      </c>
      <c r="B64" s="100">
        <v>2.67</v>
      </c>
      <c r="C64" s="100">
        <v>4.6399999999999997</v>
      </c>
      <c r="D64" s="100">
        <v>1.97</v>
      </c>
      <c r="E64" s="100">
        <v>6.88</v>
      </c>
      <c r="F64" s="100">
        <v>2.46</v>
      </c>
      <c r="G64" s="100">
        <v>2.08</v>
      </c>
      <c r="H64" s="100">
        <v>1.54</v>
      </c>
      <c r="I64" s="100">
        <v>3.25</v>
      </c>
      <c r="J64" s="100">
        <v>0.9</v>
      </c>
      <c r="K64" s="100">
        <v>260.25</v>
      </c>
      <c r="L64" s="100">
        <v>24.19</v>
      </c>
      <c r="M64" s="100">
        <v>99.87</v>
      </c>
      <c r="N64" s="100">
        <v>89.8</v>
      </c>
      <c r="O64" s="100">
        <v>0</v>
      </c>
      <c r="P64" s="100">
        <v>0.1</v>
      </c>
      <c r="Q64" s="100">
        <v>9.91</v>
      </c>
      <c r="R64" s="6"/>
      <c r="S64" s="6"/>
      <c r="T64" s="156"/>
      <c r="U64" s="6"/>
    </row>
    <row r="65" spans="1:21" customFormat="1">
      <c r="A65" s="163" t="s">
        <v>968</v>
      </c>
      <c r="B65" s="100">
        <v>2.66</v>
      </c>
      <c r="C65" s="100">
        <v>4.62</v>
      </c>
      <c r="D65" s="100">
        <v>1.97</v>
      </c>
      <c r="E65" s="100">
        <v>6.79</v>
      </c>
      <c r="F65" s="100">
        <v>2.25</v>
      </c>
      <c r="G65" s="100">
        <v>2.08</v>
      </c>
      <c r="H65" s="100">
        <v>1.54</v>
      </c>
      <c r="I65" s="100">
        <v>3.26</v>
      </c>
      <c r="J65" s="100">
        <v>0.78</v>
      </c>
      <c r="K65" s="100">
        <v>260.58999999999997</v>
      </c>
      <c r="L65" s="100">
        <v>24.27</v>
      </c>
      <c r="M65" s="100">
        <v>97.02</v>
      </c>
      <c r="N65" s="100">
        <v>123.4</v>
      </c>
      <c r="O65" s="100">
        <v>0</v>
      </c>
      <c r="P65" s="100">
        <v>0.09</v>
      </c>
      <c r="Q65" s="100">
        <v>9.92</v>
      </c>
      <c r="R65" s="6"/>
      <c r="S65" s="6"/>
      <c r="T65" s="156"/>
      <c r="U65" s="6"/>
    </row>
    <row r="66" spans="1:21" customFormat="1">
      <c r="A66" s="163" t="s">
        <v>969</v>
      </c>
      <c r="B66" s="100">
        <v>2.65</v>
      </c>
      <c r="C66" s="100">
        <v>4.6100000000000003</v>
      </c>
      <c r="D66" s="100">
        <v>1.96</v>
      </c>
      <c r="E66" s="100">
        <v>6.79</v>
      </c>
      <c r="F66" s="100">
        <v>2.21</v>
      </c>
      <c r="G66" s="100">
        <v>2.08</v>
      </c>
      <c r="H66" s="100">
        <v>1.54</v>
      </c>
      <c r="I66" s="100">
        <v>3.22</v>
      </c>
      <c r="J66" s="100">
        <v>1.01</v>
      </c>
      <c r="K66" s="100">
        <v>258.52999999999997</v>
      </c>
      <c r="L66" s="100">
        <v>24.57</v>
      </c>
      <c r="M66" s="100">
        <v>94.08</v>
      </c>
      <c r="N66" s="100">
        <v>174.9</v>
      </c>
      <c r="O66" s="100">
        <v>0</v>
      </c>
      <c r="P66" s="100">
        <v>0.1</v>
      </c>
      <c r="Q66" s="100">
        <v>9.91</v>
      </c>
      <c r="R66" s="6"/>
      <c r="S66" s="6"/>
      <c r="T66" s="156"/>
      <c r="U66" s="6"/>
    </row>
    <row r="67" spans="1:21" customFormat="1">
      <c r="A67" s="163" t="s">
        <v>970</v>
      </c>
      <c r="B67" s="100">
        <v>2.65</v>
      </c>
      <c r="C67" s="100">
        <v>4.5999999999999996</v>
      </c>
      <c r="D67" s="100">
        <v>1.96</v>
      </c>
      <c r="E67" s="100">
        <v>6.78</v>
      </c>
      <c r="F67" s="100">
        <v>2.5299999999999998</v>
      </c>
      <c r="G67" s="100">
        <v>2.12</v>
      </c>
      <c r="H67" s="100">
        <v>1.49</v>
      </c>
      <c r="I67" s="100">
        <v>3.18</v>
      </c>
      <c r="J67" s="100">
        <v>0.91</v>
      </c>
      <c r="K67" s="100">
        <v>264.23</v>
      </c>
      <c r="L67" s="100">
        <v>24.94</v>
      </c>
      <c r="M67" s="100">
        <v>92.04</v>
      </c>
      <c r="N67" s="100">
        <v>170.2</v>
      </c>
      <c r="O67" s="100">
        <v>0</v>
      </c>
      <c r="P67" s="100">
        <v>0.1</v>
      </c>
      <c r="Q67" s="100">
        <v>9.91</v>
      </c>
      <c r="R67" s="6"/>
      <c r="S67" s="6"/>
      <c r="T67" s="156"/>
      <c r="U67" s="6"/>
    </row>
    <row r="68" spans="1:21" customFormat="1">
      <c r="A68" s="163" t="s">
        <v>971</v>
      </c>
      <c r="B68" s="100">
        <v>2.64</v>
      </c>
      <c r="C68" s="100">
        <v>4.59</v>
      </c>
      <c r="D68" s="100">
        <v>1.95</v>
      </c>
      <c r="E68" s="100">
        <v>6.81</v>
      </c>
      <c r="F68" s="100">
        <v>2.61</v>
      </c>
      <c r="G68" s="100">
        <v>2.12</v>
      </c>
      <c r="H68" s="100">
        <v>1.49</v>
      </c>
      <c r="I68" s="100">
        <v>3.1</v>
      </c>
      <c r="J68" s="100">
        <v>0.91</v>
      </c>
      <c r="K68" s="100">
        <v>264.83999999999997</v>
      </c>
      <c r="L68" s="100">
        <v>24.88</v>
      </c>
      <c r="M68" s="100">
        <v>91.73</v>
      </c>
      <c r="N68" s="100">
        <v>103</v>
      </c>
      <c r="O68" s="100">
        <v>0</v>
      </c>
      <c r="P68" s="100">
        <v>0.11</v>
      </c>
      <c r="Q68" s="100">
        <v>9.91</v>
      </c>
      <c r="R68" s="6"/>
      <c r="S68" s="6"/>
      <c r="T68" s="156"/>
      <c r="U68" s="6"/>
    </row>
    <row r="69" spans="1:21" customFormat="1">
      <c r="A69" s="163" t="s">
        <v>972</v>
      </c>
      <c r="B69" s="100">
        <v>2.64</v>
      </c>
      <c r="C69" s="100">
        <v>4.58</v>
      </c>
      <c r="D69" s="100">
        <v>1.94</v>
      </c>
      <c r="E69" s="100">
        <v>7.11</v>
      </c>
      <c r="F69" s="100">
        <v>2.11</v>
      </c>
      <c r="G69" s="100">
        <v>2.12</v>
      </c>
      <c r="H69" s="100">
        <v>1.49</v>
      </c>
      <c r="I69" s="100">
        <v>3.13</v>
      </c>
      <c r="J69" s="100">
        <v>0.99</v>
      </c>
      <c r="K69" s="100">
        <v>264.08</v>
      </c>
      <c r="L69" s="100">
        <v>24.74</v>
      </c>
      <c r="M69" s="100">
        <v>91.03</v>
      </c>
      <c r="N69" s="100">
        <v>89.9</v>
      </c>
      <c r="O69" s="100">
        <v>0</v>
      </c>
      <c r="P69" s="100">
        <v>0.1</v>
      </c>
      <c r="Q69" s="100">
        <v>9.91</v>
      </c>
      <c r="R69" s="6"/>
      <c r="S69" s="6"/>
      <c r="T69" s="156"/>
      <c r="U69" s="6"/>
    </row>
    <row r="70" spans="1:21" customFormat="1">
      <c r="A70" s="163" t="s">
        <v>973</v>
      </c>
      <c r="B70" s="100">
        <v>2.63</v>
      </c>
      <c r="C70" s="100">
        <v>4.57</v>
      </c>
      <c r="D70" s="100">
        <v>1.94</v>
      </c>
      <c r="E70" s="100">
        <v>6.92</v>
      </c>
      <c r="F70" s="100">
        <v>2.39</v>
      </c>
      <c r="G70" s="100">
        <v>2.12</v>
      </c>
      <c r="H70" s="100">
        <v>1.49</v>
      </c>
      <c r="I70" s="100">
        <v>3.07</v>
      </c>
      <c r="J70" s="100">
        <v>0.77</v>
      </c>
      <c r="K70" s="100">
        <v>263.27999999999997</v>
      </c>
      <c r="L70" s="100">
        <v>24.75</v>
      </c>
      <c r="M70" s="100">
        <v>91.33</v>
      </c>
      <c r="N70" s="100">
        <v>73.8</v>
      </c>
      <c r="O70" s="100">
        <v>0</v>
      </c>
      <c r="P70" s="100">
        <v>0.1</v>
      </c>
      <c r="Q70" s="100">
        <v>9.9</v>
      </c>
      <c r="R70" s="6"/>
      <c r="S70" s="6"/>
      <c r="T70" s="156"/>
      <c r="U70" s="6"/>
    </row>
    <row r="71" spans="1:21" customFormat="1">
      <c r="A71" s="163" t="s">
        <v>974</v>
      </c>
      <c r="B71" s="100">
        <v>2.63</v>
      </c>
      <c r="C71" s="100">
        <v>4.59</v>
      </c>
      <c r="D71" s="100">
        <v>1.96</v>
      </c>
      <c r="E71" s="100">
        <v>6.94</v>
      </c>
      <c r="F71" s="100">
        <v>2.35</v>
      </c>
      <c r="G71" s="100">
        <v>2.06</v>
      </c>
      <c r="H71" s="100">
        <v>1.48</v>
      </c>
      <c r="I71" s="100">
        <v>3.02</v>
      </c>
      <c r="J71" s="100">
        <v>0.77</v>
      </c>
      <c r="K71" s="100">
        <v>269.82</v>
      </c>
      <c r="L71" s="100">
        <v>24.73</v>
      </c>
      <c r="M71" s="100">
        <v>91.51</v>
      </c>
      <c r="N71" s="100">
        <v>82.4</v>
      </c>
      <c r="O71" s="100">
        <v>0</v>
      </c>
      <c r="P71" s="100">
        <v>0.1</v>
      </c>
      <c r="Q71" s="100">
        <v>9.91</v>
      </c>
      <c r="R71" s="6"/>
      <c r="S71" s="6"/>
      <c r="T71" s="156"/>
      <c r="U71" s="6"/>
    </row>
    <row r="72" spans="1:21" customFormat="1">
      <c r="A72" s="163" t="s">
        <v>975</v>
      </c>
      <c r="B72" s="100">
        <v>2.64</v>
      </c>
      <c r="C72" s="100">
        <v>4.5999999999999996</v>
      </c>
      <c r="D72" s="100">
        <v>1.96</v>
      </c>
      <c r="E72" s="100">
        <v>6.87</v>
      </c>
      <c r="F72" s="100">
        <v>2.42</v>
      </c>
      <c r="G72" s="100">
        <v>2.06</v>
      </c>
      <c r="H72" s="100">
        <v>1.48</v>
      </c>
      <c r="I72" s="100">
        <v>3.08</v>
      </c>
      <c r="J72" s="100">
        <v>0.77</v>
      </c>
      <c r="K72" s="100">
        <v>265.45</v>
      </c>
      <c r="L72" s="100">
        <v>24.63</v>
      </c>
      <c r="M72" s="100">
        <v>91.99</v>
      </c>
      <c r="N72" s="100">
        <v>76.5</v>
      </c>
      <c r="O72" s="100">
        <v>0</v>
      </c>
      <c r="P72" s="100">
        <v>0.1</v>
      </c>
      <c r="Q72" s="100">
        <v>9.91</v>
      </c>
      <c r="R72" s="6"/>
      <c r="S72" s="6"/>
      <c r="T72" s="156"/>
      <c r="U72" s="6"/>
    </row>
    <row r="73" spans="1:21" customFormat="1">
      <c r="A73" s="163" t="s">
        <v>976</v>
      </c>
      <c r="B73" s="100">
        <v>2.64</v>
      </c>
      <c r="C73" s="100">
        <v>4.58</v>
      </c>
      <c r="D73" s="100">
        <v>1.94</v>
      </c>
      <c r="E73" s="100">
        <v>6.9</v>
      </c>
      <c r="F73" s="100">
        <v>2.06</v>
      </c>
      <c r="G73" s="100">
        <v>2.06</v>
      </c>
      <c r="H73" s="100">
        <v>1.48</v>
      </c>
      <c r="I73" s="100">
        <v>3.12</v>
      </c>
      <c r="J73" s="100">
        <v>0.8</v>
      </c>
      <c r="K73" s="100">
        <v>263.20999999999998</v>
      </c>
      <c r="L73" s="100">
        <v>24.6</v>
      </c>
      <c r="M73" s="100">
        <v>92.21</v>
      </c>
      <c r="N73" s="100">
        <v>72.8</v>
      </c>
      <c r="O73" s="100">
        <v>0</v>
      </c>
      <c r="P73" s="100">
        <v>0.11</v>
      </c>
      <c r="Q73" s="100">
        <v>9.91</v>
      </c>
      <c r="R73" s="6"/>
      <c r="S73" s="6"/>
      <c r="T73" s="156"/>
      <c r="U73" s="6"/>
    </row>
    <row r="74" spans="1:21" customFormat="1">
      <c r="A74" s="163" t="s">
        <v>977</v>
      </c>
      <c r="B74" s="100">
        <v>2.68</v>
      </c>
      <c r="C74" s="100">
        <v>4.5999999999999996</v>
      </c>
      <c r="D74" s="100">
        <v>1.92</v>
      </c>
      <c r="E74" s="100">
        <v>6.96</v>
      </c>
      <c r="F74" s="100">
        <v>1.61</v>
      </c>
      <c r="G74" s="100">
        <v>2.06</v>
      </c>
      <c r="H74" s="100">
        <v>1.48</v>
      </c>
      <c r="I74" s="100">
        <v>3.07</v>
      </c>
      <c r="J74" s="100">
        <v>0.59</v>
      </c>
      <c r="K74" s="100">
        <v>268.07</v>
      </c>
      <c r="L74" s="100">
        <v>24.76</v>
      </c>
      <c r="M74" s="100">
        <v>92.46</v>
      </c>
      <c r="N74" s="100">
        <v>126.7</v>
      </c>
      <c r="O74" s="100">
        <v>0</v>
      </c>
      <c r="P74" s="100">
        <v>0.1</v>
      </c>
      <c r="Q74" s="100">
        <v>9.91</v>
      </c>
      <c r="R74" s="6"/>
      <c r="S74" s="6"/>
      <c r="T74" s="156"/>
      <c r="U74" s="6"/>
    </row>
    <row r="75" spans="1:21" customFormat="1">
      <c r="A75" s="163" t="s">
        <v>978</v>
      </c>
      <c r="B75" s="100">
        <v>2.71</v>
      </c>
      <c r="C75" s="100">
        <v>4.6100000000000003</v>
      </c>
      <c r="D75" s="100">
        <v>1.9</v>
      </c>
      <c r="E75" s="100">
        <v>6.69</v>
      </c>
      <c r="F75" s="100">
        <v>2.65</v>
      </c>
      <c r="G75" s="100">
        <v>1.93</v>
      </c>
      <c r="H75" s="100">
        <v>1.64</v>
      </c>
      <c r="I75" s="100">
        <v>3.14</v>
      </c>
      <c r="J75" s="100">
        <v>0.83</v>
      </c>
      <c r="K75" s="100">
        <v>265.13</v>
      </c>
      <c r="L75" s="100">
        <v>25.09</v>
      </c>
      <c r="M75" s="100">
        <v>89.63</v>
      </c>
      <c r="N75" s="100">
        <v>153.69999999999999</v>
      </c>
      <c r="O75" s="100">
        <v>0</v>
      </c>
      <c r="P75" s="100">
        <v>0.1</v>
      </c>
      <c r="Q75" s="100">
        <v>9.91</v>
      </c>
      <c r="R75" s="6"/>
      <c r="S75" s="6"/>
      <c r="T75" s="156"/>
      <c r="U75" s="6"/>
    </row>
    <row r="76" spans="1:21" customFormat="1">
      <c r="A76" s="163" t="s">
        <v>979</v>
      </c>
      <c r="B76" s="100">
        <v>2.74</v>
      </c>
      <c r="C76" s="100">
        <v>4.63</v>
      </c>
      <c r="D76" s="100">
        <v>1.9</v>
      </c>
      <c r="E76" s="100">
        <v>6.63</v>
      </c>
      <c r="F76" s="100">
        <v>1.93</v>
      </c>
      <c r="G76" s="100">
        <v>1.93</v>
      </c>
      <c r="H76" s="100">
        <v>1.64</v>
      </c>
      <c r="I76" s="100">
        <v>3.18</v>
      </c>
      <c r="J76" s="100">
        <v>0.75</v>
      </c>
      <c r="K76" s="100">
        <v>259.87</v>
      </c>
      <c r="L76" s="100">
        <v>25.04</v>
      </c>
      <c r="M76" s="100">
        <v>90.15</v>
      </c>
      <c r="N76" s="100">
        <v>100.6</v>
      </c>
      <c r="O76" s="100">
        <v>0</v>
      </c>
      <c r="P76" s="100">
        <v>0.1</v>
      </c>
      <c r="Q76" s="100">
        <v>9.93</v>
      </c>
      <c r="R76" s="6"/>
      <c r="S76" s="6"/>
      <c r="T76" s="156"/>
      <c r="U76" s="6"/>
    </row>
    <row r="77" spans="1:21" customFormat="1">
      <c r="A77" s="163" t="s">
        <v>980</v>
      </c>
      <c r="B77" s="100">
        <v>2.76</v>
      </c>
      <c r="C77" s="100">
        <v>4.6500000000000004</v>
      </c>
      <c r="D77" s="100">
        <v>1.89</v>
      </c>
      <c r="E77" s="100">
        <v>6.5</v>
      </c>
      <c r="F77" s="100">
        <v>2.34</v>
      </c>
      <c r="G77" s="100">
        <v>1.93</v>
      </c>
      <c r="H77" s="100">
        <v>1.64</v>
      </c>
      <c r="I77" s="100">
        <v>3.2</v>
      </c>
      <c r="J77" s="100">
        <v>0.75</v>
      </c>
      <c r="K77" s="100">
        <v>260.29000000000002</v>
      </c>
      <c r="L77" s="100">
        <v>24.74</v>
      </c>
      <c r="M77" s="100">
        <v>91.16</v>
      </c>
      <c r="N77" s="100">
        <v>64.900000000000006</v>
      </c>
      <c r="O77" s="100">
        <v>0</v>
      </c>
      <c r="P77" s="100">
        <v>0.09</v>
      </c>
      <c r="Q77" s="100">
        <v>9.92</v>
      </c>
      <c r="R77" s="6"/>
      <c r="S77" s="6"/>
      <c r="T77" s="156"/>
      <c r="U77" s="6"/>
    </row>
    <row r="78" spans="1:21" customFormat="1">
      <c r="A78" s="163" t="s">
        <v>981</v>
      </c>
      <c r="B78" s="100">
        <v>2.76</v>
      </c>
      <c r="C78" s="100">
        <v>4.66</v>
      </c>
      <c r="D78" s="100">
        <v>1.9</v>
      </c>
      <c r="E78" s="100">
        <v>6.47</v>
      </c>
      <c r="F78" s="100">
        <v>2.2400000000000002</v>
      </c>
      <c r="G78" s="100">
        <v>1.99</v>
      </c>
      <c r="H78" s="100">
        <v>1.64</v>
      </c>
      <c r="I78" s="100">
        <v>3.34</v>
      </c>
      <c r="J78" s="100">
        <v>0.84</v>
      </c>
      <c r="K78" s="100">
        <v>258.86</v>
      </c>
      <c r="L78" s="100">
        <v>24.6</v>
      </c>
      <c r="M78" s="100">
        <v>90.57</v>
      </c>
      <c r="N78" s="100">
        <v>67.7</v>
      </c>
      <c r="O78" s="100">
        <v>0</v>
      </c>
      <c r="P78" s="100">
        <v>0.12</v>
      </c>
      <c r="Q78" s="100">
        <v>9.92</v>
      </c>
      <c r="R78" s="6"/>
      <c r="S78" s="6"/>
      <c r="T78" s="156"/>
      <c r="U78" s="6"/>
    </row>
    <row r="79" spans="1:21" customFormat="1">
      <c r="A79" s="163" t="s">
        <v>982</v>
      </c>
      <c r="B79" s="100">
        <v>2.79</v>
      </c>
      <c r="C79" s="100">
        <v>4.71</v>
      </c>
      <c r="D79" s="100">
        <v>1.92</v>
      </c>
      <c r="E79" s="100">
        <v>5.76</v>
      </c>
      <c r="F79" s="100">
        <v>1.31</v>
      </c>
      <c r="G79" s="100">
        <v>3.9</v>
      </c>
      <c r="H79" s="100">
        <v>1.62</v>
      </c>
      <c r="I79" s="100">
        <v>3.45</v>
      </c>
      <c r="J79" s="100">
        <v>0.76</v>
      </c>
      <c r="K79" s="100">
        <v>256.45</v>
      </c>
      <c r="L79" s="100">
        <v>24.62</v>
      </c>
      <c r="M79" s="100">
        <v>90.94</v>
      </c>
      <c r="N79" s="100">
        <v>54.5</v>
      </c>
      <c r="O79" s="100">
        <v>0</v>
      </c>
      <c r="P79" s="100">
        <v>0.11</v>
      </c>
      <c r="Q79" s="100">
        <v>9.92</v>
      </c>
      <c r="R79" s="6"/>
      <c r="S79" s="6"/>
      <c r="T79" s="156"/>
      <c r="U79" s="6"/>
    </row>
    <row r="80" spans="1:21" customFormat="1">
      <c r="A80" s="163" t="s">
        <v>983</v>
      </c>
      <c r="B80" s="100">
        <v>2.79</v>
      </c>
      <c r="C80" s="100">
        <v>4.7</v>
      </c>
      <c r="D80" s="100">
        <v>1.91</v>
      </c>
      <c r="E80" s="100">
        <v>6.42</v>
      </c>
      <c r="F80" s="100">
        <v>2.4900000000000002</v>
      </c>
      <c r="G80" s="100">
        <v>3.9</v>
      </c>
      <c r="H80" s="100">
        <v>1.62</v>
      </c>
      <c r="I80" s="100">
        <v>3.52</v>
      </c>
      <c r="J80" s="100">
        <v>0.84</v>
      </c>
      <c r="K80" s="100">
        <v>257.24</v>
      </c>
      <c r="L80" s="100">
        <v>24.35</v>
      </c>
      <c r="M80" s="100">
        <v>91.38</v>
      </c>
      <c r="N80" s="100">
        <v>46.9</v>
      </c>
      <c r="O80" s="100">
        <v>0</v>
      </c>
      <c r="P80" s="100">
        <v>0.11</v>
      </c>
      <c r="Q80" s="100">
        <v>9.93</v>
      </c>
      <c r="R80" s="6"/>
      <c r="S80" s="6"/>
      <c r="T80" s="156"/>
      <c r="U80" s="6"/>
    </row>
    <row r="81" spans="1:21" customFormat="1">
      <c r="A81" s="163" t="s">
        <v>984</v>
      </c>
      <c r="B81" s="100">
        <v>2.78</v>
      </c>
      <c r="C81" s="100">
        <v>4.6900000000000004</v>
      </c>
      <c r="D81" s="100">
        <v>1.91</v>
      </c>
      <c r="E81" s="100">
        <v>4.3499999999999996</v>
      </c>
      <c r="F81" s="100">
        <v>1.51</v>
      </c>
      <c r="G81" s="100">
        <v>3.9</v>
      </c>
      <c r="H81" s="100">
        <v>1.62</v>
      </c>
      <c r="I81" s="100">
        <v>3.5</v>
      </c>
      <c r="J81" s="100">
        <v>0.68</v>
      </c>
      <c r="K81" s="100">
        <v>260.63</v>
      </c>
      <c r="L81" s="100">
        <v>24.25</v>
      </c>
      <c r="M81" s="100">
        <v>91.79</v>
      </c>
      <c r="N81" s="100">
        <v>38.1</v>
      </c>
      <c r="O81" s="100">
        <v>0</v>
      </c>
      <c r="P81" s="100">
        <v>0.12</v>
      </c>
      <c r="Q81" s="100">
        <v>9.92</v>
      </c>
      <c r="R81" s="6"/>
      <c r="S81" s="6"/>
      <c r="T81" s="156"/>
      <c r="U81" s="6"/>
    </row>
    <row r="82" spans="1:21" customFormat="1">
      <c r="A82" s="163" t="s">
        <v>985</v>
      </c>
      <c r="B82" s="100">
        <v>2.8</v>
      </c>
      <c r="C82" s="100">
        <v>4.6900000000000004</v>
      </c>
      <c r="D82" s="100">
        <v>1.9</v>
      </c>
      <c r="E82" s="100">
        <v>5.12</v>
      </c>
      <c r="F82" s="100">
        <v>1.93</v>
      </c>
      <c r="G82" s="100">
        <v>3.93</v>
      </c>
      <c r="H82" s="100">
        <v>1.62</v>
      </c>
      <c r="I82" s="100">
        <v>3.55</v>
      </c>
      <c r="J82" s="100">
        <v>0.72</v>
      </c>
      <c r="K82" s="100">
        <v>259.18</v>
      </c>
      <c r="L82" s="100">
        <v>24.09</v>
      </c>
      <c r="M82" s="100">
        <v>92.17</v>
      </c>
      <c r="N82" s="100">
        <v>20.100000000000001</v>
      </c>
      <c r="O82" s="100">
        <v>0</v>
      </c>
      <c r="P82" s="100">
        <v>0.11</v>
      </c>
      <c r="Q82" s="100">
        <v>9.93</v>
      </c>
      <c r="R82" s="6"/>
      <c r="S82" s="6"/>
      <c r="T82" s="156"/>
      <c r="U82" s="6"/>
    </row>
    <row r="83" spans="1:21" customFormat="1">
      <c r="A83" s="163" t="s">
        <v>986</v>
      </c>
      <c r="B83" s="100">
        <v>2.78</v>
      </c>
      <c r="C83" s="100">
        <v>4.67</v>
      </c>
      <c r="D83" s="100">
        <v>1.89</v>
      </c>
      <c r="E83" s="100">
        <v>5.37</v>
      </c>
      <c r="F83" s="100">
        <v>2.2000000000000002</v>
      </c>
      <c r="G83" s="100">
        <v>4.7300000000000004</v>
      </c>
      <c r="H83" s="100">
        <v>1.69</v>
      </c>
      <c r="I83" s="100">
        <v>3.59</v>
      </c>
      <c r="J83" s="100">
        <v>0.82</v>
      </c>
      <c r="K83" s="100">
        <v>262.14</v>
      </c>
      <c r="L83" s="100">
        <v>23.94</v>
      </c>
      <c r="M83" s="100">
        <v>92.68</v>
      </c>
      <c r="N83" s="100">
        <v>7.5</v>
      </c>
      <c r="O83" s="100">
        <v>0</v>
      </c>
      <c r="P83" s="100">
        <v>0.13</v>
      </c>
      <c r="Q83" s="100">
        <v>9.92</v>
      </c>
      <c r="R83" s="6"/>
      <c r="S83" s="6"/>
      <c r="T83" s="156"/>
      <c r="U83" s="6"/>
    </row>
    <row r="84" spans="1:21" customFormat="1">
      <c r="A84" s="163" t="s">
        <v>987</v>
      </c>
      <c r="B84" s="100">
        <v>2.79</v>
      </c>
      <c r="C84" s="100">
        <v>4.6900000000000004</v>
      </c>
      <c r="D84" s="100">
        <v>1.9</v>
      </c>
      <c r="E84" s="100">
        <v>5.01</v>
      </c>
      <c r="F84" s="100">
        <v>1.36</v>
      </c>
      <c r="G84" s="100">
        <v>4.7300000000000004</v>
      </c>
      <c r="H84" s="100">
        <v>1.69</v>
      </c>
      <c r="I84" s="100">
        <v>3.55</v>
      </c>
      <c r="J84" s="100">
        <v>0.66</v>
      </c>
      <c r="K84" s="100">
        <v>262.11</v>
      </c>
      <c r="L84" s="100">
        <v>23.84</v>
      </c>
      <c r="M84" s="100">
        <v>92.95</v>
      </c>
      <c r="N84" s="100">
        <v>2.9</v>
      </c>
      <c r="O84" s="100">
        <v>0</v>
      </c>
      <c r="P84" s="100">
        <v>0.11</v>
      </c>
      <c r="Q84" s="100">
        <v>9.93</v>
      </c>
      <c r="R84" s="6"/>
      <c r="S84" s="6"/>
      <c r="T84" s="156"/>
      <c r="U84" s="6"/>
    </row>
    <row r="85" spans="1:21" customFormat="1">
      <c r="A85" s="163" t="s">
        <v>988</v>
      </c>
      <c r="B85" s="100">
        <v>2.79</v>
      </c>
      <c r="C85" s="100">
        <v>4.67</v>
      </c>
      <c r="D85" s="100">
        <v>1.88</v>
      </c>
      <c r="E85" s="100">
        <v>4.84</v>
      </c>
      <c r="F85" s="100">
        <v>2.52</v>
      </c>
      <c r="G85" s="100">
        <v>4.7300000000000004</v>
      </c>
      <c r="H85" s="100">
        <v>1.69</v>
      </c>
      <c r="I85" s="100">
        <v>3.61</v>
      </c>
      <c r="J85" s="100">
        <v>0.72</v>
      </c>
      <c r="K85" s="100">
        <v>266.11</v>
      </c>
      <c r="L85" s="100">
        <v>23.87</v>
      </c>
      <c r="M85" s="100">
        <v>92.84</v>
      </c>
      <c r="N85" s="100">
        <v>2.2999999999999998</v>
      </c>
      <c r="O85" s="100">
        <v>0</v>
      </c>
      <c r="P85" s="100">
        <v>0.11</v>
      </c>
      <c r="Q85" s="100">
        <v>9.93</v>
      </c>
      <c r="R85" s="6"/>
      <c r="S85" s="6"/>
      <c r="T85" s="156"/>
      <c r="U85" s="6"/>
    </row>
    <row r="86" spans="1:21" customFormat="1">
      <c r="A86" s="163" t="s">
        <v>989</v>
      </c>
      <c r="B86" s="100">
        <v>2.79</v>
      </c>
      <c r="C86" s="100">
        <v>4.68</v>
      </c>
      <c r="D86" s="100">
        <v>1.89</v>
      </c>
      <c r="E86" s="100">
        <v>5.03</v>
      </c>
      <c r="F86" s="100">
        <v>1.27</v>
      </c>
      <c r="G86" s="100">
        <v>4.7</v>
      </c>
      <c r="H86" s="100">
        <v>1.68</v>
      </c>
      <c r="I86" s="100">
        <v>3.6</v>
      </c>
      <c r="J86" s="100">
        <v>0.6</v>
      </c>
      <c r="K86" s="100">
        <v>265.19</v>
      </c>
      <c r="L86" s="100">
        <v>23.89</v>
      </c>
      <c r="M86" s="100">
        <v>92.71</v>
      </c>
      <c r="N86" s="100">
        <v>2.4</v>
      </c>
      <c r="O86" s="100">
        <v>0</v>
      </c>
      <c r="P86" s="100">
        <v>0.12</v>
      </c>
      <c r="Q86" s="100">
        <v>9.91</v>
      </c>
      <c r="R86" s="6"/>
      <c r="S86" s="6"/>
      <c r="T86" s="156"/>
      <c r="U86" s="6"/>
    </row>
    <row r="87" spans="1:21" customFormat="1">
      <c r="A87" s="163" t="s">
        <v>990</v>
      </c>
      <c r="B87" s="100">
        <v>2.8</v>
      </c>
      <c r="C87" s="100">
        <v>4.68</v>
      </c>
      <c r="D87" s="100">
        <v>1.88</v>
      </c>
      <c r="E87" s="100">
        <v>5.26</v>
      </c>
      <c r="F87" s="100">
        <v>2.41</v>
      </c>
      <c r="G87" s="100">
        <v>3.97</v>
      </c>
      <c r="H87" s="100">
        <v>1.65</v>
      </c>
      <c r="I87" s="100">
        <v>3.56</v>
      </c>
      <c r="J87" s="100">
        <v>0.63</v>
      </c>
      <c r="K87" s="100">
        <v>262.04000000000002</v>
      </c>
      <c r="L87" s="100">
        <v>23.84</v>
      </c>
      <c r="M87" s="100">
        <v>93.29</v>
      </c>
      <c r="N87" s="100">
        <v>2.2000000000000002</v>
      </c>
      <c r="O87" s="100">
        <v>0</v>
      </c>
      <c r="P87" s="100">
        <v>0.12</v>
      </c>
      <c r="Q87" s="100">
        <v>9.92</v>
      </c>
      <c r="R87" s="6"/>
      <c r="S87" s="6"/>
      <c r="T87" s="156"/>
      <c r="U87" s="6"/>
    </row>
    <row r="88" spans="1:21" customFormat="1">
      <c r="A88" s="163" t="s">
        <v>991</v>
      </c>
      <c r="B88" s="100">
        <v>2.8</v>
      </c>
      <c r="C88" s="100">
        <v>4.7</v>
      </c>
      <c r="D88" s="100">
        <v>1.89</v>
      </c>
      <c r="E88" s="100">
        <v>5.34</v>
      </c>
      <c r="F88" s="100">
        <v>1.51</v>
      </c>
      <c r="G88" s="100">
        <v>3.97</v>
      </c>
      <c r="H88" s="100">
        <v>1.65</v>
      </c>
      <c r="I88" s="100">
        <v>3.65</v>
      </c>
      <c r="J88" s="100">
        <v>0.62</v>
      </c>
      <c r="K88" s="100">
        <v>259.66000000000003</v>
      </c>
      <c r="L88" s="100">
        <v>23.9</v>
      </c>
      <c r="M88" s="100">
        <v>92.79</v>
      </c>
      <c r="N88" s="100">
        <v>2.2999999999999998</v>
      </c>
      <c r="O88" s="100">
        <v>0</v>
      </c>
      <c r="P88" s="100">
        <v>0.12</v>
      </c>
      <c r="Q88" s="100">
        <v>9.92</v>
      </c>
      <c r="R88" s="6"/>
      <c r="S88" s="6"/>
      <c r="T88" s="156"/>
      <c r="U88" s="6"/>
    </row>
    <row r="89" spans="1:21" customFormat="1">
      <c r="A89" s="163" t="s">
        <v>992</v>
      </c>
      <c r="B89" s="100">
        <v>2.81</v>
      </c>
      <c r="C89" s="100">
        <v>4.7</v>
      </c>
      <c r="D89" s="100">
        <v>1.89</v>
      </c>
      <c r="E89" s="100">
        <v>5.31</v>
      </c>
      <c r="F89" s="100">
        <v>2.02</v>
      </c>
      <c r="G89" s="100">
        <v>3.97</v>
      </c>
      <c r="H89" s="100">
        <v>1.65</v>
      </c>
      <c r="I89" s="100">
        <v>3.63</v>
      </c>
      <c r="J89" s="100">
        <v>0.59</v>
      </c>
      <c r="K89" s="100">
        <v>263.11</v>
      </c>
      <c r="L89" s="100">
        <v>23.87</v>
      </c>
      <c r="M89" s="100">
        <v>93.01</v>
      </c>
      <c r="N89" s="100">
        <v>2.4</v>
      </c>
      <c r="O89" s="100">
        <v>0</v>
      </c>
      <c r="P89" s="100">
        <v>0.11</v>
      </c>
      <c r="Q89" s="100">
        <v>9.94</v>
      </c>
      <c r="R89" s="6"/>
      <c r="S89" s="6"/>
      <c r="T89" s="156"/>
      <c r="U89" s="6"/>
    </row>
    <row r="90" spans="1:21" customFormat="1">
      <c r="A90" s="163" t="s">
        <v>993</v>
      </c>
      <c r="B90" s="100">
        <v>2.81</v>
      </c>
      <c r="C90" s="100">
        <v>4.7</v>
      </c>
      <c r="D90" s="100">
        <v>1.89</v>
      </c>
      <c r="E90" s="100">
        <v>5.22</v>
      </c>
      <c r="F90" s="100">
        <v>1.67</v>
      </c>
      <c r="G90" s="100">
        <v>4</v>
      </c>
      <c r="H90" s="100">
        <v>1.66</v>
      </c>
      <c r="I90" s="100">
        <v>3.64</v>
      </c>
      <c r="J90" s="100">
        <v>0.73</v>
      </c>
      <c r="K90" s="100">
        <v>259.99</v>
      </c>
      <c r="L90" s="100">
        <v>23.82</v>
      </c>
      <c r="M90" s="100">
        <v>93.25</v>
      </c>
      <c r="N90" s="100">
        <v>2.4</v>
      </c>
      <c r="O90" s="100">
        <v>0</v>
      </c>
      <c r="P90" s="100">
        <v>0.13</v>
      </c>
      <c r="Q90" s="100">
        <v>9.93</v>
      </c>
      <c r="R90" s="6"/>
      <c r="S90" s="6"/>
      <c r="T90" s="156"/>
      <c r="U90" s="6"/>
    </row>
    <row r="91" spans="1:21" customFormat="1">
      <c r="A91" s="163" t="s">
        <v>994</v>
      </c>
      <c r="B91" s="100">
        <v>2.82</v>
      </c>
      <c r="C91" s="100">
        <v>4.72</v>
      </c>
      <c r="D91" s="100">
        <v>1.9</v>
      </c>
      <c r="E91" s="100">
        <v>5.29</v>
      </c>
      <c r="F91" s="100">
        <v>1.58</v>
      </c>
      <c r="G91" s="100">
        <v>4.8</v>
      </c>
      <c r="H91" s="100">
        <v>1.8</v>
      </c>
      <c r="I91" s="100">
        <v>3.55</v>
      </c>
      <c r="J91" s="100">
        <v>0.52</v>
      </c>
      <c r="K91" s="100">
        <v>259.02</v>
      </c>
      <c r="L91" s="100">
        <v>23.75</v>
      </c>
      <c r="M91" s="100">
        <v>93.93</v>
      </c>
      <c r="N91" s="100">
        <v>2.2999999999999998</v>
      </c>
      <c r="O91" s="100">
        <v>0</v>
      </c>
      <c r="P91" s="100">
        <v>0.11</v>
      </c>
      <c r="Q91" s="100">
        <v>9.9499999999999993</v>
      </c>
      <c r="R91" s="6"/>
      <c r="S91" s="6"/>
      <c r="T91" s="156"/>
      <c r="U91" s="6"/>
    </row>
    <row r="92" spans="1:21" customFormat="1">
      <c r="A92" s="163" t="s">
        <v>995</v>
      </c>
      <c r="B92" s="100">
        <v>2.82</v>
      </c>
      <c r="C92" s="100">
        <v>4.7300000000000004</v>
      </c>
      <c r="D92" s="100">
        <v>1.91</v>
      </c>
      <c r="E92" s="100">
        <v>5.4</v>
      </c>
      <c r="F92" s="100">
        <v>2.14</v>
      </c>
      <c r="G92" s="100">
        <v>4.8</v>
      </c>
      <c r="H92" s="100">
        <v>1.8</v>
      </c>
      <c r="I92" s="100">
        <v>3.73</v>
      </c>
      <c r="J92" s="100">
        <v>0.61</v>
      </c>
      <c r="K92" s="100">
        <v>257.06</v>
      </c>
      <c r="L92" s="100">
        <v>23.72</v>
      </c>
      <c r="M92" s="100">
        <v>94.3</v>
      </c>
      <c r="N92" s="100">
        <v>2.1</v>
      </c>
      <c r="O92" s="100">
        <v>0</v>
      </c>
      <c r="P92" s="100">
        <v>0.12</v>
      </c>
      <c r="Q92" s="100">
        <v>9.91</v>
      </c>
      <c r="R92" s="6"/>
      <c r="S92" s="6"/>
      <c r="T92" s="156"/>
      <c r="U92" s="6"/>
    </row>
    <row r="93" spans="1:21" customFormat="1">
      <c r="A93" s="163" t="s">
        <v>996</v>
      </c>
      <c r="B93" s="100">
        <v>2.8</v>
      </c>
      <c r="C93" s="100">
        <v>4.75</v>
      </c>
      <c r="D93" s="100">
        <v>1.94</v>
      </c>
      <c r="E93" s="100">
        <v>5.46</v>
      </c>
      <c r="F93" s="100">
        <v>2.33</v>
      </c>
      <c r="G93" s="100">
        <v>4.8</v>
      </c>
      <c r="H93" s="100">
        <v>1.8</v>
      </c>
      <c r="I93" s="100">
        <v>3.71</v>
      </c>
      <c r="J93" s="100">
        <v>0.43</v>
      </c>
      <c r="K93" s="100">
        <v>258.74</v>
      </c>
      <c r="L93" s="100">
        <v>23.69</v>
      </c>
      <c r="M93" s="100">
        <v>94.92</v>
      </c>
      <c r="N93" s="100">
        <v>2.1</v>
      </c>
      <c r="O93" s="100">
        <v>0</v>
      </c>
      <c r="P93" s="100">
        <v>0.13</v>
      </c>
      <c r="Q93" s="100">
        <v>9.9</v>
      </c>
      <c r="R93" s="6"/>
      <c r="S93" s="6"/>
      <c r="T93" s="156"/>
      <c r="U93" s="6"/>
    </row>
    <row r="94" spans="1:21" customFormat="1">
      <c r="A94" s="163" t="s">
        <v>997</v>
      </c>
      <c r="B94" s="100">
        <v>2.77</v>
      </c>
      <c r="C94" s="100">
        <v>4.7300000000000004</v>
      </c>
      <c r="D94" s="100">
        <v>1.96</v>
      </c>
      <c r="E94" s="100">
        <v>5.53</v>
      </c>
      <c r="F94" s="100">
        <v>2.27</v>
      </c>
      <c r="G94" s="100">
        <v>4.9000000000000004</v>
      </c>
      <c r="H94" s="100">
        <v>1.8</v>
      </c>
      <c r="I94" s="100">
        <v>3.71</v>
      </c>
      <c r="J94" s="100">
        <v>0.61</v>
      </c>
      <c r="K94" s="100">
        <v>261.02999999999997</v>
      </c>
      <c r="L94" s="100">
        <v>23.7</v>
      </c>
      <c r="M94" s="100">
        <v>94.93</v>
      </c>
      <c r="N94" s="100">
        <v>2</v>
      </c>
      <c r="O94" s="100">
        <v>0</v>
      </c>
      <c r="P94" s="100">
        <v>0.13</v>
      </c>
      <c r="Q94" s="100">
        <v>9.91</v>
      </c>
      <c r="R94" s="6"/>
      <c r="S94" s="6"/>
      <c r="T94" s="156"/>
      <c r="U94" s="6"/>
    </row>
    <row r="95" spans="1:21" customFormat="1">
      <c r="A95" s="163" t="s">
        <v>998</v>
      </c>
      <c r="B95" s="100">
        <v>2.76</v>
      </c>
      <c r="C95" s="100">
        <v>4.72</v>
      </c>
      <c r="D95" s="100">
        <v>1.96</v>
      </c>
      <c r="E95" s="100">
        <v>5.77</v>
      </c>
      <c r="F95" s="100">
        <v>2.41</v>
      </c>
      <c r="G95" s="100">
        <v>7.82</v>
      </c>
      <c r="H95" s="100">
        <v>1.82</v>
      </c>
      <c r="I95" s="100">
        <v>3.63</v>
      </c>
      <c r="J95" s="100">
        <v>0.55000000000000004</v>
      </c>
      <c r="K95" s="100">
        <v>257.97000000000003</v>
      </c>
      <c r="L95" s="100">
        <v>23.75</v>
      </c>
      <c r="M95" s="100">
        <v>95.02</v>
      </c>
      <c r="N95" s="100">
        <v>2.1</v>
      </c>
      <c r="O95" s="100">
        <v>0</v>
      </c>
      <c r="P95" s="100">
        <v>0.13</v>
      </c>
      <c r="Q95" s="100">
        <v>9.91</v>
      </c>
      <c r="R95" s="6"/>
      <c r="S95" s="6"/>
      <c r="T95" s="156"/>
      <c r="U95" s="6"/>
    </row>
    <row r="96" spans="1:21" customFormat="1">
      <c r="A96" s="163" t="s">
        <v>999</v>
      </c>
      <c r="B96" s="100">
        <v>2.75</v>
      </c>
      <c r="C96" s="100">
        <v>4.71</v>
      </c>
      <c r="D96" s="100">
        <v>1.96</v>
      </c>
      <c r="E96" s="100">
        <v>5.67</v>
      </c>
      <c r="F96" s="100">
        <v>2.27</v>
      </c>
      <c r="G96" s="100">
        <v>7.82</v>
      </c>
      <c r="H96" s="100">
        <v>1.82</v>
      </c>
      <c r="I96" s="100">
        <v>3.62</v>
      </c>
      <c r="J96" s="100">
        <v>0.59</v>
      </c>
      <c r="K96" s="100">
        <v>256.2</v>
      </c>
      <c r="L96" s="100">
        <v>23.82</v>
      </c>
      <c r="M96" s="100">
        <v>94.79</v>
      </c>
      <c r="N96" s="100">
        <v>2.2000000000000002</v>
      </c>
      <c r="O96" s="100">
        <v>0</v>
      </c>
      <c r="P96" s="100">
        <v>0.13</v>
      </c>
      <c r="Q96" s="100">
        <v>9.9</v>
      </c>
      <c r="R96" s="6"/>
      <c r="S96" s="6"/>
      <c r="T96" s="156"/>
      <c r="U96" s="6"/>
    </row>
    <row r="97" spans="1:28" customFormat="1">
      <c r="A97" s="163" t="s">
        <v>1000</v>
      </c>
      <c r="B97" s="100">
        <v>2.74</v>
      </c>
      <c r="C97" s="100">
        <v>4.7</v>
      </c>
      <c r="D97" s="100">
        <v>1.96</v>
      </c>
      <c r="E97" s="100">
        <v>5.75</v>
      </c>
      <c r="F97" s="100">
        <v>2.0499999999999998</v>
      </c>
      <c r="G97" s="100">
        <v>7.82</v>
      </c>
      <c r="H97" s="100">
        <v>1.82</v>
      </c>
      <c r="I97" s="100">
        <v>3.55</v>
      </c>
      <c r="J97" s="100">
        <v>0.74</v>
      </c>
      <c r="K97" s="100">
        <v>258.04000000000002</v>
      </c>
      <c r="L97" s="100">
        <v>23.8</v>
      </c>
      <c r="M97" s="100">
        <v>94.98</v>
      </c>
      <c r="N97" s="100">
        <v>2.2000000000000002</v>
      </c>
      <c r="O97" s="100">
        <v>0</v>
      </c>
      <c r="P97" s="100">
        <v>0.13</v>
      </c>
      <c r="Q97" s="100">
        <v>9.91</v>
      </c>
      <c r="R97" s="6"/>
      <c r="S97" s="6"/>
      <c r="T97" s="156"/>
      <c r="U97" s="6"/>
    </row>
    <row r="98" spans="1:28" customFormat="1">
      <c r="A98" s="163" t="s">
        <v>1001</v>
      </c>
      <c r="B98" s="100">
        <v>2.72</v>
      </c>
      <c r="C98" s="100">
        <v>4.6900000000000004</v>
      </c>
      <c r="D98" s="100">
        <v>1.97</v>
      </c>
      <c r="E98" s="100">
        <v>5.58</v>
      </c>
      <c r="F98" s="100">
        <v>2.84</v>
      </c>
      <c r="G98" s="100">
        <v>7.96</v>
      </c>
      <c r="H98" s="100">
        <v>1.83</v>
      </c>
      <c r="I98" s="100">
        <v>3.49</v>
      </c>
      <c r="J98" s="100">
        <v>0.69</v>
      </c>
      <c r="K98" s="100">
        <v>258.2</v>
      </c>
      <c r="L98" s="100">
        <v>23.83</v>
      </c>
      <c r="M98" s="100">
        <v>94.89</v>
      </c>
      <c r="N98" s="100">
        <v>2.2000000000000002</v>
      </c>
      <c r="O98" s="100">
        <v>0</v>
      </c>
      <c r="P98" s="100">
        <v>0.12</v>
      </c>
      <c r="Q98" s="100">
        <v>9.92</v>
      </c>
      <c r="R98" s="6"/>
      <c r="S98" s="6"/>
      <c r="T98" s="156"/>
      <c r="U98" s="6"/>
    </row>
    <row r="99" spans="1:28" customFormat="1">
      <c r="A99" s="163" t="s">
        <v>1002</v>
      </c>
      <c r="B99" s="100">
        <v>2.71</v>
      </c>
      <c r="C99" s="100">
        <v>4.68</v>
      </c>
      <c r="D99" s="100">
        <v>1.98</v>
      </c>
      <c r="E99" s="100">
        <v>5.73</v>
      </c>
      <c r="F99" s="100">
        <v>2.17</v>
      </c>
      <c r="G99" s="100">
        <v>12.19</v>
      </c>
      <c r="H99" s="100">
        <v>2</v>
      </c>
      <c r="I99" s="100">
        <v>3.39</v>
      </c>
      <c r="J99" s="100">
        <v>0.78</v>
      </c>
      <c r="K99" s="100">
        <v>258.52</v>
      </c>
      <c r="L99" s="100">
        <v>23.9</v>
      </c>
      <c r="M99" s="100">
        <v>94.52</v>
      </c>
      <c r="N99" s="100">
        <v>2.2999999999999998</v>
      </c>
      <c r="O99" s="100">
        <v>0</v>
      </c>
      <c r="P99" s="100">
        <v>0.12</v>
      </c>
      <c r="Q99" s="100">
        <v>9.92</v>
      </c>
      <c r="R99" s="6"/>
      <c r="S99" s="6"/>
      <c r="T99" s="156"/>
      <c r="U99" s="6"/>
    </row>
    <row r="100" spans="1:28" customFormat="1">
      <c r="A100" s="163" t="s">
        <v>1003</v>
      </c>
      <c r="B100" s="100">
        <v>2.7</v>
      </c>
      <c r="C100" s="100">
        <v>4.68</v>
      </c>
      <c r="D100" s="100">
        <v>1.97</v>
      </c>
      <c r="E100" s="100">
        <v>5.64</v>
      </c>
      <c r="F100" s="100">
        <v>2.31</v>
      </c>
      <c r="G100" s="100">
        <v>12.19</v>
      </c>
      <c r="H100" s="100">
        <v>2</v>
      </c>
      <c r="I100" s="100">
        <v>3.44</v>
      </c>
      <c r="J100" s="100">
        <v>0.82</v>
      </c>
      <c r="K100" s="100">
        <v>259.66000000000003</v>
      </c>
      <c r="L100" s="100">
        <v>23.88</v>
      </c>
      <c r="M100" s="100">
        <v>94.46</v>
      </c>
      <c r="N100" s="100">
        <v>2.4</v>
      </c>
      <c r="O100" s="100">
        <v>0</v>
      </c>
      <c r="P100" s="100">
        <v>0.12</v>
      </c>
      <c r="Q100" s="100">
        <v>9.89</v>
      </c>
      <c r="R100" s="6"/>
      <c r="S100" s="6"/>
      <c r="T100" s="156"/>
      <c r="U100" s="6"/>
      <c r="AB100" s="161"/>
    </row>
    <row r="101" spans="1:28" customFormat="1">
      <c r="A101" s="163" t="s">
        <v>1004</v>
      </c>
      <c r="B101" s="100">
        <v>2.69</v>
      </c>
      <c r="C101" s="100">
        <v>4.66</v>
      </c>
      <c r="D101" s="100">
        <v>1.97</v>
      </c>
      <c r="E101" s="100">
        <v>5.65</v>
      </c>
      <c r="F101" s="100">
        <v>2.0699999999999998</v>
      </c>
      <c r="G101" s="100">
        <v>12.19</v>
      </c>
      <c r="H101" s="100">
        <v>2</v>
      </c>
      <c r="I101" s="100">
        <v>3.42</v>
      </c>
      <c r="J101" s="100">
        <v>0.85</v>
      </c>
      <c r="K101" s="100">
        <v>259.86</v>
      </c>
      <c r="L101" s="100">
        <v>23.9</v>
      </c>
      <c r="M101" s="100">
        <v>94.35</v>
      </c>
      <c r="N101" s="100">
        <v>2.2999999999999998</v>
      </c>
      <c r="O101" s="100">
        <v>0</v>
      </c>
      <c r="P101" s="100">
        <v>0.13</v>
      </c>
      <c r="Q101" s="100">
        <v>9.9</v>
      </c>
      <c r="R101" s="6"/>
      <c r="S101" s="6"/>
      <c r="T101" s="156"/>
      <c r="U101" s="6"/>
    </row>
    <row r="102" spans="1:28" customFormat="1">
      <c r="A102" s="163" t="s">
        <v>1005</v>
      </c>
      <c r="B102" s="100">
        <v>2.69</v>
      </c>
      <c r="C102" s="100">
        <v>4.66</v>
      </c>
      <c r="D102" s="100">
        <v>1.96</v>
      </c>
      <c r="E102" s="100">
        <v>5.67</v>
      </c>
      <c r="F102" s="100">
        <v>1.95</v>
      </c>
      <c r="G102" s="100">
        <v>12.1</v>
      </c>
      <c r="H102" s="100">
        <v>2</v>
      </c>
      <c r="I102" s="100">
        <v>3.35</v>
      </c>
      <c r="J102" s="100">
        <v>0.88</v>
      </c>
      <c r="K102" s="100">
        <v>261.5</v>
      </c>
      <c r="L102" s="100">
        <v>23.87</v>
      </c>
      <c r="M102" s="100">
        <v>94.36</v>
      </c>
      <c r="N102" s="100">
        <v>2.2000000000000002</v>
      </c>
      <c r="O102" s="100">
        <v>0</v>
      </c>
      <c r="P102" s="100">
        <v>0.12</v>
      </c>
      <c r="Q102" s="100">
        <v>9.91</v>
      </c>
      <c r="R102" s="6"/>
      <c r="S102" s="6"/>
      <c r="T102" s="156"/>
      <c r="U102" s="6"/>
    </row>
    <row r="103" spans="1:28" customFormat="1">
      <c r="A103" s="163" t="s">
        <v>1006</v>
      </c>
      <c r="B103" s="100">
        <v>2.7</v>
      </c>
      <c r="C103" s="100">
        <v>4.66</v>
      </c>
      <c r="D103" s="100">
        <v>1.97</v>
      </c>
      <c r="E103" s="100">
        <v>5.55</v>
      </c>
      <c r="F103" s="100">
        <v>1.62</v>
      </c>
      <c r="G103" s="100">
        <v>9.39</v>
      </c>
      <c r="H103" s="100">
        <v>1.92</v>
      </c>
      <c r="I103" s="100">
        <v>3.27</v>
      </c>
      <c r="J103" s="100">
        <v>0.83</v>
      </c>
      <c r="K103" s="100">
        <v>259.52999999999997</v>
      </c>
      <c r="L103" s="100">
        <v>23.94</v>
      </c>
      <c r="M103" s="100">
        <v>93.84</v>
      </c>
      <c r="N103" s="100">
        <v>2.2999999999999998</v>
      </c>
      <c r="O103" s="100">
        <v>0</v>
      </c>
      <c r="P103" s="100">
        <v>0.12</v>
      </c>
      <c r="Q103" s="100">
        <v>9.91</v>
      </c>
      <c r="R103" s="6"/>
      <c r="S103" s="6"/>
      <c r="T103" s="156"/>
      <c r="U103" s="6"/>
    </row>
    <row r="104" spans="1:28" customFormat="1">
      <c r="A104" s="163" t="s">
        <v>1007</v>
      </c>
      <c r="B104" s="100">
        <v>2.69</v>
      </c>
      <c r="C104" s="100">
        <v>4.6500000000000004</v>
      </c>
      <c r="D104" s="100">
        <v>1.96</v>
      </c>
      <c r="E104" s="100">
        <v>5.72</v>
      </c>
      <c r="F104" s="100">
        <v>1.96</v>
      </c>
      <c r="G104" s="100">
        <v>9.39</v>
      </c>
      <c r="H104" s="100">
        <v>1.92</v>
      </c>
      <c r="I104" s="100">
        <v>3.17</v>
      </c>
      <c r="J104" s="100">
        <v>0.8</v>
      </c>
      <c r="K104" s="100">
        <v>258.37</v>
      </c>
      <c r="L104" s="100">
        <v>23.96</v>
      </c>
      <c r="M104" s="100">
        <v>93.88</v>
      </c>
      <c r="N104" s="100">
        <v>2.2999999999999998</v>
      </c>
      <c r="O104" s="100">
        <v>0</v>
      </c>
      <c r="P104" s="100">
        <v>0.12</v>
      </c>
      <c r="Q104" s="100">
        <v>9.92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2.62</v>
      </c>
      <c r="C106" s="158">
        <f>MIN(C9:C104)</f>
        <v>4.54</v>
      </c>
      <c r="D106" s="158">
        <f t="shared" ref="D106:Q106" si="0">MIN(D9:D104)</f>
        <v>1.84</v>
      </c>
      <c r="E106" s="158">
        <f t="shared" si="0"/>
        <v>3.76</v>
      </c>
      <c r="F106" s="158">
        <f t="shared" si="0"/>
        <v>0.61</v>
      </c>
      <c r="G106" s="158">
        <f t="shared" si="0"/>
        <v>1.93</v>
      </c>
      <c r="H106" s="158">
        <f t="shared" si="0"/>
        <v>1.48</v>
      </c>
      <c r="I106" s="158">
        <f t="shared" si="0"/>
        <v>2.82</v>
      </c>
      <c r="J106" s="158">
        <f t="shared" si="0"/>
        <v>0.43</v>
      </c>
      <c r="K106" s="158">
        <f t="shared" si="0"/>
        <v>253.19</v>
      </c>
      <c r="L106" s="158">
        <f t="shared" si="0"/>
        <v>22.94</v>
      </c>
      <c r="M106" s="158">
        <f t="shared" si="0"/>
        <v>89.63</v>
      </c>
      <c r="N106" s="158">
        <f t="shared" si="0"/>
        <v>2</v>
      </c>
      <c r="O106" s="158">
        <f t="shared" si="0"/>
        <v>0</v>
      </c>
      <c r="P106" s="158">
        <f t="shared" si="0"/>
        <v>0.05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2.94</v>
      </c>
      <c r="C107" s="157">
        <f t="shared" ref="C107:Q107" si="1">MAX(C9:C104)</f>
        <v>4.8499999999999996</v>
      </c>
      <c r="D107" s="157">
        <f t="shared" si="1"/>
        <v>1.99</v>
      </c>
      <c r="E107" s="157">
        <f t="shared" si="1"/>
        <v>7.11</v>
      </c>
      <c r="F107" s="157">
        <f t="shared" si="1"/>
        <v>3.38</v>
      </c>
      <c r="G107" s="157">
        <f t="shared" si="1"/>
        <v>12.19</v>
      </c>
      <c r="H107" s="157">
        <f t="shared" si="1"/>
        <v>2.57</v>
      </c>
      <c r="I107" s="157">
        <f t="shared" si="1"/>
        <v>4.88</v>
      </c>
      <c r="J107" s="157">
        <f t="shared" si="1"/>
        <v>1.22</v>
      </c>
      <c r="K107" s="157">
        <f t="shared" si="1"/>
        <v>271.91000000000003</v>
      </c>
      <c r="L107" s="157">
        <f t="shared" si="1"/>
        <v>25.09</v>
      </c>
      <c r="M107" s="157">
        <f t="shared" si="1"/>
        <v>100.35</v>
      </c>
      <c r="N107" s="157">
        <f t="shared" si="1"/>
        <v>212.9</v>
      </c>
      <c r="O107" s="157">
        <f t="shared" si="1"/>
        <v>3.8</v>
      </c>
      <c r="P107" s="157">
        <f t="shared" si="1"/>
        <v>0.14000000000000001</v>
      </c>
      <c r="Q107" s="157">
        <f t="shared" si="1"/>
        <v>9.9499999999999993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2.7523958333333329</v>
      </c>
      <c r="C108" s="158">
        <f t="shared" ref="C108:Q108" si="2">AVERAGE(C9:C104)</f>
        <v>4.6738541666666675</v>
      </c>
      <c r="D108" s="158">
        <f t="shared" si="2"/>
        <v>1.9216666666666653</v>
      </c>
      <c r="E108" s="158">
        <f t="shared" si="2"/>
        <v>5.5793749999999989</v>
      </c>
      <c r="F108" s="158">
        <f t="shared" si="2"/>
        <v>2.2376041666666677</v>
      </c>
      <c r="G108" s="158">
        <f t="shared" si="2"/>
        <v>4.6861458333333346</v>
      </c>
      <c r="H108" s="158">
        <f t="shared" si="2"/>
        <v>1.8190625000000005</v>
      </c>
      <c r="I108" s="158">
        <f t="shared" si="2"/>
        <v>3.4130208333333338</v>
      </c>
      <c r="J108" s="158">
        <f t="shared" si="2"/>
        <v>0.77416666666666645</v>
      </c>
      <c r="K108" s="158">
        <f t="shared" si="2"/>
        <v>260.16312500000015</v>
      </c>
      <c r="L108" s="158">
        <f t="shared" si="2"/>
        <v>23.703020833333337</v>
      </c>
      <c r="M108" s="158">
        <f t="shared" si="2"/>
        <v>96.309583333333379</v>
      </c>
      <c r="N108" s="158">
        <f t="shared" si="2"/>
        <v>35.38333333333334</v>
      </c>
      <c r="O108" s="158">
        <f t="shared" si="2"/>
        <v>0.25624999999999998</v>
      </c>
      <c r="P108" s="158">
        <f t="shared" si="2"/>
        <v>0.10281249999999993</v>
      </c>
      <c r="Q108" s="158">
        <f t="shared" si="2"/>
        <v>9.918229166666654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9.0527632206870684E-2</v>
      </c>
      <c r="C109" s="158">
        <f t="shared" ref="C109:Q109" si="3">STDEV(C9:C104)</f>
        <v>8.0594760070845747E-2</v>
      </c>
      <c r="D109" s="158">
        <f t="shared" si="3"/>
        <v>3.7067979277528723E-2</v>
      </c>
      <c r="E109" s="158">
        <f t="shared" si="3"/>
        <v>0.80728630869756923</v>
      </c>
      <c r="F109" s="158">
        <f t="shared" si="3"/>
        <v>0.55587720111486116</v>
      </c>
      <c r="G109" s="158">
        <f t="shared" si="3"/>
        <v>2.5865804981182374</v>
      </c>
      <c r="H109" s="158">
        <f t="shared" si="3"/>
        <v>0.25167262831326914</v>
      </c>
      <c r="I109" s="158">
        <f t="shared" si="3"/>
        <v>0.44349122056619888</v>
      </c>
      <c r="J109" s="158">
        <f t="shared" si="3"/>
        <v>0.16739909241197048</v>
      </c>
      <c r="K109" s="158">
        <f t="shared" si="3"/>
        <v>3.3846331722250658</v>
      </c>
      <c r="L109" s="158">
        <f t="shared" si="3"/>
        <v>0.58965667047451253</v>
      </c>
      <c r="M109" s="158">
        <f t="shared" si="3"/>
        <v>3.562356085120209</v>
      </c>
      <c r="N109" s="158">
        <f t="shared" si="3"/>
        <v>48.602884182702496</v>
      </c>
      <c r="O109" s="158">
        <f t="shared" si="3"/>
        <v>0.63159155689166868</v>
      </c>
      <c r="P109" s="158">
        <f t="shared" si="3"/>
        <v>1.9719246542668403E-2</v>
      </c>
      <c r="Q109" s="158">
        <f t="shared" si="3"/>
        <v>1.337671123665171E-2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G106" sqref="G10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1008</v>
      </c>
      <c r="B9" s="100">
        <v>2.66</v>
      </c>
      <c r="C9" s="100">
        <v>4.62</v>
      </c>
      <c r="D9" s="100">
        <v>1.96</v>
      </c>
      <c r="E9" s="100">
        <v>5.78</v>
      </c>
      <c r="F9" s="100">
        <v>1.97</v>
      </c>
      <c r="G9" s="100">
        <v>9.39</v>
      </c>
      <c r="H9" s="100">
        <v>1.92</v>
      </c>
      <c r="I9" s="100">
        <v>3.21</v>
      </c>
      <c r="J9" s="100">
        <v>0.86</v>
      </c>
      <c r="K9" s="100">
        <v>258.81</v>
      </c>
      <c r="L9" s="100">
        <v>23.97</v>
      </c>
      <c r="M9" s="100">
        <v>93.86</v>
      </c>
      <c r="N9" s="100">
        <v>2.4</v>
      </c>
      <c r="O9" s="100">
        <v>0</v>
      </c>
      <c r="P9" s="100">
        <v>0.12</v>
      </c>
      <c r="Q9" s="100">
        <v>9.92</v>
      </c>
      <c r="R9" s="6"/>
      <c r="S9" s="6"/>
      <c r="T9" s="156"/>
      <c r="U9" s="6"/>
    </row>
    <row r="10" spans="1:21" customFormat="1">
      <c r="A10" s="163" t="s">
        <v>1009</v>
      </c>
      <c r="B10" s="100">
        <v>2.67</v>
      </c>
      <c r="C10" s="100">
        <v>4.63</v>
      </c>
      <c r="D10" s="100">
        <v>1.95</v>
      </c>
      <c r="E10" s="100">
        <v>5.83</v>
      </c>
      <c r="F10" s="100">
        <v>2.16</v>
      </c>
      <c r="G10" s="100">
        <v>9.35</v>
      </c>
      <c r="H10" s="100">
        <v>1.97</v>
      </c>
      <c r="I10" s="100">
        <v>3.18</v>
      </c>
      <c r="J10" s="100">
        <v>0.73</v>
      </c>
      <c r="K10" s="100">
        <v>257.31</v>
      </c>
      <c r="L10" s="100">
        <v>24.02</v>
      </c>
      <c r="M10" s="100">
        <v>93.89</v>
      </c>
      <c r="N10" s="100">
        <v>2.4</v>
      </c>
      <c r="O10" s="100">
        <v>0</v>
      </c>
      <c r="P10" s="100">
        <v>0.11</v>
      </c>
      <c r="Q10" s="100">
        <v>9.91</v>
      </c>
      <c r="R10" s="6"/>
      <c r="S10" s="6"/>
      <c r="T10" s="156"/>
      <c r="U10" s="6"/>
    </row>
    <row r="11" spans="1:21" customFormat="1">
      <c r="A11" s="163" t="s">
        <v>1010</v>
      </c>
      <c r="B11" s="100">
        <v>2.68</v>
      </c>
      <c r="C11" s="100">
        <v>4.6399999999999997</v>
      </c>
      <c r="D11" s="100">
        <v>1.96</v>
      </c>
      <c r="E11" s="100">
        <v>5.9</v>
      </c>
      <c r="F11" s="100">
        <v>2.17</v>
      </c>
      <c r="G11" s="100">
        <v>8.17</v>
      </c>
      <c r="H11" s="100">
        <v>2.93</v>
      </c>
      <c r="I11" s="100">
        <v>3.16</v>
      </c>
      <c r="J11" s="100">
        <v>0.83</v>
      </c>
      <c r="K11" s="100">
        <v>256.67</v>
      </c>
      <c r="L11" s="100">
        <v>24.05</v>
      </c>
      <c r="M11" s="100">
        <v>93.94</v>
      </c>
      <c r="N11" s="100">
        <v>2.2999999999999998</v>
      </c>
      <c r="O11" s="100">
        <v>0</v>
      </c>
      <c r="P11" s="100">
        <v>0.11</v>
      </c>
      <c r="Q11" s="100">
        <v>9.9</v>
      </c>
      <c r="R11" s="6"/>
      <c r="S11" s="6"/>
      <c r="T11" s="156"/>
      <c r="U11" s="6"/>
    </row>
    <row r="12" spans="1:21" customFormat="1">
      <c r="A12" s="163" t="s">
        <v>1011</v>
      </c>
      <c r="B12" s="100">
        <v>2.68</v>
      </c>
      <c r="C12" s="100">
        <v>4.63</v>
      </c>
      <c r="D12" s="100">
        <v>1.95</v>
      </c>
      <c r="E12" s="100">
        <v>5.8</v>
      </c>
      <c r="F12" s="100">
        <v>2.4700000000000002</v>
      </c>
      <c r="G12" s="100">
        <v>8.17</v>
      </c>
      <c r="H12" s="100">
        <v>2.93</v>
      </c>
      <c r="I12" s="100">
        <v>3.11</v>
      </c>
      <c r="J12" s="100">
        <v>0.81</v>
      </c>
      <c r="K12" s="100">
        <v>258.31</v>
      </c>
      <c r="L12" s="100">
        <v>24</v>
      </c>
      <c r="M12" s="100">
        <v>94.66</v>
      </c>
      <c r="N12" s="100">
        <v>2.9</v>
      </c>
      <c r="O12" s="100">
        <v>0.2</v>
      </c>
      <c r="P12" s="100">
        <v>0.11</v>
      </c>
      <c r="Q12" s="100">
        <v>9.91</v>
      </c>
      <c r="R12" s="6"/>
      <c r="S12" s="6"/>
      <c r="T12" s="156"/>
      <c r="U12" s="6"/>
    </row>
    <row r="13" spans="1:21" customFormat="1">
      <c r="A13" s="163" t="s">
        <v>1012</v>
      </c>
      <c r="B13" s="100">
        <v>2.68</v>
      </c>
      <c r="C13" s="100">
        <v>4.63</v>
      </c>
      <c r="D13" s="100">
        <v>1.95</v>
      </c>
      <c r="E13" s="100">
        <v>5.94</v>
      </c>
      <c r="F13" s="100">
        <v>2.33</v>
      </c>
      <c r="G13" s="100">
        <v>8.17</v>
      </c>
      <c r="H13" s="100">
        <v>2.93</v>
      </c>
      <c r="I13" s="100">
        <v>3.09</v>
      </c>
      <c r="J13" s="100">
        <v>0.74</v>
      </c>
      <c r="K13" s="100">
        <v>259.98</v>
      </c>
      <c r="L13" s="100">
        <v>23.77</v>
      </c>
      <c r="M13" s="100">
        <v>96.79</v>
      </c>
      <c r="N13" s="100">
        <v>2.8</v>
      </c>
      <c r="O13" s="100">
        <v>0</v>
      </c>
      <c r="P13" s="100">
        <v>0.12</v>
      </c>
      <c r="Q13" s="100">
        <v>9.91</v>
      </c>
      <c r="R13" s="6"/>
      <c r="S13" s="6"/>
      <c r="T13" s="156"/>
      <c r="U13" s="6"/>
    </row>
    <row r="14" spans="1:21" customFormat="1">
      <c r="A14" s="163" t="s">
        <v>1013</v>
      </c>
      <c r="B14" s="100">
        <v>2.68</v>
      </c>
      <c r="C14" s="100">
        <v>4.63</v>
      </c>
      <c r="D14" s="100">
        <v>1.95</v>
      </c>
      <c r="E14" s="100">
        <v>6.21</v>
      </c>
      <c r="F14" s="100">
        <v>2.2799999999999998</v>
      </c>
      <c r="G14" s="100">
        <v>8.1999999999999993</v>
      </c>
      <c r="H14" s="100">
        <v>2.92</v>
      </c>
      <c r="I14" s="100">
        <v>3.05</v>
      </c>
      <c r="J14" s="100">
        <v>0.7</v>
      </c>
      <c r="K14" s="100">
        <v>255.97</v>
      </c>
      <c r="L14" s="100">
        <v>23.77</v>
      </c>
      <c r="M14" s="100">
        <v>97.31</v>
      </c>
      <c r="N14" s="100">
        <v>2.7</v>
      </c>
      <c r="O14" s="100">
        <v>0</v>
      </c>
      <c r="P14" s="100">
        <v>0.11</v>
      </c>
      <c r="Q14" s="100">
        <v>9.91</v>
      </c>
      <c r="R14" s="6"/>
      <c r="S14" s="6"/>
      <c r="T14" s="156"/>
      <c r="U14" s="6"/>
    </row>
    <row r="15" spans="1:21" customFormat="1">
      <c r="A15" s="163" t="s">
        <v>1014</v>
      </c>
      <c r="B15" s="100">
        <v>2.68</v>
      </c>
      <c r="C15" s="100">
        <v>4.63</v>
      </c>
      <c r="D15" s="100">
        <v>1.96</v>
      </c>
      <c r="E15" s="100">
        <v>6.03</v>
      </c>
      <c r="F15" s="100">
        <v>1.98</v>
      </c>
      <c r="G15" s="100">
        <v>8.9</v>
      </c>
      <c r="H15" s="100">
        <v>2.59</v>
      </c>
      <c r="I15" s="100">
        <v>2.95</v>
      </c>
      <c r="J15" s="100">
        <v>0.86</v>
      </c>
      <c r="K15" s="100">
        <v>257.67</v>
      </c>
      <c r="L15" s="100">
        <v>23.82</v>
      </c>
      <c r="M15" s="100">
        <v>97.15</v>
      </c>
      <c r="N15" s="100">
        <v>2.7</v>
      </c>
      <c r="O15" s="100">
        <v>0</v>
      </c>
      <c r="P15" s="100">
        <v>0.11</v>
      </c>
      <c r="Q15" s="100">
        <v>9.9</v>
      </c>
      <c r="R15" s="6"/>
      <c r="S15" s="6"/>
      <c r="T15" s="156"/>
      <c r="U15" s="6"/>
    </row>
    <row r="16" spans="1:21" customFormat="1">
      <c r="A16" s="163" t="s">
        <v>1015</v>
      </c>
      <c r="B16" s="100">
        <v>2.68</v>
      </c>
      <c r="C16" s="100">
        <v>4.62</v>
      </c>
      <c r="D16" s="100">
        <v>1.94</v>
      </c>
      <c r="E16" s="100">
        <v>6.24</v>
      </c>
      <c r="F16" s="100">
        <v>2.46</v>
      </c>
      <c r="G16" s="100">
        <v>8.9</v>
      </c>
      <c r="H16" s="100">
        <v>2.59</v>
      </c>
      <c r="I16" s="100">
        <v>2.94</v>
      </c>
      <c r="J16" s="100">
        <v>0.73</v>
      </c>
      <c r="K16" s="100">
        <v>259.86</v>
      </c>
      <c r="L16" s="100">
        <v>23.84</v>
      </c>
      <c r="M16" s="100">
        <v>97.07</v>
      </c>
      <c r="N16" s="100">
        <v>2.7</v>
      </c>
      <c r="O16" s="100">
        <v>0</v>
      </c>
      <c r="P16" s="100">
        <v>0.11</v>
      </c>
      <c r="Q16" s="100">
        <v>9.91</v>
      </c>
      <c r="R16" s="6"/>
      <c r="S16" s="6"/>
      <c r="T16" s="156"/>
      <c r="U16" s="6"/>
    </row>
    <row r="17" spans="1:21" customFormat="1">
      <c r="A17" s="163" t="s">
        <v>1016</v>
      </c>
      <c r="B17" s="100">
        <v>2.72</v>
      </c>
      <c r="C17" s="100">
        <v>4.63</v>
      </c>
      <c r="D17" s="100">
        <v>1.91</v>
      </c>
      <c r="E17" s="100">
        <v>4.9800000000000004</v>
      </c>
      <c r="F17" s="100">
        <v>0.79</v>
      </c>
      <c r="G17" s="100">
        <v>8.9</v>
      </c>
      <c r="H17" s="100">
        <v>2.59</v>
      </c>
      <c r="I17" s="100">
        <v>2.89</v>
      </c>
      <c r="J17" s="100">
        <v>0.86</v>
      </c>
      <c r="K17" s="100">
        <v>259.10000000000002</v>
      </c>
      <c r="L17" s="100">
        <v>23.81</v>
      </c>
      <c r="M17" s="100">
        <v>97.33</v>
      </c>
      <c r="N17" s="100">
        <v>2.7</v>
      </c>
      <c r="O17" s="100">
        <v>0.2</v>
      </c>
      <c r="P17" s="100">
        <v>0.1</v>
      </c>
      <c r="Q17" s="100">
        <v>9.9</v>
      </c>
      <c r="R17" s="6"/>
      <c r="S17" s="6"/>
      <c r="T17" s="156"/>
      <c r="U17" s="6"/>
    </row>
    <row r="18" spans="1:21" customFormat="1">
      <c r="A18" s="163" t="s">
        <v>1017</v>
      </c>
      <c r="B18" s="100">
        <v>2.74</v>
      </c>
      <c r="C18" s="100">
        <v>4.62</v>
      </c>
      <c r="D18" s="100">
        <v>1.88</v>
      </c>
      <c r="E18" s="100">
        <v>5.05</v>
      </c>
      <c r="F18" s="100">
        <v>2.4500000000000002</v>
      </c>
      <c r="G18" s="100">
        <v>8.86</v>
      </c>
      <c r="H18" s="100">
        <v>2.61</v>
      </c>
      <c r="I18" s="100">
        <v>2.92</v>
      </c>
      <c r="J18" s="100">
        <v>0.87</v>
      </c>
      <c r="K18" s="100">
        <v>261.01</v>
      </c>
      <c r="L18" s="100">
        <v>23.62</v>
      </c>
      <c r="M18" s="100">
        <v>98.31</v>
      </c>
      <c r="N18" s="100">
        <v>2.9</v>
      </c>
      <c r="O18" s="100">
        <v>0.6</v>
      </c>
      <c r="P18" s="100">
        <v>0.09</v>
      </c>
      <c r="Q18" s="100">
        <v>9.93</v>
      </c>
      <c r="R18" s="6"/>
      <c r="S18" s="6"/>
      <c r="T18" s="156"/>
      <c r="U18" s="6"/>
    </row>
    <row r="19" spans="1:21" customFormat="1">
      <c r="A19" s="163" t="s">
        <v>1018</v>
      </c>
      <c r="B19" s="100">
        <v>2.76</v>
      </c>
      <c r="C19" s="100">
        <v>4.63</v>
      </c>
      <c r="D19" s="100">
        <v>1.87</v>
      </c>
      <c r="E19" s="100">
        <v>5.0199999999999996</v>
      </c>
      <c r="F19" s="100">
        <v>1.72</v>
      </c>
      <c r="G19" s="100">
        <v>7.61</v>
      </c>
      <c r="H19" s="100">
        <v>3.22</v>
      </c>
      <c r="I19" s="100">
        <v>2.93</v>
      </c>
      <c r="J19" s="100">
        <v>0.65</v>
      </c>
      <c r="K19" s="100">
        <v>257.75</v>
      </c>
      <c r="L19" s="100">
        <v>23.48</v>
      </c>
      <c r="M19" s="100">
        <v>99.61</v>
      </c>
      <c r="N19" s="100">
        <v>2.4</v>
      </c>
      <c r="O19" s="100">
        <v>0.2</v>
      </c>
      <c r="P19" s="100">
        <v>0.1</v>
      </c>
      <c r="Q19" s="100">
        <v>9.93</v>
      </c>
      <c r="R19" s="6"/>
      <c r="S19" s="6"/>
      <c r="T19" s="156"/>
      <c r="U19" s="6"/>
    </row>
    <row r="20" spans="1:21" customFormat="1">
      <c r="A20" s="163" t="s">
        <v>1019</v>
      </c>
      <c r="B20" s="100">
        <v>2.8</v>
      </c>
      <c r="C20" s="100">
        <v>4.66</v>
      </c>
      <c r="D20" s="100">
        <v>1.87</v>
      </c>
      <c r="E20" s="100">
        <v>5.05</v>
      </c>
      <c r="F20" s="100">
        <v>1.7</v>
      </c>
      <c r="G20" s="100">
        <v>7.61</v>
      </c>
      <c r="H20" s="100">
        <v>3.22</v>
      </c>
      <c r="I20" s="100">
        <v>2.88</v>
      </c>
      <c r="J20" s="100">
        <v>0.47</v>
      </c>
      <c r="K20" s="100">
        <v>254.06</v>
      </c>
      <c r="L20" s="100">
        <v>23.33</v>
      </c>
      <c r="M20" s="100">
        <v>100.26</v>
      </c>
      <c r="N20" s="100">
        <v>2.6</v>
      </c>
      <c r="O20" s="100">
        <v>3.8</v>
      </c>
      <c r="P20" s="100">
        <v>0.08</v>
      </c>
      <c r="Q20" s="100">
        <v>9.92</v>
      </c>
      <c r="R20" s="6"/>
      <c r="S20" s="6"/>
      <c r="T20" s="156"/>
      <c r="U20" s="6"/>
    </row>
    <row r="21" spans="1:21" customFormat="1">
      <c r="A21" s="163" t="s">
        <v>1020</v>
      </c>
      <c r="B21" s="100">
        <v>2.8</v>
      </c>
      <c r="C21" s="100">
        <v>4.66</v>
      </c>
      <c r="D21" s="100">
        <v>1.86</v>
      </c>
      <c r="E21" s="100">
        <v>5.14</v>
      </c>
      <c r="F21" s="100">
        <v>2.34</v>
      </c>
      <c r="G21" s="100">
        <v>7.61</v>
      </c>
      <c r="H21" s="100">
        <v>3.22</v>
      </c>
      <c r="I21" s="100">
        <v>3.01</v>
      </c>
      <c r="J21" s="100">
        <v>0.71</v>
      </c>
      <c r="K21" s="100">
        <v>256.45999999999998</v>
      </c>
      <c r="L21" s="100">
        <v>23.12</v>
      </c>
      <c r="M21" s="100">
        <v>100.39</v>
      </c>
      <c r="N21" s="100">
        <v>2.6</v>
      </c>
      <c r="O21" s="100">
        <v>3.8</v>
      </c>
      <c r="P21" s="100">
        <v>0.1</v>
      </c>
      <c r="Q21" s="100">
        <v>9.91</v>
      </c>
      <c r="R21" s="6"/>
      <c r="S21" s="6"/>
      <c r="T21" s="156"/>
      <c r="U21" s="6"/>
    </row>
    <row r="22" spans="1:21" customFormat="1">
      <c r="A22" s="163" t="s">
        <v>1021</v>
      </c>
      <c r="B22" s="100">
        <v>2.83</v>
      </c>
      <c r="C22" s="100">
        <v>4.6900000000000004</v>
      </c>
      <c r="D22" s="100">
        <v>1.86</v>
      </c>
      <c r="E22" s="100">
        <v>4.92</v>
      </c>
      <c r="F22" s="100">
        <v>1.49</v>
      </c>
      <c r="G22" s="100">
        <v>7.56</v>
      </c>
      <c r="H22" s="100">
        <v>3.23</v>
      </c>
      <c r="I22" s="100">
        <v>3.03</v>
      </c>
      <c r="J22" s="100">
        <v>0.75</v>
      </c>
      <c r="K22" s="100">
        <v>259</v>
      </c>
      <c r="L22" s="100">
        <v>23.05</v>
      </c>
      <c r="M22" s="100">
        <v>100.4</v>
      </c>
      <c r="N22" s="100">
        <v>2.5</v>
      </c>
      <c r="O22" s="100">
        <v>1.2</v>
      </c>
      <c r="P22" s="100">
        <v>0.09</v>
      </c>
      <c r="Q22" s="100">
        <v>9.91</v>
      </c>
      <c r="R22" s="6"/>
      <c r="S22" s="6"/>
      <c r="T22" s="156"/>
      <c r="U22" s="6"/>
    </row>
    <row r="23" spans="1:21" customFormat="1">
      <c r="A23" s="163" t="s">
        <v>1022</v>
      </c>
      <c r="B23" s="100">
        <v>2.84</v>
      </c>
      <c r="C23" s="100">
        <v>4.6900000000000004</v>
      </c>
      <c r="D23" s="100">
        <v>1.85</v>
      </c>
      <c r="E23" s="100">
        <v>5.19</v>
      </c>
      <c r="F23" s="100">
        <v>2.2999999999999998</v>
      </c>
      <c r="G23" s="100">
        <v>6.03</v>
      </c>
      <c r="H23" s="100">
        <v>3.61</v>
      </c>
      <c r="I23" s="100">
        <v>3.04</v>
      </c>
      <c r="J23" s="100">
        <v>0.73</v>
      </c>
      <c r="K23" s="100">
        <v>272.72000000000003</v>
      </c>
      <c r="L23" s="100">
        <v>23</v>
      </c>
      <c r="M23" s="100">
        <v>100.4</v>
      </c>
      <c r="N23" s="100">
        <v>2.6</v>
      </c>
      <c r="O23" s="100">
        <v>1.2</v>
      </c>
      <c r="P23" s="100">
        <v>0.1</v>
      </c>
      <c r="Q23" s="100">
        <v>9.93</v>
      </c>
      <c r="R23" s="6"/>
      <c r="S23" s="6"/>
      <c r="T23" s="156"/>
      <c r="U23" s="6"/>
    </row>
    <row r="24" spans="1:21" customFormat="1">
      <c r="A24" s="163" t="s">
        <v>1023</v>
      </c>
      <c r="B24" s="100">
        <v>2.85</v>
      </c>
      <c r="C24" s="100">
        <v>4.72</v>
      </c>
      <c r="D24" s="100">
        <v>1.87</v>
      </c>
      <c r="E24" s="100">
        <v>5.0599999999999996</v>
      </c>
      <c r="F24" s="100">
        <v>1.21</v>
      </c>
      <c r="G24" s="100">
        <v>6.03</v>
      </c>
      <c r="H24" s="100">
        <v>3.61</v>
      </c>
      <c r="I24" s="100">
        <v>3.04</v>
      </c>
      <c r="J24" s="100">
        <v>0.54</v>
      </c>
      <c r="K24" s="100">
        <v>258.77999999999997</v>
      </c>
      <c r="L24" s="100">
        <v>22.99</v>
      </c>
      <c r="M24" s="100">
        <v>100.4</v>
      </c>
      <c r="N24" s="100">
        <v>2.5</v>
      </c>
      <c r="O24" s="100">
        <v>1.6</v>
      </c>
      <c r="P24" s="100">
        <v>0.08</v>
      </c>
      <c r="Q24" s="100">
        <v>9.93</v>
      </c>
      <c r="R24" s="6"/>
      <c r="S24" s="6"/>
      <c r="T24" s="156"/>
      <c r="U24" s="6"/>
    </row>
    <row r="25" spans="1:21" customFormat="1">
      <c r="A25" s="163" t="s">
        <v>1024</v>
      </c>
      <c r="B25" s="100">
        <v>2.87</v>
      </c>
      <c r="C25" s="100">
        <v>4.72</v>
      </c>
      <c r="D25" s="100">
        <v>1.86</v>
      </c>
      <c r="E25" s="100">
        <v>5.08</v>
      </c>
      <c r="F25" s="100">
        <v>2.3199999999999998</v>
      </c>
      <c r="G25" s="100">
        <v>6.03</v>
      </c>
      <c r="H25" s="100">
        <v>3.61</v>
      </c>
      <c r="I25" s="100">
        <v>3.05</v>
      </c>
      <c r="J25" s="100">
        <v>0.44</v>
      </c>
      <c r="K25" s="100">
        <v>259.68</v>
      </c>
      <c r="L25" s="100">
        <v>22.99</v>
      </c>
      <c r="M25" s="100">
        <v>100.4</v>
      </c>
      <c r="N25" s="100">
        <v>2.5</v>
      </c>
      <c r="O25" s="100">
        <v>0.4</v>
      </c>
      <c r="P25" s="100">
        <v>0.09</v>
      </c>
      <c r="Q25" s="100">
        <v>9.94</v>
      </c>
      <c r="R25" s="6"/>
      <c r="S25" s="6"/>
      <c r="T25" s="156"/>
      <c r="U25" s="6"/>
    </row>
    <row r="26" spans="1:21" customFormat="1">
      <c r="A26" s="163" t="s">
        <v>1025</v>
      </c>
      <c r="B26" s="100">
        <v>2.87</v>
      </c>
      <c r="C26" s="100">
        <v>4.75</v>
      </c>
      <c r="D26" s="100">
        <v>1.87</v>
      </c>
      <c r="E26" s="100">
        <v>5.03</v>
      </c>
      <c r="F26" s="100">
        <v>1.25</v>
      </c>
      <c r="G26" s="100">
        <v>6.01</v>
      </c>
      <c r="H26" s="100">
        <v>3.59</v>
      </c>
      <c r="I26" s="100">
        <v>3.05</v>
      </c>
      <c r="J26" s="100">
        <v>0.45</v>
      </c>
      <c r="K26" s="100">
        <v>248.59</v>
      </c>
      <c r="L26" s="100">
        <v>22.97</v>
      </c>
      <c r="M26" s="100">
        <v>100.4</v>
      </c>
      <c r="N26" s="100">
        <v>2.5</v>
      </c>
      <c r="O26" s="100">
        <v>0.2</v>
      </c>
      <c r="P26" s="100">
        <v>0.08</v>
      </c>
      <c r="Q26" s="100">
        <v>9.92</v>
      </c>
      <c r="R26" s="6"/>
      <c r="S26" s="6"/>
      <c r="T26" s="156"/>
      <c r="U26" s="6"/>
    </row>
    <row r="27" spans="1:21" customFormat="1">
      <c r="A27" s="163" t="s">
        <v>1026</v>
      </c>
      <c r="B27" s="100">
        <v>2.89</v>
      </c>
      <c r="C27" s="100">
        <v>4.75</v>
      </c>
      <c r="D27" s="100">
        <v>1.85</v>
      </c>
      <c r="E27" s="100">
        <v>4.96</v>
      </c>
      <c r="F27" s="100">
        <v>2.25</v>
      </c>
      <c r="G27" s="100">
        <v>5.5</v>
      </c>
      <c r="H27" s="100">
        <v>2.77</v>
      </c>
      <c r="I27" s="100">
        <v>3.04</v>
      </c>
      <c r="J27" s="100">
        <v>0.34</v>
      </c>
      <c r="K27" s="100">
        <v>253.81</v>
      </c>
      <c r="L27" s="100">
        <v>22.92</v>
      </c>
      <c r="M27" s="100">
        <v>100.43</v>
      </c>
      <c r="N27" s="100">
        <v>2.5</v>
      </c>
      <c r="O27" s="100">
        <v>1.8</v>
      </c>
      <c r="P27" s="100">
        <v>0.09</v>
      </c>
      <c r="Q27" s="100">
        <v>9.91</v>
      </c>
      <c r="R27" s="6"/>
      <c r="S27" s="6"/>
      <c r="T27" s="156"/>
      <c r="U27" s="6"/>
    </row>
    <row r="28" spans="1:21" customFormat="1">
      <c r="A28" s="163" t="s">
        <v>1027</v>
      </c>
      <c r="B28" s="100">
        <v>2.92</v>
      </c>
      <c r="C28" s="100">
        <v>4.78</v>
      </c>
      <c r="D28" s="100">
        <v>1.87</v>
      </c>
      <c r="E28" s="100">
        <v>4.8899999999999997</v>
      </c>
      <c r="F28" s="100">
        <v>1.36</v>
      </c>
      <c r="G28" s="100">
        <v>5.5</v>
      </c>
      <c r="H28" s="100">
        <v>2.77</v>
      </c>
      <c r="I28" s="100">
        <v>3.02</v>
      </c>
      <c r="J28" s="100">
        <v>0.17</v>
      </c>
      <c r="K28" s="100">
        <v>203.93</v>
      </c>
      <c r="L28" s="100">
        <v>22.93</v>
      </c>
      <c r="M28" s="100">
        <v>100.45</v>
      </c>
      <c r="N28" s="100">
        <v>2.5</v>
      </c>
      <c r="O28" s="100">
        <v>0.4</v>
      </c>
      <c r="P28" s="100">
        <v>0.09</v>
      </c>
      <c r="Q28" s="100">
        <v>9.9</v>
      </c>
      <c r="R28" s="6"/>
      <c r="S28" s="6"/>
      <c r="T28" s="156"/>
      <c r="U28" s="6"/>
    </row>
    <row r="29" spans="1:21" customFormat="1">
      <c r="A29" s="163" t="s">
        <v>1028</v>
      </c>
      <c r="B29" s="100">
        <v>2.94</v>
      </c>
      <c r="C29" s="100">
        <v>4.79</v>
      </c>
      <c r="D29" s="100">
        <v>1.85</v>
      </c>
      <c r="E29" s="100">
        <v>4.83</v>
      </c>
      <c r="F29" s="100">
        <v>2.4500000000000002</v>
      </c>
      <c r="G29" s="100">
        <v>5.5</v>
      </c>
      <c r="H29" s="100">
        <v>2.77</v>
      </c>
      <c r="I29" s="100">
        <v>3.1</v>
      </c>
      <c r="J29" s="100">
        <v>0.17</v>
      </c>
      <c r="K29" s="100">
        <v>284.85000000000002</v>
      </c>
      <c r="L29" s="100">
        <v>22.92</v>
      </c>
      <c r="M29" s="100">
        <v>100.45</v>
      </c>
      <c r="N29" s="100">
        <v>2.5</v>
      </c>
      <c r="O29" s="100">
        <v>0.4</v>
      </c>
      <c r="P29" s="100">
        <v>0.09</v>
      </c>
      <c r="Q29" s="100">
        <v>9.91</v>
      </c>
      <c r="R29" s="6"/>
      <c r="S29" s="6"/>
      <c r="T29" s="156"/>
      <c r="U29" s="6"/>
    </row>
    <row r="30" spans="1:21" customFormat="1">
      <c r="A30" s="163" t="s">
        <v>1029</v>
      </c>
      <c r="B30" s="100">
        <v>2.94</v>
      </c>
      <c r="C30" s="100">
        <v>4.8099999999999996</v>
      </c>
      <c r="D30" s="100">
        <v>1.87</v>
      </c>
      <c r="E30" s="100">
        <v>5.26</v>
      </c>
      <c r="F30" s="100">
        <v>1.05</v>
      </c>
      <c r="G30" s="100">
        <v>5.45</v>
      </c>
      <c r="H30" s="100">
        <v>2.84</v>
      </c>
      <c r="I30" s="100">
        <v>3.13</v>
      </c>
      <c r="J30" s="100">
        <v>0.45</v>
      </c>
      <c r="K30" s="100">
        <v>257.70999999999998</v>
      </c>
      <c r="L30" s="100">
        <v>22.89</v>
      </c>
      <c r="M30" s="100">
        <v>100.45</v>
      </c>
      <c r="N30" s="100">
        <v>2.6</v>
      </c>
      <c r="O30" s="100">
        <v>0.2</v>
      </c>
      <c r="P30" s="100">
        <v>0.09</v>
      </c>
      <c r="Q30" s="100">
        <v>9.92</v>
      </c>
      <c r="R30" s="6"/>
      <c r="S30" s="6"/>
      <c r="T30" s="156"/>
      <c r="U30" s="6"/>
    </row>
    <row r="31" spans="1:21" customFormat="1">
      <c r="A31" s="163" t="s">
        <v>1030</v>
      </c>
      <c r="B31" s="100">
        <v>2.95</v>
      </c>
      <c r="C31" s="100">
        <v>4.8099999999999996</v>
      </c>
      <c r="D31" s="100">
        <v>1.86</v>
      </c>
      <c r="E31" s="100">
        <v>5</v>
      </c>
      <c r="F31" s="100">
        <v>2.23</v>
      </c>
      <c r="G31" s="100">
        <v>4.09</v>
      </c>
      <c r="H31" s="100">
        <v>5.38</v>
      </c>
      <c r="I31" s="100">
        <v>3.08</v>
      </c>
      <c r="J31" s="100">
        <v>0.24</v>
      </c>
      <c r="K31" s="100">
        <v>246.16</v>
      </c>
      <c r="L31" s="100">
        <v>22.92</v>
      </c>
      <c r="M31" s="100">
        <v>100.45</v>
      </c>
      <c r="N31" s="100">
        <v>2.6</v>
      </c>
      <c r="O31" s="100">
        <v>0.4</v>
      </c>
      <c r="P31" s="100">
        <v>0.09</v>
      </c>
      <c r="Q31" s="100">
        <v>9.94</v>
      </c>
      <c r="R31" s="6"/>
      <c r="S31" s="6"/>
      <c r="T31" s="156"/>
      <c r="U31" s="6"/>
    </row>
    <row r="32" spans="1:21" customFormat="1">
      <c r="A32" s="163" t="s">
        <v>1031</v>
      </c>
      <c r="B32" s="100">
        <v>2.97</v>
      </c>
      <c r="C32" s="100">
        <v>4.84</v>
      </c>
      <c r="D32" s="100">
        <v>1.87</v>
      </c>
      <c r="E32" s="100">
        <v>5.18</v>
      </c>
      <c r="F32" s="100">
        <v>0.97</v>
      </c>
      <c r="G32" s="100">
        <v>4.09</v>
      </c>
      <c r="H32" s="100">
        <v>5.38</v>
      </c>
      <c r="I32" s="100">
        <v>3.15</v>
      </c>
      <c r="J32" s="100">
        <v>0.5</v>
      </c>
      <c r="K32" s="100">
        <v>263.61</v>
      </c>
      <c r="L32" s="100">
        <v>22.93</v>
      </c>
      <c r="M32" s="100">
        <v>100.46</v>
      </c>
      <c r="N32" s="100">
        <v>4.2</v>
      </c>
      <c r="O32" s="100">
        <v>0.4</v>
      </c>
      <c r="P32" s="100">
        <v>0.09</v>
      </c>
      <c r="Q32" s="100">
        <v>9.94</v>
      </c>
      <c r="R32" s="6"/>
      <c r="S32" s="6"/>
      <c r="T32" s="156"/>
      <c r="U32" s="6"/>
    </row>
    <row r="33" spans="1:21" customFormat="1">
      <c r="A33" s="163" t="s">
        <v>1032</v>
      </c>
      <c r="B33" s="100">
        <v>2.98</v>
      </c>
      <c r="C33" s="100">
        <v>4.84</v>
      </c>
      <c r="D33" s="100">
        <v>1.86</v>
      </c>
      <c r="E33" s="100">
        <v>4.97</v>
      </c>
      <c r="F33" s="100">
        <v>2.2999999999999998</v>
      </c>
      <c r="G33" s="100">
        <v>4.09</v>
      </c>
      <c r="H33" s="100">
        <v>5.38</v>
      </c>
      <c r="I33" s="100">
        <v>3.13</v>
      </c>
      <c r="J33" s="100">
        <v>0.66</v>
      </c>
      <c r="K33" s="100">
        <v>262.58</v>
      </c>
      <c r="L33" s="100">
        <v>22.92</v>
      </c>
      <c r="M33" s="100">
        <v>100.47</v>
      </c>
      <c r="N33" s="100">
        <v>6.2</v>
      </c>
      <c r="O33" s="100">
        <v>0.2</v>
      </c>
      <c r="P33" s="100">
        <v>0.08</v>
      </c>
      <c r="Q33" s="100">
        <v>9.93</v>
      </c>
      <c r="R33" s="6"/>
      <c r="S33" s="6"/>
      <c r="T33" s="156"/>
      <c r="U33" s="6"/>
    </row>
    <row r="34" spans="1:21" customFormat="1">
      <c r="A34" s="163" t="s">
        <v>1033</v>
      </c>
      <c r="B34" s="100">
        <v>2.98</v>
      </c>
      <c r="C34" s="100">
        <v>4.8499999999999996</v>
      </c>
      <c r="D34" s="100">
        <v>1.87</v>
      </c>
      <c r="E34" s="100">
        <v>5.07</v>
      </c>
      <c r="F34" s="100">
        <v>1.1299999999999999</v>
      </c>
      <c r="G34" s="100">
        <v>4.12</v>
      </c>
      <c r="H34" s="100">
        <v>5.37</v>
      </c>
      <c r="I34" s="100">
        <v>3.16</v>
      </c>
      <c r="J34" s="100">
        <v>0.61</v>
      </c>
      <c r="K34" s="100">
        <v>261.8</v>
      </c>
      <c r="L34" s="100">
        <v>22.95</v>
      </c>
      <c r="M34" s="100">
        <v>100.48</v>
      </c>
      <c r="N34" s="100">
        <v>8.5</v>
      </c>
      <c r="O34" s="100">
        <v>0.8</v>
      </c>
      <c r="P34" s="100">
        <v>0.09</v>
      </c>
      <c r="Q34" s="100">
        <v>9.94</v>
      </c>
      <c r="R34" s="6"/>
      <c r="S34" s="6"/>
      <c r="T34" s="156"/>
      <c r="U34" s="6"/>
    </row>
    <row r="35" spans="1:21" customFormat="1">
      <c r="A35" s="163" t="s">
        <v>1034</v>
      </c>
      <c r="B35" s="100">
        <v>2.97</v>
      </c>
      <c r="C35" s="100">
        <v>4.84</v>
      </c>
      <c r="D35" s="100">
        <v>1.87</v>
      </c>
      <c r="E35" s="100">
        <v>4.91</v>
      </c>
      <c r="F35" s="100">
        <v>1.98</v>
      </c>
      <c r="G35" s="100">
        <v>5.14</v>
      </c>
      <c r="H35" s="100">
        <v>4.92</v>
      </c>
      <c r="I35" s="100">
        <v>3.02</v>
      </c>
      <c r="J35" s="100">
        <v>0.76</v>
      </c>
      <c r="K35" s="100">
        <v>259</v>
      </c>
      <c r="L35" s="100">
        <v>22.96</v>
      </c>
      <c r="M35" s="100">
        <v>100.48</v>
      </c>
      <c r="N35" s="100">
        <v>12.8</v>
      </c>
      <c r="O35" s="100">
        <v>0.2</v>
      </c>
      <c r="P35" s="100">
        <v>0.09</v>
      </c>
      <c r="Q35" s="100">
        <v>9.94</v>
      </c>
      <c r="R35" s="6"/>
      <c r="S35" s="6"/>
      <c r="T35" s="156"/>
      <c r="U35" s="6"/>
    </row>
    <row r="36" spans="1:21" customFormat="1">
      <c r="A36" s="163" t="s">
        <v>1035</v>
      </c>
      <c r="B36" s="100">
        <v>2.95</v>
      </c>
      <c r="C36" s="100">
        <v>4.8600000000000003</v>
      </c>
      <c r="D36" s="100">
        <v>1.91</v>
      </c>
      <c r="E36" s="100">
        <v>5.08</v>
      </c>
      <c r="F36" s="100">
        <v>2.3199999999999998</v>
      </c>
      <c r="G36" s="100">
        <v>5.14</v>
      </c>
      <c r="H36" s="100">
        <v>4.92</v>
      </c>
      <c r="I36" s="100">
        <v>3.26</v>
      </c>
      <c r="J36" s="100">
        <v>0.83</v>
      </c>
      <c r="K36" s="100">
        <v>260.26</v>
      </c>
      <c r="L36" s="100">
        <v>23.01</v>
      </c>
      <c r="M36" s="100">
        <v>100.5</v>
      </c>
      <c r="N36" s="100">
        <v>13.7</v>
      </c>
      <c r="O36" s="100">
        <v>0</v>
      </c>
      <c r="P36" s="100">
        <v>0.09</v>
      </c>
      <c r="Q36" s="100">
        <v>9.94</v>
      </c>
      <c r="R36" s="6"/>
      <c r="S36" s="6"/>
      <c r="T36" s="156"/>
      <c r="U36" s="6"/>
    </row>
    <row r="37" spans="1:21" customFormat="1">
      <c r="A37" s="163" t="s">
        <v>1036</v>
      </c>
      <c r="B37" s="100">
        <v>2.89</v>
      </c>
      <c r="C37" s="100">
        <v>4.82</v>
      </c>
      <c r="D37" s="100">
        <v>1.93</v>
      </c>
      <c r="E37" s="100">
        <v>4.99</v>
      </c>
      <c r="F37" s="100">
        <v>2.54</v>
      </c>
      <c r="G37" s="100">
        <v>5.14</v>
      </c>
      <c r="H37" s="100">
        <v>4.92</v>
      </c>
      <c r="I37" s="100">
        <v>3.21</v>
      </c>
      <c r="J37" s="100">
        <v>0.76</v>
      </c>
      <c r="K37" s="100">
        <v>257.18</v>
      </c>
      <c r="L37" s="100">
        <v>22.99</v>
      </c>
      <c r="M37" s="100">
        <v>100.5</v>
      </c>
      <c r="N37" s="100">
        <v>12.4</v>
      </c>
      <c r="O37" s="100">
        <v>0.6</v>
      </c>
      <c r="P37" s="100">
        <v>0.1</v>
      </c>
      <c r="Q37" s="100">
        <v>9.92</v>
      </c>
      <c r="R37" s="6"/>
      <c r="S37" s="6"/>
      <c r="T37" s="156"/>
      <c r="U37" s="6"/>
    </row>
    <row r="38" spans="1:21" customFormat="1">
      <c r="A38" s="163" t="s">
        <v>1037</v>
      </c>
      <c r="B38" s="100">
        <v>2.84</v>
      </c>
      <c r="C38" s="100">
        <v>4.78</v>
      </c>
      <c r="D38" s="100">
        <v>1.94</v>
      </c>
      <c r="E38" s="100">
        <v>5.1100000000000003</v>
      </c>
      <c r="F38" s="100">
        <v>2.44</v>
      </c>
      <c r="G38" s="100">
        <v>5.09</v>
      </c>
      <c r="H38" s="100">
        <v>4.88</v>
      </c>
      <c r="I38" s="100">
        <v>3.19</v>
      </c>
      <c r="J38" s="100">
        <v>0.74</v>
      </c>
      <c r="K38" s="100">
        <v>261.27999999999997</v>
      </c>
      <c r="L38" s="100">
        <v>22.75</v>
      </c>
      <c r="M38" s="100">
        <v>100.52</v>
      </c>
      <c r="N38" s="100">
        <v>15.5</v>
      </c>
      <c r="O38" s="100">
        <v>4.4000000000000004</v>
      </c>
      <c r="P38" s="100">
        <v>0.1</v>
      </c>
      <c r="Q38" s="100">
        <v>9.92</v>
      </c>
      <c r="R38" s="6"/>
      <c r="S38" s="6"/>
      <c r="T38" s="156"/>
      <c r="U38" s="6"/>
    </row>
    <row r="39" spans="1:21" customFormat="1">
      <c r="A39" s="163" t="s">
        <v>1038</v>
      </c>
      <c r="B39" s="100">
        <v>2.79</v>
      </c>
      <c r="C39" s="100">
        <v>4.74</v>
      </c>
      <c r="D39" s="100">
        <v>1.95</v>
      </c>
      <c r="E39" s="100">
        <v>5.17</v>
      </c>
      <c r="F39" s="100">
        <v>2.71</v>
      </c>
      <c r="G39" s="100">
        <v>3.75</v>
      </c>
      <c r="H39" s="100">
        <v>3.64</v>
      </c>
      <c r="I39" s="100">
        <v>3.13</v>
      </c>
      <c r="J39" s="100">
        <v>0.68</v>
      </c>
      <c r="K39" s="100">
        <v>255.91</v>
      </c>
      <c r="L39" s="100">
        <v>22.73</v>
      </c>
      <c r="M39" s="100">
        <v>100.53</v>
      </c>
      <c r="N39" s="100">
        <v>17.7</v>
      </c>
      <c r="O39" s="100">
        <v>0.2</v>
      </c>
      <c r="P39" s="100">
        <v>0.1</v>
      </c>
      <c r="Q39" s="100">
        <v>9.92</v>
      </c>
      <c r="R39" s="6"/>
      <c r="S39" s="6"/>
      <c r="T39" s="156"/>
      <c r="U39" s="6"/>
    </row>
    <row r="40" spans="1:21" customFormat="1">
      <c r="A40" s="163" t="s">
        <v>1039</v>
      </c>
      <c r="B40" s="100">
        <v>2.75</v>
      </c>
      <c r="C40" s="100">
        <v>4.71</v>
      </c>
      <c r="D40" s="100">
        <v>1.96</v>
      </c>
      <c r="E40" s="100">
        <v>5.28</v>
      </c>
      <c r="F40" s="100">
        <v>2.19</v>
      </c>
      <c r="G40" s="100">
        <v>3.75</v>
      </c>
      <c r="H40" s="100">
        <v>3.64</v>
      </c>
      <c r="I40" s="100">
        <v>3.07</v>
      </c>
      <c r="J40" s="100">
        <v>1.02</v>
      </c>
      <c r="K40" s="100">
        <v>256.57</v>
      </c>
      <c r="L40" s="100">
        <v>22.78</v>
      </c>
      <c r="M40" s="100">
        <v>100.53</v>
      </c>
      <c r="N40" s="100">
        <v>60.8</v>
      </c>
      <c r="O40" s="100">
        <v>0.2</v>
      </c>
      <c r="P40" s="100">
        <v>0.09</v>
      </c>
      <c r="Q40" s="100">
        <v>9.91</v>
      </c>
      <c r="R40" s="6"/>
      <c r="S40" s="6"/>
      <c r="T40" s="156"/>
      <c r="U40" s="6"/>
    </row>
    <row r="41" spans="1:21" customFormat="1">
      <c r="A41" s="163" t="s">
        <v>1040</v>
      </c>
      <c r="B41" s="100">
        <v>2.73</v>
      </c>
      <c r="C41" s="100">
        <v>4.68</v>
      </c>
      <c r="D41" s="100">
        <v>1.95</v>
      </c>
      <c r="E41" s="100">
        <v>5.3</v>
      </c>
      <c r="F41" s="100">
        <v>2.2799999999999998</v>
      </c>
      <c r="G41" s="100">
        <v>3.75</v>
      </c>
      <c r="H41" s="100">
        <v>3.64</v>
      </c>
      <c r="I41" s="100">
        <v>3.03</v>
      </c>
      <c r="J41" s="100">
        <v>1.05</v>
      </c>
      <c r="K41" s="100">
        <v>262.60000000000002</v>
      </c>
      <c r="L41" s="100">
        <v>22.82</v>
      </c>
      <c r="M41" s="100">
        <v>100.53</v>
      </c>
      <c r="N41" s="100">
        <v>55.2</v>
      </c>
      <c r="O41" s="100">
        <v>0</v>
      </c>
      <c r="P41" s="100">
        <v>0.1</v>
      </c>
      <c r="Q41" s="100">
        <v>9.91</v>
      </c>
      <c r="R41" s="6"/>
      <c r="S41" s="6"/>
      <c r="T41" s="156"/>
      <c r="U41" s="6"/>
    </row>
    <row r="42" spans="1:21" customFormat="1">
      <c r="A42" s="163" t="s">
        <v>1041</v>
      </c>
      <c r="B42" s="100">
        <v>2.7</v>
      </c>
      <c r="C42" s="100">
        <v>4.6500000000000004</v>
      </c>
      <c r="D42" s="100">
        <v>1.95</v>
      </c>
      <c r="E42" s="100">
        <v>5.22</v>
      </c>
      <c r="F42" s="100">
        <v>2.34</v>
      </c>
      <c r="G42" s="100">
        <v>3.72</v>
      </c>
      <c r="H42" s="100">
        <v>3.61</v>
      </c>
      <c r="I42" s="100">
        <v>2.99</v>
      </c>
      <c r="J42" s="100">
        <v>0.94</v>
      </c>
      <c r="K42" s="100">
        <v>259.89</v>
      </c>
      <c r="L42" s="100">
        <v>22.86</v>
      </c>
      <c r="M42" s="100">
        <v>100.53</v>
      </c>
      <c r="N42" s="100">
        <v>65.5</v>
      </c>
      <c r="O42" s="100">
        <v>0</v>
      </c>
      <c r="P42" s="100">
        <v>0.09</v>
      </c>
      <c r="Q42" s="100">
        <v>9.91</v>
      </c>
      <c r="R42" s="6"/>
      <c r="S42" s="6"/>
      <c r="T42" s="156"/>
      <c r="U42" s="6"/>
    </row>
    <row r="43" spans="1:21" customFormat="1">
      <c r="A43" s="163" t="s">
        <v>1042</v>
      </c>
      <c r="B43" s="100">
        <v>2.68</v>
      </c>
      <c r="C43" s="100">
        <v>4.6399999999999997</v>
      </c>
      <c r="D43" s="100">
        <v>1.95</v>
      </c>
      <c r="E43" s="100">
        <v>5.27</v>
      </c>
      <c r="F43" s="100">
        <v>2.89</v>
      </c>
      <c r="G43" s="100">
        <v>2.98</v>
      </c>
      <c r="H43" s="100">
        <v>2.8</v>
      </c>
      <c r="I43" s="100">
        <v>2.96</v>
      </c>
      <c r="J43" s="100">
        <v>1.02</v>
      </c>
      <c r="K43" s="100">
        <v>262.07</v>
      </c>
      <c r="L43" s="100">
        <v>23.07</v>
      </c>
      <c r="M43" s="100">
        <v>100.55</v>
      </c>
      <c r="N43" s="100">
        <v>173.2</v>
      </c>
      <c r="O43" s="100">
        <v>0</v>
      </c>
      <c r="P43" s="100">
        <v>0.09</v>
      </c>
      <c r="Q43" s="100">
        <v>9.92</v>
      </c>
      <c r="R43" s="6"/>
      <c r="S43" s="6"/>
      <c r="T43" s="156"/>
      <c r="U43" s="6"/>
    </row>
    <row r="44" spans="1:21" customFormat="1">
      <c r="A44" s="163" t="s">
        <v>1043</v>
      </c>
      <c r="B44" s="100">
        <v>2.67</v>
      </c>
      <c r="C44" s="100">
        <v>4.62</v>
      </c>
      <c r="D44" s="100">
        <v>1.95</v>
      </c>
      <c r="E44" s="100">
        <v>5.0199999999999996</v>
      </c>
      <c r="F44" s="100">
        <v>2.69</v>
      </c>
      <c r="G44" s="100">
        <v>2.98</v>
      </c>
      <c r="H44" s="100">
        <v>2.8</v>
      </c>
      <c r="I44" s="100">
        <v>2.95</v>
      </c>
      <c r="J44" s="100">
        <v>0.88</v>
      </c>
      <c r="K44" s="100">
        <v>258.36</v>
      </c>
      <c r="L44" s="100">
        <v>23.54</v>
      </c>
      <c r="M44" s="100">
        <v>100.55</v>
      </c>
      <c r="N44" s="100">
        <v>219.9</v>
      </c>
      <c r="O44" s="100">
        <v>0</v>
      </c>
      <c r="P44" s="100">
        <v>0.1</v>
      </c>
      <c r="Q44" s="100">
        <v>9.92</v>
      </c>
      <c r="R44" s="6"/>
      <c r="S44" s="6"/>
      <c r="T44" s="156"/>
      <c r="U44" s="6"/>
    </row>
    <row r="45" spans="1:21" customFormat="1">
      <c r="A45" s="163" t="s">
        <v>1044</v>
      </c>
      <c r="B45" s="100">
        <v>2.67</v>
      </c>
      <c r="C45" s="100">
        <v>4.62</v>
      </c>
      <c r="D45" s="100">
        <v>1.95</v>
      </c>
      <c r="E45" s="100">
        <v>5.2</v>
      </c>
      <c r="F45" s="100">
        <v>2.64</v>
      </c>
      <c r="G45" s="100">
        <v>2.98</v>
      </c>
      <c r="H45" s="100">
        <v>2.8</v>
      </c>
      <c r="I45" s="100">
        <v>2.93</v>
      </c>
      <c r="J45" s="100">
        <v>0.8</v>
      </c>
      <c r="K45" s="100">
        <v>257.61</v>
      </c>
      <c r="L45" s="100">
        <v>23.88</v>
      </c>
      <c r="M45" s="100">
        <v>100.55</v>
      </c>
      <c r="N45" s="100">
        <v>185.8</v>
      </c>
      <c r="O45" s="100">
        <v>0</v>
      </c>
      <c r="P45" s="100">
        <v>0.1</v>
      </c>
      <c r="Q45" s="100">
        <v>9.92</v>
      </c>
      <c r="R45" s="6"/>
      <c r="S45" s="6"/>
      <c r="T45" s="156"/>
      <c r="U45" s="6"/>
    </row>
    <row r="46" spans="1:21" customFormat="1">
      <c r="A46" s="163" t="s">
        <v>1045</v>
      </c>
      <c r="B46" s="100">
        <v>2.66</v>
      </c>
      <c r="C46" s="100">
        <v>4.6100000000000003</v>
      </c>
      <c r="D46" s="100">
        <v>1.95</v>
      </c>
      <c r="E46" s="100">
        <v>5.45</v>
      </c>
      <c r="F46" s="100">
        <v>2.44</v>
      </c>
      <c r="G46" s="100">
        <v>2.97</v>
      </c>
      <c r="H46" s="100">
        <v>2.78</v>
      </c>
      <c r="I46" s="100">
        <v>2.92</v>
      </c>
      <c r="J46" s="100">
        <v>0.99</v>
      </c>
      <c r="K46" s="100">
        <v>260.22000000000003</v>
      </c>
      <c r="L46" s="100">
        <v>24.1</v>
      </c>
      <c r="M46" s="100">
        <v>100.57</v>
      </c>
      <c r="N46" s="100">
        <v>200</v>
      </c>
      <c r="O46" s="100">
        <v>0</v>
      </c>
      <c r="P46" s="100">
        <v>0.09</v>
      </c>
      <c r="Q46" s="100">
        <v>9.92</v>
      </c>
      <c r="R46" s="6"/>
      <c r="S46" s="6"/>
      <c r="T46" s="156"/>
      <c r="U46" s="6"/>
    </row>
    <row r="47" spans="1:21" customFormat="1">
      <c r="A47" s="163" t="s">
        <v>1046</v>
      </c>
      <c r="B47" s="100">
        <v>2.66</v>
      </c>
      <c r="C47" s="100">
        <v>4.5999999999999996</v>
      </c>
      <c r="D47" s="100">
        <v>1.94</v>
      </c>
      <c r="E47" s="100">
        <v>5.31</v>
      </c>
      <c r="F47" s="100">
        <v>2.73</v>
      </c>
      <c r="G47" s="100">
        <v>2.8</v>
      </c>
      <c r="H47" s="100">
        <v>2.17</v>
      </c>
      <c r="I47" s="100">
        <v>2.91</v>
      </c>
      <c r="J47" s="100">
        <v>1.23</v>
      </c>
      <c r="K47" s="100">
        <v>259.29000000000002</v>
      </c>
      <c r="L47" s="100">
        <v>24.08</v>
      </c>
      <c r="M47" s="100">
        <v>100.58</v>
      </c>
      <c r="N47" s="100">
        <v>161.4</v>
      </c>
      <c r="O47" s="100">
        <v>0</v>
      </c>
      <c r="P47" s="100">
        <v>0.1</v>
      </c>
      <c r="Q47" s="100">
        <v>9.91</v>
      </c>
      <c r="R47" s="6"/>
      <c r="S47" s="6"/>
      <c r="T47" s="156"/>
      <c r="U47" s="6"/>
    </row>
    <row r="48" spans="1:21" customFormat="1">
      <c r="A48" s="163" t="s">
        <v>1047</v>
      </c>
      <c r="B48" s="100">
        <v>2.66</v>
      </c>
      <c r="C48" s="100">
        <v>4.5999999999999996</v>
      </c>
      <c r="D48" s="100">
        <v>1.95</v>
      </c>
      <c r="E48" s="100">
        <v>5.19</v>
      </c>
      <c r="F48" s="100">
        <v>2.54</v>
      </c>
      <c r="G48" s="100">
        <v>2.8</v>
      </c>
      <c r="H48" s="100">
        <v>2.17</v>
      </c>
      <c r="I48" s="100">
        <v>2.91</v>
      </c>
      <c r="J48" s="100">
        <v>0.99</v>
      </c>
      <c r="K48" s="100">
        <v>261.89999999999998</v>
      </c>
      <c r="L48" s="100">
        <v>23.99</v>
      </c>
      <c r="M48" s="100">
        <v>100.61</v>
      </c>
      <c r="N48" s="100">
        <v>87.6</v>
      </c>
      <c r="O48" s="100">
        <v>0</v>
      </c>
      <c r="P48" s="100">
        <v>0.09</v>
      </c>
      <c r="Q48" s="100">
        <v>9.9</v>
      </c>
      <c r="R48" s="6"/>
      <c r="S48" s="6"/>
      <c r="T48" s="156"/>
      <c r="U48" s="6"/>
    </row>
    <row r="49" spans="1:21" customFormat="1">
      <c r="A49" s="163" t="s">
        <v>1048</v>
      </c>
      <c r="B49" s="100">
        <v>2.65</v>
      </c>
      <c r="C49" s="100">
        <v>4.5999999999999996</v>
      </c>
      <c r="D49" s="100">
        <v>1.94</v>
      </c>
      <c r="E49" s="100">
        <v>4.33</v>
      </c>
      <c r="F49" s="100">
        <v>2.29</v>
      </c>
      <c r="G49" s="100">
        <v>2.8</v>
      </c>
      <c r="H49" s="100">
        <v>2.17</v>
      </c>
      <c r="I49" s="100">
        <v>2.9</v>
      </c>
      <c r="J49" s="100">
        <v>0.79</v>
      </c>
      <c r="K49" s="100">
        <v>259.77</v>
      </c>
      <c r="L49" s="100">
        <v>24.02</v>
      </c>
      <c r="M49" s="100">
        <v>100.61</v>
      </c>
      <c r="N49" s="100">
        <v>72.3</v>
      </c>
      <c r="O49" s="100">
        <v>0</v>
      </c>
      <c r="P49" s="100">
        <v>0.1</v>
      </c>
      <c r="Q49" s="100">
        <v>9.91</v>
      </c>
      <c r="R49" s="6"/>
      <c r="S49" s="6"/>
      <c r="T49" s="156"/>
      <c r="U49" s="6"/>
    </row>
    <row r="50" spans="1:21" customFormat="1">
      <c r="A50" s="163" t="s">
        <v>1049</v>
      </c>
      <c r="B50" s="100">
        <v>2.65</v>
      </c>
      <c r="C50" s="100">
        <v>4.59</v>
      </c>
      <c r="D50" s="100">
        <v>1.95</v>
      </c>
      <c r="E50" s="100">
        <v>4.92</v>
      </c>
      <c r="F50" s="100">
        <v>2.2400000000000002</v>
      </c>
      <c r="G50" s="100">
        <v>2.79</v>
      </c>
      <c r="H50" s="100">
        <v>2.17</v>
      </c>
      <c r="I50" s="100">
        <v>2.9</v>
      </c>
      <c r="J50" s="100">
        <v>1.08</v>
      </c>
      <c r="K50" s="100">
        <v>258.83999999999997</v>
      </c>
      <c r="L50" s="100">
        <v>24.06</v>
      </c>
      <c r="M50" s="100">
        <v>99.43</v>
      </c>
      <c r="N50" s="100">
        <v>96</v>
      </c>
      <c r="O50" s="100">
        <v>0</v>
      </c>
      <c r="P50" s="100">
        <v>0.1</v>
      </c>
      <c r="Q50" s="100">
        <v>9.9</v>
      </c>
      <c r="R50" s="6"/>
      <c r="S50" s="6"/>
      <c r="T50" s="156"/>
      <c r="U50" s="6"/>
    </row>
    <row r="51" spans="1:21" customFormat="1">
      <c r="A51" s="163" t="s">
        <v>1050</v>
      </c>
      <c r="B51" s="100">
        <v>2.65</v>
      </c>
      <c r="C51" s="100">
        <v>4.59</v>
      </c>
      <c r="D51" s="100">
        <v>1.95</v>
      </c>
      <c r="E51" s="100">
        <v>5.09</v>
      </c>
      <c r="F51" s="100">
        <v>2.19</v>
      </c>
      <c r="G51" s="100">
        <v>2.4500000000000002</v>
      </c>
      <c r="H51" s="100">
        <v>1.96</v>
      </c>
      <c r="I51" s="100">
        <v>2.92</v>
      </c>
      <c r="J51" s="100">
        <v>0.99</v>
      </c>
      <c r="K51" s="100">
        <v>257.48</v>
      </c>
      <c r="L51" s="100">
        <v>24.17</v>
      </c>
      <c r="M51" s="100">
        <v>96.14</v>
      </c>
      <c r="N51" s="100">
        <v>102</v>
      </c>
      <c r="O51" s="100">
        <v>0</v>
      </c>
      <c r="P51" s="100">
        <v>0.1</v>
      </c>
      <c r="Q51" s="100">
        <v>9.89</v>
      </c>
      <c r="R51" s="6"/>
      <c r="S51" s="6"/>
      <c r="T51" s="156"/>
      <c r="U51" s="6"/>
    </row>
    <row r="52" spans="1:21" customFormat="1">
      <c r="A52" s="163" t="s">
        <v>1051</v>
      </c>
      <c r="B52" s="100">
        <v>2.63</v>
      </c>
      <c r="C52" s="100">
        <v>4.58</v>
      </c>
      <c r="D52" s="100">
        <v>1.95</v>
      </c>
      <c r="E52" s="100">
        <v>4.91</v>
      </c>
      <c r="F52" s="100">
        <v>2.78</v>
      </c>
      <c r="G52" s="100">
        <v>2.4500000000000002</v>
      </c>
      <c r="H52" s="100">
        <v>1.96</v>
      </c>
      <c r="I52" s="100">
        <v>2.92</v>
      </c>
      <c r="J52" s="100">
        <v>1.1599999999999999</v>
      </c>
      <c r="K52" s="100">
        <v>260.02999999999997</v>
      </c>
      <c r="L52" s="100">
        <v>24.14</v>
      </c>
      <c r="M52" s="100">
        <v>96.16</v>
      </c>
      <c r="N52" s="100">
        <v>104.9</v>
      </c>
      <c r="O52" s="100">
        <v>0</v>
      </c>
      <c r="P52" s="100">
        <v>0.1</v>
      </c>
      <c r="Q52" s="100">
        <v>9.91</v>
      </c>
      <c r="R52" s="6"/>
      <c r="S52" s="6"/>
      <c r="T52" s="156"/>
      <c r="U52" s="6"/>
    </row>
    <row r="53" spans="1:21" customFormat="1">
      <c r="A53" s="163" t="s">
        <v>1052</v>
      </c>
      <c r="B53" s="100">
        <v>2.64</v>
      </c>
      <c r="C53" s="100">
        <v>4.58</v>
      </c>
      <c r="D53" s="100">
        <v>1.94</v>
      </c>
      <c r="E53" s="100">
        <v>5.03</v>
      </c>
      <c r="F53" s="100">
        <v>2.75</v>
      </c>
      <c r="G53" s="100">
        <v>2.4500000000000002</v>
      </c>
      <c r="H53" s="100">
        <v>1.96</v>
      </c>
      <c r="I53" s="100">
        <v>2.89</v>
      </c>
      <c r="J53" s="100">
        <v>0.87</v>
      </c>
      <c r="K53" s="100">
        <v>261.72000000000003</v>
      </c>
      <c r="L53" s="100">
        <v>24.2</v>
      </c>
      <c r="M53" s="100">
        <v>95.58</v>
      </c>
      <c r="N53" s="100">
        <v>114.1</v>
      </c>
      <c r="O53" s="100">
        <v>0</v>
      </c>
      <c r="P53" s="100">
        <v>0.1</v>
      </c>
      <c r="Q53" s="100">
        <v>9.92</v>
      </c>
      <c r="R53" s="6"/>
      <c r="S53" s="6"/>
      <c r="T53" s="156"/>
      <c r="U53" s="6"/>
    </row>
    <row r="54" spans="1:21" customFormat="1">
      <c r="A54" s="163" t="s">
        <v>1053</v>
      </c>
      <c r="B54" s="100">
        <v>1.82</v>
      </c>
      <c r="C54" s="100">
        <v>3.33</v>
      </c>
      <c r="D54" s="100">
        <v>1.51</v>
      </c>
      <c r="E54" s="100">
        <v>4.99</v>
      </c>
      <c r="F54" s="100">
        <v>4.46</v>
      </c>
      <c r="G54" s="100">
        <v>2.4300000000000002</v>
      </c>
      <c r="H54" s="100">
        <v>1.95</v>
      </c>
      <c r="I54" s="100">
        <v>2.83</v>
      </c>
      <c r="J54" s="100">
        <v>0.76</v>
      </c>
      <c r="K54" s="100">
        <v>265.83</v>
      </c>
      <c r="L54" s="100">
        <v>24.37</v>
      </c>
      <c r="M54" s="100">
        <v>95.53</v>
      </c>
      <c r="N54" s="100">
        <v>120.3</v>
      </c>
      <c r="O54" s="100">
        <v>0</v>
      </c>
      <c r="P54" s="100">
        <v>0.11</v>
      </c>
      <c r="Q54" s="100">
        <v>9.91</v>
      </c>
      <c r="R54" s="6"/>
      <c r="S54" s="6"/>
      <c r="T54" s="156"/>
      <c r="U54" s="6"/>
    </row>
    <row r="55" spans="1:21" customFormat="1">
      <c r="A55" s="163" t="s">
        <v>1054</v>
      </c>
      <c r="B55" s="100">
        <v>0.1</v>
      </c>
      <c r="C55" s="100">
        <v>0.26</v>
      </c>
      <c r="D55" s="100">
        <v>0.15</v>
      </c>
      <c r="E55" s="100">
        <v>4.83</v>
      </c>
      <c r="F55" s="100">
        <v>4.78</v>
      </c>
      <c r="G55" s="100">
        <v>2.02</v>
      </c>
      <c r="H55" s="100">
        <v>1.6</v>
      </c>
      <c r="I55" s="100">
        <v>2.83</v>
      </c>
      <c r="J55" s="100">
        <v>0.75</v>
      </c>
      <c r="K55" s="100">
        <v>263</v>
      </c>
      <c r="L55" s="100">
        <v>24.58</v>
      </c>
      <c r="M55" s="100">
        <v>95.39</v>
      </c>
      <c r="N55" s="100">
        <v>143.69999999999999</v>
      </c>
      <c r="O55" s="100">
        <v>0</v>
      </c>
      <c r="P55" s="100">
        <v>0.12</v>
      </c>
      <c r="Q55" s="100">
        <v>9.91</v>
      </c>
      <c r="R55" s="6"/>
      <c r="S55" s="6"/>
      <c r="T55" s="156"/>
      <c r="U55" s="6"/>
    </row>
    <row r="56" spans="1:21" customFormat="1">
      <c r="A56" s="163" t="s">
        <v>1055</v>
      </c>
      <c r="B56" s="100">
        <v>0.19</v>
      </c>
      <c r="C56" s="100">
        <v>0.52</v>
      </c>
      <c r="D56" s="100">
        <v>0.33</v>
      </c>
      <c r="E56" s="100">
        <v>4.45</v>
      </c>
      <c r="F56" s="100">
        <v>5.62</v>
      </c>
      <c r="G56" s="100">
        <v>2.02</v>
      </c>
      <c r="H56" s="100">
        <v>1.6</v>
      </c>
      <c r="I56" s="100">
        <v>2.76</v>
      </c>
      <c r="J56" s="100">
        <v>0.71</v>
      </c>
      <c r="K56" s="100">
        <v>258.26</v>
      </c>
      <c r="L56" s="100">
        <v>24.74</v>
      </c>
      <c r="M56" s="100">
        <v>95.17</v>
      </c>
      <c r="N56" s="100">
        <v>135.30000000000001</v>
      </c>
      <c r="O56" s="100">
        <v>0</v>
      </c>
      <c r="P56" s="100">
        <v>0.12</v>
      </c>
      <c r="Q56" s="100">
        <v>9.92</v>
      </c>
      <c r="R56" s="6"/>
      <c r="S56" s="6"/>
      <c r="T56" s="156"/>
      <c r="U56" s="6"/>
    </row>
    <row r="57" spans="1:21" customFormat="1">
      <c r="A57" s="163" t="s">
        <v>1056</v>
      </c>
      <c r="B57" s="100">
        <v>0.16</v>
      </c>
      <c r="C57" s="100">
        <v>0.51</v>
      </c>
      <c r="D57" s="100">
        <v>0.35</v>
      </c>
      <c r="E57" s="100">
        <v>3.04</v>
      </c>
      <c r="F57" s="100">
        <v>19.23</v>
      </c>
      <c r="G57" s="100">
        <v>2.02</v>
      </c>
      <c r="H57" s="100">
        <v>1.6</v>
      </c>
      <c r="I57" s="100">
        <v>2.8</v>
      </c>
      <c r="J57" s="100">
        <v>0.72</v>
      </c>
      <c r="K57" s="100">
        <v>260.41000000000003</v>
      </c>
      <c r="L57" s="100">
        <v>24.82</v>
      </c>
      <c r="M57" s="100">
        <v>94.54</v>
      </c>
      <c r="N57" s="100">
        <v>136.1</v>
      </c>
      <c r="O57" s="100">
        <v>0</v>
      </c>
      <c r="P57" s="100">
        <v>0.11</v>
      </c>
      <c r="Q57" s="100">
        <v>9.93</v>
      </c>
      <c r="R57" s="6"/>
      <c r="S57" s="6"/>
      <c r="T57" s="156"/>
      <c r="U57" s="6"/>
    </row>
    <row r="58" spans="1:21" customFormat="1">
      <c r="A58" s="163" t="s">
        <v>1057</v>
      </c>
      <c r="B58" s="100">
        <v>123.12</v>
      </c>
      <c r="C58" s="100">
        <v>115.59</v>
      </c>
      <c r="D58" s="100">
        <v>0.35</v>
      </c>
      <c r="E58" s="100">
        <v>2.39</v>
      </c>
      <c r="F58" s="100">
        <v>14.55</v>
      </c>
      <c r="G58" s="100">
        <v>2.02</v>
      </c>
      <c r="H58" s="100">
        <v>1.6</v>
      </c>
      <c r="I58" s="100">
        <v>2.71</v>
      </c>
      <c r="J58" s="100">
        <v>0.59</v>
      </c>
      <c r="K58" s="100">
        <v>257.10000000000002</v>
      </c>
      <c r="L58" s="100">
        <v>24.98</v>
      </c>
      <c r="M58" s="100">
        <v>94.09</v>
      </c>
      <c r="N58" s="100">
        <v>162.19999999999999</v>
      </c>
      <c r="O58" s="100">
        <v>0</v>
      </c>
      <c r="P58" s="100">
        <v>0.1</v>
      </c>
      <c r="Q58" s="100">
        <v>9.93</v>
      </c>
      <c r="R58" s="6"/>
      <c r="S58" s="6"/>
      <c r="T58" s="156"/>
      <c r="U58" s="6"/>
    </row>
    <row r="59" spans="1:21" customFormat="1">
      <c r="A59" s="163" t="s">
        <v>1058</v>
      </c>
      <c r="B59" s="100">
        <v>0.12</v>
      </c>
      <c r="C59" s="100">
        <v>0.44</v>
      </c>
      <c r="D59" s="100">
        <v>0.31</v>
      </c>
      <c r="E59" s="100">
        <v>1.94</v>
      </c>
      <c r="F59" s="100">
        <v>21.87</v>
      </c>
      <c r="G59" s="100">
        <v>2.02</v>
      </c>
      <c r="H59" s="100">
        <v>1.6</v>
      </c>
      <c r="I59" s="100">
        <v>2.39</v>
      </c>
      <c r="J59" s="100">
        <v>0.77</v>
      </c>
      <c r="K59" s="100">
        <v>256.16000000000003</v>
      </c>
      <c r="L59" s="100">
        <v>25.05</v>
      </c>
      <c r="M59" s="100">
        <v>93.58</v>
      </c>
      <c r="N59" s="100">
        <v>183.9</v>
      </c>
      <c r="O59" s="100">
        <v>0</v>
      </c>
      <c r="P59" s="100">
        <v>0.09</v>
      </c>
      <c r="Q59" s="100">
        <v>9.92</v>
      </c>
      <c r="R59" s="6"/>
      <c r="S59" s="6"/>
      <c r="T59" s="156"/>
      <c r="U59" s="6"/>
    </row>
    <row r="60" spans="1:21" customFormat="1">
      <c r="A60" s="163" t="s">
        <v>1059</v>
      </c>
      <c r="B60" s="100">
        <v>0.2</v>
      </c>
      <c r="C60" s="100">
        <v>0.83</v>
      </c>
      <c r="D60" s="100">
        <v>0.8</v>
      </c>
      <c r="E60" s="100">
        <v>2.0099999999999998</v>
      </c>
      <c r="F60" s="100">
        <v>24.67</v>
      </c>
      <c r="G60" s="100">
        <v>2.02</v>
      </c>
      <c r="H60" s="100">
        <v>1.6</v>
      </c>
      <c r="I60" s="100">
        <v>2.4</v>
      </c>
      <c r="J60" s="100">
        <v>0.79</v>
      </c>
      <c r="K60" s="100">
        <v>257.64999999999998</v>
      </c>
      <c r="L60" s="100">
        <v>25.37</v>
      </c>
      <c r="M60" s="100">
        <v>92.69</v>
      </c>
      <c r="N60" s="100">
        <v>219.4</v>
      </c>
      <c r="O60" s="100">
        <v>0</v>
      </c>
      <c r="P60" s="100">
        <v>0.1</v>
      </c>
      <c r="Q60" s="100">
        <v>9.91</v>
      </c>
      <c r="R60" s="6"/>
      <c r="S60" s="6"/>
      <c r="T60" s="156"/>
      <c r="U60" s="6"/>
    </row>
    <row r="61" spans="1:21" customFormat="1">
      <c r="A61" s="163" t="s">
        <v>1060</v>
      </c>
      <c r="B61" s="100">
        <v>794.07</v>
      </c>
      <c r="C61" s="100">
        <v>610.92999999999995</v>
      </c>
      <c r="D61" s="100">
        <v>0.8</v>
      </c>
      <c r="E61" s="100">
        <v>2.2200000000000002</v>
      </c>
      <c r="F61" s="100">
        <v>19.46</v>
      </c>
      <c r="G61" s="100">
        <v>2.02</v>
      </c>
      <c r="H61" s="100">
        <v>1.6</v>
      </c>
      <c r="I61" s="100">
        <v>2.27</v>
      </c>
      <c r="J61" s="100">
        <v>0.97</v>
      </c>
      <c r="K61" s="100">
        <v>259.74</v>
      </c>
      <c r="L61" s="100">
        <v>25.47</v>
      </c>
      <c r="M61" s="100">
        <v>92.11</v>
      </c>
      <c r="N61" s="100">
        <v>214.6</v>
      </c>
      <c r="O61" s="100">
        <v>0</v>
      </c>
      <c r="P61" s="100">
        <v>0.09</v>
      </c>
      <c r="Q61" s="100">
        <v>9.89</v>
      </c>
      <c r="R61" s="6"/>
      <c r="S61" s="6"/>
      <c r="T61" s="156"/>
      <c r="U61" s="6"/>
    </row>
    <row r="62" spans="1:21" customFormat="1">
      <c r="A62" s="163" t="s">
        <v>1061</v>
      </c>
      <c r="B62" s="100">
        <v>4.1100000000000003</v>
      </c>
      <c r="C62" s="100">
        <v>24.43</v>
      </c>
      <c r="D62" s="100">
        <v>5.33</v>
      </c>
      <c r="E62" s="100">
        <v>2.12</v>
      </c>
      <c r="F62" s="100">
        <v>13.85</v>
      </c>
      <c r="G62" s="100">
        <v>2.02</v>
      </c>
      <c r="H62" s="100">
        <v>1.6</v>
      </c>
      <c r="I62" s="100">
        <v>1.89</v>
      </c>
      <c r="J62" s="100">
        <v>1.05</v>
      </c>
      <c r="K62" s="100">
        <v>256.85000000000002</v>
      </c>
      <c r="L62" s="100">
        <v>25.27</v>
      </c>
      <c r="M62" s="100">
        <v>91.66</v>
      </c>
      <c r="N62" s="100">
        <v>158.9</v>
      </c>
      <c r="O62" s="100">
        <v>0</v>
      </c>
      <c r="P62" s="100">
        <v>0.12</v>
      </c>
      <c r="Q62" s="100">
        <v>9.9</v>
      </c>
      <c r="R62" s="6"/>
      <c r="S62" s="6"/>
      <c r="T62" s="156"/>
      <c r="U62" s="6"/>
    </row>
    <row r="63" spans="1:21" customFormat="1">
      <c r="A63" s="163" t="s">
        <v>1062</v>
      </c>
      <c r="B63" s="100">
        <v>4.1100000000000003</v>
      </c>
      <c r="C63" s="100">
        <v>8.66</v>
      </c>
      <c r="D63" s="100">
        <v>5.08</v>
      </c>
      <c r="E63" s="100">
        <v>2.21</v>
      </c>
      <c r="F63" s="100">
        <v>12.26</v>
      </c>
      <c r="G63" s="100">
        <v>2.02</v>
      </c>
      <c r="H63" s="100">
        <v>1.6</v>
      </c>
      <c r="I63" s="100">
        <v>3.33</v>
      </c>
      <c r="J63" s="100">
        <v>1</v>
      </c>
      <c r="K63" s="100">
        <v>257.52999999999997</v>
      </c>
      <c r="L63" s="100">
        <v>24.65</v>
      </c>
      <c r="M63" s="100">
        <v>93.01</v>
      </c>
      <c r="N63" s="100">
        <v>109</v>
      </c>
      <c r="O63" s="100">
        <v>0</v>
      </c>
      <c r="P63" s="100">
        <v>0.16</v>
      </c>
      <c r="Q63" s="100">
        <v>9.9</v>
      </c>
      <c r="R63" s="6"/>
      <c r="S63" s="6"/>
      <c r="T63" s="156"/>
      <c r="U63" s="6"/>
    </row>
    <row r="64" spans="1:21" customFormat="1">
      <c r="A64" s="163" t="s">
        <v>1063</v>
      </c>
      <c r="B64" s="147" t="s">
        <v>14</v>
      </c>
      <c r="C64" s="147" t="s">
        <v>14</v>
      </c>
      <c r="D64" s="147" t="s">
        <v>14</v>
      </c>
      <c r="E64" s="100">
        <v>1.79</v>
      </c>
      <c r="F64" s="100">
        <v>14</v>
      </c>
      <c r="G64" s="100">
        <v>2.02</v>
      </c>
      <c r="H64" s="100">
        <v>1.6</v>
      </c>
      <c r="I64" s="100">
        <v>9.6</v>
      </c>
      <c r="J64" s="100">
        <v>1.21</v>
      </c>
      <c r="K64" s="100">
        <v>261.89</v>
      </c>
      <c r="L64" s="100">
        <v>24.73</v>
      </c>
      <c r="M64" s="100">
        <v>92.12</v>
      </c>
      <c r="N64" s="100">
        <v>250.4</v>
      </c>
      <c r="O64" s="100">
        <v>0</v>
      </c>
      <c r="P64" s="100">
        <v>0.13</v>
      </c>
      <c r="Q64" s="100">
        <v>9.92</v>
      </c>
      <c r="R64" s="6"/>
      <c r="S64" s="6"/>
      <c r="T64" s="156"/>
      <c r="U64" s="6"/>
    </row>
    <row r="65" spans="1:21" customFormat="1">
      <c r="A65" s="163" t="s">
        <v>1064</v>
      </c>
      <c r="B65" s="147" t="s">
        <v>14</v>
      </c>
      <c r="C65" s="147" t="s">
        <v>14</v>
      </c>
      <c r="D65" s="147" t="s">
        <v>14</v>
      </c>
      <c r="E65" s="100">
        <v>1.85</v>
      </c>
      <c r="F65" s="100">
        <v>11.32</v>
      </c>
      <c r="G65" s="100">
        <v>2.02</v>
      </c>
      <c r="H65" s="100">
        <v>1.6</v>
      </c>
      <c r="I65" s="100">
        <v>14.36</v>
      </c>
      <c r="J65" s="100">
        <v>0.97</v>
      </c>
      <c r="K65" s="100">
        <v>259.61</v>
      </c>
      <c r="L65" s="100">
        <v>25.45</v>
      </c>
      <c r="M65" s="100">
        <v>88.69</v>
      </c>
      <c r="N65" s="100">
        <v>225.2</v>
      </c>
      <c r="O65" s="100">
        <v>0</v>
      </c>
      <c r="P65" s="100">
        <v>0.11</v>
      </c>
      <c r="Q65" s="100">
        <v>9.93</v>
      </c>
      <c r="R65" s="6"/>
      <c r="S65" s="6"/>
      <c r="T65" s="156"/>
      <c r="U65" s="6"/>
    </row>
    <row r="66" spans="1:21" customFormat="1">
      <c r="A66" s="163" t="s">
        <v>1065</v>
      </c>
      <c r="B66" s="147" t="s">
        <v>14</v>
      </c>
      <c r="C66" s="147" t="s">
        <v>14</v>
      </c>
      <c r="D66" s="147" t="s">
        <v>14</v>
      </c>
      <c r="E66" s="100">
        <v>2.38</v>
      </c>
      <c r="F66" s="100">
        <v>5.33</v>
      </c>
      <c r="G66" s="100">
        <v>2.02</v>
      </c>
      <c r="H66" s="100">
        <v>1.6</v>
      </c>
      <c r="I66" s="100">
        <v>13.13</v>
      </c>
      <c r="J66" s="100">
        <v>0.76</v>
      </c>
      <c r="K66" s="100">
        <v>259.33</v>
      </c>
      <c r="L66" s="100">
        <v>24.93</v>
      </c>
      <c r="M66" s="100">
        <v>90.8</v>
      </c>
      <c r="N66" s="100">
        <v>80.8</v>
      </c>
      <c r="O66" s="100">
        <v>0</v>
      </c>
      <c r="P66" s="100">
        <v>0.14000000000000001</v>
      </c>
      <c r="Q66" s="100">
        <v>9.92</v>
      </c>
      <c r="R66" s="6"/>
      <c r="S66" s="6"/>
      <c r="T66" s="156"/>
      <c r="U66" s="6"/>
    </row>
    <row r="67" spans="1:21" customFormat="1">
      <c r="A67" s="163" t="s">
        <v>1066</v>
      </c>
      <c r="B67" s="147" t="s">
        <v>14</v>
      </c>
      <c r="C67" s="147" t="s">
        <v>14</v>
      </c>
      <c r="D67" s="147" t="s">
        <v>14</v>
      </c>
      <c r="E67" s="100">
        <v>2.4900000000000002</v>
      </c>
      <c r="F67" s="100">
        <v>10.87</v>
      </c>
      <c r="G67" s="100">
        <v>2.02</v>
      </c>
      <c r="H67" s="100">
        <v>1.6</v>
      </c>
      <c r="I67" s="100">
        <v>11.12</v>
      </c>
      <c r="J67" s="100">
        <v>0.81</v>
      </c>
      <c r="K67" s="100">
        <v>257.37</v>
      </c>
      <c r="L67" s="100">
        <v>24.93</v>
      </c>
      <c r="M67" s="100">
        <v>91.2</v>
      </c>
      <c r="N67" s="100">
        <v>157.9</v>
      </c>
      <c r="O67" s="100">
        <v>0</v>
      </c>
      <c r="P67" s="100">
        <v>0.12</v>
      </c>
      <c r="Q67" s="100">
        <v>9.92</v>
      </c>
      <c r="R67" s="6"/>
      <c r="S67" s="6"/>
      <c r="T67" s="156"/>
      <c r="U67" s="6"/>
    </row>
    <row r="68" spans="1:21" customFormat="1">
      <c r="A68" s="163" t="s">
        <v>1067</v>
      </c>
      <c r="B68" s="147" t="s">
        <v>14</v>
      </c>
      <c r="C68" s="147" t="s">
        <v>14</v>
      </c>
      <c r="D68" s="147" t="s">
        <v>14</v>
      </c>
      <c r="E68" s="100">
        <v>2.2799999999999998</v>
      </c>
      <c r="F68" s="100">
        <v>12.1</v>
      </c>
      <c r="G68" s="100">
        <v>2.02</v>
      </c>
      <c r="H68" s="100">
        <v>1.6</v>
      </c>
      <c r="I68" s="100">
        <v>10.199999999999999</v>
      </c>
      <c r="J68" s="100">
        <v>0.83</v>
      </c>
      <c r="K68" s="100">
        <v>263.54000000000002</v>
      </c>
      <c r="L68" s="100">
        <v>25.67</v>
      </c>
      <c r="M68" s="100">
        <v>88.11</v>
      </c>
      <c r="N68" s="100">
        <v>205.6</v>
      </c>
      <c r="O68" s="100">
        <v>0</v>
      </c>
      <c r="P68" s="100">
        <v>0.1</v>
      </c>
      <c r="Q68" s="100">
        <v>9.93</v>
      </c>
      <c r="R68" s="6"/>
      <c r="S68" s="6"/>
      <c r="T68" s="156"/>
      <c r="U68" s="6"/>
    </row>
    <row r="69" spans="1:21" customFormat="1">
      <c r="A69" s="163" t="s">
        <v>1068</v>
      </c>
      <c r="B69" s="147" t="s">
        <v>14</v>
      </c>
      <c r="C69" s="147" t="s">
        <v>14</v>
      </c>
      <c r="D69" s="147" t="s">
        <v>14</v>
      </c>
      <c r="E69" s="100">
        <v>2.25</v>
      </c>
      <c r="F69" s="100">
        <v>9.1199999999999992</v>
      </c>
      <c r="G69" s="100">
        <v>2.02</v>
      </c>
      <c r="H69" s="100">
        <v>1.6</v>
      </c>
      <c r="I69" s="100">
        <v>8.42</v>
      </c>
      <c r="J69" s="100">
        <v>1.1200000000000001</v>
      </c>
      <c r="K69" s="100">
        <v>260.05</v>
      </c>
      <c r="L69" s="100">
        <v>25.53</v>
      </c>
      <c r="M69" s="100">
        <v>87.31</v>
      </c>
      <c r="N69" s="100">
        <v>84.7</v>
      </c>
      <c r="O69" s="100">
        <v>0</v>
      </c>
      <c r="P69" s="100">
        <v>0.12</v>
      </c>
      <c r="Q69" s="100">
        <v>9.9</v>
      </c>
      <c r="R69" s="6"/>
      <c r="S69" s="6"/>
      <c r="T69" s="156"/>
      <c r="U69" s="6"/>
    </row>
    <row r="70" spans="1:21" customFormat="1">
      <c r="A70" s="163" t="s">
        <v>1069</v>
      </c>
      <c r="B70" s="147" t="s">
        <v>14</v>
      </c>
      <c r="C70" s="147" t="s">
        <v>14</v>
      </c>
      <c r="D70" s="147" t="s">
        <v>14</v>
      </c>
      <c r="E70" s="100">
        <v>2.4</v>
      </c>
      <c r="F70" s="100">
        <v>13.16</v>
      </c>
      <c r="G70" s="100">
        <v>2.02</v>
      </c>
      <c r="H70" s="100">
        <v>1.6</v>
      </c>
      <c r="I70" s="100">
        <v>7.29</v>
      </c>
      <c r="J70" s="100">
        <v>0.96</v>
      </c>
      <c r="K70" s="100">
        <v>258.87</v>
      </c>
      <c r="L70" s="100">
        <v>25.53</v>
      </c>
      <c r="M70" s="100">
        <v>88.72</v>
      </c>
      <c r="N70" s="100">
        <v>89.5</v>
      </c>
      <c r="O70" s="100">
        <v>0</v>
      </c>
      <c r="P70" s="100">
        <v>0.1</v>
      </c>
      <c r="Q70" s="100">
        <v>9.92</v>
      </c>
      <c r="R70" s="6"/>
      <c r="S70" s="6"/>
      <c r="T70" s="156"/>
      <c r="U70" s="6"/>
    </row>
    <row r="71" spans="1:21" customFormat="1">
      <c r="A71" s="163" t="s">
        <v>1070</v>
      </c>
      <c r="B71" s="147" t="s">
        <v>14</v>
      </c>
      <c r="C71" s="147" t="s">
        <v>14</v>
      </c>
      <c r="D71" s="147" t="s">
        <v>14</v>
      </c>
      <c r="E71" s="100">
        <v>2.33</v>
      </c>
      <c r="F71" s="100">
        <v>13.06</v>
      </c>
      <c r="G71" s="100">
        <v>2.02</v>
      </c>
      <c r="H71" s="100">
        <v>1.6</v>
      </c>
      <c r="I71" s="100">
        <v>6.64</v>
      </c>
      <c r="J71" s="100">
        <v>0.9</v>
      </c>
      <c r="K71" s="100">
        <v>257.23</v>
      </c>
      <c r="L71" s="100">
        <v>25.52</v>
      </c>
      <c r="M71" s="100">
        <v>88.75</v>
      </c>
      <c r="N71" s="100">
        <v>65.099999999999994</v>
      </c>
      <c r="O71" s="100">
        <v>0</v>
      </c>
      <c r="P71" s="100">
        <v>0.08</v>
      </c>
      <c r="Q71" s="100">
        <v>9.93</v>
      </c>
      <c r="R71" s="6"/>
      <c r="S71" s="6"/>
      <c r="T71" s="156"/>
      <c r="U71" s="6"/>
    </row>
    <row r="72" spans="1:21" customFormat="1">
      <c r="A72" s="163" t="s">
        <v>1071</v>
      </c>
      <c r="B72" s="147" t="s">
        <v>14</v>
      </c>
      <c r="C72" s="147" t="s">
        <v>14</v>
      </c>
      <c r="D72" s="147" t="s">
        <v>14</v>
      </c>
      <c r="E72" s="100">
        <v>2.4300000000000002</v>
      </c>
      <c r="F72" s="100">
        <v>8.4</v>
      </c>
      <c r="G72" s="100">
        <v>0</v>
      </c>
      <c r="H72" s="100">
        <v>0</v>
      </c>
      <c r="I72" s="100">
        <v>5.53</v>
      </c>
      <c r="J72" s="100">
        <v>0.82</v>
      </c>
      <c r="K72" s="100">
        <v>256.42</v>
      </c>
      <c r="L72" s="100">
        <v>25.37</v>
      </c>
      <c r="M72" s="100">
        <v>89.2</v>
      </c>
      <c r="N72" s="100">
        <v>42.3</v>
      </c>
      <c r="O72" s="100">
        <v>0</v>
      </c>
      <c r="P72" s="100">
        <v>0.1</v>
      </c>
      <c r="Q72" s="100">
        <v>9.93</v>
      </c>
      <c r="R72" s="6"/>
      <c r="S72" s="6"/>
      <c r="T72" s="156"/>
      <c r="U72" s="6"/>
    </row>
    <row r="73" spans="1:21" customFormat="1">
      <c r="A73" s="163" t="s">
        <v>1072</v>
      </c>
      <c r="B73" s="147" t="s">
        <v>14</v>
      </c>
      <c r="C73" s="147" t="s">
        <v>14</v>
      </c>
      <c r="D73" s="147" t="s">
        <v>14</v>
      </c>
      <c r="E73" s="100">
        <v>2.5</v>
      </c>
      <c r="F73" s="100">
        <v>11.81</v>
      </c>
      <c r="G73" s="100">
        <v>0</v>
      </c>
      <c r="H73" s="100">
        <v>0</v>
      </c>
      <c r="I73" s="100">
        <v>5.01</v>
      </c>
      <c r="J73" s="100">
        <v>0.97</v>
      </c>
      <c r="K73" s="100">
        <v>260.51</v>
      </c>
      <c r="L73" s="100">
        <v>25.28</v>
      </c>
      <c r="M73" s="100">
        <v>89.79</v>
      </c>
      <c r="N73" s="100">
        <v>52.6</v>
      </c>
      <c r="O73" s="100">
        <v>0</v>
      </c>
      <c r="P73" s="100">
        <v>0.08</v>
      </c>
      <c r="Q73" s="100">
        <v>9.91</v>
      </c>
      <c r="R73" s="6"/>
      <c r="S73" s="6"/>
      <c r="T73" s="156"/>
      <c r="U73" s="6"/>
    </row>
    <row r="74" spans="1:21" customFormat="1">
      <c r="A74" s="163" t="s">
        <v>1073</v>
      </c>
      <c r="B74" s="147" t="s">
        <v>14</v>
      </c>
      <c r="C74" s="147" t="s">
        <v>14</v>
      </c>
      <c r="D74" s="147" t="s">
        <v>14</v>
      </c>
      <c r="E74" s="100">
        <v>2.29</v>
      </c>
      <c r="F74" s="100">
        <v>13.41</v>
      </c>
      <c r="G74" s="100">
        <v>0</v>
      </c>
      <c r="H74" s="100">
        <v>0</v>
      </c>
      <c r="I74" s="100">
        <v>4.82</v>
      </c>
      <c r="J74" s="100">
        <v>0.99</v>
      </c>
      <c r="K74" s="100">
        <v>259.52</v>
      </c>
      <c r="L74" s="100">
        <v>25.35</v>
      </c>
      <c r="M74" s="100">
        <v>89.42</v>
      </c>
      <c r="N74" s="100">
        <v>87.5</v>
      </c>
      <c r="O74" s="100">
        <v>0</v>
      </c>
      <c r="P74" s="100">
        <v>0.08</v>
      </c>
      <c r="Q74" s="100">
        <v>9.92</v>
      </c>
      <c r="R74" s="6"/>
      <c r="S74" s="6"/>
      <c r="T74" s="156"/>
      <c r="U74" s="6"/>
    </row>
    <row r="75" spans="1:21" customFormat="1">
      <c r="A75" s="163" t="s">
        <v>1074</v>
      </c>
      <c r="B75" s="147" t="s">
        <v>14</v>
      </c>
      <c r="C75" s="147" t="s">
        <v>14</v>
      </c>
      <c r="D75" s="147" t="s">
        <v>14</v>
      </c>
      <c r="E75" s="100">
        <v>2.06</v>
      </c>
      <c r="F75" s="100">
        <v>12.42</v>
      </c>
      <c r="G75" s="100">
        <v>0</v>
      </c>
      <c r="H75" s="100">
        <v>0</v>
      </c>
      <c r="I75" s="100">
        <v>4.2699999999999996</v>
      </c>
      <c r="J75" s="100">
        <v>1.07</v>
      </c>
      <c r="K75" s="100">
        <v>260.72000000000003</v>
      </c>
      <c r="L75" s="100">
        <v>25.39</v>
      </c>
      <c r="M75" s="100">
        <v>89.4</v>
      </c>
      <c r="N75" s="100">
        <v>66.900000000000006</v>
      </c>
      <c r="O75" s="100">
        <v>0</v>
      </c>
      <c r="P75" s="100">
        <v>0.09</v>
      </c>
      <c r="Q75" s="100">
        <v>9.93</v>
      </c>
      <c r="R75" s="6"/>
      <c r="S75" s="6"/>
      <c r="T75" s="156"/>
      <c r="U75" s="6"/>
    </row>
    <row r="76" spans="1:21" customFormat="1">
      <c r="A76" s="163" t="s">
        <v>1075</v>
      </c>
      <c r="B76" s="147" t="s">
        <v>14</v>
      </c>
      <c r="C76" s="147" t="s">
        <v>14</v>
      </c>
      <c r="D76" s="147" t="s">
        <v>14</v>
      </c>
      <c r="E76" s="100">
        <v>1.8</v>
      </c>
      <c r="F76" s="100">
        <v>10.210000000000001</v>
      </c>
      <c r="G76" s="100">
        <v>0.09</v>
      </c>
      <c r="H76" s="100">
        <v>1.63</v>
      </c>
      <c r="I76" s="100">
        <v>3.79</v>
      </c>
      <c r="J76" s="100">
        <v>0.76</v>
      </c>
      <c r="K76" s="100">
        <v>255.28</v>
      </c>
      <c r="L76" s="100">
        <v>25.31</v>
      </c>
      <c r="M76" s="100">
        <v>90.32</v>
      </c>
      <c r="N76" s="100">
        <v>66.8</v>
      </c>
      <c r="O76" s="100">
        <v>0</v>
      </c>
      <c r="P76" s="100">
        <v>0.1</v>
      </c>
      <c r="Q76" s="100">
        <v>9.93</v>
      </c>
      <c r="R76" s="6"/>
      <c r="S76" s="6"/>
      <c r="T76" s="156"/>
      <c r="U76" s="6"/>
    </row>
    <row r="77" spans="1:21" customFormat="1">
      <c r="A77" s="163" t="s">
        <v>1076</v>
      </c>
      <c r="B77" s="147" t="s">
        <v>14</v>
      </c>
      <c r="C77" s="147" t="s">
        <v>14</v>
      </c>
      <c r="D77" s="147" t="s">
        <v>14</v>
      </c>
      <c r="E77" s="100">
        <v>2.4300000000000002</v>
      </c>
      <c r="F77" s="100">
        <v>7.25</v>
      </c>
      <c r="G77" s="100">
        <v>0</v>
      </c>
      <c r="H77" s="100">
        <v>0</v>
      </c>
      <c r="I77" s="100">
        <v>3.48</v>
      </c>
      <c r="J77" s="100">
        <v>0.93</v>
      </c>
      <c r="K77" s="100">
        <v>260.05</v>
      </c>
      <c r="L77" s="100">
        <v>25.18</v>
      </c>
      <c r="M77" s="100">
        <v>91.2</v>
      </c>
      <c r="N77" s="100">
        <v>38.700000000000003</v>
      </c>
      <c r="O77" s="100">
        <v>0</v>
      </c>
      <c r="P77" s="100">
        <v>0.1</v>
      </c>
      <c r="Q77" s="100">
        <v>9.92</v>
      </c>
      <c r="R77" s="6"/>
      <c r="S77" s="6"/>
      <c r="T77" s="156"/>
      <c r="U77" s="6"/>
    </row>
    <row r="78" spans="1:21" customFormat="1">
      <c r="A78" s="163" t="s">
        <v>1077</v>
      </c>
      <c r="B78" s="147" t="s">
        <v>14</v>
      </c>
      <c r="C78" s="147" t="s">
        <v>14</v>
      </c>
      <c r="D78" s="147" t="s">
        <v>14</v>
      </c>
      <c r="E78" s="100">
        <v>2.65</v>
      </c>
      <c r="F78" s="100">
        <v>6.52</v>
      </c>
      <c r="G78" s="100">
        <v>0</v>
      </c>
      <c r="H78" s="100">
        <v>0</v>
      </c>
      <c r="I78" s="100">
        <v>3.15</v>
      </c>
      <c r="J78" s="100">
        <v>1.1399999999999999</v>
      </c>
      <c r="K78" s="100">
        <v>257.64999999999998</v>
      </c>
      <c r="L78" s="100">
        <v>24.97</v>
      </c>
      <c r="M78" s="100">
        <v>91.78</v>
      </c>
      <c r="N78" s="100">
        <v>32.299999999999997</v>
      </c>
      <c r="O78" s="100">
        <v>0</v>
      </c>
      <c r="P78" s="100">
        <v>0.11</v>
      </c>
      <c r="Q78" s="100">
        <v>9.92</v>
      </c>
      <c r="R78" s="6"/>
      <c r="S78" s="6"/>
      <c r="T78" s="156"/>
      <c r="U78" s="6"/>
    </row>
    <row r="79" spans="1:21" customFormat="1">
      <c r="A79" s="163" t="s">
        <v>1078</v>
      </c>
      <c r="B79" s="147" t="s">
        <v>14</v>
      </c>
      <c r="C79" s="147" t="s">
        <v>14</v>
      </c>
      <c r="D79" s="147" t="s">
        <v>14</v>
      </c>
      <c r="E79" s="100">
        <v>2.85</v>
      </c>
      <c r="F79" s="100">
        <v>5.68</v>
      </c>
      <c r="G79" s="100">
        <v>0</v>
      </c>
      <c r="H79" s="100">
        <v>0</v>
      </c>
      <c r="I79" s="100">
        <v>2.96</v>
      </c>
      <c r="J79" s="100">
        <v>0.76</v>
      </c>
      <c r="K79" s="100">
        <v>260.61</v>
      </c>
      <c r="L79" s="100">
        <v>24.73</v>
      </c>
      <c r="M79" s="100">
        <v>93.36</v>
      </c>
      <c r="N79" s="100">
        <v>16.3</v>
      </c>
      <c r="O79" s="100">
        <v>0</v>
      </c>
      <c r="P79" s="100">
        <v>0.11</v>
      </c>
      <c r="Q79" s="100">
        <v>9.93</v>
      </c>
      <c r="R79" s="6"/>
      <c r="S79" s="6"/>
      <c r="T79" s="156"/>
      <c r="U79" s="6"/>
    </row>
    <row r="80" spans="1:21" customFormat="1">
      <c r="A80" s="163" t="s">
        <v>1079</v>
      </c>
      <c r="B80" s="147" t="s">
        <v>14</v>
      </c>
      <c r="C80" s="147" t="s">
        <v>14</v>
      </c>
      <c r="D80" s="147" t="s">
        <v>14</v>
      </c>
      <c r="E80" s="100">
        <v>2.8</v>
      </c>
      <c r="F80" s="100">
        <v>5</v>
      </c>
      <c r="G80" s="100">
        <v>0.42</v>
      </c>
      <c r="H80" s="100">
        <v>2.16</v>
      </c>
      <c r="I80" s="100">
        <v>2.06</v>
      </c>
      <c r="J80" s="100">
        <v>0.99</v>
      </c>
      <c r="K80" s="100">
        <v>261.94</v>
      </c>
      <c r="L80" s="100">
        <v>24.56</v>
      </c>
      <c r="M80" s="100">
        <v>93.85</v>
      </c>
      <c r="N80" s="100">
        <v>7.9</v>
      </c>
      <c r="O80" s="100">
        <v>0</v>
      </c>
      <c r="P80" s="100">
        <v>0.12</v>
      </c>
      <c r="Q80" s="100">
        <v>9.92</v>
      </c>
      <c r="R80" s="6"/>
      <c r="S80" s="6"/>
      <c r="T80" s="156"/>
      <c r="U80" s="6"/>
    </row>
    <row r="81" spans="1:21" customFormat="1">
      <c r="A81" s="163" t="s">
        <v>1080</v>
      </c>
      <c r="B81" s="147" t="s">
        <v>14</v>
      </c>
      <c r="C81" s="147" t="s">
        <v>14</v>
      </c>
      <c r="D81" s="147" t="s">
        <v>14</v>
      </c>
      <c r="E81" s="100">
        <v>2.2599999999999998</v>
      </c>
      <c r="F81" s="100">
        <v>5.0599999999999996</v>
      </c>
      <c r="G81" s="100">
        <v>2.2000000000000002</v>
      </c>
      <c r="H81" s="100">
        <v>9.06</v>
      </c>
      <c r="I81" s="100">
        <v>2.2000000000000002</v>
      </c>
      <c r="J81" s="100">
        <v>0.83</v>
      </c>
      <c r="K81" s="100">
        <v>261.39</v>
      </c>
      <c r="L81" s="100">
        <v>24.44</v>
      </c>
      <c r="M81" s="100">
        <v>94.74</v>
      </c>
      <c r="N81" s="100">
        <v>4.5</v>
      </c>
      <c r="O81" s="100">
        <v>0.2</v>
      </c>
      <c r="P81" s="100">
        <v>0.12</v>
      </c>
      <c r="Q81" s="100">
        <v>9.91</v>
      </c>
      <c r="R81" s="6"/>
      <c r="S81" s="6"/>
      <c r="T81" s="156"/>
      <c r="U81" s="6"/>
    </row>
    <row r="82" spans="1:21" customFormat="1">
      <c r="A82" s="163" t="s">
        <v>1081</v>
      </c>
      <c r="B82" s="147" t="s">
        <v>14</v>
      </c>
      <c r="C82" s="147" t="s">
        <v>14</v>
      </c>
      <c r="D82" s="147" t="s">
        <v>14</v>
      </c>
      <c r="E82" s="100">
        <v>2.11</v>
      </c>
      <c r="F82" s="100">
        <v>7.02</v>
      </c>
      <c r="G82" s="100">
        <v>2.2000000000000002</v>
      </c>
      <c r="H82" s="100">
        <v>9.06</v>
      </c>
      <c r="I82" s="100">
        <v>2.8</v>
      </c>
      <c r="J82" s="100">
        <v>1.06</v>
      </c>
      <c r="K82" s="100">
        <v>257.07</v>
      </c>
      <c r="L82" s="100">
        <v>24.21</v>
      </c>
      <c r="M82" s="100">
        <v>97.23</v>
      </c>
      <c r="N82" s="100">
        <v>7.3</v>
      </c>
      <c r="O82" s="100">
        <v>0</v>
      </c>
      <c r="P82" s="100">
        <v>0.12</v>
      </c>
      <c r="Q82" s="100">
        <v>9.92</v>
      </c>
      <c r="R82" s="6"/>
      <c r="S82" s="6"/>
      <c r="T82" s="156"/>
      <c r="U82" s="6"/>
    </row>
    <row r="83" spans="1:21" customFormat="1">
      <c r="A83" s="163" t="s">
        <v>1082</v>
      </c>
      <c r="B83" s="147" t="s">
        <v>14</v>
      </c>
      <c r="C83" s="147" t="s">
        <v>14</v>
      </c>
      <c r="D83" s="147" t="s">
        <v>14</v>
      </c>
      <c r="E83" s="100">
        <v>2.2799999999999998</v>
      </c>
      <c r="F83" s="100">
        <v>8.1199999999999992</v>
      </c>
      <c r="G83" s="100">
        <v>2.2000000000000002</v>
      </c>
      <c r="H83" s="100">
        <v>9.06</v>
      </c>
      <c r="I83" s="100">
        <v>2.79</v>
      </c>
      <c r="J83" s="100">
        <v>0.72</v>
      </c>
      <c r="K83" s="100">
        <v>258.14</v>
      </c>
      <c r="L83" s="100">
        <v>24.19</v>
      </c>
      <c r="M83" s="100">
        <v>97.69</v>
      </c>
      <c r="N83" s="100">
        <v>4.5999999999999996</v>
      </c>
      <c r="O83" s="100">
        <v>0</v>
      </c>
      <c r="P83" s="100">
        <v>0.12</v>
      </c>
      <c r="Q83" s="100">
        <v>9.9</v>
      </c>
      <c r="R83" s="6"/>
      <c r="S83" s="6"/>
      <c r="T83" s="156"/>
      <c r="U83" s="6"/>
    </row>
    <row r="84" spans="1:21" customFormat="1">
      <c r="A84" s="163" t="s">
        <v>1083</v>
      </c>
      <c r="B84" s="147" t="s">
        <v>14</v>
      </c>
      <c r="C84" s="147" t="s">
        <v>14</v>
      </c>
      <c r="D84" s="147" t="s">
        <v>14</v>
      </c>
      <c r="E84" s="100">
        <v>1.69</v>
      </c>
      <c r="F84" s="100">
        <v>14.43</v>
      </c>
      <c r="G84" s="100">
        <v>2.56</v>
      </c>
      <c r="H84" s="100">
        <v>8.86</v>
      </c>
      <c r="I84" s="100">
        <v>2.76</v>
      </c>
      <c r="J84" s="100">
        <v>0.68</v>
      </c>
      <c r="K84" s="100">
        <v>257.27</v>
      </c>
      <c r="L84" s="100">
        <v>24.21</v>
      </c>
      <c r="M84" s="100">
        <v>98.01</v>
      </c>
      <c r="N84" s="100">
        <v>3</v>
      </c>
      <c r="O84" s="100">
        <v>0</v>
      </c>
      <c r="P84" s="100">
        <v>0.13</v>
      </c>
      <c r="Q84" s="100">
        <v>9.89</v>
      </c>
      <c r="R84" s="6"/>
      <c r="S84" s="6"/>
      <c r="T84" s="156"/>
      <c r="U84" s="6"/>
    </row>
    <row r="85" spans="1:21" customFormat="1">
      <c r="A85" s="163" t="s">
        <v>1084</v>
      </c>
      <c r="B85" s="100">
        <v>0.53</v>
      </c>
      <c r="C85" s="100">
        <v>1.6</v>
      </c>
      <c r="D85" s="100">
        <v>1.1499999999999999</v>
      </c>
      <c r="E85" s="100">
        <v>1.98</v>
      </c>
      <c r="F85" s="100">
        <v>4.78</v>
      </c>
      <c r="G85" s="100">
        <v>4.2300000000000004</v>
      </c>
      <c r="H85" s="100">
        <v>8.24</v>
      </c>
      <c r="I85" s="100">
        <v>2.73</v>
      </c>
      <c r="J85" s="100">
        <v>0.92</v>
      </c>
      <c r="K85" s="100">
        <v>259.98</v>
      </c>
      <c r="L85" s="100">
        <v>24.17</v>
      </c>
      <c r="M85" s="100">
        <v>98.08</v>
      </c>
      <c r="N85" s="100">
        <v>2.8</v>
      </c>
      <c r="O85" s="100">
        <v>0</v>
      </c>
      <c r="P85" s="100">
        <v>0.13</v>
      </c>
      <c r="Q85" s="100">
        <v>9.89</v>
      </c>
      <c r="R85" s="6"/>
      <c r="S85" s="6"/>
      <c r="T85" s="156"/>
      <c r="U85" s="6"/>
    </row>
    <row r="86" spans="1:21" customFormat="1">
      <c r="A86" s="163" t="s">
        <v>1085</v>
      </c>
      <c r="B86" s="100">
        <v>1.54</v>
      </c>
      <c r="C86" s="100">
        <v>4.0999999999999996</v>
      </c>
      <c r="D86" s="100">
        <v>2.56</v>
      </c>
      <c r="E86" s="100">
        <v>2.04</v>
      </c>
      <c r="F86" s="100">
        <v>10.06</v>
      </c>
      <c r="G86" s="100">
        <v>4.2300000000000004</v>
      </c>
      <c r="H86" s="100">
        <v>8.24</v>
      </c>
      <c r="I86" s="100">
        <v>2.87</v>
      </c>
      <c r="J86" s="100">
        <v>0.81</v>
      </c>
      <c r="K86" s="100">
        <v>256.82</v>
      </c>
      <c r="L86" s="100">
        <v>24.1</v>
      </c>
      <c r="M86" s="100">
        <v>98.29</v>
      </c>
      <c r="N86" s="100">
        <v>2.6</v>
      </c>
      <c r="O86" s="100">
        <v>0</v>
      </c>
      <c r="P86" s="100">
        <v>0.13</v>
      </c>
      <c r="Q86" s="100">
        <v>9.8800000000000008</v>
      </c>
      <c r="R86" s="6"/>
      <c r="S86" s="6"/>
      <c r="T86" s="156"/>
      <c r="U86" s="6"/>
    </row>
    <row r="87" spans="1:21" customFormat="1">
      <c r="A87" s="163" t="s">
        <v>1086</v>
      </c>
      <c r="B87" s="100">
        <v>1.42</v>
      </c>
      <c r="C87" s="100">
        <v>3.93</v>
      </c>
      <c r="D87" s="100">
        <v>2.5099999999999998</v>
      </c>
      <c r="E87" s="100">
        <v>1.79</v>
      </c>
      <c r="F87" s="100">
        <v>5.35</v>
      </c>
      <c r="G87" s="100">
        <v>4.2300000000000004</v>
      </c>
      <c r="H87" s="100">
        <v>8.24</v>
      </c>
      <c r="I87" s="100">
        <v>2.95</v>
      </c>
      <c r="J87" s="100">
        <v>0.77</v>
      </c>
      <c r="K87" s="100">
        <v>259.58999999999997</v>
      </c>
      <c r="L87" s="100">
        <v>24.04</v>
      </c>
      <c r="M87" s="100">
        <v>98.24</v>
      </c>
      <c r="N87" s="100">
        <v>2.5</v>
      </c>
      <c r="O87" s="100">
        <v>0</v>
      </c>
      <c r="P87" s="100">
        <v>0.13</v>
      </c>
      <c r="Q87" s="100">
        <v>9.8800000000000008</v>
      </c>
      <c r="R87" s="6"/>
      <c r="S87" s="6"/>
      <c r="T87" s="156"/>
      <c r="U87" s="6"/>
    </row>
    <row r="88" spans="1:21" customFormat="1">
      <c r="A88" s="163" t="s">
        <v>1087</v>
      </c>
      <c r="B88" s="100">
        <v>1.24</v>
      </c>
      <c r="C88" s="100">
        <v>3.73</v>
      </c>
      <c r="D88" s="100">
        <v>2.4900000000000002</v>
      </c>
      <c r="E88" s="100">
        <v>1.85</v>
      </c>
      <c r="F88" s="100">
        <v>4.07</v>
      </c>
      <c r="G88" s="100">
        <v>5.35</v>
      </c>
      <c r="H88" s="100">
        <v>7.06</v>
      </c>
      <c r="I88" s="100">
        <v>2.89</v>
      </c>
      <c r="J88" s="100">
        <v>0.62</v>
      </c>
      <c r="K88" s="100">
        <v>255.22</v>
      </c>
      <c r="L88" s="100">
        <v>24.02</v>
      </c>
      <c r="M88" s="100">
        <v>98.11</v>
      </c>
      <c r="N88" s="100">
        <v>2.4</v>
      </c>
      <c r="O88" s="100">
        <v>0</v>
      </c>
      <c r="P88" s="100">
        <v>0.14000000000000001</v>
      </c>
      <c r="Q88" s="100">
        <v>9.89</v>
      </c>
      <c r="R88" s="6"/>
      <c r="S88" s="6"/>
      <c r="T88" s="156"/>
      <c r="U88" s="6"/>
    </row>
    <row r="89" spans="1:21" customFormat="1">
      <c r="A89" s="163" t="s">
        <v>1088</v>
      </c>
      <c r="B89" s="100">
        <v>1.08</v>
      </c>
      <c r="C89" s="100">
        <v>3.53</v>
      </c>
      <c r="D89" s="100">
        <v>2.4500000000000002</v>
      </c>
      <c r="E89" s="100">
        <v>2.63</v>
      </c>
      <c r="F89" s="100">
        <v>2.2599999999999998</v>
      </c>
      <c r="G89" s="100">
        <v>10.16</v>
      </c>
      <c r="H89" s="100">
        <v>3.32</v>
      </c>
      <c r="I89" s="100">
        <v>2.72</v>
      </c>
      <c r="J89" s="100">
        <v>0.55000000000000004</v>
      </c>
      <c r="K89" s="100">
        <v>262.63</v>
      </c>
      <c r="L89" s="100">
        <v>24.1</v>
      </c>
      <c r="M89" s="100">
        <v>97.39</v>
      </c>
      <c r="N89" s="100">
        <v>2.5</v>
      </c>
      <c r="O89" s="100">
        <v>0</v>
      </c>
      <c r="P89" s="100">
        <v>0.13</v>
      </c>
      <c r="Q89" s="100">
        <v>9.9</v>
      </c>
      <c r="R89" s="6"/>
      <c r="S89" s="6"/>
      <c r="T89" s="156"/>
      <c r="U89" s="6"/>
    </row>
    <row r="90" spans="1:21" customFormat="1">
      <c r="A90" s="163" t="s">
        <v>1089</v>
      </c>
      <c r="B90" s="100">
        <v>0.97</v>
      </c>
      <c r="C90" s="100">
        <v>3.32</v>
      </c>
      <c r="D90" s="100">
        <v>2.35</v>
      </c>
      <c r="E90" s="100">
        <v>2.74</v>
      </c>
      <c r="F90" s="100">
        <v>2.2000000000000002</v>
      </c>
      <c r="G90" s="100">
        <v>10.16</v>
      </c>
      <c r="H90" s="100">
        <v>3.32</v>
      </c>
      <c r="I90" s="100">
        <v>2.14</v>
      </c>
      <c r="J90" s="100">
        <v>0.63</v>
      </c>
      <c r="K90" s="100">
        <v>262.91000000000003</v>
      </c>
      <c r="L90" s="100">
        <v>24.14</v>
      </c>
      <c r="M90" s="100">
        <v>97.15</v>
      </c>
      <c r="N90" s="100">
        <v>2.5</v>
      </c>
      <c r="O90" s="100">
        <v>0</v>
      </c>
      <c r="P90" s="100">
        <v>0.14000000000000001</v>
      </c>
      <c r="Q90" s="100">
        <v>9.89</v>
      </c>
      <c r="R90" s="6"/>
      <c r="S90" s="6"/>
      <c r="T90" s="156"/>
      <c r="U90" s="6"/>
    </row>
    <row r="91" spans="1:21" customFormat="1">
      <c r="A91" s="163" t="s">
        <v>1090</v>
      </c>
      <c r="B91" s="100">
        <v>0.86</v>
      </c>
      <c r="C91" s="100">
        <v>3.18</v>
      </c>
      <c r="D91" s="100">
        <v>2.3199999999999998</v>
      </c>
      <c r="E91" s="100">
        <v>2.81</v>
      </c>
      <c r="F91" s="100">
        <v>2.13</v>
      </c>
      <c r="G91" s="100">
        <v>10.16</v>
      </c>
      <c r="H91" s="100">
        <v>3.32</v>
      </c>
      <c r="I91" s="100">
        <v>2.69</v>
      </c>
      <c r="J91" s="100">
        <v>0.53</v>
      </c>
      <c r="K91" s="100">
        <v>261.62</v>
      </c>
      <c r="L91" s="100">
        <v>24.18</v>
      </c>
      <c r="M91" s="100">
        <v>97.22</v>
      </c>
      <c r="N91" s="100">
        <v>2.5</v>
      </c>
      <c r="O91" s="100">
        <v>0</v>
      </c>
      <c r="P91" s="100">
        <v>0.14000000000000001</v>
      </c>
      <c r="Q91" s="100">
        <v>9.9</v>
      </c>
      <c r="R91" s="6"/>
      <c r="S91" s="6"/>
      <c r="T91" s="156"/>
      <c r="U91" s="6"/>
    </row>
    <row r="92" spans="1:21" customFormat="1">
      <c r="A92" s="163" t="s">
        <v>1091</v>
      </c>
      <c r="B92" s="100">
        <v>0.7</v>
      </c>
      <c r="C92" s="100">
        <v>3.06</v>
      </c>
      <c r="D92" s="100">
        <v>2.36</v>
      </c>
      <c r="E92" s="100">
        <v>2.81</v>
      </c>
      <c r="F92" s="100">
        <v>1.91</v>
      </c>
      <c r="G92" s="100">
        <v>10.47</v>
      </c>
      <c r="H92" s="100">
        <v>3.57</v>
      </c>
      <c r="I92" s="100">
        <v>2.75</v>
      </c>
      <c r="J92" s="100">
        <v>0.7</v>
      </c>
      <c r="K92" s="100">
        <v>259.3</v>
      </c>
      <c r="L92" s="100">
        <v>24.16</v>
      </c>
      <c r="M92" s="100">
        <v>97.17</v>
      </c>
      <c r="N92" s="100">
        <v>2.5</v>
      </c>
      <c r="O92" s="100">
        <v>0</v>
      </c>
      <c r="P92" s="100">
        <v>0.14000000000000001</v>
      </c>
      <c r="Q92" s="100">
        <v>9.89</v>
      </c>
      <c r="R92" s="6"/>
      <c r="S92" s="6"/>
      <c r="T92" s="156"/>
      <c r="U92" s="6"/>
    </row>
    <row r="93" spans="1:21" customFormat="1">
      <c r="A93" s="163" t="s">
        <v>1092</v>
      </c>
      <c r="B93" s="100">
        <v>0.59</v>
      </c>
      <c r="C93" s="100">
        <v>2.91</v>
      </c>
      <c r="D93" s="100">
        <v>2.3199999999999998</v>
      </c>
      <c r="E93" s="100">
        <v>2.89</v>
      </c>
      <c r="F93" s="100">
        <v>2.1800000000000002</v>
      </c>
      <c r="G93" s="100">
        <v>11.84</v>
      </c>
      <c r="H93" s="100">
        <v>4.38</v>
      </c>
      <c r="I93" s="100">
        <v>2.81</v>
      </c>
      <c r="J93" s="100">
        <v>0.76</v>
      </c>
      <c r="K93" s="100">
        <v>261.87</v>
      </c>
      <c r="L93" s="100">
        <v>24.16</v>
      </c>
      <c r="M93" s="100">
        <v>97.24</v>
      </c>
      <c r="N93" s="100">
        <v>2.4</v>
      </c>
      <c r="O93" s="100">
        <v>0</v>
      </c>
      <c r="P93" s="100">
        <v>0.14000000000000001</v>
      </c>
      <c r="Q93" s="100">
        <v>9.89</v>
      </c>
      <c r="R93" s="6"/>
      <c r="S93" s="6"/>
      <c r="T93" s="156"/>
      <c r="U93" s="6"/>
    </row>
    <row r="94" spans="1:21" customFormat="1">
      <c r="A94" s="163" t="s">
        <v>1093</v>
      </c>
      <c r="B94" s="100">
        <v>0.47</v>
      </c>
      <c r="C94" s="100">
        <v>2.81</v>
      </c>
      <c r="D94" s="100">
        <v>2.33</v>
      </c>
      <c r="E94" s="100">
        <v>3.05</v>
      </c>
      <c r="F94" s="100">
        <v>2</v>
      </c>
      <c r="G94" s="100">
        <v>11.84</v>
      </c>
      <c r="H94" s="100">
        <v>4.38</v>
      </c>
      <c r="I94" s="100">
        <v>2.86</v>
      </c>
      <c r="J94" s="100">
        <v>0.73</v>
      </c>
      <c r="K94" s="100">
        <v>257.52</v>
      </c>
      <c r="L94" s="100">
        <v>24.14</v>
      </c>
      <c r="M94" s="100">
        <v>97.59</v>
      </c>
      <c r="N94" s="100">
        <v>2.6</v>
      </c>
      <c r="O94" s="100">
        <v>0</v>
      </c>
      <c r="P94" s="100">
        <v>0.14000000000000001</v>
      </c>
      <c r="Q94" s="100">
        <v>9.8699999999999992</v>
      </c>
      <c r="R94" s="6"/>
      <c r="S94" s="6"/>
      <c r="T94" s="156"/>
      <c r="U94" s="6"/>
    </row>
    <row r="95" spans="1:21" customFormat="1">
      <c r="A95" s="163" t="s">
        <v>1094</v>
      </c>
      <c r="B95" s="100">
        <v>0.42</v>
      </c>
      <c r="C95" s="100">
        <v>2.74</v>
      </c>
      <c r="D95" s="100">
        <v>2.31</v>
      </c>
      <c r="E95" s="100">
        <v>3.15</v>
      </c>
      <c r="F95" s="100">
        <v>1.49</v>
      </c>
      <c r="G95" s="100">
        <v>11.84</v>
      </c>
      <c r="H95" s="100">
        <v>4.38</v>
      </c>
      <c r="I95" s="100">
        <v>2.93</v>
      </c>
      <c r="J95" s="100">
        <v>0.78</v>
      </c>
      <c r="K95" s="100">
        <v>260.49</v>
      </c>
      <c r="L95" s="100">
        <v>24.03</v>
      </c>
      <c r="M95" s="100">
        <v>98.55</v>
      </c>
      <c r="N95" s="100">
        <v>2.4</v>
      </c>
      <c r="O95" s="100">
        <v>0</v>
      </c>
      <c r="P95" s="100">
        <v>0.14000000000000001</v>
      </c>
      <c r="Q95" s="100">
        <v>9.8699999999999992</v>
      </c>
      <c r="R95" s="6"/>
      <c r="S95" s="6"/>
      <c r="T95" s="156"/>
      <c r="U95" s="6"/>
    </row>
    <row r="96" spans="1:21" customFormat="1">
      <c r="A96" s="163" t="s">
        <v>1095</v>
      </c>
      <c r="B96" s="100">
        <v>0.52</v>
      </c>
      <c r="C96" s="100">
        <v>2.8</v>
      </c>
      <c r="D96" s="100">
        <v>2.2799999999999998</v>
      </c>
      <c r="E96" s="100">
        <v>2.98</v>
      </c>
      <c r="F96" s="100">
        <v>1.33</v>
      </c>
      <c r="G96" s="100">
        <v>11.73</v>
      </c>
      <c r="H96" s="100">
        <v>4.26</v>
      </c>
      <c r="I96" s="100">
        <v>2.97</v>
      </c>
      <c r="J96" s="100">
        <v>0.66</v>
      </c>
      <c r="K96" s="100">
        <v>254.8</v>
      </c>
      <c r="L96" s="100">
        <v>23.99</v>
      </c>
      <c r="M96" s="100">
        <v>99.27</v>
      </c>
      <c r="N96" s="100">
        <v>2.2999999999999998</v>
      </c>
      <c r="O96" s="100">
        <v>0</v>
      </c>
      <c r="P96" s="100">
        <v>0.11</v>
      </c>
      <c r="Q96" s="100">
        <v>9.89</v>
      </c>
      <c r="R96" s="6"/>
      <c r="S96" s="6"/>
      <c r="T96" s="156"/>
      <c r="U96" s="6"/>
    </row>
    <row r="97" spans="1:28" customFormat="1">
      <c r="A97" s="163" t="s">
        <v>1096</v>
      </c>
      <c r="B97" s="100">
        <v>0.78</v>
      </c>
      <c r="C97" s="100">
        <v>3.17</v>
      </c>
      <c r="D97" s="100">
        <v>2.39</v>
      </c>
      <c r="E97" s="100">
        <v>2.57</v>
      </c>
      <c r="F97" s="100">
        <v>2.52</v>
      </c>
      <c r="G97" s="100">
        <v>11.24</v>
      </c>
      <c r="H97" s="100">
        <v>3.88</v>
      </c>
      <c r="I97" s="100">
        <v>2.97</v>
      </c>
      <c r="J97" s="100">
        <v>0.59</v>
      </c>
      <c r="K97" s="100">
        <v>253.85</v>
      </c>
      <c r="L97" s="100">
        <v>23.98</v>
      </c>
      <c r="M97" s="100">
        <v>99.6</v>
      </c>
      <c r="N97" s="100">
        <v>2.2999999999999998</v>
      </c>
      <c r="O97" s="100">
        <v>0</v>
      </c>
      <c r="P97" s="100">
        <v>0.09</v>
      </c>
      <c r="Q97" s="100">
        <v>9.9</v>
      </c>
      <c r="R97" s="6"/>
      <c r="S97" s="6"/>
      <c r="T97" s="156"/>
      <c r="U97" s="6"/>
    </row>
    <row r="98" spans="1:28" customFormat="1">
      <c r="A98" s="163" t="s">
        <v>1097</v>
      </c>
      <c r="B98" s="100">
        <v>0.75</v>
      </c>
      <c r="C98" s="100">
        <v>3.1</v>
      </c>
      <c r="D98" s="100">
        <v>2.35</v>
      </c>
      <c r="E98" s="100">
        <v>2.73</v>
      </c>
      <c r="F98" s="100">
        <v>2.59</v>
      </c>
      <c r="G98" s="100">
        <v>11.24</v>
      </c>
      <c r="H98" s="100">
        <v>3.88</v>
      </c>
      <c r="I98" s="100">
        <v>3</v>
      </c>
      <c r="J98" s="100">
        <v>0.56000000000000005</v>
      </c>
      <c r="K98" s="100">
        <v>256.58</v>
      </c>
      <c r="L98" s="100">
        <v>23.98</v>
      </c>
      <c r="M98" s="100">
        <v>100.05</v>
      </c>
      <c r="N98" s="100">
        <v>2.2999999999999998</v>
      </c>
      <c r="O98" s="100">
        <v>0</v>
      </c>
      <c r="P98" s="100">
        <v>0.12</v>
      </c>
      <c r="Q98" s="100">
        <v>9.91</v>
      </c>
      <c r="R98" s="6"/>
      <c r="S98" s="6"/>
      <c r="T98" s="156"/>
      <c r="U98" s="6"/>
    </row>
    <row r="99" spans="1:28" customFormat="1">
      <c r="A99" s="163" t="s">
        <v>1098</v>
      </c>
      <c r="B99" s="100">
        <v>0.56999999999999995</v>
      </c>
      <c r="C99" s="100">
        <v>2.91</v>
      </c>
      <c r="D99" s="100">
        <v>2.33</v>
      </c>
      <c r="E99" s="100">
        <v>3.12</v>
      </c>
      <c r="F99" s="100">
        <v>1.73</v>
      </c>
      <c r="G99" s="100">
        <v>11.24</v>
      </c>
      <c r="H99" s="100">
        <v>3.88</v>
      </c>
      <c r="I99" s="100">
        <v>3.04</v>
      </c>
      <c r="J99" s="100">
        <v>0.54</v>
      </c>
      <c r="K99" s="100">
        <v>258.68</v>
      </c>
      <c r="L99" s="100">
        <v>24.02</v>
      </c>
      <c r="M99" s="100">
        <v>98.67</v>
      </c>
      <c r="N99" s="100">
        <v>2.4</v>
      </c>
      <c r="O99" s="100">
        <v>0</v>
      </c>
      <c r="P99" s="100">
        <v>0.1</v>
      </c>
      <c r="Q99" s="100">
        <v>9.91</v>
      </c>
      <c r="R99" s="6"/>
      <c r="S99" s="6"/>
      <c r="T99" s="156"/>
      <c r="U99" s="6"/>
    </row>
    <row r="100" spans="1:28" customFormat="1">
      <c r="A100" s="163" t="s">
        <v>1099</v>
      </c>
      <c r="B100" s="100">
        <v>0.69</v>
      </c>
      <c r="C100" s="100">
        <v>3.06</v>
      </c>
      <c r="D100" s="100">
        <v>2.37</v>
      </c>
      <c r="E100" s="100">
        <v>2.81</v>
      </c>
      <c r="F100" s="100">
        <v>2.4500000000000002</v>
      </c>
      <c r="G100" s="100">
        <v>10.95</v>
      </c>
      <c r="H100" s="100">
        <v>3.78</v>
      </c>
      <c r="I100" s="100">
        <v>3.15</v>
      </c>
      <c r="J100" s="100">
        <v>0.64</v>
      </c>
      <c r="K100" s="100">
        <v>260.36</v>
      </c>
      <c r="L100" s="100">
        <v>24.03</v>
      </c>
      <c r="M100" s="100">
        <v>97.68</v>
      </c>
      <c r="N100" s="100">
        <v>2.4</v>
      </c>
      <c r="O100" s="100">
        <v>0</v>
      </c>
      <c r="P100" s="100">
        <v>0.09</v>
      </c>
      <c r="Q100" s="100">
        <v>9.9</v>
      </c>
      <c r="R100" s="6"/>
      <c r="S100" s="6"/>
      <c r="T100" s="156"/>
      <c r="U100" s="6"/>
      <c r="AB100" s="161"/>
    </row>
    <row r="101" spans="1:28" customFormat="1">
      <c r="A101" s="163" t="s">
        <v>1100</v>
      </c>
      <c r="B101" s="100">
        <v>0.68</v>
      </c>
      <c r="C101" s="100">
        <v>3.09</v>
      </c>
      <c r="D101" s="100">
        <v>2.41</v>
      </c>
      <c r="E101" s="100">
        <v>2.93</v>
      </c>
      <c r="F101" s="100">
        <v>2.5</v>
      </c>
      <c r="G101" s="100">
        <v>9.7100000000000009</v>
      </c>
      <c r="H101" s="100">
        <v>3.27</v>
      </c>
      <c r="I101" s="100">
        <v>3.12</v>
      </c>
      <c r="J101" s="100">
        <v>0.6</v>
      </c>
      <c r="K101" s="100">
        <v>254.19</v>
      </c>
      <c r="L101" s="100">
        <v>24.02</v>
      </c>
      <c r="M101" s="100">
        <v>97.69</v>
      </c>
      <c r="N101" s="100">
        <v>2.5</v>
      </c>
      <c r="O101" s="100">
        <v>0</v>
      </c>
      <c r="P101" s="100">
        <v>0.12</v>
      </c>
      <c r="Q101" s="100">
        <v>9.8800000000000008</v>
      </c>
      <c r="R101" s="6"/>
      <c r="S101" s="6"/>
      <c r="T101" s="156"/>
      <c r="U101" s="6"/>
    </row>
    <row r="102" spans="1:28" customFormat="1">
      <c r="A102" s="163" t="s">
        <v>1101</v>
      </c>
      <c r="B102" s="100">
        <v>0.52</v>
      </c>
      <c r="C102" s="100">
        <v>2.85</v>
      </c>
      <c r="D102" s="100">
        <v>2.33</v>
      </c>
      <c r="E102" s="100">
        <v>3.01</v>
      </c>
      <c r="F102" s="100">
        <v>1.18</v>
      </c>
      <c r="G102" s="100">
        <v>9.7100000000000009</v>
      </c>
      <c r="H102" s="100">
        <v>3.27</v>
      </c>
      <c r="I102" s="100">
        <v>3.11</v>
      </c>
      <c r="J102" s="100">
        <v>0.57999999999999996</v>
      </c>
      <c r="K102" s="100">
        <v>268.45</v>
      </c>
      <c r="L102" s="100">
        <v>24.04</v>
      </c>
      <c r="M102" s="100">
        <v>97.74</v>
      </c>
      <c r="N102" s="100">
        <v>2.4</v>
      </c>
      <c r="O102" s="100">
        <v>0</v>
      </c>
      <c r="P102" s="100">
        <v>0.11</v>
      </c>
      <c r="Q102" s="100">
        <v>9.9</v>
      </c>
      <c r="R102" s="6"/>
      <c r="S102" s="6"/>
      <c r="T102" s="156"/>
      <c r="U102" s="6"/>
    </row>
    <row r="103" spans="1:28" customFormat="1">
      <c r="A103" s="163" t="s">
        <v>1102</v>
      </c>
      <c r="B103" s="100">
        <v>0.62</v>
      </c>
      <c r="C103" s="100">
        <v>2.99</v>
      </c>
      <c r="D103" s="100">
        <v>2.38</v>
      </c>
      <c r="E103" s="100">
        <v>3.13</v>
      </c>
      <c r="F103" s="100">
        <v>2.62</v>
      </c>
      <c r="G103" s="100">
        <v>9.7100000000000009</v>
      </c>
      <c r="H103" s="100">
        <v>3.27</v>
      </c>
      <c r="I103" s="100">
        <v>3.23</v>
      </c>
      <c r="J103" s="100">
        <v>0.71</v>
      </c>
      <c r="K103" s="100">
        <v>261.27</v>
      </c>
      <c r="L103" s="100">
        <v>24.04</v>
      </c>
      <c r="M103" s="100">
        <v>97.84</v>
      </c>
      <c r="N103" s="100">
        <v>2.4</v>
      </c>
      <c r="O103" s="100">
        <v>0</v>
      </c>
      <c r="P103" s="100">
        <v>0.1</v>
      </c>
      <c r="Q103" s="100">
        <v>9.9</v>
      </c>
      <c r="R103" s="6"/>
      <c r="S103" s="6"/>
      <c r="T103" s="156"/>
      <c r="U103" s="6"/>
    </row>
    <row r="104" spans="1:28" customFormat="1">
      <c r="A104" s="163" t="s">
        <v>1103</v>
      </c>
      <c r="B104" s="100">
        <v>0.56000000000000005</v>
      </c>
      <c r="C104" s="100">
        <v>2.93</v>
      </c>
      <c r="D104" s="100">
        <v>2.37</v>
      </c>
      <c r="E104" s="100">
        <v>3.03</v>
      </c>
      <c r="F104" s="100">
        <v>1.53</v>
      </c>
      <c r="G104" s="100">
        <v>10.17</v>
      </c>
      <c r="H104" s="100">
        <v>3.28</v>
      </c>
      <c r="I104" s="100">
        <v>3.2</v>
      </c>
      <c r="J104" s="100">
        <v>0.75</v>
      </c>
      <c r="K104" s="100">
        <v>261.36</v>
      </c>
      <c r="L104" s="100">
        <v>24.06</v>
      </c>
      <c r="M104" s="100">
        <v>97.59</v>
      </c>
      <c r="N104" s="100">
        <v>2.4</v>
      </c>
      <c r="O104" s="100">
        <v>0</v>
      </c>
      <c r="P104" s="100">
        <v>0.11</v>
      </c>
      <c r="Q104" s="100">
        <v>9.91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0.1</v>
      </c>
      <c r="C106" s="158">
        <f>MIN(C9:C104)</f>
        <v>0.26</v>
      </c>
      <c r="D106" s="158">
        <f t="shared" ref="D106:Q106" si="0">MIN(D9:D104)</f>
        <v>0.15</v>
      </c>
      <c r="E106" s="158">
        <f t="shared" si="0"/>
        <v>1.69</v>
      </c>
      <c r="F106" s="158">
        <f t="shared" si="0"/>
        <v>0.79</v>
      </c>
      <c r="G106" s="158">
        <f t="shared" si="0"/>
        <v>0</v>
      </c>
      <c r="H106" s="158">
        <f t="shared" si="0"/>
        <v>0</v>
      </c>
      <c r="I106" s="158">
        <f t="shared" si="0"/>
        <v>1.89</v>
      </c>
      <c r="J106" s="158">
        <f t="shared" si="0"/>
        <v>0.17</v>
      </c>
      <c r="K106" s="158">
        <f t="shared" si="0"/>
        <v>203.93</v>
      </c>
      <c r="L106" s="158">
        <f t="shared" si="0"/>
        <v>22.73</v>
      </c>
      <c r="M106" s="158">
        <f t="shared" si="0"/>
        <v>87.31</v>
      </c>
      <c r="N106" s="158">
        <f t="shared" si="0"/>
        <v>2.2999999999999998</v>
      </c>
      <c r="O106" s="158">
        <f t="shared" si="0"/>
        <v>0</v>
      </c>
      <c r="P106" s="158">
        <f t="shared" si="0"/>
        <v>0.08</v>
      </c>
      <c r="Q106" s="158">
        <f t="shared" si="0"/>
        <v>9.8699999999999992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794.07</v>
      </c>
      <c r="C107" s="157">
        <f t="shared" ref="C107:Q107" si="1">MAX(C9:C104)</f>
        <v>610.92999999999995</v>
      </c>
      <c r="D107" s="157">
        <f t="shared" si="1"/>
        <v>5.33</v>
      </c>
      <c r="E107" s="157">
        <f t="shared" si="1"/>
        <v>6.24</v>
      </c>
      <c r="F107" s="157">
        <f t="shared" si="1"/>
        <v>24.67</v>
      </c>
      <c r="G107" s="157">
        <f t="shared" si="1"/>
        <v>11.84</v>
      </c>
      <c r="H107" s="157">
        <f t="shared" si="1"/>
        <v>9.06</v>
      </c>
      <c r="I107" s="157">
        <f t="shared" si="1"/>
        <v>14.36</v>
      </c>
      <c r="J107" s="157">
        <f t="shared" si="1"/>
        <v>1.23</v>
      </c>
      <c r="K107" s="157">
        <f t="shared" si="1"/>
        <v>284.85000000000002</v>
      </c>
      <c r="L107" s="157">
        <f t="shared" si="1"/>
        <v>25.67</v>
      </c>
      <c r="M107" s="157">
        <f t="shared" si="1"/>
        <v>100.61</v>
      </c>
      <c r="N107" s="157">
        <f t="shared" si="1"/>
        <v>250.4</v>
      </c>
      <c r="O107" s="157">
        <f t="shared" si="1"/>
        <v>4.4000000000000004</v>
      </c>
      <c r="P107" s="157">
        <f t="shared" si="1"/>
        <v>0.16</v>
      </c>
      <c r="Q107" s="157">
        <f t="shared" si="1"/>
        <v>9.94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14.245466666666662</v>
      </c>
      <c r="C108" s="158">
        <f t="shared" ref="C108:Q108" si="2">AVERAGE(C9:C104)</f>
        <v>13.84386666666666</v>
      </c>
      <c r="D108" s="158">
        <f t="shared" si="2"/>
        <v>1.9662666666666666</v>
      </c>
      <c r="E108" s="158">
        <f t="shared" si="2"/>
        <v>3.826666666666668</v>
      </c>
      <c r="F108" s="158">
        <f t="shared" si="2"/>
        <v>5.1878124999999997</v>
      </c>
      <c r="G108" s="158">
        <f t="shared" si="2"/>
        <v>5.0252083333333308</v>
      </c>
      <c r="H108" s="158">
        <f t="shared" si="2"/>
        <v>3.1881249999999972</v>
      </c>
      <c r="I108" s="158">
        <f t="shared" si="2"/>
        <v>3.6153125000000004</v>
      </c>
      <c r="J108" s="158">
        <f t="shared" si="2"/>
        <v>0.77364583333333325</v>
      </c>
      <c r="K108" s="158">
        <f t="shared" si="2"/>
        <v>258.75666666666672</v>
      </c>
      <c r="L108" s="158">
        <f t="shared" si="2"/>
        <v>24.055312500000003</v>
      </c>
      <c r="M108" s="158">
        <f t="shared" si="2"/>
        <v>96.69041666666665</v>
      </c>
      <c r="N108" s="158">
        <f t="shared" si="2"/>
        <v>52.828125</v>
      </c>
      <c r="O108" s="158">
        <f t="shared" si="2"/>
        <v>0.24791666666666659</v>
      </c>
      <c r="P108" s="158">
        <f t="shared" si="2"/>
        <v>0.10625</v>
      </c>
      <c r="Q108" s="158">
        <f t="shared" si="2"/>
        <v>9.9118749999999896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92.3334263255134</v>
      </c>
      <c r="C109" s="158">
        <f t="shared" ref="C109:Q109" si="3">STDEV(C9:C104)</f>
        <v>71.100665844248567</v>
      </c>
      <c r="D109" s="158">
        <f t="shared" si="3"/>
        <v>0.75422552604916737</v>
      </c>
      <c r="E109" s="158">
        <f t="shared" si="3"/>
        <v>1.4377121201237952</v>
      </c>
      <c r="F109" s="158">
        <f t="shared" si="3"/>
        <v>5.1608557436319575</v>
      </c>
      <c r="G109" s="158">
        <f t="shared" si="3"/>
        <v>3.5334420311813974</v>
      </c>
      <c r="H109" s="158">
        <f t="shared" si="3"/>
        <v>2.0541635831441947</v>
      </c>
      <c r="I109" s="158">
        <f t="shared" si="3"/>
        <v>2.1527284783074223</v>
      </c>
      <c r="J109" s="158">
        <f t="shared" si="3"/>
        <v>0.21064872126820527</v>
      </c>
      <c r="K109" s="158">
        <f t="shared" si="3"/>
        <v>7.0913883529200277</v>
      </c>
      <c r="L109" s="158">
        <f t="shared" si="3"/>
        <v>0.82156840138718468</v>
      </c>
      <c r="M109" s="158">
        <f t="shared" si="3"/>
        <v>3.8407266079731563</v>
      </c>
      <c r="N109" s="158">
        <f t="shared" si="3"/>
        <v>70.64659816464517</v>
      </c>
      <c r="O109" s="158">
        <f t="shared" si="3"/>
        <v>0.75099641412931362</v>
      </c>
      <c r="P109" s="158">
        <f t="shared" si="3"/>
        <v>1.7666501157781345E-2</v>
      </c>
      <c r="Q109" s="158">
        <f t="shared" si="3"/>
        <v>1.59150706465351E-2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COUNT(B9:B104)+21</f>
        <v>96</v>
      </c>
      <c r="C110" s="157">
        <f t="shared" ref="C110:D110" si="4">COUNT(C9:C104)+21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 t="shared" si="5"/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B110" sqref="B110:D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1104</v>
      </c>
      <c r="B9" s="100">
        <v>1.69</v>
      </c>
      <c r="C9" s="100">
        <v>4.38</v>
      </c>
      <c r="D9" s="100">
        <v>2.69</v>
      </c>
      <c r="E9" s="100">
        <v>3.28</v>
      </c>
      <c r="F9" s="100">
        <v>2.02</v>
      </c>
      <c r="G9" s="100">
        <v>12.33</v>
      </c>
      <c r="H9" s="100">
        <v>3.31</v>
      </c>
      <c r="I9" s="100">
        <v>3.18</v>
      </c>
      <c r="J9" s="100">
        <v>0.78</v>
      </c>
      <c r="K9" s="100">
        <v>259.11</v>
      </c>
      <c r="L9" s="100">
        <v>24.09</v>
      </c>
      <c r="M9" s="100">
        <v>97.26</v>
      </c>
      <c r="N9" s="100">
        <v>2.4</v>
      </c>
      <c r="O9" s="100">
        <v>0</v>
      </c>
      <c r="P9" s="100">
        <v>0.11</v>
      </c>
      <c r="Q9" s="100">
        <v>9.91</v>
      </c>
      <c r="R9" s="6"/>
      <c r="S9" s="6"/>
      <c r="T9" s="156"/>
      <c r="U9" s="6"/>
    </row>
    <row r="10" spans="1:21" customFormat="1">
      <c r="A10" s="163" t="s">
        <v>1105</v>
      </c>
      <c r="B10" s="100">
        <v>1.74</v>
      </c>
      <c r="C10" s="100">
        <v>4.32</v>
      </c>
      <c r="D10" s="100">
        <v>2.58</v>
      </c>
      <c r="E10" s="100">
        <v>2.66</v>
      </c>
      <c r="F10" s="100">
        <v>1.89</v>
      </c>
      <c r="G10" s="100">
        <v>12.33</v>
      </c>
      <c r="H10" s="100">
        <v>3.31</v>
      </c>
      <c r="I10" s="100">
        <v>3.27</v>
      </c>
      <c r="J10" s="100">
        <v>0.85</v>
      </c>
      <c r="K10" s="100">
        <v>256.56</v>
      </c>
      <c r="L10" s="100">
        <v>24.12</v>
      </c>
      <c r="M10" s="100">
        <v>97.22</v>
      </c>
      <c r="N10" s="100">
        <v>2.4</v>
      </c>
      <c r="O10" s="100">
        <v>0</v>
      </c>
      <c r="P10" s="100">
        <v>0.12</v>
      </c>
      <c r="Q10" s="100">
        <v>9.92</v>
      </c>
      <c r="R10" s="6"/>
      <c r="S10" s="6"/>
      <c r="T10" s="156"/>
      <c r="U10" s="6"/>
    </row>
    <row r="11" spans="1:21" customFormat="1">
      <c r="A11" s="163" t="s">
        <v>1106</v>
      </c>
      <c r="B11" s="100">
        <v>1.78</v>
      </c>
      <c r="C11" s="100">
        <v>4.38</v>
      </c>
      <c r="D11" s="100">
        <v>2.59</v>
      </c>
      <c r="E11" s="100">
        <v>3.03</v>
      </c>
      <c r="F11" s="100">
        <v>1.89</v>
      </c>
      <c r="G11" s="100">
        <v>12.33</v>
      </c>
      <c r="H11" s="100">
        <v>3.31</v>
      </c>
      <c r="I11" s="100">
        <v>3.22</v>
      </c>
      <c r="J11" s="100">
        <v>0.57999999999999996</v>
      </c>
      <c r="K11" s="100">
        <v>256.51</v>
      </c>
      <c r="L11" s="100">
        <v>24.15</v>
      </c>
      <c r="M11" s="100">
        <v>97.21</v>
      </c>
      <c r="N11" s="100">
        <v>2.4</v>
      </c>
      <c r="O11" s="100">
        <v>0</v>
      </c>
      <c r="P11" s="100">
        <v>0.1</v>
      </c>
      <c r="Q11" s="100">
        <v>9.93</v>
      </c>
      <c r="R11" s="6"/>
      <c r="S11" s="6"/>
      <c r="T11" s="156"/>
      <c r="U11" s="6"/>
    </row>
    <row r="12" spans="1:21" customFormat="1">
      <c r="A12" s="163" t="s">
        <v>1107</v>
      </c>
      <c r="B12" s="100">
        <v>1.88</v>
      </c>
      <c r="C12" s="100">
        <v>4.49</v>
      </c>
      <c r="D12" s="100">
        <v>2.61</v>
      </c>
      <c r="E12" s="100">
        <v>2.86</v>
      </c>
      <c r="F12" s="100">
        <v>2.2999999999999998</v>
      </c>
      <c r="G12" s="100">
        <v>12.91</v>
      </c>
      <c r="H12" s="100">
        <v>3.14</v>
      </c>
      <c r="I12" s="100">
        <v>3.29</v>
      </c>
      <c r="J12" s="100">
        <v>0.9</v>
      </c>
      <c r="K12" s="100">
        <v>263.08999999999997</v>
      </c>
      <c r="L12" s="100">
        <v>24.19</v>
      </c>
      <c r="M12" s="100">
        <v>97.03</v>
      </c>
      <c r="N12" s="100">
        <v>2.4</v>
      </c>
      <c r="O12" s="100">
        <v>0</v>
      </c>
      <c r="P12" s="100">
        <v>0.11</v>
      </c>
      <c r="Q12" s="100">
        <v>9.92</v>
      </c>
      <c r="R12" s="6"/>
      <c r="S12" s="6"/>
      <c r="T12" s="156"/>
      <c r="U12" s="6"/>
    </row>
    <row r="13" spans="1:21" customFormat="1">
      <c r="A13" s="163" t="s">
        <v>1108</v>
      </c>
      <c r="B13" s="100">
        <v>1.83</v>
      </c>
      <c r="C13" s="100">
        <v>4.4400000000000004</v>
      </c>
      <c r="D13" s="100">
        <v>2.61</v>
      </c>
      <c r="E13" s="100">
        <v>2.84</v>
      </c>
      <c r="F13" s="100">
        <v>1.69</v>
      </c>
      <c r="G13" s="100">
        <v>15.42</v>
      </c>
      <c r="H13" s="100">
        <v>2.62</v>
      </c>
      <c r="I13" s="100">
        <v>3.23</v>
      </c>
      <c r="J13" s="100">
        <v>0.79</v>
      </c>
      <c r="K13" s="100">
        <v>259.83999999999997</v>
      </c>
      <c r="L13" s="100">
        <v>24.21</v>
      </c>
      <c r="M13" s="100">
        <v>96.68</v>
      </c>
      <c r="N13" s="100">
        <v>2.4</v>
      </c>
      <c r="O13" s="100">
        <v>0</v>
      </c>
      <c r="P13" s="100">
        <v>0.1</v>
      </c>
      <c r="Q13" s="100">
        <v>9.92</v>
      </c>
      <c r="R13" s="6"/>
      <c r="S13" s="6"/>
      <c r="T13" s="156"/>
      <c r="U13" s="6"/>
    </row>
    <row r="14" spans="1:21" customFormat="1">
      <c r="A14" s="163" t="s">
        <v>1109</v>
      </c>
      <c r="B14" s="100">
        <v>1.95</v>
      </c>
      <c r="C14" s="100">
        <v>4.54</v>
      </c>
      <c r="D14" s="100">
        <v>2.59</v>
      </c>
      <c r="E14" s="100">
        <v>2.83</v>
      </c>
      <c r="F14" s="100">
        <v>2.57</v>
      </c>
      <c r="G14" s="100">
        <v>15.42</v>
      </c>
      <c r="H14" s="100">
        <v>2.62</v>
      </c>
      <c r="I14" s="100">
        <v>3.26</v>
      </c>
      <c r="J14" s="100">
        <v>0.59</v>
      </c>
      <c r="K14" s="100">
        <v>255.68</v>
      </c>
      <c r="L14" s="100">
        <v>24.18</v>
      </c>
      <c r="M14" s="100">
        <v>97.06</v>
      </c>
      <c r="N14" s="100">
        <v>2.4</v>
      </c>
      <c r="O14" s="100">
        <v>0</v>
      </c>
      <c r="P14" s="100">
        <v>0.11</v>
      </c>
      <c r="Q14" s="100">
        <v>9.92</v>
      </c>
      <c r="R14" s="6"/>
      <c r="S14" s="6"/>
      <c r="T14" s="156"/>
      <c r="U14" s="6"/>
    </row>
    <row r="15" spans="1:21" customFormat="1">
      <c r="A15" s="163" t="s">
        <v>1110</v>
      </c>
      <c r="B15" s="100">
        <v>1.85</v>
      </c>
      <c r="C15" s="100">
        <v>4.46</v>
      </c>
      <c r="D15" s="100">
        <v>2.62</v>
      </c>
      <c r="E15" s="100">
        <v>3.02</v>
      </c>
      <c r="F15" s="100">
        <v>1.4</v>
      </c>
      <c r="G15" s="100">
        <v>15.42</v>
      </c>
      <c r="H15" s="100">
        <v>2.62</v>
      </c>
      <c r="I15" s="100">
        <v>3.23</v>
      </c>
      <c r="J15" s="100">
        <v>0.86</v>
      </c>
      <c r="K15" s="100">
        <v>258.10000000000002</v>
      </c>
      <c r="L15" s="100">
        <v>24.19</v>
      </c>
      <c r="M15" s="100">
        <v>97.05</v>
      </c>
      <c r="N15" s="100">
        <v>2.4</v>
      </c>
      <c r="O15" s="100">
        <v>0</v>
      </c>
      <c r="P15" s="100">
        <v>0.11</v>
      </c>
      <c r="Q15" s="100">
        <v>9.92</v>
      </c>
      <c r="R15" s="6"/>
      <c r="S15" s="6"/>
      <c r="T15" s="156"/>
      <c r="U15" s="6"/>
    </row>
    <row r="16" spans="1:21" customFormat="1">
      <c r="A16" s="163" t="s">
        <v>1111</v>
      </c>
      <c r="B16" s="100">
        <v>1.92</v>
      </c>
      <c r="C16" s="100">
        <v>4.5199999999999996</v>
      </c>
      <c r="D16" s="100">
        <v>2.6</v>
      </c>
      <c r="E16" s="100">
        <v>2.99</v>
      </c>
      <c r="F16" s="100">
        <v>1.78</v>
      </c>
      <c r="G16" s="100">
        <v>15.82</v>
      </c>
      <c r="H16" s="100">
        <v>2.87</v>
      </c>
      <c r="I16" s="100">
        <v>3.23</v>
      </c>
      <c r="J16" s="100">
        <v>0.73</v>
      </c>
      <c r="K16" s="100">
        <v>261.13</v>
      </c>
      <c r="L16" s="100">
        <v>24.15</v>
      </c>
      <c r="M16" s="100">
        <v>97.1</v>
      </c>
      <c r="N16" s="100">
        <v>2.4</v>
      </c>
      <c r="O16" s="100">
        <v>0</v>
      </c>
      <c r="P16" s="100">
        <v>0.1</v>
      </c>
      <c r="Q16" s="100">
        <v>9.93</v>
      </c>
      <c r="R16" s="6"/>
      <c r="S16" s="6"/>
      <c r="T16" s="156"/>
      <c r="U16" s="6"/>
    </row>
    <row r="17" spans="1:21" customFormat="1">
      <c r="A17" s="163" t="s">
        <v>1112</v>
      </c>
      <c r="B17" s="100">
        <v>2</v>
      </c>
      <c r="C17" s="100">
        <v>4.68</v>
      </c>
      <c r="D17" s="100">
        <v>2.68</v>
      </c>
      <c r="E17" s="100">
        <v>3.68</v>
      </c>
      <c r="F17" s="100">
        <v>2.19</v>
      </c>
      <c r="G17" s="100">
        <v>17.66</v>
      </c>
      <c r="H17" s="100">
        <v>3.72</v>
      </c>
      <c r="I17" s="100">
        <v>3.25</v>
      </c>
      <c r="J17" s="100">
        <v>0.74</v>
      </c>
      <c r="K17" s="100">
        <v>260.33999999999997</v>
      </c>
      <c r="L17" s="100">
        <v>24.15</v>
      </c>
      <c r="M17" s="100">
        <v>97.14</v>
      </c>
      <c r="N17" s="100">
        <v>2.4</v>
      </c>
      <c r="O17" s="100">
        <v>0</v>
      </c>
      <c r="P17" s="100">
        <v>0.11</v>
      </c>
      <c r="Q17" s="100">
        <v>9.91</v>
      </c>
      <c r="R17" s="6"/>
      <c r="S17" s="6"/>
      <c r="T17" s="156"/>
      <c r="U17" s="6"/>
    </row>
    <row r="18" spans="1:21" customFormat="1">
      <c r="A18" s="163" t="s">
        <v>1113</v>
      </c>
      <c r="B18" s="100">
        <v>1.87</v>
      </c>
      <c r="C18" s="100">
        <v>4.55</v>
      </c>
      <c r="D18" s="100">
        <v>2.68</v>
      </c>
      <c r="E18" s="100">
        <v>5.17</v>
      </c>
      <c r="F18" s="100">
        <v>1.1000000000000001</v>
      </c>
      <c r="G18" s="100">
        <v>17.66</v>
      </c>
      <c r="H18" s="100">
        <v>3.72</v>
      </c>
      <c r="I18" s="100">
        <v>3.22</v>
      </c>
      <c r="J18" s="100">
        <v>0.55000000000000004</v>
      </c>
      <c r="K18" s="100">
        <v>259.01</v>
      </c>
      <c r="L18" s="100">
        <v>24.17</v>
      </c>
      <c r="M18" s="100">
        <v>97.23</v>
      </c>
      <c r="N18" s="100">
        <v>2.2999999999999998</v>
      </c>
      <c r="O18" s="100">
        <v>0</v>
      </c>
      <c r="P18" s="100">
        <v>0.13</v>
      </c>
      <c r="Q18" s="100">
        <v>9.92</v>
      </c>
      <c r="R18" s="6"/>
      <c r="S18" s="6"/>
      <c r="T18" s="156"/>
      <c r="U18" s="6"/>
    </row>
    <row r="19" spans="1:21" customFormat="1">
      <c r="A19" s="163" t="s">
        <v>1114</v>
      </c>
      <c r="B19" s="100">
        <v>1.83</v>
      </c>
      <c r="C19" s="100">
        <v>4.4400000000000004</v>
      </c>
      <c r="D19" s="100">
        <v>2.61</v>
      </c>
      <c r="E19" s="100">
        <v>5.46</v>
      </c>
      <c r="F19" s="100">
        <v>1.54</v>
      </c>
      <c r="G19" s="100">
        <v>17.66</v>
      </c>
      <c r="H19" s="100">
        <v>3.72</v>
      </c>
      <c r="I19" s="100">
        <v>3.28</v>
      </c>
      <c r="J19" s="100">
        <v>0.81</v>
      </c>
      <c r="K19" s="100">
        <v>261.2</v>
      </c>
      <c r="L19" s="100">
        <v>24.2</v>
      </c>
      <c r="M19" s="100">
        <v>97.02</v>
      </c>
      <c r="N19" s="100">
        <v>2.4</v>
      </c>
      <c r="O19" s="100">
        <v>0</v>
      </c>
      <c r="P19" s="100">
        <v>0.14000000000000001</v>
      </c>
      <c r="Q19" s="100">
        <v>9.92</v>
      </c>
      <c r="R19" s="6"/>
      <c r="S19" s="6"/>
      <c r="T19" s="156"/>
      <c r="U19" s="6"/>
    </row>
    <row r="20" spans="1:21" customFormat="1">
      <c r="A20" s="163" t="s">
        <v>1115</v>
      </c>
      <c r="B20" s="100">
        <v>1.74</v>
      </c>
      <c r="C20" s="100">
        <v>4.3099999999999996</v>
      </c>
      <c r="D20" s="100">
        <v>2.57</v>
      </c>
      <c r="E20" s="100">
        <v>5.39</v>
      </c>
      <c r="F20" s="100">
        <v>1.98</v>
      </c>
      <c r="G20" s="100">
        <v>18.09</v>
      </c>
      <c r="H20" s="100">
        <v>3.81</v>
      </c>
      <c r="I20" s="100">
        <v>3.26</v>
      </c>
      <c r="J20" s="100">
        <v>0.78</v>
      </c>
      <c r="K20" s="100">
        <v>259.08</v>
      </c>
      <c r="L20" s="100">
        <v>24.2</v>
      </c>
      <c r="M20" s="100">
        <v>96.9</v>
      </c>
      <c r="N20" s="100">
        <v>2.4</v>
      </c>
      <c r="O20" s="100">
        <v>0</v>
      </c>
      <c r="P20" s="100">
        <v>0.14000000000000001</v>
      </c>
      <c r="Q20" s="100">
        <v>9.92</v>
      </c>
      <c r="R20" s="6"/>
      <c r="S20" s="6"/>
      <c r="T20" s="156"/>
      <c r="U20" s="6"/>
    </row>
    <row r="21" spans="1:21" customFormat="1">
      <c r="A21" s="163" t="s">
        <v>1116</v>
      </c>
      <c r="B21" s="100">
        <v>1.65</v>
      </c>
      <c r="C21" s="100">
        <v>4.25</v>
      </c>
      <c r="D21" s="100">
        <v>2.61</v>
      </c>
      <c r="E21" s="100">
        <v>5.65</v>
      </c>
      <c r="F21" s="100">
        <v>1.81</v>
      </c>
      <c r="G21" s="100">
        <v>20.09</v>
      </c>
      <c r="H21" s="100">
        <v>4.29</v>
      </c>
      <c r="I21" s="100">
        <v>3.13</v>
      </c>
      <c r="J21" s="100">
        <v>0.89</v>
      </c>
      <c r="K21" s="100">
        <v>260.16000000000003</v>
      </c>
      <c r="L21" s="100">
        <v>24.21</v>
      </c>
      <c r="M21" s="100">
        <v>96.91</v>
      </c>
      <c r="N21" s="100">
        <v>2.4</v>
      </c>
      <c r="O21" s="100">
        <v>0</v>
      </c>
      <c r="P21" s="100">
        <v>0.14000000000000001</v>
      </c>
      <c r="Q21" s="100">
        <v>9.91</v>
      </c>
      <c r="R21" s="6"/>
      <c r="S21" s="6"/>
      <c r="T21" s="156"/>
      <c r="U21" s="6"/>
    </row>
    <row r="22" spans="1:21" customFormat="1">
      <c r="A22" s="163" t="s">
        <v>1117</v>
      </c>
      <c r="B22" s="100">
        <v>1.61</v>
      </c>
      <c r="C22" s="100">
        <v>4.16</v>
      </c>
      <c r="D22" s="100">
        <v>2.5499999999999998</v>
      </c>
      <c r="E22" s="100">
        <v>5.78</v>
      </c>
      <c r="F22" s="100">
        <v>2.23</v>
      </c>
      <c r="G22" s="100">
        <v>20.09</v>
      </c>
      <c r="H22" s="100">
        <v>4.29</v>
      </c>
      <c r="I22" s="100">
        <v>3.05</v>
      </c>
      <c r="J22" s="100">
        <v>0.74</v>
      </c>
      <c r="K22" s="100">
        <v>258.2</v>
      </c>
      <c r="L22" s="100">
        <v>24.2</v>
      </c>
      <c r="M22" s="100">
        <v>97.03</v>
      </c>
      <c r="N22" s="100">
        <v>2.4</v>
      </c>
      <c r="O22" s="100">
        <v>0</v>
      </c>
      <c r="P22" s="100">
        <v>0.14000000000000001</v>
      </c>
      <c r="Q22" s="100">
        <v>9.9</v>
      </c>
      <c r="R22" s="6"/>
      <c r="S22" s="6"/>
      <c r="T22" s="156"/>
      <c r="U22" s="6"/>
    </row>
    <row r="23" spans="1:21" customFormat="1">
      <c r="A23" s="163" t="s">
        <v>1118</v>
      </c>
      <c r="B23" s="100">
        <v>1.64</v>
      </c>
      <c r="C23" s="100">
        <v>4.1100000000000003</v>
      </c>
      <c r="D23" s="100">
        <v>2.4700000000000002</v>
      </c>
      <c r="E23" s="100">
        <v>5.9</v>
      </c>
      <c r="F23" s="100">
        <v>2.14</v>
      </c>
      <c r="G23" s="100">
        <v>20.09</v>
      </c>
      <c r="H23" s="100">
        <v>4.29</v>
      </c>
      <c r="I23" s="100">
        <v>3.01</v>
      </c>
      <c r="J23" s="100">
        <v>0.85</v>
      </c>
      <c r="K23" s="100">
        <v>259.74</v>
      </c>
      <c r="L23" s="100">
        <v>24.17</v>
      </c>
      <c r="M23" s="100">
        <v>97.21</v>
      </c>
      <c r="N23" s="100">
        <v>2.5</v>
      </c>
      <c r="O23" s="100">
        <v>0</v>
      </c>
      <c r="P23" s="100">
        <v>0.13</v>
      </c>
      <c r="Q23" s="100">
        <v>9.9</v>
      </c>
      <c r="R23" s="6"/>
      <c r="S23" s="6"/>
      <c r="T23" s="156"/>
      <c r="U23" s="6"/>
    </row>
    <row r="24" spans="1:21" customFormat="1">
      <c r="A24" s="163" t="s">
        <v>1119</v>
      </c>
      <c r="B24" s="100">
        <v>1.58</v>
      </c>
      <c r="C24" s="100">
        <v>4.13</v>
      </c>
      <c r="D24" s="100">
        <v>2.5499999999999998</v>
      </c>
      <c r="E24" s="100">
        <v>5.62</v>
      </c>
      <c r="F24" s="100">
        <v>2.0099999999999998</v>
      </c>
      <c r="G24" s="100">
        <v>20.59</v>
      </c>
      <c r="H24" s="100">
        <v>4.12</v>
      </c>
      <c r="I24" s="100">
        <v>2.96</v>
      </c>
      <c r="J24" s="100">
        <v>0.96</v>
      </c>
      <c r="K24" s="100">
        <v>254.99</v>
      </c>
      <c r="L24" s="100">
        <v>24.14</v>
      </c>
      <c r="M24" s="100">
        <v>97.48</v>
      </c>
      <c r="N24" s="100">
        <v>2.4</v>
      </c>
      <c r="O24" s="100">
        <v>0</v>
      </c>
      <c r="P24" s="100">
        <v>0.13</v>
      </c>
      <c r="Q24" s="100">
        <v>9.91</v>
      </c>
      <c r="R24" s="6"/>
      <c r="S24" s="6"/>
      <c r="T24" s="156"/>
      <c r="U24" s="6"/>
    </row>
    <row r="25" spans="1:21" customFormat="1">
      <c r="A25" s="163" t="s">
        <v>1120</v>
      </c>
      <c r="B25" s="100">
        <v>1.53</v>
      </c>
      <c r="C25" s="100">
        <v>4.0999999999999996</v>
      </c>
      <c r="D25" s="100">
        <v>2.57</v>
      </c>
      <c r="E25" s="100">
        <v>5.92</v>
      </c>
      <c r="F25" s="100">
        <v>2</v>
      </c>
      <c r="G25" s="100">
        <v>22.9</v>
      </c>
      <c r="H25" s="100">
        <v>3.53</v>
      </c>
      <c r="I25" s="100">
        <v>2.9</v>
      </c>
      <c r="J25" s="100">
        <v>0.92</v>
      </c>
      <c r="K25" s="100">
        <v>260.19</v>
      </c>
      <c r="L25" s="100">
        <v>24.13</v>
      </c>
      <c r="M25" s="100">
        <v>97.79</v>
      </c>
      <c r="N25" s="100">
        <v>2.4</v>
      </c>
      <c r="O25" s="100">
        <v>0</v>
      </c>
      <c r="P25" s="100">
        <v>0.14000000000000001</v>
      </c>
      <c r="Q25" s="100">
        <v>9.91</v>
      </c>
      <c r="R25" s="6"/>
      <c r="S25" s="6"/>
      <c r="T25" s="156"/>
      <c r="U25" s="6"/>
    </row>
    <row r="26" spans="1:21" customFormat="1">
      <c r="A26" s="163" t="s">
        <v>1121</v>
      </c>
      <c r="B26" s="100">
        <v>1.56</v>
      </c>
      <c r="C26" s="100">
        <v>4.08</v>
      </c>
      <c r="D26" s="100">
        <v>2.52</v>
      </c>
      <c r="E26" s="100">
        <v>5.89</v>
      </c>
      <c r="F26" s="100">
        <v>1.63</v>
      </c>
      <c r="G26" s="100">
        <v>22.9</v>
      </c>
      <c r="H26" s="100">
        <v>3.53</v>
      </c>
      <c r="I26" s="100">
        <v>2.87</v>
      </c>
      <c r="J26" s="100">
        <v>0.77</v>
      </c>
      <c r="K26" s="100">
        <v>257.73</v>
      </c>
      <c r="L26" s="100">
        <v>24.17</v>
      </c>
      <c r="M26" s="100">
        <v>97.75</v>
      </c>
      <c r="N26" s="100">
        <v>2.2999999999999998</v>
      </c>
      <c r="O26" s="100">
        <v>0</v>
      </c>
      <c r="P26" s="100">
        <v>0.14000000000000001</v>
      </c>
      <c r="Q26" s="100">
        <v>9.91</v>
      </c>
      <c r="R26" s="6"/>
      <c r="S26" s="6"/>
      <c r="T26" s="156"/>
      <c r="U26" s="6"/>
    </row>
    <row r="27" spans="1:21" customFormat="1">
      <c r="A27" s="163" t="s">
        <v>1122</v>
      </c>
      <c r="B27" s="100">
        <v>1.55</v>
      </c>
      <c r="C27" s="100">
        <v>4.07</v>
      </c>
      <c r="D27" s="100">
        <v>2.5299999999999998</v>
      </c>
      <c r="E27" s="100">
        <v>6</v>
      </c>
      <c r="F27" s="100">
        <v>1.92</v>
      </c>
      <c r="G27" s="100">
        <v>22.9</v>
      </c>
      <c r="H27" s="100">
        <v>3.53</v>
      </c>
      <c r="I27" s="100">
        <v>2.88</v>
      </c>
      <c r="J27" s="100">
        <v>0.75</v>
      </c>
      <c r="K27" s="100">
        <v>259.10000000000002</v>
      </c>
      <c r="L27" s="100">
        <v>24.18</v>
      </c>
      <c r="M27" s="100">
        <v>97.94</v>
      </c>
      <c r="N27" s="100">
        <v>2.4</v>
      </c>
      <c r="O27" s="100">
        <v>0</v>
      </c>
      <c r="P27" s="100">
        <v>0.14000000000000001</v>
      </c>
      <c r="Q27" s="100">
        <v>9.92</v>
      </c>
      <c r="R27" s="6"/>
      <c r="S27" s="6"/>
      <c r="T27" s="156"/>
      <c r="U27" s="6"/>
    </row>
    <row r="28" spans="1:21" customFormat="1">
      <c r="A28" s="163" t="s">
        <v>1123</v>
      </c>
      <c r="B28" s="100">
        <v>1.55</v>
      </c>
      <c r="C28" s="100">
        <v>4.05</v>
      </c>
      <c r="D28" s="100">
        <v>2.5099999999999998</v>
      </c>
      <c r="E28" s="100">
        <v>5.96</v>
      </c>
      <c r="F28" s="100">
        <v>1.91</v>
      </c>
      <c r="G28" s="100">
        <v>23.26</v>
      </c>
      <c r="H28" s="100">
        <v>3.83</v>
      </c>
      <c r="I28" s="100">
        <v>2.9</v>
      </c>
      <c r="J28" s="100">
        <v>0.87</v>
      </c>
      <c r="K28" s="100">
        <v>261.88</v>
      </c>
      <c r="L28" s="100">
        <v>24.17</v>
      </c>
      <c r="M28" s="100">
        <v>97.99</v>
      </c>
      <c r="N28" s="100">
        <v>2.4</v>
      </c>
      <c r="O28" s="100">
        <v>0</v>
      </c>
      <c r="P28" s="100">
        <v>0.13</v>
      </c>
      <c r="Q28" s="100">
        <v>9.91</v>
      </c>
      <c r="R28" s="6"/>
      <c r="S28" s="6"/>
      <c r="T28" s="156"/>
      <c r="U28" s="6"/>
    </row>
    <row r="29" spans="1:21" customFormat="1">
      <c r="A29" s="163" t="s">
        <v>1124</v>
      </c>
      <c r="B29" s="100">
        <v>1.55</v>
      </c>
      <c r="C29" s="100">
        <v>4.0999999999999996</v>
      </c>
      <c r="D29" s="100">
        <v>2.56</v>
      </c>
      <c r="E29" s="100">
        <v>6.28</v>
      </c>
      <c r="F29" s="100">
        <v>1.82</v>
      </c>
      <c r="G29" s="100">
        <v>24.9</v>
      </c>
      <c r="H29" s="100">
        <v>4.8</v>
      </c>
      <c r="I29" s="100">
        <v>2.9</v>
      </c>
      <c r="J29" s="100">
        <v>0.72</v>
      </c>
      <c r="K29" s="100">
        <v>255.89</v>
      </c>
      <c r="L29" s="100">
        <v>24.11</v>
      </c>
      <c r="M29" s="100">
        <v>98.52</v>
      </c>
      <c r="N29" s="100">
        <v>2.2999999999999998</v>
      </c>
      <c r="O29" s="100">
        <v>0.2</v>
      </c>
      <c r="P29" s="100">
        <v>0.13</v>
      </c>
      <c r="Q29" s="100">
        <v>9.9</v>
      </c>
      <c r="R29" s="6"/>
      <c r="S29" s="6"/>
      <c r="T29" s="156"/>
      <c r="U29" s="6"/>
    </row>
    <row r="30" spans="1:21" customFormat="1">
      <c r="A30" s="163" t="s">
        <v>1125</v>
      </c>
      <c r="B30" s="100">
        <v>1.57</v>
      </c>
      <c r="C30" s="100">
        <v>4.07</v>
      </c>
      <c r="D30" s="100">
        <v>2.5</v>
      </c>
      <c r="E30" s="100">
        <v>6.32</v>
      </c>
      <c r="F30" s="100">
        <v>1.91</v>
      </c>
      <c r="G30" s="100">
        <v>24.9</v>
      </c>
      <c r="H30" s="100">
        <v>4.8</v>
      </c>
      <c r="I30" s="100">
        <v>2.89</v>
      </c>
      <c r="J30" s="100">
        <v>0.72</v>
      </c>
      <c r="K30" s="100">
        <v>264.33999999999997</v>
      </c>
      <c r="L30" s="100">
        <v>24.02</v>
      </c>
      <c r="M30" s="100">
        <v>99.28</v>
      </c>
      <c r="N30" s="100">
        <v>2.4</v>
      </c>
      <c r="O30" s="100">
        <v>0</v>
      </c>
      <c r="P30" s="100">
        <v>0.13</v>
      </c>
      <c r="Q30" s="100">
        <v>9.91</v>
      </c>
      <c r="R30" s="6"/>
      <c r="S30" s="6"/>
      <c r="T30" s="156"/>
      <c r="U30" s="6"/>
    </row>
    <row r="31" spans="1:21" customFormat="1">
      <c r="A31" s="163" t="s">
        <v>1126</v>
      </c>
      <c r="B31" s="100">
        <v>1.55</v>
      </c>
      <c r="C31" s="100">
        <v>4.08</v>
      </c>
      <c r="D31" s="100">
        <v>2.5299999999999998</v>
      </c>
      <c r="E31" s="100">
        <v>6.3</v>
      </c>
      <c r="F31" s="100">
        <v>2.4300000000000002</v>
      </c>
      <c r="G31" s="100">
        <v>24.9</v>
      </c>
      <c r="H31" s="100">
        <v>4.8</v>
      </c>
      <c r="I31" s="100">
        <v>2.89</v>
      </c>
      <c r="J31" s="100">
        <v>0.7</v>
      </c>
      <c r="K31" s="100">
        <v>259.5</v>
      </c>
      <c r="L31" s="100">
        <v>24.04</v>
      </c>
      <c r="M31" s="100">
        <v>99.75</v>
      </c>
      <c r="N31" s="100">
        <v>2.6</v>
      </c>
      <c r="O31" s="100">
        <v>0</v>
      </c>
      <c r="P31" s="100">
        <v>0.13</v>
      </c>
      <c r="Q31" s="100">
        <v>9.9</v>
      </c>
      <c r="R31" s="6"/>
      <c r="S31" s="6"/>
      <c r="T31" s="156"/>
      <c r="U31" s="6"/>
    </row>
    <row r="32" spans="1:21" customFormat="1">
      <c r="A32" s="163" t="s">
        <v>1127</v>
      </c>
      <c r="B32" s="100">
        <v>1.59</v>
      </c>
      <c r="C32" s="100">
        <v>4.1399999999999997</v>
      </c>
      <c r="D32" s="100">
        <v>2.54</v>
      </c>
      <c r="E32" s="100">
        <v>6.27</v>
      </c>
      <c r="F32" s="100">
        <v>2.97</v>
      </c>
      <c r="G32" s="100">
        <v>23.74</v>
      </c>
      <c r="H32" s="100">
        <v>4.55</v>
      </c>
      <c r="I32" s="100">
        <v>2.87</v>
      </c>
      <c r="J32" s="100">
        <v>0.62</v>
      </c>
      <c r="K32" s="100">
        <v>256.02999999999997</v>
      </c>
      <c r="L32" s="100">
        <v>24.02</v>
      </c>
      <c r="M32" s="100">
        <v>99.98</v>
      </c>
      <c r="N32" s="100">
        <v>3.6</v>
      </c>
      <c r="O32" s="100">
        <v>0</v>
      </c>
      <c r="P32" s="100">
        <v>0.13</v>
      </c>
      <c r="Q32" s="100">
        <v>9.91</v>
      </c>
      <c r="R32" s="6"/>
      <c r="S32" s="6"/>
      <c r="T32" s="156"/>
      <c r="U32" s="6"/>
    </row>
    <row r="33" spans="1:21" customFormat="1">
      <c r="A33" s="163" t="s">
        <v>1128</v>
      </c>
      <c r="B33" s="100">
        <v>1.59</v>
      </c>
      <c r="C33" s="100">
        <v>4.09</v>
      </c>
      <c r="D33" s="100">
        <v>2.5</v>
      </c>
      <c r="E33" s="100">
        <v>6.15</v>
      </c>
      <c r="F33" s="100">
        <v>1.97</v>
      </c>
      <c r="G33" s="100">
        <v>18.39</v>
      </c>
      <c r="H33" s="100">
        <v>3.7</v>
      </c>
      <c r="I33" s="100">
        <v>2.83</v>
      </c>
      <c r="J33" s="100">
        <v>0.66</v>
      </c>
      <c r="K33" s="100">
        <v>258.27999999999997</v>
      </c>
      <c r="L33" s="100">
        <v>24.06</v>
      </c>
      <c r="M33" s="100">
        <v>100.09</v>
      </c>
      <c r="N33" s="100">
        <v>5.2</v>
      </c>
      <c r="O33" s="100">
        <v>0</v>
      </c>
      <c r="P33" s="100">
        <v>0.14000000000000001</v>
      </c>
      <c r="Q33" s="100">
        <v>9.9</v>
      </c>
      <c r="R33" s="6"/>
      <c r="S33" s="6"/>
      <c r="T33" s="156"/>
      <c r="U33" s="6"/>
    </row>
    <row r="34" spans="1:21" customFormat="1">
      <c r="A34" s="163" t="s">
        <v>1129</v>
      </c>
      <c r="B34" s="100">
        <v>1.57</v>
      </c>
      <c r="C34" s="100">
        <v>4.16</v>
      </c>
      <c r="D34" s="100">
        <v>2.59</v>
      </c>
      <c r="E34" s="100">
        <v>6.28</v>
      </c>
      <c r="F34" s="100">
        <v>1.94</v>
      </c>
      <c r="G34" s="100">
        <v>18.39</v>
      </c>
      <c r="H34" s="100">
        <v>3.7</v>
      </c>
      <c r="I34" s="100">
        <v>2.87</v>
      </c>
      <c r="J34" s="100">
        <v>0.5</v>
      </c>
      <c r="K34" s="100">
        <v>259.52</v>
      </c>
      <c r="L34" s="100">
        <v>24.1</v>
      </c>
      <c r="M34" s="100">
        <v>100.06</v>
      </c>
      <c r="N34" s="100">
        <v>9</v>
      </c>
      <c r="O34" s="100">
        <v>0</v>
      </c>
      <c r="P34" s="100">
        <v>0.15</v>
      </c>
      <c r="Q34" s="100">
        <v>9.89</v>
      </c>
      <c r="R34" s="6"/>
      <c r="S34" s="6"/>
      <c r="T34" s="156"/>
      <c r="U34" s="6"/>
    </row>
    <row r="35" spans="1:21" customFormat="1">
      <c r="A35" s="163" t="s">
        <v>1130</v>
      </c>
      <c r="B35" s="100">
        <v>1.58</v>
      </c>
      <c r="C35" s="100">
        <v>4.18</v>
      </c>
      <c r="D35" s="100">
        <v>2.61</v>
      </c>
      <c r="E35" s="100">
        <v>6.2</v>
      </c>
      <c r="F35" s="100">
        <v>1.58</v>
      </c>
      <c r="G35" s="100">
        <v>18.39</v>
      </c>
      <c r="H35" s="100">
        <v>3.7</v>
      </c>
      <c r="I35" s="100">
        <v>2.97</v>
      </c>
      <c r="J35" s="100">
        <v>0.52</v>
      </c>
      <c r="K35" s="100">
        <v>258.74</v>
      </c>
      <c r="L35" s="100">
        <v>24.12</v>
      </c>
      <c r="M35" s="100">
        <v>100.13</v>
      </c>
      <c r="N35" s="100">
        <v>11.8</v>
      </c>
      <c r="O35" s="100">
        <v>0</v>
      </c>
      <c r="P35" s="100">
        <v>0.16</v>
      </c>
      <c r="Q35" s="100">
        <v>9.91</v>
      </c>
      <c r="R35" s="6"/>
      <c r="S35" s="6"/>
      <c r="T35" s="156"/>
      <c r="U35" s="6"/>
    </row>
    <row r="36" spans="1:21" customFormat="1">
      <c r="A36" s="163" t="s">
        <v>1131</v>
      </c>
      <c r="B36" s="100">
        <v>1.55</v>
      </c>
      <c r="C36" s="100">
        <v>4.22</v>
      </c>
      <c r="D36" s="100">
        <v>2.67</v>
      </c>
      <c r="E36" s="100">
        <v>6.13</v>
      </c>
      <c r="F36" s="100">
        <v>1.78</v>
      </c>
      <c r="G36" s="100">
        <v>19.55</v>
      </c>
      <c r="H36" s="100">
        <v>3.9</v>
      </c>
      <c r="I36" s="100">
        <v>3.12</v>
      </c>
      <c r="J36" s="100">
        <v>0.31</v>
      </c>
      <c r="K36" s="100">
        <v>254</v>
      </c>
      <c r="L36" s="100">
        <v>24.15</v>
      </c>
      <c r="M36" s="100">
        <v>100.15</v>
      </c>
      <c r="N36" s="100">
        <v>15</v>
      </c>
      <c r="O36" s="100">
        <v>0</v>
      </c>
      <c r="P36" s="100">
        <v>0.17</v>
      </c>
      <c r="Q36" s="100">
        <v>9.91</v>
      </c>
      <c r="R36" s="6"/>
      <c r="S36" s="6"/>
      <c r="T36" s="156"/>
      <c r="U36" s="6"/>
    </row>
    <row r="37" spans="1:21" customFormat="1">
      <c r="A37" s="163" t="s">
        <v>1132</v>
      </c>
      <c r="B37" s="100">
        <v>1.59</v>
      </c>
      <c r="C37" s="100">
        <v>4.22</v>
      </c>
      <c r="D37" s="100">
        <v>2.63</v>
      </c>
      <c r="E37" s="100">
        <v>6.3</v>
      </c>
      <c r="F37" s="100">
        <v>1.75</v>
      </c>
      <c r="G37" s="100">
        <v>24.94</v>
      </c>
      <c r="H37" s="100">
        <v>4.91</v>
      </c>
      <c r="I37" s="100">
        <v>3.28</v>
      </c>
      <c r="J37" s="100">
        <v>0.33</v>
      </c>
      <c r="K37" s="100">
        <v>257.18</v>
      </c>
      <c r="L37" s="100">
        <v>24.27</v>
      </c>
      <c r="M37" s="100">
        <v>100.13</v>
      </c>
      <c r="N37" s="100">
        <v>22.4</v>
      </c>
      <c r="O37" s="100">
        <v>0</v>
      </c>
      <c r="P37" s="100">
        <v>0.17</v>
      </c>
      <c r="Q37" s="100">
        <v>9.92</v>
      </c>
      <c r="R37" s="6"/>
      <c r="S37" s="6"/>
      <c r="T37" s="156"/>
      <c r="U37" s="6"/>
    </row>
    <row r="38" spans="1:21" customFormat="1">
      <c r="A38" s="163" t="s">
        <v>1133</v>
      </c>
      <c r="B38" s="100">
        <v>1.62</v>
      </c>
      <c r="C38" s="100">
        <v>4.26</v>
      </c>
      <c r="D38" s="100">
        <v>2.64</v>
      </c>
      <c r="E38" s="100">
        <v>6.27</v>
      </c>
      <c r="F38" s="100">
        <v>1.86</v>
      </c>
      <c r="G38" s="100">
        <v>24.94</v>
      </c>
      <c r="H38" s="100">
        <v>4.91</v>
      </c>
      <c r="I38" s="100">
        <v>3.44</v>
      </c>
      <c r="J38" s="100">
        <v>0.44</v>
      </c>
      <c r="K38" s="100">
        <v>256.22000000000003</v>
      </c>
      <c r="L38" s="100">
        <v>24.29</v>
      </c>
      <c r="M38" s="100">
        <v>100.04</v>
      </c>
      <c r="N38" s="100">
        <v>29.7</v>
      </c>
      <c r="O38" s="100">
        <v>0</v>
      </c>
      <c r="P38" s="100">
        <v>0.18</v>
      </c>
      <c r="Q38" s="100">
        <v>9.93</v>
      </c>
      <c r="R38" s="6"/>
      <c r="S38" s="6"/>
      <c r="T38" s="156"/>
      <c r="U38" s="6"/>
    </row>
    <row r="39" spans="1:21" customFormat="1">
      <c r="A39" s="163" t="s">
        <v>1134</v>
      </c>
      <c r="B39" s="100">
        <v>1.76</v>
      </c>
      <c r="C39" s="100">
        <v>4.5</v>
      </c>
      <c r="D39" s="100">
        <v>2.74</v>
      </c>
      <c r="E39" s="100">
        <v>6.28</v>
      </c>
      <c r="F39" s="100">
        <v>0.43</v>
      </c>
      <c r="G39" s="100">
        <v>24.94</v>
      </c>
      <c r="H39" s="100">
        <v>4.91</v>
      </c>
      <c r="I39" s="100">
        <v>3.61</v>
      </c>
      <c r="J39" s="100">
        <v>0.44</v>
      </c>
      <c r="K39" s="100">
        <v>259.08999999999997</v>
      </c>
      <c r="L39" s="100">
        <v>24.35</v>
      </c>
      <c r="M39" s="100">
        <v>100.06</v>
      </c>
      <c r="N39" s="100">
        <v>36.6</v>
      </c>
      <c r="O39" s="100">
        <v>0</v>
      </c>
      <c r="P39" s="100">
        <v>0.16</v>
      </c>
      <c r="Q39" s="100">
        <v>9.93</v>
      </c>
      <c r="R39" s="6"/>
      <c r="S39" s="6"/>
      <c r="T39" s="156"/>
      <c r="U39" s="6"/>
    </row>
    <row r="40" spans="1:21" customFormat="1">
      <c r="A40" s="163" t="s">
        <v>1135</v>
      </c>
      <c r="B40" s="100">
        <v>2.16</v>
      </c>
      <c r="C40" s="100">
        <v>5.05</v>
      </c>
      <c r="D40" s="100">
        <v>2.88</v>
      </c>
      <c r="E40" s="100">
        <v>6.57</v>
      </c>
      <c r="F40" s="100">
        <v>1.98</v>
      </c>
      <c r="G40" s="100">
        <v>24.2</v>
      </c>
      <c r="H40" s="100">
        <v>5.62</v>
      </c>
      <c r="I40" s="100">
        <v>3.75</v>
      </c>
      <c r="J40" s="100">
        <v>0.46</v>
      </c>
      <c r="K40" s="100">
        <v>260.11</v>
      </c>
      <c r="L40" s="100">
        <v>24.46</v>
      </c>
      <c r="M40" s="100">
        <v>99.83</v>
      </c>
      <c r="N40" s="100">
        <v>47.7</v>
      </c>
      <c r="O40" s="100">
        <v>0</v>
      </c>
      <c r="P40" s="100">
        <v>0.15</v>
      </c>
      <c r="Q40" s="100">
        <v>9.91</v>
      </c>
      <c r="R40" s="6"/>
      <c r="S40" s="6"/>
      <c r="T40" s="156"/>
      <c r="U40" s="6"/>
    </row>
    <row r="41" spans="1:21" customFormat="1">
      <c r="A41" s="163" t="s">
        <v>1136</v>
      </c>
      <c r="B41" s="100">
        <v>2.17</v>
      </c>
      <c r="C41" s="100">
        <v>5.01</v>
      </c>
      <c r="D41" s="100">
        <v>2.85</v>
      </c>
      <c r="E41" s="100">
        <v>6.2</v>
      </c>
      <c r="F41" s="100">
        <v>2.27</v>
      </c>
      <c r="G41" s="100">
        <v>20.76</v>
      </c>
      <c r="H41" s="100">
        <v>7.89</v>
      </c>
      <c r="I41" s="100">
        <v>3.88</v>
      </c>
      <c r="J41" s="100">
        <v>0.55000000000000004</v>
      </c>
      <c r="K41" s="100">
        <v>256.04000000000002</v>
      </c>
      <c r="L41" s="100">
        <v>24.62</v>
      </c>
      <c r="M41" s="100">
        <v>99.43</v>
      </c>
      <c r="N41" s="100">
        <v>63.4</v>
      </c>
      <c r="O41" s="100">
        <v>0</v>
      </c>
      <c r="P41" s="100">
        <v>0.16</v>
      </c>
      <c r="Q41" s="100">
        <v>9.92</v>
      </c>
      <c r="R41" s="6"/>
      <c r="S41" s="6"/>
      <c r="T41" s="156"/>
      <c r="U41" s="6"/>
    </row>
    <row r="42" spans="1:21" customFormat="1">
      <c r="A42" s="163" t="s">
        <v>1137</v>
      </c>
      <c r="B42" s="100">
        <v>2.17</v>
      </c>
      <c r="C42" s="100">
        <v>5.01</v>
      </c>
      <c r="D42" s="100">
        <v>2.84</v>
      </c>
      <c r="E42" s="100">
        <v>6.33</v>
      </c>
      <c r="F42" s="100">
        <v>1.37</v>
      </c>
      <c r="G42" s="100">
        <v>20.76</v>
      </c>
      <c r="H42" s="100">
        <v>7.89</v>
      </c>
      <c r="I42" s="100">
        <v>3.96</v>
      </c>
      <c r="J42" s="100">
        <v>0.57999999999999996</v>
      </c>
      <c r="K42" s="100">
        <v>260.69</v>
      </c>
      <c r="L42" s="100">
        <v>24.81</v>
      </c>
      <c r="M42" s="100">
        <v>98.53</v>
      </c>
      <c r="N42" s="100">
        <v>85.8</v>
      </c>
      <c r="O42" s="100">
        <v>0</v>
      </c>
      <c r="P42" s="100">
        <v>0.15</v>
      </c>
      <c r="Q42" s="100">
        <v>9.93</v>
      </c>
      <c r="R42" s="6"/>
      <c r="S42" s="6"/>
      <c r="T42" s="156"/>
      <c r="U42" s="6"/>
    </row>
    <row r="43" spans="1:21" customFormat="1">
      <c r="A43" s="163" t="s">
        <v>1138</v>
      </c>
      <c r="B43" s="100">
        <v>2.4</v>
      </c>
      <c r="C43" s="100">
        <v>5.29</v>
      </c>
      <c r="D43" s="100">
        <v>2.89</v>
      </c>
      <c r="E43" s="100">
        <v>5.93</v>
      </c>
      <c r="F43" s="100">
        <v>2.48</v>
      </c>
      <c r="G43" s="100">
        <v>20.76</v>
      </c>
      <c r="H43" s="100">
        <v>7.89</v>
      </c>
      <c r="I43" s="100">
        <v>4.1100000000000003</v>
      </c>
      <c r="J43" s="100">
        <v>0.57999999999999996</v>
      </c>
      <c r="K43" s="100">
        <v>259.02999999999997</v>
      </c>
      <c r="L43" s="100">
        <v>25.12</v>
      </c>
      <c r="M43" s="100">
        <v>97.4</v>
      </c>
      <c r="N43" s="100">
        <v>112.9</v>
      </c>
      <c r="O43" s="100">
        <v>0</v>
      </c>
      <c r="P43" s="100">
        <v>0.16</v>
      </c>
      <c r="Q43" s="100">
        <v>9.94</v>
      </c>
      <c r="R43" s="6"/>
      <c r="S43" s="6"/>
      <c r="T43" s="156"/>
      <c r="U43" s="6"/>
    </row>
    <row r="44" spans="1:21" customFormat="1">
      <c r="A44" s="163" t="s">
        <v>1139</v>
      </c>
      <c r="B44" s="100">
        <v>2.2999999999999998</v>
      </c>
      <c r="C44" s="100">
        <v>5.13</v>
      </c>
      <c r="D44" s="100">
        <v>2.83</v>
      </c>
      <c r="E44" s="100">
        <v>5.95</v>
      </c>
      <c r="F44" s="100">
        <v>1.79</v>
      </c>
      <c r="G44" s="100">
        <v>21.17</v>
      </c>
      <c r="H44" s="100">
        <v>8.0399999999999991</v>
      </c>
      <c r="I44" s="100">
        <v>4.16</v>
      </c>
      <c r="J44" s="100">
        <v>0.78</v>
      </c>
      <c r="K44" s="100">
        <v>259.97000000000003</v>
      </c>
      <c r="L44" s="100">
        <v>25.36</v>
      </c>
      <c r="M44" s="100">
        <v>95.79</v>
      </c>
      <c r="N44" s="100">
        <v>122.6</v>
      </c>
      <c r="O44" s="100">
        <v>0</v>
      </c>
      <c r="P44" s="100">
        <v>0.18</v>
      </c>
      <c r="Q44" s="100">
        <v>9.92</v>
      </c>
      <c r="R44" s="6"/>
      <c r="S44" s="6"/>
      <c r="T44" s="156"/>
      <c r="U44" s="6"/>
    </row>
    <row r="45" spans="1:21" customFormat="1">
      <c r="A45" s="163" t="s">
        <v>1140</v>
      </c>
      <c r="B45" s="100">
        <v>2.44</v>
      </c>
      <c r="C45" s="100">
        <v>5.37</v>
      </c>
      <c r="D45" s="100">
        <v>2.93</v>
      </c>
      <c r="E45" s="100">
        <v>5.68</v>
      </c>
      <c r="F45" s="100">
        <v>2.35</v>
      </c>
      <c r="G45" s="100">
        <v>23.07</v>
      </c>
      <c r="H45" s="100">
        <v>8.56</v>
      </c>
      <c r="I45" s="100">
        <v>4.26</v>
      </c>
      <c r="J45" s="100">
        <v>0.7</v>
      </c>
      <c r="K45" s="100">
        <v>259.01</v>
      </c>
      <c r="L45" s="100">
        <v>25.59</v>
      </c>
      <c r="M45" s="100">
        <v>94.52</v>
      </c>
      <c r="N45" s="100">
        <v>127.5</v>
      </c>
      <c r="O45" s="100">
        <v>0</v>
      </c>
      <c r="P45" s="100">
        <v>0.17</v>
      </c>
      <c r="Q45" s="100">
        <v>9.92</v>
      </c>
      <c r="R45" s="6"/>
      <c r="S45" s="6"/>
      <c r="T45" s="156"/>
      <c r="U45" s="6"/>
    </row>
    <row r="46" spans="1:21" customFormat="1">
      <c r="A46" s="163" t="s">
        <v>1141</v>
      </c>
      <c r="B46" s="100">
        <v>2.39</v>
      </c>
      <c r="C46" s="100">
        <v>5.3</v>
      </c>
      <c r="D46" s="100">
        <v>2.91</v>
      </c>
      <c r="E46" s="100">
        <v>5.74</v>
      </c>
      <c r="F46" s="100">
        <v>2.13</v>
      </c>
      <c r="G46" s="100">
        <v>23.07</v>
      </c>
      <c r="H46" s="100">
        <v>8.56</v>
      </c>
      <c r="I46" s="100">
        <v>4.3899999999999997</v>
      </c>
      <c r="J46" s="100">
        <v>0.64</v>
      </c>
      <c r="K46" s="100">
        <v>261.10000000000002</v>
      </c>
      <c r="L46" s="100">
        <v>25.81</v>
      </c>
      <c r="M46" s="100">
        <v>93.42</v>
      </c>
      <c r="N46" s="100">
        <v>122.1</v>
      </c>
      <c r="O46" s="100">
        <v>0</v>
      </c>
      <c r="P46" s="100">
        <v>0.19</v>
      </c>
      <c r="Q46" s="100">
        <v>9.91</v>
      </c>
      <c r="R46" s="6"/>
      <c r="S46" s="6"/>
      <c r="T46" s="156"/>
      <c r="U46" s="6"/>
    </row>
    <row r="47" spans="1:21" customFormat="1">
      <c r="A47" s="163" t="s">
        <v>1142</v>
      </c>
      <c r="B47" s="100">
        <v>2.34</v>
      </c>
      <c r="C47" s="100">
        <v>5.28</v>
      </c>
      <c r="D47" s="100">
        <v>2.94</v>
      </c>
      <c r="E47" s="100">
        <v>5.68</v>
      </c>
      <c r="F47" s="100">
        <v>1.55</v>
      </c>
      <c r="G47" s="100">
        <v>23.07</v>
      </c>
      <c r="H47" s="100">
        <v>8.56</v>
      </c>
      <c r="I47" s="100">
        <v>4.4400000000000004</v>
      </c>
      <c r="J47" s="100">
        <v>0.69</v>
      </c>
      <c r="K47" s="100">
        <v>264.01</v>
      </c>
      <c r="L47" s="100">
        <v>26.33</v>
      </c>
      <c r="M47" s="100">
        <v>91.64</v>
      </c>
      <c r="N47" s="100">
        <v>206.3</v>
      </c>
      <c r="O47" s="100">
        <v>0</v>
      </c>
      <c r="P47" s="100">
        <v>0.19</v>
      </c>
      <c r="Q47" s="100">
        <v>9.92</v>
      </c>
      <c r="R47" s="6"/>
      <c r="S47" s="6"/>
      <c r="T47" s="156"/>
      <c r="U47" s="6"/>
    </row>
    <row r="48" spans="1:21" customFormat="1">
      <c r="A48" s="163" t="s">
        <v>1143</v>
      </c>
      <c r="B48" s="100">
        <v>2.5</v>
      </c>
      <c r="C48" s="100">
        <v>5.51</v>
      </c>
      <c r="D48" s="100">
        <v>3.02</v>
      </c>
      <c r="E48" s="100">
        <v>5.39</v>
      </c>
      <c r="F48" s="100">
        <v>2.68</v>
      </c>
      <c r="G48" s="100">
        <v>23.91</v>
      </c>
      <c r="H48" s="100">
        <v>9.58</v>
      </c>
      <c r="I48" s="100">
        <v>4.5999999999999996</v>
      </c>
      <c r="J48" s="100">
        <v>0.65</v>
      </c>
      <c r="K48" s="100">
        <v>264.39999999999998</v>
      </c>
      <c r="L48" s="100">
        <v>26.58</v>
      </c>
      <c r="M48" s="100">
        <v>90.01</v>
      </c>
      <c r="N48" s="100">
        <v>166</v>
      </c>
      <c r="O48" s="100">
        <v>0</v>
      </c>
      <c r="P48" s="100">
        <v>0.19</v>
      </c>
      <c r="Q48" s="100">
        <v>9.93</v>
      </c>
      <c r="R48" s="6"/>
      <c r="S48" s="6"/>
      <c r="T48" s="156"/>
      <c r="U48" s="6"/>
    </row>
    <row r="49" spans="1:21" customFormat="1">
      <c r="A49" s="163" t="s">
        <v>1144</v>
      </c>
      <c r="B49" s="100">
        <v>2.4</v>
      </c>
      <c r="C49" s="100">
        <v>5.34</v>
      </c>
      <c r="D49" s="100">
        <v>2.95</v>
      </c>
      <c r="E49" s="100">
        <v>3.89</v>
      </c>
      <c r="F49" s="100">
        <v>1.92</v>
      </c>
      <c r="G49" s="100">
        <v>27.79</v>
      </c>
      <c r="H49" s="100">
        <v>12.83</v>
      </c>
      <c r="I49" s="100">
        <v>4.74</v>
      </c>
      <c r="J49" s="100">
        <v>0.73</v>
      </c>
      <c r="K49" s="100">
        <v>268.2</v>
      </c>
      <c r="L49" s="100">
        <v>26.66</v>
      </c>
      <c r="M49" s="100">
        <v>89.29</v>
      </c>
      <c r="N49" s="100">
        <v>140.19999999999999</v>
      </c>
      <c r="O49" s="100">
        <v>0</v>
      </c>
      <c r="P49" s="100">
        <v>0.22</v>
      </c>
      <c r="Q49" s="100">
        <v>9.9499999999999993</v>
      </c>
      <c r="R49" s="6"/>
      <c r="S49" s="6"/>
      <c r="T49" s="156"/>
      <c r="U49" s="6"/>
    </row>
    <row r="50" spans="1:21" customFormat="1">
      <c r="A50" s="163" t="s">
        <v>1145</v>
      </c>
      <c r="B50" s="100">
        <v>2.4</v>
      </c>
      <c r="C50" s="100">
        <v>5.46</v>
      </c>
      <c r="D50" s="100">
        <v>3.06</v>
      </c>
      <c r="E50" s="100">
        <v>4.71</v>
      </c>
      <c r="F50" s="100">
        <v>2</v>
      </c>
      <c r="G50" s="100">
        <v>27.79</v>
      </c>
      <c r="H50" s="100">
        <v>12.83</v>
      </c>
      <c r="I50" s="100">
        <v>4.92</v>
      </c>
      <c r="J50" s="100">
        <v>0.53</v>
      </c>
      <c r="K50" s="100">
        <v>265.5</v>
      </c>
      <c r="L50" s="100">
        <v>26.64</v>
      </c>
      <c r="M50" s="100">
        <v>89.86</v>
      </c>
      <c r="N50" s="100">
        <v>152.1</v>
      </c>
      <c r="O50" s="100">
        <v>0</v>
      </c>
      <c r="P50" s="100">
        <v>0.23</v>
      </c>
      <c r="Q50" s="100">
        <v>9.93</v>
      </c>
      <c r="R50" s="6"/>
      <c r="S50" s="6"/>
      <c r="T50" s="156"/>
      <c r="U50" s="6"/>
    </row>
    <row r="51" spans="1:21" customFormat="1">
      <c r="A51" s="163" t="s">
        <v>1146</v>
      </c>
      <c r="B51" s="100">
        <v>2.64</v>
      </c>
      <c r="C51" s="100">
        <v>5.77</v>
      </c>
      <c r="D51" s="100">
        <v>3.13</v>
      </c>
      <c r="E51" s="100">
        <v>4.74</v>
      </c>
      <c r="F51" s="100">
        <v>2.69</v>
      </c>
      <c r="G51" s="100">
        <v>27.79</v>
      </c>
      <c r="H51" s="100">
        <v>12.83</v>
      </c>
      <c r="I51" s="100">
        <v>5.22</v>
      </c>
      <c r="J51" s="100">
        <v>0.56000000000000005</v>
      </c>
      <c r="K51" s="100">
        <v>263.75</v>
      </c>
      <c r="L51" s="100">
        <v>27.49</v>
      </c>
      <c r="M51" s="100">
        <v>87.65</v>
      </c>
      <c r="N51" s="100">
        <v>269.10000000000002</v>
      </c>
      <c r="O51" s="100">
        <v>0</v>
      </c>
      <c r="P51" s="100">
        <v>0.24</v>
      </c>
      <c r="Q51" s="100">
        <v>9.94</v>
      </c>
      <c r="R51" s="6"/>
      <c r="S51" s="6"/>
      <c r="T51" s="156"/>
      <c r="U51" s="6"/>
    </row>
    <row r="52" spans="1:21" customFormat="1">
      <c r="A52" s="163" t="s">
        <v>1147</v>
      </c>
      <c r="B52" s="100">
        <v>2.52</v>
      </c>
      <c r="C52" s="100">
        <v>5.64</v>
      </c>
      <c r="D52" s="100">
        <v>3.12</v>
      </c>
      <c r="E52" s="100">
        <v>4.92</v>
      </c>
      <c r="F52" s="100">
        <v>5.39</v>
      </c>
      <c r="G52" s="100">
        <v>28.85</v>
      </c>
      <c r="H52" s="100">
        <v>12.94</v>
      </c>
      <c r="I52" s="100">
        <v>5.54</v>
      </c>
      <c r="J52" s="100">
        <v>0.75</v>
      </c>
      <c r="K52" s="100">
        <v>260.45</v>
      </c>
      <c r="L52" s="100">
        <v>28.2</v>
      </c>
      <c r="M52" s="100">
        <v>84.26</v>
      </c>
      <c r="N52" s="100">
        <v>300.7</v>
      </c>
      <c r="O52" s="100">
        <v>0</v>
      </c>
      <c r="P52" s="100">
        <v>0.26</v>
      </c>
      <c r="Q52" s="100">
        <v>9.93</v>
      </c>
      <c r="R52" s="6"/>
      <c r="S52" s="6"/>
      <c r="T52" s="156"/>
      <c r="U52" s="6"/>
    </row>
    <row r="53" spans="1:21" customFormat="1">
      <c r="A53" s="163" t="s">
        <v>1148</v>
      </c>
      <c r="B53" s="100">
        <v>2.44</v>
      </c>
      <c r="C53" s="100">
        <v>5.55</v>
      </c>
      <c r="D53" s="100">
        <v>3.11</v>
      </c>
      <c r="E53" s="100">
        <v>3.44</v>
      </c>
      <c r="F53" s="100">
        <v>24.17</v>
      </c>
      <c r="G53" s="100">
        <v>33.75</v>
      </c>
      <c r="H53" s="100">
        <v>13.5</v>
      </c>
      <c r="I53" s="100">
        <v>5.83</v>
      </c>
      <c r="J53" s="100">
        <v>0.86</v>
      </c>
      <c r="K53" s="100">
        <v>263.92</v>
      </c>
      <c r="L53" s="100">
        <v>28.44</v>
      </c>
      <c r="M53" s="100">
        <v>82.47</v>
      </c>
      <c r="N53" s="100">
        <v>288</v>
      </c>
      <c r="O53" s="100">
        <v>0</v>
      </c>
      <c r="P53" s="100">
        <v>0.24</v>
      </c>
      <c r="Q53" s="100">
        <v>9.92</v>
      </c>
      <c r="R53" s="6"/>
      <c r="S53" s="6"/>
      <c r="T53" s="156"/>
      <c r="U53" s="6"/>
    </row>
    <row r="54" spans="1:21" customFormat="1">
      <c r="A54" s="163" t="s">
        <v>1149</v>
      </c>
      <c r="B54" s="100">
        <v>17.72</v>
      </c>
      <c r="C54" s="100">
        <v>34.9</v>
      </c>
      <c r="D54" s="100">
        <v>17.18</v>
      </c>
      <c r="E54" s="100">
        <v>2.81</v>
      </c>
      <c r="F54" s="100">
        <v>25.46</v>
      </c>
      <c r="G54" s="100">
        <v>33.75</v>
      </c>
      <c r="H54" s="100">
        <v>13.5</v>
      </c>
      <c r="I54" s="100">
        <v>6</v>
      </c>
      <c r="J54" s="100">
        <v>0.79</v>
      </c>
      <c r="K54" s="100">
        <v>260.75</v>
      </c>
      <c r="L54" s="100">
        <v>28.54</v>
      </c>
      <c r="M54" s="100">
        <v>82.23</v>
      </c>
      <c r="N54" s="100">
        <v>248.4</v>
      </c>
      <c r="O54" s="100">
        <v>0</v>
      </c>
      <c r="P54" s="100">
        <v>0.22</v>
      </c>
      <c r="Q54" s="100">
        <v>9.92</v>
      </c>
      <c r="R54" s="6"/>
      <c r="S54" s="6"/>
      <c r="T54" s="156"/>
      <c r="U54" s="6"/>
    </row>
    <row r="55" spans="1:21" customFormat="1">
      <c r="A55" s="163" t="s">
        <v>1150</v>
      </c>
      <c r="B55" s="100">
        <v>47.54</v>
      </c>
      <c r="C55" s="100">
        <v>105.34</v>
      </c>
      <c r="D55" s="100">
        <v>57.8</v>
      </c>
      <c r="E55" s="100">
        <v>2.89</v>
      </c>
      <c r="F55" s="100">
        <v>31.85</v>
      </c>
      <c r="G55" s="100">
        <v>33.75</v>
      </c>
      <c r="H55" s="100">
        <v>13.5</v>
      </c>
      <c r="I55" s="100">
        <v>6.5</v>
      </c>
      <c r="J55" s="100">
        <v>0.76</v>
      </c>
      <c r="K55" s="100">
        <v>259.79000000000002</v>
      </c>
      <c r="L55" s="100">
        <v>28.39</v>
      </c>
      <c r="M55" s="100">
        <v>83</v>
      </c>
      <c r="N55" s="100">
        <v>204.8</v>
      </c>
      <c r="O55" s="100">
        <v>0</v>
      </c>
      <c r="P55" s="100">
        <v>0.21</v>
      </c>
      <c r="Q55" s="100">
        <v>9.9499999999999993</v>
      </c>
      <c r="R55" s="6"/>
      <c r="S55" s="6"/>
      <c r="T55" s="156"/>
      <c r="U55" s="6"/>
    </row>
    <row r="56" spans="1:21" customFormat="1">
      <c r="A56" s="163" t="s">
        <v>1151</v>
      </c>
      <c r="B56" s="100">
        <v>65.98</v>
      </c>
      <c r="C56" s="100">
        <v>157.87</v>
      </c>
      <c r="D56" s="100">
        <v>91.89</v>
      </c>
      <c r="E56" s="100">
        <v>1.51</v>
      </c>
      <c r="F56" s="100">
        <v>31.56</v>
      </c>
      <c r="G56" s="100">
        <v>33.04</v>
      </c>
      <c r="H56" s="100">
        <v>13.37</v>
      </c>
      <c r="I56" s="100">
        <v>7.28</v>
      </c>
      <c r="J56" s="100">
        <v>0.8</v>
      </c>
      <c r="K56" s="100">
        <v>256.43</v>
      </c>
      <c r="L56" s="100">
        <v>28.29</v>
      </c>
      <c r="M56" s="100">
        <v>84.76</v>
      </c>
      <c r="N56" s="100">
        <v>168.8</v>
      </c>
      <c r="O56" s="100">
        <v>0</v>
      </c>
      <c r="P56" s="100">
        <v>0.28000000000000003</v>
      </c>
      <c r="Q56" s="100">
        <v>10</v>
      </c>
      <c r="R56" s="6"/>
      <c r="S56" s="6"/>
      <c r="T56" s="156"/>
      <c r="U56" s="6"/>
    </row>
    <row r="57" spans="1:21" customFormat="1">
      <c r="A57" s="163" t="s">
        <v>1152</v>
      </c>
      <c r="B57" s="100">
        <v>65.67</v>
      </c>
      <c r="C57" s="100">
        <v>171.15</v>
      </c>
      <c r="D57" s="100">
        <v>105.47</v>
      </c>
      <c r="E57" s="100">
        <v>1.47</v>
      </c>
      <c r="F57" s="100">
        <v>29.36</v>
      </c>
      <c r="G57" s="100">
        <v>29.74</v>
      </c>
      <c r="H57" s="100">
        <v>12.92</v>
      </c>
      <c r="I57" s="100">
        <v>7.62</v>
      </c>
      <c r="J57" s="100">
        <v>0.78</v>
      </c>
      <c r="K57" s="100">
        <v>254.1</v>
      </c>
      <c r="L57" s="100">
        <v>28.13</v>
      </c>
      <c r="M57" s="100">
        <v>85.73</v>
      </c>
      <c r="N57" s="100">
        <v>193.8</v>
      </c>
      <c r="O57" s="100">
        <v>0</v>
      </c>
      <c r="P57" s="100">
        <v>0.34</v>
      </c>
      <c r="Q57" s="100">
        <v>10</v>
      </c>
      <c r="R57" s="6"/>
      <c r="S57" s="6"/>
      <c r="T57" s="156"/>
      <c r="U57" s="6"/>
    </row>
    <row r="58" spans="1:21" customFormat="1">
      <c r="A58" s="163" t="s">
        <v>1153</v>
      </c>
      <c r="B58" s="100">
        <v>65.67</v>
      </c>
      <c r="C58" s="100">
        <v>171.15</v>
      </c>
      <c r="D58" s="100">
        <v>0.49</v>
      </c>
      <c r="E58" s="100">
        <v>2.31</v>
      </c>
      <c r="F58" s="100">
        <v>24.46</v>
      </c>
      <c r="G58" s="100">
        <v>29.74</v>
      </c>
      <c r="H58" s="100">
        <v>12.92</v>
      </c>
      <c r="I58" s="100">
        <v>8.15</v>
      </c>
      <c r="J58" s="100">
        <v>0.66</v>
      </c>
      <c r="K58" s="100">
        <v>258.37</v>
      </c>
      <c r="L58" s="100">
        <v>28.4</v>
      </c>
      <c r="M58" s="100">
        <v>84.72</v>
      </c>
      <c r="N58" s="100">
        <v>201.9</v>
      </c>
      <c r="O58" s="100">
        <v>0</v>
      </c>
      <c r="P58" s="100">
        <v>0.31</v>
      </c>
      <c r="Q58" s="100">
        <v>10</v>
      </c>
      <c r="R58" s="6"/>
      <c r="S58" s="6"/>
      <c r="T58" s="156"/>
      <c r="U58" s="6"/>
    </row>
    <row r="59" spans="1:21" customFormat="1">
      <c r="A59" s="163" t="s">
        <v>1154</v>
      </c>
      <c r="B59" s="100">
        <v>2.2400000000000002</v>
      </c>
      <c r="C59" s="100">
        <v>3.14</v>
      </c>
      <c r="D59" s="100">
        <v>1.01</v>
      </c>
      <c r="E59" s="100">
        <v>2.5499999999999998</v>
      </c>
      <c r="F59" s="100">
        <v>22.69</v>
      </c>
      <c r="G59" s="100">
        <v>29.74</v>
      </c>
      <c r="H59" s="100">
        <v>12.92</v>
      </c>
      <c r="I59" s="100">
        <v>9.2899999999999991</v>
      </c>
      <c r="J59" s="100">
        <v>0.8</v>
      </c>
      <c r="K59" s="100">
        <v>257.97000000000003</v>
      </c>
      <c r="L59" s="100">
        <v>28.26</v>
      </c>
      <c r="M59" s="100">
        <v>84.85</v>
      </c>
      <c r="N59" s="100">
        <v>231.9</v>
      </c>
      <c r="O59" s="100">
        <v>0</v>
      </c>
      <c r="P59" s="100">
        <v>0.28000000000000003</v>
      </c>
      <c r="Q59" s="100">
        <v>10</v>
      </c>
      <c r="R59" s="6"/>
      <c r="S59" s="6"/>
      <c r="T59" s="156"/>
      <c r="U59" s="6"/>
    </row>
    <row r="60" spans="1:21" customFormat="1">
      <c r="A60" s="163" t="s">
        <v>1155</v>
      </c>
      <c r="B60" s="100">
        <v>1.49</v>
      </c>
      <c r="C60" s="100">
        <v>2.17</v>
      </c>
      <c r="D60" s="100">
        <v>0.76</v>
      </c>
      <c r="E60" s="100">
        <v>2.5299999999999998</v>
      </c>
      <c r="F60" s="100">
        <v>31.7</v>
      </c>
      <c r="G60" s="100">
        <v>28.42</v>
      </c>
      <c r="H60" s="100">
        <v>12</v>
      </c>
      <c r="I60" s="100">
        <v>8.7100000000000009</v>
      </c>
      <c r="J60" s="100">
        <v>0.94</v>
      </c>
      <c r="K60" s="100">
        <v>259.39999999999998</v>
      </c>
      <c r="L60" s="100">
        <v>28.49</v>
      </c>
      <c r="M60" s="100">
        <v>84.25</v>
      </c>
      <c r="N60" s="100">
        <v>383.4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163" t="s">
        <v>1156</v>
      </c>
      <c r="B61" s="147" t="s">
        <v>14</v>
      </c>
      <c r="C61" s="147" t="s">
        <v>14</v>
      </c>
      <c r="D61" s="147" t="s">
        <v>14</v>
      </c>
      <c r="E61" s="100">
        <v>13.2</v>
      </c>
      <c r="F61" s="100">
        <v>35.93</v>
      </c>
      <c r="G61" s="100">
        <v>22.3</v>
      </c>
      <c r="H61" s="100">
        <v>9.0500000000000007</v>
      </c>
      <c r="I61" s="100">
        <v>9.25</v>
      </c>
      <c r="J61" s="100">
        <v>0.91</v>
      </c>
      <c r="K61" s="100">
        <v>256.32</v>
      </c>
      <c r="L61" s="100">
        <v>29.18</v>
      </c>
      <c r="M61" s="100">
        <v>82.09</v>
      </c>
      <c r="N61" s="100">
        <v>522</v>
      </c>
      <c r="O61" s="100">
        <v>0</v>
      </c>
      <c r="P61" s="100">
        <v>0.19</v>
      </c>
      <c r="Q61" s="100">
        <v>10</v>
      </c>
      <c r="R61" s="6"/>
      <c r="S61" s="6"/>
      <c r="T61" s="156"/>
      <c r="U61" s="6"/>
    </row>
    <row r="62" spans="1:21" customFormat="1">
      <c r="A62" s="163" t="s">
        <v>1157</v>
      </c>
      <c r="B62" s="147" t="s">
        <v>14</v>
      </c>
      <c r="C62" s="147" t="s">
        <v>14</v>
      </c>
      <c r="D62" s="147" t="s">
        <v>14</v>
      </c>
      <c r="E62" s="100">
        <v>166.7</v>
      </c>
      <c r="F62" s="100">
        <v>31.71</v>
      </c>
      <c r="G62" s="100">
        <v>22.3</v>
      </c>
      <c r="H62" s="100">
        <v>9.0500000000000007</v>
      </c>
      <c r="I62" s="100">
        <v>6.02</v>
      </c>
      <c r="J62" s="100">
        <v>0.99</v>
      </c>
      <c r="K62" s="100">
        <v>258</v>
      </c>
      <c r="L62" s="100">
        <v>28.81</v>
      </c>
      <c r="M62" s="100">
        <v>83.01</v>
      </c>
      <c r="N62" s="100">
        <v>173.3</v>
      </c>
      <c r="O62" s="100">
        <v>0</v>
      </c>
      <c r="P62" s="100">
        <v>0.17</v>
      </c>
      <c r="Q62" s="100">
        <v>10</v>
      </c>
      <c r="R62" s="6"/>
      <c r="S62" s="6"/>
      <c r="T62" s="156"/>
      <c r="U62" s="6"/>
    </row>
    <row r="63" spans="1:21" customFormat="1">
      <c r="A63" s="163" t="s">
        <v>1158</v>
      </c>
      <c r="B63" s="147" t="s">
        <v>14</v>
      </c>
      <c r="C63" s="147" t="s">
        <v>14</v>
      </c>
      <c r="D63" s="147" t="s">
        <v>14</v>
      </c>
      <c r="E63" s="100">
        <v>202.91</v>
      </c>
      <c r="F63" s="100">
        <v>30.32</v>
      </c>
      <c r="G63" s="100">
        <v>22.3</v>
      </c>
      <c r="H63" s="100">
        <v>9.0500000000000007</v>
      </c>
      <c r="I63" s="100">
        <v>5.2</v>
      </c>
      <c r="J63" s="100">
        <v>0.65</v>
      </c>
      <c r="K63" s="100">
        <v>256.99</v>
      </c>
      <c r="L63" s="100">
        <v>28.44</v>
      </c>
      <c r="M63" s="100">
        <v>84.87</v>
      </c>
      <c r="N63" s="100">
        <v>112.5</v>
      </c>
      <c r="O63" s="100">
        <v>0</v>
      </c>
      <c r="P63" s="100">
        <v>0.17</v>
      </c>
      <c r="Q63" s="100">
        <v>10</v>
      </c>
      <c r="R63" s="6"/>
      <c r="S63" s="6"/>
      <c r="T63" s="156"/>
      <c r="U63" s="6"/>
    </row>
    <row r="64" spans="1:21" customFormat="1">
      <c r="A64" s="163" t="s">
        <v>1159</v>
      </c>
      <c r="B64" s="147" t="s">
        <v>14</v>
      </c>
      <c r="C64" s="147" t="s">
        <v>14</v>
      </c>
      <c r="D64" s="147" t="s">
        <v>14</v>
      </c>
      <c r="E64" s="100">
        <v>2.98</v>
      </c>
      <c r="F64" s="100">
        <v>32.85</v>
      </c>
      <c r="G64" s="100">
        <v>22.41</v>
      </c>
      <c r="H64" s="100">
        <v>9.44</v>
      </c>
      <c r="I64" s="100">
        <v>5.16</v>
      </c>
      <c r="J64" s="100">
        <v>0.6</v>
      </c>
      <c r="K64" s="100">
        <v>252.51</v>
      </c>
      <c r="L64" s="100">
        <v>28.3</v>
      </c>
      <c r="M64" s="100">
        <v>84.97</v>
      </c>
      <c r="N64" s="100">
        <v>58.6</v>
      </c>
      <c r="O64" s="100">
        <v>0</v>
      </c>
      <c r="P64" s="100">
        <v>0.15</v>
      </c>
      <c r="Q64" s="100">
        <v>10</v>
      </c>
      <c r="R64" s="6"/>
      <c r="S64" s="6"/>
      <c r="T64" s="156"/>
      <c r="U64" s="6"/>
    </row>
    <row r="65" spans="1:21" customFormat="1">
      <c r="A65" s="163" t="s">
        <v>1160</v>
      </c>
      <c r="B65" s="147" t="s">
        <v>14</v>
      </c>
      <c r="C65" s="147" t="s">
        <v>14</v>
      </c>
      <c r="D65" s="147" t="s">
        <v>14</v>
      </c>
      <c r="E65" s="100">
        <v>1.78</v>
      </c>
      <c r="F65" s="100">
        <v>20.55</v>
      </c>
      <c r="G65" s="100">
        <v>22.94</v>
      </c>
      <c r="H65" s="100">
        <v>10.78</v>
      </c>
      <c r="I65" s="100">
        <v>5.17</v>
      </c>
      <c r="J65" s="100">
        <v>0.68</v>
      </c>
      <c r="K65" s="100">
        <v>265.45</v>
      </c>
      <c r="L65" s="100">
        <v>27.98</v>
      </c>
      <c r="M65" s="100">
        <v>86.02</v>
      </c>
      <c r="N65" s="100">
        <v>47.8</v>
      </c>
      <c r="O65" s="100">
        <v>0</v>
      </c>
      <c r="P65" s="100">
        <v>0.14000000000000001</v>
      </c>
      <c r="Q65" s="100">
        <v>10</v>
      </c>
      <c r="R65" s="6"/>
      <c r="S65" s="6"/>
      <c r="T65" s="156"/>
      <c r="U65" s="6"/>
    </row>
    <row r="66" spans="1:21" customFormat="1">
      <c r="A66" s="163" t="s">
        <v>1161</v>
      </c>
      <c r="B66" s="147" t="s">
        <v>14</v>
      </c>
      <c r="C66" s="147" t="s">
        <v>14</v>
      </c>
      <c r="D66" s="147" t="s">
        <v>14</v>
      </c>
      <c r="E66" s="100">
        <v>2.09</v>
      </c>
      <c r="F66" s="100">
        <v>13.67</v>
      </c>
      <c r="G66" s="100">
        <v>22.94</v>
      </c>
      <c r="H66" s="100">
        <v>10.78</v>
      </c>
      <c r="I66" s="100">
        <v>3.7</v>
      </c>
      <c r="J66" s="100">
        <v>0.16</v>
      </c>
      <c r="K66" s="100">
        <v>261.2</v>
      </c>
      <c r="L66" s="100">
        <v>27.32</v>
      </c>
      <c r="M66" s="100">
        <v>92.82</v>
      </c>
      <c r="N66" s="100">
        <v>15.8</v>
      </c>
      <c r="O66" s="100">
        <v>5.2</v>
      </c>
      <c r="P66" s="100">
        <v>0.16</v>
      </c>
      <c r="Q66" s="100">
        <v>10</v>
      </c>
      <c r="R66" s="6"/>
      <c r="S66" s="6"/>
      <c r="T66" s="156"/>
      <c r="U66" s="6"/>
    </row>
    <row r="67" spans="1:21" customFormat="1">
      <c r="A67" s="163" t="s">
        <v>1162</v>
      </c>
      <c r="B67" s="147" t="s">
        <v>14</v>
      </c>
      <c r="C67" s="147" t="s">
        <v>14</v>
      </c>
      <c r="D67" s="147" t="s">
        <v>14</v>
      </c>
      <c r="E67" s="100">
        <v>2.4300000000000002</v>
      </c>
      <c r="F67" s="100">
        <v>9.1</v>
      </c>
      <c r="G67" s="100">
        <v>22.94</v>
      </c>
      <c r="H67" s="100">
        <v>10.78</v>
      </c>
      <c r="I67" s="100">
        <v>3.44</v>
      </c>
      <c r="J67" s="100">
        <v>0.08</v>
      </c>
      <c r="K67" s="100">
        <v>43.85</v>
      </c>
      <c r="L67" s="100">
        <v>26.15</v>
      </c>
      <c r="M67" s="100">
        <v>99.8</v>
      </c>
      <c r="N67" s="100">
        <v>8.6999999999999993</v>
      </c>
      <c r="O67" s="100">
        <v>9.6</v>
      </c>
      <c r="P67" s="100">
        <v>0.16</v>
      </c>
      <c r="Q67" s="100">
        <v>10</v>
      </c>
      <c r="R67" s="6"/>
      <c r="S67" s="6"/>
      <c r="T67" s="156"/>
      <c r="U67" s="6"/>
    </row>
    <row r="68" spans="1:21" customFormat="1">
      <c r="A68" s="163" t="s">
        <v>1163</v>
      </c>
      <c r="B68" s="147" t="s">
        <v>14</v>
      </c>
      <c r="C68" s="147" t="s">
        <v>14</v>
      </c>
      <c r="D68" s="147" t="s">
        <v>14</v>
      </c>
      <c r="E68" s="100">
        <v>2.4500000000000002</v>
      </c>
      <c r="F68" s="100">
        <v>7.13</v>
      </c>
      <c r="G68" s="100">
        <v>22.59</v>
      </c>
      <c r="H68" s="100">
        <v>10.33</v>
      </c>
      <c r="I68" s="100">
        <v>3.66</v>
      </c>
      <c r="J68" s="100">
        <v>0.76</v>
      </c>
      <c r="K68" s="100">
        <v>251.47</v>
      </c>
      <c r="L68" s="100">
        <v>25.32</v>
      </c>
      <c r="M68" s="100">
        <v>100.29</v>
      </c>
      <c r="N68" s="100">
        <v>6.7</v>
      </c>
      <c r="O68" s="100">
        <v>18.2</v>
      </c>
      <c r="P68" s="100">
        <v>0.17</v>
      </c>
      <c r="Q68" s="100">
        <v>10</v>
      </c>
      <c r="R68" s="6"/>
      <c r="S68" s="6"/>
      <c r="T68" s="156"/>
      <c r="U68" s="6"/>
    </row>
    <row r="69" spans="1:21" customFormat="1">
      <c r="A69" s="163" t="s">
        <v>1164</v>
      </c>
      <c r="B69" s="147" t="s">
        <v>14</v>
      </c>
      <c r="C69" s="147" t="s">
        <v>14</v>
      </c>
      <c r="D69" s="147" t="s">
        <v>14</v>
      </c>
      <c r="E69" s="100">
        <v>2.34</v>
      </c>
      <c r="F69" s="100">
        <v>14.54</v>
      </c>
      <c r="G69" s="100">
        <v>20.94</v>
      </c>
      <c r="H69" s="100">
        <v>7.75</v>
      </c>
      <c r="I69" s="100">
        <v>3.79</v>
      </c>
      <c r="J69" s="100">
        <v>0.27</v>
      </c>
      <c r="K69" s="100">
        <v>45.09</v>
      </c>
      <c r="L69" s="100">
        <v>25.01</v>
      </c>
      <c r="M69" s="100">
        <v>100.3</v>
      </c>
      <c r="N69" s="100">
        <v>7.7</v>
      </c>
      <c r="O69" s="100">
        <v>0.8</v>
      </c>
      <c r="P69" s="100">
        <v>0.17</v>
      </c>
      <c r="Q69" s="100">
        <v>10</v>
      </c>
      <c r="R69" s="6"/>
      <c r="S69" s="6"/>
      <c r="T69" s="156"/>
      <c r="U69" s="6"/>
    </row>
    <row r="70" spans="1:21" customFormat="1">
      <c r="A70" s="163" t="s">
        <v>1165</v>
      </c>
      <c r="B70" s="147" t="s">
        <v>14</v>
      </c>
      <c r="C70" s="147" t="s">
        <v>14</v>
      </c>
      <c r="D70" s="147" t="s">
        <v>14</v>
      </c>
      <c r="E70" s="100">
        <v>2.17</v>
      </c>
      <c r="F70" s="100">
        <v>11.95</v>
      </c>
      <c r="G70" s="100">
        <v>20.94</v>
      </c>
      <c r="H70" s="100">
        <v>7.75</v>
      </c>
      <c r="I70" s="100">
        <v>3.9</v>
      </c>
      <c r="J70" s="100">
        <v>0.28000000000000003</v>
      </c>
      <c r="K70" s="100">
        <v>350.17</v>
      </c>
      <c r="L70" s="100">
        <v>25.04</v>
      </c>
      <c r="M70" s="100">
        <v>100.3</v>
      </c>
      <c r="N70" s="100">
        <v>4.4000000000000004</v>
      </c>
      <c r="O70" s="100">
        <v>3.2</v>
      </c>
      <c r="P70" s="100">
        <v>0.19</v>
      </c>
      <c r="Q70" s="100">
        <v>10.01</v>
      </c>
      <c r="R70" s="6"/>
      <c r="S70" s="6"/>
      <c r="T70" s="156"/>
      <c r="U70" s="6"/>
    </row>
    <row r="71" spans="1:21" customFormat="1">
      <c r="A71" s="163" t="s">
        <v>1166</v>
      </c>
      <c r="B71" s="147" t="s">
        <v>14</v>
      </c>
      <c r="C71" s="147" t="s">
        <v>14</v>
      </c>
      <c r="D71" s="147" t="s">
        <v>14</v>
      </c>
      <c r="E71" s="100">
        <v>2.3199999999999998</v>
      </c>
      <c r="F71" s="100">
        <v>10.81</v>
      </c>
      <c r="G71" s="100">
        <v>20.94</v>
      </c>
      <c r="H71" s="100">
        <v>7.75</v>
      </c>
      <c r="I71" s="100">
        <v>3.72</v>
      </c>
      <c r="J71" s="100">
        <v>7.0000000000000007E-2</v>
      </c>
      <c r="K71" s="100">
        <v>267.33</v>
      </c>
      <c r="L71" s="100">
        <v>25.18</v>
      </c>
      <c r="M71" s="100">
        <v>100.32</v>
      </c>
      <c r="N71" s="100">
        <v>10.5</v>
      </c>
      <c r="O71" s="100">
        <v>0.2</v>
      </c>
      <c r="P71" s="100">
        <v>0.19</v>
      </c>
      <c r="Q71" s="100">
        <v>10.029999999999999</v>
      </c>
      <c r="R71" s="6"/>
      <c r="S71" s="6"/>
      <c r="T71" s="156"/>
      <c r="U71" s="6"/>
    </row>
    <row r="72" spans="1:21" customFormat="1">
      <c r="A72" s="163" t="s">
        <v>1167</v>
      </c>
      <c r="B72" s="147" t="s">
        <v>14</v>
      </c>
      <c r="C72" s="147" t="s">
        <v>14</v>
      </c>
      <c r="D72" s="147" t="s">
        <v>14</v>
      </c>
      <c r="E72" s="100">
        <v>2.5</v>
      </c>
      <c r="F72" s="100">
        <v>9.27</v>
      </c>
      <c r="G72" s="100">
        <v>20.02</v>
      </c>
      <c r="H72" s="100">
        <v>7.71</v>
      </c>
      <c r="I72" s="100">
        <v>3.65</v>
      </c>
      <c r="J72" s="100">
        <v>0.13</v>
      </c>
      <c r="K72" s="100">
        <v>198.76</v>
      </c>
      <c r="L72" s="100">
        <v>25.34</v>
      </c>
      <c r="M72" s="100">
        <v>100.35</v>
      </c>
      <c r="N72" s="100">
        <v>11.7</v>
      </c>
      <c r="O72" s="100">
        <v>0</v>
      </c>
      <c r="P72" s="100">
        <v>0.18</v>
      </c>
      <c r="Q72" s="100">
        <v>10.039999999999999</v>
      </c>
      <c r="R72" s="6"/>
      <c r="S72" s="6"/>
      <c r="T72" s="156"/>
      <c r="U72" s="6"/>
    </row>
    <row r="73" spans="1:21" customFormat="1">
      <c r="A73" s="163" t="s">
        <v>1168</v>
      </c>
      <c r="B73" s="147" t="s">
        <v>14</v>
      </c>
      <c r="C73" s="147" t="s">
        <v>14</v>
      </c>
      <c r="D73" s="147" t="s">
        <v>14</v>
      </c>
      <c r="E73" s="100">
        <v>2.4500000000000002</v>
      </c>
      <c r="F73" s="100">
        <v>4.45</v>
      </c>
      <c r="G73" s="100">
        <v>16.03</v>
      </c>
      <c r="H73" s="100">
        <v>7.56</v>
      </c>
      <c r="I73" s="100">
        <v>3.72</v>
      </c>
      <c r="J73" s="100">
        <v>0.15</v>
      </c>
      <c r="K73" s="100">
        <v>144.96</v>
      </c>
      <c r="L73" s="100">
        <v>25.46</v>
      </c>
      <c r="M73" s="100">
        <v>100.35</v>
      </c>
      <c r="N73" s="100">
        <v>10.4</v>
      </c>
      <c r="O73" s="100">
        <v>0</v>
      </c>
      <c r="P73" s="100">
        <v>0.19</v>
      </c>
      <c r="Q73" s="100">
        <v>10.039999999999999</v>
      </c>
      <c r="R73" s="6"/>
      <c r="S73" s="6"/>
      <c r="T73" s="156"/>
      <c r="U73" s="6"/>
    </row>
    <row r="74" spans="1:21" customFormat="1">
      <c r="A74" s="163" t="s">
        <v>1169</v>
      </c>
      <c r="B74" s="147" t="s">
        <v>14</v>
      </c>
      <c r="C74" s="147" t="s">
        <v>14</v>
      </c>
      <c r="D74" s="147" t="s">
        <v>14</v>
      </c>
      <c r="E74" s="100">
        <v>2.67</v>
      </c>
      <c r="F74" s="100">
        <v>3.03</v>
      </c>
      <c r="G74" s="100">
        <v>16.03</v>
      </c>
      <c r="H74" s="100">
        <v>7.56</v>
      </c>
      <c r="I74" s="100">
        <v>3.58</v>
      </c>
      <c r="J74" s="100">
        <v>0.06</v>
      </c>
      <c r="K74" s="100">
        <v>146.44</v>
      </c>
      <c r="L74" s="100">
        <v>25.44</v>
      </c>
      <c r="M74" s="100">
        <v>100.35</v>
      </c>
      <c r="N74" s="100">
        <v>10.8</v>
      </c>
      <c r="O74" s="100">
        <v>0</v>
      </c>
      <c r="P74" s="100">
        <v>0.19</v>
      </c>
      <c r="Q74" s="100">
        <v>10.02</v>
      </c>
      <c r="R74" s="6"/>
      <c r="S74" s="6"/>
      <c r="T74" s="156"/>
      <c r="U74" s="6"/>
    </row>
    <row r="75" spans="1:21" customFormat="1">
      <c r="A75" s="163" t="s">
        <v>1170</v>
      </c>
      <c r="B75" s="147" t="s">
        <v>14</v>
      </c>
      <c r="C75" s="147" t="s">
        <v>14</v>
      </c>
      <c r="D75" s="147" t="s">
        <v>14</v>
      </c>
      <c r="E75" s="100">
        <v>2.74</v>
      </c>
      <c r="F75" s="100">
        <v>6.51</v>
      </c>
      <c r="G75" s="100">
        <v>16.03</v>
      </c>
      <c r="H75" s="100">
        <v>7.56</v>
      </c>
      <c r="I75" s="100">
        <v>3.03</v>
      </c>
      <c r="J75" s="100">
        <v>0.13</v>
      </c>
      <c r="K75" s="100">
        <v>225.23</v>
      </c>
      <c r="L75" s="100">
        <v>25.48</v>
      </c>
      <c r="M75" s="100">
        <v>100.35</v>
      </c>
      <c r="N75" s="100">
        <v>10</v>
      </c>
      <c r="O75" s="100">
        <v>0.2</v>
      </c>
      <c r="P75" s="100">
        <v>0.2</v>
      </c>
      <c r="Q75" s="100">
        <v>10.02</v>
      </c>
      <c r="R75" s="6"/>
      <c r="S75" s="6"/>
      <c r="T75" s="156"/>
      <c r="U75" s="6"/>
    </row>
    <row r="76" spans="1:21" customFormat="1">
      <c r="A76" s="163" t="s">
        <v>1171</v>
      </c>
      <c r="B76" s="147" t="s">
        <v>14</v>
      </c>
      <c r="C76" s="147" t="s">
        <v>14</v>
      </c>
      <c r="D76" s="147" t="s">
        <v>14</v>
      </c>
      <c r="E76" s="100">
        <v>2.65</v>
      </c>
      <c r="F76" s="100">
        <v>5.92</v>
      </c>
      <c r="G76" s="100">
        <v>15.89</v>
      </c>
      <c r="H76" s="100">
        <v>7.95</v>
      </c>
      <c r="I76" s="100">
        <v>4.29</v>
      </c>
      <c r="J76" s="100">
        <v>0.15</v>
      </c>
      <c r="K76" s="100">
        <v>246.59</v>
      </c>
      <c r="L76" s="100">
        <v>25.56</v>
      </c>
      <c r="M76" s="100">
        <v>100.38</v>
      </c>
      <c r="N76" s="100">
        <v>10.4</v>
      </c>
      <c r="O76" s="100">
        <v>0.2</v>
      </c>
      <c r="P76" s="100">
        <v>0.21</v>
      </c>
      <c r="Q76" s="100">
        <v>0</v>
      </c>
      <c r="R76" s="6"/>
      <c r="S76" s="6"/>
      <c r="T76" s="156"/>
      <c r="U76" s="6"/>
    </row>
    <row r="77" spans="1:21" customFormat="1">
      <c r="A77" s="163" t="s">
        <v>1172</v>
      </c>
      <c r="B77" s="147" t="s">
        <v>14</v>
      </c>
      <c r="C77" s="147" t="s">
        <v>14</v>
      </c>
      <c r="D77" s="147" t="s">
        <v>14</v>
      </c>
      <c r="E77" s="100">
        <v>2.69</v>
      </c>
      <c r="F77" s="100">
        <v>6.48</v>
      </c>
      <c r="G77" s="100">
        <v>15.26</v>
      </c>
      <c r="H77" s="100">
        <v>9.18</v>
      </c>
      <c r="I77" s="100">
        <v>5.94</v>
      </c>
      <c r="J77" s="100">
        <v>0.28000000000000003</v>
      </c>
      <c r="K77" s="100">
        <v>249.08</v>
      </c>
      <c r="L77" s="100">
        <v>25.56</v>
      </c>
      <c r="M77" s="100">
        <v>100.38</v>
      </c>
      <c r="N77" s="100">
        <v>10.6</v>
      </c>
      <c r="O77" s="100">
        <v>0.2</v>
      </c>
      <c r="P77" s="100">
        <v>0.22</v>
      </c>
      <c r="Q77" s="100">
        <v>0</v>
      </c>
      <c r="R77" s="6"/>
      <c r="S77" s="6"/>
      <c r="T77" s="156"/>
      <c r="U77" s="6"/>
    </row>
    <row r="78" spans="1:21" customFormat="1">
      <c r="A78" s="163" t="s">
        <v>1173</v>
      </c>
      <c r="B78" s="100">
        <v>1.35</v>
      </c>
      <c r="C78" s="100">
        <v>2.61</v>
      </c>
      <c r="D78" s="100">
        <v>2.5299999999999998</v>
      </c>
      <c r="E78" s="100">
        <v>2.77</v>
      </c>
      <c r="F78" s="100">
        <v>8.11</v>
      </c>
      <c r="G78" s="100">
        <v>15.26</v>
      </c>
      <c r="H78" s="100">
        <v>9.18</v>
      </c>
      <c r="I78" s="100">
        <v>4.76</v>
      </c>
      <c r="J78" s="100">
        <v>0.17</v>
      </c>
      <c r="K78" s="100">
        <v>201.77</v>
      </c>
      <c r="L78" s="100">
        <v>25.57</v>
      </c>
      <c r="M78" s="100">
        <v>100.4</v>
      </c>
      <c r="N78" s="100">
        <v>12</v>
      </c>
      <c r="O78" s="100">
        <v>0.2</v>
      </c>
      <c r="P78" s="100">
        <v>0.24</v>
      </c>
      <c r="Q78" s="100">
        <v>0</v>
      </c>
      <c r="R78" s="6"/>
      <c r="S78" s="6"/>
      <c r="T78" s="156"/>
      <c r="U78" s="6"/>
    </row>
    <row r="79" spans="1:21" customFormat="1">
      <c r="A79" s="163" t="s">
        <v>1174</v>
      </c>
      <c r="B79" s="100">
        <v>-0.26</v>
      </c>
      <c r="C79" s="100">
        <v>1.22</v>
      </c>
      <c r="D79" s="100">
        <v>1.82</v>
      </c>
      <c r="E79" s="100">
        <v>2.61</v>
      </c>
      <c r="F79" s="100">
        <v>11.13</v>
      </c>
      <c r="G79" s="100">
        <v>15.26</v>
      </c>
      <c r="H79" s="100">
        <v>9.18</v>
      </c>
      <c r="I79" s="100">
        <v>4.75</v>
      </c>
      <c r="J79" s="100">
        <v>0.03</v>
      </c>
      <c r="K79" s="100">
        <v>253</v>
      </c>
      <c r="L79" s="100">
        <v>25.54</v>
      </c>
      <c r="M79" s="100">
        <v>100.41</v>
      </c>
      <c r="N79" s="100">
        <v>17.100000000000001</v>
      </c>
      <c r="O79" s="100">
        <v>0</v>
      </c>
      <c r="P79" s="100">
        <v>0.27</v>
      </c>
      <c r="Q79" s="100">
        <v>0</v>
      </c>
      <c r="R79" s="6"/>
      <c r="S79" s="6"/>
      <c r="T79" s="156"/>
      <c r="U79" s="6"/>
    </row>
    <row r="80" spans="1:21" customFormat="1">
      <c r="A80" s="163" t="s">
        <v>1175</v>
      </c>
      <c r="B80" s="100">
        <v>1.66</v>
      </c>
      <c r="C80" s="100">
        <v>3.14</v>
      </c>
      <c r="D80" s="100">
        <v>2.73</v>
      </c>
      <c r="E80" s="100">
        <v>2.14</v>
      </c>
      <c r="F80" s="100">
        <v>7.37</v>
      </c>
      <c r="G80" s="100">
        <v>14.45</v>
      </c>
      <c r="H80" s="100">
        <v>8.68</v>
      </c>
      <c r="I80" s="100">
        <v>4.7300000000000004</v>
      </c>
      <c r="J80" s="100">
        <v>0.18</v>
      </c>
      <c r="K80" s="100">
        <v>236.66</v>
      </c>
      <c r="L80" s="100">
        <v>25.48</v>
      </c>
      <c r="M80" s="100">
        <v>100.43</v>
      </c>
      <c r="N80" s="100">
        <v>15.7</v>
      </c>
      <c r="O80" s="100">
        <v>0</v>
      </c>
      <c r="P80" s="100">
        <v>0.32</v>
      </c>
      <c r="Q80" s="100">
        <v>0</v>
      </c>
      <c r="R80" s="6"/>
      <c r="S80" s="6"/>
      <c r="T80" s="156"/>
      <c r="U80" s="6"/>
    </row>
    <row r="81" spans="1:21" customFormat="1">
      <c r="A81" s="163" t="s">
        <v>1176</v>
      </c>
      <c r="B81" s="100">
        <v>3.93</v>
      </c>
      <c r="C81" s="100">
        <v>5.85</v>
      </c>
      <c r="D81" s="100">
        <v>3.19</v>
      </c>
      <c r="E81" s="100">
        <v>2.0299999999999998</v>
      </c>
      <c r="F81" s="100">
        <v>13.84</v>
      </c>
      <c r="G81" s="100">
        <v>10.95</v>
      </c>
      <c r="H81" s="100">
        <v>7.08</v>
      </c>
      <c r="I81" s="100">
        <v>4.8499999999999996</v>
      </c>
      <c r="J81" s="100">
        <v>0.12</v>
      </c>
      <c r="K81" s="100">
        <v>235.54</v>
      </c>
      <c r="L81" s="100">
        <v>25.46</v>
      </c>
      <c r="M81" s="100">
        <v>99.37</v>
      </c>
      <c r="N81" s="100">
        <v>10</v>
      </c>
      <c r="O81" s="100">
        <v>0</v>
      </c>
      <c r="P81" s="100">
        <v>0.25</v>
      </c>
      <c r="Q81" s="100">
        <v>6</v>
      </c>
      <c r="R81" s="6"/>
      <c r="S81" s="6"/>
      <c r="T81" s="156"/>
      <c r="U81" s="6"/>
    </row>
    <row r="82" spans="1:21" customFormat="1">
      <c r="A82" s="163" t="s">
        <v>1177</v>
      </c>
      <c r="B82" s="100">
        <v>1.57</v>
      </c>
      <c r="C82" s="100">
        <v>3.75</v>
      </c>
      <c r="D82" s="100">
        <v>2.79</v>
      </c>
      <c r="E82" s="100">
        <v>2.06</v>
      </c>
      <c r="F82" s="100">
        <v>11.08</v>
      </c>
      <c r="G82" s="100">
        <v>10.95</v>
      </c>
      <c r="H82" s="100">
        <v>7.08</v>
      </c>
      <c r="I82" s="100">
        <v>5.42</v>
      </c>
      <c r="J82" s="100">
        <v>0.25</v>
      </c>
      <c r="K82" s="100">
        <v>245.17</v>
      </c>
      <c r="L82" s="100">
        <v>25.42</v>
      </c>
      <c r="M82" s="100">
        <v>98.47</v>
      </c>
      <c r="N82" s="100">
        <v>6</v>
      </c>
      <c r="O82" s="100">
        <v>0</v>
      </c>
      <c r="P82" s="100">
        <v>0.23</v>
      </c>
      <c r="Q82" s="100">
        <v>10</v>
      </c>
      <c r="R82" s="6"/>
      <c r="S82" s="6"/>
      <c r="T82" s="156"/>
      <c r="U82" s="6"/>
    </row>
    <row r="83" spans="1:21" customFormat="1">
      <c r="A83" s="163" t="s">
        <v>1178</v>
      </c>
      <c r="B83" s="100">
        <v>1.24</v>
      </c>
      <c r="C83" s="100">
        <v>2.73</v>
      </c>
      <c r="D83" s="100">
        <v>1.35</v>
      </c>
      <c r="E83" s="100">
        <v>1.83</v>
      </c>
      <c r="F83" s="100">
        <v>6.83</v>
      </c>
      <c r="G83" s="100">
        <v>10.95</v>
      </c>
      <c r="H83" s="100">
        <v>7.08</v>
      </c>
      <c r="I83" s="100">
        <v>5.65</v>
      </c>
      <c r="J83" s="100">
        <v>0.16</v>
      </c>
      <c r="K83" s="100">
        <v>240.82</v>
      </c>
      <c r="L83" s="100">
        <v>25.48</v>
      </c>
      <c r="M83" s="100">
        <v>98.48</v>
      </c>
      <c r="N83" s="100">
        <v>3.6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163" t="s">
        <v>1179</v>
      </c>
      <c r="B84" s="100">
        <v>1.24</v>
      </c>
      <c r="C84" s="100">
        <v>2.2799999999999998</v>
      </c>
      <c r="D84" s="100">
        <v>0.49</v>
      </c>
      <c r="E84" s="100">
        <v>1.81</v>
      </c>
      <c r="F84" s="100">
        <v>3.38</v>
      </c>
      <c r="G84" s="100">
        <v>11.67</v>
      </c>
      <c r="H84" s="100">
        <v>7.55</v>
      </c>
      <c r="I84" s="100">
        <v>5.35</v>
      </c>
      <c r="J84" s="100">
        <v>0.2</v>
      </c>
      <c r="K84" s="100">
        <v>262.67</v>
      </c>
      <c r="L84" s="100">
        <v>25.46</v>
      </c>
      <c r="M84" s="100">
        <v>98.5</v>
      </c>
      <c r="N84" s="100">
        <v>2.5</v>
      </c>
      <c r="O84" s="100">
        <v>0</v>
      </c>
      <c r="P84" s="100">
        <v>0.22</v>
      </c>
      <c r="Q84" s="100">
        <v>10</v>
      </c>
      <c r="R84" s="6"/>
      <c r="S84" s="6"/>
      <c r="T84" s="156"/>
      <c r="U84" s="6"/>
    </row>
    <row r="85" spans="1:21" customFormat="1">
      <c r="A85" s="163" t="s">
        <v>1180</v>
      </c>
      <c r="B85" s="100">
        <v>1.24</v>
      </c>
      <c r="C85" s="100">
        <v>2.0299999999999998</v>
      </c>
      <c r="D85" s="100">
        <v>0</v>
      </c>
      <c r="E85" s="100">
        <v>1.98</v>
      </c>
      <c r="F85" s="100">
        <v>1.5</v>
      </c>
      <c r="G85" s="100">
        <v>14.74</v>
      </c>
      <c r="H85" s="100">
        <v>9.92</v>
      </c>
      <c r="I85" s="100">
        <v>5.59</v>
      </c>
      <c r="J85" s="100">
        <v>0.15</v>
      </c>
      <c r="K85" s="100">
        <v>241.67</v>
      </c>
      <c r="L85" s="100">
        <v>25.46</v>
      </c>
      <c r="M85" s="100">
        <v>98.52</v>
      </c>
      <c r="N85" s="100">
        <v>2.4</v>
      </c>
      <c r="O85" s="100">
        <v>0</v>
      </c>
      <c r="P85" s="100">
        <v>0.24</v>
      </c>
      <c r="Q85" s="100">
        <v>10</v>
      </c>
      <c r="R85" s="6"/>
      <c r="S85" s="6"/>
      <c r="T85" s="156"/>
      <c r="U85" s="6"/>
    </row>
    <row r="86" spans="1:21" customFormat="1">
      <c r="A86" s="163" t="s">
        <v>1181</v>
      </c>
      <c r="B86" s="100">
        <v>1.24</v>
      </c>
      <c r="C86" s="100">
        <v>2.09</v>
      </c>
      <c r="D86" s="100">
        <v>0.11</v>
      </c>
      <c r="E86" s="100">
        <v>2.2999999999999998</v>
      </c>
      <c r="F86" s="100">
        <v>2.4900000000000002</v>
      </c>
      <c r="G86" s="100">
        <v>14.74</v>
      </c>
      <c r="H86" s="100">
        <v>9.92</v>
      </c>
      <c r="I86" s="100">
        <v>5.79</v>
      </c>
      <c r="J86" s="100">
        <v>0.13</v>
      </c>
      <c r="K86" s="100">
        <v>229.36</v>
      </c>
      <c r="L86" s="100">
        <v>25.51</v>
      </c>
      <c r="M86" s="100">
        <v>98.53</v>
      </c>
      <c r="N86" s="100">
        <v>2.2999999999999998</v>
      </c>
      <c r="O86" s="100">
        <v>0</v>
      </c>
      <c r="P86" s="100">
        <v>0.25</v>
      </c>
      <c r="Q86" s="100">
        <v>10</v>
      </c>
      <c r="R86" s="6"/>
      <c r="S86" s="6"/>
      <c r="T86" s="156"/>
      <c r="U86" s="6"/>
    </row>
    <row r="87" spans="1:21" customFormat="1">
      <c r="A87" s="163" t="s">
        <v>1182</v>
      </c>
      <c r="B87" s="100">
        <v>1.24</v>
      </c>
      <c r="C87" s="100">
        <v>2.04</v>
      </c>
      <c r="D87" s="100">
        <v>0.02</v>
      </c>
      <c r="E87" s="100">
        <v>2.16</v>
      </c>
      <c r="F87" s="100">
        <v>2.87</v>
      </c>
      <c r="G87" s="100">
        <v>14.74</v>
      </c>
      <c r="H87" s="100">
        <v>9.92</v>
      </c>
      <c r="I87" s="100">
        <v>5.77</v>
      </c>
      <c r="J87" s="100">
        <v>0.13</v>
      </c>
      <c r="K87" s="100">
        <v>272.52</v>
      </c>
      <c r="L87" s="100">
        <v>25.56</v>
      </c>
      <c r="M87" s="100">
        <v>98.53</v>
      </c>
      <c r="N87" s="100">
        <v>2.4</v>
      </c>
      <c r="O87" s="100">
        <v>0</v>
      </c>
      <c r="P87" s="100">
        <v>0.25</v>
      </c>
      <c r="Q87" s="100">
        <v>10</v>
      </c>
      <c r="R87" s="6"/>
      <c r="S87" s="6"/>
      <c r="T87" s="156"/>
      <c r="U87" s="6"/>
    </row>
    <row r="88" spans="1:21" customFormat="1">
      <c r="A88" s="163" t="s">
        <v>1183</v>
      </c>
      <c r="B88" s="100">
        <v>1.24</v>
      </c>
      <c r="C88" s="100">
        <v>2.2599999999999998</v>
      </c>
      <c r="D88" s="100">
        <v>0.44</v>
      </c>
      <c r="E88" s="100">
        <v>2.62</v>
      </c>
      <c r="F88" s="100">
        <v>2.88</v>
      </c>
      <c r="G88" s="100">
        <v>14.49</v>
      </c>
      <c r="H88" s="100">
        <v>10.220000000000001</v>
      </c>
      <c r="I88" s="100">
        <v>5.07</v>
      </c>
      <c r="J88" s="100">
        <v>1.1100000000000001</v>
      </c>
      <c r="K88" s="100">
        <v>24.98</v>
      </c>
      <c r="L88" s="100">
        <v>25.23</v>
      </c>
      <c r="M88" s="100">
        <v>98.55</v>
      </c>
      <c r="N88" s="100">
        <v>4.8</v>
      </c>
      <c r="O88" s="100">
        <v>0.2</v>
      </c>
      <c r="P88" s="100">
        <v>0.27</v>
      </c>
      <c r="Q88" s="100">
        <v>10</v>
      </c>
      <c r="R88" s="6"/>
      <c r="S88" s="6"/>
      <c r="T88" s="156"/>
      <c r="U88" s="6"/>
    </row>
    <row r="89" spans="1:21" customFormat="1">
      <c r="A89" s="163" t="s">
        <v>1184</v>
      </c>
      <c r="B89" s="100">
        <v>1.24</v>
      </c>
      <c r="C89" s="100">
        <v>2.36</v>
      </c>
      <c r="D89" s="100">
        <v>0.63</v>
      </c>
      <c r="E89" s="100">
        <v>3.17</v>
      </c>
      <c r="F89" s="100">
        <v>2.99</v>
      </c>
      <c r="G89" s="100">
        <v>13.39</v>
      </c>
      <c r="H89" s="100">
        <v>11.18</v>
      </c>
      <c r="I89" s="100">
        <v>6.2</v>
      </c>
      <c r="J89" s="100">
        <v>0.5</v>
      </c>
      <c r="K89" s="100">
        <v>15.28</v>
      </c>
      <c r="L89" s="100">
        <v>24.49</v>
      </c>
      <c r="M89" s="100">
        <v>98.56</v>
      </c>
      <c r="N89" s="100">
        <v>3.9</v>
      </c>
      <c r="O89" s="100">
        <v>0.2</v>
      </c>
      <c r="P89" s="100">
        <v>0.26</v>
      </c>
      <c r="Q89" s="100">
        <v>10</v>
      </c>
      <c r="R89" s="6"/>
      <c r="S89" s="6"/>
      <c r="T89" s="156"/>
      <c r="U89" s="6"/>
    </row>
    <row r="90" spans="1:21" customFormat="1">
      <c r="A90" s="163" t="s">
        <v>1185</v>
      </c>
      <c r="B90" s="100">
        <v>1.24</v>
      </c>
      <c r="C90" s="100">
        <v>2.27</v>
      </c>
      <c r="D90" s="100">
        <v>0.47</v>
      </c>
      <c r="E90" s="100">
        <v>3.03</v>
      </c>
      <c r="F90" s="100">
        <v>2.86</v>
      </c>
      <c r="G90" s="100">
        <v>13.39</v>
      </c>
      <c r="H90" s="100">
        <v>11.18</v>
      </c>
      <c r="I90" s="100">
        <v>6.12</v>
      </c>
      <c r="J90" s="100">
        <v>0.61</v>
      </c>
      <c r="K90" s="100">
        <v>329.44</v>
      </c>
      <c r="L90" s="100">
        <v>24.34</v>
      </c>
      <c r="M90" s="100">
        <v>98.58</v>
      </c>
      <c r="N90" s="100">
        <v>2.5</v>
      </c>
      <c r="O90" s="100">
        <v>0</v>
      </c>
      <c r="P90" s="100">
        <v>0.25</v>
      </c>
      <c r="Q90" s="100">
        <v>10</v>
      </c>
      <c r="R90" s="6"/>
      <c r="S90" s="6"/>
      <c r="T90" s="156"/>
      <c r="U90" s="6"/>
    </row>
    <row r="91" spans="1:21" customFormat="1">
      <c r="A91" s="163" t="s">
        <v>1186</v>
      </c>
      <c r="B91" s="100">
        <v>1.24</v>
      </c>
      <c r="C91" s="100">
        <v>2.08</v>
      </c>
      <c r="D91" s="100">
        <v>0.09</v>
      </c>
      <c r="E91" s="100">
        <v>3.16</v>
      </c>
      <c r="F91" s="100">
        <v>2.11</v>
      </c>
      <c r="G91" s="100">
        <v>13.39</v>
      </c>
      <c r="H91" s="100">
        <v>11.18</v>
      </c>
      <c r="I91" s="100">
        <v>6.04</v>
      </c>
      <c r="J91" s="100">
        <v>0.26</v>
      </c>
      <c r="K91" s="100">
        <v>333.36</v>
      </c>
      <c r="L91" s="100">
        <v>24.23</v>
      </c>
      <c r="M91" s="100">
        <v>98.6</v>
      </c>
      <c r="N91" s="100">
        <v>2.5</v>
      </c>
      <c r="O91" s="100">
        <v>0</v>
      </c>
      <c r="P91" s="100">
        <v>0.27</v>
      </c>
      <c r="Q91" s="100">
        <v>10</v>
      </c>
      <c r="R91" s="6"/>
      <c r="S91" s="6"/>
      <c r="T91" s="156"/>
      <c r="U91" s="6"/>
    </row>
    <row r="92" spans="1:21" customFormat="1">
      <c r="A92" s="163" t="s">
        <v>1187</v>
      </c>
      <c r="B92" s="100">
        <v>1.24</v>
      </c>
      <c r="C92" s="100">
        <v>2.33</v>
      </c>
      <c r="D92" s="100">
        <v>0.57999999999999996</v>
      </c>
      <c r="E92" s="100">
        <v>3.36</v>
      </c>
      <c r="F92" s="100">
        <v>2.11</v>
      </c>
      <c r="G92" s="100">
        <v>12.96</v>
      </c>
      <c r="H92" s="100">
        <v>10.38</v>
      </c>
      <c r="I92" s="100">
        <v>6.01</v>
      </c>
      <c r="J92" s="100">
        <v>0.39</v>
      </c>
      <c r="K92" s="100">
        <v>309.73</v>
      </c>
      <c r="L92" s="100">
        <v>24.09</v>
      </c>
      <c r="M92" s="100">
        <v>98.61</v>
      </c>
      <c r="N92" s="100">
        <v>2.5</v>
      </c>
      <c r="O92" s="100">
        <v>0</v>
      </c>
      <c r="P92" s="100">
        <v>0.26</v>
      </c>
      <c r="Q92" s="100">
        <v>10</v>
      </c>
      <c r="R92" s="6"/>
      <c r="S92" s="6"/>
      <c r="T92" s="156"/>
      <c r="U92" s="6"/>
    </row>
    <row r="93" spans="1:21" customFormat="1">
      <c r="A93" s="163" t="s">
        <v>1188</v>
      </c>
      <c r="B93" s="100">
        <v>1.24</v>
      </c>
      <c r="C93" s="100">
        <v>2.19</v>
      </c>
      <c r="D93" s="100">
        <v>0.3</v>
      </c>
      <c r="E93" s="100">
        <v>2.97</v>
      </c>
      <c r="F93" s="100">
        <v>3.29</v>
      </c>
      <c r="G93" s="100">
        <v>11.11</v>
      </c>
      <c r="H93" s="100">
        <v>7.83</v>
      </c>
      <c r="I93" s="100">
        <v>6.05</v>
      </c>
      <c r="J93" s="100">
        <v>0.2</v>
      </c>
      <c r="K93" s="100">
        <v>198.29</v>
      </c>
      <c r="L93" s="100">
        <v>24.03</v>
      </c>
      <c r="M93" s="100">
        <v>98.63</v>
      </c>
      <c r="N93" s="100">
        <v>2.1</v>
      </c>
      <c r="O93" s="100">
        <v>0</v>
      </c>
      <c r="P93" s="100">
        <v>0.26</v>
      </c>
      <c r="Q93" s="100">
        <v>10</v>
      </c>
      <c r="R93" s="6"/>
      <c r="S93" s="6"/>
      <c r="T93" s="156"/>
      <c r="U93" s="6"/>
    </row>
    <row r="94" spans="1:21" customFormat="1">
      <c r="A94" s="163" t="s">
        <v>1189</v>
      </c>
      <c r="B94" s="100">
        <v>1.24</v>
      </c>
      <c r="C94" s="100">
        <v>2.0299999999999998</v>
      </c>
      <c r="D94" s="100">
        <v>0.3</v>
      </c>
      <c r="E94" s="100">
        <v>3.18</v>
      </c>
      <c r="F94" s="100">
        <v>1.39</v>
      </c>
      <c r="G94" s="100">
        <v>11.11</v>
      </c>
      <c r="H94" s="100">
        <v>7.83</v>
      </c>
      <c r="I94" s="100">
        <v>5.95</v>
      </c>
      <c r="J94" s="100">
        <v>0.15</v>
      </c>
      <c r="K94" s="100">
        <v>185.43</v>
      </c>
      <c r="L94" s="100">
        <v>24.14</v>
      </c>
      <c r="M94" s="100">
        <v>98.63</v>
      </c>
      <c r="N94" s="100">
        <v>2.1</v>
      </c>
      <c r="O94" s="100">
        <v>0.2</v>
      </c>
      <c r="P94" s="100">
        <v>0.27</v>
      </c>
      <c r="Q94" s="100">
        <v>10</v>
      </c>
      <c r="R94" s="6"/>
      <c r="S94" s="6"/>
      <c r="T94" s="156"/>
      <c r="U94" s="6"/>
    </row>
    <row r="95" spans="1:21" customFormat="1">
      <c r="A95" s="163" t="s">
        <v>1190</v>
      </c>
      <c r="B95" s="100">
        <v>1.24</v>
      </c>
      <c r="C95" s="100">
        <v>2.0299999999999998</v>
      </c>
      <c r="D95" s="100">
        <v>0.3</v>
      </c>
      <c r="E95" s="100">
        <v>3.29</v>
      </c>
      <c r="F95" s="100">
        <v>2.09</v>
      </c>
      <c r="G95" s="100">
        <v>11.11</v>
      </c>
      <c r="H95" s="100">
        <v>7.83</v>
      </c>
      <c r="I95" s="100">
        <v>5.94</v>
      </c>
      <c r="J95" s="100">
        <v>0.11</v>
      </c>
      <c r="K95" s="100">
        <v>205.16</v>
      </c>
      <c r="L95" s="100">
        <v>24.15</v>
      </c>
      <c r="M95" s="100">
        <v>98.65</v>
      </c>
      <c r="N95" s="100">
        <v>2.2000000000000002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163" t="s">
        <v>1191</v>
      </c>
      <c r="B96" s="100">
        <v>1.24</v>
      </c>
      <c r="C96" s="100">
        <v>2.0299999999999998</v>
      </c>
      <c r="D96" s="100">
        <v>0.3</v>
      </c>
      <c r="E96" s="100">
        <v>3.13</v>
      </c>
      <c r="F96" s="100">
        <v>2.72</v>
      </c>
      <c r="G96" s="100">
        <v>11.24</v>
      </c>
      <c r="H96" s="100">
        <v>7.39</v>
      </c>
      <c r="I96" s="100">
        <v>5.92</v>
      </c>
      <c r="J96" s="100">
        <v>0.18</v>
      </c>
      <c r="K96" s="100">
        <v>237.7</v>
      </c>
      <c r="L96" s="100">
        <v>24.09</v>
      </c>
      <c r="M96" s="100">
        <v>98.67</v>
      </c>
      <c r="N96" s="100">
        <v>2.2999999999999998</v>
      </c>
      <c r="O96" s="100">
        <v>0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163" t="s">
        <v>1192</v>
      </c>
      <c r="B97" s="100">
        <v>1.24</v>
      </c>
      <c r="C97" s="100">
        <v>2.0299999999999998</v>
      </c>
      <c r="D97" s="100">
        <v>0.3</v>
      </c>
      <c r="E97" s="100">
        <v>3.79</v>
      </c>
      <c r="F97" s="100">
        <v>1.65</v>
      </c>
      <c r="G97" s="100">
        <v>11.8</v>
      </c>
      <c r="H97" s="100">
        <v>6</v>
      </c>
      <c r="I97" s="100">
        <v>5.83</v>
      </c>
      <c r="J97" s="100">
        <v>0.28000000000000003</v>
      </c>
      <c r="K97" s="100">
        <v>241.41</v>
      </c>
      <c r="L97" s="100">
        <v>24.28</v>
      </c>
      <c r="M97" s="100">
        <v>98.7</v>
      </c>
      <c r="N97" s="100">
        <v>2.2000000000000002</v>
      </c>
      <c r="O97" s="100">
        <v>0</v>
      </c>
      <c r="P97" s="100">
        <v>0.28000000000000003</v>
      </c>
      <c r="Q97" s="100">
        <v>10</v>
      </c>
      <c r="R97" s="6"/>
      <c r="S97" s="6"/>
      <c r="T97" s="156"/>
      <c r="U97" s="6"/>
    </row>
    <row r="98" spans="1:28" customFormat="1">
      <c r="A98" s="163" t="s">
        <v>1193</v>
      </c>
      <c r="B98" s="100">
        <v>1.24</v>
      </c>
      <c r="C98" s="100">
        <v>2.08</v>
      </c>
      <c r="D98" s="100">
        <v>0.11</v>
      </c>
      <c r="E98" s="100">
        <v>3.66</v>
      </c>
      <c r="F98" s="100">
        <v>1.33</v>
      </c>
      <c r="G98" s="100">
        <v>11.8</v>
      </c>
      <c r="H98" s="100">
        <v>6</v>
      </c>
      <c r="I98" s="100">
        <v>5.84</v>
      </c>
      <c r="J98" s="100">
        <v>0.2</v>
      </c>
      <c r="K98" s="100">
        <v>224.78</v>
      </c>
      <c r="L98" s="100">
        <v>24.34</v>
      </c>
      <c r="M98" s="100">
        <v>98.7</v>
      </c>
      <c r="N98" s="100">
        <v>2.2999999999999998</v>
      </c>
      <c r="O98" s="100">
        <v>0</v>
      </c>
      <c r="P98" s="100">
        <v>0.28999999999999998</v>
      </c>
      <c r="Q98" s="100">
        <v>10</v>
      </c>
      <c r="R98" s="6"/>
      <c r="S98" s="6"/>
      <c r="T98" s="156"/>
      <c r="U98" s="6"/>
    </row>
    <row r="99" spans="1:28" customFormat="1">
      <c r="A99" s="163" t="s">
        <v>1194</v>
      </c>
      <c r="B99" s="100">
        <v>1.24</v>
      </c>
      <c r="C99" s="100">
        <v>2.08</v>
      </c>
      <c r="D99" s="100">
        <v>0.1</v>
      </c>
      <c r="E99" s="100">
        <v>3.72</v>
      </c>
      <c r="F99" s="100">
        <v>2.46</v>
      </c>
      <c r="G99" s="100">
        <v>11.8</v>
      </c>
      <c r="H99" s="100">
        <v>6</v>
      </c>
      <c r="I99" s="100">
        <v>5.72</v>
      </c>
      <c r="J99" s="100">
        <v>7.0000000000000007E-2</v>
      </c>
      <c r="K99" s="100">
        <v>193.26</v>
      </c>
      <c r="L99" s="100">
        <v>24.37</v>
      </c>
      <c r="M99" s="100">
        <v>98.73</v>
      </c>
      <c r="N99" s="100">
        <v>2.2999999999999998</v>
      </c>
      <c r="O99" s="100">
        <v>0</v>
      </c>
      <c r="P99" s="100">
        <v>0.3</v>
      </c>
      <c r="Q99" s="100">
        <v>10</v>
      </c>
      <c r="R99" s="6"/>
      <c r="S99" s="6"/>
      <c r="T99" s="156"/>
      <c r="U99" s="6"/>
    </row>
    <row r="100" spans="1:28" customFormat="1">
      <c r="A100" s="163" t="s">
        <v>1195</v>
      </c>
      <c r="B100" s="100">
        <v>1.24</v>
      </c>
      <c r="C100" s="100">
        <v>2.04</v>
      </c>
      <c r="D100" s="100">
        <v>0.01</v>
      </c>
      <c r="E100" s="100">
        <v>4.08</v>
      </c>
      <c r="F100" s="100">
        <v>1.67</v>
      </c>
      <c r="G100" s="100">
        <v>11.97</v>
      </c>
      <c r="H100" s="100">
        <v>5.97</v>
      </c>
      <c r="I100" s="100">
        <v>5.79</v>
      </c>
      <c r="J100" s="100">
        <v>0.11</v>
      </c>
      <c r="K100" s="100">
        <v>153.34</v>
      </c>
      <c r="L100" s="100">
        <v>24.48</v>
      </c>
      <c r="M100" s="100">
        <v>98.76</v>
      </c>
      <c r="N100" s="100">
        <v>2.2999999999999998</v>
      </c>
      <c r="O100" s="100">
        <v>0</v>
      </c>
      <c r="P100" s="100">
        <v>0.28999999999999998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1196</v>
      </c>
      <c r="B101" s="100">
        <v>1.24</v>
      </c>
      <c r="C101" s="100">
        <v>2.04</v>
      </c>
      <c r="D101" s="100">
        <v>0.02</v>
      </c>
      <c r="E101" s="100">
        <v>4.49</v>
      </c>
      <c r="F101" s="100">
        <v>1.35</v>
      </c>
      <c r="G101" s="100">
        <v>12.73</v>
      </c>
      <c r="H101" s="100">
        <v>5.84</v>
      </c>
      <c r="I101" s="100">
        <v>5.79</v>
      </c>
      <c r="J101" s="100">
        <v>7.0000000000000007E-2</v>
      </c>
      <c r="K101" s="100">
        <v>202.52</v>
      </c>
      <c r="L101" s="100">
        <v>24.42</v>
      </c>
      <c r="M101" s="100">
        <v>98.79</v>
      </c>
      <c r="N101" s="100">
        <v>2.2999999999999998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1197</v>
      </c>
      <c r="B102" s="100">
        <v>1.24</v>
      </c>
      <c r="C102" s="100">
        <v>2.0299999999999998</v>
      </c>
      <c r="D102" s="100">
        <v>0.02</v>
      </c>
      <c r="E102" s="100">
        <v>4.72</v>
      </c>
      <c r="F102" s="100">
        <v>2.5099999999999998</v>
      </c>
      <c r="G102" s="100">
        <v>12.73</v>
      </c>
      <c r="H102" s="100">
        <v>5.84</v>
      </c>
      <c r="I102" s="100">
        <v>5.74</v>
      </c>
      <c r="J102" s="100">
        <v>0.11</v>
      </c>
      <c r="K102" s="100">
        <v>187.26</v>
      </c>
      <c r="L102" s="100">
        <v>24.53</v>
      </c>
      <c r="M102" s="100">
        <v>98.81</v>
      </c>
      <c r="N102" s="100">
        <v>2.2999999999999998</v>
      </c>
      <c r="O102" s="100">
        <v>0</v>
      </c>
      <c r="P102" s="100">
        <v>0.28999999999999998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1198</v>
      </c>
      <c r="B103" s="100">
        <v>1.24</v>
      </c>
      <c r="C103" s="100">
        <v>2.0299999999999998</v>
      </c>
      <c r="D103" s="100">
        <v>0.02</v>
      </c>
      <c r="E103" s="100">
        <v>4.62</v>
      </c>
      <c r="F103" s="100">
        <v>1.44</v>
      </c>
      <c r="G103" s="100">
        <v>12.73</v>
      </c>
      <c r="H103" s="100">
        <v>5.84</v>
      </c>
      <c r="I103" s="100">
        <v>5.74</v>
      </c>
      <c r="J103" s="100">
        <v>0.13</v>
      </c>
      <c r="K103" s="100">
        <v>162.44999999999999</v>
      </c>
      <c r="L103" s="100">
        <v>24.62</v>
      </c>
      <c r="M103" s="100">
        <v>98.84</v>
      </c>
      <c r="N103" s="100">
        <v>2.4</v>
      </c>
      <c r="O103" s="100">
        <v>0</v>
      </c>
      <c r="P103" s="100">
        <v>0.28000000000000003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1199</v>
      </c>
      <c r="B104" s="100">
        <v>1.24</v>
      </c>
      <c r="C104" s="100">
        <v>2.0299999999999998</v>
      </c>
      <c r="D104" s="100">
        <v>0.02</v>
      </c>
      <c r="E104" s="100">
        <v>4.45</v>
      </c>
      <c r="F104" s="100">
        <v>1.0900000000000001</v>
      </c>
      <c r="G104" s="100">
        <v>12.11</v>
      </c>
      <c r="H104" s="100">
        <v>5.53</v>
      </c>
      <c r="I104" s="100">
        <v>5.58</v>
      </c>
      <c r="J104" s="100">
        <v>0.12</v>
      </c>
      <c r="K104" s="100">
        <v>191.7</v>
      </c>
      <c r="L104" s="100">
        <v>24.68</v>
      </c>
      <c r="M104" s="100">
        <v>98.87</v>
      </c>
      <c r="N104" s="100">
        <v>2.4</v>
      </c>
      <c r="O104" s="100">
        <v>0</v>
      </c>
      <c r="P104" s="100">
        <v>0.28000000000000003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-0.26</v>
      </c>
      <c r="C106" s="158">
        <f>MIN(C9:C104)</f>
        <v>1.22</v>
      </c>
      <c r="D106" s="158">
        <f t="shared" ref="D106:Q106" si="0">MIN(D9:D104)</f>
        <v>0</v>
      </c>
      <c r="E106" s="158">
        <f t="shared" si="0"/>
        <v>1.47</v>
      </c>
      <c r="F106" s="158">
        <f t="shared" si="0"/>
        <v>0.43</v>
      </c>
      <c r="G106" s="158">
        <f t="shared" si="0"/>
        <v>10.95</v>
      </c>
      <c r="H106" s="158">
        <f t="shared" si="0"/>
        <v>2.62</v>
      </c>
      <c r="I106" s="158">
        <f t="shared" si="0"/>
        <v>2.83</v>
      </c>
      <c r="J106" s="158">
        <f t="shared" si="0"/>
        <v>0.03</v>
      </c>
      <c r="K106" s="158">
        <f t="shared" si="0"/>
        <v>15.28</v>
      </c>
      <c r="L106" s="158">
        <f t="shared" si="0"/>
        <v>24.02</v>
      </c>
      <c r="M106" s="158">
        <f t="shared" si="0"/>
        <v>82.09</v>
      </c>
      <c r="N106" s="158">
        <f t="shared" si="0"/>
        <v>2.1</v>
      </c>
      <c r="O106" s="158">
        <f t="shared" si="0"/>
        <v>0</v>
      </c>
      <c r="P106" s="158">
        <f t="shared" si="0"/>
        <v>0.1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65.98</v>
      </c>
      <c r="C107" s="157">
        <f t="shared" ref="C107:Q107" si="1">MAX(C9:C104)</f>
        <v>171.15</v>
      </c>
      <c r="D107" s="157">
        <f t="shared" si="1"/>
        <v>105.47</v>
      </c>
      <c r="E107" s="157">
        <f t="shared" si="1"/>
        <v>202.91</v>
      </c>
      <c r="F107" s="157">
        <f t="shared" si="1"/>
        <v>35.93</v>
      </c>
      <c r="G107" s="157">
        <f t="shared" si="1"/>
        <v>33.75</v>
      </c>
      <c r="H107" s="157">
        <f t="shared" si="1"/>
        <v>13.5</v>
      </c>
      <c r="I107" s="157">
        <f t="shared" si="1"/>
        <v>9.2899999999999991</v>
      </c>
      <c r="J107" s="157">
        <f t="shared" si="1"/>
        <v>1.1100000000000001</v>
      </c>
      <c r="K107" s="157">
        <f t="shared" si="1"/>
        <v>350.17</v>
      </c>
      <c r="L107" s="157">
        <f t="shared" si="1"/>
        <v>29.18</v>
      </c>
      <c r="M107" s="157">
        <f t="shared" si="1"/>
        <v>100.43</v>
      </c>
      <c r="N107" s="157">
        <f t="shared" si="1"/>
        <v>522</v>
      </c>
      <c r="O107" s="157">
        <f t="shared" si="1"/>
        <v>18.2</v>
      </c>
      <c r="P107" s="157">
        <f t="shared" si="1"/>
        <v>0.34</v>
      </c>
      <c r="Q107" s="157">
        <f t="shared" si="1"/>
        <v>10.039999999999999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4.9035443037974726</v>
      </c>
      <c r="C108" s="158">
        <f t="shared" ref="C108:Q108" si="2">AVERAGE(C9:C104)</f>
        <v>11.602405063291139</v>
      </c>
      <c r="D108" s="158">
        <f t="shared" si="2"/>
        <v>5.2575949367088599</v>
      </c>
      <c r="E108" s="158">
        <f t="shared" si="2"/>
        <v>7.8140624999999986</v>
      </c>
      <c r="F108" s="158">
        <f t="shared" si="2"/>
        <v>6.9692708333333364</v>
      </c>
      <c r="G108" s="158">
        <f t="shared" si="2"/>
        <v>19.324375000000007</v>
      </c>
      <c r="H108" s="158">
        <f t="shared" si="2"/>
        <v>7.4496874999999996</v>
      </c>
      <c r="I108" s="158">
        <f t="shared" si="2"/>
        <v>4.6130208333333336</v>
      </c>
      <c r="J108" s="158">
        <f t="shared" si="2"/>
        <v>0.50760416666666652</v>
      </c>
      <c r="K108" s="158">
        <f t="shared" si="2"/>
        <v>239.87635416666663</v>
      </c>
      <c r="L108" s="158">
        <f t="shared" si="2"/>
        <v>25.338854166666678</v>
      </c>
      <c r="M108" s="158">
        <f t="shared" si="2"/>
        <v>95.969791666666723</v>
      </c>
      <c r="N108" s="158">
        <f t="shared" si="2"/>
        <v>53.908333333333339</v>
      </c>
      <c r="O108" s="158">
        <f t="shared" si="2"/>
        <v>0.40416666666666695</v>
      </c>
      <c r="P108" s="158">
        <f t="shared" si="2"/>
        <v>0.19677083333333337</v>
      </c>
      <c r="Q108" s="158">
        <f t="shared" si="2"/>
        <v>9.3991666666666678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13.341977425997706</v>
      </c>
      <c r="C109" s="158">
        <f t="shared" ref="C109:Q109" si="3">STDEV(C9:C104)</f>
        <v>33.26978590850748</v>
      </c>
      <c r="D109" s="158">
        <f t="shared" si="3"/>
        <v>16.560458405583191</v>
      </c>
      <c r="E109" s="158">
        <f t="shared" si="3"/>
        <v>26.149503872847234</v>
      </c>
      <c r="F109" s="158">
        <f t="shared" si="3"/>
        <v>9.3017896687501285</v>
      </c>
      <c r="G109" s="158">
        <f t="shared" si="3"/>
        <v>6.098788630798528</v>
      </c>
      <c r="H109" s="158">
        <f t="shared" si="3"/>
        <v>3.1888874328220669</v>
      </c>
      <c r="I109" s="158">
        <f t="shared" si="3"/>
        <v>1.5187079825968892</v>
      </c>
      <c r="J109" s="158">
        <f t="shared" si="3"/>
        <v>0.29630263615597885</v>
      </c>
      <c r="K109" s="158">
        <f t="shared" si="3"/>
        <v>54.455834332822413</v>
      </c>
      <c r="L109" s="158">
        <f t="shared" si="3"/>
        <v>1.4932351806813824</v>
      </c>
      <c r="M109" s="158">
        <f t="shared" si="3"/>
        <v>5.5253490443051199</v>
      </c>
      <c r="N109" s="158">
        <f t="shared" si="3"/>
        <v>96.789504288176161</v>
      </c>
      <c r="O109" s="158">
        <f t="shared" si="3"/>
        <v>2.1667300935385594</v>
      </c>
      <c r="P109" s="158">
        <f t="shared" si="3"/>
        <v>6.1498734119049936E-2</v>
      </c>
      <c r="Q109" s="158">
        <f t="shared" si="3"/>
        <v>2.2517131100174641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COUNT(B9:B104)+17</f>
        <v>96</v>
      </c>
      <c r="C110" s="157">
        <f t="shared" ref="C110:D110" si="4">COUNT(C9:C104)+17</f>
        <v>96</v>
      </c>
      <c r="D110" s="157">
        <f t="shared" si="4"/>
        <v>96</v>
      </c>
      <c r="E110" s="157">
        <f t="shared" ref="E110:Q110" si="5">COUNT(E9:E104)</f>
        <v>96</v>
      </c>
      <c r="F110" s="157">
        <f t="shared" si="5"/>
        <v>96</v>
      </c>
      <c r="G110" s="157">
        <f t="shared" si="5"/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5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11" sqref="D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1200</v>
      </c>
      <c r="B9" s="100">
        <v>2.48</v>
      </c>
      <c r="C9" s="100">
        <v>3.38</v>
      </c>
      <c r="D9" s="100">
        <v>0.84</v>
      </c>
      <c r="E9" s="100">
        <v>4.4000000000000004</v>
      </c>
      <c r="F9" s="100">
        <v>1.7</v>
      </c>
      <c r="G9" s="100">
        <v>9.41</v>
      </c>
      <c r="H9" s="100">
        <v>4.55</v>
      </c>
      <c r="I9" s="100">
        <v>5.45</v>
      </c>
      <c r="J9" s="100">
        <v>0.13</v>
      </c>
      <c r="K9" s="100">
        <v>230.73</v>
      </c>
      <c r="L9" s="100">
        <v>24.69</v>
      </c>
      <c r="M9" s="100">
        <v>98.92</v>
      </c>
      <c r="N9" s="100">
        <v>2.4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163" t="s">
        <v>1201</v>
      </c>
      <c r="B10" s="100">
        <v>2.57</v>
      </c>
      <c r="C10" s="100">
        <v>3.83</v>
      </c>
      <c r="D10" s="100">
        <v>1.4</v>
      </c>
      <c r="E10" s="100">
        <v>4.5</v>
      </c>
      <c r="F10" s="100">
        <v>2.2599999999999998</v>
      </c>
      <c r="G10" s="100">
        <v>9.41</v>
      </c>
      <c r="H10" s="100">
        <v>4.55</v>
      </c>
      <c r="I10" s="100">
        <v>5.41</v>
      </c>
      <c r="J10" s="100">
        <v>0.25</v>
      </c>
      <c r="K10" s="100">
        <v>244.78</v>
      </c>
      <c r="L10" s="100">
        <v>24.8</v>
      </c>
      <c r="M10" s="100">
        <v>99.01</v>
      </c>
      <c r="N10" s="100">
        <v>2.2999999999999998</v>
      </c>
      <c r="O10" s="100">
        <v>0</v>
      </c>
      <c r="P10" s="100">
        <v>0.27</v>
      </c>
      <c r="Q10" s="100">
        <v>10</v>
      </c>
      <c r="R10" s="6"/>
      <c r="S10" s="6"/>
      <c r="T10" s="156"/>
      <c r="U10" s="6"/>
    </row>
    <row r="11" spans="1:21" customFormat="1">
      <c r="A11" s="163" t="s">
        <v>1202</v>
      </c>
      <c r="B11" s="100">
        <v>2.15</v>
      </c>
      <c r="C11" s="100">
        <v>3.79</v>
      </c>
      <c r="D11" s="100">
        <v>1.98</v>
      </c>
      <c r="E11" s="100">
        <v>4.59</v>
      </c>
      <c r="F11" s="100">
        <v>0.98</v>
      </c>
      <c r="G11" s="100">
        <v>9.41</v>
      </c>
      <c r="H11" s="100">
        <v>4.55</v>
      </c>
      <c r="I11" s="100">
        <v>5.36</v>
      </c>
      <c r="J11" s="100">
        <v>0.24</v>
      </c>
      <c r="K11" s="100">
        <v>248.94</v>
      </c>
      <c r="L11" s="100">
        <v>24.84</v>
      </c>
      <c r="M11" s="100">
        <v>99.14</v>
      </c>
      <c r="N11" s="100">
        <v>2.2000000000000002</v>
      </c>
      <c r="O11" s="100">
        <v>0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163" t="s">
        <v>1203</v>
      </c>
      <c r="B12" s="100">
        <v>1.94</v>
      </c>
      <c r="C12" s="100">
        <v>3.51</v>
      </c>
      <c r="D12" s="100">
        <v>1.74</v>
      </c>
      <c r="E12" s="100">
        <v>4.6100000000000003</v>
      </c>
      <c r="F12" s="100">
        <v>1.41</v>
      </c>
      <c r="G12" s="100">
        <v>10.18</v>
      </c>
      <c r="H12" s="100">
        <v>4.87</v>
      </c>
      <c r="I12" s="100">
        <v>5.27</v>
      </c>
      <c r="J12" s="100">
        <v>0.43</v>
      </c>
      <c r="K12" s="100">
        <v>246.56</v>
      </c>
      <c r="L12" s="100">
        <v>25.03</v>
      </c>
      <c r="M12" s="100">
        <v>99.51</v>
      </c>
      <c r="N12" s="100">
        <v>2.1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163" t="s">
        <v>1204</v>
      </c>
      <c r="B13" s="100">
        <v>1.81</v>
      </c>
      <c r="C13" s="100">
        <v>3.37</v>
      </c>
      <c r="D13" s="100">
        <v>1.7</v>
      </c>
      <c r="E13" s="100">
        <v>4.38</v>
      </c>
      <c r="F13" s="100">
        <v>1.98</v>
      </c>
      <c r="G13" s="100">
        <v>13.49</v>
      </c>
      <c r="H13" s="100">
        <v>5.88</v>
      </c>
      <c r="I13" s="100">
        <v>5.21</v>
      </c>
      <c r="J13" s="100">
        <v>0.34</v>
      </c>
      <c r="K13" s="100">
        <v>244.81</v>
      </c>
      <c r="L13" s="100">
        <v>25.18</v>
      </c>
      <c r="M13" s="100">
        <v>98.21</v>
      </c>
      <c r="N13" s="100">
        <v>2.2000000000000002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163" t="s">
        <v>1205</v>
      </c>
      <c r="B14" s="100">
        <v>1.55</v>
      </c>
      <c r="C14" s="100">
        <v>3.28</v>
      </c>
      <c r="D14" s="100">
        <v>1.92</v>
      </c>
      <c r="E14" s="100">
        <v>4.5</v>
      </c>
      <c r="F14" s="100">
        <v>2.4</v>
      </c>
      <c r="G14" s="100">
        <v>13.49</v>
      </c>
      <c r="H14" s="100">
        <v>5.88</v>
      </c>
      <c r="I14" s="100">
        <v>5.13</v>
      </c>
      <c r="J14" s="100">
        <v>0.47</v>
      </c>
      <c r="K14" s="100">
        <v>245.87</v>
      </c>
      <c r="L14" s="100">
        <v>25.29</v>
      </c>
      <c r="M14" s="100">
        <v>98.54</v>
      </c>
      <c r="N14" s="100">
        <v>2.5</v>
      </c>
      <c r="O14" s="100">
        <v>0</v>
      </c>
      <c r="P14" s="100">
        <v>0.24</v>
      </c>
      <c r="Q14" s="100">
        <v>10</v>
      </c>
      <c r="R14" s="6"/>
      <c r="S14" s="6"/>
      <c r="T14" s="156"/>
      <c r="U14" s="6"/>
    </row>
    <row r="15" spans="1:21" customFormat="1">
      <c r="A15" s="163" t="s">
        <v>1206</v>
      </c>
      <c r="B15" s="100">
        <v>1.37</v>
      </c>
      <c r="C15" s="100">
        <v>3.06</v>
      </c>
      <c r="D15" s="100">
        <v>1.76</v>
      </c>
      <c r="E15" s="100">
        <v>4.41</v>
      </c>
      <c r="F15" s="100">
        <v>1.23</v>
      </c>
      <c r="G15" s="100">
        <v>13.49</v>
      </c>
      <c r="H15" s="100">
        <v>5.88</v>
      </c>
      <c r="I15" s="100">
        <v>5.01</v>
      </c>
      <c r="J15" s="100">
        <v>0.47</v>
      </c>
      <c r="K15" s="100">
        <v>248.71</v>
      </c>
      <c r="L15" s="100">
        <v>25.34</v>
      </c>
      <c r="M15" s="100">
        <v>98.04</v>
      </c>
      <c r="N15" s="100">
        <v>2.6</v>
      </c>
      <c r="O15" s="100">
        <v>0</v>
      </c>
      <c r="P15" s="100">
        <v>0.23</v>
      </c>
      <c r="Q15" s="100">
        <v>10</v>
      </c>
      <c r="R15" s="6"/>
      <c r="S15" s="6"/>
      <c r="T15" s="156"/>
      <c r="U15" s="6"/>
    </row>
    <row r="16" spans="1:21" customFormat="1">
      <c r="A16" s="163" t="s">
        <v>1207</v>
      </c>
      <c r="B16" s="100">
        <v>1.24</v>
      </c>
      <c r="C16" s="100">
        <v>2.88</v>
      </c>
      <c r="D16" s="100">
        <v>1.63</v>
      </c>
      <c r="E16" s="100">
        <v>4.3</v>
      </c>
      <c r="F16" s="100">
        <v>2.1</v>
      </c>
      <c r="G16" s="100">
        <v>13.81</v>
      </c>
      <c r="H16" s="100">
        <v>6.13</v>
      </c>
      <c r="I16" s="100">
        <v>4.9000000000000004</v>
      </c>
      <c r="J16" s="100">
        <v>0.42</v>
      </c>
      <c r="K16" s="100">
        <v>246.95</v>
      </c>
      <c r="L16" s="100">
        <v>25.29</v>
      </c>
      <c r="M16" s="100">
        <v>98.07</v>
      </c>
      <c r="N16" s="100">
        <v>2.6</v>
      </c>
      <c r="O16" s="100">
        <v>0</v>
      </c>
      <c r="P16" s="100">
        <v>0.24</v>
      </c>
      <c r="Q16" s="100">
        <v>10</v>
      </c>
      <c r="R16" s="6"/>
      <c r="S16" s="6"/>
      <c r="T16" s="156"/>
      <c r="U16" s="6"/>
    </row>
    <row r="17" spans="1:21" customFormat="1">
      <c r="A17" s="163" t="s">
        <v>1208</v>
      </c>
      <c r="B17" s="100">
        <v>1.24</v>
      </c>
      <c r="C17" s="100">
        <v>2.57</v>
      </c>
      <c r="D17" s="100">
        <v>1.03</v>
      </c>
      <c r="E17" s="100">
        <v>3.78</v>
      </c>
      <c r="F17" s="100">
        <v>2.4</v>
      </c>
      <c r="G17" s="100">
        <v>15.31</v>
      </c>
      <c r="H17" s="100">
        <v>6.9</v>
      </c>
      <c r="I17" s="100">
        <v>4.83</v>
      </c>
      <c r="J17" s="100">
        <v>0.28000000000000003</v>
      </c>
      <c r="K17" s="100">
        <v>237.84</v>
      </c>
      <c r="L17" s="100">
        <v>25.22</v>
      </c>
      <c r="M17" s="100">
        <v>98.14</v>
      </c>
      <c r="N17" s="100">
        <v>2.4</v>
      </c>
      <c r="O17" s="100">
        <v>0</v>
      </c>
      <c r="P17" s="100">
        <v>0.23</v>
      </c>
      <c r="Q17" s="100">
        <v>10</v>
      </c>
      <c r="R17" s="6"/>
      <c r="S17" s="6"/>
      <c r="T17" s="156"/>
      <c r="U17" s="6"/>
    </row>
    <row r="18" spans="1:21" customFormat="1">
      <c r="A18" s="163" t="s">
        <v>1209</v>
      </c>
      <c r="B18" s="100">
        <v>1.24</v>
      </c>
      <c r="C18" s="100">
        <v>2.5499999999999998</v>
      </c>
      <c r="D18" s="100">
        <v>1</v>
      </c>
      <c r="E18" s="100">
        <v>4.1900000000000004</v>
      </c>
      <c r="F18" s="100">
        <v>1.52</v>
      </c>
      <c r="G18" s="100">
        <v>15.31</v>
      </c>
      <c r="H18" s="100">
        <v>6.9</v>
      </c>
      <c r="I18" s="100">
        <v>4.74</v>
      </c>
      <c r="J18" s="100">
        <v>0.21</v>
      </c>
      <c r="K18" s="100">
        <v>235.76</v>
      </c>
      <c r="L18" s="100">
        <v>25.25</v>
      </c>
      <c r="M18" s="100">
        <v>98.24</v>
      </c>
      <c r="N18" s="100">
        <v>2.4</v>
      </c>
      <c r="O18" s="100">
        <v>0</v>
      </c>
      <c r="P18" s="100">
        <v>0.23</v>
      </c>
      <c r="Q18" s="100">
        <v>10</v>
      </c>
      <c r="R18" s="6"/>
      <c r="S18" s="6"/>
      <c r="T18" s="156"/>
      <c r="U18" s="6"/>
    </row>
    <row r="19" spans="1:21" customFormat="1">
      <c r="A19" s="163" t="s">
        <v>1210</v>
      </c>
      <c r="B19" s="100">
        <v>1.24</v>
      </c>
      <c r="C19" s="100">
        <v>2.46</v>
      </c>
      <c r="D19" s="100">
        <v>0.82</v>
      </c>
      <c r="E19" s="100">
        <v>4.26</v>
      </c>
      <c r="F19" s="100">
        <v>1.33</v>
      </c>
      <c r="G19" s="100">
        <v>15.31</v>
      </c>
      <c r="H19" s="100">
        <v>6.9</v>
      </c>
      <c r="I19" s="100">
        <v>4.6500000000000004</v>
      </c>
      <c r="J19" s="100">
        <v>0.13</v>
      </c>
      <c r="K19" s="100">
        <v>217.28</v>
      </c>
      <c r="L19" s="100">
        <v>25.17</v>
      </c>
      <c r="M19" s="100">
        <v>98.43</v>
      </c>
      <c r="N19" s="100">
        <v>2.4</v>
      </c>
      <c r="O19" s="100">
        <v>0</v>
      </c>
      <c r="P19" s="100">
        <v>0.23</v>
      </c>
      <c r="Q19" s="100">
        <v>10</v>
      </c>
      <c r="R19" s="6"/>
      <c r="S19" s="6"/>
      <c r="T19" s="156"/>
      <c r="U19" s="6"/>
    </row>
    <row r="20" spans="1:21" customFormat="1">
      <c r="A20" s="163" t="s">
        <v>1211</v>
      </c>
      <c r="B20" s="100">
        <v>1.24</v>
      </c>
      <c r="C20" s="100">
        <v>2.29</v>
      </c>
      <c r="D20" s="100">
        <v>0.5</v>
      </c>
      <c r="E20" s="100">
        <v>4.47</v>
      </c>
      <c r="F20" s="100">
        <v>3.24</v>
      </c>
      <c r="G20" s="100">
        <v>16.02</v>
      </c>
      <c r="H20" s="100">
        <v>7.52</v>
      </c>
      <c r="I20" s="100">
        <v>4.7</v>
      </c>
      <c r="J20" s="100">
        <v>0.28999999999999998</v>
      </c>
      <c r="K20" s="100">
        <v>245.91</v>
      </c>
      <c r="L20" s="100">
        <v>25.13</v>
      </c>
      <c r="M20" s="100">
        <v>98.69</v>
      </c>
      <c r="N20" s="100">
        <v>2.5</v>
      </c>
      <c r="O20" s="100">
        <v>0</v>
      </c>
      <c r="P20" s="100">
        <v>0.24</v>
      </c>
      <c r="Q20" s="100">
        <v>10</v>
      </c>
      <c r="R20" s="6"/>
      <c r="S20" s="6"/>
      <c r="T20" s="156"/>
      <c r="U20" s="6"/>
    </row>
    <row r="21" spans="1:21" customFormat="1">
      <c r="A21" s="163" t="s">
        <v>1212</v>
      </c>
      <c r="B21" s="100">
        <v>1.24</v>
      </c>
      <c r="C21" s="100">
        <v>2.23</v>
      </c>
      <c r="D21" s="100">
        <v>0.39</v>
      </c>
      <c r="E21" s="100">
        <v>4.5999999999999996</v>
      </c>
      <c r="F21" s="100">
        <v>0.12</v>
      </c>
      <c r="G21" s="100">
        <v>19.32</v>
      </c>
      <c r="H21" s="100">
        <v>10.69</v>
      </c>
      <c r="I21" s="100">
        <v>4.8099999999999996</v>
      </c>
      <c r="J21" s="100">
        <v>0.24</v>
      </c>
      <c r="K21" s="100">
        <v>252.69</v>
      </c>
      <c r="L21" s="100">
        <v>25.08</v>
      </c>
      <c r="M21" s="100">
        <v>99.35</v>
      </c>
      <c r="N21" s="100">
        <v>2.5</v>
      </c>
      <c r="O21" s="100">
        <v>0</v>
      </c>
      <c r="P21" s="100">
        <v>0.23</v>
      </c>
      <c r="Q21" s="100">
        <v>10</v>
      </c>
      <c r="R21" s="6"/>
      <c r="S21" s="6"/>
      <c r="T21" s="156"/>
      <c r="U21" s="6"/>
    </row>
    <row r="22" spans="1:21" customFormat="1">
      <c r="A22" s="163" t="s">
        <v>1213</v>
      </c>
      <c r="B22" s="100">
        <v>1.24</v>
      </c>
      <c r="C22" s="100">
        <v>2.2999999999999998</v>
      </c>
      <c r="D22" s="100">
        <v>0.52</v>
      </c>
      <c r="E22" s="100">
        <v>4.2300000000000004</v>
      </c>
      <c r="F22" s="100">
        <v>1.62</v>
      </c>
      <c r="G22" s="100">
        <v>19.32</v>
      </c>
      <c r="H22" s="100">
        <v>10.69</v>
      </c>
      <c r="I22" s="100">
        <v>4.93</v>
      </c>
      <c r="J22" s="100">
        <v>0.44</v>
      </c>
      <c r="K22" s="100">
        <v>246.85</v>
      </c>
      <c r="L22" s="100">
        <v>25.06</v>
      </c>
      <c r="M22" s="100">
        <v>98.31</v>
      </c>
      <c r="N22" s="100">
        <v>2.4</v>
      </c>
      <c r="O22" s="100">
        <v>0</v>
      </c>
      <c r="P22" s="100">
        <v>0.21</v>
      </c>
      <c r="Q22" s="100">
        <v>10</v>
      </c>
      <c r="R22" s="6"/>
      <c r="S22" s="6"/>
      <c r="T22" s="156"/>
      <c r="U22" s="6"/>
    </row>
    <row r="23" spans="1:21" customFormat="1">
      <c r="A23" s="163" t="s">
        <v>1214</v>
      </c>
      <c r="B23" s="100">
        <v>1.24</v>
      </c>
      <c r="C23" s="100">
        <v>2.2400000000000002</v>
      </c>
      <c r="D23" s="100">
        <v>0.4</v>
      </c>
      <c r="E23" s="100">
        <v>4.25</v>
      </c>
      <c r="F23" s="100">
        <v>2.39</v>
      </c>
      <c r="G23" s="100">
        <v>19.32</v>
      </c>
      <c r="H23" s="100">
        <v>10.69</v>
      </c>
      <c r="I23" s="100">
        <v>5.1100000000000003</v>
      </c>
      <c r="J23" s="100">
        <v>0.52</v>
      </c>
      <c r="K23" s="100">
        <v>244.49</v>
      </c>
      <c r="L23" s="100">
        <v>25.13</v>
      </c>
      <c r="M23" s="100">
        <v>98.31</v>
      </c>
      <c r="N23" s="100">
        <v>2.5</v>
      </c>
      <c r="O23" s="100">
        <v>0</v>
      </c>
      <c r="P23" s="100">
        <v>0.22</v>
      </c>
      <c r="Q23" s="100">
        <v>10</v>
      </c>
      <c r="R23" s="6"/>
      <c r="S23" s="6"/>
      <c r="T23" s="156"/>
      <c r="U23" s="6"/>
    </row>
    <row r="24" spans="1:21" customFormat="1">
      <c r="A24" s="163" t="s">
        <v>1215</v>
      </c>
      <c r="B24" s="100">
        <v>1.24</v>
      </c>
      <c r="C24" s="100">
        <v>2.13</v>
      </c>
      <c r="D24" s="100">
        <v>0.19</v>
      </c>
      <c r="E24" s="100">
        <v>4.08</v>
      </c>
      <c r="F24" s="100">
        <v>1.44</v>
      </c>
      <c r="G24" s="100">
        <v>20.170000000000002</v>
      </c>
      <c r="H24" s="100">
        <v>10.63</v>
      </c>
      <c r="I24" s="100">
        <v>5.35</v>
      </c>
      <c r="J24" s="100">
        <v>0.46</v>
      </c>
      <c r="K24" s="100">
        <v>247.93</v>
      </c>
      <c r="L24" s="100">
        <v>25.14</v>
      </c>
      <c r="M24" s="100">
        <v>98.31</v>
      </c>
      <c r="N24" s="100">
        <v>2.6</v>
      </c>
      <c r="O24" s="100">
        <v>0</v>
      </c>
      <c r="P24" s="100">
        <v>0.23</v>
      </c>
      <c r="Q24" s="100">
        <v>10</v>
      </c>
      <c r="R24" s="6"/>
      <c r="S24" s="6"/>
      <c r="T24" s="156"/>
      <c r="U24" s="6"/>
    </row>
    <row r="25" spans="1:21" customFormat="1">
      <c r="A25" s="163" t="s">
        <v>1216</v>
      </c>
      <c r="B25" s="100">
        <v>1.24</v>
      </c>
      <c r="C25" s="100">
        <v>2.1800000000000002</v>
      </c>
      <c r="D25" s="100">
        <v>0.28999999999999998</v>
      </c>
      <c r="E25" s="100">
        <v>4.33</v>
      </c>
      <c r="F25" s="100">
        <v>1.66</v>
      </c>
      <c r="G25" s="100">
        <v>24.08</v>
      </c>
      <c r="H25" s="100">
        <v>10.42</v>
      </c>
      <c r="I25" s="100">
        <v>5.57</v>
      </c>
      <c r="J25" s="100">
        <v>0.33</v>
      </c>
      <c r="K25" s="100">
        <v>248.64</v>
      </c>
      <c r="L25" s="100">
        <v>25.03</v>
      </c>
      <c r="M25" s="100">
        <v>98.32</v>
      </c>
      <c r="N25" s="100">
        <v>2.5</v>
      </c>
      <c r="O25" s="100">
        <v>0</v>
      </c>
      <c r="P25" s="100">
        <v>0.23</v>
      </c>
      <c r="Q25" s="100">
        <v>10</v>
      </c>
      <c r="R25" s="6"/>
      <c r="S25" s="6"/>
      <c r="T25" s="156"/>
      <c r="U25" s="6"/>
    </row>
    <row r="26" spans="1:21" customFormat="1">
      <c r="A26" s="163" t="s">
        <v>1217</v>
      </c>
      <c r="B26" s="100">
        <v>1.24</v>
      </c>
      <c r="C26" s="100">
        <v>2.14</v>
      </c>
      <c r="D26" s="100">
        <v>0.21</v>
      </c>
      <c r="E26" s="100">
        <v>4.1500000000000004</v>
      </c>
      <c r="F26" s="100">
        <v>1.63</v>
      </c>
      <c r="G26" s="100">
        <v>24.08</v>
      </c>
      <c r="H26" s="100">
        <v>10.42</v>
      </c>
      <c r="I26" s="100">
        <v>5.72</v>
      </c>
      <c r="J26" s="100">
        <v>0.33</v>
      </c>
      <c r="K26" s="100">
        <v>247.58</v>
      </c>
      <c r="L26" s="100">
        <v>24.95</v>
      </c>
      <c r="M26" s="100">
        <v>98.34</v>
      </c>
      <c r="N26" s="100">
        <v>2.2999999999999998</v>
      </c>
      <c r="O26" s="100">
        <v>0</v>
      </c>
      <c r="P26" s="100">
        <v>0.25</v>
      </c>
      <c r="Q26" s="100">
        <v>10</v>
      </c>
      <c r="R26" s="6"/>
      <c r="S26" s="6"/>
      <c r="T26" s="156"/>
      <c r="U26" s="6"/>
    </row>
    <row r="27" spans="1:21" customFormat="1">
      <c r="A27" s="163" t="s">
        <v>1218</v>
      </c>
      <c r="B27" s="100">
        <v>1.24</v>
      </c>
      <c r="C27" s="100">
        <v>2.11</v>
      </c>
      <c r="D27" s="100">
        <v>0.14000000000000001</v>
      </c>
      <c r="E27" s="100">
        <v>4.34</v>
      </c>
      <c r="F27" s="100">
        <v>1.43</v>
      </c>
      <c r="G27" s="100">
        <v>24.08</v>
      </c>
      <c r="H27" s="100">
        <v>10.42</v>
      </c>
      <c r="I27" s="100">
        <v>5.82</v>
      </c>
      <c r="J27" s="100">
        <v>0.46</v>
      </c>
      <c r="K27" s="100">
        <v>251.52</v>
      </c>
      <c r="L27" s="100">
        <v>24.9</v>
      </c>
      <c r="M27" s="100">
        <v>98.35</v>
      </c>
      <c r="N27" s="100">
        <v>2.2000000000000002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163" t="s">
        <v>1219</v>
      </c>
      <c r="B28" s="100">
        <v>1.24</v>
      </c>
      <c r="C28" s="100">
        <v>2.12</v>
      </c>
      <c r="D28" s="100">
        <v>0.17</v>
      </c>
      <c r="E28" s="100">
        <v>4.01</v>
      </c>
      <c r="F28" s="100">
        <v>2.64</v>
      </c>
      <c r="G28" s="100">
        <v>24.69</v>
      </c>
      <c r="H28" s="100">
        <v>10.73</v>
      </c>
      <c r="I28" s="100">
        <v>5.95</v>
      </c>
      <c r="J28" s="100">
        <v>0.57999999999999996</v>
      </c>
      <c r="K28" s="100">
        <v>252.42</v>
      </c>
      <c r="L28" s="100">
        <v>24.92</v>
      </c>
      <c r="M28" s="100">
        <v>98.36</v>
      </c>
      <c r="N28" s="100">
        <v>2.2999999999999998</v>
      </c>
      <c r="O28" s="100">
        <v>0</v>
      </c>
      <c r="P28" s="100">
        <v>0.23</v>
      </c>
      <c r="Q28" s="100">
        <v>10</v>
      </c>
      <c r="R28" s="6"/>
      <c r="S28" s="6"/>
      <c r="T28" s="156"/>
      <c r="U28" s="6"/>
    </row>
    <row r="29" spans="1:21" customFormat="1">
      <c r="A29" s="163" t="s">
        <v>1220</v>
      </c>
      <c r="B29" s="100">
        <v>1.24</v>
      </c>
      <c r="C29" s="100">
        <v>2.0299999999999998</v>
      </c>
      <c r="D29" s="100">
        <v>0.17</v>
      </c>
      <c r="E29" s="100">
        <v>4.3899999999999997</v>
      </c>
      <c r="F29" s="100">
        <v>1.69</v>
      </c>
      <c r="G29" s="100">
        <v>27.52</v>
      </c>
      <c r="H29" s="100">
        <v>11.66</v>
      </c>
      <c r="I29" s="100">
        <v>5.99</v>
      </c>
      <c r="J29" s="100">
        <v>0.56999999999999995</v>
      </c>
      <c r="K29" s="100">
        <v>248.82</v>
      </c>
      <c r="L29" s="100">
        <v>24.91</v>
      </c>
      <c r="M29" s="100">
        <v>98.39</v>
      </c>
      <c r="N29" s="100">
        <v>2.4</v>
      </c>
      <c r="O29" s="100">
        <v>0</v>
      </c>
      <c r="P29" s="100">
        <v>0.25</v>
      </c>
      <c r="Q29" s="100">
        <v>10</v>
      </c>
      <c r="R29" s="6"/>
      <c r="S29" s="6"/>
      <c r="T29" s="156"/>
      <c r="U29" s="6"/>
    </row>
    <row r="30" spans="1:21" customFormat="1">
      <c r="A30" s="163" t="s">
        <v>1221</v>
      </c>
      <c r="B30" s="100">
        <v>1.24</v>
      </c>
      <c r="C30" s="100">
        <v>2.0299999999999998</v>
      </c>
      <c r="D30" s="100">
        <v>0.17</v>
      </c>
      <c r="E30" s="100">
        <v>4.26</v>
      </c>
      <c r="F30" s="100">
        <v>1.04</v>
      </c>
      <c r="G30" s="100">
        <v>27.52</v>
      </c>
      <c r="H30" s="100">
        <v>11.66</v>
      </c>
      <c r="I30" s="100">
        <v>5.96</v>
      </c>
      <c r="J30" s="100">
        <v>0.48</v>
      </c>
      <c r="K30" s="100">
        <v>246.58</v>
      </c>
      <c r="L30" s="100">
        <v>24.91</v>
      </c>
      <c r="M30" s="100">
        <v>98.4</v>
      </c>
      <c r="N30" s="100">
        <v>3.1</v>
      </c>
      <c r="O30" s="100">
        <v>0</v>
      </c>
      <c r="P30" s="100">
        <v>0.24</v>
      </c>
      <c r="Q30" s="100">
        <v>10</v>
      </c>
      <c r="R30" s="6"/>
      <c r="S30" s="6"/>
      <c r="T30" s="156"/>
      <c r="U30" s="6"/>
    </row>
    <row r="31" spans="1:21" customFormat="1">
      <c r="A31" s="163" t="s">
        <v>1222</v>
      </c>
      <c r="B31" s="100">
        <v>1.24</v>
      </c>
      <c r="C31" s="100">
        <v>2.0299999999999998</v>
      </c>
      <c r="D31" s="100">
        <v>0.17</v>
      </c>
      <c r="E31" s="100">
        <v>3.98</v>
      </c>
      <c r="F31" s="100">
        <v>2.2000000000000002</v>
      </c>
      <c r="G31" s="100">
        <v>27.52</v>
      </c>
      <c r="H31" s="100">
        <v>11.66</v>
      </c>
      <c r="I31" s="100">
        <v>5.99</v>
      </c>
      <c r="J31" s="100">
        <v>0.4</v>
      </c>
      <c r="K31" s="100">
        <v>249.01</v>
      </c>
      <c r="L31" s="100">
        <v>24.9</v>
      </c>
      <c r="M31" s="100">
        <v>98.43</v>
      </c>
      <c r="N31" s="100">
        <v>5.6</v>
      </c>
      <c r="O31" s="100">
        <v>0</v>
      </c>
      <c r="P31" s="100">
        <v>0.23</v>
      </c>
      <c r="Q31" s="100">
        <v>10</v>
      </c>
      <c r="R31" s="6"/>
      <c r="S31" s="6"/>
      <c r="T31" s="156"/>
      <c r="U31" s="6"/>
    </row>
    <row r="32" spans="1:21" customFormat="1">
      <c r="A32" s="163" t="s">
        <v>1223</v>
      </c>
      <c r="B32" s="100">
        <v>1.24</v>
      </c>
      <c r="C32" s="100">
        <v>2.0299999999999998</v>
      </c>
      <c r="D32" s="100">
        <v>0.17</v>
      </c>
      <c r="E32" s="100">
        <v>4.4000000000000004</v>
      </c>
      <c r="F32" s="100">
        <v>1.67</v>
      </c>
      <c r="G32" s="100">
        <v>27.59</v>
      </c>
      <c r="H32" s="100">
        <v>11.39</v>
      </c>
      <c r="I32" s="100">
        <v>5.9</v>
      </c>
      <c r="J32" s="100">
        <v>0.61</v>
      </c>
      <c r="K32" s="100">
        <v>250.72</v>
      </c>
      <c r="L32" s="100">
        <v>24.9</v>
      </c>
      <c r="M32" s="100">
        <v>98.44</v>
      </c>
      <c r="N32" s="100">
        <v>10.4</v>
      </c>
      <c r="O32" s="100">
        <v>0</v>
      </c>
      <c r="P32" s="100">
        <v>0.24</v>
      </c>
      <c r="Q32" s="100">
        <v>10</v>
      </c>
      <c r="R32" s="6"/>
      <c r="S32" s="6"/>
      <c r="T32" s="156"/>
      <c r="U32" s="6"/>
    </row>
    <row r="33" spans="1:21" customFormat="1">
      <c r="A33" s="163" t="s">
        <v>1224</v>
      </c>
      <c r="B33" s="100">
        <v>1.24</v>
      </c>
      <c r="C33" s="100">
        <v>2.0499999999999998</v>
      </c>
      <c r="D33" s="100">
        <v>0.03</v>
      </c>
      <c r="E33" s="100">
        <v>4.3</v>
      </c>
      <c r="F33" s="100">
        <v>1.72</v>
      </c>
      <c r="G33" s="100">
        <v>27.9</v>
      </c>
      <c r="H33" s="100">
        <v>10.52</v>
      </c>
      <c r="I33" s="100">
        <v>5.83</v>
      </c>
      <c r="J33" s="100">
        <v>0.42</v>
      </c>
      <c r="K33" s="100">
        <v>251.56</v>
      </c>
      <c r="L33" s="100">
        <v>25</v>
      </c>
      <c r="M33" s="100">
        <v>98.46</v>
      </c>
      <c r="N33" s="100">
        <v>18</v>
      </c>
      <c r="O33" s="100">
        <v>0</v>
      </c>
      <c r="P33" s="100">
        <v>0.22</v>
      </c>
      <c r="Q33" s="100">
        <v>10</v>
      </c>
      <c r="R33" s="6"/>
      <c r="S33" s="6"/>
      <c r="T33" s="156"/>
      <c r="U33" s="6"/>
    </row>
    <row r="34" spans="1:21" customFormat="1">
      <c r="A34" s="163" t="s">
        <v>1225</v>
      </c>
      <c r="B34" s="100">
        <v>1.24</v>
      </c>
      <c r="C34" s="100">
        <v>2.0299999999999998</v>
      </c>
      <c r="D34" s="147" t="s">
        <v>14</v>
      </c>
      <c r="E34" s="100">
        <v>4.21</v>
      </c>
      <c r="F34" s="100">
        <v>2.11</v>
      </c>
      <c r="G34" s="100">
        <v>27.9</v>
      </c>
      <c r="H34" s="100">
        <v>10.52</v>
      </c>
      <c r="I34" s="100">
        <v>5.83</v>
      </c>
      <c r="J34" s="100">
        <v>0.47</v>
      </c>
      <c r="K34" s="100">
        <v>246.59</v>
      </c>
      <c r="L34" s="100">
        <v>25.1</v>
      </c>
      <c r="M34" s="100">
        <v>98.48</v>
      </c>
      <c r="N34" s="100">
        <v>31.8</v>
      </c>
      <c r="O34" s="100">
        <v>0</v>
      </c>
      <c r="P34" s="100">
        <v>0.23</v>
      </c>
      <c r="Q34" s="100">
        <v>10</v>
      </c>
      <c r="R34" s="6"/>
      <c r="S34" s="6"/>
      <c r="T34" s="156"/>
      <c r="U34" s="6"/>
    </row>
    <row r="35" spans="1:21" customFormat="1">
      <c r="A35" s="163" t="s">
        <v>1226</v>
      </c>
      <c r="B35" s="100">
        <v>1.24</v>
      </c>
      <c r="C35" s="100">
        <v>2.0299999999999998</v>
      </c>
      <c r="D35" s="147" t="s">
        <v>14</v>
      </c>
      <c r="E35" s="100">
        <v>4.55</v>
      </c>
      <c r="F35" s="100">
        <v>1.44</v>
      </c>
      <c r="G35" s="100">
        <v>27.9</v>
      </c>
      <c r="H35" s="100">
        <v>10.52</v>
      </c>
      <c r="I35" s="100">
        <v>5.72</v>
      </c>
      <c r="J35" s="100">
        <v>0.49</v>
      </c>
      <c r="K35" s="100">
        <v>254.08</v>
      </c>
      <c r="L35" s="100">
        <v>25.25</v>
      </c>
      <c r="M35" s="100">
        <v>98.47</v>
      </c>
      <c r="N35" s="100">
        <v>54.8</v>
      </c>
      <c r="O35" s="100">
        <v>0</v>
      </c>
      <c r="P35" s="100">
        <v>0.22</v>
      </c>
      <c r="Q35" s="100">
        <v>10</v>
      </c>
      <c r="R35" s="6"/>
      <c r="S35" s="6"/>
      <c r="T35" s="156"/>
      <c r="U35" s="6"/>
    </row>
    <row r="36" spans="1:21" customFormat="1">
      <c r="A36" s="163" t="s">
        <v>1227</v>
      </c>
      <c r="B36" s="100">
        <v>1.24</v>
      </c>
      <c r="C36" s="100">
        <v>2.0299999999999998</v>
      </c>
      <c r="D36" s="147" t="s">
        <v>14</v>
      </c>
      <c r="E36" s="100">
        <v>4.3099999999999996</v>
      </c>
      <c r="F36" s="100">
        <v>2.57</v>
      </c>
      <c r="G36" s="100">
        <v>27.67</v>
      </c>
      <c r="H36" s="100">
        <v>10.48</v>
      </c>
      <c r="I36" s="100">
        <v>5.72</v>
      </c>
      <c r="J36" s="100">
        <v>0.62</v>
      </c>
      <c r="K36" s="100">
        <v>251.3</v>
      </c>
      <c r="L36" s="100">
        <v>25.47</v>
      </c>
      <c r="M36" s="100">
        <v>97.86</v>
      </c>
      <c r="N36" s="100">
        <v>76.7</v>
      </c>
      <c r="O36" s="100">
        <v>0</v>
      </c>
      <c r="P36" s="100">
        <v>0.21</v>
      </c>
      <c r="Q36" s="100">
        <v>10</v>
      </c>
      <c r="R36" s="6"/>
      <c r="S36" s="6"/>
      <c r="T36" s="156"/>
      <c r="U36" s="6"/>
    </row>
    <row r="37" spans="1:21" customFormat="1">
      <c r="A37" s="163" t="s">
        <v>1228</v>
      </c>
      <c r="B37" s="100">
        <v>1.24</v>
      </c>
      <c r="C37" s="100">
        <v>2.0299999999999998</v>
      </c>
      <c r="D37" s="147" t="s">
        <v>14</v>
      </c>
      <c r="E37" s="100">
        <v>4.3099999999999996</v>
      </c>
      <c r="F37" s="100">
        <v>1.52</v>
      </c>
      <c r="G37" s="100">
        <v>26.61</v>
      </c>
      <c r="H37" s="100">
        <v>10.26</v>
      </c>
      <c r="I37" s="100">
        <v>5.64</v>
      </c>
      <c r="J37" s="100">
        <v>0.76</v>
      </c>
      <c r="K37" s="100">
        <v>258.37</v>
      </c>
      <c r="L37" s="100">
        <v>25.55</v>
      </c>
      <c r="M37" s="100">
        <v>95.68</v>
      </c>
      <c r="N37" s="100">
        <v>90</v>
      </c>
      <c r="O37" s="100">
        <v>0</v>
      </c>
      <c r="P37" s="100">
        <v>0.23</v>
      </c>
      <c r="Q37" s="100">
        <v>10</v>
      </c>
      <c r="R37" s="6"/>
      <c r="S37" s="6"/>
      <c r="T37" s="156"/>
      <c r="U37" s="6"/>
    </row>
    <row r="38" spans="1:21" customFormat="1">
      <c r="A38" s="163" t="s">
        <v>1229</v>
      </c>
      <c r="B38" s="100">
        <v>1.24</v>
      </c>
      <c r="C38" s="100">
        <v>2.0299999999999998</v>
      </c>
      <c r="D38" s="147" t="s">
        <v>14</v>
      </c>
      <c r="E38" s="100">
        <v>4.54</v>
      </c>
      <c r="F38" s="100">
        <v>1.46</v>
      </c>
      <c r="G38" s="100">
        <v>26.61</v>
      </c>
      <c r="H38" s="100">
        <v>10.26</v>
      </c>
      <c r="I38" s="100">
        <v>5.57</v>
      </c>
      <c r="J38" s="100">
        <v>0.81</v>
      </c>
      <c r="K38" s="100">
        <v>257.14</v>
      </c>
      <c r="L38" s="100">
        <v>25.86</v>
      </c>
      <c r="M38" s="100">
        <v>93.69</v>
      </c>
      <c r="N38" s="100">
        <v>100.9</v>
      </c>
      <c r="O38" s="100">
        <v>0</v>
      </c>
      <c r="P38" s="100">
        <v>0.21</v>
      </c>
      <c r="Q38" s="100">
        <v>10</v>
      </c>
      <c r="R38" s="6"/>
      <c r="S38" s="6"/>
      <c r="T38" s="156"/>
      <c r="U38" s="6"/>
    </row>
    <row r="39" spans="1:21" customFormat="1">
      <c r="A39" s="163" t="s">
        <v>1230</v>
      </c>
      <c r="B39" s="100">
        <v>1.24</v>
      </c>
      <c r="C39" s="100">
        <v>2.0299999999999998</v>
      </c>
      <c r="D39" s="147" t="s">
        <v>14</v>
      </c>
      <c r="E39" s="100">
        <v>4.16</v>
      </c>
      <c r="F39" s="100">
        <v>2.76</v>
      </c>
      <c r="G39" s="100">
        <v>26.61</v>
      </c>
      <c r="H39" s="100">
        <v>10.26</v>
      </c>
      <c r="I39" s="100">
        <v>5.6</v>
      </c>
      <c r="J39" s="100">
        <v>0.8</v>
      </c>
      <c r="K39" s="100">
        <v>248.79</v>
      </c>
      <c r="L39" s="100">
        <v>25.98</v>
      </c>
      <c r="M39" s="100">
        <v>92.89</v>
      </c>
      <c r="N39" s="100">
        <v>118.7</v>
      </c>
      <c r="O39" s="100">
        <v>0</v>
      </c>
      <c r="P39" s="100">
        <v>0.22</v>
      </c>
      <c r="Q39" s="100">
        <v>10</v>
      </c>
      <c r="R39" s="6"/>
      <c r="S39" s="6"/>
      <c r="T39" s="156"/>
      <c r="U39" s="6"/>
    </row>
    <row r="40" spans="1:21" customFormat="1">
      <c r="A40" s="163" t="s">
        <v>1231</v>
      </c>
      <c r="B40" s="100">
        <v>1.24</v>
      </c>
      <c r="C40" s="100">
        <v>2.0299999999999998</v>
      </c>
      <c r="D40" s="147" t="s">
        <v>14</v>
      </c>
      <c r="E40" s="100">
        <v>4.1100000000000003</v>
      </c>
      <c r="F40" s="100">
        <v>1.95</v>
      </c>
      <c r="G40" s="100">
        <v>26.95</v>
      </c>
      <c r="H40" s="100">
        <v>10.17</v>
      </c>
      <c r="I40" s="100">
        <v>5.51</v>
      </c>
      <c r="J40" s="100">
        <v>0.71</v>
      </c>
      <c r="K40" s="100">
        <v>257.35000000000002</v>
      </c>
      <c r="L40" s="100">
        <v>26.36</v>
      </c>
      <c r="M40" s="100">
        <v>90.8</v>
      </c>
      <c r="N40" s="100">
        <v>129.4</v>
      </c>
      <c r="O40" s="100">
        <v>0</v>
      </c>
      <c r="P40" s="100">
        <v>0.24</v>
      </c>
      <c r="Q40" s="100">
        <v>10</v>
      </c>
      <c r="R40" s="6"/>
      <c r="S40" s="6"/>
      <c r="T40" s="156"/>
      <c r="U40" s="6"/>
    </row>
    <row r="41" spans="1:21" customFormat="1">
      <c r="A41" s="163" t="s">
        <v>1232</v>
      </c>
      <c r="B41" s="100">
        <v>1.24</v>
      </c>
      <c r="C41" s="100">
        <v>2.0299999999999998</v>
      </c>
      <c r="D41" s="147" t="s">
        <v>14</v>
      </c>
      <c r="E41" s="100">
        <v>4.3600000000000003</v>
      </c>
      <c r="F41" s="100">
        <v>1.31</v>
      </c>
      <c r="G41" s="100">
        <v>28.52</v>
      </c>
      <c r="H41" s="100">
        <v>9.89</v>
      </c>
      <c r="I41" s="100">
        <v>5.5</v>
      </c>
      <c r="J41" s="100">
        <v>0.77</v>
      </c>
      <c r="K41" s="100">
        <v>269.8</v>
      </c>
      <c r="L41" s="100">
        <v>26.88</v>
      </c>
      <c r="M41" s="100">
        <v>88.93</v>
      </c>
      <c r="N41" s="100">
        <v>155</v>
      </c>
      <c r="O41" s="100">
        <v>0</v>
      </c>
      <c r="P41" s="100">
        <v>0.26</v>
      </c>
      <c r="Q41" s="100">
        <v>10</v>
      </c>
      <c r="R41" s="6"/>
      <c r="S41" s="6"/>
      <c r="T41" s="156"/>
      <c r="U41" s="6"/>
    </row>
    <row r="42" spans="1:21" customFormat="1">
      <c r="A42" s="163" t="s">
        <v>1233</v>
      </c>
      <c r="B42" s="100">
        <v>1.24</v>
      </c>
      <c r="C42" s="100">
        <v>2.0299999999999998</v>
      </c>
      <c r="D42" s="147" t="s">
        <v>14</v>
      </c>
      <c r="E42" s="100">
        <v>4.32</v>
      </c>
      <c r="F42" s="100">
        <v>2.02</v>
      </c>
      <c r="G42" s="100">
        <v>28.52</v>
      </c>
      <c r="H42" s="100">
        <v>9.89</v>
      </c>
      <c r="I42" s="100">
        <v>5.6</v>
      </c>
      <c r="J42" s="100">
        <v>0.79</v>
      </c>
      <c r="K42" s="100">
        <v>260.68</v>
      </c>
      <c r="L42" s="100">
        <v>26.96</v>
      </c>
      <c r="M42" s="100">
        <v>87.85</v>
      </c>
      <c r="N42" s="100">
        <v>134.6</v>
      </c>
      <c r="O42" s="100">
        <v>0</v>
      </c>
      <c r="P42" s="100">
        <v>0.27</v>
      </c>
      <c r="Q42" s="100">
        <v>10</v>
      </c>
      <c r="R42" s="6"/>
      <c r="S42" s="6"/>
      <c r="T42" s="156"/>
      <c r="U42" s="6"/>
    </row>
    <row r="43" spans="1:21" customFormat="1">
      <c r="A43" s="163" t="s">
        <v>1234</v>
      </c>
      <c r="B43" s="100">
        <v>1.24</v>
      </c>
      <c r="C43" s="100">
        <v>2.0299999999999998</v>
      </c>
      <c r="D43" s="147" t="s">
        <v>14</v>
      </c>
      <c r="E43" s="100">
        <v>4.38</v>
      </c>
      <c r="F43" s="100">
        <v>1.91</v>
      </c>
      <c r="G43" s="100">
        <v>28.52</v>
      </c>
      <c r="H43" s="100">
        <v>9.89</v>
      </c>
      <c r="I43" s="100">
        <v>5.83</v>
      </c>
      <c r="J43" s="100">
        <v>0.56000000000000005</v>
      </c>
      <c r="K43" s="100">
        <v>248.54</v>
      </c>
      <c r="L43" s="100">
        <v>26.9</v>
      </c>
      <c r="M43" s="100">
        <v>88.64</v>
      </c>
      <c r="N43" s="100">
        <v>81.2</v>
      </c>
      <c r="O43" s="100">
        <v>0</v>
      </c>
      <c r="P43" s="100">
        <v>0.28000000000000003</v>
      </c>
      <c r="Q43" s="100">
        <v>10</v>
      </c>
      <c r="R43" s="6"/>
      <c r="S43" s="6"/>
      <c r="T43" s="156"/>
      <c r="U43" s="6"/>
    </row>
    <row r="44" spans="1:21" customFormat="1">
      <c r="A44" s="163" t="s">
        <v>1235</v>
      </c>
      <c r="B44" s="100">
        <v>1.24</v>
      </c>
      <c r="C44" s="100">
        <v>2.0299999999999998</v>
      </c>
      <c r="D44" s="147" t="s">
        <v>14</v>
      </c>
      <c r="E44" s="100">
        <v>4.8</v>
      </c>
      <c r="F44" s="100">
        <v>1.26</v>
      </c>
      <c r="G44" s="100">
        <v>30.18</v>
      </c>
      <c r="H44" s="100">
        <v>10.34</v>
      </c>
      <c r="I44" s="100">
        <v>6.07</v>
      </c>
      <c r="J44" s="100">
        <v>0.7</v>
      </c>
      <c r="K44" s="100">
        <v>255.01</v>
      </c>
      <c r="L44" s="100">
        <v>26.71</v>
      </c>
      <c r="M44" s="100">
        <v>87.98</v>
      </c>
      <c r="N44" s="100">
        <v>70.599999999999994</v>
      </c>
      <c r="O44" s="100">
        <v>0</v>
      </c>
      <c r="P44" s="100">
        <v>0.28999999999999998</v>
      </c>
      <c r="Q44" s="100">
        <v>10</v>
      </c>
      <c r="R44" s="6"/>
      <c r="S44" s="6"/>
      <c r="T44" s="156"/>
      <c r="U44" s="6"/>
    </row>
    <row r="45" spans="1:21" customFormat="1">
      <c r="A45" s="163" t="s">
        <v>1236</v>
      </c>
      <c r="B45" s="100">
        <v>1.24</v>
      </c>
      <c r="C45" s="100">
        <v>2.0299999999999998</v>
      </c>
      <c r="D45" s="147" t="s">
        <v>14</v>
      </c>
      <c r="E45" s="100">
        <v>4.59</v>
      </c>
      <c r="F45" s="100">
        <v>1.1499999999999999</v>
      </c>
      <c r="G45" s="100">
        <v>37.85</v>
      </c>
      <c r="H45" s="100">
        <v>11.75</v>
      </c>
      <c r="I45" s="100">
        <v>6.29</v>
      </c>
      <c r="J45" s="100">
        <v>0.71</v>
      </c>
      <c r="K45" s="100">
        <v>248.48</v>
      </c>
      <c r="L45" s="100">
        <v>26.89</v>
      </c>
      <c r="M45" s="100">
        <v>87.5</v>
      </c>
      <c r="N45" s="100">
        <v>104.5</v>
      </c>
      <c r="O45" s="100">
        <v>0</v>
      </c>
      <c r="P45" s="100">
        <v>0.3</v>
      </c>
      <c r="Q45" s="100">
        <v>10</v>
      </c>
      <c r="R45" s="6"/>
      <c r="S45" s="6"/>
      <c r="T45" s="156"/>
      <c r="U45" s="6"/>
    </row>
    <row r="46" spans="1:21" customFormat="1">
      <c r="A46" s="163" t="s">
        <v>1237</v>
      </c>
      <c r="B46" s="100">
        <v>1.24</v>
      </c>
      <c r="C46" s="100">
        <v>2.0299999999999998</v>
      </c>
      <c r="D46" s="147" t="s">
        <v>14</v>
      </c>
      <c r="E46" s="100">
        <v>4.5199999999999996</v>
      </c>
      <c r="F46" s="100">
        <v>2.5099999999999998</v>
      </c>
      <c r="G46" s="100">
        <v>37.85</v>
      </c>
      <c r="H46" s="100">
        <v>11.75</v>
      </c>
      <c r="I46" s="100">
        <v>6.52</v>
      </c>
      <c r="J46" s="100">
        <v>0.65</v>
      </c>
      <c r="K46" s="100">
        <v>253.89</v>
      </c>
      <c r="L46" s="100">
        <v>27.17</v>
      </c>
      <c r="M46" s="100">
        <v>86.44</v>
      </c>
      <c r="N46" s="100">
        <v>177.9</v>
      </c>
      <c r="O46" s="100">
        <v>0</v>
      </c>
      <c r="P46" s="100">
        <v>0.3</v>
      </c>
      <c r="Q46" s="100">
        <v>10</v>
      </c>
      <c r="R46" s="6"/>
      <c r="S46" s="6"/>
      <c r="T46" s="156"/>
      <c r="U46" s="6"/>
    </row>
    <row r="47" spans="1:21" customFormat="1">
      <c r="A47" s="163" t="s">
        <v>1238</v>
      </c>
      <c r="B47" s="100">
        <v>1.24</v>
      </c>
      <c r="C47" s="100">
        <v>2.0299999999999998</v>
      </c>
      <c r="D47" s="147" t="s">
        <v>14</v>
      </c>
      <c r="E47" s="100">
        <v>4.6399999999999997</v>
      </c>
      <c r="F47" s="100">
        <v>2.16</v>
      </c>
      <c r="G47" s="100">
        <v>37.85</v>
      </c>
      <c r="H47" s="100">
        <v>11.75</v>
      </c>
      <c r="I47" s="100">
        <v>6.57</v>
      </c>
      <c r="J47" s="100">
        <v>0.79</v>
      </c>
      <c r="K47" s="100">
        <v>256.77999999999997</v>
      </c>
      <c r="L47" s="100">
        <v>27.48</v>
      </c>
      <c r="M47" s="100">
        <v>85.07</v>
      </c>
      <c r="N47" s="100">
        <v>175</v>
      </c>
      <c r="O47" s="100">
        <v>0</v>
      </c>
      <c r="P47" s="100">
        <v>0.28999999999999998</v>
      </c>
      <c r="Q47" s="100">
        <v>10</v>
      </c>
      <c r="R47" s="6"/>
      <c r="S47" s="6"/>
      <c r="T47" s="156"/>
      <c r="U47" s="6"/>
    </row>
    <row r="48" spans="1:21" customFormat="1">
      <c r="A48" s="163" t="s">
        <v>1239</v>
      </c>
      <c r="B48" s="100">
        <v>1.24</v>
      </c>
      <c r="C48" s="100">
        <v>2.0299999999999998</v>
      </c>
      <c r="D48" s="147" t="s">
        <v>14</v>
      </c>
      <c r="E48" s="100">
        <v>4.68</v>
      </c>
      <c r="F48" s="100">
        <v>1.31</v>
      </c>
      <c r="G48" s="100">
        <v>37.4</v>
      </c>
      <c r="H48" s="100">
        <v>12.11</v>
      </c>
      <c r="I48" s="100">
        <v>6.5</v>
      </c>
      <c r="J48" s="100">
        <v>0.52</v>
      </c>
      <c r="K48" s="100">
        <v>255.22</v>
      </c>
      <c r="L48" s="100">
        <v>27.71</v>
      </c>
      <c r="M48" s="100">
        <v>84.6</v>
      </c>
      <c r="N48" s="100">
        <v>163.6</v>
      </c>
      <c r="O48" s="100">
        <v>0</v>
      </c>
      <c r="P48" s="100">
        <v>0.28999999999999998</v>
      </c>
      <c r="Q48" s="100">
        <v>10</v>
      </c>
      <c r="R48" s="6"/>
      <c r="S48" s="6"/>
      <c r="T48" s="156"/>
      <c r="U48" s="6"/>
    </row>
    <row r="49" spans="1:21" customFormat="1">
      <c r="A49" s="163" t="s">
        <v>1240</v>
      </c>
      <c r="B49" s="100">
        <v>1.24</v>
      </c>
      <c r="C49" s="100">
        <v>2.0299999999999998</v>
      </c>
      <c r="D49" s="147" t="s">
        <v>14</v>
      </c>
      <c r="E49" s="100">
        <v>4.38</v>
      </c>
      <c r="F49" s="100">
        <v>1.08</v>
      </c>
      <c r="G49" s="100">
        <v>35.32</v>
      </c>
      <c r="H49" s="100">
        <v>13.24</v>
      </c>
      <c r="I49" s="100">
        <v>6.38</v>
      </c>
      <c r="J49" s="100">
        <v>0.77</v>
      </c>
      <c r="K49" s="100">
        <v>270.77999999999997</v>
      </c>
      <c r="L49" s="100">
        <v>27.94</v>
      </c>
      <c r="M49" s="100">
        <v>83.49</v>
      </c>
      <c r="N49" s="100">
        <v>134.69999999999999</v>
      </c>
      <c r="O49" s="100">
        <v>0</v>
      </c>
      <c r="P49" s="100">
        <v>0.28999999999999998</v>
      </c>
      <c r="Q49" s="100">
        <v>10</v>
      </c>
      <c r="R49" s="6"/>
      <c r="S49" s="6"/>
      <c r="T49" s="156"/>
      <c r="U49" s="6"/>
    </row>
    <row r="50" spans="1:21" customFormat="1">
      <c r="A50" s="163" t="s">
        <v>1241</v>
      </c>
      <c r="B50" s="100">
        <v>1.24</v>
      </c>
      <c r="C50" s="100">
        <v>2.0299999999999998</v>
      </c>
      <c r="D50" s="147" t="s">
        <v>14</v>
      </c>
      <c r="E50" s="100">
        <v>5.01</v>
      </c>
      <c r="F50" s="100">
        <v>2.38</v>
      </c>
      <c r="G50" s="100">
        <v>35.32</v>
      </c>
      <c r="H50" s="100">
        <v>13.24</v>
      </c>
      <c r="I50" s="100">
        <v>6.38</v>
      </c>
      <c r="J50" s="100">
        <v>0.81</v>
      </c>
      <c r="K50" s="100">
        <v>272.76</v>
      </c>
      <c r="L50" s="100">
        <v>28.21</v>
      </c>
      <c r="M50" s="100">
        <v>81.34</v>
      </c>
      <c r="N50" s="100">
        <v>236.1</v>
      </c>
      <c r="O50" s="100">
        <v>0</v>
      </c>
      <c r="P50" s="100">
        <v>0.28999999999999998</v>
      </c>
      <c r="Q50" s="100">
        <v>10</v>
      </c>
      <c r="R50" s="6"/>
      <c r="S50" s="6"/>
      <c r="T50" s="156"/>
      <c r="U50" s="6"/>
    </row>
    <row r="51" spans="1:21" customFormat="1">
      <c r="A51" s="163" t="s">
        <v>1242</v>
      </c>
      <c r="B51" s="100">
        <v>1.24</v>
      </c>
      <c r="C51" s="100">
        <v>2.0299999999999998</v>
      </c>
      <c r="D51" s="147" t="s">
        <v>14</v>
      </c>
      <c r="E51" s="100">
        <v>5.03</v>
      </c>
      <c r="F51" s="100">
        <v>1.8</v>
      </c>
      <c r="G51" s="100">
        <v>35.32</v>
      </c>
      <c r="H51" s="100">
        <v>13.24</v>
      </c>
      <c r="I51" s="100">
        <v>6.45</v>
      </c>
      <c r="J51" s="100">
        <v>0.74</v>
      </c>
      <c r="K51" s="100">
        <v>265.01</v>
      </c>
      <c r="L51" s="100">
        <v>28.79</v>
      </c>
      <c r="M51" s="100">
        <v>79.489999999999995</v>
      </c>
      <c r="N51" s="100">
        <v>252.3</v>
      </c>
      <c r="O51" s="100">
        <v>0</v>
      </c>
      <c r="P51" s="100">
        <v>0.28999999999999998</v>
      </c>
      <c r="Q51" s="100">
        <v>10</v>
      </c>
      <c r="R51" s="6"/>
      <c r="S51" s="6"/>
      <c r="T51" s="156"/>
      <c r="U51" s="6"/>
    </row>
    <row r="52" spans="1:21" customFormat="1">
      <c r="A52" s="163" t="s">
        <v>1243</v>
      </c>
      <c r="B52" s="100">
        <v>1.24</v>
      </c>
      <c r="C52" s="100">
        <v>2.0299999999999998</v>
      </c>
      <c r="D52" s="147" t="s">
        <v>14</v>
      </c>
      <c r="E52" s="100">
        <v>4.6399999999999997</v>
      </c>
      <c r="F52" s="100">
        <v>1.46</v>
      </c>
      <c r="G52" s="100">
        <v>38.11</v>
      </c>
      <c r="H52" s="100">
        <v>13.85</v>
      </c>
      <c r="I52" s="100">
        <v>6.48</v>
      </c>
      <c r="J52" s="100">
        <v>0.74</v>
      </c>
      <c r="K52" s="100">
        <v>262.82</v>
      </c>
      <c r="L52" s="100">
        <v>28.62</v>
      </c>
      <c r="M52" s="100">
        <v>80.260000000000005</v>
      </c>
      <c r="N52" s="100">
        <v>190.1</v>
      </c>
      <c r="O52" s="100">
        <v>0</v>
      </c>
      <c r="P52" s="100">
        <v>0.3</v>
      </c>
      <c r="Q52" s="100">
        <v>10</v>
      </c>
      <c r="R52" s="6"/>
      <c r="S52" s="6"/>
      <c r="T52" s="156"/>
      <c r="U52" s="6"/>
    </row>
    <row r="53" spans="1:21" customFormat="1">
      <c r="A53" s="163" t="s">
        <v>1244</v>
      </c>
      <c r="B53" s="100">
        <v>1.24</v>
      </c>
      <c r="C53" s="100">
        <v>2.0299999999999998</v>
      </c>
      <c r="D53" s="147" t="s">
        <v>14</v>
      </c>
      <c r="E53" s="100">
        <v>4.67</v>
      </c>
      <c r="F53" s="100">
        <v>2.0299999999999998</v>
      </c>
      <c r="G53" s="100">
        <v>50.99</v>
      </c>
      <c r="H53" s="100">
        <v>16.87</v>
      </c>
      <c r="I53" s="100">
        <v>6.46</v>
      </c>
      <c r="J53" s="100">
        <v>0.84</v>
      </c>
      <c r="K53" s="100">
        <v>277.44</v>
      </c>
      <c r="L53" s="100">
        <v>28.85</v>
      </c>
      <c r="M53" s="100">
        <v>80.28</v>
      </c>
      <c r="N53" s="100">
        <v>228.4</v>
      </c>
      <c r="O53" s="100">
        <v>0</v>
      </c>
      <c r="P53" s="100">
        <v>0.3</v>
      </c>
      <c r="Q53" s="100">
        <v>10</v>
      </c>
      <c r="R53" s="6"/>
      <c r="S53" s="6"/>
      <c r="T53" s="156"/>
      <c r="U53" s="6"/>
    </row>
    <row r="54" spans="1:21" customFormat="1">
      <c r="A54" s="163" t="s">
        <v>1245</v>
      </c>
      <c r="B54" s="100">
        <v>1.24</v>
      </c>
      <c r="C54" s="100">
        <v>2.0299999999999998</v>
      </c>
      <c r="D54" s="147" t="s">
        <v>14</v>
      </c>
      <c r="E54" s="100">
        <v>4.83</v>
      </c>
      <c r="F54" s="100">
        <v>2.29</v>
      </c>
      <c r="G54" s="100">
        <v>50.99</v>
      </c>
      <c r="H54" s="100">
        <v>16.87</v>
      </c>
      <c r="I54" s="100">
        <v>6.44</v>
      </c>
      <c r="J54" s="100">
        <v>1.06</v>
      </c>
      <c r="K54" s="100">
        <v>272.82</v>
      </c>
      <c r="L54" s="100">
        <v>28.94</v>
      </c>
      <c r="M54" s="100">
        <v>78.37</v>
      </c>
      <c r="N54" s="100">
        <v>224.2</v>
      </c>
      <c r="O54" s="100">
        <v>0</v>
      </c>
      <c r="P54" s="100">
        <v>0.3</v>
      </c>
      <c r="Q54" s="100">
        <v>10</v>
      </c>
      <c r="R54" s="6"/>
      <c r="S54" s="6"/>
      <c r="T54" s="156"/>
      <c r="U54" s="6"/>
    </row>
    <row r="55" spans="1:21" customFormat="1">
      <c r="A55" s="163" t="s">
        <v>1246</v>
      </c>
      <c r="B55" s="100">
        <v>1.24</v>
      </c>
      <c r="C55" s="100">
        <v>2.0299999999999998</v>
      </c>
      <c r="D55" s="147" t="s">
        <v>14</v>
      </c>
      <c r="E55" s="100">
        <v>4.62</v>
      </c>
      <c r="F55" s="100">
        <v>1.66</v>
      </c>
      <c r="G55" s="100">
        <v>50.99</v>
      </c>
      <c r="H55" s="100">
        <v>16.87</v>
      </c>
      <c r="I55" s="100">
        <v>6.47</v>
      </c>
      <c r="J55" s="100">
        <v>0.92</v>
      </c>
      <c r="K55" s="100">
        <v>279.61</v>
      </c>
      <c r="L55" s="100">
        <v>29.23</v>
      </c>
      <c r="M55" s="100">
        <v>76.540000000000006</v>
      </c>
      <c r="N55" s="100">
        <v>312.5</v>
      </c>
      <c r="O55" s="100">
        <v>0</v>
      </c>
      <c r="P55" s="100">
        <v>0.3</v>
      </c>
      <c r="Q55" s="100">
        <v>10</v>
      </c>
      <c r="R55" s="6"/>
      <c r="S55" s="6"/>
      <c r="T55" s="156"/>
      <c r="U55" s="6"/>
    </row>
    <row r="56" spans="1:21" customFormat="1">
      <c r="A56" s="163" t="s">
        <v>1247</v>
      </c>
      <c r="B56" s="100">
        <v>1.24</v>
      </c>
      <c r="C56" s="100">
        <v>2.0299999999999998</v>
      </c>
      <c r="D56" s="147" t="s">
        <v>14</v>
      </c>
      <c r="E56" s="100">
        <v>4.55</v>
      </c>
      <c r="F56" s="100">
        <v>2.96</v>
      </c>
      <c r="G56" s="100">
        <v>52.1</v>
      </c>
      <c r="H56" s="100">
        <v>16.829999999999998</v>
      </c>
      <c r="I56" s="100">
        <v>6.43</v>
      </c>
      <c r="J56" s="100">
        <v>1.07</v>
      </c>
      <c r="K56" s="100">
        <v>265.17</v>
      </c>
      <c r="L56" s="100">
        <v>30.29</v>
      </c>
      <c r="M56" s="100">
        <v>73.89</v>
      </c>
      <c r="N56" s="100">
        <v>465</v>
      </c>
      <c r="O56" s="100">
        <v>0</v>
      </c>
      <c r="P56" s="100">
        <v>0.3</v>
      </c>
      <c r="Q56" s="100">
        <v>10</v>
      </c>
      <c r="R56" s="6"/>
      <c r="S56" s="6"/>
      <c r="T56" s="156"/>
      <c r="U56" s="6"/>
    </row>
    <row r="57" spans="1:21" customFormat="1">
      <c r="A57" s="163" t="s">
        <v>1248</v>
      </c>
      <c r="B57" s="100">
        <v>1.24</v>
      </c>
      <c r="C57" s="100">
        <v>2.0299999999999998</v>
      </c>
      <c r="D57" s="147" t="s">
        <v>14</v>
      </c>
      <c r="E57" s="100">
        <v>4.4400000000000004</v>
      </c>
      <c r="F57" s="100">
        <v>3.46</v>
      </c>
      <c r="G57" s="100">
        <v>57.25</v>
      </c>
      <c r="H57" s="100">
        <v>16.73</v>
      </c>
      <c r="I57" s="100">
        <v>6.35</v>
      </c>
      <c r="J57" s="100">
        <v>1.04</v>
      </c>
      <c r="K57" s="100">
        <v>253.86</v>
      </c>
      <c r="L57" s="100">
        <v>30.11</v>
      </c>
      <c r="M57" s="100">
        <v>73.819999999999993</v>
      </c>
      <c r="N57" s="100">
        <v>314.39999999999998</v>
      </c>
      <c r="O57" s="100">
        <v>0</v>
      </c>
      <c r="P57" s="100">
        <v>0.28999999999999998</v>
      </c>
      <c r="Q57" s="100">
        <v>10</v>
      </c>
      <c r="R57" s="6"/>
      <c r="S57" s="6"/>
      <c r="T57" s="156"/>
      <c r="U57" s="6"/>
    </row>
    <row r="58" spans="1:21" customFormat="1">
      <c r="A58" s="163" t="s">
        <v>1249</v>
      </c>
      <c r="B58" s="100">
        <v>1.24</v>
      </c>
      <c r="C58" s="100">
        <v>2.0299999999999998</v>
      </c>
      <c r="D58" s="147" t="s">
        <v>14</v>
      </c>
      <c r="E58" s="100">
        <v>4.66</v>
      </c>
      <c r="F58" s="100">
        <v>2.44</v>
      </c>
      <c r="G58" s="100">
        <v>57.25</v>
      </c>
      <c r="H58" s="100">
        <v>16.73</v>
      </c>
      <c r="I58" s="100">
        <v>6.28</v>
      </c>
      <c r="J58" s="100">
        <v>1.1100000000000001</v>
      </c>
      <c r="K58" s="100">
        <v>274.27999999999997</v>
      </c>
      <c r="L58" s="100">
        <v>29.75</v>
      </c>
      <c r="M58" s="100">
        <v>74.239999999999995</v>
      </c>
      <c r="N58" s="100">
        <v>230.5</v>
      </c>
      <c r="O58" s="100">
        <v>0</v>
      </c>
      <c r="P58" s="100">
        <v>0.28000000000000003</v>
      </c>
      <c r="Q58" s="100">
        <v>10</v>
      </c>
      <c r="R58" s="6"/>
      <c r="S58" s="6"/>
      <c r="T58" s="156"/>
      <c r="U58" s="6"/>
    </row>
    <row r="59" spans="1:21" customFormat="1">
      <c r="A59" s="163" t="s">
        <v>1250</v>
      </c>
      <c r="B59" s="100">
        <v>1.24</v>
      </c>
      <c r="C59" s="100">
        <v>2.0299999999999998</v>
      </c>
      <c r="D59" s="147" t="s">
        <v>14</v>
      </c>
      <c r="E59" s="100">
        <v>4.6500000000000004</v>
      </c>
      <c r="F59" s="100">
        <v>1.93</v>
      </c>
      <c r="G59" s="100">
        <v>57.25</v>
      </c>
      <c r="H59" s="100">
        <v>16.73</v>
      </c>
      <c r="I59" s="100">
        <v>6.14</v>
      </c>
      <c r="J59" s="100">
        <v>1.22</v>
      </c>
      <c r="K59" s="100">
        <v>289.63</v>
      </c>
      <c r="L59" s="100">
        <v>30</v>
      </c>
      <c r="M59" s="100">
        <v>72.430000000000007</v>
      </c>
      <c r="N59" s="100">
        <v>296.3</v>
      </c>
      <c r="O59" s="100">
        <v>0</v>
      </c>
      <c r="P59" s="100">
        <v>0.27</v>
      </c>
      <c r="Q59" s="100">
        <v>10</v>
      </c>
      <c r="R59" s="6"/>
      <c r="S59" s="6"/>
      <c r="T59" s="156"/>
      <c r="U59" s="6"/>
    </row>
    <row r="60" spans="1:21" customFormat="1">
      <c r="A60" s="163" t="s">
        <v>1251</v>
      </c>
      <c r="B60" s="100">
        <v>1.24</v>
      </c>
      <c r="C60" s="100">
        <v>2.0299999999999998</v>
      </c>
      <c r="D60" s="147" t="s">
        <v>14</v>
      </c>
      <c r="E60" s="100">
        <v>4.24</v>
      </c>
      <c r="F60" s="100">
        <v>4.91</v>
      </c>
      <c r="G60" s="100">
        <v>56.06</v>
      </c>
      <c r="H60" s="100">
        <v>16.47</v>
      </c>
      <c r="I60" s="100">
        <v>6</v>
      </c>
      <c r="J60" s="100">
        <v>0.99</v>
      </c>
      <c r="K60" s="100">
        <v>277.24</v>
      </c>
      <c r="L60" s="100">
        <v>30.29</v>
      </c>
      <c r="M60" s="100">
        <v>72.75</v>
      </c>
      <c r="N60" s="100">
        <v>233.5</v>
      </c>
      <c r="O60" s="100">
        <v>0</v>
      </c>
      <c r="P60" s="100">
        <v>0.26</v>
      </c>
      <c r="Q60" s="100">
        <v>10</v>
      </c>
      <c r="R60" s="6"/>
      <c r="S60" s="6"/>
      <c r="T60" s="156"/>
      <c r="U60" s="6"/>
    </row>
    <row r="61" spans="1:21" customFormat="1">
      <c r="A61" s="163" t="s">
        <v>1252</v>
      </c>
      <c r="B61" s="100">
        <v>1.24</v>
      </c>
      <c r="C61" s="100">
        <v>2.0299999999999998</v>
      </c>
      <c r="D61" s="147" t="s">
        <v>14</v>
      </c>
      <c r="E61" s="100">
        <v>4.16</v>
      </c>
      <c r="F61" s="100">
        <v>4.03</v>
      </c>
      <c r="G61" s="100">
        <v>50.58</v>
      </c>
      <c r="H61" s="100">
        <v>15.65</v>
      </c>
      <c r="I61" s="100">
        <v>5.91</v>
      </c>
      <c r="J61" s="100">
        <v>0.99</v>
      </c>
      <c r="K61" s="100">
        <v>276.06</v>
      </c>
      <c r="L61" s="100">
        <v>30.01</v>
      </c>
      <c r="M61" s="100">
        <v>74.400000000000006</v>
      </c>
      <c r="N61" s="100">
        <v>231</v>
      </c>
      <c r="O61" s="100">
        <v>0</v>
      </c>
      <c r="P61" s="100">
        <v>0.25</v>
      </c>
      <c r="Q61" s="100">
        <v>10</v>
      </c>
      <c r="R61" s="6"/>
      <c r="S61" s="6"/>
      <c r="T61" s="156"/>
      <c r="U61" s="6"/>
    </row>
    <row r="62" spans="1:21" customFormat="1">
      <c r="A62" s="163" t="s">
        <v>1253</v>
      </c>
      <c r="B62" s="100">
        <v>1.24</v>
      </c>
      <c r="C62" s="100">
        <v>2.0299999999999998</v>
      </c>
      <c r="D62" s="147" t="s">
        <v>14</v>
      </c>
      <c r="E62" s="100">
        <v>3.93</v>
      </c>
      <c r="F62" s="100">
        <v>4.13</v>
      </c>
      <c r="G62" s="100">
        <v>50.58</v>
      </c>
      <c r="H62" s="100">
        <v>15.65</v>
      </c>
      <c r="I62" s="100">
        <v>5.74</v>
      </c>
      <c r="J62" s="100">
        <v>1.67</v>
      </c>
      <c r="K62" s="100">
        <v>296.08999999999997</v>
      </c>
      <c r="L62" s="100">
        <v>29.73</v>
      </c>
      <c r="M62" s="100">
        <v>74.45</v>
      </c>
      <c r="N62" s="100">
        <v>379.5</v>
      </c>
      <c r="O62" s="100">
        <v>0</v>
      </c>
      <c r="P62" s="100">
        <v>0.23</v>
      </c>
      <c r="Q62" s="100">
        <v>10</v>
      </c>
      <c r="R62" s="6"/>
      <c r="S62" s="6"/>
      <c r="T62" s="156"/>
      <c r="U62" s="6"/>
    </row>
    <row r="63" spans="1:21" customFormat="1">
      <c r="A63" s="163" t="s">
        <v>1254</v>
      </c>
      <c r="B63" s="100">
        <v>1.24</v>
      </c>
      <c r="C63" s="100">
        <v>2.0299999999999998</v>
      </c>
      <c r="D63" s="147" t="s">
        <v>14</v>
      </c>
      <c r="E63" s="100">
        <v>3.62</v>
      </c>
      <c r="F63" s="100">
        <v>4.49</v>
      </c>
      <c r="G63" s="100">
        <v>50.58</v>
      </c>
      <c r="H63" s="100">
        <v>15.65</v>
      </c>
      <c r="I63" s="100">
        <v>5.73</v>
      </c>
      <c r="J63" s="100">
        <v>1.05</v>
      </c>
      <c r="K63" s="100">
        <v>292.99</v>
      </c>
      <c r="L63" s="100">
        <v>29.93</v>
      </c>
      <c r="M63" s="100">
        <v>72.62</v>
      </c>
      <c r="N63" s="100">
        <v>405.7</v>
      </c>
      <c r="O63" s="100">
        <v>0</v>
      </c>
      <c r="P63" s="100">
        <v>0.23</v>
      </c>
      <c r="Q63" s="100">
        <v>10</v>
      </c>
      <c r="R63" s="6"/>
      <c r="S63" s="6"/>
      <c r="T63" s="156"/>
      <c r="U63" s="6"/>
    </row>
    <row r="64" spans="1:21" customFormat="1">
      <c r="A64" s="163" t="s">
        <v>1255</v>
      </c>
      <c r="B64" s="100">
        <v>1.24</v>
      </c>
      <c r="C64" s="100">
        <v>2.0299999999999998</v>
      </c>
      <c r="D64" s="147" t="s">
        <v>14</v>
      </c>
      <c r="E64" s="100">
        <v>3.35</v>
      </c>
      <c r="F64" s="100">
        <v>6.22</v>
      </c>
      <c r="G64" s="100">
        <v>50.25</v>
      </c>
      <c r="H64" s="100">
        <v>15.98</v>
      </c>
      <c r="I64" s="100">
        <v>5.69</v>
      </c>
      <c r="J64" s="100">
        <v>1.18</v>
      </c>
      <c r="K64" s="100">
        <v>291.52</v>
      </c>
      <c r="L64" s="100">
        <v>30.61</v>
      </c>
      <c r="M64" s="100">
        <v>71.150000000000006</v>
      </c>
      <c r="N64" s="100">
        <v>402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163" t="s">
        <v>1256</v>
      </c>
      <c r="B65" s="100">
        <v>1.24</v>
      </c>
      <c r="C65" s="100">
        <v>2.0299999999999998</v>
      </c>
      <c r="D65" s="147" t="s">
        <v>14</v>
      </c>
      <c r="E65" s="100">
        <v>3.51</v>
      </c>
      <c r="F65" s="100">
        <v>4.84</v>
      </c>
      <c r="G65" s="100">
        <v>48.75</v>
      </c>
      <c r="H65" s="100">
        <v>17.03</v>
      </c>
      <c r="I65" s="100">
        <v>5.58</v>
      </c>
      <c r="J65" s="100">
        <v>1.0900000000000001</v>
      </c>
      <c r="K65" s="100">
        <v>277.86</v>
      </c>
      <c r="L65" s="100">
        <v>30.62</v>
      </c>
      <c r="M65" s="100">
        <v>70.930000000000007</v>
      </c>
      <c r="N65" s="100">
        <v>303.89999999999998</v>
      </c>
      <c r="O65" s="100">
        <v>0</v>
      </c>
      <c r="P65" s="100">
        <v>0.19</v>
      </c>
      <c r="Q65" s="100">
        <v>10</v>
      </c>
      <c r="R65" s="6"/>
      <c r="S65" s="6"/>
      <c r="T65" s="156"/>
      <c r="U65" s="6"/>
    </row>
    <row r="66" spans="1:21" customFormat="1">
      <c r="A66" s="163" t="s">
        <v>1257</v>
      </c>
      <c r="B66" s="100">
        <v>1.24</v>
      </c>
      <c r="C66" s="100">
        <v>2.0299999999999998</v>
      </c>
      <c r="D66" s="147" t="s">
        <v>14</v>
      </c>
      <c r="E66" s="100">
        <v>3.56</v>
      </c>
      <c r="F66" s="100">
        <v>5.42</v>
      </c>
      <c r="G66" s="100">
        <v>48.75</v>
      </c>
      <c r="H66" s="100">
        <v>17.03</v>
      </c>
      <c r="I66" s="100">
        <v>5.52</v>
      </c>
      <c r="J66" s="100">
        <v>0.87</v>
      </c>
      <c r="K66" s="100">
        <v>264.08999999999997</v>
      </c>
      <c r="L66" s="100">
        <v>30.89</v>
      </c>
      <c r="M66" s="100">
        <v>70.67</v>
      </c>
      <c r="N66" s="100">
        <v>256.3</v>
      </c>
      <c r="O66" s="100">
        <v>0</v>
      </c>
      <c r="P66" s="100">
        <v>0.2</v>
      </c>
      <c r="Q66" s="100">
        <v>10</v>
      </c>
      <c r="R66" s="6"/>
      <c r="S66" s="6"/>
      <c r="T66" s="156"/>
      <c r="U66" s="6"/>
    </row>
    <row r="67" spans="1:21" customFormat="1">
      <c r="A67" s="163" t="s">
        <v>1258</v>
      </c>
      <c r="B67" s="100">
        <v>1.24</v>
      </c>
      <c r="C67" s="100">
        <v>2.0299999999999998</v>
      </c>
      <c r="D67" s="147" t="s">
        <v>14</v>
      </c>
      <c r="E67" s="100">
        <v>3.43</v>
      </c>
      <c r="F67" s="100">
        <v>4.74</v>
      </c>
      <c r="G67" s="100">
        <v>48.75</v>
      </c>
      <c r="H67" s="100">
        <v>17.03</v>
      </c>
      <c r="I67" s="100">
        <v>5.47</v>
      </c>
      <c r="J67" s="100">
        <v>1.29</v>
      </c>
      <c r="K67" s="100">
        <v>277.82</v>
      </c>
      <c r="L67" s="100">
        <v>30.68</v>
      </c>
      <c r="M67" s="100">
        <v>70.75</v>
      </c>
      <c r="N67" s="100">
        <v>238.9</v>
      </c>
      <c r="O67" s="100">
        <v>0</v>
      </c>
      <c r="P67" s="100">
        <v>0.21</v>
      </c>
      <c r="Q67" s="100">
        <v>10</v>
      </c>
      <c r="R67" s="6"/>
      <c r="S67" s="6"/>
      <c r="T67" s="156"/>
      <c r="U67" s="6"/>
    </row>
    <row r="68" spans="1:21" customFormat="1">
      <c r="A68" s="163" t="s">
        <v>1259</v>
      </c>
      <c r="B68" s="100">
        <v>1.24</v>
      </c>
      <c r="C68" s="100">
        <v>2.0299999999999998</v>
      </c>
      <c r="D68" s="147" t="s">
        <v>14</v>
      </c>
      <c r="E68" s="100">
        <v>3.62</v>
      </c>
      <c r="F68" s="100">
        <v>4.7</v>
      </c>
      <c r="G68" s="100">
        <v>48.08</v>
      </c>
      <c r="H68" s="100">
        <v>17</v>
      </c>
      <c r="I68" s="100">
        <v>5.34</v>
      </c>
      <c r="J68" s="100">
        <v>1.27</v>
      </c>
      <c r="K68" s="100">
        <v>280.83999999999997</v>
      </c>
      <c r="L68" s="100">
        <v>31.3</v>
      </c>
      <c r="M68" s="100">
        <v>68.319999999999993</v>
      </c>
      <c r="N68" s="100">
        <v>297.5</v>
      </c>
      <c r="O68" s="100">
        <v>0</v>
      </c>
      <c r="P68" s="100">
        <v>0.23</v>
      </c>
      <c r="Q68" s="100">
        <v>10</v>
      </c>
      <c r="R68" s="6"/>
      <c r="S68" s="6"/>
      <c r="T68" s="156"/>
      <c r="U68" s="6"/>
    </row>
    <row r="69" spans="1:21" customFormat="1">
      <c r="A69" s="163" t="s">
        <v>1260</v>
      </c>
      <c r="B69" s="100">
        <v>1.24</v>
      </c>
      <c r="C69" s="100">
        <v>2.0299999999999998</v>
      </c>
      <c r="D69" s="147" t="s">
        <v>14</v>
      </c>
      <c r="E69" s="100">
        <v>3.87</v>
      </c>
      <c r="F69" s="100">
        <v>3.82</v>
      </c>
      <c r="G69" s="100">
        <v>45</v>
      </c>
      <c r="H69" s="100">
        <v>16.850000000000001</v>
      </c>
      <c r="I69" s="100">
        <v>5.34</v>
      </c>
      <c r="J69" s="100">
        <v>1.08</v>
      </c>
      <c r="K69" s="100">
        <v>277.70999999999998</v>
      </c>
      <c r="L69" s="100">
        <v>31.6</v>
      </c>
      <c r="M69" s="100">
        <v>66.88</v>
      </c>
      <c r="N69" s="100">
        <v>587.1</v>
      </c>
      <c r="O69" s="100">
        <v>0</v>
      </c>
      <c r="P69" s="100">
        <v>0.21</v>
      </c>
      <c r="Q69" s="100">
        <v>10</v>
      </c>
      <c r="R69" s="6"/>
      <c r="S69" s="6"/>
      <c r="T69" s="156"/>
      <c r="U69" s="6"/>
    </row>
    <row r="70" spans="1:21" customFormat="1">
      <c r="A70" s="163" t="s">
        <v>1261</v>
      </c>
      <c r="B70" s="100">
        <v>1.24</v>
      </c>
      <c r="C70" s="100">
        <v>2.0299999999999998</v>
      </c>
      <c r="D70" s="147" t="s">
        <v>14</v>
      </c>
      <c r="E70" s="100">
        <v>3.53</v>
      </c>
      <c r="F70" s="100">
        <v>3.89</v>
      </c>
      <c r="G70" s="100">
        <v>45</v>
      </c>
      <c r="H70" s="100">
        <v>16.850000000000001</v>
      </c>
      <c r="I70" s="100">
        <v>5.36</v>
      </c>
      <c r="J70" s="100">
        <v>1.1599999999999999</v>
      </c>
      <c r="K70" s="100">
        <v>281.95999999999998</v>
      </c>
      <c r="L70" s="100">
        <v>31.41</v>
      </c>
      <c r="M70" s="100">
        <v>66.06</v>
      </c>
      <c r="N70" s="100">
        <v>381.6</v>
      </c>
      <c r="O70" s="100">
        <v>0</v>
      </c>
      <c r="P70" s="100">
        <v>0.21</v>
      </c>
      <c r="Q70" s="100">
        <v>10</v>
      </c>
      <c r="R70" s="6"/>
      <c r="S70" s="6"/>
      <c r="T70" s="156"/>
      <c r="U70" s="6"/>
    </row>
    <row r="71" spans="1:21" customFormat="1">
      <c r="A71" s="163" t="s">
        <v>1262</v>
      </c>
      <c r="B71" s="100">
        <v>1.24</v>
      </c>
      <c r="C71" s="100">
        <v>2.0299999999999998</v>
      </c>
      <c r="D71" s="147" t="s">
        <v>14</v>
      </c>
      <c r="E71" s="100">
        <v>3.32</v>
      </c>
      <c r="F71" s="100">
        <v>4.29</v>
      </c>
      <c r="G71" s="100">
        <v>45</v>
      </c>
      <c r="H71" s="100">
        <v>16.850000000000001</v>
      </c>
      <c r="I71" s="100">
        <v>5.28</v>
      </c>
      <c r="J71" s="100">
        <v>1.1100000000000001</v>
      </c>
      <c r="K71" s="100">
        <v>289.83999999999997</v>
      </c>
      <c r="L71" s="100">
        <v>31.03</v>
      </c>
      <c r="M71" s="100">
        <v>68.180000000000007</v>
      </c>
      <c r="N71" s="100">
        <v>255.8</v>
      </c>
      <c r="O71" s="100">
        <v>0</v>
      </c>
      <c r="P71" s="100">
        <v>0.2</v>
      </c>
      <c r="Q71" s="100">
        <v>10</v>
      </c>
      <c r="R71" s="6"/>
      <c r="S71" s="6"/>
      <c r="T71" s="156"/>
      <c r="U71" s="6"/>
    </row>
    <row r="72" spans="1:21" customFormat="1">
      <c r="A72" s="163" t="s">
        <v>1263</v>
      </c>
      <c r="B72" s="100">
        <v>1.24</v>
      </c>
      <c r="C72" s="100">
        <v>2.0299999999999998</v>
      </c>
      <c r="D72" s="147" t="s">
        <v>14</v>
      </c>
      <c r="E72" s="100">
        <v>3.24</v>
      </c>
      <c r="F72" s="100">
        <v>5.31</v>
      </c>
      <c r="G72" s="100">
        <v>44.7</v>
      </c>
      <c r="H72" s="100">
        <v>16.16</v>
      </c>
      <c r="I72" s="100">
        <v>5.33</v>
      </c>
      <c r="J72" s="100">
        <v>1.02</v>
      </c>
      <c r="K72" s="100">
        <v>279.39</v>
      </c>
      <c r="L72" s="100">
        <v>30.64</v>
      </c>
      <c r="M72" s="100">
        <v>70.06</v>
      </c>
      <c r="N72" s="100">
        <v>222</v>
      </c>
      <c r="O72" s="100">
        <v>0</v>
      </c>
      <c r="P72" s="100">
        <v>0.2</v>
      </c>
      <c r="Q72" s="100">
        <v>10</v>
      </c>
      <c r="R72" s="6"/>
      <c r="S72" s="6"/>
      <c r="T72" s="156"/>
      <c r="U72" s="6"/>
    </row>
    <row r="73" spans="1:21" customFormat="1">
      <c r="A73" s="163" t="s">
        <v>1264</v>
      </c>
      <c r="B73" s="100">
        <v>1.24</v>
      </c>
      <c r="C73" s="100">
        <v>2.0299999999999998</v>
      </c>
      <c r="D73" s="147" t="s">
        <v>14</v>
      </c>
      <c r="E73" s="100">
        <v>3.3</v>
      </c>
      <c r="F73" s="100">
        <v>5.51</v>
      </c>
      <c r="G73" s="100">
        <v>43.41</v>
      </c>
      <c r="H73" s="100">
        <v>14.02</v>
      </c>
      <c r="I73" s="100">
        <v>5.4</v>
      </c>
      <c r="J73" s="100">
        <v>1.1100000000000001</v>
      </c>
      <c r="K73" s="100">
        <v>274.07</v>
      </c>
      <c r="L73" s="100">
        <v>30.43</v>
      </c>
      <c r="M73" s="100">
        <v>70.19</v>
      </c>
      <c r="N73" s="100">
        <v>204.1</v>
      </c>
      <c r="O73" s="100">
        <v>0</v>
      </c>
      <c r="P73" s="100">
        <v>0.19</v>
      </c>
      <c r="Q73" s="100">
        <v>10</v>
      </c>
      <c r="R73" s="6"/>
      <c r="S73" s="6"/>
      <c r="T73" s="156"/>
      <c r="U73" s="6"/>
    </row>
    <row r="74" spans="1:21" customFormat="1">
      <c r="A74" s="163" t="s">
        <v>1265</v>
      </c>
      <c r="B74" s="100">
        <v>1.24</v>
      </c>
      <c r="C74" s="100">
        <v>2.0299999999999998</v>
      </c>
      <c r="D74" s="147" t="s">
        <v>14</v>
      </c>
      <c r="E74" s="100">
        <v>3.31</v>
      </c>
      <c r="F74" s="100">
        <v>4.66</v>
      </c>
      <c r="G74" s="100">
        <v>43.41</v>
      </c>
      <c r="H74" s="100">
        <v>14.02</v>
      </c>
      <c r="I74" s="100">
        <v>5.38</v>
      </c>
      <c r="J74" s="100">
        <v>0.98</v>
      </c>
      <c r="K74" s="100">
        <v>255.61</v>
      </c>
      <c r="L74" s="100">
        <v>29.96</v>
      </c>
      <c r="M74" s="100">
        <v>72.06</v>
      </c>
      <c r="N74" s="100">
        <v>138.19999999999999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163" t="s">
        <v>1266</v>
      </c>
      <c r="B75" s="100">
        <v>1.24</v>
      </c>
      <c r="C75" s="100">
        <v>2.0299999999999998</v>
      </c>
      <c r="D75" s="147" t="s">
        <v>14</v>
      </c>
      <c r="E75" s="100">
        <v>3.39</v>
      </c>
      <c r="F75" s="100">
        <v>4.1100000000000003</v>
      </c>
      <c r="G75" s="100">
        <v>43.41</v>
      </c>
      <c r="H75" s="100">
        <v>14.02</v>
      </c>
      <c r="I75" s="100">
        <v>5.29</v>
      </c>
      <c r="J75" s="100">
        <v>0.8</v>
      </c>
      <c r="K75" s="100">
        <v>254.56</v>
      </c>
      <c r="L75" s="100">
        <v>30.01</v>
      </c>
      <c r="M75" s="100">
        <v>72.569999999999993</v>
      </c>
      <c r="N75" s="100">
        <v>144.19999999999999</v>
      </c>
      <c r="O75" s="100">
        <v>0</v>
      </c>
      <c r="P75" s="100">
        <v>0.2</v>
      </c>
      <c r="Q75" s="100">
        <v>10</v>
      </c>
      <c r="R75" s="6"/>
      <c r="S75" s="6"/>
      <c r="T75" s="156"/>
      <c r="U75" s="6"/>
    </row>
    <row r="76" spans="1:21" customFormat="1">
      <c r="A76" s="163" t="s">
        <v>1267</v>
      </c>
      <c r="B76" s="100">
        <v>1.24</v>
      </c>
      <c r="C76" s="100">
        <v>2.0299999999999998</v>
      </c>
      <c r="D76" s="147" t="s">
        <v>14</v>
      </c>
      <c r="E76" s="100">
        <v>3.66</v>
      </c>
      <c r="F76" s="100">
        <v>5.35</v>
      </c>
      <c r="G76" s="100">
        <v>42.24</v>
      </c>
      <c r="H76" s="100">
        <v>13.41</v>
      </c>
      <c r="I76" s="100">
        <v>5.23</v>
      </c>
      <c r="J76" s="100">
        <v>0.77</v>
      </c>
      <c r="K76" s="100">
        <v>248.01</v>
      </c>
      <c r="L76" s="100">
        <v>29.97</v>
      </c>
      <c r="M76" s="100">
        <v>73.89</v>
      </c>
      <c r="N76" s="100">
        <v>104.9</v>
      </c>
      <c r="O76" s="100">
        <v>0</v>
      </c>
      <c r="P76" s="100">
        <v>0.2</v>
      </c>
      <c r="Q76" s="100">
        <v>10</v>
      </c>
      <c r="R76" s="6"/>
      <c r="S76" s="6"/>
      <c r="T76" s="156"/>
      <c r="U76" s="6"/>
    </row>
    <row r="77" spans="1:21" customFormat="1">
      <c r="A77" s="163" t="s">
        <v>1268</v>
      </c>
      <c r="B77" s="100">
        <v>1.24</v>
      </c>
      <c r="C77" s="100">
        <v>2.0299999999999998</v>
      </c>
      <c r="D77" s="147" t="s">
        <v>14</v>
      </c>
      <c r="E77" s="100">
        <v>3.47</v>
      </c>
      <c r="F77" s="100">
        <v>5.0999999999999996</v>
      </c>
      <c r="G77" s="100">
        <v>36.81</v>
      </c>
      <c r="H77" s="100">
        <v>11.5</v>
      </c>
      <c r="I77" s="100">
        <v>5.34</v>
      </c>
      <c r="J77" s="100">
        <v>1.06</v>
      </c>
      <c r="K77" s="100">
        <v>255.92</v>
      </c>
      <c r="L77" s="100">
        <v>29.6</v>
      </c>
      <c r="M77" s="100">
        <v>73.69</v>
      </c>
      <c r="N77" s="100">
        <v>75.900000000000006</v>
      </c>
      <c r="O77" s="100">
        <v>0</v>
      </c>
      <c r="P77" s="100">
        <v>0.19</v>
      </c>
      <c r="Q77" s="100">
        <v>10</v>
      </c>
      <c r="R77" s="6"/>
      <c r="S77" s="6"/>
      <c r="T77" s="156"/>
      <c r="U77" s="6"/>
    </row>
    <row r="78" spans="1:21" customFormat="1">
      <c r="A78" s="163" t="s">
        <v>1269</v>
      </c>
      <c r="B78" s="100">
        <v>1.24</v>
      </c>
      <c r="C78" s="100">
        <v>2.0299999999999998</v>
      </c>
      <c r="D78" s="147" t="s">
        <v>14</v>
      </c>
      <c r="E78" s="100">
        <v>3.53</v>
      </c>
      <c r="F78" s="100">
        <v>3.65</v>
      </c>
      <c r="G78" s="100">
        <v>36.81</v>
      </c>
      <c r="H78" s="100">
        <v>11.5</v>
      </c>
      <c r="I78" s="100">
        <v>5.33</v>
      </c>
      <c r="J78" s="100">
        <v>0.96</v>
      </c>
      <c r="K78" s="100">
        <v>267.57</v>
      </c>
      <c r="L78" s="100">
        <v>29.35</v>
      </c>
      <c r="M78" s="100">
        <v>73.83</v>
      </c>
      <c r="N78" s="100">
        <v>55.6</v>
      </c>
      <c r="O78" s="100">
        <v>0</v>
      </c>
      <c r="P78" s="100">
        <v>0.2</v>
      </c>
      <c r="Q78" s="100">
        <v>10</v>
      </c>
      <c r="R78" s="6"/>
      <c r="S78" s="6"/>
      <c r="T78" s="156"/>
      <c r="U78" s="6"/>
    </row>
    <row r="79" spans="1:21" customFormat="1">
      <c r="A79" s="163" t="s">
        <v>1270</v>
      </c>
      <c r="B79" s="100">
        <v>1.24</v>
      </c>
      <c r="C79" s="100">
        <v>2.0299999999999998</v>
      </c>
      <c r="D79" s="147" t="s">
        <v>14</v>
      </c>
      <c r="E79" s="100">
        <v>3.9</v>
      </c>
      <c r="F79" s="100">
        <v>2.99</v>
      </c>
      <c r="G79" s="100">
        <v>36.81</v>
      </c>
      <c r="H79" s="100">
        <v>11.5</v>
      </c>
      <c r="I79" s="100">
        <v>5.34</v>
      </c>
      <c r="J79" s="100">
        <v>0.85</v>
      </c>
      <c r="K79" s="100">
        <v>263.76</v>
      </c>
      <c r="L79" s="100">
        <v>29.22</v>
      </c>
      <c r="M79" s="100">
        <v>74.290000000000006</v>
      </c>
      <c r="N79" s="100">
        <v>43.2</v>
      </c>
      <c r="O79" s="100">
        <v>0</v>
      </c>
      <c r="P79" s="100">
        <v>0.21</v>
      </c>
      <c r="Q79" s="100">
        <v>10</v>
      </c>
      <c r="R79" s="6"/>
      <c r="S79" s="6"/>
      <c r="T79" s="156"/>
      <c r="U79" s="6"/>
    </row>
    <row r="80" spans="1:21" customFormat="1">
      <c r="A80" s="163" t="s">
        <v>1271</v>
      </c>
      <c r="B80" s="100">
        <v>1.24</v>
      </c>
      <c r="C80" s="100">
        <v>2.0299999999999998</v>
      </c>
      <c r="D80" s="147" t="s">
        <v>14</v>
      </c>
      <c r="E80" s="100">
        <v>3.7</v>
      </c>
      <c r="F80" s="100">
        <v>3.12</v>
      </c>
      <c r="G80" s="100">
        <v>37.31</v>
      </c>
      <c r="H80" s="100">
        <v>11.17</v>
      </c>
      <c r="I80" s="100">
        <v>5.38</v>
      </c>
      <c r="J80" s="100">
        <v>0.87</v>
      </c>
      <c r="K80" s="100">
        <v>261.56</v>
      </c>
      <c r="L80" s="100">
        <v>29.18</v>
      </c>
      <c r="M80" s="100">
        <v>74.37</v>
      </c>
      <c r="N80" s="100">
        <v>34.9</v>
      </c>
      <c r="O80" s="100">
        <v>0</v>
      </c>
      <c r="P80" s="100">
        <v>0.22</v>
      </c>
      <c r="Q80" s="100">
        <v>10</v>
      </c>
      <c r="R80" s="6"/>
      <c r="S80" s="6"/>
      <c r="T80" s="156"/>
      <c r="U80" s="6"/>
    </row>
    <row r="81" spans="1:21" customFormat="1">
      <c r="A81" s="163" t="s">
        <v>1272</v>
      </c>
      <c r="B81" s="100">
        <v>1.24</v>
      </c>
      <c r="C81" s="100">
        <v>2.0299999999999998</v>
      </c>
      <c r="D81" s="147" t="s">
        <v>14</v>
      </c>
      <c r="E81" s="100">
        <v>3.61</v>
      </c>
      <c r="F81" s="100">
        <v>3.41</v>
      </c>
      <c r="G81" s="100">
        <v>39.43</v>
      </c>
      <c r="H81" s="100">
        <v>10.16</v>
      </c>
      <c r="I81" s="100">
        <v>5.4</v>
      </c>
      <c r="J81" s="100">
        <v>0.82</v>
      </c>
      <c r="K81" s="100">
        <v>252.37</v>
      </c>
      <c r="L81" s="100">
        <v>29.03</v>
      </c>
      <c r="M81" s="100">
        <v>75.41</v>
      </c>
      <c r="N81" s="100">
        <v>29.1</v>
      </c>
      <c r="O81" s="100">
        <v>0</v>
      </c>
      <c r="P81" s="100">
        <v>0.21</v>
      </c>
      <c r="Q81" s="100">
        <v>10</v>
      </c>
      <c r="R81" s="6"/>
      <c r="S81" s="6"/>
      <c r="T81" s="156"/>
      <c r="U81" s="6"/>
    </row>
    <row r="82" spans="1:21" customFormat="1">
      <c r="A82" s="163" t="s">
        <v>1273</v>
      </c>
      <c r="B82" s="100">
        <v>1.24</v>
      </c>
      <c r="C82" s="100">
        <v>2.0299999999999998</v>
      </c>
      <c r="D82" s="147" t="s">
        <v>14</v>
      </c>
      <c r="E82" s="100">
        <v>4.82</v>
      </c>
      <c r="F82" s="100">
        <v>2.93</v>
      </c>
      <c r="G82" s="100">
        <v>39.43</v>
      </c>
      <c r="H82" s="100">
        <v>10.16</v>
      </c>
      <c r="I82" s="100">
        <v>5.42</v>
      </c>
      <c r="J82" s="100">
        <v>0.66</v>
      </c>
      <c r="K82" s="100">
        <v>251.1</v>
      </c>
      <c r="L82" s="100">
        <v>28.88</v>
      </c>
      <c r="M82" s="100">
        <v>76.33</v>
      </c>
      <c r="N82" s="100">
        <v>19.399999999999999</v>
      </c>
      <c r="O82" s="100">
        <v>0</v>
      </c>
      <c r="P82" s="100">
        <v>0.21</v>
      </c>
      <c r="Q82" s="100">
        <v>10</v>
      </c>
      <c r="R82" s="6"/>
      <c r="S82" s="6"/>
      <c r="T82" s="156"/>
      <c r="U82" s="6"/>
    </row>
    <row r="83" spans="1:21" customFormat="1">
      <c r="A83" s="163" t="s">
        <v>1274</v>
      </c>
      <c r="B83" s="100">
        <v>1.24</v>
      </c>
      <c r="C83" s="100">
        <v>2.0299999999999998</v>
      </c>
      <c r="D83" s="147" t="s">
        <v>14</v>
      </c>
      <c r="E83" s="100">
        <v>4.96</v>
      </c>
      <c r="F83" s="100">
        <v>2.82</v>
      </c>
      <c r="G83" s="100">
        <v>39.43</v>
      </c>
      <c r="H83" s="100">
        <v>10.16</v>
      </c>
      <c r="I83" s="100">
        <v>5.4</v>
      </c>
      <c r="J83" s="100">
        <v>0.6</v>
      </c>
      <c r="K83" s="100">
        <v>254.33</v>
      </c>
      <c r="L83" s="100">
        <v>28.67</v>
      </c>
      <c r="M83" s="100">
        <v>77.430000000000007</v>
      </c>
      <c r="N83" s="100">
        <v>8.1999999999999993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163" t="s">
        <v>1275</v>
      </c>
      <c r="B84" s="100">
        <v>1.24</v>
      </c>
      <c r="C84" s="100">
        <v>2.0299999999999998</v>
      </c>
      <c r="D84" s="147" t="s">
        <v>14</v>
      </c>
      <c r="E84" s="100">
        <v>4.84</v>
      </c>
      <c r="F84" s="100">
        <v>3.73</v>
      </c>
      <c r="G84" s="100">
        <v>38.33</v>
      </c>
      <c r="H84" s="100">
        <v>10.48</v>
      </c>
      <c r="I84" s="100">
        <v>5.4</v>
      </c>
      <c r="J84" s="100">
        <v>0.45</v>
      </c>
      <c r="K84" s="100">
        <v>246.36</v>
      </c>
      <c r="L84" s="100">
        <v>28.35</v>
      </c>
      <c r="M84" s="100">
        <v>82.63</v>
      </c>
      <c r="N84" s="100">
        <v>3.3</v>
      </c>
      <c r="O84" s="100">
        <v>0</v>
      </c>
      <c r="P84" s="100">
        <v>0.22</v>
      </c>
      <c r="Q84" s="100">
        <v>10</v>
      </c>
      <c r="R84" s="6"/>
      <c r="S84" s="6"/>
      <c r="T84" s="156"/>
      <c r="U84" s="6"/>
    </row>
    <row r="85" spans="1:21" customFormat="1">
      <c r="A85" s="163" t="s">
        <v>1276</v>
      </c>
      <c r="B85" s="100">
        <v>1.24</v>
      </c>
      <c r="C85" s="100">
        <v>2.0299999999999998</v>
      </c>
      <c r="D85" s="147" t="s">
        <v>14</v>
      </c>
      <c r="E85" s="100">
        <v>5.13</v>
      </c>
      <c r="F85" s="100">
        <v>3.48</v>
      </c>
      <c r="G85" s="100">
        <v>33.25</v>
      </c>
      <c r="H85" s="100">
        <v>12.11</v>
      </c>
      <c r="I85" s="100">
        <v>5.41</v>
      </c>
      <c r="J85" s="100">
        <v>0.66</v>
      </c>
      <c r="K85" s="100">
        <v>248.99</v>
      </c>
      <c r="L85" s="100">
        <v>27.99</v>
      </c>
      <c r="M85" s="100">
        <v>85.16</v>
      </c>
      <c r="N85" s="100">
        <v>2.5</v>
      </c>
      <c r="O85" s="100">
        <v>0</v>
      </c>
      <c r="P85" s="100">
        <v>0.22</v>
      </c>
      <c r="Q85" s="100">
        <v>10</v>
      </c>
      <c r="R85" s="6"/>
      <c r="S85" s="6"/>
      <c r="T85" s="156"/>
      <c r="U85" s="6"/>
    </row>
    <row r="86" spans="1:21" customFormat="1">
      <c r="A86" s="163" t="s">
        <v>1277</v>
      </c>
      <c r="B86" s="100">
        <v>1.24</v>
      </c>
      <c r="C86" s="100">
        <v>2.0299999999999998</v>
      </c>
      <c r="D86" s="147" t="s">
        <v>14</v>
      </c>
      <c r="E86" s="100">
        <v>5.21</v>
      </c>
      <c r="F86" s="100">
        <v>1.73</v>
      </c>
      <c r="G86" s="100">
        <v>33.25</v>
      </c>
      <c r="H86" s="100">
        <v>12.11</v>
      </c>
      <c r="I86" s="100">
        <v>5.31</v>
      </c>
      <c r="J86" s="100">
        <v>0.69</v>
      </c>
      <c r="K86" s="100">
        <v>250.53</v>
      </c>
      <c r="L86" s="100">
        <v>27.8</v>
      </c>
      <c r="M86" s="100">
        <v>85.8</v>
      </c>
      <c r="N86" s="100">
        <v>2.2999999999999998</v>
      </c>
      <c r="O86" s="100">
        <v>0</v>
      </c>
      <c r="P86" s="100">
        <v>0.22</v>
      </c>
      <c r="Q86" s="100">
        <v>10</v>
      </c>
      <c r="R86" s="6"/>
      <c r="S86" s="6"/>
      <c r="T86" s="156"/>
      <c r="U86" s="6"/>
    </row>
    <row r="87" spans="1:21" customFormat="1">
      <c r="A87" s="163" t="s">
        <v>1278</v>
      </c>
      <c r="B87" s="100">
        <v>1.24</v>
      </c>
      <c r="C87" s="100">
        <v>2.0299999999999998</v>
      </c>
      <c r="D87" s="147" t="s">
        <v>14</v>
      </c>
      <c r="E87" s="100">
        <v>5.2</v>
      </c>
      <c r="F87" s="100">
        <v>2.2799999999999998</v>
      </c>
      <c r="G87" s="100">
        <v>33.25</v>
      </c>
      <c r="H87" s="100">
        <v>12.11</v>
      </c>
      <c r="I87" s="100">
        <v>5.21</v>
      </c>
      <c r="J87" s="100">
        <v>0.61</v>
      </c>
      <c r="K87" s="100">
        <v>250.4</v>
      </c>
      <c r="L87" s="100">
        <v>27.65</v>
      </c>
      <c r="M87" s="100">
        <v>87.32</v>
      </c>
      <c r="N87" s="100">
        <v>2.2999999999999998</v>
      </c>
      <c r="O87" s="100">
        <v>0</v>
      </c>
      <c r="P87" s="100">
        <v>0.23</v>
      </c>
      <c r="Q87" s="100">
        <v>10</v>
      </c>
      <c r="R87" s="6"/>
      <c r="S87" s="6"/>
      <c r="T87" s="156"/>
      <c r="U87" s="6"/>
    </row>
    <row r="88" spans="1:21" customFormat="1">
      <c r="A88" s="163" t="s">
        <v>1279</v>
      </c>
      <c r="B88" s="100">
        <v>1.24</v>
      </c>
      <c r="C88" s="100">
        <v>2.0299999999999998</v>
      </c>
      <c r="D88" s="147" t="s">
        <v>14</v>
      </c>
      <c r="E88" s="100">
        <v>5.42</v>
      </c>
      <c r="F88" s="100">
        <v>2.93</v>
      </c>
      <c r="G88" s="100">
        <v>33</v>
      </c>
      <c r="H88" s="100">
        <v>12.48</v>
      </c>
      <c r="I88" s="100">
        <v>5.22</v>
      </c>
      <c r="J88" s="100">
        <v>0.6</v>
      </c>
      <c r="K88" s="100">
        <v>249.13</v>
      </c>
      <c r="L88" s="100">
        <v>27.62</v>
      </c>
      <c r="M88" s="100">
        <v>87.63</v>
      </c>
      <c r="N88" s="100">
        <v>2.1</v>
      </c>
      <c r="O88" s="100">
        <v>0</v>
      </c>
      <c r="P88" s="100">
        <v>0.23</v>
      </c>
      <c r="Q88" s="100">
        <v>10</v>
      </c>
      <c r="R88" s="6"/>
      <c r="S88" s="6"/>
      <c r="T88" s="156"/>
      <c r="U88" s="6"/>
    </row>
    <row r="89" spans="1:21" customFormat="1">
      <c r="A89" s="163" t="s">
        <v>1280</v>
      </c>
      <c r="B89" s="100">
        <v>1.24</v>
      </c>
      <c r="C89" s="100">
        <v>2.0299999999999998</v>
      </c>
      <c r="D89" s="147" t="s">
        <v>14</v>
      </c>
      <c r="E89" s="100">
        <v>5.38</v>
      </c>
      <c r="F89" s="100">
        <v>1.65</v>
      </c>
      <c r="G89" s="100">
        <v>31.9</v>
      </c>
      <c r="H89" s="100">
        <v>13.63</v>
      </c>
      <c r="I89" s="100">
        <v>5.29</v>
      </c>
      <c r="J89" s="100">
        <v>0.53</v>
      </c>
      <c r="K89" s="100">
        <v>254.94</v>
      </c>
      <c r="L89" s="100">
        <v>27.55</v>
      </c>
      <c r="M89" s="100">
        <v>86.05</v>
      </c>
      <c r="N89" s="100">
        <v>2.1</v>
      </c>
      <c r="O89" s="100">
        <v>0</v>
      </c>
      <c r="P89" s="100">
        <v>0.25</v>
      </c>
      <c r="Q89" s="100">
        <v>10</v>
      </c>
      <c r="R89" s="6"/>
      <c r="S89" s="6"/>
      <c r="T89" s="156"/>
      <c r="U89" s="6"/>
    </row>
    <row r="90" spans="1:21" customFormat="1">
      <c r="A90" s="163" t="s">
        <v>1281</v>
      </c>
      <c r="B90" s="100">
        <v>1.24</v>
      </c>
      <c r="C90" s="100">
        <v>2.0299999999999998</v>
      </c>
      <c r="D90" s="147" t="s">
        <v>14</v>
      </c>
      <c r="E90" s="100">
        <v>5.32</v>
      </c>
      <c r="F90" s="100">
        <v>2.0099999999999998</v>
      </c>
      <c r="G90" s="100">
        <v>31.9</v>
      </c>
      <c r="H90" s="100">
        <v>13.63</v>
      </c>
      <c r="I90" s="100">
        <v>5.46</v>
      </c>
      <c r="J90" s="100">
        <v>0.62</v>
      </c>
      <c r="K90" s="100">
        <v>251.84</v>
      </c>
      <c r="L90" s="100">
        <v>27.46</v>
      </c>
      <c r="M90" s="100">
        <v>86.53</v>
      </c>
      <c r="N90" s="100">
        <v>2.1</v>
      </c>
      <c r="O90" s="100">
        <v>0</v>
      </c>
      <c r="P90" s="100">
        <v>0.25</v>
      </c>
      <c r="Q90" s="100">
        <v>10</v>
      </c>
      <c r="R90" s="6"/>
      <c r="S90" s="6"/>
      <c r="T90" s="156"/>
      <c r="U90" s="6"/>
    </row>
    <row r="91" spans="1:21" customFormat="1">
      <c r="A91" s="163" t="s">
        <v>1282</v>
      </c>
      <c r="B91" s="100">
        <v>1.24</v>
      </c>
      <c r="C91" s="100">
        <v>2.0299999999999998</v>
      </c>
      <c r="D91" s="147" t="s">
        <v>14</v>
      </c>
      <c r="E91" s="100">
        <v>5.29</v>
      </c>
      <c r="F91" s="100">
        <v>2.84</v>
      </c>
      <c r="G91" s="100">
        <v>31.9</v>
      </c>
      <c r="H91" s="100">
        <v>13.63</v>
      </c>
      <c r="I91" s="100">
        <v>5.67</v>
      </c>
      <c r="J91" s="100">
        <v>0.66</v>
      </c>
      <c r="K91" s="100">
        <v>250.42</v>
      </c>
      <c r="L91" s="100">
        <v>27.23</v>
      </c>
      <c r="M91" s="100">
        <v>88.25</v>
      </c>
      <c r="N91" s="100">
        <v>2.2999999999999998</v>
      </c>
      <c r="O91" s="100">
        <v>0</v>
      </c>
      <c r="P91" s="100">
        <v>0.25</v>
      </c>
      <c r="Q91" s="100">
        <v>10</v>
      </c>
      <c r="R91" s="6"/>
      <c r="S91" s="6"/>
      <c r="T91" s="156"/>
      <c r="U91" s="6"/>
    </row>
    <row r="92" spans="1:21" customFormat="1">
      <c r="A92" s="163" t="s">
        <v>1283</v>
      </c>
      <c r="B92" s="100">
        <v>1.24</v>
      </c>
      <c r="C92" s="100">
        <v>2.0299999999999998</v>
      </c>
      <c r="D92" s="147" t="s">
        <v>14</v>
      </c>
      <c r="E92" s="100">
        <v>5.16</v>
      </c>
      <c r="F92" s="100">
        <v>2.36</v>
      </c>
      <c r="G92" s="100">
        <v>31.89</v>
      </c>
      <c r="H92" s="100">
        <v>12.8</v>
      </c>
      <c r="I92" s="100">
        <v>5.67</v>
      </c>
      <c r="J92" s="100">
        <v>0.42</v>
      </c>
      <c r="K92" s="100">
        <v>242.39</v>
      </c>
      <c r="L92" s="100">
        <v>27.06</v>
      </c>
      <c r="M92" s="100">
        <v>88.67</v>
      </c>
      <c r="N92" s="100">
        <v>2.1</v>
      </c>
      <c r="O92" s="100">
        <v>0</v>
      </c>
      <c r="P92" s="100">
        <v>0.25</v>
      </c>
      <c r="Q92" s="100">
        <v>10</v>
      </c>
      <c r="R92" s="6"/>
      <c r="S92" s="6"/>
      <c r="T92" s="156"/>
      <c r="U92" s="6"/>
    </row>
    <row r="93" spans="1:21" customFormat="1">
      <c r="A93" s="163" t="s">
        <v>1284</v>
      </c>
      <c r="B93" s="100">
        <v>1.24</v>
      </c>
      <c r="C93" s="100">
        <v>2.0299999999999998</v>
      </c>
      <c r="D93" s="147" t="s">
        <v>14</v>
      </c>
      <c r="E93" s="100">
        <v>4.96</v>
      </c>
      <c r="F93" s="100">
        <v>1.53</v>
      </c>
      <c r="G93" s="100">
        <v>31.86</v>
      </c>
      <c r="H93" s="100">
        <v>10.210000000000001</v>
      </c>
      <c r="I93" s="100">
        <v>5.54</v>
      </c>
      <c r="J93" s="100">
        <v>0.2</v>
      </c>
      <c r="K93" s="100">
        <v>240.86</v>
      </c>
      <c r="L93" s="100">
        <v>26.88</v>
      </c>
      <c r="M93" s="100">
        <v>89.78</v>
      </c>
      <c r="N93" s="100">
        <v>2.1</v>
      </c>
      <c r="O93" s="100">
        <v>0</v>
      </c>
      <c r="P93" s="100">
        <v>0.25</v>
      </c>
      <c r="Q93" s="100">
        <v>10</v>
      </c>
      <c r="R93" s="6"/>
      <c r="S93" s="6"/>
      <c r="T93" s="156"/>
      <c r="U93" s="6"/>
    </row>
    <row r="94" spans="1:21" customFormat="1">
      <c r="A94" s="163" t="s">
        <v>1285</v>
      </c>
      <c r="B94" s="100">
        <v>1.24</v>
      </c>
      <c r="C94" s="100">
        <v>2.0299999999999998</v>
      </c>
      <c r="D94" s="147" t="s">
        <v>14</v>
      </c>
      <c r="E94" s="100">
        <v>5.08</v>
      </c>
      <c r="F94" s="100">
        <v>1.77</v>
      </c>
      <c r="G94" s="100">
        <v>31.86</v>
      </c>
      <c r="H94" s="100">
        <v>10.210000000000001</v>
      </c>
      <c r="I94" s="100">
        <v>5.5</v>
      </c>
      <c r="J94" s="100">
        <v>0.26</v>
      </c>
      <c r="K94" s="100">
        <v>253.78</v>
      </c>
      <c r="L94" s="100">
        <v>26.59</v>
      </c>
      <c r="M94" s="100">
        <v>90.59</v>
      </c>
      <c r="N94" s="100">
        <v>2.1</v>
      </c>
      <c r="O94" s="100">
        <v>0</v>
      </c>
      <c r="P94" s="100">
        <v>0.24</v>
      </c>
      <c r="Q94" s="100">
        <v>10</v>
      </c>
      <c r="R94" s="6"/>
      <c r="S94" s="6"/>
      <c r="T94" s="156"/>
      <c r="U94" s="6"/>
    </row>
    <row r="95" spans="1:21" customFormat="1">
      <c r="A95" s="163" t="s">
        <v>1286</v>
      </c>
      <c r="B95" s="100">
        <v>1.24</v>
      </c>
      <c r="C95" s="100">
        <v>2.0299999999999998</v>
      </c>
      <c r="D95" s="147" t="s">
        <v>14</v>
      </c>
      <c r="E95" s="100">
        <v>4.49</v>
      </c>
      <c r="F95" s="100">
        <v>2.35</v>
      </c>
      <c r="G95" s="100">
        <v>31.86</v>
      </c>
      <c r="H95" s="100">
        <v>10.210000000000001</v>
      </c>
      <c r="I95" s="100">
        <v>5.46</v>
      </c>
      <c r="J95" s="100">
        <v>0.28999999999999998</v>
      </c>
      <c r="K95" s="100">
        <v>240.56</v>
      </c>
      <c r="L95" s="100">
        <v>26.54</v>
      </c>
      <c r="M95" s="100">
        <v>90.83</v>
      </c>
      <c r="N95" s="100">
        <v>2.1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163" t="s">
        <v>1287</v>
      </c>
      <c r="B96" s="100">
        <v>1.24</v>
      </c>
      <c r="C96" s="100">
        <v>2.0299999999999998</v>
      </c>
      <c r="D96" s="147" t="s">
        <v>14</v>
      </c>
      <c r="E96" s="100">
        <v>5.04</v>
      </c>
      <c r="F96" s="100">
        <v>1.91</v>
      </c>
      <c r="G96" s="100">
        <v>30.77</v>
      </c>
      <c r="H96" s="100">
        <v>9.7899999999999991</v>
      </c>
      <c r="I96" s="100">
        <v>5.38</v>
      </c>
      <c r="J96" s="100">
        <v>0.23</v>
      </c>
      <c r="K96" s="100">
        <v>244.58</v>
      </c>
      <c r="L96" s="100">
        <v>26.51</v>
      </c>
      <c r="M96" s="100">
        <v>91.61</v>
      </c>
      <c r="N96" s="100">
        <v>2.1</v>
      </c>
      <c r="O96" s="100">
        <v>0</v>
      </c>
      <c r="P96" s="100">
        <v>0.27</v>
      </c>
      <c r="Q96" s="100">
        <v>10</v>
      </c>
      <c r="R96" s="6"/>
      <c r="S96" s="6"/>
      <c r="T96" s="156"/>
      <c r="U96" s="6"/>
    </row>
    <row r="97" spans="1:28" customFormat="1">
      <c r="A97" s="163" t="s">
        <v>1288</v>
      </c>
      <c r="B97" s="100">
        <v>1.24</v>
      </c>
      <c r="C97" s="100">
        <v>2.0299999999999998</v>
      </c>
      <c r="D97" s="147" t="s">
        <v>14</v>
      </c>
      <c r="E97" s="100">
        <v>5.37</v>
      </c>
      <c r="F97" s="100">
        <v>1.26</v>
      </c>
      <c r="G97" s="100">
        <v>26.09</v>
      </c>
      <c r="H97" s="100">
        <v>8.49</v>
      </c>
      <c r="I97" s="100">
        <v>5.41</v>
      </c>
      <c r="J97" s="100">
        <v>0.4</v>
      </c>
      <c r="K97" s="100">
        <v>249.5</v>
      </c>
      <c r="L97" s="100">
        <v>26.44</v>
      </c>
      <c r="M97" s="100">
        <v>91.34</v>
      </c>
      <c r="N97" s="100">
        <v>2.1</v>
      </c>
      <c r="O97" s="100">
        <v>0</v>
      </c>
      <c r="P97" s="100">
        <v>0.27</v>
      </c>
      <c r="Q97" s="100">
        <v>10</v>
      </c>
      <c r="R97" s="6"/>
      <c r="S97" s="6"/>
      <c r="T97" s="156"/>
      <c r="U97" s="6"/>
    </row>
    <row r="98" spans="1:28" customFormat="1">
      <c r="A98" s="163" t="s">
        <v>1289</v>
      </c>
      <c r="B98" s="100">
        <v>1.24</v>
      </c>
      <c r="C98" s="100">
        <v>2.0299999999999998</v>
      </c>
      <c r="D98" s="147" t="s">
        <v>14</v>
      </c>
      <c r="E98" s="100">
        <v>5.07</v>
      </c>
      <c r="F98" s="100">
        <v>1.84</v>
      </c>
      <c r="G98" s="100">
        <v>26.09</v>
      </c>
      <c r="H98" s="100">
        <v>8.49</v>
      </c>
      <c r="I98" s="100">
        <v>5.49</v>
      </c>
      <c r="J98" s="100">
        <v>0.49</v>
      </c>
      <c r="K98" s="100">
        <v>252.79</v>
      </c>
      <c r="L98" s="100">
        <v>26.47</v>
      </c>
      <c r="M98" s="100">
        <v>90.13</v>
      </c>
      <c r="N98" s="100">
        <v>2</v>
      </c>
      <c r="O98" s="100">
        <v>0</v>
      </c>
      <c r="P98" s="100">
        <v>0.28000000000000003</v>
      </c>
      <c r="Q98" s="100">
        <v>10</v>
      </c>
      <c r="R98" s="6"/>
      <c r="S98" s="6"/>
      <c r="T98" s="156"/>
      <c r="U98" s="6"/>
    </row>
    <row r="99" spans="1:28" customFormat="1">
      <c r="A99" s="163" t="s">
        <v>1290</v>
      </c>
      <c r="B99" s="100">
        <v>1.24</v>
      </c>
      <c r="C99" s="100">
        <v>2.0299999999999998</v>
      </c>
      <c r="D99" s="147" t="s">
        <v>14</v>
      </c>
      <c r="E99" s="100">
        <v>5.2</v>
      </c>
      <c r="F99" s="100">
        <v>1.54</v>
      </c>
      <c r="G99" s="100">
        <v>26.09</v>
      </c>
      <c r="H99" s="100">
        <v>8.49</v>
      </c>
      <c r="I99" s="100">
        <v>5.63</v>
      </c>
      <c r="J99" s="100">
        <v>0.42</v>
      </c>
      <c r="K99" s="100">
        <v>247.53</v>
      </c>
      <c r="L99" s="100">
        <v>26.48</v>
      </c>
      <c r="M99" s="100">
        <v>89.49</v>
      </c>
      <c r="N99" s="100">
        <v>2.1</v>
      </c>
      <c r="O99" s="100">
        <v>0</v>
      </c>
      <c r="P99" s="100">
        <v>0.28999999999999998</v>
      </c>
      <c r="Q99" s="100">
        <v>10</v>
      </c>
      <c r="R99" s="6"/>
      <c r="S99" s="6"/>
      <c r="T99" s="156"/>
      <c r="U99" s="6"/>
    </row>
    <row r="100" spans="1:28" customFormat="1">
      <c r="A100" s="163" t="s">
        <v>1291</v>
      </c>
      <c r="B100" s="100">
        <v>1.24</v>
      </c>
      <c r="C100" s="100">
        <v>2.0299999999999998</v>
      </c>
      <c r="D100" s="147" t="s">
        <v>14</v>
      </c>
      <c r="E100" s="100">
        <v>4.8499999999999996</v>
      </c>
      <c r="F100" s="100">
        <v>3.22</v>
      </c>
      <c r="G100" s="100">
        <v>26.27</v>
      </c>
      <c r="H100" s="100">
        <v>8.7100000000000009</v>
      </c>
      <c r="I100" s="100">
        <v>5.76</v>
      </c>
      <c r="J100" s="100">
        <v>0.34</v>
      </c>
      <c r="K100" s="100">
        <v>246.82</v>
      </c>
      <c r="L100" s="100">
        <v>26.41</v>
      </c>
      <c r="M100" s="100">
        <v>90.39</v>
      </c>
      <c r="N100" s="100">
        <v>2.1</v>
      </c>
      <c r="O100" s="100">
        <v>0</v>
      </c>
      <c r="P100" s="100">
        <v>0.32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1292</v>
      </c>
      <c r="B101" s="100">
        <v>1.24</v>
      </c>
      <c r="C101" s="100">
        <v>2.0299999999999998</v>
      </c>
      <c r="D101" s="147" t="s">
        <v>14</v>
      </c>
      <c r="E101" s="100">
        <v>4.71</v>
      </c>
      <c r="F101" s="100">
        <v>3.21</v>
      </c>
      <c r="G101" s="100">
        <v>27.01</v>
      </c>
      <c r="H101" s="100">
        <v>9.82</v>
      </c>
      <c r="I101" s="100">
        <v>5.89</v>
      </c>
      <c r="J101" s="100">
        <v>0.36</v>
      </c>
      <c r="K101" s="100">
        <v>248.5</v>
      </c>
      <c r="L101" s="100">
        <v>26.37</v>
      </c>
      <c r="M101" s="100">
        <v>90.62</v>
      </c>
      <c r="N101" s="100">
        <v>2.1</v>
      </c>
      <c r="O101" s="100">
        <v>0</v>
      </c>
      <c r="P101" s="100">
        <v>0.31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1293</v>
      </c>
      <c r="B102" s="100">
        <v>1.24</v>
      </c>
      <c r="C102" s="100">
        <v>2.0299999999999998</v>
      </c>
      <c r="D102" s="147" t="s">
        <v>14</v>
      </c>
      <c r="E102" s="100">
        <v>5.07</v>
      </c>
      <c r="F102" s="100">
        <v>1.95</v>
      </c>
      <c r="G102" s="100">
        <v>27.01</v>
      </c>
      <c r="H102" s="100">
        <v>9.82</v>
      </c>
      <c r="I102" s="100">
        <v>6.21</v>
      </c>
      <c r="J102" s="100">
        <v>0.39</v>
      </c>
      <c r="K102" s="100">
        <v>247.01</v>
      </c>
      <c r="L102" s="100">
        <v>26.35</v>
      </c>
      <c r="M102" s="100">
        <v>89.98</v>
      </c>
      <c r="N102" s="100">
        <v>2.1</v>
      </c>
      <c r="O102" s="100">
        <v>0</v>
      </c>
      <c r="P102" s="100">
        <v>0.3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1294</v>
      </c>
      <c r="B103" s="100">
        <v>1.24</v>
      </c>
      <c r="C103" s="100">
        <v>2.0299999999999998</v>
      </c>
      <c r="D103" s="147" t="s">
        <v>14</v>
      </c>
      <c r="E103" s="100">
        <v>5.03</v>
      </c>
      <c r="F103" s="100">
        <v>3.29</v>
      </c>
      <c r="G103" s="100">
        <v>27.01</v>
      </c>
      <c r="H103" s="100">
        <v>9.82</v>
      </c>
      <c r="I103" s="100">
        <v>6.33</v>
      </c>
      <c r="J103" s="100">
        <v>0.36</v>
      </c>
      <c r="K103" s="100">
        <v>246.23</v>
      </c>
      <c r="L103" s="100">
        <v>26.28</v>
      </c>
      <c r="M103" s="100">
        <v>90.47</v>
      </c>
      <c r="N103" s="100">
        <v>2.1</v>
      </c>
      <c r="O103" s="100">
        <v>0</v>
      </c>
      <c r="P103" s="100">
        <v>0.28999999999999998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1295</v>
      </c>
      <c r="B104" s="100">
        <v>1.24</v>
      </c>
      <c r="C104" s="100">
        <v>2.0299999999999998</v>
      </c>
      <c r="D104" s="147" t="s">
        <v>14</v>
      </c>
      <c r="E104" s="100">
        <v>4.74</v>
      </c>
      <c r="F104" s="100">
        <v>4.08</v>
      </c>
      <c r="G104" s="100">
        <v>25.76</v>
      </c>
      <c r="H104" s="100">
        <v>10.26</v>
      </c>
      <c r="I104" s="100">
        <v>6.3</v>
      </c>
      <c r="J104" s="100">
        <v>0.32</v>
      </c>
      <c r="K104" s="100">
        <v>241.62</v>
      </c>
      <c r="L104" s="100">
        <v>26.2</v>
      </c>
      <c r="M104" s="100">
        <v>90.88</v>
      </c>
      <c r="N104" s="100">
        <v>2.1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2.0299999999999998</v>
      </c>
      <c r="D106" s="158">
        <f t="shared" ref="D106:Q106" si="0">MIN(D9:D104)</f>
        <v>0.03</v>
      </c>
      <c r="E106" s="158">
        <f t="shared" si="0"/>
        <v>3.24</v>
      </c>
      <c r="F106" s="158">
        <f t="shared" si="0"/>
        <v>0.12</v>
      </c>
      <c r="G106" s="158">
        <f t="shared" si="0"/>
        <v>9.41</v>
      </c>
      <c r="H106" s="158">
        <f t="shared" si="0"/>
        <v>4.55</v>
      </c>
      <c r="I106" s="158">
        <f t="shared" si="0"/>
        <v>4.6500000000000004</v>
      </c>
      <c r="J106" s="158">
        <f t="shared" si="0"/>
        <v>0.13</v>
      </c>
      <c r="K106" s="158">
        <f t="shared" si="0"/>
        <v>217.28</v>
      </c>
      <c r="L106" s="158">
        <f t="shared" si="0"/>
        <v>24.69</v>
      </c>
      <c r="M106" s="158">
        <f t="shared" si="0"/>
        <v>66.06</v>
      </c>
      <c r="N106" s="158">
        <f t="shared" si="0"/>
        <v>2</v>
      </c>
      <c r="O106" s="158">
        <f t="shared" si="0"/>
        <v>0</v>
      </c>
      <c r="P106" s="158">
        <f t="shared" si="0"/>
        <v>0.18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2.57</v>
      </c>
      <c r="C107" s="157">
        <f t="shared" ref="C107:Q107" si="1">MAX(C9:C104)</f>
        <v>3.83</v>
      </c>
      <c r="D107" s="157">
        <f t="shared" si="1"/>
        <v>1.98</v>
      </c>
      <c r="E107" s="157">
        <f t="shared" si="1"/>
        <v>5.42</v>
      </c>
      <c r="F107" s="157">
        <f t="shared" si="1"/>
        <v>6.22</v>
      </c>
      <c r="G107" s="157">
        <f t="shared" si="1"/>
        <v>57.25</v>
      </c>
      <c r="H107" s="157">
        <f t="shared" si="1"/>
        <v>17.03</v>
      </c>
      <c r="I107" s="157">
        <f t="shared" si="1"/>
        <v>6.57</v>
      </c>
      <c r="J107" s="157">
        <f t="shared" si="1"/>
        <v>1.67</v>
      </c>
      <c r="K107" s="157">
        <f t="shared" si="1"/>
        <v>296.08999999999997</v>
      </c>
      <c r="L107" s="157">
        <f t="shared" si="1"/>
        <v>31.6</v>
      </c>
      <c r="M107" s="157">
        <f t="shared" si="1"/>
        <v>99.51</v>
      </c>
      <c r="N107" s="157">
        <f t="shared" si="1"/>
        <v>587.1</v>
      </c>
      <c r="O107" s="157">
        <f t="shared" si="1"/>
        <v>0</v>
      </c>
      <c r="P107" s="157">
        <f t="shared" si="1"/>
        <v>0.32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1.2940624999999979</v>
      </c>
      <c r="C108" s="158">
        <f t="shared" ref="C108:Q108" si="2">AVERAGE(C9:C104)</f>
        <v>2.1741666666666677</v>
      </c>
      <c r="D108" s="158">
        <f t="shared" si="2"/>
        <v>0.7736000000000004</v>
      </c>
      <c r="E108" s="158">
        <f t="shared" si="2"/>
        <v>4.3881249999999996</v>
      </c>
      <c r="F108" s="158">
        <f t="shared" si="2"/>
        <v>2.6055208333333328</v>
      </c>
      <c r="G108" s="158">
        <f t="shared" si="2"/>
        <v>32.838645833333331</v>
      </c>
      <c r="H108" s="158">
        <f t="shared" si="2"/>
        <v>11.627604166666663</v>
      </c>
      <c r="I108" s="158">
        <f t="shared" si="2"/>
        <v>5.6360416666666664</v>
      </c>
      <c r="J108" s="158">
        <f t="shared" si="2"/>
        <v>0.66166666666666651</v>
      </c>
      <c r="K108" s="158">
        <f t="shared" si="2"/>
        <v>256.73124999999999</v>
      </c>
      <c r="L108" s="158">
        <f t="shared" si="2"/>
        <v>27.420104166666665</v>
      </c>
      <c r="M108" s="158">
        <f t="shared" si="2"/>
        <v>86.220520833333296</v>
      </c>
      <c r="N108" s="158">
        <f t="shared" si="2"/>
        <v>101.40937500000005</v>
      </c>
      <c r="O108" s="158">
        <f t="shared" si="2"/>
        <v>0</v>
      </c>
      <c r="P108" s="158">
        <f t="shared" si="2"/>
        <v>0.24552083333333327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0.22435675596552052</v>
      </c>
      <c r="C109" s="158">
        <f t="shared" ref="C109:Q109" si="3">STDEV(C9:C104)</f>
        <v>0.39105435526526228</v>
      </c>
      <c r="D109" s="158">
        <f t="shared" si="3"/>
        <v>0.67324388844855676</v>
      </c>
      <c r="E109" s="158">
        <f t="shared" si="3"/>
        <v>0.56033883076506708</v>
      </c>
      <c r="F109" s="158">
        <f t="shared" si="3"/>
        <v>1.2737891007720292</v>
      </c>
      <c r="G109" s="158">
        <f t="shared" si="3"/>
        <v>12.108511370957787</v>
      </c>
      <c r="H109" s="158">
        <f t="shared" si="3"/>
        <v>3.3311912662279077</v>
      </c>
      <c r="I109" s="158">
        <f t="shared" si="3"/>
        <v>0.46414716170552878</v>
      </c>
      <c r="J109" s="158">
        <f t="shared" si="3"/>
        <v>0.31266483372073445</v>
      </c>
      <c r="K109" s="158">
        <f t="shared" si="3"/>
        <v>14.577520058385495</v>
      </c>
      <c r="L109" s="158">
        <f t="shared" si="3"/>
        <v>2.0786683463934899</v>
      </c>
      <c r="M109" s="158">
        <f t="shared" si="3"/>
        <v>10.562961144818301</v>
      </c>
      <c r="N109" s="158">
        <f t="shared" si="3"/>
        <v>131.72658851465997</v>
      </c>
      <c r="O109" s="158">
        <f t="shared" si="3"/>
        <v>0</v>
      </c>
      <c r="P109" s="158">
        <f t="shared" si="3"/>
        <v>3.3930883050127661E-2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>COUNT(D9:D104)+71</f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2" sqref="J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1296</v>
      </c>
      <c r="B9" s="100">
        <v>2.29</v>
      </c>
      <c r="C9" s="100">
        <v>4.17</v>
      </c>
      <c r="D9" s="100">
        <v>2.48</v>
      </c>
      <c r="E9" s="100">
        <v>4.71</v>
      </c>
      <c r="F9" s="100">
        <v>2.0699999999999998</v>
      </c>
      <c r="G9" s="100">
        <v>20.36</v>
      </c>
      <c r="H9" s="100">
        <v>11.64</v>
      </c>
      <c r="I9" s="100">
        <v>6.36</v>
      </c>
      <c r="J9" s="100">
        <v>0.45</v>
      </c>
      <c r="K9" s="100">
        <v>250.69</v>
      </c>
      <c r="L9" s="100">
        <v>26.08</v>
      </c>
      <c r="M9" s="100">
        <v>91.01</v>
      </c>
      <c r="N9" s="100">
        <v>2.1</v>
      </c>
      <c r="O9" s="100">
        <v>0</v>
      </c>
      <c r="P9" s="100">
        <v>0.3</v>
      </c>
      <c r="Q9" s="100">
        <v>10</v>
      </c>
      <c r="R9" s="6"/>
      <c r="S9" s="6"/>
      <c r="T9" s="156"/>
      <c r="U9" s="6"/>
    </row>
    <row r="10" spans="1:21" customFormat="1">
      <c r="A10" s="163" t="s">
        <v>1297</v>
      </c>
      <c r="B10" s="100">
        <v>1.96</v>
      </c>
      <c r="C10" s="100">
        <v>4.13</v>
      </c>
      <c r="D10" s="100">
        <v>2.9</v>
      </c>
      <c r="E10" s="100">
        <v>4.7</v>
      </c>
      <c r="F10" s="100">
        <v>2.79</v>
      </c>
      <c r="G10" s="100">
        <v>20.36</v>
      </c>
      <c r="H10" s="100">
        <v>11.64</v>
      </c>
      <c r="I10" s="100">
        <v>6.35</v>
      </c>
      <c r="J10" s="100">
        <v>0.44</v>
      </c>
      <c r="K10" s="100">
        <v>248.86</v>
      </c>
      <c r="L10" s="100">
        <v>26.04</v>
      </c>
      <c r="M10" s="100">
        <v>90.94</v>
      </c>
      <c r="N10" s="100">
        <v>2.1</v>
      </c>
      <c r="O10" s="100">
        <v>0</v>
      </c>
      <c r="P10" s="100">
        <v>0.28000000000000003</v>
      </c>
      <c r="Q10" s="100">
        <v>10</v>
      </c>
      <c r="R10" s="6"/>
      <c r="S10" s="6"/>
      <c r="T10" s="156"/>
      <c r="U10" s="6"/>
    </row>
    <row r="11" spans="1:21" customFormat="1">
      <c r="A11" s="163" t="s">
        <v>1298</v>
      </c>
      <c r="B11" s="100">
        <v>1.98</v>
      </c>
      <c r="C11" s="100">
        <v>4.21</v>
      </c>
      <c r="D11" s="100">
        <v>3.04</v>
      </c>
      <c r="E11" s="100">
        <v>4.51</v>
      </c>
      <c r="F11" s="100">
        <v>3.38</v>
      </c>
      <c r="G11" s="100">
        <v>20.36</v>
      </c>
      <c r="H11" s="100">
        <v>11.64</v>
      </c>
      <c r="I11" s="100">
        <v>6.42</v>
      </c>
      <c r="J11" s="100">
        <v>0.43</v>
      </c>
      <c r="K11" s="100">
        <v>251.49</v>
      </c>
      <c r="L11" s="100">
        <v>26.05</v>
      </c>
      <c r="M11" s="100">
        <v>90.58</v>
      </c>
      <c r="N11" s="100">
        <v>2.1</v>
      </c>
      <c r="O11" s="100">
        <v>0</v>
      </c>
      <c r="P11" s="100">
        <v>0.28000000000000003</v>
      </c>
      <c r="Q11" s="100">
        <v>10</v>
      </c>
      <c r="R11" s="6"/>
      <c r="S11" s="6"/>
      <c r="T11" s="156"/>
      <c r="U11" s="6"/>
    </row>
    <row r="12" spans="1:21" customFormat="1">
      <c r="A12" s="163" t="s">
        <v>1299</v>
      </c>
      <c r="B12" s="100">
        <v>1.97</v>
      </c>
      <c r="C12" s="100">
        <v>4.17</v>
      </c>
      <c r="D12" s="100">
        <v>2.98</v>
      </c>
      <c r="E12" s="100">
        <v>4.5599999999999996</v>
      </c>
      <c r="F12" s="100">
        <v>3.27</v>
      </c>
      <c r="G12" s="100">
        <v>20.07</v>
      </c>
      <c r="H12" s="100">
        <v>11.39</v>
      </c>
      <c r="I12" s="100">
        <v>6.17</v>
      </c>
      <c r="J12" s="100">
        <v>0.35</v>
      </c>
      <c r="K12" s="100">
        <v>248.59</v>
      </c>
      <c r="L12" s="100">
        <v>26.03</v>
      </c>
      <c r="M12" s="100">
        <v>91.28</v>
      </c>
      <c r="N12" s="100">
        <v>2.1</v>
      </c>
      <c r="O12" s="100">
        <v>0</v>
      </c>
      <c r="P12" s="100">
        <v>0.28999999999999998</v>
      </c>
      <c r="Q12" s="100">
        <v>10</v>
      </c>
      <c r="R12" s="6"/>
      <c r="S12" s="6"/>
      <c r="T12" s="156"/>
      <c r="U12" s="6"/>
    </row>
    <row r="13" spans="1:21" customFormat="1">
      <c r="A13" s="163" t="s">
        <v>1300</v>
      </c>
      <c r="B13" s="100">
        <v>2.0299999999999998</v>
      </c>
      <c r="C13" s="100">
        <v>4.21</v>
      </c>
      <c r="D13" s="100">
        <v>2.96</v>
      </c>
      <c r="E13" s="100">
        <v>4.62</v>
      </c>
      <c r="F13" s="100">
        <v>3.32</v>
      </c>
      <c r="G13" s="100">
        <v>18.84</v>
      </c>
      <c r="H13" s="100">
        <v>10.62</v>
      </c>
      <c r="I13" s="100">
        <v>6.13</v>
      </c>
      <c r="J13" s="100">
        <v>0.39</v>
      </c>
      <c r="K13" s="100">
        <v>247.73</v>
      </c>
      <c r="L13" s="100">
        <v>26.02</v>
      </c>
      <c r="M13" s="100">
        <v>91.48</v>
      </c>
      <c r="N13" s="100">
        <v>2.1</v>
      </c>
      <c r="O13" s="100">
        <v>0</v>
      </c>
      <c r="P13" s="100">
        <v>0.27</v>
      </c>
      <c r="Q13" s="100">
        <v>10</v>
      </c>
      <c r="R13" s="6"/>
      <c r="S13" s="6"/>
      <c r="T13" s="156"/>
      <c r="U13" s="6"/>
    </row>
    <row r="14" spans="1:21" customFormat="1">
      <c r="A14" s="163" t="s">
        <v>1301</v>
      </c>
      <c r="B14" s="100">
        <v>2.06</v>
      </c>
      <c r="C14" s="100">
        <v>4.29</v>
      </c>
      <c r="D14" s="100">
        <v>3.05</v>
      </c>
      <c r="E14" s="100">
        <v>4.5999999999999996</v>
      </c>
      <c r="F14" s="100">
        <v>2.76</v>
      </c>
      <c r="G14" s="100">
        <v>18.84</v>
      </c>
      <c r="H14" s="100">
        <v>10.62</v>
      </c>
      <c r="I14" s="100">
        <v>6.21</v>
      </c>
      <c r="J14" s="100">
        <v>0.46</v>
      </c>
      <c r="K14" s="100">
        <v>252.25</v>
      </c>
      <c r="L14" s="100">
        <v>26.05</v>
      </c>
      <c r="M14" s="100">
        <v>91.43</v>
      </c>
      <c r="N14" s="100">
        <v>2.1</v>
      </c>
      <c r="O14" s="100">
        <v>0</v>
      </c>
      <c r="P14" s="100">
        <v>0.28000000000000003</v>
      </c>
      <c r="Q14" s="100">
        <v>10</v>
      </c>
      <c r="R14" s="6"/>
      <c r="S14" s="6"/>
      <c r="T14" s="156"/>
      <c r="U14" s="6"/>
    </row>
    <row r="15" spans="1:21" customFormat="1">
      <c r="A15" s="163" t="s">
        <v>1302</v>
      </c>
      <c r="B15" s="100">
        <v>2.02</v>
      </c>
      <c r="C15" s="100">
        <v>4.1399999999999997</v>
      </c>
      <c r="D15" s="100">
        <v>2.85</v>
      </c>
      <c r="E15" s="100">
        <v>4.82</v>
      </c>
      <c r="F15" s="100">
        <v>1.95</v>
      </c>
      <c r="G15" s="100">
        <v>18.84</v>
      </c>
      <c r="H15" s="100">
        <v>10.62</v>
      </c>
      <c r="I15" s="100">
        <v>6.1</v>
      </c>
      <c r="J15" s="100">
        <v>0.31</v>
      </c>
      <c r="K15" s="100">
        <v>246.67</v>
      </c>
      <c r="L15" s="100">
        <v>26.12</v>
      </c>
      <c r="M15" s="100">
        <v>91.52</v>
      </c>
      <c r="N15" s="100">
        <v>2.2000000000000002</v>
      </c>
      <c r="O15" s="100">
        <v>0</v>
      </c>
      <c r="P15" s="100">
        <v>0.27</v>
      </c>
      <c r="Q15" s="100">
        <v>10</v>
      </c>
      <c r="R15" s="6"/>
      <c r="S15" s="6"/>
      <c r="T15" s="156"/>
      <c r="U15" s="6"/>
    </row>
    <row r="16" spans="1:21" customFormat="1">
      <c r="A16" s="163" t="s">
        <v>1303</v>
      </c>
      <c r="B16" s="100">
        <v>2.13</v>
      </c>
      <c r="C16" s="100">
        <v>4.2699999999999996</v>
      </c>
      <c r="D16" s="100">
        <v>2.91</v>
      </c>
      <c r="E16" s="100">
        <v>4.5199999999999996</v>
      </c>
      <c r="F16" s="100">
        <v>3.08</v>
      </c>
      <c r="G16" s="100">
        <v>19.329999999999998</v>
      </c>
      <c r="H16" s="100">
        <v>10.14</v>
      </c>
      <c r="I16" s="100">
        <v>6.12</v>
      </c>
      <c r="J16" s="100">
        <v>0.38</v>
      </c>
      <c r="K16" s="100">
        <v>258.39999999999998</v>
      </c>
      <c r="L16" s="100">
        <v>26.17</v>
      </c>
      <c r="M16" s="100">
        <v>90.97</v>
      </c>
      <c r="N16" s="100">
        <v>2.2000000000000002</v>
      </c>
      <c r="O16" s="100">
        <v>0</v>
      </c>
      <c r="P16" s="100">
        <v>0.26</v>
      </c>
      <c r="Q16" s="100">
        <v>10</v>
      </c>
      <c r="R16" s="6"/>
      <c r="S16" s="6"/>
      <c r="T16" s="156"/>
      <c r="U16" s="6"/>
    </row>
    <row r="17" spans="1:21" customFormat="1">
      <c r="A17" s="163" t="s">
        <v>1304</v>
      </c>
      <c r="B17" s="100">
        <v>2.02</v>
      </c>
      <c r="C17" s="100">
        <v>4.3099999999999996</v>
      </c>
      <c r="D17" s="100">
        <v>3.18</v>
      </c>
      <c r="E17" s="100">
        <v>4.54</v>
      </c>
      <c r="F17" s="100">
        <v>1.9</v>
      </c>
      <c r="G17" s="100">
        <v>21.57</v>
      </c>
      <c r="H17" s="100">
        <v>8.5399999999999991</v>
      </c>
      <c r="I17" s="100">
        <v>6.07</v>
      </c>
      <c r="J17" s="100">
        <v>0.4</v>
      </c>
      <c r="K17" s="100">
        <v>250.32</v>
      </c>
      <c r="L17" s="100">
        <v>26.14</v>
      </c>
      <c r="M17" s="100">
        <v>91.17</v>
      </c>
      <c r="N17" s="100">
        <v>2.2999999999999998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 customFormat="1">
      <c r="A18" s="163" t="s">
        <v>1305</v>
      </c>
      <c r="B18" s="100">
        <v>2.08</v>
      </c>
      <c r="C18" s="100">
        <v>4.33</v>
      </c>
      <c r="D18" s="100">
        <v>3.11</v>
      </c>
      <c r="E18" s="100">
        <v>5.52</v>
      </c>
      <c r="F18" s="100">
        <v>2.13</v>
      </c>
      <c r="G18" s="100">
        <v>21.57</v>
      </c>
      <c r="H18" s="100">
        <v>8.5399999999999991</v>
      </c>
      <c r="I18" s="100">
        <v>5.92</v>
      </c>
      <c r="J18" s="100">
        <v>0.23</v>
      </c>
      <c r="K18" s="100">
        <v>238.82</v>
      </c>
      <c r="L18" s="100">
        <v>26.15</v>
      </c>
      <c r="M18" s="100">
        <v>91.31</v>
      </c>
      <c r="N18" s="100">
        <v>2.2999999999999998</v>
      </c>
      <c r="O18" s="100">
        <v>0</v>
      </c>
      <c r="P18" s="100">
        <v>0.25</v>
      </c>
      <c r="Q18" s="100">
        <v>10</v>
      </c>
      <c r="R18" s="6"/>
      <c r="S18" s="6"/>
      <c r="T18" s="156"/>
      <c r="U18" s="6"/>
    </row>
    <row r="19" spans="1:21" customFormat="1">
      <c r="A19" s="163" t="s">
        <v>1306</v>
      </c>
      <c r="B19" s="100">
        <v>2.17</v>
      </c>
      <c r="C19" s="100">
        <v>4.21</v>
      </c>
      <c r="D19" s="100">
        <v>2.74</v>
      </c>
      <c r="E19" s="100">
        <v>5.36</v>
      </c>
      <c r="F19" s="100">
        <v>3.41</v>
      </c>
      <c r="G19" s="100">
        <v>21.57</v>
      </c>
      <c r="H19" s="100">
        <v>8.5399999999999991</v>
      </c>
      <c r="I19" s="100">
        <v>6.02</v>
      </c>
      <c r="J19" s="100">
        <v>0.23</v>
      </c>
      <c r="K19" s="100">
        <v>247.09</v>
      </c>
      <c r="L19" s="100">
        <v>26.05</v>
      </c>
      <c r="M19" s="100">
        <v>92.02</v>
      </c>
      <c r="N19" s="100">
        <v>2.2999999999999998</v>
      </c>
      <c r="O19" s="100">
        <v>0</v>
      </c>
      <c r="P19" s="100">
        <v>0.24</v>
      </c>
      <c r="Q19" s="100">
        <v>10</v>
      </c>
      <c r="R19" s="6"/>
      <c r="S19" s="6"/>
      <c r="T19" s="156"/>
      <c r="U19" s="6"/>
    </row>
    <row r="20" spans="1:21" customFormat="1">
      <c r="A20" s="163" t="s">
        <v>1307</v>
      </c>
      <c r="B20" s="100">
        <v>2.11</v>
      </c>
      <c r="C20" s="100">
        <v>4.24</v>
      </c>
      <c r="D20" s="100">
        <v>2.88</v>
      </c>
      <c r="E20" s="100">
        <v>5.58</v>
      </c>
      <c r="F20" s="100">
        <v>2.99</v>
      </c>
      <c r="G20" s="100">
        <v>20.8</v>
      </c>
      <c r="H20" s="100">
        <v>8.41</v>
      </c>
      <c r="I20" s="100">
        <v>5.79</v>
      </c>
      <c r="J20" s="100">
        <v>0.23</v>
      </c>
      <c r="K20" s="100">
        <v>246.7</v>
      </c>
      <c r="L20" s="100">
        <v>26.03</v>
      </c>
      <c r="M20" s="100">
        <v>92.19</v>
      </c>
      <c r="N20" s="100">
        <v>2.2999999999999998</v>
      </c>
      <c r="O20" s="100">
        <v>0</v>
      </c>
      <c r="P20" s="100">
        <v>0.25</v>
      </c>
      <c r="Q20" s="100">
        <v>10</v>
      </c>
      <c r="R20" s="6"/>
      <c r="S20" s="6"/>
      <c r="T20" s="156"/>
      <c r="U20" s="6"/>
    </row>
    <row r="21" spans="1:21" customFormat="1">
      <c r="A21" s="163" t="s">
        <v>1308</v>
      </c>
      <c r="B21" s="100">
        <v>2.0099999999999998</v>
      </c>
      <c r="C21" s="100">
        <v>4.2699999999999996</v>
      </c>
      <c r="D21" s="100">
        <v>3.1</v>
      </c>
      <c r="E21" s="100">
        <v>5.36</v>
      </c>
      <c r="F21" s="100">
        <v>4.04</v>
      </c>
      <c r="G21" s="100">
        <v>17.25</v>
      </c>
      <c r="H21" s="100">
        <v>7.8</v>
      </c>
      <c r="I21" s="100">
        <v>5.61</v>
      </c>
      <c r="J21" s="100">
        <v>0.27</v>
      </c>
      <c r="K21" s="100">
        <v>244.62</v>
      </c>
      <c r="L21" s="100">
        <v>25.97</v>
      </c>
      <c r="M21" s="100">
        <v>92.16</v>
      </c>
      <c r="N21" s="100">
        <v>2.2000000000000002</v>
      </c>
      <c r="O21" s="100">
        <v>0</v>
      </c>
      <c r="P21" s="100">
        <v>0.23</v>
      </c>
      <c r="Q21" s="100">
        <v>10</v>
      </c>
      <c r="R21" s="6"/>
      <c r="S21" s="6"/>
      <c r="T21" s="156"/>
      <c r="U21" s="6"/>
    </row>
    <row r="22" spans="1:21" customFormat="1">
      <c r="A22" s="163" t="s">
        <v>1309</v>
      </c>
      <c r="B22" s="100">
        <v>1.92</v>
      </c>
      <c r="C22" s="100">
        <v>4.1900000000000004</v>
      </c>
      <c r="D22" s="100">
        <v>3.09</v>
      </c>
      <c r="E22" s="100">
        <v>5.45</v>
      </c>
      <c r="F22" s="100">
        <v>2.97</v>
      </c>
      <c r="G22" s="100">
        <v>17.25</v>
      </c>
      <c r="H22" s="100">
        <v>7.8</v>
      </c>
      <c r="I22" s="100">
        <v>5.57</v>
      </c>
      <c r="J22" s="100">
        <v>0.21</v>
      </c>
      <c r="K22" s="100">
        <v>242.26</v>
      </c>
      <c r="L22" s="100">
        <v>25.96</v>
      </c>
      <c r="M22" s="100">
        <v>92.33</v>
      </c>
      <c r="N22" s="100">
        <v>2.2999999999999998</v>
      </c>
      <c r="O22" s="100">
        <v>0</v>
      </c>
      <c r="P22" s="100">
        <v>0.25</v>
      </c>
      <c r="Q22" s="100">
        <v>10</v>
      </c>
      <c r="R22" s="6"/>
      <c r="S22" s="6"/>
      <c r="T22" s="156"/>
      <c r="U22" s="6"/>
    </row>
    <row r="23" spans="1:21" customFormat="1">
      <c r="A23" s="163" t="s">
        <v>1310</v>
      </c>
      <c r="B23" s="100">
        <v>1.65</v>
      </c>
      <c r="C23" s="100">
        <v>3.81</v>
      </c>
      <c r="D23" s="100">
        <v>2.78</v>
      </c>
      <c r="E23" s="100">
        <v>5.66</v>
      </c>
      <c r="F23" s="100">
        <v>2.14</v>
      </c>
      <c r="G23" s="100">
        <v>17.25</v>
      </c>
      <c r="H23" s="100">
        <v>7.8</v>
      </c>
      <c r="I23" s="100">
        <v>5.43</v>
      </c>
      <c r="J23" s="100">
        <v>0.26</v>
      </c>
      <c r="K23" s="100">
        <v>241.73</v>
      </c>
      <c r="L23" s="100">
        <v>26.01</v>
      </c>
      <c r="M23" s="100">
        <v>91.66</v>
      </c>
      <c r="N23" s="100">
        <v>2.2000000000000002</v>
      </c>
      <c r="O23" s="100">
        <v>0</v>
      </c>
      <c r="P23" s="100">
        <v>0.25</v>
      </c>
      <c r="Q23" s="100">
        <v>10</v>
      </c>
      <c r="R23" s="6"/>
      <c r="S23" s="6"/>
      <c r="T23" s="156"/>
      <c r="U23" s="6"/>
    </row>
    <row r="24" spans="1:21" customFormat="1">
      <c r="A24" s="163" t="s">
        <v>1311</v>
      </c>
      <c r="B24" s="100">
        <v>1.42</v>
      </c>
      <c r="C24" s="100">
        <v>3.68</v>
      </c>
      <c r="D24" s="100">
        <v>2.88</v>
      </c>
      <c r="E24" s="100">
        <v>5.94</v>
      </c>
      <c r="F24" s="100">
        <v>1.58</v>
      </c>
      <c r="G24" s="100">
        <v>16.670000000000002</v>
      </c>
      <c r="H24" s="100">
        <v>7.26</v>
      </c>
      <c r="I24" s="100">
        <v>5.49</v>
      </c>
      <c r="J24" s="100">
        <v>0.2</v>
      </c>
      <c r="K24" s="100">
        <v>244.34</v>
      </c>
      <c r="L24" s="100">
        <v>26.01</v>
      </c>
      <c r="M24" s="100">
        <v>91.58</v>
      </c>
      <c r="N24" s="100">
        <v>2.2000000000000002</v>
      </c>
      <c r="O24" s="100">
        <v>0</v>
      </c>
      <c r="P24" s="100">
        <v>0.25</v>
      </c>
      <c r="Q24" s="100">
        <v>10</v>
      </c>
      <c r="R24" s="6"/>
      <c r="S24" s="6"/>
      <c r="T24" s="156"/>
      <c r="U24" s="6"/>
    </row>
    <row r="25" spans="1:21" customFormat="1">
      <c r="A25" s="163" t="s">
        <v>1312</v>
      </c>
      <c r="B25" s="100">
        <v>1.29</v>
      </c>
      <c r="C25" s="100">
        <v>3.58</v>
      </c>
      <c r="D25" s="100">
        <v>2.89</v>
      </c>
      <c r="E25" s="100">
        <v>5.9</v>
      </c>
      <c r="F25" s="100">
        <v>1.45</v>
      </c>
      <c r="G25" s="100">
        <v>14.04</v>
      </c>
      <c r="H25" s="100">
        <v>5.54</v>
      </c>
      <c r="I25" s="100">
        <v>5.23</v>
      </c>
      <c r="J25" s="100">
        <v>0.28000000000000003</v>
      </c>
      <c r="K25" s="100">
        <v>246.53</v>
      </c>
      <c r="L25" s="100">
        <v>25.98</v>
      </c>
      <c r="M25" s="100">
        <v>91.55</v>
      </c>
      <c r="N25" s="100">
        <v>2.2999999999999998</v>
      </c>
      <c r="O25" s="100">
        <v>0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163" t="s">
        <v>1313</v>
      </c>
      <c r="B26" s="100">
        <v>1.26</v>
      </c>
      <c r="C26" s="100">
        <v>3.53</v>
      </c>
      <c r="D26" s="100">
        <v>2.84</v>
      </c>
      <c r="E26" s="100">
        <v>5.6</v>
      </c>
      <c r="F26" s="100">
        <v>2.5099999999999998</v>
      </c>
      <c r="G26" s="100">
        <v>14.04</v>
      </c>
      <c r="H26" s="100">
        <v>5.54</v>
      </c>
      <c r="I26" s="100">
        <v>5.13</v>
      </c>
      <c r="J26" s="100">
        <v>0.27</v>
      </c>
      <c r="K26" s="100">
        <v>250.14</v>
      </c>
      <c r="L26" s="100">
        <v>25.97</v>
      </c>
      <c r="M26" s="100">
        <v>91.72</v>
      </c>
      <c r="N26" s="100">
        <v>2.1</v>
      </c>
      <c r="O26" s="100">
        <v>0</v>
      </c>
      <c r="P26" s="100">
        <v>0.23</v>
      </c>
      <c r="Q26" s="100">
        <v>10</v>
      </c>
      <c r="R26" s="6"/>
      <c r="S26" s="6"/>
      <c r="T26" s="156"/>
      <c r="U26" s="6"/>
    </row>
    <row r="27" spans="1:21" customFormat="1">
      <c r="A27" s="163" t="s">
        <v>1314</v>
      </c>
      <c r="B27" s="100">
        <v>1.27</v>
      </c>
      <c r="C27" s="100">
        <v>3.5</v>
      </c>
      <c r="D27" s="100">
        <v>2.77</v>
      </c>
      <c r="E27" s="100">
        <v>5.75</v>
      </c>
      <c r="F27" s="100">
        <v>2.11</v>
      </c>
      <c r="G27" s="100">
        <v>14.04</v>
      </c>
      <c r="H27" s="100">
        <v>5.54</v>
      </c>
      <c r="I27" s="100">
        <v>4.99</v>
      </c>
      <c r="J27" s="100">
        <v>0.35</v>
      </c>
      <c r="K27" s="100">
        <v>251.18</v>
      </c>
      <c r="L27" s="100">
        <v>25.91</v>
      </c>
      <c r="M27" s="100">
        <v>91.8</v>
      </c>
      <c r="N27" s="100">
        <v>2.1</v>
      </c>
      <c r="O27" s="100">
        <v>0</v>
      </c>
      <c r="P27" s="100">
        <v>0.22</v>
      </c>
      <c r="Q27" s="100">
        <v>10</v>
      </c>
      <c r="R27" s="6"/>
      <c r="S27" s="6"/>
      <c r="T27" s="156"/>
      <c r="U27" s="6"/>
    </row>
    <row r="28" spans="1:21" customFormat="1">
      <c r="A28" s="163" t="s">
        <v>1315</v>
      </c>
      <c r="B28" s="100">
        <v>1.24</v>
      </c>
      <c r="C28" s="100">
        <v>3.3</v>
      </c>
      <c r="D28" s="100">
        <v>2.4300000000000002</v>
      </c>
      <c r="E28" s="100">
        <v>5.92</v>
      </c>
      <c r="F28" s="100">
        <v>1.34</v>
      </c>
      <c r="G28" s="100">
        <v>14.88</v>
      </c>
      <c r="H28" s="100">
        <v>5.37</v>
      </c>
      <c r="I28" s="100">
        <v>4.67</v>
      </c>
      <c r="J28" s="100">
        <v>0.45</v>
      </c>
      <c r="K28" s="100">
        <v>248.47</v>
      </c>
      <c r="L28" s="100">
        <v>25.99</v>
      </c>
      <c r="M28" s="100">
        <v>90.83</v>
      </c>
      <c r="N28" s="100">
        <v>2.1</v>
      </c>
      <c r="O28" s="100">
        <v>0</v>
      </c>
      <c r="P28" s="100">
        <v>0.21</v>
      </c>
      <c r="Q28" s="100">
        <v>10</v>
      </c>
      <c r="R28" s="6"/>
      <c r="S28" s="6"/>
      <c r="T28" s="156"/>
      <c r="U28" s="6"/>
    </row>
    <row r="29" spans="1:21" customFormat="1">
      <c r="A29" s="163" t="s">
        <v>1316</v>
      </c>
      <c r="B29" s="100">
        <v>1.24</v>
      </c>
      <c r="C29" s="100">
        <v>3.36</v>
      </c>
      <c r="D29" s="100">
        <v>2.54</v>
      </c>
      <c r="E29" s="100">
        <v>5.6</v>
      </c>
      <c r="F29" s="100">
        <v>1.86</v>
      </c>
      <c r="G29" s="100">
        <v>18.760000000000002</v>
      </c>
      <c r="H29" s="100">
        <v>4.79</v>
      </c>
      <c r="I29" s="100">
        <v>4.58</v>
      </c>
      <c r="J29" s="100">
        <v>0.4</v>
      </c>
      <c r="K29" s="100">
        <v>255.76</v>
      </c>
      <c r="L29" s="100">
        <v>25.99</v>
      </c>
      <c r="M29" s="100">
        <v>90.81</v>
      </c>
      <c r="N29" s="100">
        <v>2.1</v>
      </c>
      <c r="O29" s="100">
        <v>0</v>
      </c>
      <c r="P29" s="100">
        <v>0.21</v>
      </c>
      <c r="Q29" s="100">
        <v>10</v>
      </c>
      <c r="R29" s="6"/>
      <c r="S29" s="6"/>
      <c r="T29" s="156"/>
      <c r="U29" s="6"/>
    </row>
    <row r="30" spans="1:21" customFormat="1">
      <c r="A30" s="163" t="s">
        <v>1317</v>
      </c>
      <c r="B30" s="100">
        <v>1.24</v>
      </c>
      <c r="C30" s="100">
        <v>3.29</v>
      </c>
      <c r="D30" s="100">
        <v>2.42</v>
      </c>
      <c r="E30" s="100">
        <v>5.9</v>
      </c>
      <c r="F30" s="100">
        <v>2.4</v>
      </c>
      <c r="G30" s="100">
        <v>18.760000000000002</v>
      </c>
      <c r="H30" s="100">
        <v>4.79</v>
      </c>
      <c r="I30" s="100">
        <v>4.5599999999999996</v>
      </c>
      <c r="J30" s="100">
        <v>0.39</v>
      </c>
      <c r="K30" s="100">
        <v>244.79</v>
      </c>
      <c r="L30" s="100">
        <v>26.05</v>
      </c>
      <c r="M30" s="100">
        <v>90.7</v>
      </c>
      <c r="N30" s="100">
        <v>2.2000000000000002</v>
      </c>
      <c r="O30" s="100">
        <v>0</v>
      </c>
      <c r="P30" s="100">
        <v>0.21</v>
      </c>
      <c r="Q30" s="100">
        <v>10</v>
      </c>
      <c r="R30" s="6"/>
      <c r="S30" s="6"/>
      <c r="T30" s="156"/>
      <c r="U30" s="6"/>
    </row>
    <row r="31" spans="1:21" customFormat="1">
      <c r="A31" s="163" t="s">
        <v>1318</v>
      </c>
      <c r="B31" s="100">
        <v>1.24</v>
      </c>
      <c r="C31" s="100">
        <v>3.24</v>
      </c>
      <c r="D31" s="100">
        <v>2.3199999999999998</v>
      </c>
      <c r="E31" s="100">
        <v>5.92</v>
      </c>
      <c r="F31" s="100">
        <v>1.54</v>
      </c>
      <c r="G31" s="100">
        <v>18.760000000000002</v>
      </c>
      <c r="H31" s="100">
        <v>4.79</v>
      </c>
      <c r="I31" s="100">
        <v>4.4800000000000004</v>
      </c>
      <c r="J31" s="100">
        <v>0.33</v>
      </c>
      <c r="K31" s="100">
        <v>243.71</v>
      </c>
      <c r="L31" s="100">
        <v>26.11</v>
      </c>
      <c r="M31" s="100">
        <v>90.7</v>
      </c>
      <c r="N31" s="100">
        <v>3.9</v>
      </c>
      <c r="O31" s="100">
        <v>0</v>
      </c>
      <c r="P31" s="100">
        <v>0.2</v>
      </c>
      <c r="Q31" s="100">
        <v>10</v>
      </c>
      <c r="R31" s="6"/>
      <c r="S31" s="6"/>
      <c r="T31" s="156"/>
      <c r="U31" s="6"/>
    </row>
    <row r="32" spans="1:21" customFormat="1">
      <c r="A32" s="163" t="s">
        <v>1319</v>
      </c>
      <c r="B32" s="100">
        <v>1.24</v>
      </c>
      <c r="C32" s="100">
        <v>3.28</v>
      </c>
      <c r="D32" s="100">
        <v>2.38</v>
      </c>
      <c r="E32" s="100">
        <v>6.12</v>
      </c>
      <c r="F32" s="100">
        <v>1.36</v>
      </c>
      <c r="G32" s="100">
        <v>17.86</v>
      </c>
      <c r="H32" s="100">
        <v>5.36</v>
      </c>
      <c r="I32" s="100">
        <v>4.34</v>
      </c>
      <c r="J32" s="100">
        <v>0.31</v>
      </c>
      <c r="K32" s="100">
        <v>247.55</v>
      </c>
      <c r="L32" s="100">
        <v>26.04</v>
      </c>
      <c r="M32" s="100">
        <v>91.69</v>
      </c>
      <c r="N32" s="100">
        <v>9.8000000000000007</v>
      </c>
      <c r="O32" s="100">
        <v>0</v>
      </c>
      <c r="P32" s="100">
        <v>0.2</v>
      </c>
      <c r="Q32" s="100">
        <v>10</v>
      </c>
      <c r="R32" s="6"/>
      <c r="S32" s="6"/>
      <c r="T32" s="156"/>
      <c r="U32" s="6"/>
    </row>
    <row r="33" spans="1:21" customFormat="1">
      <c r="A33" s="163" t="s">
        <v>1320</v>
      </c>
      <c r="B33" s="100">
        <v>1.24</v>
      </c>
      <c r="C33" s="100">
        <v>3.25</v>
      </c>
      <c r="D33" s="100">
        <v>2.34</v>
      </c>
      <c r="E33" s="100">
        <v>6.03</v>
      </c>
      <c r="F33" s="100">
        <v>1.43</v>
      </c>
      <c r="G33" s="100">
        <v>13.68</v>
      </c>
      <c r="H33" s="100">
        <v>7.16</v>
      </c>
      <c r="I33" s="100">
        <v>4.2300000000000004</v>
      </c>
      <c r="J33" s="100">
        <v>0.43</v>
      </c>
      <c r="K33" s="100">
        <v>250.76</v>
      </c>
      <c r="L33" s="100">
        <v>25.96</v>
      </c>
      <c r="M33" s="100">
        <v>92.51</v>
      </c>
      <c r="N33" s="100">
        <v>30.6</v>
      </c>
      <c r="O33" s="100">
        <v>0</v>
      </c>
      <c r="P33" s="100">
        <v>0.2</v>
      </c>
      <c r="Q33" s="100">
        <v>10</v>
      </c>
      <c r="R33" s="6"/>
      <c r="S33" s="6"/>
      <c r="T33" s="156"/>
      <c r="U33" s="6"/>
    </row>
    <row r="34" spans="1:21" customFormat="1">
      <c r="A34" s="163" t="s">
        <v>1321</v>
      </c>
      <c r="B34" s="100">
        <v>1.24</v>
      </c>
      <c r="C34" s="100">
        <v>3.34</v>
      </c>
      <c r="D34" s="100">
        <v>2.5099999999999998</v>
      </c>
      <c r="E34" s="100">
        <v>5.82</v>
      </c>
      <c r="F34" s="100">
        <v>2.56</v>
      </c>
      <c r="G34" s="100">
        <v>13.68</v>
      </c>
      <c r="H34" s="100">
        <v>7.16</v>
      </c>
      <c r="I34" s="100">
        <v>4.1500000000000004</v>
      </c>
      <c r="J34" s="100">
        <v>0.35</v>
      </c>
      <c r="K34" s="100">
        <v>253.78</v>
      </c>
      <c r="L34" s="100">
        <v>26.19</v>
      </c>
      <c r="M34" s="100">
        <v>91.48</v>
      </c>
      <c r="N34" s="100">
        <v>46.7</v>
      </c>
      <c r="O34" s="100">
        <v>0</v>
      </c>
      <c r="P34" s="100">
        <v>0.2</v>
      </c>
      <c r="Q34" s="100">
        <v>10</v>
      </c>
      <c r="R34" s="6"/>
      <c r="S34" s="6"/>
      <c r="T34" s="156"/>
      <c r="U34" s="6"/>
    </row>
    <row r="35" spans="1:21" customFormat="1">
      <c r="A35" s="163" t="s">
        <v>1322</v>
      </c>
      <c r="B35" s="100">
        <v>1.24</v>
      </c>
      <c r="C35" s="100">
        <v>3.31</v>
      </c>
      <c r="D35" s="100">
        <v>2.4500000000000002</v>
      </c>
      <c r="E35" s="100">
        <v>5.82</v>
      </c>
      <c r="F35" s="100">
        <v>1.56</v>
      </c>
      <c r="G35" s="100">
        <v>13.68</v>
      </c>
      <c r="H35" s="100">
        <v>7.16</v>
      </c>
      <c r="I35" s="100">
        <v>4.1900000000000004</v>
      </c>
      <c r="J35" s="100">
        <v>0.33</v>
      </c>
      <c r="K35" s="100">
        <v>256.02999999999997</v>
      </c>
      <c r="L35" s="100">
        <v>26.37</v>
      </c>
      <c r="M35" s="100">
        <v>90.16</v>
      </c>
      <c r="N35" s="100">
        <v>45.9</v>
      </c>
      <c r="O35" s="100">
        <v>0</v>
      </c>
      <c r="P35" s="100">
        <v>0.2</v>
      </c>
      <c r="Q35" s="100">
        <v>10</v>
      </c>
      <c r="R35" s="6"/>
      <c r="S35" s="6"/>
      <c r="T35" s="156"/>
      <c r="U35" s="6"/>
    </row>
    <row r="36" spans="1:21" customFormat="1">
      <c r="A36" s="163" t="s">
        <v>1323</v>
      </c>
      <c r="B36" s="100">
        <v>1.24</v>
      </c>
      <c r="C36" s="100">
        <v>3.24</v>
      </c>
      <c r="D36" s="100">
        <v>2.31</v>
      </c>
      <c r="E36" s="100">
        <v>5.68</v>
      </c>
      <c r="F36" s="100">
        <v>1.53</v>
      </c>
      <c r="G36" s="100">
        <v>14.57</v>
      </c>
      <c r="H36" s="100">
        <v>7.21</v>
      </c>
      <c r="I36" s="100">
        <v>4.16</v>
      </c>
      <c r="J36" s="100">
        <v>0.34</v>
      </c>
      <c r="K36" s="100">
        <v>248.67</v>
      </c>
      <c r="L36" s="100">
        <v>26.53</v>
      </c>
      <c r="M36" s="100">
        <v>89.28</v>
      </c>
      <c r="N36" s="100">
        <v>71</v>
      </c>
      <c r="O36" s="100">
        <v>0</v>
      </c>
      <c r="P36" s="100">
        <v>0.21</v>
      </c>
      <c r="Q36" s="100">
        <v>10</v>
      </c>
      <c r="R36" s="6"/>
      <c r="S36" s="6"/>
      <c r="T36" s="156"/>
      <c r="U36" s="6"/>
    </row>
    <row r="37" spans="1:21" customFormat="1">
      <c r="A37" s="163" t="s">
        <v>1324</v>
      </c>
      <c r="B37" s="100">
        <v>1.24</v>
      </c>
      <c r="C37" s="100">
        <v>3.22</v>
      </c>
      <c r="D37" s="100">
        <v>2.27</v>
      </c>
      <c r="E37" s="100">
        <v>5.78</v>
      </c>
      <c r="F37" s="100">
        <v>1.82</v>
      </c>
      <c r="G37" s="100">
        <v>18.670000000000002</v>
      </c>
      <c r="H37" s="100">
        <v>7.42</v>
      </c>
      <c r="I37" s="100">
        <v>4.2300000000000004</v>
      </c>
      <c r="J37" s="100">
        <v>0.28999999999999998</v>
      </c>
      <c r="K37" s="100">
        <v>250.33</v>
      </c>
      <c r="L37" s="100">
        <v>27.13</v>
      </c>
      <c r="M37" s="100">
        <v>86.99</v>
      </c>
      <c r="N37" s="100">
        <v>87.4</v>
      </c>
      <c r="O37" s="100">
        <v>0</v>
      </c>
      <c r="P37" s="100">
        <v>0.22</v>
      </c>
      <c r="Q37" s="100">
        <v>10</v>
      </c>
      <c r="R37" s="6"/>
      <c r="S37" s="6"/>
      <c r="T37" s="156"/>
      <c r="U37" s="6"/>
    </row>
    <row r="38" spans="1:21" customFormat="1">
      <c r="A38" s="163" t="s">
        <v>1325</v>
      </c>
      <c r="B38" s="100">
        <v>1.24</v>
      </c>
      <c r="C38" s="100">
        <v>3.2</v>
      </c>
      <c r="D38" s="100">
        <v>2.2400000000000002</v>
      </c>
      <c r="E38" s="100">
        <v>6.02</v>
      </c>
      <c r="F38" s="100">
        <v>2.89</v>
      </c>
      <c r="G38" s="100">
        <v>18.670000000000002</v>
      </c>
      <c r="H38" s="100">
        <v>7.42</v>
      </c>
      <c r="I38" s="100">
        <v>4.41</v>
      </c>
      <c r="J38" s="100">
        <v>0.48</v>
      </c>
      <c r="K38" s="100">
        <v>245.31</v>
      </c>
      <c r="L38" s="100">
        <v>27.13</v>
      </c>
      <c r="M38" s="100">
        <v>87.23</v>
      </c>
      <c r="N38" s="100">
        <v>87.6</v>
      </c>
      <c r="O38" s="100">
        <v>0</v>
      </c>
      <c r="P38" s="100">
        <v>0.23</v>
      </c>
      <c r="Q38" s="100">
        <v>10</v>
      </c>
      <c r="R38" s="6"/>
      <c r="S38" s="6"/>
      <c r="T38" s="156"/>
      <c r="U38" s="6"/>
    </row>
    <row r="39" spans="1:21" customFormat="1">
      <c r="A39" s="163" t="s">
        <v>1326</v>
      </c>
      <c r="B39" s="100">
        <v>1.24</v>
      </c>
      <c r="C39" s="100">
        <v>3.22</v>
      </c>
      <c r="D39" s="100">
        <v>2.27</v>
      </c>
      <c r="E39" s="100">
        <v>6.04</v>
      </c>
      <c r="F39" s="100">
        <v>1.19</v>
      </c>
      <c r="G39" s="100">
        <v>18.670000000000002</v>
      </c>
      <c r="H39" s="100">
        <v>7.42</v>
      </c>
      <c r="I39" s="100">
        <v>4.57</v>
      </c>
      <c r="J39" s="100">
        <v>0.49</v>
      </c>
      <c r="K39" s="100">
        <v>249.35</v>
      </c>
      <c r="L39" s="100">
        <v>27.5</v>
      </c>
      <c r="M39" s="100">
        <v>85.52</v>
      </c>
      <c r="N39" s="100">
        <v>103.6</v>
      </c>
      <c r="O39" s="100">
        <v>0</v>
      </c>
      <c r="P39" s="100">
        <v>0.24</v>
      </c>
      <c r="Q39" s="100">
        <v>10</v>
      </c>
      <c r="R39" s="6"/>
      <c r="S39" s="6"/>
      <c r="T39" s="156"/>
      <c r="U39" s="6"/>
    </row>
    <row r="40" spans="1:21" customFormat="1">
      <c r="A40" s="163" t="s">
        <v>1327</v>
      </c>
      <c r="B40" s="100">
        <v>1.24</v>
      </c>
      <c r="C40" s="100">
        <v>3.24</v>
      </c>
      <c r="D40" s="100">
        <v>2.31</v>
      </c>
      <c r="E40" s="100">
        <v>5.99</v>
      </c>
      <c r="F40" s="100">
        <v>1.66</v>
      </c>
      <c r="G40" s="100">
        <v>19.84</v>
      </c>
      <c r="H40" s="100">
        <v>8.24</v>
      </c>
      <c r="I40" s="100">
        <v>4.7300000000000004</v>
      </c>
      <c r="J40" s="100">
        <v>0.56999999999999995</v>
      </c>
      <c r="K40" s="100">
        <v>258.44</v>
      </c>
      <c r="L40" s="100">
        <v>28.41</v>
      </c>
      <c r="M40" s="100">
        <v>82.08</v>
      </c>
      <c r="N40" s="100">
        <v>162.19999999999999</v>
      </c>
      <c r="O40" s="100">
        <v>0</v>
      </c>
      <c r="P40" s="100">
        <v>0.25</v>
      </c>
      <c r="Q40" s="100">
        <v>10</v>
      </c>
      <c r="R40" s="6"/>
      <c r="S40" s="6"/>
      <c r="T40" s="156"/>
      <c r="U40" s="6"/>
    </row>
    <row r="41" spans="1:21" customFormat="1">
      <c r="A41" s="163" t="s">
        <v>1328</v>
      </c>
      <c r="B41" s="100">
        <v>1.24</v>
      </c>
      <c r="C41" s="100">
        <v>3.13</v>
      </c>
      <c r="D41" s="100">
        <v>2.11</v>
      </c>
      <c r="E41" s="100">
        <v>5.81</v>
      </c>
      <c r="F41" s="100">
        <v>2.06</v>
      </c>
      <c r="G41" s="100">
        <v>25.23</v>
      </c>
      <c r="H41" s="100">
        <v>11.02</v>
      </c>
      <c r="I41" s="100">
        <v>4.93</v>
      </c>
      <c r="J41" s="100">
        <v>0.74</v>
      </c>
      <c r="K41" s="100">
        <v>255.51</v>
      </c>
      <c r="L41" s="100">
        <v>28.91</v>
      </c>
      <c r="M41" s="100">
        <v>79.63</v>
      </c>
      <c r="N41" s="100">
        <v>178.1</v>
      </c>
      <c r="O41" s="100">
        <v>0</v>
      </c>
      <c r="P41" s="100">
        <v>0.26</v>
      </c>
      <c r="Q41" s="100">
        <v>10</v>
      </c>
      <c r="R41" s="6"/>
      <c r="S41" s="6"/>
      <c r="T41" s="156"/>
      <c r="U41" s="6"/>
    </row>
    <row r="42" spans="1:21" customFormat="1">
      <c r="A42" s="163" t="s">
        <v>1329</v>
      </c>
      <c r="B42" s="100">
        <v>1.24</v>
      </c>
      <c r="C42" s="100">
        <v>3.3</v>
      </c>
      <c r="D42" s="100">
        <v>2.42</v>
      </c>
      <c r="E42" s="100">
        <v>5.74</v>
      </c>
      <c r="F42" s="100">
        <v>1.21</v>
      </c>
      <c r="G42" s="100">
        <v>25.23</v>
      </c>
      <c r="H42" s="100">
        <v>11.02</v>
      </c>
      <c r="I42" s="100">
        <v>5.07</v>
      </c>
      <c r="J42" s="100">
        <v>0.85</v>
      </c>
      <c r="K42" s="100">
        <v>255.32</v>
      </c>
      <c r="L42" s="100">
        <v>28.99</v>
      </c>
      <c r="M42" s="100">
        <v>78.900000000000006</v>
      </c>
      <c r="N42" s="100">
        <v>134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163" t="s">
        <v>1330</v>
      </c>
      <c r="B43" s="100">
        <v>1.24</v>
      </c>
      <c r="C43" s="100">
        <v>3.3</v>
      </c>
      <c r="D43" s="100">
        <v>2.4300000000000002</v>
      </c>
      <c r="E43" s="100">
        <v>5.83</v>
      </c>
      <c r="F43" s="100">
        <v>2.83</v>
      </c>
      <c r="G43" s="100">
        <v>25.23</v>
      </c>
      <c r="H43" s="100">
        <v>11.02</v>
      </c>
      <c r="I43" s="100">
        <v>5.14</v>
      </c>
      <c r="J43" s="100">
        <v>0.79</v>
      </c>
      <c r="K43" s="100">
        <v>258.44</v>
      </c>
      <c r="L43" s="100">
        <v>29.08</v>
      </c>
      <c r="M43" s="100">
        <v>78.52</v>
      </c>
      <c r="N43" s="100">
        <v>152.4</v>
      </c>
      <c r="O43" s="100">
        <v>0</v>
      </c>
      <c r="P43" s="100">
        <v>0.26</v>
      </c>
      <c r="Q43" s="100">
        <v>10</v>
      </c>
      <c r="R43" s="6"/>
      <c r="S43" s="6"/>
      <c r="T43" s="156"/>
      <c r="U43" s="6"/>
    </row>
    <row r="44" spans="1:21" customFormat="1">
      <c r="A44" s="163" t="s">
        <v>1331</v>
      </c>
      <c r="B44" s="100">
        <v>1.24</v>
      </c>
      <c r="C44" s="100">
        <v>3.14</v>
      </c>
      <c r="D44" s="100">
        <v>2.13</v>
      </c>
      <c r="E44" s="100">
        <v>5.75</v>
      </c>
      <c r="F44" s="100">
        <v>3.59</v>
      </c>
      <c r="G44" s="100">
        <v>26.29</v>
      </c>
      <c r="H44" s="100">
        <v>11.19</v>
      </c>
      <c r="I44" s="100">
        <v>5.26</v>
      </c>
      <c r="J44" s="100">
        <v>0.93</v>
      </c>
      <c r="K44" s="100">
        <v>263.04000000000002</v>
      </c>
      <c r="L44" s="100">
        <v>29.49</v>
      </c>
      <c r="M44" s="100">
        <v>75.78</v>
      </c>
      <c r="N44" s="100">
        <v>180.1</v>
      </c>
      <c r="O44" s="100">
        <v>0</v>
      </c>
      <c r="P44" s="100">
        <v>0.26</v>
      </c>
      <c r="Q44" s="100">
        <v>10</v>
      </c>
      <c r="R44" s="6"/>
      <c r="S44" s="6"/>
      <c r="T44" s="156"/>
      <c r="U44" s="6"/>
    </row>
    <row r="45" spans="1:21" customFormat="1">
      <c r="A45" s="163" t="s">
        <v>1332</v>
      </c>
      <c r="B45" s="100">
        <v>1.24</v>
      </c>
      <c r="C45" s="100">
        <v>3.17</v>
      </c>
      <c r="D45" s="100">
        <v>2.17</v>
      </c>
      <c r="E45" s="100">
        <v>5.79</v>
      </c>
      <c r="F45" s="100">
        <v>3.86</v>
      </c>
      <c r="G45" s="100">
        <v>31.17</v>
      </c>
      <c r="H45" s="100">
        <v>11.74</v>
      </c>
      <c r="I45" s="100">
        <v>5.55</v>
      </c>
      <c r="J45" s="100">
        <v>0.9</v>
      </c>
      <c r="K45" s="100">
        <v>260.02</v>
      </c>
      <c r="L45" s="100">
        <v>29.65</v>
      </c>
      <c r="M45" s="100">
        <v>75.38</v>
      </c>
      <c r="N45" s="100">
        <v>208.9</v>
      </c>
      <c r="O45" s="100">
        <v>0</v>
      </c>
      <c r="P45" s="100">
        <v>0.26</v>
      </c>
      <c r="Q45" s="100">
        <v>10</v>
      </c>
      <c r="R45" s="6"/>
      <c r="S45" s="6"/>
      <c r="T45" s="156"/>
      <c r="U45" s="6"/>
    </row>
    <row r="46" spans="1:21" customFormat="1">
      <c r="A46" s="163" t="s">
        <v>1333</v>
      </c>
      <c r="B46" s="100">
        <v>1.24</v>
      </c>
      <c r="C46" s="100">
        <v>3.26</v>
      </c>
      <c r="D46" s="100">
        <v>2.36</v>
      </c>
      <c r="E46" s="100">
        <v>5.7</v>
      </c>
      <c r="F46" s="100">
        <v>3.57</v>
      </c>
      <c r="G46" s="100">
        <v>31.17</v>
      </c>
      <c r="H46" s="100">
        <v>11.74</v>
      </c>
      <c r="I46" s="100">
        <v>5.74</v>
      </c>
      <c r="J46" s="100">
        <v>1.03</v>
      </c>
      <c r="K46" s="100">
        <v>254.05</v>
      </c>
      <c r="L46" s="100">
        <v>29.34</v>
      </c>
      <c r="M46" s="100">
        <v>74.58</v>
      </c>
      <c r="N46" s="100">
        <v>227.6</v>
      </c>
      <c r="O46" s="100">
        <v>0</v>
      </c>
      <c r="P46" s="100">
        <v>0.25</v>
      </c>
      <c r="Q46" s="100">
        <v>10</v>
      </c>
      <c r="R46" s="6"/>
      <c r="S46" s="6"/>
      <c r="T46" s="156"/>
      <c r="U46" s="6"/>
    </row>
    <row r="47" spans="1:21" customFormat="1">
      <c r="A47" s="163" t="s">
        <v>1334</v>
      </c>
      <c r="B47" s="100">
        <v>1.24</v>
      </c>
      <c r="C47" s="100">
        <v>3.29</v>
      </c>
      <c r="D47" s="100">
        <v>2.42</v>
      </c>
      <c r="E47" s="100">
        <v>5.16</v>
      </c>
      <c r="F47" s="100">
        <v>4.0199999999999996</v>
      </c>
      <c r="G47" s="100">
        <v>31.17</v>
      </c>
      <c r="H47" s="100">
        <v>11.74</v>
      </c>
      <c r="I47" s="100">
        <v>5.94</v>
      </c>
      <c r="J47" s="100">
        <v>0.9</v>
      </c>
      <c r="K47" s="100">
        <v>262.35000000000002</v>
      </c>
      <c r="L47" s="100">
        <v>29.31</v>
      </c>
      <c r="M47" s="100">
        <v>74.5</v>
      </c>
      <c r="N47" s="100">
        <v>239.9</v>
      </c>
      <c r="O47" s="100">
        <v>0</v>
      </c>
      <c r="P47" s="100">
        <v>0.26</v>
      </c>
      <c r="Q47" s="100">
        <v>10</v>
      </c>
      <c r="R47" s="6"/>
      <c r="S47" s="6"/>
      <c r="T47" s="156"/>
      <c r="U47" s="6"/>
    </row>
    <row r="48" spans="1:21" customFormat="1">
      <c r="A48" s="163" t="s">
        <v>1335</v>
      </c>
      <c r="B48" s="100">
        <v>1.24</v>
      </c>
      <c r="C48" s="100">
        <v>3.2</v>
      </c>
      <c r="D48" s="100">
        <v>2.25</v>
      </c>
      <c r="E48" s="100">
        <v>5.44</v>
      </c>
      <c r="F48" s="100">
        <v>2.74</v>
      </c>
      <c r="G48" s="100">
        <v>32.07</v>
      </c>
      <c r="H48" s="100">
        <v>12.65</v>
      </c>
      <c r="I48" s="100">
        <v>5.95</v>
      </c>
      <c r="J48" s="100">
        <v>1.03</v>
      </c>
      <c r="K48" s="100">
        <v>256.62</v>
      </c>
      <c r="L48" s="100">
        <v>29.24</v>
      </c>
      <c r="M48" s="100">
        <v>74.760000000000005</v>
      </c>
      <c r="N48" s="100">
        <v>284.39999999999998</v>
      </c>
      <c r="O48" s="100">
        <v>0</v>
      </c>
      <c r="P48" s="100">
        <v>0.26</v>
      </c>
      <c r="Q48" s="100">
        <v>10</v>
      </c>
      <c r="R48" s="6"/>
      <c r="S48" s="6"/>
      <c r="T48" s="156"/>
      <c r="U48" s="6"/>
    </row>
    <row r="49" spans="1:21" customFormat="1">
      <c r="A49" s="163" t="s">
        <v>1336</v>
      </c>
      <c r="B49" s="100">
        <v>1.24</v>
      </c>
      <c r="C49" s="100">
        <v>3.18</v>
      </c>
      <c r="D49" s="100">
        <v>2.2000000000000002</v>
      </c>
      <c r="E49" s="100">
        <v>4.5199999999999996</v>
      </c>
      <c r="F49" s="100">
        <v>3.97</v>
      </c>
      <c r="G49" s="100">
        <v>36.229999999999997</v>
      </c>
      <c r="H49" s="100">
        <v>15.53</v>
      </c>
      <c r="I49" s="100">
        <v>5.95</v>
      </c>
      <c r="J49" s="100">
        <v>1.01</v>
      </c>
      <c r="K49" s="100">
        <v>273.8</v>
      </c>
      <c r="L49" s="100">
        <v>29.67</v>
      </c>
      <c r="M49" s="100">
        <v>74.33</v>
      </c>
      <c r="N49" s="100">
        <v>255.3</v>
      </c>
      <c r="O49" s="100">
        <v>0</v>
      </c>
      <c r="P49" s="100">
        <v>0.26</v>
      </c>
      <c r="Q49" s="100">
        <v>10</v>
      </c>
      <c r="R49" s="6"/>
      <c r="S49" s="6"/>
      <c r="T49" s="156"/>
      <c r="U49" s="6"/>
    </row>
    <row r="50" spans="1:21" customFormat="1">
      <c r="A50" s="163" t="s">
        <v>1337</v>
      </c>
      <c r="B50" s="100">
        <v>1.24</v>
      </c>
      <c r="C50" s="100">
        <v>3.27</v>
      </c>
      <c r="D50" s="100">
        <v>2.38</v>
      </c>
      <c r="E50" s="100">
        <v>5.32</v>
      </c>
      <c r="F50" s="100">
        <v>3.8</v>
      </c>
      <c r="G50" s="100">
        <v>36.229999999999997</v>
      </c>
      <c r="H50" s="100">
        <v>15.53</v>
      </c>
      <c r="I50" s="100">
        <v>5.91</v>
      </c>
      <c r="J50" s="100">
        <v>1.17</v>
      </c>
      <c r="K50" s="100">
        <v>269.76</v>
      </c>
      <c r="L50" s="100">
        <v>30.14</v>
      </c>
      <c r="M50" s="100">
        <v>71.52</v>
      </c>
      <c r="N50" s="100">
        <v>249.2</v>
      </c>
      <c r="O50" s="100">
        <v>0</v>
      </c>
      <c r="P50" s="100">
        <v>0.25</v>
      </c>
      <c r="Q50" s="100">
        <v>10</v>
      </c>
      <c r="R50" s="6"/>
      <c r="S50" s="6"/>
      <c r="T50" s="156"/>
      <c r="U50" s="6"/>
    </row>
    <row r="51" spans="1:21" customFormat="1">
      <c r="A51" s="163" t="s">
        <v>1338</v>
      </c>
      <c r="B51" s="100">
        <v>1.24</v>
      </c>
      <c r="C51" s="100">
        <v>3.33</v>
      </c>
      <c r="D51" s="100">
        <v>2.4900000000000002</v>
      </c>
      <c r="E51" s="100">
        <v>5.19</v>
      </c>
      <c r="F51" s="100">
        <v>4.6900000000000004</v>
      </c>
      <c r="G51" s="100">
        <v>36.229999999999997</v>
      </c>
      <c r="H51" s="100">
        <v>15.53</v>
      </c>
      <c r="I51" s="100">
        <v>5.95</v>
      </c>
      <c r="J51" s="100">
        <v>1.1299999999999999</v>
      </c>
      <c r="K51" s="100">
        <v>277.07</v>
      </c>
      <c r="L51" s="100">
        <v>30.16</v>
      </c>
      <c r="M51" s="100">
        <v>70.94</v>
      </c>
      <c r="N51" s="100">
        <v>267.7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163" t="s">
        <v>1339</v>
      </c>
      <c r="B52" s="100">
        <v>1.24</v>
      </c>
      <c r="C52" s="100">
        <v>3.31</v>
      </c>
      <c r="D52" s="100">
        <v>2.4500000000000002</v>
      </c>
      <c r="E52" s="100">
        <v>5.22</v>
      </c>
      <c r="F52" s="100">
        <v>5.62</v>
      </c>
      <c r="G52" s="100">
        <v>37.04</v>
      </c>
      <c r="H52" s="100">
        <v>15.49</v>
      </c>
      <c r="I52" s="100">
        <v>6.02</v>
      </c>
      <c r="J52" s="100">
        <v>0.85</v>
      </c>
      <c r="K52" s="100">
        <v>248.72</v>
      </c>
      <c r="L52" s="100">
        <v>30.34</v>
      </c>
      <c r="M52" s="100">
        <v>72.790000000000006</v>
      </c>
      <c r="N52" s="100">
        <v>254.7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163" t="s">
        <v>1340</v>
      </c>
      <c r="B53" s="100">
        <v>1.24</v>
      </c>
      <c r="C53" s="100">
        <v>3.27</v>
      </c>
      <c r="D53" s="100">
        <v>2.37</v>
      </c>
      <c r="E53" s="100">
        <v>5.58</v>
      </c>
      <c r="F53" s="100">
        <v>5.27</v>
      </c>
      <c r="G53" s="100">
        <v>40.520000000000003</v>
      </c>
      <c r="H53" s="100">
        <v>15.32</v>
      </c>
      <c r="I53" s="100">
        <v>6.13</v>
      </c>
      <c r="J53" s="100">
        <v>0.84</v>
      </c>
      <c r="K53" s="100">
        <v>255.29</v>
      </c>
      <c r="L53" s="100">
        <v>30.6</v>
      </c>
      <c r="M53" s="100">
        <v>71.89</v>
      </c>
      <c r="N53" s="100">
        <v>291.3</v>
      </c>
      <c r="O53" s="100">
        <v>0</v>
      </c>
      <c r="P53" s="100">
        <v>0.27</v>
      </c>
      <c r="Q53" s="100">
        <v>10</v>
      </c>
      <c r="R53" s="6"/>
      <c r="S53" s="6"/>
      <c r="T53" s="156"/>
      <c r="U53" s="6"/>
    </row>
    <row r="54" spans="1:21" customFormat="1">
      <c r="A54" s="163" t="s">
        <v>1341</v>
      </c>
      <c r="B54" s="100">
        <v>1.24</v>
      </c>
      <c r="C54" s="100">
        <v>2.97</v>
      </c>
      <c r="D54" s="100">
        <v>1.8</v>
      </c>
      <c r="E54" s="100">
        <v>5.32</v>
      </c>
      <c r="F54" s="100">
        <v>3.42</v>
      </c>
      <c r="G54" s="100">
        <v>40.520000000000003</v>
      </c>
      <c r="H54" s="100">
        <v>15.32</v>
      </c>
      <c r="I54" s="100">
        <v>6.32</v>
      </c>
      <c r="J54" s="100">
        <v>0.94</v>
      </c>
      <c r="K54" s="100">
        <v>251.49</v>
      </c>
      <c r="L54" s="100">
        <v>30.12</v>
      </c>
      <c r="M54" s="100">
        <v>73.73</v>
      </c>
      <c r="N54" s="100">
        <v>299.5</v>
      </c>
      <c r="O54" s="100">
        <v>0</v>
      </c>
      <c r="P54" s="100">
        <v>0.28999999999999998</v>
      </c>
      <c r="Q54" s="100">
        <v>10</v>
      </c>
      <c r="R54" s="6"/>
      <c r="S54" s="6"/>
      <c r="T54" s="156"/>
      <c r="U54" s="6"/>
    </row>
    <row r="55" spans="1:21" customFormat="1">
      <c r="A55" s="163" t="s">
        <v>1342</v>
      </c>
      <c r="B55" s="100">
        <v>1.24</v>
      </c>
      <c r="C55" s="100">
        <v>3.15</v>
      </c>
      <c r="D55" s="100">
        <v>2.15</v>
      </c>
      <c r="E55" s="100">
        <v>5.36</v>
      </c>
      <c r="F55" s="100">
        <v>4.9800000000000004</v>
      </c>
      <c r="G55" s="100">
        <v>40.520000000000003</v>
      </c>
      <c r="H55" s="100">
        <v>15.32</v>
      </c>
      <c r="I55" s="100">
        <v>6.31</v>
      </c>
      <c r="J55" s="100">
        <v>0.81</v>
      </c>
      <c r="K55" s="100">
        <v>262.91000000000003</v>
      </c>
      <c r="L55" s="100">
        <v>30.63</v>
      </c>
      <c r="M55" s="100">
        <v>73.819999999999993</v>
      </c>
      <c r="N55" s="100">
        <v>349.3</v>
      </c>
      <c r="O55" s="100">
        <v>0</v>
      </c>
      <c r="P55" s="100">
        <v>0.32</v>
      </c>
      <c r="Q55" s="100">
        <v>10</v>
      </c>
      <c r="R55" s="6"/>
      <c r="S55" s="6"/>
      <c r="T55" s="156"/>
      <c r="U55" s="6"/>
    </row>
    <row r="56" spans="1:21" customFormat="1">
      <c r="A56" s="163" t="s">
        <v>1343</v>
      </c>
      <c r="B56" s="100">
        <v>1.24</v>
      </c>
      <c r="C56" s="100">
        <v>3.17</v>
      </c>
      <c r="D56" s="100">
        <v>2.17</v>
      </c>
      <c r="E56" s="100">
        <v>5.19</v>
      </c>
      <c r="F56" s="100">
        <v>4.3600000000000003</v>
      </c>
      <c r="G56" s="100">
        <v>40.42</v>
      </c>
      <c r="H56" s="100">
        <v>14.86</v>
      </c>
      <c r="I56" s="100">
        <v>6.4</v>
      </c>
      <c r="J56" s="100">
        <v>0.89</v>
      </c>
      <c r="K56" s="100">
        <v>255.38</v>
      </c>
      <c r="L56" s="100">
        <v>31.25</v>
      </c>
      <c r="M56" s="100">
        <v>71.349999999999994</v>
      </c>
      <c r="N56" s="100">
        <v>428.6</v>
      </c>
      <c r="O56" s="100">
        <v>0</v>
      </c>
      <c r="P56" s="100">
        <v>0.31</v>
      </c>
      <c r="Q56" s="100">
        <v>10</v>
      </c>
      <c r="R56" s="6"/>
      <c r="S56" s="6"/>
      <c r="T56" s="156"/>
      <c r="U56" s="6"/>
    </row>
    <row r="57" spans="1:21" customFormat="1">
      <c r="A57" s="163" t="s">
        <v>1344</v>
      </c>
      <c r="B57" s="100">
        <v>1.24</v>
      </c>
      <c r="C57" s="100">
        <v>3.16</v>
      </c>
      <c r="D57" s="100">
        <v>2.16</v>
      </c>
      <c r="E57" s="100">
        <v>5.38</v>
      </c>
      <c r="F57" s="100">
        <v>5.0999999999999996</v>
      </c>
      <c r="G57" s="100">
        <v>39.979999999999997</v>
      </c>
      <c r="H57" s="100">
        <v>13.36</v>
      </c>
      <c r="I57" s="100">
        <v>6.51</v>
      </c>
      <c r="J57" s="100">
        <v>0.69</v>
      </c>
      <c r="K57" s="100">
        <v>256.5</v>
      </c>
      <c r="L57" s="100">
        <v>30.88</v>
      </c>
      <c r="M57" s="100">
        <v>72.61</v>
      </c>
      <c r="N57" s="100">
        <v>362.4</v>
      </c>
      <c r="O57" s="100">
        <v>0</v>
      </c>
      <c r="P57" s="100">
        <v>0.31</v>
      </c>
      <c r="Q57" s="100">
        <v>10</v>
      </c>
      <c r="R57" s="6"/>
      <c r="S57" s="6"/>
      <c r="T57" s="156"/>
      <c r="U57" s="6"/>
    </row>
    <row r="58" spans="1:21" customFormat="1">
      <c r="A58" s="163" t="s">
        <v>1345</v>
      </c>
      <c r="B58" s="100">
        <v>1.24</v>
      </c>
      <c r="C58" s="100">
        <v>3.29</v>
      </c>
      <c r="D58" s="100">
        <v>2.41</v>
      </c>
      <c r="E58" s="100">
        <v>5.62</v>
      </c>
      <c r="F58" s="100">
        <v>4.09</v>
      </c>
      <c r="G58" s="100">
        <v>39.979999999999997</v>
      </c>
      <c r="H58" s="100">
        <v>13.36</v>
      </c>
      <c r="I58" s="100">
        <v>6.52</v>
      </c>
      <c r="J58" s="100">
        <v>0.94</v>
      </c>
      <c r="K58" s="100">
        <v>252.12</v>
      </c>
      <c r="L58" s="100">
        <v>30.65</v>
      </c>
      <c r="M58" s="100">
        <v>73.12</v>
      </c>
      <c r="N58" s="100">
        <v>679.6</v>
      </c>
      <c r="O58" s="100">
        <v>0</v>
      </c>
      <c r="P58" s="100">
        <v>0.32</v>
      </c>
      <c r="Q58" s="100">
        <v>10</v>
      </c>
      <c r="R58" s="6"/>
      <c r="S58" s="6"/>
      <c r="T58" s="156"/>
      <c r="U58" s="6"/>
    </row>
    <row r="59" spans="1:21" customFormat="1">
      <c r="A59" s="163" t="s">
        <v>1346</v>
      </c>
      <c r="B59" s="100">
        <v>1.24</v>
      </c>
      <c r="C59" s="100">
        <v>3.2</v>
      </c>
      <c r="D59" s="100">
        <v>2.25</v>
      </c>
      <c r="E59" s="100">
        <v>5.16</v>
      </c>
      <c r="F59" s="100">
        <v>6.3</v>
      </c>
      <c r="G59" s="100">
        <v>39.979999999999997</v>
      </c>
      <c r="H59" s="100">
        <v>13.36</v>
      </c>
      <c r="I59" s="100">
        <v>6.61</v>
      </c>
      <c r="J59" s="100">
        <v>0.87</v>
      </c>
      <c r="K59" s="100">
        <v>256.07</v>
      </c>
      <c r="L59" s="100">
        <v>31.4</v>
      </c>
      <c r="M59" s="100">
        <v>70.52</v>
      </c>
      <c r="N59" s="100">
        <v>841.4</v>
      </c>
      <c r="O59" s="100">
        <v>0</v>
      </c>
      <c r="P59" s="100">
        <v>0.33</v>
      </c>
      <c r="Q59" s="100">
        <v>10</v>
      </c>
      <c r="R59" s="6"/>
      <c r="S59" s="6"/>
      <c r="T59" s="156"/>
      <c r="U59" s="6"/>
    </row>
    <row r="60" spans="1:21" customFormat="1">
      <c r="A60" s="163" t="s">
        <v>1347</v>
      </c>
      <c r="B60" s="100">
        <v>1.24</v>
      </c>
      <c r="C60" s="100">
        <v>3.27</v>
      </c>
      <c r="D60" s="100">
        <v>2.37</v>
      </c>
      <c r="E60" s="100">
        <v>5.16</v>
      </c>
      <c r="F60" s="100">
        <v>7.13</v>
      </c>
      <c r="G60" s="100">
        <v>40.130000000000003</v>
      </c>
      <c r="H60" s="100">
        <v>14.03</v>
      </c>
      <c r="I60" s="100">
        <v>6.77</v>
      </c>
      <c r="J60" s="100">
        <v>0.99</v>
      </c>
      <c r="K60" s="100">
        <v>263.43</v>
      </c>
      <c r="L60" s="100">
        <v>31.71</v>
      </c>
      <c r="M60" s="100">
        <v>68.41</v>
      </c>
      <c r="N60" s="100">
        <v>757.9</v>
      </c>
      <c r="O60" s="100">
        <v>0</v>
      </c>
      <c r="P60" s="100">
        <v>0.33</v>
      </c>
      <c r="Q60" s="100">
        <v>10</v>
      </c>
      <c r="R60" s="6"/>
      <c r="S60" s="6"/>
      <c r="T60" s="156"/>
      <c r="U60" s="6"/>
    </row>
    <row r="61" spans="1:21" customFormat="1">
      <c r="A61" s="163" t="s">
        <v>1348</v>
      </c>
      <c r="B61" s="100">
        <v>1.24</v>
      </c>
      <c r="C61" s="100">
        <v>3.22</v>
      </c>
      <c r="D61" s="100">
        <v>2.29</v>
      </c>
      <c r="E61" s="100">
        <v>5.0199999999999996</v>
      </c>
      <c r="F61" s="100">
        <v>3.95</v>
      </c>
      <c r="G61" s="100">
        <v>40.86</v>
      </c>
      <c r="H61" s="100">
        <v>16.18</v>
      </c>
      <c r="I61" s="100">
        <v>6.94</v>
      </c>
      <c r="J61" s="100">
        <v>0.98</v>
      </c>
      <c r="K61" s="100">
        <v>253.83</v>
      </c>
      <c r="L61" s="100">
        <v>31.76</v>
      </c>
      <c r="M61" s="100">
        <v>66.75</v>
      </c>
      <c r="N61" s="100">
        <v>737.5</v>
      </c>
      <c r="O61" s="100">
        <v>0</v>
      </c>
      <c r="P61" s="100">
        <v>0.33</v>
      </c>
      <c r="Q61" s="100">
        <v>10</v>
      </c>
      <c r="R61" s="6"/>
      <c r="S61" s="6"/>
      <c r="T61" s="156"/>
      <c r="U61" s="6"/>
    </row>
    <row r="62" spans="1:21" customFormat="1">
      <c r="A62" s="163" t="s">
        <v>1349</v>
      </c>
      <c r="B62" s="100">
        <v>1.24</v>
      </c>
      <c r="C62" s="100">
        <v>2.99</v>
      </c>
      <c r="D62" s="100">
        <v>1.84</v>
      </c>
      <c r="E62" s="100">
        <v>4.82</v>
      </c>
      <c r="F62" s="100">
        <v>4.34</v>
      </c>
      <c r="G62" s="100">
        <v>40.86</v>
      </c>
      <c r="H62" s="100">
        <v>16.18</v>
      </c>
      <c r="I62" s="100">
        <v>6.96</v>
      </c>
      <c r="J62" s="100">
        <v>0.89</v>
      </c>
      <c r="K62" s="100">
        <v>273.12</v>
      </c>
      <c r="L62" s="100">
        <v>32.03</v>
      </c>
      <c r="M62" s="100">
        <v>65.709999999999994</v>
      </c>
      <c r="N62" s="100">
        <v>660.6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163" t="s">
        <v>1350</v>
      </c>
      <c r="B63" s="100">
        <v>1.24</v>
      </c>
      <c r="C63" s="100">
        <v>2.84</v>
      </c>
      <c r="D63" s="100">
        <v>1.55</v>
      </c>
      <c r="E63" s="100">
        <v>4.91</v>
      </c>
      <c r="F63" s="100">
        <v>3.25</v>
      </c>
      <c r="G63" s="100">
        <v>40.86</v>
      </c>
      <c r="H63" s="100">
        <v>16.18</v>
      </c>
      <c r="I63" s="100">
        <v>6.88</v>
      </c>
      <c r="J63" s="100">
        <v>0.78</v>
      </c>
      <c r="K63" s="100">
        <v>281.27</v>
      </c>
      <c r="L63" s="100">
        <v>32.51</v>
      </c>
      <c r="M63" s="100">
        <v>64.48</v>
      </c>
      <c r="N63" s="100">
        <v>460.6</v>
      </c>
      <c r="O63" s="100">
        <v>0</v>
      </c>
      <c r="P63" s="100">
        <v>0.33</v>
      </c>
      <c r="Q63" s="100">
        <v>10</v>
      </c>
      <c r="R63" s="6"/>
      <c r="S63" s="6"/>
      <c r="T63" s="156"/>
      <c r="U63" s="6"/>
    </row>
    <row r="64" spans="1:21" customFormat="1">
      <c r="A64" s="163" t="s">
        <v>1351</v>
      </c>
      <c r="B64" s="100">
        <v>1.24</v>
      </c>
      <c r="C64" s="100">
        <v>2.85</v>
      </c>
      <c r="D64" s="100">
        <v>1.57</v>
      </c>
      <c r="E64" s="100">
        <v>4.8</v>
      </c>
      <c r="F64" s="100">
        <v>4.04</v>
      </c>
      <c r="G64" s="100">
        <v>39.1</v>
      </c>
      <c r="H64" s="100">
        <v>16.149999999999999</v>
      </c>
      <c r="I64" s="100">
        <v>6.73</v>
      </c>
      <c r="J64" s="100">
        <v>0.69</v>
      </c>
      <c r="K64" s="100">
        <v>252.58</v>
      </c>
      <c r="L64" s="100">
        <v>31.94</v>
      </c>
      <c r="M64" s="100">
        <v>66.22</v>
      </c>
      <c r="N64" s="100">
        <v>319.8</v>
      </c>
      <c r="O64" s="100">
        <v>0</v>
      </c>
      <c r="P64" s="100">
        <v>0.33</v>
      </c>
      <c r="Q64" s="100">
        <v>10</v>
      </c>
      <c r="R64" s="6"/>
      <c r="S64" s="6"/>
      <c r="T64" s="156"/>
      <c r="U64" s="6"/>
    </row>
    <row r="65" spans="1:21" customFormat="1">
      <c r="A65" s="163" t="s">
        <v>1352</v>
      </c>
      <c r="B65" s="100">
        <v>1.24</v>
      </c>
      <c r="C65" s="100">
        <v>2.92</v>
      </c>
      <c r="D65" s="100">
        <v>1.71</v>
      </c>
      <c r="E65" s="100">
        <v>4.93</v>
      </c>
      <c r="F65" s="100">
        <v>3.77</v>
      </c>
      <c r="G65" s="100">
        <v>30.96</v>
      </c>
      <c r="H65" s="100">
        <v>16.059999999999999</v>
      </c>
      <c r="I65" s="100">
        <v>6.62</v>
      </c>
      <c r="J65" s="100">
        <v>0.7</v>
      </c>
      <c r="K65" s="100">
        <v>262.13</v>
      </c>
      <c r="L65" s="100">
        <v>32.07</v>
      </c>
      <c r="M65" s="100">
        <v>65.540000000000006</v>
      </c>
      <c r="N65" s="100">
        <v>242.2</v>
      </c>
      <c r="O65" s="100">
        <v>0</v>
      </c>
      <c r="P65" s="100">
        <v>0.24</v>
      </c>
      <c r="Q65" s="100">
        <v>10</v>
      </c>
      <c r="R65" s="6"/>
      <c r="S65" s="6"/>
      <c r="T65" s="156"/>
      <c r="U65" s="6"/>
    </row>
    <row r="66" spans="1:21" customFormat="1">
      <c r="A66" s="163" t="s">
        <v>1353</v>
      </c>
      <c r="B66" s="100">
        <v>1.24</v>
      </c>
      <c r="C66" s="100">
        <v>2.89</v>
      </c>
      <c r="D66" s="100">
        <v>1.65</v>
      </c>
      <c r="E66" s="100">
        <v>4.97</v>
      </c>
      <c r="F66" s="100">
        <v>2.63</v>
      </c>
      <c r="G66" s="100">
        <v>30.96</v>
      </c>
      <c r="H66" s="100">
        <v>16.059999999999999</v>
      </c>
      <c r="I66" s="100">
        <v>6.47</v>
      </c>
      <c r="J66" s="100">
        <v>0.87</v>
      </c>
      <c r="K66" s="100">
        <v>256.20999999999998</v>
      </c>
      <c r="L66" s="100">
        <v>31.76</v>
      </c>
      <c r="M66" s="100">
        <v>66.55</v>
      </c>
      <c r="N66" s="100">
        <v>94.4</v>
      </c>
      <c r="O66" s="100">
        <v>0</v>
      </c>
      <c r="P66" s="100">
        <v>0.23</v>
      </c>
      <c r="Q66" s="100">
        <v>10</v>
      </c>
      <c r="R66" s="6"/>
      <c r="S66" s="6"/>
      <c r="T66" s="156"/>
      <c r="U66" s="6"/>
    </row>
    <row r="67" spans="1:21" customFormat="1">
      <c r="A67" s="163" t="s">
        <v>1354</v>
      </c>
      <c r="B67" s="100">
        <v>1.24</v>
      </c>
      <c r="C67" s="100">
        <v>2.76</v>
      </c>
      <c r="D67" s="100">
        <v>1.39</v>
      </c>
      <c r="E67" s="100">
        <v>4.99</v>
      </c>
      <c r="F67" s="100">
        <v>3.97</v>
      </c>
      <c r="G67" s="100">
        <v>30.96</v>
      </c>
      <c r="H67" s="100">
        <v>16.059999999999999</v>
      </c>
      <c r="I67" s="100">
        <v>6.3</v>
      </c>
      <c r="J67" s="100">
        <v>0.52</v>
      </c>
      <c r="K67" s="100">
        <v>259.92</v>
      </c>
      <c r="L67" s="100">
        <v>30.45</v>
      </c>
      <c r="M67" s="100">
        <v>74.58</v>
      </c>
      <c r="N67" s="100">
        <v>213.2</v>
      </c>
      <c r="O67" s="100">
        <v>0</v>
      </c>
      <c r="P67" s="100">
        <v>0.24</v>
      </c>
      <c r="Q67" s="100">
        <v>10</v>
      </c>
      <c r="R67" s="6"/>
      <c r="S67" s="6"/>
      <c r="T67" s="156"/>
      <c r="U67" s="6"/>
    </row>
    <row r="68" spans="1:21" customFormat="1">
      <c r="A68" s="163" t="s">
        <v>1355</v>
      </c>
      <c r="B68" s="100">
        <v>1.24</v>
      </c>
      <c r="C68" s="100">
        <v>2.73</v>
      </c>
      <c r="D68" s="100">
        <v>1.33</v>
      </c>
      <c r="E68" s="100">
        <v>5.16</v>
      </c>
      <c r="F68" s="100">
        <v>4.6900000000000004</v>
      </c>
      <c r="G68" s="100">
        <v>31.86</v>
      </c>
      <c r="H68" s="100">
        <v>15.95</v>
      </c>
      <c r="I68" s="100">
        <v>6.15</v>
      </c>
      <c r="J68" s="100">
        <v>0.68</v>
      </c>
      <c r="K68" s="100">
        <v>244.96</v>
      </c>
      <c r="L68" s="100">
        <v>31.65</v>
      </c>
      <c r="M68" s="100">
        <v>69.62</v>
      </c>
      <c r="N68" s="100">
        <v>244.1</v>
      </c>
      <c r="O68" s="100">
        <v>0</v>
      </c>
      <c r="P68" s="100">
        <v>0.24</v>
      </c>
      <c r="Q68" s="100">
        <v>10</v>
      </c>
      <c r="R68" s="6"/>
      <c r="S68" s="6"/>
      <c r="T68" s="156"/>
      <c r="U68" s="6"/>
    </row>
    <row r="69" spans="1:21" customFormat="1">
      <c r="A69" s="163" t="s">
        <v>1356</v>
      </c>
      <c r="B69" s="100">
        <v>1.24</v>
      </c>
      <c r="C69" s="100">
        <v>2.74</v>
      </c>
      <c r="D69" s="100">
        <v>1.35</v>
      </c>
      <c r="E69" s="100">
        <v>4.78</v>
      </c>
      <c r="F69" s="100">
        <v>3.79</v>
      </c>
      <c r="G69" s="100">
        <v>36</v>
      </c>
      <c r="H69" s="100">
        <v>15.39</v>
      </c>
      <c r="I69" s="100">
        <v>6.02</v>
      </c>
      <c r="J69" s="100">
        <v>0.93</v>
      </c>
      <c r="K69" s="100">
        <v>250.8</v>
      </c>
      <c r="L69" s="100">
        <v>31.65</v>
      </c>
      <c r="M69" s="100">
        <v>67.959999999999994</v>
      </c>
      <c r="N69" s="100">
        <v>380.5</v>
      </c>
      <c r="O69" s="100">
        <v>0</v>
      </c>
      <c r="P69" s="100">
        <v>0.24</v>
      </c>
      <c r="Q69" s="100">
        <v>10</v>
      </c>
      <c r="R69" s="6"/>
      <c r="S69" s="6"/>
      <c r="T69" s="156"/>
      <c r="U69" s="6"/>
    </row>
    <row r="70" spans="1:21" customFormat="1">
      <c r="A70" s="163" t="s">
        <v>1357</v>
      </c>
      <c r="B70" s="100">
        <v>1.24</v>
      </c>
      <c r="C70" s="100">
        <v>2.67</v>
      </c>
      <c r="D70" s="100">
        <v>1.22</v>
      </c>
      <c r="E70" s="100">
        <v>5.08</v>
      </c>
      <c r="F70" s="100">
        <v>4.8899999999999997</v>
      </c>
      <c r="G70" s="100">
        <v>36</v>
      </c>
      <c r="H70" s="100">
        <v>15.39</v>
      </c>
      <c r="I70" s="100">
        <v>5.93</v>
      </c>
      <c r="J70" s="100">
        <v>0.75</v>
      </c>
      <c r="K70" s="100">
        <v>253.58</v>
      </c>
      <c r="L70" s="100">
        <v>32.43</v>
      </c>
      <c r="M70" s="100">
        <v>65.56</v>
      </c>
      <c r="N70" s="100">
        <v>472.6</v>
      </c>
      <c r="O70" s="100">
        <v>0</v>
      </c>
      <c r="P70" s="100">
        <v>0.23</v>
      </c>
      <c r="Q70" s="100">
        <v>10</v>
      </c>
      <c r="R70" s="6"/>
      <c r="S70" s="6"/>
      <c r="T70" s="156"/>
      <c r="U70" s="6"/>
    </row>
    <row r="71" spans="1:21" customFormat="1">
      <c r="A71" s="163" t="s">
        <v>1358</v>
      </c>
      <c r="B71" s="100">
        <v>1.24</v>
      </c>
      <c r="C71" s="100">
        <v>2.62</v>
      </c>
      <c r="D71" s="100">
        <v>1.1299999999999999</v>
      </c>
      <c r="E71" s="100">
        <v>5.1100000000000003</v>
      </c>
      <c r="F71" s="100">
        <v>3.83</v>
      </c>
      <c r="G71" s="100">
        <v>36</v>
      </c>
      <c r="H71" s="100">
        <v>15.39</v>
      </c>
      <c r="I71" s="100">
        <v>5.91</v>
      </c>
      <c r="J71" s="100">
        <v>0.92</v>
      </c>
      <c r="K71" s="100">
        <v>246.89</v>
      </c>
      <c r="L71" s="100">
        <v>32.18</v>
      </c>
      <c r="M71" s="100">
        <v>64.37</v>
      </c>
      <c r="N71" s="100">
        <v>226.2</v>
      </c>
      <c r="O71" s="100">
        <v>0</v>
      </c>
      <c r="P71" s="100">
        <v>0.23</v>
      </c>
      <c r="Q71" s="100">
        <v>10</v>
      </c>
      <c r="R71" s="6"/>
      <c r="S71" s="6"/>
      <c r="T71" s="156"/>
      <c r="U71" s="6"/>
    </row>
    <row r="72" spans="1:21" customFormat="1">
      <c r="A72" s="163" t="s">
        <v>1359</v>
      </c>
      <c r="B72" s="100">
        <v>1.24</v>
      </c>
      <c r="C72" s="100">
        <v>2.63</v>
      </c>
      <c r="D72" s="100">
        <v>1.1399999999999999</v>
      </c>
      <c r="E72" s="100">
        <v>5.12</v>
      </c>
      <c r="F72" s="100">
        <v>5.45</v>
      </c>
      <c r="G72" s="100">
        <v>35.58</v>
      </c>
      <c r="H72" s="100">
        <v>15.03</v>
      </c>
      <c r="I72" s="100">
        <v>5.81</v>
      </c>
      <c r="J72" s="100">
        <v>0.72</v>
      </c>
      <c r="K72" s="100">
        <v>254.81</v>
      </c>
      <c r="L72" s="100">
        <v>31.45</v>
      </c>
      <c r="M72" s="100">
        <v>66.680000000000007</v>
      </c>
      <c r="N72" s="100">
        <v>153.6</v>
      </c>
      <c r="O72" s="100">
        <v>0</v>
      </c>
      <c r="P72" s="100">
        <v>0.23</v>
      </c>
      <c r="Q72" s="100">
        <v>10</v>
      </c>
      <c r="R72" s="6"/>
      <c r="S72" s="6"/>
      <c r="T72" s="156"/>
      <c r="U72" s="6"/>
    </row>
    <row r="73" spans="1:21" customFormat="1">
      <c r="A73" s="163" t="s">
        <v>1360</v>
      </c>
      <c r="B73" s="100">
        <v>1.24</v>
      </c>
      <c r="C73" s="100">
        <v>2.6</v>
      </c>
      <c r="D73" s="100">
        <v>1.0900000000000001</v>
      </c>
      <c r="E73" s="100">
        <v>5.42</v>
      </c>
      <c r="F73" s="100">
        <v>6.02</v>
      </c>
      <c r="G73" s="100">
        <v>33.76</v>
      </c>
      <c r="H73" s="100">
        <v>13.8</v>
      </c>
      <c r="I73" s="100">
        <v>5.84</v>
      </c>
      <c r="J73" s="100">
        <v>0.69</v>
      </c>
      <c r="K73" s="100">
        <v>255.89</v>
      </c>
      <c r="L73" s="100">
        <v>31.77</v>
      </c>
      <c r="M73" s="100">
        <v>64.94</v>
      </c>
      <c r="N73" s="100">
        <v>161.5</v>
      </c>
      <c r="O73" s="100">
        <v>0</v>
      </c>
      <c r="P73" s="100">
        <v>0.22</v>
      </c>
      <c r="Q73" s="100">
        <v>10</v>
      </c>
      <c r="R73" s="6"/>
      <c r="S73" s="6"/>
      <c r="T73" s="156"/>
      <c r="U73" s="6"/>
    </row>
    <row r="74" spans="1:21" customFormat="1">
      <c r="A74" s="163" t="s">
        <v>1361</v>
      </c>
      <c r="B74" s="100">
        <v>1.24</v>
      </c>
      <c r="C74" s="100">
        <v>2.67</v>
      </c>
      <c r="D74" s="100">
        <v>1.22</v>
      </c>
      <c r="E74" s="100">
        <v>4.99</v>
      </c>
      <c r="F74" s="100">
        <v>5.33</v>
      </c>
      <c r="G74" s="100">
        <v>33.76</v>
      </c>
      <c r="H74" s="100">
        <v>13.8</v>
      </c>
      <c r="I74" s="100">
        <v>5.79</v>
      </c>
      <c r="J74" s="100">
        <v>0.78</v>
      </c>
      <c r="K74" s="100">
        <v>272.06</v>
      </c>
      <c r="L74" s="100">
        <v>31.43</v>
      </c>
      <c r="M74" s="100">
        <v>63.25</v>
      </c>
      <c r="N74" s="100">
        <v>90.4</v>
      </c>
      <c r="O74" s="100">
        <v>0</v>
      </c>
      <c r="P74" s="100">
        <v>0.22</v>
      </c>
      <c r="Q74" s="100">
        <v>10</v>
      </c>
      <c r="R74" s="6"/>
      <c r="S74" s="6"/>
      <c r="T74" s="156"/>
      <c r="U74" s="6"/>
    </row>
    <row r="75" spans="1:21" customFormat="1">
      <c r="A75" s="163" t="s">
        <v>1362</v>
      </c>
      <c r="B75" s="100">
        <v>1.24</v>
      </c>
      <c r="C75" s="100">
        <v>2.75</v>
      </c>
      <c r="D75" s="100">
        <v>1.38</v>
      </c>
      <c r="E75" s="100">
        <v>4.49</v>
      </c>
      <c r="F75" s="100">
        <v>4.84</v>
      </c>
      <c r="G75" s="100">
        <v>33.76</v>
      </c>
      <c r="H75" s="100">
        <v>13.8</v>
      </c>
      <c r="I75" s="100">
        <v>5.74</v>
      </c>
      <c r="J75" s="100">
        <v>0.56999999999999995</v>
      </c>
      <c r="K75" s="100">
        <v>258.8</v>
      </c>
      <c r="L75" s="100">
        <v>31.19</v>
      </c>
      <c r="M75" s="100">
        <v>63.69</v>
      </c>
      <c r="N75" s="100">
        <v>51.6</v>
      </c>
      <c r="O75" s="100">
        <v>0</v>
      </c>
      <c r="P75" s="100">
        <v>0.21</v>
      </c>
      <c r="Q75" s="100">
        <v>10</v>
      </c>
      <c r="R75" s="6"/>
      <c r="S75" s="6"/>
      <c r="T75" s="156"/>
      <c r="U75" s="6"/>
    </row>
    <row r="76" spans="1:21" customFormat="1">
      <c r="A76" s="163" t="s">
        <v>1363</v>
      </c>
      <c r="B76" s="100">
        <v>1.24</v>
      </c>
      <c r="C76" s="100">
        <v>2.78</v>
      </c>
      <c r="D76" s="100">
        <v>1.44</v>
      </c>
      <c r="E76" s="100">
        <v>5.23</v>
      </c>
      <c r="F76" s="100">
        <v>4.84</v>
      </c>
      <c r="G76" s="100">
        <v>33.68</v>
      </c>
      <c r="H76" s="100">
        <v>13.76</v>
      </c>
      <c r="I76" s="100">
        <v>5.7</v>
      </c>
      <c r="J76" s="100">
        <v>0.43</v>
      </c>
      <c r="K76" s="100">
        <v>259.62</v>
      </c>
      <c r="L76" s="100">
        <v>30.99</v>
      </c>
      <c r="M76" s="100">
        <v>65.12</v>
      </c>
      <c r="N76" s="100">
        <v>46.5</v>
      </c>
      <c r="O76" s="100">
        <v>0</v>
      </c>
      <c r="P76" s="100">
        <v>0.2</v>
      </c>
      <c r="Q76" s="100">
        <v>10</v>
      </c>
      <c r="R76" s="6"/>
      <c r="S76" s="6"/>
      <c r="T76" s="156"/>
      <c r="U76" s="6"/>
    </row>
    <row r="77" spans="1:21" customFormat="1">
      <c r="A77" s="163" t="s">
        <v>1364</v>
      </c>
      <c r="B77" s="100">
        <v>1.24</v>
      </c>
      <c r="C77" s="100">
        <v>2.76</v>
      </c>
      <c r="D77" s="100">
        <v>1.4</v>
      </c>
      <c r="E77" s="100">
        <v>5.13</v>
      </c>
      <c r="F77" s="100">
        <v>3.72</v>
      </c>
      <c r="G77" s="100">
        <v>33.28</v>
      </c>
      <c r="H77" s="100">
        <v>13.65</v>
      </c>
      <c r="I77" s="100">
        <v>5.56</v>
      </c>
      <c r="J77" s="100">
        <v>0.64</v>
      </c>
      <c r="K77" s="100">
        <v>251.2</v>
      </c>
      <c r="L77" s="100">
        <v>30.79</v>
      </c>
      <c r="M77" s="100">
        <v>65.58</v>
      </c>
      <c r="N77" s="100">
        <v>44.6</v>
      </c>
      <c r="O77" s="100">
        <v>0</v>
      </c>
      <c r="P77" s="100">
        <v>0.2</v>
      </c>
      <c r="Q77" s="100">
        <v>10</v>
      </c>
      <c r="R77" s="6"/>
      <c r="S77" s="6"/>
      <c r="T77" s="156"/>
      <c r="U77" s="6"/>
    </row>
    <row r="78" spans="1:21" customFormat="1">
      <c r="A78" s="163" t="s">
        <v>1365</v>
      </c>
      <c r="B78" s="100">
        <v>1.24</v>
      </c>
      <c r="C78" s="100">
        <v>2.84</v>
      </c>
      <c r="D78" s="100">
        <v>1.55</v>
      </c>
      <c r="E78" s="100">
        <v>5.23</v>
      </c>
      <c r="F78" s="100">
        <v>4.4000000000000004</v>
      </c>
      <c r="G78" s="100">
        <v>33.28</v>
      </c>
      <c r="H78" s="100">
        <v>13.65</v>
      </c>
      <c r="I78" s="100">
        <v>5.42</v>
      </c>
      <c r="J78" s="100">
        <v>0.56000000000000005</v>
      </c>
      <c r="K78" s="100">
        <v>252.6</v>
      </c>
      <c r="L78" s="100">
        <v>30.64</v>
      </c>
      <c r="M78" s="100">
        <v>67.37</v>
      </c>
      <c r="N78" s="100">
        <v>39.4</v>
      </c>
      <c r="O78" s="100">
        <v>0</v>
      </c>
      <c r="P78" s="100">
        <v>0.19</v>
      </c>
      <c r="Q78" s="100">
        <v>10</v>
      </c>
      <c r="R78" s="6"/>
      <c r="S78" s="6"/>
      <c r="T78" s="156"/>
      <c r="U78" s="6"/>
    </row>
    <row r="79" spans="1:21" customFormat="1">
      <c r="A79" s="163" t="s">
        <v>1366</v>
      </c>
      <c r="B79" s="100">
        <v>1.24</v>
      </c>
      <c r="C79" s="100">
        <v>2.73</v>
      </c>
      <c r="D79" s="100">
        <v>1.34</v>
      </c>
      <c r="E79" s="100">
        <v>5.17</v>
      </c>
      <c r="F79" s="100">
        <v>5.29</v>
      </c>
      <c r="G79" s="100">
        <v>33.28</v>
      </c>
      <c r="H79" s="100">
        <v>13.65</v>
      </c>
      <c r="I79" s="100">
        <v>5.46</v>
      </c>
      <c r="J79" s="100">
        <v>0.4</v>
      </c>
      <c r="K79" s="100">
        <v>246.53</v>
      </c>
      <c r="L79" s="100">
        <v>30.47</v>
      </c>
      <c r="M79" s="100">
        <v>69.19</v>
      </c>
      <c r="N79" s="100">
        <v>30</v>
      </c>
      <c r="O79" s="100">
        <v>0</v>
      </c>
      <c r="P79" s="100">
        <v>0.18</v>
      </c>
      <c r="Q79" s="100">
        <v>10</v>
      </c>
      <c r="R79" s="6"/>
      <c r="S79" s="6"/>
      <c r="T79" s="156"/>
      <c r="U79" s="6"/>
    </row>
    <row r="80" spans="1:21" customFormat="1">
      <c r="A80" s="163" t="s">
        <v>1367</v>
      </c>
      <c r="B80" s="100">
        <v>1.24</v>
      </c>
      <c r="C80" s="100">
        <v>2.65</v>
      </c>
      <c r="D80" s="100">
        <v>1.19</v>
      </c>
      <c r="E80" s="100">
        <v>4.8899999999999997</v>
      </c>
      <c r="F80" s="100">
        <v>6.15</v>
      </c>
      <c r="G80" s="100">
        <v>33.520000000000003</v>
      </c>
      <c r="H80" s="100">
        <v>13.59</v>
      </c>
      <c r="I80" s="100">
        <v>5.35</v>
      </c>
      <c r="J80" s="100">
        <v>0.28000000000000003</v>
      </c>
      <c r="K80" s="100">
        <v>247.73</v>
      </c>
      <c r="L80" s="100">
        <v>30.19</v>
      </c>
      <c r="M80" s="100">
        <v>71.27</v>
      </c>
      <c r="N80" s="100">
        <v>27.6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163" t="s">
        <v>1368</v>
      </c>
      <c r="B81" s="100">
        <v>1.24</v>
      </c>
      <c r="C81" s="100">
        <v>2.64</v>
      </c>
      <c r="D81" s="100">
        <v>1.18</v>
      </c>
      <c r="E81" s="100">
        <v>4.6900000000000004</v>
      </c>
      <c r="F81" s="100">
        <v>5.77</v>
      </c>
      <c r="G81" s="100">
        <v>34.61</v>
      </c>
      <c r="H81" s="100">
        <v>13.4</v>
      </c>
      <c r="I81" s="100">
        <v>5.23</v>
      </c>
      <c r="J81" s="100">
        <v>0.3</v>
      </c>
      <c r="K81" s="100">
        <v>246.45</v>
      </c>
      <c r="L81" s="100">
        <v>30.03</v>
      </c>
      <c r="M81" s="100">
        <v>71.7</v>
      </c>
      <c r="N81" s="100">
        <v>25.1</v>
      </c>
      <c r="O81" s="100">
        <v>0</v>
      </c>
      <c r="P81" s="100">
        <v>0.19</v>
      </c>
      <c r="Q81" s="100">
        <v>10</v>
      </c>
      <c r="R81" s="6"/>
      <c r="S81" s="6"/>
      <c r="T81" s="156"/>
      <c r="U81" s="6"/>
    </row>
    <row r="82" spans="1:21" customFormat="1">
      <c r="A82" s="163" t="s">
        <v>1369</v>
      </c>
      <c r="B82" s="100">
        <v>1.24</v>
      </c>
      <c r="C82" s="100">
        <v>2.61</v>
      </c>
      <c r="D82" s="100">
        <v>1.1100000000000001</v>
      </c>
      <c r="E82" s="100">
        <v>5.36</v>
      </c>
      <c r="F82" s="100">
        <v>10.94</v>
      </c>
      <c r="G82" s="100">
        <v>34.61</v>
      </c>
      <c r="H82" s="100">
        <v>13.4</v>
      </c>
      <c r="I82" s="100">
        <v>5.09</v>
      </c>
      <c r="J82" s="100">
        <v>0.18</v>
      </c>
      <c r="K82" s="100">
        <v>230.49</v>
      </c>
      <c r="L82" s="100">
        <v>29.86</v>
      </c>
      <c r="M82" s="100">
        <v>73.02</v>
      </c>
      <c r="N82" s="100">
        <v>16.899999999999999</v>
      </c>
      <c r="O82" s="100">
        <v>0</v>
      </c>
      <c r="P82" s="100">
        <v>0.16</v>
      </c>
      <c r="Q82" s="100">
        <v>10</v>
      </c>
      <c r="R82" s="6"/>
      <c r="S82" s="6"/>
      <c r="T82" s="156"/>
      <c r="U82" s="6"/>
    </row>
    <row r="83" spans="1:21" customFormat="1">
      <c r="A83" s="163" t="s">
        <v>1370</v>
      </c>
      <c r="B83" s="100">
        <v>1.24</v>
      </c>
      <c r="C83" s="100">
        <v>2.58</v>
      </c>
      <c r="D83" s="100">
        <v>1.05</v>
      </c>
      <c r="E83" s="100">
        <v>5.17</v>
      </c>
      <c r="F83" s="100">
        <v>13.16</v>
      </c>
      <c r="G83" s="100">
        <v>34.61</v>
      </c>
      <c r="H83" s="100">
        <v>13.4</v>
      </c>
      <c r="I83" s="100">
        <v>5.01</v>
      </c>
      <c r="J83" s="100">
        <v>0.21</v>
      </c>
      <c r="K83" s="100">
        <v>247.82</v>
      </c>
      <c r="L83" s="100">
        <v>29.59</v>
      </c>
      <c r="M83" s="100">
        <v>73.849999999999994</v>
      </c>
      <c r="N83" s="100">
        <v>8</v>
      </c>
      <c r="O83" s="100">
        <v>0</v>
      </c>
      <c r="P83" s="100">
        <v>0.14000000000000001</v>
      </c>
      <c r="Q83" s="100">
        <v>10</v>
      </c>
      <c r="R83" s="6"/>
      <c r="S83" s="6"/>
      <c r="T83" s="156"/>
      <c r="U83" s="6"/>
    </row>
    <row r="84" spans="1:21" customFormat="1">
      <c r="A84" s="163" t="s">
        <v>1371</v>
      </c>
      <c r="B84" s="100">
        <v>1.24</v>
      </c>
      <c r="C84" s="100">
        <v>2.61</v>
      </c>
      <c r="D84" s="100">
        <v>1.1100000000000001</v>
      </c>
      <c r="E84" s="100">
        <v>4.54</v>
      </c>
      <c r="F84" s="100">
        <v>15.88</v>
      </c>
      <c r="G84" s="100">
        <v>33.71</v>
      </c>
      <c r="H84" s="100">
        <v>13.43</v>
      </c>
      <c r="I84" s="100">
        <v>4.6900000000000004</v>
      </c>
      <c r="J84" s="100">
        <v>0.1</v>
      </c>
      <c r="K84" s="100">
        <v>216.91</v>
      </c>
      <c r="L84" s="100">
        <v>29.24</v>
      </c>
      <c r="M84" s="100">
        <v>75.540000000000006</v>
      </c>
      <c r="N84" s="100">
        <v>3</v>
      </c>
      <c r="O84" s="100">
        <v>0</v>
      </c>
      <c r="P84" s="100">
        <v>0.12</v>
      </c>
      <c r="Q84" s="100">
        <v>10</v>
      </c>
      <c r="R84" s="6"/>
      <c r="S84" s="6"/>
      <c r="T84" s="156"/>
      <c r="U84" s="6"/>
    </row>
    <row r="85" spans="1:21" customFormat="1">
      <c r="A85" s="163" t="s">
        <v>1372</v>
      </c>
      <c r="B85" s="100">
        <v>1.24</v>
      </c>
      <c r="C85" s="100">
        <v>2.64</v>
      </c>
      <c r="D85" s="100">
        <v>1.17</v>
      </c>
      <c r="E85" s="100">
        <v>4.78</v>
      </c>
      <c r="F85" s="100">
        <v>10.62</v>
      </c>
      <c r="G85" s="100">
        <v>29.85</v>
      </c>
      <c r="H85" s="100">
        <v>13.57</v>
      </c>
      <c r="I85" s="100">
        <v>4.5999999999999996</v>
      </c>
      <c r="J85" s="100">
        <v>0.11</v>
      </c>
      <c r="K85" s="100">
        <v>162.36000000000001</v>
      </c>
      <c r="L85" s="100">
        <v>29.1</v>
      </c>
      <c r="M85" s="100">
        <v>76.25</v>
      </c>
      <c r="N85" s="100">
        <v>2.2999999999999998</v>
      </c>
      <c r="O85" s="100">
        <v>0</v>
      </c>
      <c r="P85" s="100">
        <v>0.13</v>
      </c>
      <c r="Q85" s="100">
        <v>10</v>
      </c>
      <c r="R85" s="6"/>
      <c r="S85" s="6"/>
      <c r="T85" s="156"/>
      <c r="U85" s="6"/>
    </row>
    <row r="86" spans="1:21" customFormat="1">
      <c r="A86" s="163" t="s">
        <v>1373</v>
      </c>
      <c r="B86" s="100">
        <v>1.24</v>
      </c>
      <c r="C86" s="100">
        <v>2.54</v>
      </c>
      <c r="D86" s="100">
        <v>0.97</v>
      </c>
      <c r="E86" s="100">
        <v>5.05</v>
      </c>
      <c r="F86" s="100">
        <v>11.15</v>
      </c>
      <c r="G86" s="100">
        <v>29.85</v>
      </c>
      <c r="H86" s="100">
        <v>13.57</v>
      </c>
      <c r="I86" s="100">
        <v>4.58</v>
      </c>
      <c r="J86" s="100">
        <v>0.13</v>
      </c>
      <c r="K86" s="100">
        <v>155.32</v>
      </c>
      <c r="L86" s="100">
        <v>28.87</v>
      </c>
      <c r="M86" s="100">
        <v>76.52</v>
      </c>
      <c r="N86" s="100">
        <v>2.1</v>
      </c>
      <c r="O86" s="100">
        <v>0</v>
      </c>
      <c r="P86" s="100">
        <v>0.14000000000000001</v>
      </c>
      <c r="Q86" s="100">
        <v>10</v>
      </c>
      <c r="R86" s="6"/>
      <c r="S86" s="6"/>
      <c r="T86" s="156"/>
      <c r="U86" s="6"/>
    </row>
    <row r="87" spans="1:21" customFormat="1">
      <c r="A87" s="163" t="s">
        <v>1374</v>
      </c>
      <c r="B87" s="100">
        <v>1.24</v>
      </c>
      <c r="C87" s="100">
        <v>2.61</v>
      </c>
      <c r="D87" s="100">
        <v>1.1000000000000001</v>
      </c>
      <c r="E87" s="100">
        <v>4.92</v>
      </c>
      <c r="F87" s="100">
        <v>12.84</v>
      </c>
      <c r="G87" s="100">
        <v>29.85</v>
      </c>
      <c r="H87" s="100">
        <v>13.57</v>
      </c>
      <c r="I87" s="100">
        <v>4.7</v>
      </c>
      <c r="J87" s="100">
        <v>0.12</v>
      </c>
      <c r="K87" s="100">
        <v>149.85</v>
      </c>
      <c r="L87" s="100">
        <v>28.69</v>
      </c>
      <c r="M87" s="100">
        <v>78.55</v>
      </c>
      <c r="N87" s="100">
        <v>2.1</v>
      </c>
      <c r="O87" s="100">
        <v>0</v>
      </c>
      <c r="P87" s="100">
        <v>0.14000000000000001</v>
      </c>
      <c r="Q87" s="100">
        <v>10</v>
      </c>
      <c r="R87" s="6"/>
      <c r="S87" s="6"/>
      <c r="T87" s="156"/>
      <c r="U87" s="6"/>
    </row>
    <row r="88" spans="1:21" customFormat="1">
      <c r="A88" s="163" t="s">
        <v>1375</v>
      </c>
      <c r="B88" s="100">
        <v>1.24</v>
      </c>
      <c r="C88" s="100">
        <v>2.68</v>
      </c>
      <c r="D88" s="100">
        <v>1.24</v>
      </c>
      <c r="E88" s="100">
        <v>4.8899999999999997</v>
      </c>
      <c r="F88" s="100">
        <v>7.18</v>
      </c>
      <c r="G88" s="100">
        <v>30.91</v>
      </c>
      <c r="H88" s="100">
        <v>14.24</v>
      </c>
      <c r="I88" s="100">
        <v>4.8099999999999996</v>
      </c>
      <c r="J88" s="100">
        <v>0.12</v>
      </c>
      <c r="K88" s="100">
        <v>158.54</v>
      </c>
      <c r="L88" s="100">
        <v>28.3</v>
      </c>
      <c r="M88" s="100">
        <v>83.81</v>
      </c>
      <c r="N88" s="100">
        <v>2.2000000000000002</v>
      </c>
      <c r="O88" s="100">
        <v>0</v>
      </c>
      <c r="P88" s="100">
        <v>0.14000000000000001</v>
      </c>
      <c r="Q88" s="100">
        <v>10</v>
      </c>
      <c r="R88" s="6"/>
      <c r="S88" s="6"/>
      <c r="T88" s="156"/>
      <c r="U88" s="6"/>
    </row>
    <row r="89" spans="1:21" customFormat="1">
      <c r="A89" s="163" t="s">
        <v>1376</v>
      </c>
      <c r="B89" s="100">
        <v>1.24</v>
      </c>
      <c r="C89" s="100">
        <v>2.73</v>
      </c>
      <c r="D89" s="100">
        <v>1.34</v>
      </c>
      <c r="E89" s="100">
        <v>5.12</v>
      </c>
      <c r="F89" s="100">
        <v>6.49</v>
      </c>
      <c r="G89" s="100">
        <v>35.799999999999997</v>
      </c>
      <c r="H89" s="100">
        <v>16.350000000000001</v>
      </c>
      <c r="I89" s="100">
        <v>4.87</v>
      </c>
      <c r="J89" s="100">
        <v>0.12</v>
      </c>
      <c r="K89" s="100">
        <v>144.02000000000001</v>
      </c>
      <c r="L89" s="100">
        <v>28.19</v>
      </c>
      <c r="M89" s="100">
        <v>84.15</v>
      </c>
      <c r="N89" s="100">
        <v>2.1</v>
      </c>
      <c r="O89" s="100">
        <v>0</v>
      </c>
      <c r="P89" s="100">
        <v>0.16</v>
      </c>
      <c r="Q89" s="100">
        <v>10</v>
      </c>
      <c r="R89" s="6"/>
      <c r="S89" s="6"/>
      <c r="T89" s="156"/>
      <c r="U89" s="6"/>
    </row>
    <row r="90" spans="1:21" customFormat="1">
      <c r="A90" s="163" t="s">
        <v>1377</v>
      </c>
      <c r="B90" s="100">
        <v>1.24</v>
      </c>
      <c r="C90" s="100">
        <v>2.76</v>
      </c>
      <c r="D90" s="100">
        <v>1.39</v>
      </c>
      <c r="E90" s="100">
        <v>4.7699999999999996</v>
      </c>
      <c r="F90" s="100">
        <v>7.62</v>
      </c>
      <c r="G90" s="100">
        <v>35.799999999999997</v>
      </c>
      <c r="H90" s="100">
        <v>16.350000000000001</v>
      </c>
      <c r="I90" s="100">
        <v>5.3</v>
      </c>
      <c r="J90" s="100">
        <v>0.14000000000000001</v>
      </c>
      <c r="K90" s="100">
        <v>151.21</v>
      </c>
      <c r="L90" s="100">
        <v>28.14</v>
      </c>
      <c r="M90" s="100">
        <v>85.88</v>
      </c>
      <c r="N90" s="100">
        <v>2.1</v>
      </c>
      <c r="O90" s="100">
        <v>0</v>
      </c>
      <c r="P90" s="100">
        <v>0.16</v>
      </c>
      <c r="Q90" s="100">
        <v>10</v>
      </c>
      <c r="R90" s="6"/>
      <c r="S90" s="6"/>
      <c r="T90" s="156"/>
      <c r="U90" s="6"/>
    </row>
    <row r="91" spans="1:21" customFormat="1">
      <c r="A91" s="163" t="s">
        <v>1378</v>
      </c>
      <c r="B91" s="100">
        <v>1.24</v>
      </c>
      <c r="C91" s="100">
        <v>2.74</v>
      </c>
      <c r="D91" s="100">
        <v>1.35</v>
      </c>
      <c r="E91" s="100">
        <v>4.7</v>
      </c>
      <c r="F91" s="100">
        <v>7.19</v>
      </c>
      <c r="G91" s="100">
        <v>35.799999999999997</v>
      </c>
      <c r="H91" s="100">
        <v>16.350000000000001</v>
      </c>
      <c r="I91" s="100">
        <v>5.71</v>
      </c>
      <c r="J91" s="100">
        <v>0.15</v>
      </c>
      <c r="K91" s="100">
        <v>149.21</v>
      </c>
      <c r="L91" s="100">
        <v>28.06</v>
      </c>
      <c r="M91" s="100">
        <v>87.35</v>
      </c>
      <c r="N91" s="100">
        <v>2.1</v>
      </c>
      <c r="O91" s="100">
        <v>0</v>
      </c>
      <c r="P91" s="100">
        <v>0.15</v>
      </c>
      <c r="Q91" s="100">
        <v>10</v>
      </c>
      <c r="R91" s="6"/>
      <c r="S91" s="6"/>
      <c r="T91" s="156"/>
      <c r="U91" s="6"/>
    </row>
    <row r="92" spans="1:21" customFormat="1">
      <c r="A92" s="163" t="s">
        <v>1379</v>
      </c>
      <c r="B92" s="100">
        <v>1.24</v>
      </c>
      <c r="C92" s="100">
        <v>2.78</v>
      </c>
      <c r="D92" s="100">
        <v>1.44</v>
      </c>
      <c r="E92" s="100">
        <v>5.25</v>
      </c>
      <c r="F92" s="100">
        <v>8.42</v>
      </c>
      <c r="G92" s="100">
        <v>36.36</v>
      </c>
      <c r="H92" s="100">
        <v>15.6</v>
      </c>
      <c r="I92" s="100">
        <v>6.43</v>
      </c>
      <c r="J92" s="100">
        <v>0.05</v>
      </c>
      <c r="K92" s="100">
        <v>117.32</v>
      </c>
      <c r="L92" s="100">
        <v>28.09</v>
      </c>
      <c r="M92" s="100">
        <v>85.15</v>
      </c>
      <c r="N92" s="100">
        <v>2</v>
      </c>
      <c r="O92" s="100">
        <v>0</v>
      </c>
      <c r="P92" s="100">
        <v>0.16</v>
      </c>
      <c r="Q92" s="100">
        <v>10</v>
      </c>
      <c r="R92" s="6"/>
      <c r="S92" s="6"/>
      <c r="T92" s="156"/>
      <c r="U92" s="6"/>
    </row>
    <row r="93" spans="1:21" customFormat="1">
      <c r="A93" s="163" t="s">
        <v>1380</v>
      </c>
      <c r="B93" s="100">
        <v>1.24</v>
      </c>
      <c r="C93" s="100">
        <v>2.68</v>
      </c>
      <c r="D93" s="100">
        <v>1.24</v>
      </c>
      <c r="E93" s="100">
        <v>5.0599999999999996</v>
      </c>
      <c r="F93" s="100">
        <v>9.26</v>
      </c>
      <c r="G93" s="100">
        <v>38.78</v>
      </c>
      <c r="H93" s="100">
        <v>13.24</v>
      </c>
      <c r="I93" s="100">
        <v>5.47</v>
      </c>
      <c r="J93" s="100">
        <v>0.1</v>
      </c>
      <c r="K93" s="100">
        <v>167.75</v>
      </c>
      <c r="L93" s="100">
        <v>28.15</v>
      </c>
      <c r="M93" s="100">
        <v>84.53</v>
      </c>
      <c r="N93" s="100">
        <v>2</v>
      </c>
      <c r="O93" s="100">
        <v>0</v>
      </c>
      <c r="P93" s="100">
        <v>0.15</v>
      </c>
      <c r="Q93" s="100">
        <v>10</v>
      </c>
      <c r="R93" s="6"/>
      <c r="S93" s="6"/>
      <c r="T93" s="156"/>
      <c r="U93" s="6"/>
    </row>
    <row r="94" spans="1:21" customFormat="1">
      <c r="A94" s="163" t="s">
        <v>1381</v>
      </c>
      <c r="B94" s="100">
        <v>1.24</v>
      </c>
      <c r="C94" s="100">
        <v>2.74</v>
      </c>
      <c r="D94" s="100">
        <v>1.36</v>
      </c>
      <c r="E94" s="100">
        <v>5.04</v>
      </c>
      <c r="F94" s="100">
        <v>8.11</v>
      </c>
      <c r="G94" s="100">
        <v>38.78</v>
      </c>
      <c r="H94" s="100">
        <v>13.24</v>
      </c>
      <c r="I94" s="100">
        <v>5.39</v>
      </c>
      <c r="J94" s="100">
        <v>0.11</v>
      </c>
      <c r="K94" s="100">
        <v>161.31</v>
      </c>
      <c r="L94" s="100">
        <v>28</v>
      </c>
      <c r="M94" s="100">
        <v>86.14</v>
      </c>
      <c r="N94" s="100">
        <v>2.1</v>
      </c>
      <c r="O94" s="100">
        <v>0</v>
      </c>
      <c r="P94" s="100">
        <v>0.15</v>
      </c>
      <c r="Q94" s="100">
        <v>10</v>
      </c>
      <c r="R94" s="6"/>
      <c r="S94" s="6"/>
      <c r="T94" s="156"/>
      <c r="U94" s="6"/>
    </row>
    <row r="95" spans="1:21" customFormat="1">
      <c r="A95" s="163" t="s">
        <v>1382</v>
      </c>
      <c r="B95" s="100">
        <v>1.24</v>
      </c>
      <c r="C95" s="100">
        <v>2.87</v>
      </c>
      <c r="D95" s="100">
        <v>1.61</v>
      </c>
      <c r="E95" s="100">
        <v>5.41</v>
      </c>
      <c r="F95" s="100">
        <v>6.22</v>
      </c>
      <c r="G95" s="100">
        <v>38.78</v>
      </c>
      <c r="H95" s="100">
        <v>13.24</v>
      </c>
      <c r="I95" s="100">
        <v>5.34</v>
      </c>
      <c r="J95" s="100">
        <v>0.06</v>
      </c>
      <c r="K95" s="100">
        <v>172.31</v>
      </c>
      <c r="L95" s="100">
        <v>27.93</v>
      </c>
      <c r="M95" s="100">
        <v>86.25</v>
      </c>
      <c r="N95" s="100">
        <v>2.1</v>
      </c>
      <c r="O95" s="100">
        <v>0</v>
      </c>
      <c r="P95" s="100">
        <v>0.15</v>
      </c>
      <c r="Q95" s="100">
        <v>10</v>
      </c>
      <c r="R95" s="6"/>
      <c r="S95" s="6"/>
      <c r="T95" s="156"/>
      <c r="U95" s="6"/>
    </row>
    <row r="96" spans="1:21" customFormat="1">
      <c r="A96" s="163" t="s">
        <v>1383</v>
      </c>
      <c r="B96" s="100">
        <v>1.24</v>
      </c>
      <c r="C96" s="100">
        <v>2.89</v>
      </c>
      <c r="D96" s="100">
        <v>1.65</v>
      </c>
      <c r="E96" s="100">
        <v>4.92</v>
      </c>
      <c r="F96" s="100">
        <v>10.08</v>
      </c>
      <c r="G96" s="100">
        <v>38.94</v>
      </c>
      <c r="H96" s="100">
        <v>14.07</v>
      </c>
      <c r="I96" s="100">
        <v>5.59</v>
      </c>
      <c r="J96" s="100">
        <v>7.0000000000000007E-2</v>
      </c>
      <c r="K96" s="100">
        <v>207.11</v>
      </c>
      <c r="L96" s="100">
        <v>27.86</v>
      </c>
      <c r="M96" s="100">
        <v>86.08</v>
      </c>
      <c r="N96" s="100">
        <v>2.1</v>
      </c>
      <c r="O96" s="100">
        <v>0</v>
      </c>
      <c r="P96" s="100">
        <v>0.16</v>
      </c>
      <c r="Q96" s="100">
        <v>10</v>
      </c>
      <c r="R96" s="6"/>
      <c r="S96" s="6"/>
      <c r="T96" s="156"/>
      <c r="U96" s="6"/>
    </row>
    <row r="97" spans="1:28" customFormat="1">
      <c r="A97" s="163" t="s">
        <v>1384</v>
      </c>
      <c r="B97" s="100">
        <v>1.24</v>
      </c>
      <c r="C97" s="100">
        <v>2.8</v>
      </c>
      <c r="D97" s="100">
        <v>1.48</v>
      </c>
      <c r="E97" s="100">
        <v>4.96</v>
      </c>
      <c r="F97" s="100">
        <v>7.73</v>
      </c>
      <c r="G97" s="100">
        <v>39.619999999999997</v>
      </c>
      <c r="H97" s="100">
        <v>16.739999999999998</v>
      </c>
      <c r="I97" s="100">
        <v>5.51</v>
      </c>
      <c r="J97" s="100">
        <v>0.2</v>
      </c>
      <c r="K97" s="100">
        <v>248.36</v>
      </c>
      <c r="L97" s="100">
        <v>27.98</v>
      </c>
      <c r="M97" s="100">
        <v>85.5</v>
      </c>
      <c r="N97" s="100">
        <v>2</v>
      </c>
      <c r="O97" s="100">
        <v>0</v>
      </c>
      <c r="P97" s="100">
        <v>0.14000000000000001</v>
      </c>
      <c r="Q97" s="100">
        <v>10</v>
      </c>
      <c r="R97" s="6"/>
      <c r="S97" s="6"/>
      <c r="T97" s="156"/>
      <c r="U97" s="6"/>
    </row>
    <row r="98" spans="1:28" customFormat="1">
      <c r="A98" s="163" t="s">
        <v>1385</v>
      </c>
      <c r="B98" s="100">
        <v>1.24</v>
      </c>
      <c r="C98" s="100">
        <v>2.99</v>
      </c>
      <c r="D98" s="100">
        <v>1.84</v>
      </c>
      <c r="E98" s="100">
        <v>5.64</v>
      </c>
      <c r="F98" s="100">
        <v>6.71</v>
      </c>
      <c r="G98" s="100">
        <v>39.619999999999997</v>
      </c>
      <c r="H98" s="100">
        <v>16.739999999999998</v>
      </c>
      <c r="I98" s="100">
        <v>5.32</v>
      </c>
      <c r="J98" s="100">
        <v>0.24</v>
      </c>
      <c r="K98" s="100">
        <v>245.14</v>
      </c>
      <c r="L98" s="100">
        <v>28.05</v>
      </c>
      <c r="M98" s="100">
        <v>84.66</v>
      </c>
      <c r="N98" s="100">
        <v>2.1</v>
      </c>
      <c r="O98" s="100">
        <v>0</v>
      </c>
      <c r="P98" s="100">
        <v>0.16</v>
      </c>
      <c r="Q98" s="100">
        <v>10</v>
      </c>
      <c r="R98" s="6"/>
      <c r="S98" s="6"/>
      <c r="T98" s="156"/>
      <c r="U98" s="6"/>
    </row>
    <row r="99" spans="1:28" customFormat="1">
      <c r="A99" s="163" t="s">
        <v>1386</v>
      </c>
      <c r="B99" s="100">
        <v>1.24</v>
      </c>
      <c r="C99" s="100">
        <v>3.02</v>
      </c>
      <c r="D99" s="100">
        <v>1.9</v>
      </c>
      <c r="E99" s="100">
        <v>5.28</v>
      </c>
      <c r="F99" s="100">
        <v>8.0399999999999991</v>
      </c>
      <c r="G99" s="100">
        <v>39.619999999999997</v>
      </c>
      <c r="H99" s="100">
        <v>16.739999999999998</v>
      </c>
      <c r="I99" s="100">
        <v>5.24</v>
      </c>
      <c r="J99" s="100">
        <v>0.35</v>
      </c>
      <c r="K99" s="100">
        <v>250.2</v>
      </c>
      <c r="L99" s="100">
        <v>28.08</v>
      </c>
      <c r="M99" s="100">
        <v>83.38</v>
      </c>
      <c r="N99" s="100">
        <v>2</v>
      </c>
      <c r="O99" s="100">
        <v>0</v>
      </c>
      <c r="P99" s="100">
        <v>0.14000000000000001</v>
      </c>
      <c r="Q99" s="100">
        <v>10</v>
      </c>
      <c r="R99" s="6"/>
      <c r="S99" s="6"/>
      <c r="T99" s="156"/>
      <c r="U99" s="6"/>
    </row>
    <row r="100" spans="1:28" customFormat="1">
      <c r="A100" s="163" t="s">
        <v>1387</v>
      </c>
      <c r="B100" s="100">
        <v>1.24</v>
      </c>
      <c r="C100" s="100">
        <v>3.03</v>
      </c>
      <c r="D100" s="100">
        <v>1.92</v>
      </c>
      <c r="E100" s="100">
        <v>5.0999999999999996</v>
      </c>
      <c r="F100" s="100">
        <v>5.88</v>
      </c>
      <c r="G100" s="100">
        <v>39.049999999999997</v>
      </c>
      <c r="H100" s="100">
        <v>16.41</v>
      </c>
      <c r="I100" s="100">
        <v>5.33</v>
      </c>
      <c r="J100" s="100">
        <v>0.28999999999999998</v>
      </c>
      <c r="K100" s="100">
        <v>244.04</v>
      </c>
      <c r="L100" s="100">
        <v>28</v>
      </c>
      <c r="M100" s="100">
        <v>83.2</v>
      </c>
      <c r="N100" s="100">
        <v>2.1</v>
      </c>
      <c r="O100" s="100">
        <v>0</v>
      </c>
      <c r="P100" s="100">
        <v>0.14000000000000001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1388</v>
      </c>
      <c r="B101" s="100">
        <v>1.24</v>
      </c>
      <c r="C101" s="100">
        <v>3.16</v>
      </c>
      <c r="D101" s="100">
        <v>2.16</v>
      </c>
      <c r="E101" s="100">
        <v>5.55</v>
      </c>
      <c r="F101" s="100">
        <v>3.43</v>
      </c>
      <c r="G101" s="100">
        <v>36.61</v>
      </c>
      <c r="H101" s="100">
        <v>14.73</v>
      </c>
      <c r="I101" s="100">
        <v>5.17</v>
      </c>
      <c r="J101" s="100">
        <v>0.15</v>
      </c>
      <c r="K101" s="100">
        <v>239.32</v>
      </c>
      <c r="L101" s="100">
        <v>27.82</v>
      </c>
      <c r="M101" s="100">
        <v>84.83</v>
      </c>
      <c r="N101" s="100">
        <v>2.1</v>
      </c>
      <c r="O101" s="100">
        <v>0</v>
      </c>
      <c r="P101" s="100">
        <v>0.16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1389</v>
      </c>
      <c r="B102" s="100">
        <v>1.24</v>
      </c>
      <c r="C102" s="100">
        <v>3.16</v>
      </c>
      <c r="D102" s="100">
        <v>2.15</v>
      </c>
      <c r="E102" s="100">
        <v>5.42</v>
      </c>
      <c r="F102" s="100">
        <v>3.69</v>
      </c>
      <c r="G102" s="100">
        <v>36.61</v>
      </c>
      <c r="H102" s="100">
        <v>14.73</v>
      </c>
      <c r="I102" s="100">
        <v>5.2</v>
      </c>
      <c r="J102" s="100">
        <v>0.13</v>
      </c>
      <c r="K102" s="100">
        <v>246.25</v>
      </c>
      <c r="L102" s="100">
        <v>27.75</v>
      </c>
      <c r="M102" s="100">
        <v>84.78</v>
      </c>
      <c r="N102" s="100">
        <v>2.1</v>
      </c>
      <c r="O102" s="100">
        <v>0</v>
      </c>
      <c r="P102" s="100">
        <v>0.17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1390</v>
      </c>
      <c r="B103" s="100">
        <v>1.24</v>
      </c>
      <c r="C103" s="100">
        <v>2.94</v>
      </c>
      <c r="D103" s="100">
        <v>1.75</v>
      </c>
      <c r="E103" s="100">
        <v>5.47</v>
      </c>
      <c r="F103" s="100">
        <v>3.09</v>
      </c>
      <c r="G103" s="100">
        <v>36.61</v>
      </c>
      <c r="H103" s="100">
        <v>14.73</v>
      </c>
      <c r="I103" s="100">
        <v>5.34</v>
      </c>
      <c r="J103" s="100">
        <v>0.26</v>
      </c>
      <c r="K103" s="100">
        <v>250.39</v>
      </c>
      <c r="L103" s="100">
        <v>27.63</v>
      </c>
      <c r="M103" s="100">
        <v>85.14</v>
      </c>
      <c r="N103" s="100">
        <v>2.1</v>
      </c>
      <c r="O103" s="100">
        <v>0</v>
      </c>
      <c r="P103" s="100">
        <v>0.16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1391</v>
      </c>
      <c r="B104" s="100">
        <v>1.24</v>
      </c>
      <c r="C104" s="100">
        <v>2.94</v>
      </c>
      <c r="D104" s="100">
        <v>1.74</v>
      </c>
      <c r="E104" s="100">
        <v>5.59</v>
      </c>
      <c r="F104" s="100">
        <v>3.57</v>
      </c>
      <c r="G104" s="100">
        <v>36.479999999999997</v>
      </c>
      <c r="H104" s="100">
        <v>14.76</v>
      </c>
      <c r="I104" s="100">
        <v>5.19</v>
      </c>
      <c r="J104" s="100">
        <v>0.35</v>
      </c>
      <c r="K104" s="100">
        <v>246.82</v>
      </c>
      <c r="L104" s="100">
        <v>27.64</v>
      </c>
      <c r="M104" s="100">
        <v>85</v>
      </c>
      <c r="N104" s="100">
        <v>2</v>
      </c>
      <c r="O104" s="100">
        <v>0</v>
      </c>
      <c r="P104" s="100">
        <v>0.16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2.54</v>
      </c>
      <c r="D106" s="158">
        <f t="shared" ref="D106:Q106" si="0">MIN(D9:D104)</f>
        <v>0.97</v>
      </c>
      <c r="E106" s="158">
        <f t="shared" si="0"/>
        <v>4.49</v>
      </c>
      <c r="F106" s="158">
        <f t="shared" si="0"/>
        <v>1.19</v>
      </c>
      <c r="G106" s="158">
        <f t="shared" si="0"/>
        <v>13.68</v>
      </c>
      <c r="H106" s="158">
        <f t="shared" si="0"/>
        <v>4.79</v>
      </c>
      <c r="I106" s="158">
        <f t="shared" si="0"/>
        <v>4.1500000000000004</v>
      </c>
      <c r="J106" s="158">
        <f t="shared" si="0"/>
        <v>0.05</v>
      </c>
      <c r="K106" s="158">
        <f t="shared" si="0"/>
        <v>117.32</v>
      </c>
      <c r="L106" s="158">
        <f t="shared" si="0"/>
        <v>25.91</v>
      </c>
      <c r="M106" s="158">
        <f t="shared" si="0"/>
        <v>63.25</v>
      </c>
      <c r="N106" s="158">
        <f t="shared" si="0"/>
        <v>2</v>
      </c>
      <c r="O106" s="158">
        <f t="shared" si="0"/>
        <v>0</v>
      </c>
      <c r="P106" s="158">
        <f t="shared" si="0"/>
        <v>0.12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2.29</v>
      </c>
      <c r="C107" s="157">
        <f t="shared" ref="C107:Q107" si="1">MAX(C9:C104)</f>
        <v>4.33</v>
      </c>
      <c r="D107" s="157">
        <f t="shared" si="1"/>
        <v>3.18</v>
      </c>
      <c r="E107" s="157">
        <f t="shared" si="1"/>
        <v>6.12</v>
      </c>
      <c r="F107" s="157">
        <f t="shared" si="1"/>
        <v>15.88</v>
      </c>
      <c r="G107" s="157">
        <f t="shared" si="1"/>
        <v>40.86</v>
      </c>
      <c r="H107" s="157">
        <f t="shared" si="1"/>
        <v>16.739999999999998</v>
      </c>
      <c r="I107" s="157">
        <f t="shared" si="1"/>
        <v>6.96</v>
      </c>
      <c r="J107" s="157">
        <f t="shared" si="1"/>
        <v>1.17</v>
      </c>
      <c r="K107" s="157">
        <f t="shared" si="1"/>
        <v>281.27</v>
      </c>
      <c r="L107" s="157">
        <f t="shared" si="1"/>
        <v>32.51</v>
      </c>
      <c r="M107" s="157">
        <f t="shared" si="1"/>
        <v>92.51</v>
      </c>
      <c r="N107" s="157">
        <f t="shared" si="1"/>
        <v>841.4</v>
      </c>
      <c r="O107" s="157">
        <f t="shared" si="1"/>
        <v>0</v>
      </c>
      <c r="P107" s="157">
        <f t="shared" si="1"/>
        <v>0.34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1.3658333333333312</v>
      </c>
      <c r="C108" s="158">
        <f t="shared" ref="C108:Q108" si="2">AVERAGE(C9:C104)</f>
        <v>3.1965624999999993</v>
      </c>
      <c r="D108" s="158">
        <f t="shared" si="2"/>
        <v>2.0389583333333343</v>
      </c>
      <c r="E108" s="158">
        <f t="shared" si="2"/>
        <v>5.2656250000000027</v>
      </c>
      <c r="F108" s="158">
        <f t="shared" si="2"/>
        <v>4.5610416666666671</v>
      </c>
      <c r="G108" s="158">
        <f t="shared" si="2"/>
        <v>29.463020833333342</v>
      </c>
      <c r="H108" s="158">
        <f t="shared" si="2"/>
        <v>12.243333333333327</v>
      </c>
      <c r="I108" s="158">
        <f t="shared" si="2"/>
        <v>5.5633333333333326</v>
      </c>
      <c r="J108" s="158">
        <f t="shared" si="2"/>
        <v>0.49395833333333333</v>
      </c>
      <c r="K108" s="158">
        <f t="shared" si="2"/>
        <v>240.54458333333332</v>
      </c>
      <c r="L108" s="158">
        <f t="shared" si="2"/>
        <v>28.667708333333348</v>
      </c>
      <c r="M108" s="158">
        <f t="shared" si="2"/>
        <v>80.015104166666674</v>
      </c>
      <c r="N108" s="158">
        <f t="shared" si="2"/>
        <v>126.3614583333334</v>
      </c>
      <c r="O108" s="158">
        <f t="shared" si="2"/>
        <v>0</v>
      </c>
      <c r="P108" s="158">
        <f t="shared" si="2"/>
        <v>0.22635416666666672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0.29152472736745727</v>
      </c>
      <c r="C109" s="158">
        <f t="shared" ref="C109:Q109" si="3">STDEV(C9:C104)</f>
        <v>0.50768790273055708</v>
      </c>
      <c r="D109" s="158">
        <f t="shared" si="3"/>
        <v>0.62972421560496827</v>
      </c>
      <c r="E109" s="158">
        <f t="shared" si="3"/>
        <v>0.43644451627838537</v>
      </c>
      <c r="F109" s="158">
        <f t="shared" si="3"/>
        <v>2.859842277272858</v>
      </c>
      <c r="G109" s="158">
        <f t="shared" si="3"/>
        <v>8.9968607530675726</v>
      </c>
      <c r="H109" s="158">
        <f t="shared" si="3"/>
        <v>3.5395749571372459</v>
      </c>
      <c r="I109" s="158">
        <f t="shared" si="3"/>
        <v>0.71448865287541419</v>
      </c>
      <c r="J109" s="158">
        <f t="shared" si="3"/>
        <v>0.30570188149711652</v>
      </c>
      <c r="K109" s="158">
        <f t="shared" si="3"/>
        <v>33.32626850483198</v>
      </c>
      <c r="L109" s="158">
        <f t="shared" si="3"/>
        <v>2.1217939178498373</v>
      </c>
      <c r="M109" s="158">
        <f t="shared" si="3"/>
        <v>9.7174998944975055</v>
      </c>
      <c r="N109" s="158">
        <f t="shared" si="3"/>
        <v>190.41269106852133</v>
      </c>
      <c r="O109" s="158">
        <f t="shared" si="3"/>
        <v>0</v>
      </c>
      <c r="P109" s="158">
        <f t="shared" si="3"/>
        <v>5.6216120401379716E-2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4" sqref="I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1392</v>
      </c>
      <c r="B9" s="100">
        <v>1.59</v>
      </c>
      <c r="C9" s="100">
        <v>3.49</v>
      </c>
      <c r="D9" s="100">
        <v>2.2599999999999998</v>
      </c>
      <c r="E9" s="100">
        <v>5.53</v>
      </c>
      <c r="F9" s="100">
        <v>3.24</v>
      </c>
      <c r="G9" s="100">
        <v>35.92</v>
      </c>
      <c r="H9" s="100">
        <v>14.84</v>
      </c>
      <c r="I9" s="100">
        <v>5.1100000000000003</v>
      </c>
      <c r="J9" s="100">
        <v>0.28000000000000003</v>
      </c>
      <c r="K9" s="100">
        <v>247.18</v>
      </c>
      <c r="L9" s="100">
        <v>27.59</v>
      </c>
      <c r="M9" s="100">
        <v>85.49</v>
      </c>
      <c r="N9" s="100">
        <v>2.1</v>
      </c>
      <c r="O9" s="100">
        <v>0</v>
      </c>
      <c r="P9" s="100">
        <v>0.16</v>
      </c>
      <c r="Q9" s="100">
        <v>10</v>
      </c>
      <c r="R9" s="6"/>
      <c r="S9" s="6"/>
      <c r="T9" s="156"/>
      <c r="U9" s="6"/>
    </row>
    <row r="10" spans="1:21" customFormat="1">
      <c r="A10" s="163" t="s">
        <v>1393</v>
      </c>
      <c r="B10" s="100">
        <v>1.68</v>
      </c>
      <c r="C10" s="100">
        <v>3.72</v>
      </c>
      <c r="D10" s="100">
        <v>2.57</v>
      </c>
      <c r="E10" s="100">
        <v>5.6</v>
      </c>
      <c r="F10" s="100">
        <v>2.19</v>
      </c>
      <c r="G10" s="100">
        <v>35.92</v>
      </c>
      <c r="H10" s="100">
        <v>14.84</v>
      </c>
      <c r="I10" s="100">
        <v>4.93</v>
      </c>
      <c r="J10" s="100">
        <v>0.3</v>
      </c>
      <c r="K10" s="100">
        <v>248.27</v>
      </c>
      <c r="L10" s="100">
        <v>27.49</v>
      </c>
      <c r="M10" s="100">
        <v>86</v>
      </c>
      <c r="N10" s="100">
        <v>2.1</v>
      </c>
      <c r="O10" s="100">
        <v>0</v>
      </c>
      <c r="P10" s="100">
        <v>0.15</v>
      </c>
      <c r="Q10" s="100">
        <v>10</v>
      </c>
      <c r="R10" s="6"/>
      <c r="S10" s="6"/>
      <c r="T10" s="156"/>
      <c r="U10" s="6"/>
    </row>
    <row r="11" spans="1:21" customFormat="1">
      <c r="A11" s="163" t="s">
        <v>1394</v>
      </c>
      <c r="B11" s="100">
        <v>1.72</v>
      </c>
      <c r="C11" s="100">
        <v>4.03</v>
      </c>
      <c r="D11" s="100">
        <v>3.08</v>
      </c>
      <c r="E11" s="100">
        <v>5.69</v>
      </c>
      <c r="F11" s="100">
        <v>2.54</v>
      </c>
      <c r="G11" s="100">
        <v>35.92</v>
      </c>
      <c r="H11" s="100">
        <v>14.84</v>
      </c>
      <c r="I11" s="100">
        <v>4.8899999999999997</v>
      </c>
      <c r="J11" s="100">
        <v>0.26</v>
      </c>
      <c r="K11" s="100">
        <v>244.46</v>
      </c>
      <c r="L11" s="100">
        <v>27.48</v>
      </c>
      <c r="M11" s="100">
        <v>85.77</v>
      </c>
      <c r="N11" s="100">
        <v>2</v>
      </c>
      <c r="O11" s="100">
        <v>0</v>
      </c>
      <c r="P11" s="100">
        <v>0.15</v>
      </c>
      <c r="Q11" s="100">
        <v>10</v>
      </c>
      <c r="R11" s="6"/>
      <c r="S11" s="6"/>
      <c r="T11" s="156"/>
      <c r="U11" s="6"/>
    </row>
    <row r="12" spans="1:21" customFormat="1">
      <c r="A12" s="163" t="s">
        <v>1395</v>
      </c>
      <c r="B12" s="100">
        <v>1.75</v>
      </c>
      <c r="C12" s="100">
        <v>3.96</v>
      </c>
      <c r="D12" s="100">
        <v>2.92</v>
      </c>
      <c r="E12" s="100">
        <v>5.58</v>
      </c>
      <c r="F12" s="100">
        <v>2.95</v>
      </c>
      <c r="G12" s="100">
        <v>35.18</v>
      </c>
      <c r="H12" s="100">
        <v>15.26</v>
      </c>
      <c r="I12" s="100">
        <v>4.8499999999999996</v>
      </c>
      <c r="J12" s="100">
        <v>0.34</v>
      </c>
      <c r="K12" s="100">
        <v>248.03</v>
      </c>
      <c r="L12" s="100">
        <v>27.46</v>
      </c>
      <c r="M12" s="100">
        <v>85.28</v>
      </c>
      <c r="N12" s="100">
        <v>2.1</v>
      </c>
      <c r="O12" s="100">
        <v>0</v>
      </c>
      <c r="P12" s="100">
        <v>0.14000000000000001</v>
      </c>
      <c r="Q12" s="100">
        <v>10</v>
      </c>
      <c r="R12" s="6"/>
      <c r="S12" s="6"/>
      <c r="T12" s="156"/>
      <c r="U12" s="6"/>
    </row>
    <row r="13" spans="1:21" customFormat="1">
      <c r="A13" s="163" t="s">
        <v>1396</v>
      </c>
      <c r="B13" s="100">
        <v>1.69</v>
      </c>
      <c r="C13" s="100">
        <v>3.87</v>
      </c>
      <c r="D13" s="100">
        <v>2.84</v>
      </c>
      <c r="E13" s="100">
        <v>5.59</v>
      </c>
      <c r="F13" s="100">
        <v>2.17</v>
      </c>
      <c r="G13" s="100">
        <v>32</v>
      </c>
      <c r="H13" s="100">
        <v>16.59</v>
      </c>
      <c r="I13" s="100">
        <v>4.67</v>
      </c>
      <c r="J13" s="100">
        <v>0.27</v>
      </c>
      <c r="K13" s="100">
        <v>250.19</v>
      </c>
      <c r="L13" s="100">
        <v>27.44</v>
      </c>
      <c r="M13" s="100">
        <v>84.81</v>
      </c>
      <c r="N13" s="100">
        <v>2.1</v>
      </c>
      <c r="O13" s="100">
        <v>0</v>
      </c>
      <c r="P13" s="100">
        <v>0.14000000000000001</v>
      </c>
      <c r="Q13" s="100">
        <v>10</v>
      </c>
      <c r="R13" s="6"/>
      <c r="S13" s="6"/>
      <c r="T13" s="156"/>
      <c r="U13" s="6"/>
    </row>
    <row r="14" spans="1:21" customFormat="1">
      <c r="A14" s="163" t="s">
        <v>1397</v>
      </c>
      <c r="B14" s="100">
        <v>1.66</v>
      </c>
      <c r="C14" s="100">
        <v>3.79</v>
      </c>
      <c r="D14" s="100">
        <v>2.74</v>
      </c>
      <c r="E14" s="100">
        <v>5.4</v>
      </c>
      <c r="F14" s="100">
        <v>2.2799999999999998</v>
      </c>
      <c r="G14" s="100">
        <v>32</v>
      </c>
      <c r="H14" s="100">
        <v>16.59</v>
      </c>
      <c r="I14" s="100">
        <v>4.55</v>
      </c>
      <c r="J14" s="100">
        <v>0.26</v>
      </c>
      <c r="K14" s="100">
        <v>246.24</v>
      </c>
      <c r="L14" s="100">
        <v>27.39</v>
      </c>
      <c r="M14" s="100">
        <v>85.3</v>
      </c>
      <c r="N14" s="100">
        <v>2.1</v>
      </c>
      <c r="O14" s="100">
        <v>0</v>
      </c>
      <c r="P14" s="100">
        <v>0.13</v>
      </c>
      <c r="Q14" s="100">
        <v>10</v>
      </c>
      <c r="R14" s="6"/>
      <c r="S14" s="6"/>
      <c r="T14" s="156"/>
      <c r="U14" s="6"/>
    </row>
    <row r="15" spans="1:21" customFormat="1">
      <c r="A15" s="163" t="s">
        <v>1398</v>
      </c>
      <c r="B15" s="100">
        <v>1.62</v>
      </c>
      <c r="C15" s="100">
        <v>3.51</v>
      </c>
      <c r="D15" s="100">
        <v>2.2400000000000002</v>
      </c>
      <c r="E15" s="100">
        <v>5.49</v>
      </c>
      <c r="F15" s="100">
        <v>2.2999999999999998</v>
      </c>
      <c r="G15" s="100">
        <v>32</v>
      </c>
      <c r="H15" s="100">
        <v>16.59</v>
      </c>
      <c r="I15" s="100">
        <v>4.43</v>
      </c>
      <c r="J15" s="100">
        <v>0.44</v>
      </c>
      <c r="K15" s="100">
        <v>248.74</v>
      </c>
      <c r="L15" s="100">
        <v>27.33</v>
      </c>
      <c r="M15" s="100">
        <v>84.7</v>
      </c>
      <c r="N15" s="100">
        <v>2.1</v>
      </c>
      <c r="O15" s="100">
        <v>0</v>
      </c>
      <c r="P15" s="100">
        <v>0.13</v>
      </c>
      <c r="Q15" s="100">
        <v>10</v>
      </c>
      <c r="R15" s="6"/>
      <c r="S15" s="6"/>
      <c r="T15" s="156"/>
      <c r="U15" s="6"/>
    </row>
    <row r="16" spans="1:21" customFormat="1">
      <c r="A16" s="163" t="s">
        <v>1399</v>
      </c>
      <c r="B16" s="100">
        <v>1.68</v>
      </c>
      <c r="C16" s="100">
        <v>3.61</v>
      </c>
      <c r="D16" s="100">
        <v>2.36</v>
      </c>
      <c r="E16" s="100">
        <v>5.62</v>
      </c>
      <c r="F16" s="100">
        <v>3.22</v>
      </c>
      <c r="G16" s="100">
        <v>31.73</v>
      </c>
      <c r="H16" s="100">
        <v>15.74</v>
      </c>
      <c r="I16" s="100">
        <v>4.41</v>
      </c>
      <c r="J16" s="100">
        <v>0.37</v>
      </c>
      <c r="K16" s="100">
        <v>246.04</v>
      </c>
      <c r="L16" s="100">
        <v>27.29</v>
      </c>
      <c r="M16" s="100">
        <v>84.49</v>
      </c>
      <c r="N16" s="100">
        <v>2.1</v>
      </c>
      <c r="O16" s="100">
        <v>0</v>
      </c>
      <c r="P16" s="100">
        <v>0.13</v>
      </c>
      <c r="Q16" s="100">
        <v>10</v>
      </c>
      <c r="R16" s="6"/>
      <c r="S16" s="6"/>
      <c r="T16" s="156"/>
      <c r="U16" s="6"/>
    </row>
    <row r="17" spans="1:21" customFormat="1">
      <c r="A17" s="163" t="s">
        <v>1400</v>
      </c>
      <c r="B17" s="100">
        <v>1.58</v>
      </c>
      <c r="C17" s="100">
        <v>3.63</v>
      </c>
      <c r="D17" s="100">
        <v>2.5299999999999998</v>
      </c>
      <c r="E17" s="100">
        <v>4.3899999999999997</v>
      </c>
      <c r="F17" s="100">
        <v>1.51</v>
      </c>
      <c r="G17" s="100">
        <v>30.47</v>
      </c>
      <c r="H17" s="100">
        <v>12.86</v>
      </c>
      <c r="I17" s="100">
        <v>4.34</v>
      </c>
      <c r="J17" s="100">
        <v>0.5</v>
      </c>
      <c r="K17" s="100">
        <v>245.72</v>
      </c>
      <c r="L17" s="100">
        <v>27.37</v>
      </c>
      <c r="M17" s="100">
        <v>82.93</v>
      </c>
      <c r="N17" s="100">
        <v>2</v>
      </c>
      <c r="O17" s="100">
        <v>0</v>
      </c>
      <c r="P17" s="100">
        <v>0.13</v>
      </c>
      <c r="Q17" s="100">
        <v>10</v>
      </c>
      <c r="R17" s="6"/>
      <c r="S17" s="6"/>
      <c r="T17" s="156"/>
      <c r="U17" s="6"/>
    </row>
    <row r="18" spans="1:21" customFormat="1">
      <c r="A18" s="163" t="s">
        <v>1401</v>
      </c>
      <c r="B18" s="100">
        <v>1.61</v>
      </c>
      <c r="C18" s="100">
        <v>3.72</v>
      </c>
      <c r="D18" s="100">
        <v>2.66</v>
      </c>
      <c r="E18" s="100">
        <v>5.63</v>
      </c>
      <c r="F18" s="100">
        <v>1.8</v>
      </c>
      <c r="G18" s="100">
        <v>30.47</v>
      </c>
      <c r="H18" s="100">
        <v>12.86</v>
      </c>
      <c r="I18" s="100">
        <v>4.13</v>
      </c>
      <c r="J18" s="100">
        <v>0.54</v>
      </c>
      <c r="K18" s="100">
        <v>244.82</v>
      </c>
      <c r="L18" s="100">
        <v>27.46</v>
      </c>
      <c r="M18" s="100">
        <v>81.900000000000006</v>
      </c>
      <c r="N18" s="100">
        <v>1.9</v>
      </c>
      <c r="O18" s="100">
        <v>0</v>
      </c>
      <c r="P18" s="100">
        <v>0.12</v>
      </c>
      <c r="Q18" s="100">
        <v>10</v>
      </c>
      <c r="R18" s="6"/>
      <c r="S18" s="6"/>
      <c r="T18" s="156"/>
      <c r="U18" s="6"/>
    </row>
    <row r="19" spans="1:21" customFormat="1">
      <c r="A19" s="163" t="s">
        <v>1402</v>
      </c>
      <c r="B19" s="100">
        <v>1.6</v>
      </c>
      <c r="C19" s="100">
        <v>3.54</v>
      </c>
      <c r="D19" s="100">
        <v>2.35</v>
      </c>
      <c r="E19" s="100">
        <v>5.46</v>
      </c>
      <c r="F19" s="100">
        <v>2.8</v>
      </c>
      <c r="G19" s="100">
        <v>30.47</v>
      </c>
      <c r="H19" s="100">
        <v>12.86</v>
      </c>
      <c r="I19" s="100">
        <v>4.17</v>
      </c>
      <c r="J19" s="100">
        <v>0.51</v>
      </c>
      <c r="K19" s="100">
        <v>247.88</v>
      </c>
      <c r="L19" s="100">
        <v>27.44</v>
      </c>
      <c r="M19" s="100">
        <v>81.56</v>
      </c>
      <c r="N19" s="100">
        <v>2.1</v>
      </c>
      <c r="O19" s="100">
        <v>0</v>
      </c>
      <c r="P19" s="100">
        <v>0.12</v>
      </c>
      <c r="Q19" s="100">
        <v>10</v>
      </c>
      <c r="R19" s="6"/>
      <c r="S19" s="6"/>
      <c r="T19" s="156"/>
      <c r="U19" s="6"/>
    </row>
    <row r="20" spans="1:21" customFormat="1">
      <c r="A20" s="163" t="s">
        <v>1403</v>
      </c>
      <c r="B20" s="100">
        <v>1.63</v>
      </c>
      <c r="C20" s="100">
        <v>3.7</v>
      </c>
      <c r="D20" s="100">
        <v>2.59</v>
      </c>
      <c r="E20" s="100">
        <v>5.59</v>
      </c>
      <c r="F20" s="100">
        <v>2.21</v>
      </c>
      <c r="G20" s="100">
        <v>30.24</v>
      </c>
      <c r="H20" s="100">
        <v>12.77</v>
      </c>
      <c r="I20" s="100">
        <v>4.12</v>
      </c>
      <c r="J20" s="100">
        <v>0.35</v>
      </c>
      <c r="K20" s="100">
        <v>249.17</v>
      </c>
      <c r="L20" s="100">
        <v>27.33</v>
      </c>
      <c r="M20" s="100">
        <v>81.84</v>
      </c>
      <c r="N20" s="100">
        <v>2.1</v>
      </c>
      <c r="O20" s="100">
        <v>0</v>
      </c>
      <c r="P20" s="100">
        <v>0.12</v>
      </c>
      <c r="Q20" s="100">
        <v>10</v>
      </c>
      <c r="R20" s="6"/>
      <c r="S20" s="6"/>
      <c r="T20" s="156"/>
      <c r="U20" s="6"/>
    </row>
    <row r="21" spans="1:21" customFormat="1">
      <c r="A21" s="163" t="s">
        <v>1404</v>
      </c>
      <c r="B21" s="100">
        <v>1.65</v>
      </c>
      <c r="C21" s="100">
        <v>3.84</v>
      </c>
      <c r="D21" s="100">
        <v>2.85</v>
      </c>
      <c r="E21" s="100">
        <v>5.39</v>
      </c>
      <c r="F21" s="100">
        <v>1.26</v>
      </c>
      <c r="G21" s="100">
        <v>29.18</v>
      </c>
      <c r="H21" s="100">
        <v>12.34</v>
      </c>
      <c r="I21" s="100">
        <v>4.01</v>
      </c>
      <c r="J21" s="100">
        <v>0.4</v>
      </c>
      <c r="K21" s="100">
        <v>247.54</v>
      </c>
      <c r="L21" s="100">
        <v>27.13</v>
      </c>
      <c r="M21" s="100">
        <v>82.97</v>
      </c>
      <c r="N21" s="100">
        <v>2.1</v>
      </c>
      <c r="O21" s="100">
        <v>0</v>
      </c>
      <c r="P21" s="100">
        <v>0.12</v>
      </c>
      <c r="Q21" s="100">
        <v>10</v>
      </c>
      <c r="R21" s="6"/>
      <c r="S21" s="6"/>
      <c r="T21" s="156"/>
      <c r="U21" s="6"/>
    </row>
    <row r="22" spans="1:21" customFormat="1">
      <c r="A22" s="163" t="s">
        <v>1405</v>
      </c>
      <c r="B22" s="100">
        <v>1.71</v>
      </c>
      <c r="C22" s="100">
        <v>3.75</v>
      </c>
      <c r="D22" s="100">
        <v>2.57</v>
      </c>
      <c r="E22" s="100">
        <v>5.58</v>
      </c>
      <c r="F22" s="100">
        <v>2.44</v>
      </c>
      <c r="G22" s="100">
        <v>29.18</v>
      </c>
      <c r="H22" s="100">
        <v>12.34</v>
      </c>
      <c r="I22" s="100">
        <v>4.04</v>
      </c>
      <c r="J22" s="100">
        <v>0.35</v>
      </c>
      <c r="K22" s="100">
        <v>245.99</v>
      </c>
      <c r="L22" s="100">
        <v>26.94</v>
      </c>
      <c r="M22" s="100">
        <v>84.02</v>
      </c>
      <c r="N22" s="100">
        <v>2.1</v>
      </c>
      <c r="O22" s="100">
        <v>0</v>
      </c>
      <c r="P22" s="100">
        <v>0.12</v>
      </c>
      <c r="Q22" s="100">
        <v>10</v>
      </c>
      <c r="R22" s="6"/>
      <c r="S22" s="6"/>
      <c r="T22" s="156"/>
      <c r="U22" s="6"/>
    </row>
    <row r="23" spans="1:21" customFormat="1">
      <c r="A23" s="163" t="s">
        <v>1406</v>
      </c>
      <c r="B23" s="100">
        <v>1.62</v>
      </c>
      <c r="C23" s="100">
        <v>3.63</v>
      </c>
      <c r="D23" s="100">
        <v>2.48</v>
      </c>
      <c r="E23" s="100">
        <v>5.35</v>
      </c>
      <c r="F23" s="100">
        <v>2.25</v>
      </c>
      <c r="G23" s="100">
        <v>29.18</v>
      </c>
      <c r="H23" s="100">
        <v>12.34</v>
      </c>
      <c r="I23" s="100">
        <v>4.16</v>
      </c>
      <c r="J23" s="100">
        <v>0.27</v>
      </c>
      <c r="K23" s="100">
        <v>243.04</v>
      </c>
      <c r="L23" s="100">
        <v>26.76</v>
      </c>
      <c r="M23" s="100">
        <v>85.52</v>
      </c>
      <c r="N23" s="100">
        <v>2.1</v>
      </c>
      <c r="O23" s="100">
        <v>0</v>
      </c>
      <c r="P23" s="100">
        <v>0.12</v>
      </c>
      <c r="Q23" s="100">
        <v>10</v>
      </c>
      <c r="R23" s="6"/>
      <c r="S23" s="6"/>
      <c r="T23" s="156"/>
      <c r="U23" s="6"/>
    </row>
    <row r="24" spans="1:21" customFormat="1">
      <c r="A24" s="163" t="s">
        <v>1407</v>
      </c>
      <c r="B24" s="100">
        <v>1.65</v>
      </c>
      <c r="C24" s="100">
        <v>3.75</v>
      </c>
      <c r="D24" s="100">
        <v>2.67</v>
      </c>
      <c r="E24" s="100">
        <v>5.59</v>
      </c>
      <c r="F24" s="100">
        <v>0.84</v>
      </c>
      <c r="G24" s="100">
        <v>29.78</v>
      </c>
      <c r="H24" s="100">
        <v>12.17</v>
      </c>
      <c r="I24" s="100">
        <v>4.13</v>
      </c>
      <c r="J24" s="100">
        <v>0.12</v>
      </c>
      <c r="K24" s="100">
        <v>168.73</v>
      </c>
      <c r="L24" s="100">
        <v>26.67</v>
      </c>
      <c r="M24" s="100">
        <v>86.46</v>
      </c>
      <c r="N24" s="100">
        <v>2.1</v>
      </c>
      <c r="O24" s="100">
        <v>0</v>
      </c>
      <c r="P24" s="100">
        <v>0.12</v>
      </c>
      <c r="Q24" s="100">
        <v>10</v>
      </c>
      <c r="R24" s="6"/>
      <c r="S24" s="6"/>
      <c r="T24" s="156"/>
      <c r="U24" s="6"/>
    </row>
    <row r="25" spans="1:21" customFormat="1">
      <c r="A25" s="163" t="s">
        <v>1408</v>
      </c>
      <c r="B25" s="100">
        <v>1.69</v>
      </c>
      <c r="C25" s="100">
        <v>3.69</v>
      </c>
      <c r="D25" s="100">
        <v>2.4900000000000002</v>
      </c>
      <c r="E25" s="100">
        <v>5.21</v>
      </c>
      <c r="F25" s="100">
        <v>1.64</v>
      </c>
      <c r="G25" s="100">
        <v>32.58</v>
      </c>
      <c r="H25" s="100">
        <v>11.57</v>
      </c>
      <c r="I25" s="100">
        <v>4.24</v>
      </c>
      <c r="J25" s="100">
        <v>0.15</v>
      </c>
      <c r="K25" s="100">
        <v>151.38999999999999</v>
      </c>
      <c r="L25" s="100">
        <v>26.45</v>
      </c>
      <c r="M25" s="100">
        <v>88.52</v>
      </c>
      <c r="N25" s="100">
        <v>2.1</v>
      </c>
      <c r="O25" s="100">
        <v>0</v>
      </c>
      <c r="P25" s="100">
        <v>0.11</v>
      </c>
      <c r="Q25" s="100">
        <v>10</v>
      </c>
      <c r="R25" s="6"/>
      <c r="S25" s="6"/>
      <c r="T25" s="156"/>
      <c r="U25" s="6"/>
    </row>
    <row r="26" spans="1:21" customFormat="1">
      <c r="A26" s="163" t="s">
        <v>1409</v>
      </c>
      <c r="B26" s="100">
        <v>1.76</v>
      </c>
      <c r="C26" s="100">
        <v>3.8</v>
      </c>
      <c r="D26" s="100">
        <v>2.58</v>
      </c>
      <c r="E26" s="100">
        <v>5.0599999999999996</v>
      </c>
      <c r="F26" s="100">
        <v>2.82</v>
      </c>
      <c r="G26" s="100">
        <v>32.58</v>
      </c>
      <c r="H26" s="100">
        <v>11.57</v>
      </c>
      <c r="I26" s="100">
        <v>4.3099999999999996</v>
      </c>
      <c r="J26" s="100">
        <v>0.12</v>
      </c>
      <c r="K26" s="100">
        <v>154.30000000000001</v>
      </c>
      <c r="L26" s="100">
        <v>26.27</v>
      </c>
      <c r="M26" s="100">
        <v>89.78</v>
      </c>
      <c r="N26" s="100">
        <v>2.1</v>
      </c>
      <c r="O26" s="100">
        <v>0</v>
      </c>
      <c r="P26" s="100">
        <v>0.09</v>
      </c>
      <c r="Q26" s="100">
        <v>10</v>
      </c>
      <c r="R26" s="6"/>
      <c r="S26" s="6"/>
      <c r="T26" s="156"/>
      <c r="U26" s="6"/>
    </row>
    <row r="27" spans="1:21" customFormat="1">
      <c r="A27" s="163" t="s">
        <v>1410</v>
      </c>
      <c r="B27" s="100">
        <v>1.82</v>
      </c>
      <c r="C27" s="100">
        <v>3.76</v>
      </c>
      <c r="D27" s="100">
        <v>2.41</v>
      </c>
      <c r="E27" s="100">
        <v>4.63</v>
      </c>
      <c r="F27" s="100">
        <v>2.96</v>
      </c>
      <c r="G27" s="100">
        <v>32.58</v>
      </c>
      <c r="H27" s="100">
        <v>11.57</v>
      </c>
      <c r="I27" s="100">
        <v>4.3499999999999996</v>
      </c>
      <c r="J27" s="100">
        <v>0.12</v>
      </c>
      <c r="K27" s="100">
        <v>153.66999999999999</v>
      </c>
      <c r="L27" s="100">
        <v>26.09</v>
      </c>
      <c r="M27" s="100">
        <v>90.87</v>
      </c>
      <c r="N27" s="100">
        <v>2.1</v>
      </c>
      <c r="O27" s="100">
        <v>0</v>
      </c>
      <c r="P27" s="100">
        <v>0.08</v>
      </c>
      <c r="Q27" s="100">
        <v>10</v>
      </c>
      <c r="R27" s="6"/>
      <c r="S27" s="6"/>
      <c r="T27" s="156"/>
      <c r="U27" s="6"/>
    </row>
    <row r="28" spans="1:21" customFormat="1">
      <c r="A28" s="163" t="s">
        <v>1411</v>
      </c>
      <c r="B28" s="100">
        <v>1.93</v>
      </c>
      <c r="C28" s="100">
        <v>3.83</v>
      </c>
      <c r="D28" s="100">
        <v>2.39</v>
      </c>
      <c r="E28" s="100">
        <v>4.8099999999999996</v>
      </c>
      <c r="F28" s="100">
        <v>3.09</v>
      </c>
      <c r="G28" s="100">
        <v>32.36</v>
      </c>
      <c r="H28" s="100">
        <v>11.05</v>
      </c>
      <c r="I28" s="100">
        <v>4.34</v>
      </c>
      <c r="J28" s="100">
        <v>0.12</v>
      </c>
      <c r="K28" s="100">
        <v>147.88999999999999</v>
      </c>
      <c r="L28" s="100">
        <v>25.97</v>
      </c>
      <c r="M28" s="100">
        <v>92.11</v>
      </c>
      <c r="N28" s="100">
        <v>2</v>
      </c>
      <c r="O28" s="100">
        <v>0</v>
      </c>
      <c r="P28" s="100">
        <v>0.11</v>
      </c>
      <c r="Q28" s="100">
        <v>10</v>
      </c>
      <c r="R28" s="6"/>
      <c r="S28" s="6"/>
      <c r="T28" s="156"/>
      <c r="U28" s="6"/>
    </row>
    <row r="29" spans="1:21" customFormat="1">
      <c r="A29" s="163" t="s">
        <v>1412</v>
      </c>
      <c r="B29" s="100">
        <v>2.06</v>
      </c>
      <c r="C29" s="100">
        <v>3.96</v>
      </c>
      <c r="D29" s="100">
        <v>2.44</v>
      </c>
      <c r="E29" s="100">
        <v>4.92</v>
      </c>
      <c r="F29" s="100">
        <v>2.4300000000000002</v>
      </c>
      <c r="G29" s="100">
        <v>31.34</v>
      </c>
      <c r="H29" s="100">
        <v>9.41</v>
      </c>
      <c r="I29" s="100">
        <v>4.33</v>
      </c>
      <c r="J29" s="100">
        <v>0.11</v>
      </c>
      <c r="K29" s="100">
        <v>166.32</v>
      </c>
      <c r="L29" s="100">
        <v>25.84</v>
      </c>
      <c r="M29" s="100">
        <v>94.08</v>
      </c>
      <c r="N29" s="100">
        <v>2.1</v>
      </c>
      <c r="O29" s="100">
        <v>0</v>
      </c>
      <c r="P29" s="100">
        <v>0.1</v>
      </c>
      <c r="Q29" s="100">
        <v>10</v>
      </c>
      <c r="R29" s="6"/>
      <c r="S29" s="6"/>
      <c r="T29" s="156"/>
      <c r="U29" s="6"/>
    </row>
    <row r="30" spans="1:21" customFormat="1">
      <c r="A30" s="163" t="s">
        <v>1413</v>
      </c>
      <c r="B30" s="100">
        <v>2.16</v>
      </c>
      <c r="C30" s="100">
        <v>4.05</v>
      </c>
      <c r="D30" s="100">
        <v>2.4500000000000002</v>
      </c>
      <c r="E30" s="100">
        <v>4.88</v>
      </c>
      <c r="F30" s="100">
        <v>2.78</v>
      </c>
      <c r="G30" s="100">
        <v>31.34</v>
      </c>
      <c r="H30" s="100">
        <v>9.41</v>
      </c>
      <c r="I30" s="100">
        <v>4.51</v>
      </c>
      <c r="J30" s="100">
        <v>0.09</v>
      </c>
      <c r="K30" s="100">
        <v>156.5</v>
      </c>
      <c r="L30" s="100">
        <v>25.66</v>
      </c>
      <c r="M30" s="100">
        <v>95.44</v>
      </c>
      <c r="N30" s="100">
        <v>2.5</v>
      </c>
      <c r="O30" s="100">
        <v>0</v>
      </c>
      <c r="P30" s="100">
        <v>0.09</v>
      </c>
      <c r="Q30" s="100">
        <v>10</v>
      </c>
      <c r="R30" s="6"/>
      <c r="S30" s="6"/>
      <c r="T30" s="156"/>
      <c r="U30" s="6"/>
    </row>
    <row r="31" spans="1:21" customFormat="1">
      <c r="A31" s="163" t="s">
        <v>1414</v>
      </c>
      <c r="B31" s="100">
        <v>2.0699999999999998</v>
      </c>
      <c r="C31" s="100">
        <v>4.1500000000000004</v>
      </c>
      <c r="D31" s="100">
        <v>2.78</v>
      </c>
      <c r="E31" s="100">
        <v>4.8499999999999996</v>
      </c>
      <c r="F31" s="100">
        <v>1.83</v>
      </c>
      <c r="G31" s="100">
        <v>31.34</v>
      </c>
      <c r="H31" s="100">
        <v>9.41</v>
      </c>
      <c r="I31" s="100">
        <v>4.5</v>
      </c>
      <c r="J31" s="100">
        <v>0.09</v>
      </c>
      <c r="K31" s="100">
        <v>159.31</v>
      </c>
      <c r="L31" s="100">
        <v>25.6</v>
      </c>
      <c r="M31" s="100">
        <v>95.04</v>
      </c>
      <c r="N31" s="100">
        <v>7.1</v>
      </c>
      <c r="O31" s="100">
        <v>0</v>
      </c>
      <c r="P31" s="100">
        <v>0.11</v>
      </c>
      <c r="Q31" s="100">
        <v>10</v>
      </c>
      <c r="R31" s="6"/>
      <c r="S31" s="6"/>
      <c r="T31" s="156"/>
      <c r="U31" s="6"/>
    </row>
    <row r="32" spans="1:21" customFormat="1">
      <c r="A32" s="163" t="s">
        <v>1415</v>
      </c>
      <c r="B32" s="100">
        <v>2.11</v>
      </c>
      <c r="C32" s="100">
        <v>4.24</v>
      </c>
      <c r="D32" s="100">
        <v>2.9</v>
      </c>
      <c r="E32" s="100">
        <v>4.8899999999999997</v>
      </c>
      <c r="F32" s="100">
        <v>2.64</v>
      </c>
      <c r="G32" s="100">
        <v>31.68</v>
      </c>
      <c r="H32" s="100">
        <v>9.7100000000000009</v>
      </c>
      <c r="I32" s="100">
        <v>4.5199999999999996</v>
      </c>
      <c r="J32" s="100">
        <v>0.09</v>
      </c>
      <c r="K32" s="100">
        <v>146.84</v>
      </c>
      <c r="L32" s="100">
        <v>25.72</v>
      </c>
      <c r="M32" s="100">
        <v>95.35</v>
      </c>
      <c r="N32" s="100">
        <v>18</v>
      </c>
      <c r="O32" s="100">
        <v>0</v>
      </c>
      <c r="P32" s="100">
        <v>0.1</v>
      </c>
      <c r="Q32" s="100">
        <v>10</v>
      </c>
      <c r="R32" s="6"/>
      <c r="S32" s="6"/>
      <c r="T32" s="156"/>
      <c r="U32" s="6"/>
    </row>
    <row r="33" spans="1:21" customFormat="1">
      <c r="A33" s="163" t="s">
        <v>1416</v>
      </c>
      <c r="B33" s="100">
        <v>2.13</v>
      </c>
      <c r="C33" s="100">
        <v>4.1900000000000004</v>
      </c>
      <c r="D33" s="100">
        <v>2.77</v>
      </c>
      <c r="E33" s="100">
        <v>5.18</v>
      </c>
      <c r="F33" s="100">
        <v>3.21</v>
      </c>
      <c r="G33" s="100">
        <v>33.26</v>
      </c>
      <c r="H33" s="100">
        <v>10.73</v>
      </c>
      <c r="I33" s="100">
        <v>4.57</v>
      </c>
      <c r="J33" s="100">
        <v>0.1</v>
      </c>
      <c r="K33" s="100">
        <v>214.9</v>
      </c>
      <c r="L33" s="100">
        <v>25.95</v>
      </c>
      <c r="M33" s="100">
        <v>94.96</v>
      </c>
      <c r="N33" s="100">
        <v>30</v>
      </c>
      <c r="O33" s="100">
        <v>0</v>
      </c>
      <c r="P33" s="100">
        <v>0.1</v>
      </c>
      <c r="Q33" s="100">
        <v>10</v>
      </c>
      <c r="R33" s="6"/>
      <c r="S33" s="6"/>
      <c r="T33" s="156"/>
      <c r="U33" s="6"/>
    </row>
    <row r="34" spans="1:21" customFormat="1">
      <c r="A34" s="163" t="s">
        <v>1417</v>
      </c>
      <c r="B34" s="100">
        <v>2.15</v>
      </c>
      <c r="C34" s="100">
        <v>4.18</v>
      </c>
      <c r="D34" s="100">
        <v>2.72</v>
      </c>
      <c r="E34" s="100">
        <v>5.15</v>
      </c>
      <c r="F34" s="100">
        <v>1.71</v>
      </c>
      <c r="G34" s="100">
        <v>33.26</v>
      </c>
      <c r="H34" s="100">
        <v>10.73</v>
      </c>
      <c r="I34" s="100">
        <v>4.38</v>
      </c>
      <c r="J34" s="100">
        <v>0.33</v>
      </c>
      <c r="K34" s="100">
        <v>254.09</v>
      </c>
      <c r="L34" s="100">
        <v>26.31</v>
      </c>
      <c r="M34" s="100">
        <v>92.24</v>
      </c>
      <c r="N34" s="100">
        <v>43.4</v>
      </c>
      <c r="O34" s="100">
        <v>0</v>
      </c>
      <c r="P34" s="100">
        <v>0.1</v>
      </c>
      <c r="Q34" s="100">
        <v>10</v>
      </c>
      <c r="R34" s="6"/>
      <c r="S34" s="6"/>
      <c r="T34" s="156"/>
      <c r="U34" s="6"/>
    </row>
    <row r="35" spans="1:21" customFormat="1">
      <c r="A35" s="163" t="s">
        <v>1418</v>
      </c>
      <c r="B35" s="100">
        <v>2.21</v>
      </c>
      <c r="C35" s="100">
        <v>4.3499999999999996</v>
      </c>
      <c r="D35" s="100">
        <v>2.96</v>
      </c>
      <c r="E35" s="100">
        <v>4.88</v>
      </c>
      <c r="F35" s="100">
        <v>3.45</v>
      </c>
      <c r="G35" s="100">
        <v>33.26</v>
      </c>
      <c r="H35" s="100">
        <v>10.73</v>
      </c>
      <c r="I35" s="100">
        <v>4.47</v>
      </c>
      <c r="J35" s="100">
        <v>0.28000000000000003</v>
      </c>
      <c r="K35" s="100">
        <v>250.55</v>
      </c>
      <c r="L35" s="100">
        <v>26.7</v>
      </c>
      <c r="M35" s="100">
        <v>89.22</v>
      </c>
      <c r="N35" s="100">
        <v>54.3</v>
      </c>
      <c r="O35" s="100">
        <v>0</v>
      </c>
      <c r="P35" s="100">
        <v>0.09</v>
      </c>
      <c r="Q35" s="100">
        <v>10</v>
      </c>
      <c r="R35" s="6"/>
      <c r="S35" s="6"/>
      <c r="T35" s="156"/>
      <c r="U35" s="6"/>
    </row>
    <row r="36" spans="1:21" customFormat="1">
      <c r="A36" s="163" t="s">
        <v>1419</v>
      </c>
      <c r="B36" s="100">
        <v>2.2599999999999998</v>
      </c>
      <c r="C36" s="100">
        <v>4.33</v>
      </c>
      <c r="D36" s="100">
        <v>2.84</v>
      </c>
      <c r="E36" s="100">
        <v>5.14</v>
      </c>
      <c r="F36" s="100">
        <v>2.42</v>
      </c>
      <c r="G36" s="100">
        <v>32.5</v>
      </c>
      <c r="H36" s="100">
        <v>10.46</v>
      </c>
      <c r="I36" s="100">
        <v>4.59</v>
      </c>
      <c r="J36" s="100">
        <v>0.23</v>
      </c>
      <c r="K36" s="100">
        <v>243.12</v>
      </c>
      <c r="L36" s="100">
        <v>27.06</v>
      </c>
      <c r="M36" s="100">
        <v>87.36</v>
      </c>
      <c r="N36" s="100">
        <v>73.099999999999994</v>
      </c>
      <c r="O36" s="100">
        <v>0</v>
      </c>
      <c r="P36" s="100">
        <v>0.11</v>
      </c>
      <c r="Q36" s="100">
        <v>10</v>
      </c>
      <c r="R36" s="6"/>
      <c r="S36" s="6"/>
      <c r="T36" s="156"/>
      <c r="U36" s="6"/>
    </row>
    <row r="37" spans="1:21" customFormat="1">
      <c r="A37" s="163" t="s">
        <v>1420</v>
      </c>
      <c r="B37" s="100">
        <v>2.23</v>
      </c>
      <c r="C37" s="100">
        <v>4.3099999999999996</v>
      </c>
      <c r="D37" s="100">
        <v>2.85</v>
      </c>
      <c r="E37" s="100">
        <v>5.16</v>
      </c>
      <c r="F37" s="100">
        <v>3.12</v>
      </c>
      <c r="G37" s="100">
        <v>29</v>
      </c>
      <c r="H37" s="100">
        <v>9.09</v>
      </c>
      <c r="I37" s="100">
        <v>4.5599999999999996</v>
      </c>
      <c r="J37" s="100">
        <v>0.38</v>
      </c>
      <c r="K37" s="100">
        <v>245.86</v>
      </c>
      <c r="L37" s="100">
        <v>27.41</v>
      </c>
      <c r="M37" s="100">
        <v>85.58</v>
      </c>
      <c r="N37" s="100">
        <v>90.6</v>
      </c>
      <c r="O37" s="100">
        <v>0</v>
      </c>
      <c r="P37" s="100">
        <v>0.09</v>
      </c>
      <c r="Q37" s="100">
        <v>10</v>
      </c>
      <c r="R37" s="6"/>
      <c r="S37" s="6"/>
      <c r="T37" s="156"/>
      <c r="U37" s="6"/>
    </row>
    <row r="38" spans="1:21" customFormat="1">
      <c r="A38" s="163" t="s">
        <v>1421</v>
      </c>
      <c r="B38" s="100">
        <v>2.16</v>
      </c>
      <c r="C38" s="100">
        <v>4.18</v>
      </c>
      <c r="D38" s="100">
        <v>2.71</v>
      </c>
      <c r="E38" s="100">
        <v>5.08</v>
      </c>
      <c r="F38" s="100">
        <v>3.69</v>
      </c>
      <c r="G38" s="100">
        <v>29</v>
      </c>
      <c r="H38" s="100">
        <v>9.09</v>
      </c>
      <c r="I38" s="100">
        <v>4.55</v>
      </c>
      <c r="J38" s="100">
        <v>0.57999999999999996</v>
      </c>
      <c r="K38" s="100">
        <v>254.65</v>
      </c>
      <c r="L38" s="100">
        <v>27.91</v>
      </c>
      <c r="M38" s="100">
        <v>82.95</v>
      </c>
      <c r="N38" s="100">
        <v>107.2</v>
      </c>
      <c r="O38" s="100">
        <v>0</v>
      </c>
      <c r="P38" s="100">
        <v>0.08</v>
      </c>
      <c r="Q38" s="100">
        <v>10</v>
      </c>
      <c r="R38" s="6"/>
      <c r="S38" s="6"/>
      <c r="T38" s="156"/>
      <c r="U38" s="6"/>
    </row>
    <row r="39" spans="1:21" customFormat="1">
      <c r="A39" s="163" t="s">
        <v>1422</v>
      </c>
      <c r="B39" s="100">
        <v>2.23</v>
      </c>
      <c r="C39" s="100">
        <v>4.34</v>
      </c>
      <c r="D39" s="100">
        <v>2.92</v>
      </c>
      <c r="E39" s="100">
        <v>5.3</v>
      </c>
      <c r="F39" s="100">
        <v>3.01</v>
      </c>
      <c r="G39" s="100">
        <v>29</v>
      </c>
      <c r="H39" s="100">
        <v>9.09</v>
      </c>
      <c r="I39" s="100">
        <v>4.3600000000000003</v>
      </c>
      <c r="J39" s="100">
        <v>0.48</v>
      </c>
      <c r="K39" s="100">
        <v>247.12</v>
      </c>
      <c r="L39" s="100">
        <v>28.19</v>
      </c>
      <c r="M39" s="100">
        <v>81.94</v>
      </c>
      <c r="N39" s="100">
        <v>104.4</v>
      </c>
      <c r="O39" s="100">
        <v>0</v>
      </c>
      <c r="P39" s="100">
        <v>0.1</v>
      </c>
      <c r="Q39" s="100">
        <v>10</v>
      </c>
      <c r="R39" s="6"/>
      <c r="S39" s="6"/>
      <c r="T39" s="156"/>
      <c r="U39" s="6"/>
    </row>
    <row r="40" spans="1:21" customFormat="1">
      <c r="A40" s="163" t="s">
        <v>1423</v>
      </c>
      <c r="B40" s="100">
        <v>2.2000000000000002</v>
      </c>
      <c r="C40" s="100">
        <v>4.29</v>
      </c>
      <c r="D40" s="100">
        <v>2.85</v>
      </c>
      <c r="E40" s="100">
        <v>5.25</v>
      </c>
      <c r="F40" s="100">
        <v>3.19</v>
      </c>
      <c r="G40" s="100">
        <v>28.63</v>
      </c>
      <c r="H40" s="100">
        <v>9.23</v>
      </c>
      <c r="I40" s="100">
        <v>4.4400000000000004</v>
      </c>
      <c r="J40" s="100">
        <v>0.55000000000000004</v>
      </c>
      <c r="K40" s="100">
        <v>248.71</v>
      </c>
      <c r="L40" s="100">
        <v>28.59</v>
      </c>
      <c r="M40" s="100">
        <v>79.88</v>
      </c>
      <c r="N40" s="100">
        <v>119.5</v>
      </c>
      <c r="O40" s="100">
        <v>0</v>
      </c>
      <c r="P40" s="100">
        <v>0.09</v>
      </c>
      <c r="Q40" s="100">
        <v>10</v>
      </c>
      <c r="R40" s="6"/>
      <c r="S40" s="6"/>
      <c r="T40" s="156"/>
      <c r="U40" s="6"/>
    </row>
    <row r="41" spans="1:21" customFormat="1">
      <c r="A41" s="163" t="s">
        <v>1424</v>
      </c>
      <c r="B41" s="100">
        <v>2.12</v>
      </c>
      <c r="C41" s="100">
        <v>4.3499999999999996</v>
      </c>
      <c r="D41" s="100">
        <v>3.09</v>
      </c>
      <c r="E41" s="100">
        <v>4.97</v>
      </c>
      <c r="F41" s="100">
        <v>3.48</v>
      </c>
      <c r="G41" s="100">
        <v>26.95</v>
      </c>
      <c r="H41" s="100">
        <v>9.68</v>
      </c>
      <c r="I41" s="100">
        <v>4.5199999999999996</v>
      </c>
      <c r="J41" s="100">
        <v>0.65</v>
      </c>
      <c r="K41" s="100">
        <v>252.56</v>
      </c>
      <c r="L41" s="100">
        <v>28.92</v>
      </c>
      <c r="M41" s="100">
        <v>78.349999999999994</v>
      </c>
      <c r="N41" s="100">
        <v>136.19999999999999</v>
      </c>
      <c r="O41" s="100">
        <v>0</v>
      </c>
      <c r="P41" s="100">
        <v>0.08</v>
      </c>
      <c r="Q41" s="100">
        <v>10</v>
      </c>
      <c r="R41" s="6"/>
      <c r="S41" s="6"/>
      <c r="T41" s="156"/>
      <c r="U41" s="6"/>
    </row>
    <row r="42" spans="1:21" customFormat="1">
      <c r="A42" s="163" t="s">
        <v>1425</v>
      </c>
      <c r="B42" s="100">
        <v>2.0499999999999998</v>
      </c>
      <c r="C42" s="100">
        <v>4.24</v>
      </c>
      <c r="D42" s="100">
        <v>2.97</v>
      </c>
      <c r="E42" s="100">
        <v>5.26</v>
      </c>
      <c r="F42" s="100">
        <v>2.09</v>
      </c>
      <c r="G42" s="100">
        <v>26.95</v>
      </c>
      <c r="H42" s="100">
        <v>9.68</v>
      </c>
      <c r="I42" s="100">
        <v>4.47</v>
      </c>
      <c r="J42" s="100">
        <v>0.65</v>
      </c>
      <c r="K42" s="100">
        <v>251.41</v>
      </c>
      <c r="L42" s="100">
        <v>29.18</v>
      </c>
      <c r="M42" s="100">
        <v>77.510000000000005</v>
      </c>
      <c r="N42" s="100">
        <v>154.19999999999999</v>
      </c>
      <c r="O42" s="100">
        <v>0</v>
      </c>
      <c r="P42" s="100">
        <v>0.1</v>
      </c>
      <c r="Q42" s="100">
        <v>10</v>
      </c>
      <c r="R42" s="6"/>
      <c r="S42" s="6"/>
      <c r="T42" s="156"/>
      <c r="U42" s="6"/>
    </row>
    <row r="43" spans="1:21" customFormat="1">
      <c r="A43" s="163" t="s">
        <v>1426</v>
      </c>
      <c r="B43" s="100">
        <v>2.1800000000000002</v>
      </c>
      <c r="C43" s="100">
        <v>4.26</v>
      </c>
      <c r="D43" s="100">
        <v>2.82</v>
      </c>
      <c r="E43" s="100">
        <v>5.38</v>
      </c>
      <c r="F43" s="100">
        <v>2.16</v>
      </c>
      <c r="G43" s="100">
        <v>26.95</v>
      </c>
      <c r="H43" s="100">
        <v>9.68</v>
      </c>
      <c r="I43" s="100">
        <v>4.47</v>
      </c>
      <c r="J43" s="100">
        <v>0.51</v>
      </c>
      <c r="K43" s="100">
        <v>249.78</v>
      </c>
      <c r="L43" s="100">
        <v>29.49</v>
      </c>
      <c r="M43" s="100">
        <v>75.900000000000006</v>
      </c>
      <c r="N43" s="100">
        <v>144.30000000000001</v>
      </c>
      <c r="O43" s="100">
        <v>0</v>
      </c>
      <c r="P43" s="100">
        <v>0.11</v>
      </c>
      <c r="Q43" s="100">
        <v>10</v>
      </c>
      <c r="R43" s="6"/>
      <c r="S43" s="6"/>
      <c r="T43" s="156"/>
      <c r="U43" s="6"/>
    </row>
    <row r="44" spans="1:21" customFormat="1">
      <c r="A44" s="163" t="s">
        <v>1427</v>
      </c>
      <c r="B44" s="100">
        <v>2.19</v>
      </c>
      <c r="C44" s="100">
        <v>4.33</v>
      </c>
      <c r="D44" s="100">
        <v>2.95</v>
      </c>
      <c r="E44" s="100">
        <v>5</v>
      </c>
      <c r="F44" s="100">
        <v>2.64</v>
      </c>
      <c r="G44" s="100">
        <v>27.47</v>
      </c>
      <c r="H44" s="100">
        <v>9.9600000000000009</v>
      </c>
      <c r="I44" s="100">
        <v>4.5599999999999996</v>
      </c>
      <c r="J44" s="100">
        <v>0.55000000000000004</v>
      </c>
      <c r="K44" s="100">
        <v>260.13</v>
      </c>
      <c r="L44" s="100">
        <v>30.22</v>
      </c>
      <c r="M44" s="100">
        <v>73.599999999999994</v>
      </c>
      <c r="N44" s="100">
        <v>158.6</v>
      </c>
      <c r="O44" s="100">
        <v>0</v>
      </c>
      <c r="P44" s="100">
        <v>0.12</v>
      </c>
      <c r="Q44" s="100">
        <v>10</v>
      </c>
      <c r="R44" s="6"/>
      <c r="S44" s="6"/>
      <c r="T44" s="156"/>
      <c r="U44" s="6"/>
    </row>
    <row r="45" spans="1:21" customFormat="1">
      <c r="A45" s="163" t="s">
        <v>1428</v>
      </c>
      <c r="B45" s="100">
        <v>2.02</v>
      </c>
      <c r="C45" s="100">
        <v>4.1100000000000003</v>
      </c>
      <c r="D45" s="100">
        <v>2.79</v>
      </c>
      <c r="E45" s="100">
        <v>5.07</v>
      </c>
      <c r="F45" s="100">
        <v>2.5</v>
      </c>
      <c r="G45" s="100">
        <v>29.86</v>
      </c>
      <c r="H45" s="100">
        <v>10.85</v>
      </c>
      <c r="I45" s="100">
        <v>4.54</v>
      </c>
      <c r="J45" s="100">
        <v>0.73</v>
      </c>
      <c r="K45" s="100">
        <v>259.32</v>
      </c>
      <c r="L45" s="100">
        <v>30.48</v>
      </c>
      <c r="M45" s="100">
        <v>71.64</v>
      </c>
      <c r="N45" s="100">
        <v>187.6</v>
      </c>
      <c r="O45" s="100">
        <v>0</v>
      </c>
      <c r="P45" s="100">
        <v>0.13</v>
      </c>
      <c r="Q45" s="100">
        <v>10</v>
      </c>
      <c r="R45" s="6"/>
      <c r="S45" s="6"/>
      <c r="T45" s="156"/>
      <c r="U45" s="6"/>
    </row>
    <row r="46" spans="1:21" customFormat="1">
      <c r="A46" s="163" t="s">
        <v>1429</v>
      </c>
      <c r="B46" s="100">
        <v>2</v>
      </c>
      <c r="C46" s="100">
        <v>4.18</v>
      </c>
      <c r="D46" s="100">
        <v>2.96</v>
      </c>
      <c r="E46" s="100">
        <v>5.13</v>
      </c>
      <c r="F46" s="100">
        <v>2.68</v>
      </c>
      <c r="G46" s="100">
        <v>29.86</v>
      </c>
      <c r="H46" s="100">
        <v>10.85</v>
      </c>
      <c r="I46" s="100">
        <v>4.68</v>
      </c>
      <c r="J46" s="100">
        <v>0.67</v>
      </c>
      <c r="K46" s="100">
        <v>252.95</v>
      </c>
      <c r="L46" s="100">
        <v>30.61</v>
      </c>
      <c r="M46" s="100">
        <v>70.87</v>
      </c>
      <c r="N46" s="100">
        <v>196.3</v>
      </c>
      <c r="O46" s="100">
        <v>0</v>
      </c>
      <c r="P46" s="100">
        <v>0.15</v>
      </c>
      <c r="Q46" s="100">
        <v>10</v>
      </c>
      <c r="R46" s="6"/>
      <c r="S46" s="6"/>
      <c r="T46" s="156"/>
      <c r="U46" s="6"/>
    </row>
    <row r="47" spans="1:21" customFormat="1">
      <c r="A47" s="163" t="s">
        <v>1430</v>
      </c>
      <c r="B47" s="100">
        <v>1.9</v>
      </c>
      <c r="C47" s="100">
        <v>4.1100000000000003</v>
      </c>
      <c r="D47" s="100">
        <v>2.97</v>
      </c>
      <c r="E47" s="100">
        <v>5.16</v>
      </c>
      <c r="F47" s="100">
        <v>2.48</v>
      </c>
      <c r="G47" s="100">
        <v>29.86</v>
      </c>
      <c r="H47" s="100">
        <v>10.85</v>
      </c>
      <c r="I47" s="100">
        <v>5</v>
      </c>
      <c r="J47" s="100">
        <v>0.78</v>
      </c>
      <c r="K47" s="100">
        <v>251.62</v>
      </c>
      <c r="L47" s="100">
        <v>30.79</v>
      </c>
      <c r="M47" s="100">
        <v>69.430000000000007</v>
      </c>
      <c r="N47" s="100">
        <v>215.7</v>
      </c>
      <c r="O47" s="100">
        <v>0</v>
      </c>
      <c r="P47" s="100">
        <v>0.16</v>
      </c>
      <c r="Q47" s="100">
        <v>10</v>
      </c>
      <c r="R47" s="6"/>
      <c r="S47" s="6"/>
      <c r="T47" s="156"/>
      <c r="U47" s="6"/>
    </row>
    <row r="48" spans="1:21" customFormat="1">
      <c r="A48" s="163" t="s">
        <v>1431</v>
      </c>
      <c r="B48" s="100">
        <v>1.79</v>
      </c>
      <c r="C48" s="100">
        <v>4.07</v>
      </c>
      <c r="D48" s="100">
        <v>3.06</v>
      </c>
      <c r="E48" s="100">
        <v>5.09</v>
      </c>
      <c r="F48" s="100">
        <v>2.81</v>
      </c>
      <c r="G48" s="100">
        <v>30.83</v>
      </c>
      <c r="H48" s="100">
        <v>11.25</v>
      </c>
      <c r="I48" s="100">
        <v>5.24</v>
      </c>
      <c r="J48" s="100">
        <v>0.77</v>
      </c>
      <c r="K48" s="100">
        <v>253.04</v>
      </c>
      <c r="L48" s="100">
        <v>31.04</v>
      </c>
      <c r="M48" s="100">
        <v>68.05</v>
      </c>
      <c r="N48" s="100">
        <v>223</v>
      </c>
      <c r="O48" s="100">
        <v>0</v>
      </c>
      <c r="P48" s="100">
        <v>0.15</v>
      </c>
      <c r="Q48" s="100">
        <v>10</v>
      </c>
      <c r="R48" s="6"/>
      <c r="S48" s="6"/>
      <c r="T48" s="156"/>
      <c r="U48" s="6"/>
    </row>
    <row r="49" spans="1:21" customFormat="1">
      <c r="A49" s="163" t="s">
        <v>1432</v>
      </c>
      <c r="B49" s="100">
        <v>1.62</v>
      </c>
      <c r="C49" s="100">
        <v>3.82</v>
      </c>
      <c r="D49" s="100">
        <v>2.86</v>
      </c>
      <c r="E49" s="100">
        <v>4.28</v>
      </c>
      <c r="F49" s="100">
        <v>1.94</v>
      </c>
      <c r="G49" s="100">
        <v>35.31</v>
      </c>
      <c r="H49" s="100">
        <v>12.55</v>
      </c>
      <c r="I49" s="100">
        <v>5.33</v>
      </c>
      <c r="J49" s="100">
        <v>0.66</v>
      </c>
      <c r="K49" s="100">
        <v>263.11</v>
      </c>
      <c r="L49" s="100">
        <v>31.44</v>
      </c>
      <c r="M49" s="100">
        <v>67.69</v>
      </c>
      <c r="N49" s="100">
        <v>208.9</v>
      </c>
      <c r="O49" s="100">
        <v>0</v>
      </c>
      <c r="P49" s="100">
        <v>0.16</v>
      </c>
      <c r="Q49" s="100">
        <v>10</v>
      </c>
      <c r="R49" s="6"/>
      <c r="S49" s="6"/>
      <c r="T49" s="156"/>
      <c r="U49" s="6"/>
    </row>
    <row r="50" spans="1:21" customFormat="1">
      <c r="A50" s="163" t="s">
        <v>1433</v>
      </c>
      <c r="B50" s="100">
        <v>1.57</v>
      </c>
      <c r="C50" s="100">
        <v>3.72</v>
      </c>
      <c r="D50" s="100">
        <v>2.73</v>
      </c>
      <c r="E50" s="100">
        <v>5.12</v>
      </c>
      <c r="F50" s="100">
        <v>3.6</v>
      </c>
      <c r="G50" s="100">
        <v>35.31</v>
      </c>
      <c r="H50" s="100">
        <v>12.55</v>
      </c>
      <c r="I50" s="100">
        <v>5.3</v>
      </c>
      <c r="J50" s="100">
        <v>0.72</v>
      </c>
      <c r="K50" s="100">
        <v>260.64999999999998</v>
      </c>
      <c r="L50" s="100">
        <v>31.61</v>
      </c>
      <c r="M50" s="100">
        <v>66.34</v>
      </c>
      <c r="N50" s="100">
        <v>212.6</v>
      </c>
      <c r="O50" s="100">
        <v>0</v>
      </c>
      <c r="P50" s="100">
        <v>0.17</v>
      </c>
      <c r="Q50" s="100">
        <v>10</v>
      </c>
      <c r="R50" s="6"/>
      <c r="S50" s="6"/>
      <c r="T50" s="156"/>
      <c r="U50" s="6"/>
    </row>
    <row r="51" spans="1:21" customFormat="1">
      <c r="A51" s="163" t="s">
        <v>1434</v>
      </c>
      <c r="B51" s="100">
        <v>1.53</v>
      </c>
      <c r="C51" s="100">
        <v>3.77</v>
      </c>
      <c r="D51" s="100">
        <v>2.89</v>
      </c>
      <c r="E51" s="100">
        <v>5.37</v>
      </c>
      <c r="F51" s="100">
        <v>3.61</v>
      </c>
      <c r="G51" s="100">
        <v>35.31</v>
      </c>
      <c r="H51" s="100">
        <v>12.55</v>
      </c>
      <c r="I51" s="100">
        <v>5.5</v>
      </c>
      <c r="J51" s="100">
        <v>0.83</v>
      </c>
      <c r="K51" s="100">
        <v>255.97</v>
      </c>
      <c r="L51" s="100">
        <v>31.95</v>
      </c>
      <c r="M51" s="100">
        <v>64.849999999999994</v>
      </c>
      <c r="N51" s="100">
        <v>237.2</v>
      </c>
      <c r="O51" s="100">
        <v>0</v>
      </c>
      <c r="P51" s="100">
        <v>0.18</v>
      </c>
      <c r="Q51" s="100">
        <v>10</v>
      </c>
      <c r="R51" s="6"/>
      <c r="S51" s="6"/>
      <c r="T51" s="156"/>
      <c r="U51" s="6"/>
    </row>
    <row r="52" spans="1:21" customFormat="1">
      <c r="A52" s="163" t="s">
        <v>1435</v>
      </c>
      <c r="B52" s="100">
        <v>1.44</v>
      </c>
      <c r="C52" s="100">
        <v>3.62</v>
      </c>
      <c r="D52" s="100">
        <v>2.73</v>
      </c>
      <c r="E52" s="100">
        <v>5.05</v>
      </c>
      <c r="F52" s="100">
        <v>3.38</v>
      </c>
      <c r="G52" s="100">
        <v>36</v>
      </c>
      <c r="H52" s="100">
        <v>13.01</v>
      </c>
      <c r="I52" s="100">
        <v>5.58</v>
      </c>
      <c r="J52" s="100">
        <v>0.94</v>
      </c>
      <c r="K52" s="100">
        <v>253.56</v>
      </c>
      <c r="L52" s="100">
        <v>31.62</v>
      </c>
      <c r="M52" s="100">
        <v>64.8</v>
      </c>
      <c r="N52" s="100">
        <v>245.5</v>
      </c>
      <c r="O52" s="100">
        <v>0</v>
      </c>
      <c r="P52" s="100">
        <v>0.18</v>
      </c>
      <c r="Q52" s="100">
        <v>10</v>
      </c>
      <c r="R52" s="6"/>
      <c r="S52" s="6"/>
      <c r="T52" s="156"/>
      <c r="U52" s="6"/>
    </row>
    <row r="53" spans="1:21" customFormat="1">
      <c r="A53" s="163" t="s">
        <v>1436</v>
      </c>
      <c r="B53" s="100">
        <v>1.45</v>
      </c>
      <c r="C53" s="100">
        <v>3.74</v>
      </c>
      <c r="D53" s="100">
        <v>2.94</v>
      </c>
      <c r="E53" s="100">
        <v>4.79</v>
      </c>
      <c r="F53" s="100">
        <v>3.73</v>
      </c>
      <c r="G53" s="100">
        <v>39.22</v>
      </c>
      <c r="H53" s="100">
        <v>15.66</v>
      </c>
      <c r="I53" s="100">
        <v>5.61</v>
      </c>
      <c r="J53" s="100">
        <v>0.83</v>
      </c>
      <c r="K53" s="100">
        <v>254.69</v>
      </c>
      <c r="L53" s="100">
        <v>31.98</v>
      </c>
      <c r="M53" s="100">
        <v>64.34</v>
      </c>
      <c r="N53" s="100">
        <v>258.3</v>
      </c>
      <c r="O53" s="100">
        <v>0</v>
      </c>
      <c r="P53" s="100">
        <v>0.19</v>
      </c>
      <c r="Q53" s="100">
        <v>10</v>
      </c>
      <c r="R53" s="6"/>
      <c r="S53" s="6"/>
      <c r="T53" s="156"/>
      <c r="U53" s="6"/>
    </row>
    <row r="54" spans="1:21" customFormat="1">
      <c r="A54" s="163" t="s">
        <v>1437</v>
      </c>
      <c r="B54" s="100">
        <v>1.4</v>
      </c>
      <c r="C54" s="100">
        <v>3.78</v>
      </c>
      <c r="D54" s="100">
        <v>3.11</v>
      </c>
      <c r="E54" s="100">
        <v>4.91</v>
      </c>
      <c r="F54" s="100">
        <v>4.08</v>
      </c>
      <c r="G54" s="100">
        <v>39.22</v>
      </c>
      <c r="H54" s="100">
        <v>15.66</v>
      </c>
      <c r="I54" s="100">
        <v>5.61</v>
      </c>
      <c r="J54" s="100">
        <v>0.73</v>
      </c>
      <c r="K54" s="100">
        <v>241.01</v>
      </c>
      <c r="L54" s="100">
        <v>32.340000000000003</v>
      </c>
      <c r="M54" s="100">
        <v>63.84</v>
      </c>
      <c r="N54" s="100">
        <v>278.8</v>
      </c>
      <c r="O54" s="100">
        <v>0</v>
      </c>
      <c r="P54" s="100">
        <v>0.18</v>
      </c>
      <c r="Q54" s="100">
        <v>10</v>
      </c>
      <c r="R54" s="6"/>
      <c r="S54" s="6"/>
      <c r="T54" s="156"/>
      <c r="U54" s="6"/>
    </row>
    <row r="55" spans="1:21" customFormat="1">
      <c r="A55" s="163" t="s">
        <v>1438</v>
      </c>
      <c r="B55" s="100">
        <v>1.37</v>
      </c>
      <c r="C55" s="100">
        <v>3.7</v>
      </c>
      <c r="D55" s="100">
        <v>3.01</v>
      </c>
      <c r="E55" s="100">
        <v>4.46</v>
      </c>
      <c r="F55" s="100">
        <v>2.64</v>
      </c>
      <c r="G55" s="100">
        <v>39.22</v>
      </c>
      <c r="H55" s="100">
        <v>15.66</v>
      </c>
      <c r="I55" s="100">
        <v>5.6</v>
      </c>
      <c r="J55" s="100">
        <v>0.81</v>
      </c>
      <c r="K55" s="100">
        <v>274.18</v>
      </c>
      <c r="L55" s="100">
        <v>32.520000000000003</v>
      </c>
      <c r="M55" s="100">
        <v>62.41</v>
      </c>
      <c r="N55" s="100">
        <v>298.10000000000002</v>
      </c>
      <c r="O55" s="100">
        <v>0</v>
      </c>
      <c r="P55" s="100">
        <v>0.17</v>
      </c>
      <c r="Q55" s="100">
        <v>10</v>
      </c>
      <c r="R55" s="6"/>
      <c r="S55" s="6"/>
      <c r="T55" s="156"/>
      <c r="U55" s="6"/>
    </row>
    <row r="56" spans="1:21" customFormat="1">
      <c r="A56" s="163" t="s">
        <v>1439</v>
      </c>
      <c r="B56" s="100">
        <v>1.37</v>
      </c>
      <c r="C56" s="100">
        <v>3.71</v>
      </c>
      <c r="D56" s="100">
        <v>3.01</v>
      </c>
      <c r="E56" s="100">
        <v>4.8499999999999996</v>
      </c>
      <c r="F56" s="100">
        <v>5.09</v>
      </c>
      <c r="G56" s="100">
        <v>38.090000000000003</v>
      </c>
      <c r="H56" s="100">
        <v>15.14</v>
      </c>
      <c r="I56" s="100">
        <v>5.46</v>
      </c>
      <c r="J56" s="100">
        <v>0.7</v>
      </c>
      <c r="K56" s="100">
        <v>263</v>
      </c>
      <c r="L56" s="100">
        <v>32.520000000000003</v>
      </c>
      <c r="M56" s="100">
        <v>62.29</v>
      </c>
      <c r="N56" s="100">
        <v>327.9</v>
      </c>
      <c r="O56" s="100">
        <v>0</v>
      </c>
      <c r="P56" s="100">
        <v>0.17</v>
      </c>
      <c r="Q56" s="100">
        <v>10</v>
      </c>
      <c r="R56" s="6"/>
      <c r="S56" s="6"/>
      <c r="T56" s="156"/>
      <c r="U56" s="6"/>
    </row>
    <row r="57" spans="1:21" customFormat="1">
      <c r="A57" s="163" t="s">
        <v>1440</v>
      </c>
      <c r="B57" s="100">
        <v>1.35</v>
      </c>
      <c r="C57" s="100">
        <v>3.43</v>
      </c>
      <c r="D57" s="100">
        <v>2.52</v>
      </c>
      <c r="E57" s="100">
        <v>4.8</v>
      </c>
      <c r="F57" s="100">
        <v>5.18</v>
      </c>
      <c r="G57" s="100">
        <v>32.840000000000003</v>
      </c>
      <c r="H57" s="100">
        <v>13.5</v>
      </c>
      <c r="I57" s="100">
        <v>5.45</v>
      </c>
      <c r="J57" s="100">
        <v>0.7</v>
      </c>
      <c r="K57" s="100">
        <v>251.16</v>
      </c>
      <c r="L57" s="100">
        <v>32.299999999999997</v>
      </c>
      <c r="M57" s="100">
        <v>63.2</v>
      </c>
      <c r="N57" s="100">
        <v>419.2</v>
      </c>
      <c r="O57" s="100">
        <v>0</v>
      </c>
      <c r="P57" s="100">
        <v>0.17</v>
      </c>
      <c r="Q57" s="100">
        <v>10</v>
      </c>
      <c r="R57" s="6"/>
      <c r="S57" s="6"/>
      <c r="T57" s="156"/>
      <c r="U57" s="6"/>
    </row>
    <row r="58" spans="1:21" customFormat="1">
      <c r="A58" s="163" t="s">
        <v>1441</v>
      </c>
      <c r="B58" s="100">
        <v>1.36</v>
      </c>
      <c r="C58" s="100">
        <v>3.57</v>
      </c>
      <c r="D58" s="100">
        <v>2.76</v>
      </c>
      <c r="E58" s="100">
        <v>4.95</v>
      </c>
      <c r="F58" s="100">
        <v>4.51</v>
      </c>
      <c r="G58" s="100">
        <v>32.840000000000003</v>
      </c>
      <c r="H58" s="100">
        <v>13.5</v>
      </c>
      <c r="I58" s="100">
        <v>5.34</v>
      </c>
      <c r="J58" s="100">
        <v>0.67</v>
      </c>
      <c r="K58" s="100">
        <v>263.54000000000002</v>
      </c>
      <c r="L58" s="100">
        <v>32.47</v>
      </c>
      <c r="M58" s="100">
        <v>62.98</v>
      </c>
      <c r="N58" s="100">
        <v>572.9</v>
      </c>
      <c r="O58" s="100">
        <v>0</v>
      </c>
      <c r="P58" s="100">
        <v>0.18</v>
      </c>
      <c r="Q58" s="100">
        <v>10</v>
      </c>
      <c r="R58" s="6"/>
      <c r="S58" s="6"/>
      <c r="T58" s="156"/>
      <c r="U58" s="6"/>
    </row>
    <row r="59" spans="1:21" customFormat="1">
      <c r="A59" s="163" t="s">
        <v>1442</v>
      </c>
      <c r="B59" s="100">
        <v>1.3</v>
      </c>
      <c r="C59" s="100">
        <v>3.38</v>
      </c>
      <c r="D59" s="100">
        <v>2.4900000000000002</v>
      </c>
      <c r="E59" s="100">
        <v>5.0599999999999996</v>
      </c>
      <c r="F59" s="100">
        <v>5.22</v>
      </c>
      <c r="G59" s="100">
        <v>32.840000000000003</v>
      </c>
      <c r="H59" s="100">
        <v>13.5</v>
      </c>
      <c r="I59" s="100">
        <v>5.31</v>
      </c>
      <c r="J59" s="100">
        <v>0.63</v>
      </c>
      <c r="K59" s="100">
        <v>257.44</v>
      </c>
      <c r="L59" s="100">
        <v>32.57</v>
      </c>
      <c r="M59" s="100">
        <v>61.96</v>
      </c>
      <c r="N59" s="100">
        <v>396.1</v>
      </c>
      <c r="O59" s="100">
        <v>0</v>
      </c>
      <c r="P59" s="100">
        <v>0.18</v>
      </c>
      <c r="Q59" s="100">
        <v>10</v>
      </c>
      <c r="R59" s="6"/>
      <c r="S59" s="6"/>
      <c r="T59" s="156"/>
      <c r="U59" s="6"/>
    </row>
    <row r="60" spans="1:21" customFormat="1">
      <c r="A60" s="163" t="s">
        <v>1443</v>
      </c>
      <c r="B60" s="100">
        <v>1.25</v>
      </c>
      <c r="C60" s="100">
        <v>3.27</v>
      </c>
      <c r="D60" s="100">
        <v>2.36</v>
      </c>
      <c r="E60" s="100">
        <v>4.66</v>
      </c>
      <c r="F60" s="100">
        <v>4.5599999999999996</v>
      </c>
      <c r="G60" s="100">
        <v>33.83</v>
      </c>
      <c r="H60" s="100">
        <v>14.24</v>
      </c>
      <c r="I60" s="100">
        <v>5.32</v>
      </c>
      <c r="J60" s="100">
        <v>0.68</v>
      </c>
      <c r="K60" s="100">
        <v>246.99</v>
      </c>
      <c r="L60" s="100">
        <v>32.99</v>
      </c>
      <c r="M60" s="100">
        <v>61.97</v>
      </c>
      <c r="N60" s="100">
        <v>614</v>
      </c>
      <c r="O60" s="100">
        <v>0</v>
      </c>
      <c r="P60" s="100">
        <v>0.17</v>
      </c>
      <c r="Q60" s="100">
        <v>10</v>
      </c>
      <c r="R60" s="6"/>
      <c r="S60" s="6"/>
      <c r="T60" s="156"/>
      <c r="U60" s="6"/>
    </row>
    <row r="61" spans="1:21" customFormat="1">
      <c r="A61" s="163" t="s">
        <v>1444</v>
      </c>
      <c r="B61" s="100">
        <v>1.26</v>
      </c>
      <c r="C61" s="100">
        <v>3.47</v>
      </c>
      <c r="D61" s="100">
        <v>2.73</v>
      </c>
      <c r="E61" s="100">
        <v>4.82</v>
      </c>
      <c r="F61" s="100">
        <v>4.34</v>
      </c>
      <c r="G61" s="100">
        <v>38.4</v>
      </c>
      <c r="H61" s="100">
        <v>16.600000000000001</v>
      </c>
      <c r="I61" s="100">
        <v>5.32</v>
      </c>
      <c r="J61" s="100">
        <v>0.67</v>
      </c>
      <c r="K61" s="100">
        <v>245.28</v>
      </c>
      <c r="L61" s="100">
        <v>33.130000000000003</v>
      </c>
      <c r="M61" s="100">
        <v>61.71</v>
      </c>
      <c r="N61" s="100">
        <v>482</v>
      </c>
      <c r="O61" s="100">
        <v>0</v>
      </c>
      <c r="P61" s="100">
        <v>0.18</v>
      </c>
      <c r="Q61" s="100">
        <v>10</v>
      </c>
      <c r="R61" s="6"/>
      <c r="S61" s="6"/>
      <c r="T61" s="156"/>
      <c r="U61" s="6"/>
    </row>
    <row r="62" spans="1:21" customFormat="1">
      <c r="A62" s="163" t="s">
        <v>1445</v>
      </c>
      <c r="B62" s="100">
        <v>1.3</v>
      </c>
      <c r="C62" s="100">
        <v>3.37</v>
      </c>
      <c r="D62" s="100">
        <v>2.48</v>
      </c>
      <c r="E62" s="100">
        <v>4.74</v>
      </c>
      <c r="F62" s="100">
        <v>4.34</v>
      </c>
      <c r="G62" s="100">
        <v>38.4</v>
      </c>
      <c r="H62" s="100">
        <v>16.600000000000001</v>
      </c>
      <c r="I62" s="100">
        <v>5.32</v>
      </c>
      <c r="J62" s="100">
        <v>0.66</v>
      </c>
      <c r="K62" s="100">
        <v>247.62</v>
      </c>
      <c r="L62" s="100">
        <v>32.56</v>
      </c>
      <c r="M62" s="100">
        <v>61.69</v>
      </c>
      <c r="N62" s="100">
        <v>298.3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163" t="s">
        <v>1446</v>
      </c>
      <c r="B63" s="100">
        <v>1.27</v>
      </c>
      <c r="C63" s="100">
        <v>3.26</v>
      </c>
      <c r="D63" s="100">
        <v>2.31</v>
      </c>
      <c r="E63" s="100">
        <v>4.93</v>
      </c>
      <c r="F63" s="100">
        <v>5.48</v>
      </c>
      <c r="G63" s="100">
        <v>38.4</v>
      </c>
      <c r="H63" s="100">
        <v>16.600000000000001</v>
      </c>
      <c r="I63" s="100">
        <v>5.3</v>
      </c>
      <c r="J63" s="100">
        <v>0.62</v>
      </c>
      <c r="K63" s="100">
        <v>244.83</v>
      </c>
      <c r="L63" s="100">
        <v>32.31</v>
      </c>
      <c r="M63" s="100">
        <v>63.2</v>
      </c>
      <c r="N63" s="100">
        <v>307.39999999999998</v>
      </c>
      <c r="O63" s="100">
        <v>0</v>
      </c>
      <c r="P63" s="100">
        <v>0.18</v>
      </c>
      <c r="Q63" s="100">
        <v>10</v>
      </c>
      <c r="R63" s="6"/>
      <c r="S63" s="6"/>
      <c r="T63" s="156"/>
      <c r="U63" s="6"/>
    </row>
    <row r="64" spans="1:21" customFormat="1">
      <c r="A64" s="163" t="s">
        <v>1447</v>
      </c>
      <c r="B64" s="100">
        <v>1.31</v>
      </c>
      <c r="C64" s="100">
        <v>3.41</v>
      </c>
      <c r="D64" s="100">
        <v>2.5299999999999998</v>
      </c>
      <c r="E64" s="100">
        <v>4.83</v>
      </c>
      <c r="F64" s="100">
        <v>7</v>
      </c>
      <c r="G64" s="100">
        <v>37.94</v>
      </c>
      <c r="H64" s="100">
        <v>16.66</v>
      </c>
      <c r="I64" s="100">
        <v>5.24</v>
      </c>
      <c r="J64" s="100">
        <v>0.62</v>
      </c>
      <c r="K64" s="100">
        <v>246.22</v>
      </c>
      <c r="L64" s="100">
        <v>32.58</v>
      </c>
      <c r="M64" s="100">
        <v>62.49</v>
      </c>
      <c r="N64" s="100">
        <v>416.6</v>
      </c>
      <c r="O64" s="100">
        <v>0</v>
      </c>
      <c r="P64" s="100">
        <v>0.17</v>
      </c>
      <c r="Q64" s="100">
        <v>10</v>
      </c>
      <c r="R64" s="6"/>
      <c r="S64" s="6"/>
      <c r="T64" s="156"/>
      <c r="U64" s="6"/>
    </row>
    <row r="65" spans="1:21" customFormat="1">
      <c r="A65" s="163" t="s">
        <v>1448</v>
      </c>
      <c r="B65" s="100">
        <v>1.32</v>
      </c>
      <c r="C65" s="100">
        <v>3.48</v>
      </c>
      <c r="D65" s="100">
        <v>2.65</v>
      </c>
      <c r="E65" s="100">
        <v>4.82</v>
      </c>
      <c r="F65" s="100">
        <v>5.6</v>
      </c>
      <c r="G65" s="100">
        <v>35.85</v>
      </c>
      <c r="H65" s="100">
        <v>16.87</v>
      </c>
      <c r="I65" s="100">
        <v>5.22</v>
      </c>
      <c r="J65" s="100">
        <v>0.75</v>
      </c>
      <c r="K65" s="100">
        <v>249.91</v>
      </c>
      <c r="L65" s="100">
        <v>32.93</v>
      </c>
      <c r="M65" s="100">
        <v>61.61</v>
      </c>
      <c r="N65" s="100">
        <v>285.39999999999998</v>
      </c>
      <c r="O65" s="100">
        <v>0</v>
      </c>
      <c r="P65" s="100">
        <v>0.18</v>
      </c>
      <c r="Q65" s="100">
        <v>10</v>
      </c>
      <c r="R65" s="6"/>
      <c r="S65" s="6"/>
      <c r="T65" s="156"/>
      <c r="U65" s="6"/>
    </row>
    <row r="66" spans="1:21" customFormat="1">
      <c r="A66" s="163" t="s">
        <v>1449</v>
      </c>
      <c r="B66" s="100">
        <v>1.39</v>
      </c>
      <c r="C66" s="100">
        <v>3.5</v>
      </c>
      <c r="D66" s="100">
        <v>2.59</v>
      </c>
      <c r="E66" s="100">
        <v>4.46</v>
      </c>
      <c r="F66" s="100">
        <v>6.8</v>
      </c>
      <c r="G66" s="100">
        <v>35.85</v>
      </c>
      <c r="H66" s="100">
        <v>16.87</v>
      </c>
      <c r="I66" s="100">
        <v>4.96</v>
      </c>
      <c r="J66" s="100">
        <v>0.57999999999999996</v>
      </c>
      <c r="K66" s="100">
        <v>240.93</v>
      </c>
      <c r="L66" s="100">
        <v>32.590000000000003</v>
      </c>
      <c r="M66" s="100">
        <v>61.95</v>
      </c>
      <c r="N66" s="100">
        <v>226.5</v>
      </c>
      <c r="O66" s="100">
        <v>0</v>
      </c>
      <c r="P66" s="100">
        <v>0.18</v>
      </c>
      <c r="Q66" s="100">
        <v>10</v>
      </c>
      <c r="R66" s="6"/>
      <c r="S66" s="6"/>
      <c r="T66" s="156"/>
      <c r="U66" s="6"/>
    </row>
    <row r="67" spans="1:21" customFormat="1">
      <c r="A67" s="163" t="s">
        <v>1450</v>
      </c>
      <c r="B67" s="100">
        <v>1.38</v>
      </c>
      <c r="C67" s="100">
        <v>3.42</v>
      </c>
      <c r="D67" s="100">
        <v>2.4300000000000002</v>
      </c>
      <c r="E67" s="100">
        <v>4.32</v>
      </c>
      <c r="F67" s="100">
        <v>7.26</v>
      </c>
      <c r="G67" s="100">
        <v>35.85</v>
      </c>
      <c r="H67" s="100">
        <v>16.87</v>
      </c>
      <c r="I67" s="100">
        <v>4.87</v>
      </c>
      <c r="J67" s="100">
        <v>0.62</v>
      </c>
      <c r="K67" s="100">
        <v>245.93</v>
      </c>
      <c r="L67" s="100">
        <v>32.450000000000003</v>
      </c>
      <c r="M67" s="100">
        <v>62.89</v>
      </c>
      <c r="N67" s="100">
        <v>221.1</v>
      </c>
      <c r="O67" s="100">
        <v>0</v>
      </c>
      <c r="P67" s="100">
        <v>0.17</v>
      </c>
      <c r="Q67" s="100">
        <v>10</v>
      </c>
      <c r="R67" s="6"/>
      <c r="S67" s="6"/>
      <c r="T67" s="156"/>
      <c r="U67" s="6"/>
    </row>
    <row r="68" spans="1:21" customFormat="1">
      <c r="A68" s="163" t="s">
        <v>1451</v>
      </c>
      <c r="B68" s="100">
        <v>1.44</v>
      </c>
      <c r="C68" s="100">
        <v>3.62</v>
      </c>
      <c r="D68" s="100">
        <v>2.75</v>
      </c>
      <c r="E68" s="100">
        <v>4.38</v>
      </c>
      <c r="F68" s="100">
        <v>8.64</v>
      </c>
      <c r="G68" s="100">
        <v>35.340000000000003</v>
      </c>
      <c r="H68" s="100">
        <v>16.45</v>
      </c>
      <c r="I68" s="100">
        <v>4.8</v>
      </c>
      <c r="J68" s="100">
        <v>0.77</v>
      </c>
      <c r="K68" s="100">
        <v>246.58</v>
      </c>
      <c r="L68" s="100">
        <v>32.229999999999997</v>
      </c>
      <c r="M68" s="100">
        <v>62.33</v>
      </c>
      <c r="N68" s="100">
        <v>196.9</v>
      </c>
      <c r="O68" s="100">
        <v>0</v>
      </c>
      <c r="P68" s="100">
        <v>0.16</v>
      </c>
      <c r="Q68" s="100">
        <v>10</v>
      </c>
      <c r="R68" s="6"/>
      <c r="S68" s="6"/>
      <c r="T68" s="156"/>
      <c r="U68" s="6"/>
    </row>
    <row r="69" spans="1:21" customFormat="1">
      <c r="A69" s="163" t="s">
        <v>1452</v>
      </c>
      <c r="B69" s="100">
        <v>1.41</v>
      </c>
      <c r="C69" s="100">
        <v>3.57</v>
      </c>
      <c r="D69" s="100">
        <v>2.68</v>
      </c>
      <c r="E69" s="100">
        <v>4.21</v>
      </c>
      <c r="F69" s="100">
        <v>6.63</v>
      </c>
      <c r="G69" s="100">
        <v>33.15</v>
      </c>
      <c r="H69" s="100">
        <v>14.28</v>
      </c>
      <c r="I69" s="100">
        <v>4.71</v>
      </c>
      <c r="J69" s="100">
        <v>0.95</v>
      </c>
      <c r="K69" s="100">
        <v>253.73</v>
      </c>
      <c r="L69" s="100">
        <v>31.74</v>
      </c>
      <c r="M69" s="100">
        <v>62.5</v>
      </c>
      <c r="N69" s="100">
        <v>165.6</v>
      </c>
      <c r="O69" s="100">
        <v>0</v>
      </c>
      <c r="P69" s="100">
        <v>0.16</v>
      </c>
      <c r="Q69" s="100">
        <v>10</v>
      </c>
      <c r="R69" s="6"/>
      <c r="S69" s="6"/>
      <c r="T69" s="156"/>
      <c r="U69" s="6"/>
    </row>
    <row r="70" spans="1:21" customFormat="1">
      <c r="A70" s="163" t="s">
        <v>1453</v>
      </c>
      <c r="B70" s="100">
        <v>1.4</v>
      </c>
      <c r="C70" s="100">
        <v>3.66</v>
      </c>
      <c r="D70" s="100">
        <v>2.86</v>
      </c>
      <c r="E70" s="100">
        <v>4.3899999999999997</v>
      </c>
      <c r="F70" s="100">
        <v>6.89</v>
      </c>
      <c r="G70" s="100">
        <v>33.15</v>
      </c>
      <c r="H70" s="100">
        <v>14.28</v>
      </c>
      <c r="I70" s="100">
        <v>4.5599999999999996</v>
      </c>
      <c r="J70" s="100">
        <v>0.86</v>
      </c>
      <c r="K70" s="100">
        <v>286.7</v>
      </c>
      <c r="L70" s="100">
        <v>31.83</v>
      </c>
      <c r="M70" s="100">
        <v>64.12</v>
      </c>
      <c r="N70" s="100">
        <v>186.4</v>
      </c>
      <c r="O70" s="100">
        <v>0</v>
      </c>
      <c r="P70" s="100">
        <v>0.16</v>
      </c>
      <c r="Q70" s="100">
        <v>10</v>
      </c>
      <c r="R70" s="6"/>
      <c r="S70" s="6"/>
      <c r="T70" s="156"/>
      <c r="U70" s="6"/>
    </row>
    <row r="71" spans="1:21" customFormat="1">
      <c r="A71" s="163" t="s">
        <v>1454</v>
      </c>
      <c r="B71" s="100">
        <v>1.43</v>
      </c>
      <c r="C71" s="100">
        <v>3.57</v>
      </c>
      <c r="D71" s="100">
        <v>2.67</v>
      </c>
      <c r="E71" s="100">
        <v>4.33</v>
      </c>
      <c r="F71" s="100">
        <v>6.97</v>
      </c>
      <c r="G71" s="100">
        <v>33.15</v>
      </c>
      <c r="H71" s="100">
        <v>14.28</v>
      </c>
      <c r="I71" s="100">
        <v>4.5599999999999996</v>
      </c>
      <c r="J71" s="100">
        <v>1.1000000000000001</v>
      </c>
      <c r="K71" s="100">
        <v>301.52</v>
      </c>
      <c r="L71" s="100">
        <v>31.32</v>
      </c>
      <c r="M71" s="100">
        <v>65.31</v>
      </c>
      <c r="N71" s="100">
        <v>127.1</v>
      </c>
      <c r="O71" s="100">
        <v>0</v>
      </c>
      <c r="P71" s="100">
        <v>0.17</v>
      </c>
      <c r="Q71" s="100">
        <v>10</v>
      </c>
      <c r="R71" s="6"/>
      <c r="S71" s="6"/>
      <c r="T71" s="156"/>
      <c r="U71" s="6"/>
    </row>
    <row r="72" spans="1:21" customFormat="1">
      <c r="A72" s="163" t="s">
        <v>1455</v>
      </c>
      <c r="B72" s="100">
        <v>1.51</v>
      </c>
      <c r="C72" s="100">
        <v>3.56</v>
      </c>
      <c r="D72" s="100">
        <v>2.5099999999999998</v>
      </c>
      <c r="E72" s="100">
        <v>4.3600000000000003</v>
      </c>
      <c r="F72" s="100">
        <v>10.59</v>
      </c>
      <c r="G72" s="100">
        <v>33.15</v>
      </c>
      <c r="H72" s="100">
        <v>14.14</v>
      </c>
      <c r="I72" s="100">
        <v>4.53</v>
      </c>
      <c r="J72" s="100">
        <v>1.1200000000000001</v>
      </c>
      <c r="K72" s="100">
        <v>306.72000000000003</v>
      </c>
      <c r="L72" s="100">
        <v>31.27</v>
      </c>
      <c r="M72" s="100">
        <v>65.06</v>
      </c>
      <c r="N72" s="100">
        <v>165.9</v>
      </c>
      <c r="O72" s="100">
        <v>0</v>
      </c>
      <c r="P72" s="100">
        <v>0.17</v>
      </c>
      <c r="Q72" s="100">
        <v>10</v>
      </c>
      <c r="R72" s="6"/>
      <c r="S72" s="6"/>
      <c r="T72" s="156"/>
      <c r="U72" s="6"/>
    </row>
    <row r="73" spans="1:21" customFormat="1">
      <c r="A73" s="163" t="s">
        <v>1456</v>
      </c>
      <c r="B73" s="100">
        <v>1.5</v>
      </c>
      <c r="C73" s="100">
        <v>3.59</v>
      </c>
      <c r="D73" s="100">
        <v>2.58</v>
      </c>
      <c r="E73" s="100">
        <v>4.5999999999999996</v>
      </c>
      <c r="F73" s="100">
        <v>11.09</v>
      </c>
      <c r="G73" s="100">
        <v>33.15</v>
      </c>
      <c r="H73" s="100">
        <v>13.7</v>
      </c>
      <c r="I73" s="100">
        <v>4.63</v>
      </c>
      <c r="J73" s="100">
        <v>0.39</v>
      </c>
      <c r="K73" s="100">
        <v>264.01</v>
      </c>
      <c r="L73" s="100">
        <v>31.48</v>
      </c>
      <c r="M73" s="100">
        <v>66.040000000000006</v>
      </c>
      <c r="N73" s="100">
        <v>147</v>
      </c>
      <c r="O73" s="100">
        <v>0</v>
      </c>
      <c r="P73" s="100">
        <v>0.17</v>
      </c>
      <c r="Q73" s="100">
        <v>10</v>
      </c>
      <c r="R73" s="6"/>
      <c r="S73" s="6"/>
      <c r="T73" s="156"/>
      <c r="U73" s="6"/>
    </row>
    <row r="74" spans="1:21" customFormat="1">
      <c r="A74" s="163" t="s">
        <v>1457</v>
      </c>
      <c r="B74" s="100">
        <v>1.5</v>
      </c>
      <c r="C74" s="100">
        <v>3.52</v>
      </c>
      <c r="D74" s="100">
        <v>2.44</v>
      </c>
      <c r="E74" s="100">
        <v>4.51</v>
      </c>
      <c r="F74" s="100">
        <v>9.91</v>
      </c>
      <c r="G74" s="100">
        <v>33.15</v>
      </c>
      <c r="H74" s="100">
        <v>13.7</v>
      </c>
      <c r="I74" s="100">
        <v>4.6500000000000004</v>
      </c>
      <c r="J74" s="100">
        <v>0.56000000000000005</v>
      </c>
      <c r="K74" s="100">
        <v>256.89</v>
      </c>
      <c r="L74" s="100">
        <v>31.46</v>
      </c>
      <c r="M74" s="100">
        <v>65.22</v>
      </c>
      <c r="N74" s="100">
        <v>118.2</v>
      </c>
      <c r="O74" s="100">
        <v>0</v>
      </c>
      <c r="P74" s="100">
        <v>0.15</v>
      </c>
      <c r="Q74" s="100">
        <v>10</v>
      </c>
      <c r="R74" s="6"/>
      <c r="S74" s="6"/>
      <c r="T74" s="156"/>
      <c r="U74" s="6"/>
    </row>
    <row r="75" spans="1:21" customFormat="1">
      <c r="A75" s="163" t="s">
        <v>1458</v>
      </c>
      <c r="B75" s="100">
        <v>1.54</v>
      </c>
      <c r="C75" s="100">
        <v>3.82</v>
      </c>
      <c r="D75" s="100">
        <v>2.96</v>
      </c>
      <c r="E75" s="100">
        <v>4.5599999999999996</v>
      </c>
      <c r="F75" s="100">
        <v>9.17</v>
      </c>
      <c r="G75" s="100">
        <v>33.15</v>
      </c>
      <c r="H75" s="100">
        <v>13.7</v>
      </c>
      <c r="I75" s="100">
        <v>4.63</v>
      </c>
      <c r="J75" s="100">
        <v>0.76</v>
      </c>
      <c r="K75" s="100">
        <v>273.89</v>
      </c>
      <c r="L75" s="100">
        <v>31.55</v>
      </c>
      <c r="M75" s="100">
        <v>64.27</v>
      </c>
      <c r="N75" s="100">
        <v>104.8</v>
      </c>
      <c r="O75" s="100">
        <v>0</v>
      </c>
      <c r="P75" s="100">
        <v>0.17</v>
      </c>
      <c r="Q75" s="100">
        <v>10</v>
      </c>
      <c r="R75" s="6"/>
      <c r="S75" s="6"/>
      <c r="T75" s="156"/>
      <c r="U75" s="6"/>
    </row>
    <row r="76" spans="1:21" customFormat="1">
      <c r="A76" s="163" t="s">
        <v>1459</v>
      </c>
      <c r="B76" s="100">
        <v>1.63</v>
      </c>
      <c r="C76" s="100">
        <v>3.98</v>
      </c>
      <c r="D76" s="100">
        <v>3.12</v>
      </c>
      <c r="E76" s="100">
        <v>4.76</v>
      </c>
      <c r="F76" s="100">
        <v>7.74</v>
      </c>
      <c r="G76" s="100">
        <v>33.22</v>
      </c>
      <c r="H76" s="100">
        <v>13.42</v>
      </c>
      <c r="I76" s="100">
        <v>4.5999999999999996</v>
      </c>
      <c r="J76" s="100">
        <v>0.77</v>
      </c>
      <c r="K76" s="100">
        <v>252.7</v>
      </c>
      <c r="L76" s="100">
        <v>31.37</v>
      </c>
      <c r="M76" s="100">
        <v>64.989999999999995</v>
      </c>
      <c r="N76" s="100">
        <v>101.8</v>
      </c>
      <c r="O76" s="100">
        <v>0</v>
      </c>
      <c r="P76" s="100">
        <v>0.18</v>
      </c>
      <c r="Q76" s="100">
        <v>10</v>
      </c>
      <c r="R76" s="6"/>
      <c r="S76" s="6"/>
      <c r="T76" s="156"/>
      <c r="U76" s="6"/>
    </row>
    <row r="77" spans="1:21" customFormat="1">
      <c r="A77" s="163" t="s">
        <v>1460</v>
      </c>
      <c r="B77" s="100">
        <v>1.45</v>
      </c>
      <c r="C77" s="100">
        <v>3.44</v>
      </c>
      <c r="D77" s="100">
        <v>2.38</v>
      </c>
      <c r="E77" s="100">
        <v>4.7</v>
      </c>
      <c r="F77" s="100">
        <v>7.33</v>
      </c>
      <c r="G77" s="100">
        <v>33.53</v>
      </c>
      <c r="H77" s="100">
        <v>12.51</v>
      </c>
      <c r="I77" s="100">
        <v>4.8</v>
      </c>
      <c r="J77" s="100">
        <v>0.63</v>
      </c>
      <c r="K77" s="100">
        <v>255.57</v>
      </c>
      <c r="L77" s="100">
        <v>31.15</v>
      </c>
      <c r="M77" s="100">
        <v>65.849999999999994</v>
      </c>
      <c r="N77" s="100">
        <v>69.5</v>
      </c>
      <c r="O77" s="100">
        <v>0</v>
      </c>
      <c r="P77" s="100">
        <v>0.2</v>
      </c>
      <c r="Q77" s="100">
        <v>10</v>
      </c>
      <c r="R77" s="6"/>
      <c r="S77" s="6"/>
      <c r="T77" s="156"/>
      <c r="U77" s="6"/>
    </row>
    <row r="78" spans="1:21" customFormat="1">
      <c r="A78" s="163" t="s">
        <v>1461</v>
      </c>
      <c r="B78" s="100">
        <v>1.47</v>
      </c>
      <c r="C78" s="100">
        <v>3.56</v>
      </c>
      <c r="D78" s="100">
        <v>2.57</v>
      </c>
      <c r="E78" s="100">
        <v>5</v>
      </c>
      <c r="F78" s="100">
        <v>7.95</v>
      </c>
      <c r="G78" s="100">
        <v>33.53</v>
      </c>
      <c r="H78" s="100">
        <v>12.51</v>
      </c>
      <c r="I78" s="100">
        <v>5.2</v>
      </c>
      <c r="J78" s="100">
        <v>0.68</v>
      </c>
      <c r="K78" s="100">
        <v>248.77</v>
      </c>
      <c r="L78" s="100">
        <v>30.99</v>
      </c>
      <c r="M78" s="100">
        <v>65.75</v>
      </c>
      <c r="N78" s="100">
        <v>53.2</v>
      </c>
      <c r="O78" s="100">
        <v>0</v>
      </c>
      <c r="P78" s="100">
        <v>0.19</v>
      </c>
      <c r="Q78" s="100">
        <v>10</v>
      </c>
      <c r="R78" s="6"/>
      <c r="S78" s="6"/>
      <c r="T78" s="156"/>
      <c r="U78" s="6"/>
    </row>
    <row r="79" spans="1:21" customFormat="1">
      <c r="A79" s="163" t="s">
        <v>1462</v>
      </c>
      <c r="B79" s="100">
        <v>1.56</v>
      </c>
      <c r="C79" s="100">
        <v>3.97</v>
      </c>
      <c r="D79" s="100">
        <v>3.22</v>
      </c>
      <c r="E79" s="100">
        <v>4.59</v>
      </c>
      <c r="F79" s="100">
        <v>9.92</v>
      </c>
      <c r="G79" s="100">
        <v>33.53</v>
      </c>
      <c r="H79" s="100">
        <v>12.51</v>
      </c>
      <c r="I79" s="100">
        <v>5.34</v>
      </c>
      <c r="J79" s="100">
        <v>0.63</v>
      </c>
      <c r="K79" s="100">
        <v>255.78</v>
      </c>
      <c r="L79" s="100">
        <v>30.84</v>
      </c>
      <c r="M79" s="100">
        <v>66.680000000000007</v>
      </c>
      <c r="N79" s="100">
        <v>37.299999999999997</v>
      </c>
      <c r="O79" s="100">
        <v>0</v>
      </c>
      <c r="P79" s="100">
        <v>0.2</v>
      </c>
      <c r="Q79" s="100">
        <v>10</v>
      </c>
      <c r="R79" s="6"/>
      <c r="S79" s="6"/>
      <c r="T79" s="156"/>
      <c r="U79" s="6"/>
    </row>
    <row r="80" spans="1:21" customFormat="1">
      <c r="A80" s="163" t="s">
        <v>1463</v>
      </c>
      <c r="B80" s="100">
        <v>1.53</v>
      </c>
      <c r="C80" s="100">
        <v>4</v>
      </c>
      <c r="D80" s="100">
        <v>3.32</v>
      </c>
      <c r="E80" s="100">
        <v>4.45</v>
      </c>
      <c r="F80" s="100">
        <v>10.61</v>
      </c>
      <c r="G80" s="100">
        <v>33.46</v>
      </c>
      <c r="H80" s="100">
        <v>12.95</v>
      </c>
      <c r="I80" s="100">
        <v>5.47</v>
      </c>
      <c r="J80" s="100">
        <v>0.71</v>
      </c>
      <c r="K80" s="100">
        <v>252.75</v>
      </c>
      <c r="L80" s="100">
        <v>30.69</v>
      </c>
      <c r="M80" s="100">
        <v>67.36</v>
      </c>
      <c r="N80" s="100">
        <v>24.6</v>
      </c>
      <c r="O80" s="100">
        <v>0</v>
      </c>
      <c r="P80" s="100">
        <v>0.21</v>
      </c>
      <c r="Q80" s="100">
        <v>10</v>
      </c>
      <c r="R80" s="6"/>
      <c r="S80" s="6"/>
      <c r="T80" s="156"/>
      <c r="U80" s="6"/>
    </row>
    <row r="81" spans="1:21" customFormat="1">
      <c r="A81" s="163" t="s">
        <v>1464</v>
      </c>
      <c r="B81" s="100">
        <v>1.5</v>
      </c>
      <c r="C81" s="100">
        <v>3.73</v>
      </c>
      <c r="D81" s="100">
        <v>2.87</v>
      </c>
      <c r="E81" s="100">
        <v>3.72</v>
      </c>
      <c r="F81" s="100">
        <v>6.56</v>
      </c>
      <c r="G81" s="100">
        <v>33.17</v>
      </c>
      <c r="H81" s="100">
        <v>14.35</v>
      </c>
      <c r="I81" s="100">
        <v>5.6</v>
      </c>
      <c r="J81" s="100">
        <v>0.73</v>
      </c>
      <c r="K81" s="100">
        <v>251.27</v>
      </c>
      <c r="L81" s="100">
        <v>30.53</v>
      </c>
      <c r="M81" s="100">
        <v>66.39</v>
      </c>
      <c r="N81" s="100">
        <v>18.2</v>
      </c>
      <c r="O81" s="100">
        <v>0</v>
      </c>
      <c r="P81" s="100">
        <v>0.17</v>
      </c>
      <c r="Q81" s="100">
        <v>10</v>
      </c>
      <c r="R81" s="6"/>
      <c r="S81" s="6"/>
      <c r="T81" s="156"/>
      <c r="U81" s="6"/>
    </row>
    <row r="82" spans="1:21" customFormat="1">
      <c r="A82" s="163" t="s">
        <v>1465</v>
      </c>
      <c r="B82" s="100">
        <v>1.49</v>
      </c>
      <c r="C82" s="100">
        <v>3.7</v>
      </c>
      <c r="D82" s="100">
        <v>2.81</v>
      </c>
      <c r="E82" s="100">
        <v>4.29</v>
      </c>
      <c r="F82" s="100">
        <v>5.08</v>
      </c>
      <c r="G82" s="100">
        <v>33.17</v>
      </c>
      <c r="H82" s="100">
        <v>14.35</v>
      </c>
      <c r="I82" s="100">
        <v>5.56</v>
      </c>
      <c r="J82" s="100">
        <v>0.46</v>
      </c>
      <c r="K82" s="100">
        <v>244.59</v>
      </c>
      <c r="L82" s="100">
        <v>30.3</v>
      </c>
      <c r="M82" s="100">
        <v>67.989999999999995</v>
      </c>
      <c r="N82" s="100">
        <v>12.6</v>
      </c>
      <c r="O82" s="100">
        <v>0</v>
      </c>
      <c r="P82" s="100">
        <v>0.19</v>
      </c>
      <c r="Q82" s="100">
        <v>10</v>
      </c>
      <c r="R82" s="6"/>
      <c r="S82" s="6"/>
      <c r="T82" s="156"/>
      <c r="U82" s="6"/>
    </row>
    <row r="83" spans="1:21" customFormat="1">
      <c r="A83" s="163" t="s">
        <v>1466</v>
      </c>
      <c r="B83" s="100">
        <v>1.46</v>
      </c>
      <c r="C83" s="100">
        <v>3.46</v>
      </c>
      <c r="D83" s="100">
        <v>2.42</v>
      </c>
      <c r="E83" s="100">
        <v>4.7</v>
      </c>
      <c r="F83" s="100">
        <v>5.04</v>
      </c>
      <c r="G83" s="100">
        <v>33.17</v>
      </c>
      <c r="H83" s="100">
        <v>14.35</v>
      </c>
      <c r="I83" s="100">
        <v>5.16</v>
      </c>
      <c r="J83" s="100">
        <v>0.42</v>
      </c>
      <c r="K83" s="100">
        <v>247.62</v>
      </c>
      <c r="L83" s="100">
        <v>30.16</v>
      </c>
      <c r="M83" s="100">
        <v>69.41</v>
      </c>
      <c r="N83" s="100">
        <v>5.7</v>
      </c>
      <c r="O83" s="100">
        <v>0</v>
      </c>
      <c r="P83" s="100">
        <v>0.2</v>
      </c>
      <c r="Q83" s="100">
        <v>10</v>
      </c>
      <c r="R83" s="6"/>
      <c r="S83" s="6"/>
      <c r="T83" s="156"/>
      <c r="U83" s="6"/>
    </row>
    <row r="84" spans="1:21" customFormat="1">
      <c r="A84" s="163" t="s">
        <v>1467</v>
      </c>
      <c r="B84" s="100">
        <v>1.5</v>
      </c>
      <c r="C84" s="100">
        <v>3.54</v>
      </c>
      <c r="D84" s="100">
        <v>2.5</v>
      </c>
      <c r="E84" s="100">
        <v>4.75</v>
      </c>
      <c r="F84" s="100">
        <v>4.8499999999999996</v>
      </c>
      <c r="G84" s="100">
        <v>32.4</v>
      </c>
      <c r="H84" s="100">
        <v>14.25</v>
      </c>
      <c r="I84" s="100">
        <v>5.2</v>
      </c>
      <c r="J84" s="100">
        <v>0.82</v>
      </c>
      <c r="K84" s="100">
        <v>250.33</v>
      </c>
      <c r="L84" s="100">
        <v>30.01</v>
      </c>
      <c r="M84" s="100">
        <v>69.44</v>
      </c>
      <c r="N84" s="100">
        <v>2.6</v>
      </c>
      <c r="O84" s="100">
        <v>0</v>
      </c>
      <c r="P84" s="100">
        <v>0.22</v>
      </c>
      <c r="Q84" s="100">
        <v>10</v>
      </c>
      <c r="R84" s="6"/>
      <c r="S84" s="6"/>
      <c r="T84" s="156"/>
      <c r="U84" s="6"/>
    </row>
    <row r="85" spans="1:21" customFormat="1">
      <c r="A85" s="163" t="s">
        <v>1468</v>
      </c>
      <c r="B85" s="100">
        <v>1.52</v>
      </c>
      <c r="C85" s="100">
        <v>3.75</v>
      </c>
      <c r="D85" s="100">
        <v>2.86</v>
      </c>
      <c r="E85" s="100">
        <v>5.14</v>
      </c>
      <c r="F85" s="100">
        <v>4.75</v>
      </c>
      <c r="G85" s="100">
        <v>28.88</v>
      </c>
      <c r="H85" s="100">
        <v>13.71</v>
      </c>
      <c r="I85" s="100">
        <v>5.14</v>
      </c>
      <c r="J85" s="100">
        <v>0.7</v>
      </c>
      <c r="K85" s="100">
        <v>262.55</v>
      </c>
      <c r="L85" s="100">
        <v>29.81</v>
      </c>
      <c r="M85" s="100">
        <v>69.849999999999994</v>
      </c>
      <c r="N85" s="100">
        <v>2.2999999999999998</v>
      </c>
      <c r="O85" s="100">
        <v>0</v>
      </c>
      <c r="P85" s="100">
        <v>0.22</v>
      </c>
      <c r="Q85" s="100">
        <v>10</v>
      </c>
      <c r="R85" s="6"/>
      <c r="S85" s="6"/>
      <c r="T85" s="156"/>
      <c r="U85" s="6"/>
    </row>
    <row r="86" spans="1:21" customFormat="1">
      <c r="A86" s="163" t="s">
        <v>1469</v>
      </c>
      <c r="B86" s="100">
        <v>1.48</v>
      </c>
      <c r="C86" s="100">
        <v>3.6</v>
      </c>
      <c r="D86" s="100">
        <v>2.64</v>
      </c>
      <c r="E86" s="100">
        <v>5.08</v>
      </c>
      <c r="F86" s="100">
        <v>3.19</v>
      </c>
      <c r="G86" s="100">
        <v>28.88</v>
      </c>
      <c r="H86" s="100">
        <v>13.71</v>
      </c>
      <c r="I86" s="100">
        <v>5.0999999999999996</v>
      </c>
      <c r="J86" s="100">
        <v>0.7</v>
      </c>
      <c r="K86" s="100">
        <v>259.10000000000002</v>
      </c>
      <c r="L86" s="100">
        <v>29.58</v>
      </c>
      <c r="M86" s="100">
        <v>70.73</v>
      </c>
      <c r="N86" s="100">
        <v>2.2999999999999998</v>
      </c>
      <c r="O86" s="100">
        <v>0</v>
      </c>
      <c r="P86" s="100">
        <v>0.23</v>
      </c>
      <c r="Q86" s="100">
        <v>10</v>
      </c>
      <c r="R86" s="6"/>
      <c r="S86" s="6"/>
      <c r="T86" s="156"/>
      <c r="U86" s="6"/>
    </row>
    <row r="87" spans="1:21" customFormat="1">
      <c r="A87" s="163" t="s">
        <v>1470</v>
      </c>
      <c r="B87" s="100">
        <v>1.5</v>
      </c>
      <c r="C87" s="100">
        <v>3.79</v>
      </c>
      <c r="D87" s="100">
        <v>2.97</v>
      </c>
      <c r="E87" s="100">
        <v>5.07</v>
      </c>
      <c r="F87" s="100">
        <v>2.87</v>
      </c>
      <c r="G87" s="100">
        <v>28.88</v>
      </c>
      <c r="H87" s="100">
        <v>13.71</v>
      </c>
      <c r="I87" s="100">
        <v>5.08</v>
      </c>
      <c r="J87" s="100">
        <v>0.65</v>
      </c>
      <c r="K87" s="100">
        <v>253.34</v>
      </c>
      <c r="L87" s="100">
        <v>29.38</v>
      </c>
      <c r="M87" s="100">
        <v>71.56</v>
      </c>
      <c r="N87" s="100">
        <v>2.2000000000000002</v>
      </c>
      <c r="O87" s="100">
        <v>0</v>
      </c>
      <c r="P87" s="100">
        <v>0.25</v>
      </c>
      <c r="Q87" s="100">
        <v>10</v>
      </c>
      <c r="R87" s="6"/>
      <c r="S87" s="6"/>
      <c r="T87" s="156"/>
      <c r="U87" s="6"/>
    </row>
    <row r="88" spans="1:21" customFormat="1">
      <c r="A88" s="163" t="s">
        <v>1471</v>
      </c>
      <c r="B88" s="100">
        <v>1.45</v>
      </c>
      <c r="C88" s="100">
        <v>3.56</v>
      </c>
      <c r="D88" s="100">
        <v>2.62</v>
      </c>
      <c r="E88" s="100">
        <v>4.9800000000000004</v>
      </c>
      <c r="F88" s="100">
        <v>4.05</v>
      </c>
      <c r="G88" s="100">
        <v>29.51</v>
      </c>
      <c r="H88" s="100">
        <v>14.05</v>
      </c>
      <c r="I88" s="100">
        <v>5.28</v>
      </c>
      <c r="J88" s="100">
        <v>0.57999999999999996</v>
      </c>
      <c r="K88" s="100">
        <v>254.21</v>
      </c>
      <c r="L88" s="100">
        <v>29.2</v>
      </c>
      <c r="M88" s="100">
        <v>71.02</v>
      </c>
      <c r="N88" s="100">
        <v>2.2999999999999998</v>
      </c>
      <c r="O88" s="100">
        <v>0</v>
      </c>
      <c r="P88" s="100">
        <v>0.27</v>
      </c>
      <c r="Q88" s="100">
        <v>10</v>
      </c>
      <c r="R88" s="6"/>
      <c r="S88" s="6"/>
      <c r="T88" s="156"/>
      <c r="U88" s="6"/>
    </row>
    <row r="89" spans="1:21" customFormat="1">
      <c r="A89" s="163" t="s">
        <v>1472</v>
      </c>
      <c r="B89" s="100">
        <v>1.5</v>
      </c>
      <c r="C89" s="100">
        <v>3.84</v>
      </c>
      <c r="D89" s="100">
        <v>3.05</v>
      </c>
      <c r="E89" s="100">
        <v>5.17</v>
      </c>
      <c r="F89" s="100">
        <v>3.5</v>
      </c>
      <c r="G89" s="100">
        <v>32.229999999999997</v>
      </c>
      <c r="H89" s="100">
        <v>15.14</v>
      </c>
      <c r="I89" s="100">
        <v>5.72</v>
      </c>
      <c r="J89" s="100">
        <v>0.54</v>
      </c>
      <c r="K89" s="100">
        <v>249.84</v>
      </c>
      <c r="L89" s="100">
        <v>29.1</v>
      </c>
      <c r="M89" s="100">
        <v>69.84</v>
      </c>
      <c r="N89" s="100">
        <v>2.2000000000000002</v>
      </c>
      <c r="O89" s="100">
        <v>0</v>
      </c>
      <c r="P89" s="100">
        <v>0.28999999999999998</v>
      </c>
      <c r="Q89" s="100">
        <v>10</v>
      </c>
      <c r="R89" s="6"/>
      <c r="S89" s="6"/>
      <c r="T89" s="156"/>
      <c r="U89" s="6"/>
    </row>
    <row r="90" spans="1:21" customFormat="1">
      <c r="A90" s="163" t="s">
        <v>1473</v>
      </c>
      <c r="B90" s="100">
        <v>1.44</v>
      </c>
      <c r="C90" s="100">
        <v>3.97</v>
      </c>
      <c r="D90" s="100">
        <v>3.41</v>
      </c>
      <c r="E90" s="100">
        <v>5.17</v>
      </c>
      <c r="F90" s="100">
        <v>2.4700000000000002</v>
      </c>
      <c r="G90" s="100">
        <v>32.229999999999997</v>
      </c>
      <c r="H90" s="100">
        <v>15.14</v>
      </c>
      <c r="I90" s="100">
        <v>5.94</v>
      </c>
      <c r="J90" s="100">
        <v>0.43</v>
      </c>
      <c r="K90" s="100">
        <v>245.18</v>
      </c>
      <c r="L90" s="100">
        <v>29.07</v>
      </c>
      <c r="M90" s="100">
        <v>69.180000000000007</v>
      </c>
      <c r="N90" s="100">
        <v>1.9</v>
      </c>
      <c r="O90" s="100">
        <v>0</v>
      </c>
      <c r="P90" s="100">
        <v>0.3</v>
      </c>
      <c r="Q90" s="100">
        <v>10</v>
      </c>
      <c r="R90" s="6"/>
      <c r="S90" s="6"/>
      <c r="T90" s="156"/>
      <c r="U90" s="6"/>
    </row>
    <row r="91" spans="1:21" customFormat="1">
      <c r="A91" s="163" t="s">
        <v>1474</v>
      </c>
      <c r="B91" s="100">
        <v>1.47</v>
      </c>
      <c r="C91" s="100">
        <v>3.92</v>
      </c>
      <c r="D91" s="100">
        <v>3.26</v>
      </c>
      <c r="E91" s="100">
        <v>5.14</v>
      </c>
      <c r="F91" s="100">
        <v>2.76</v>
      </c>
      <c r="G91" s="100">
        <v>32.229999999999997</v>
      </c>
      <c r="H91" s="100">
        <v>15.14</v>
      </c>
      <c r="I91" s="100">
        <v>6.17</v>
      </c>
      <c r="J91" s="100">
        <v>0.37</v>
      </c>
      <c r="K91" s="100">
        <v>244.32</v>
      </c>
      <c r="L91" s="100">
        <v>28.9</v>
      </c>
      <c r="M91" s="100">
        <v>69.98</v>
      </c>
      <c r="N91" s="100">
        <v>2.1</v>
      </c>
      <c r="O91" s="100">
        <v>0</v>
      </c>
      <c r="P91" s="100">
        <v>0.28999999999999998</v>
      </c>
      <c r="Q91" s="100">
        <v>10</v>
      </c>
      <c r="R91" s="6"/>
      <c r="S91" s="6"/>
      <c r="T91" s="156"/>
      <c r="U91" s="6"/>
    </row>
    <row r="92" spans="1:21" customFormat="1">
      <c r="A92" s="163" t="s">
        <v>1475</v>
      </c>
      <c r="B92" s="100">
        <v>1.39</v>
      </c>
      <c r="C92" s="100">
        <v>3.58</v>
      </c>
      <c r="D92" s="100">
        <v>2.74</v>
      </c>
      <c r="E92" s="100">
        <v>5.0199999999999996</v>
      </c>
      <c r="F92" s="100">
        <v>3.55</v>
      </c>
      <c r="G92" s="100">
        <v>32.33</v>
      </c>
      <c r="H92" s="100">
        <v>14.32</v>
      </c>
      <c r="I92" s="100">
        <v>6.22</v>
      </c>
      <c r="J92" s="100">
        <v>0.19</v>
      </c>
      <c r="K92" s="100">
        <v>224.34</v>
      </c>
      <c r="L92" s="100">
        <v>28.74</v>
      </c>
      <c r="M92" s="100">
        <v>72.11</v>
      </c>
      <c r="N92" s="100">
        <v>2.2000000000000002</v>
      </c>
      <c r="O92" s="100">
        <v>0</v>
      </c>
      <c r="P92" s="100">
        <v>0.28999999999999998</v>
      </c>
      <c r="Q92" s="100">
        <v>10</v>
      </c>
      <c r="R92" s="6"/>
      <c r="S92" s="6"/>
      <c r="T92" s="156"/>
      <c r="U92" s="6"/>
    </row>
    <row r="93" spans="1:21" customFormat="1">
      <c r="A93" s="163" t="s">
        <v>1476</v>
      </c>
      <c r="B93" s="100">
        <v>1.44</v>
      </c>
      <c r="C93" s="100">
        <v>3.65</v>
      </c>
      <c r="D93" s="100">
        <v>2.79</v>
      </c>
      <c r="E93" s="100">
        <v>4.96</v>
      </c>
      <c r="F93" s="100">
        <v>2.2200000000000002</v>
      </c>
      <c r="G93" s="100">
        <v>32.770000000000003</v>
      </c>
      <c r="H93" s="100">
        <v>11.7</v>
      </c>
      <c r="I93" s="100">
        <v>6.14</v>
      </c>
      <c r="J93" s="100">
        <v>0.27</v>
      </c>
      <c r="K93" s="100">
        <v>248.49</v>
      </c>
      <c r="L93" s="100">
        <v>28.59</v>
      </c>
      <c r="M93" s="100">
        <v>72.94</v>
      </c>
      <c r="N93" s="100">
        <v>2</v>
      </c>
      <c r="O93" s="100">
        <v>0</v>
      </c>
      <c r="P93" s="100">
        <v>0.28000000000000003</v>
      </c>
      <c r="Q93" s="100">
        <v>10</v>
      </c>
      <c r="R93" s="6"/>
      <c r="S93" s="6"/>
      <c r="T93" s="156"/>
      <c r="U93" s="6"/>
    </row>
    <row r="94" spans="1:21" customFormat="1">
      <c r="A94" s="163" t="s">
        <v>1477</v>
      </c>
      <c r="B94" s="100">
        <v>1.46</v>
      </c>
      <c r="C94" s="100">
        <v>3.64</v>
      </c>
      <c r="D94" s="100">
        <v>2.74</v>
      </c>
      <c r="E94" s="100">
        <v>5.03</v>
      </c>
      <c r="F94" s="100">
        <v>2.4500000000000002</v>
      </c>
      <c r="G94" s="100">
        <v>32.770000000000003</v>
      </c>
      <c r="H94" s="100">
        <v>11.7</v>
      </c>
      <c r="I94" s="100">
        <v>5.98</v>
      </c>
      <c r="J94" s="100">
        <v>0.28999999999999998</v>
      </c>
      <c r="K94" s="100">
        <v>251.89</v>
      </c>
      <c r="L94" s="100">
        <v>28.41</v>
      </c>
      <c r="M94" s="100">
        <v>74.98</v>
      </c>
      <c r="N94" s="100">
        <v>2.1</v>
      </c>
      <c r="O94" s="100">
        <v>0</v>
      </c>
      <c r="P94" s="100">
        <v>0.28000000000000003</v>
      </c>
      <c r="Q94" s="100">
        <v>10</v>
      </c>
      <c r="R94" s="6"/>
      <c r="S94" s="6"/>
      <c r="T94" s="156"/>
      <c r="U94" s="6"/>
    </row>
    <row r="95" spans="1:21" customFormat="1">
      <c r="A95" s="163" t="s">
        <v>1478</v>
      </c>
      <c r="B95" s="100">
        <v>1.52</v>
      </c>
      <c r="C95" s="100">
        <v>3.68</v>
      </c>
      <c r="D95" s="100">
        <v>2.74</v>
      </c>
      <c r="E95" s="100">
        <v>5.1100000000000003</v>
      </c>
      <c r="F95" s="100">
        <v>2.77</v>
      </c>
      <c r="G95" s="100">
        <v>32.770000000000003</v>
      </c>
      <c r="H95" s="100">
        <v>11.7</v>
      </c>
      <c r="I95" s="100">
        <v>5.92</v>
      </c>
      <c r="J95" s="100">
        <v>0.34</v>
      </c>
      <c r="K95" s="100">
        <v>245.11</v>
      </c>
      <c r="L95" s="100">
        <v>28.47</v>
      </c>
      <c r="M95" s="100">
        <v>74.52</v>
      </c>
      <c r="N95" s="100">
        <v>2.1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163" t="s">
        <v>1479</v>
      </c>
      <c r="B96" s="100">
        <v>1.48</v>
      </c>
      <c r="C96" s="100">
        <v>3.77</v>
      </c>
      <c r="D96" s="100">
        <v>2.95</v>
      </c>
      <c r="E96" s="100">
        <v>5.2</v>
      </c>
      <c r="F96" s="100">
        <v>2.65</v>
      </c>
      <c r="G96" s="100">
        <v>32.090000000000003</v>
      </c>
      <c r="H96" s="100">
        <v>12.08</v>
      </c>
      <c r="I96" s="100">
        <v>5.95</v>
      </c>
      <c r="J96" s="100">
        <v>0.32</v>
      </c>
      <c r="K96" s="100">
        <v>239.76</v>
      </c>
      <c r="L96" s="100">
        <v>28.48</v>
      </c>
      <c r="M96" s="100">
        <v>75.290000000000006</v>
      </c>
      <c r="N96" s="100">
        <v>2</v>
      </c>
      <c r="O96" s="100">
        <v>0</v>
      </c>
      <c r="P96" s="100">
        <v>0.27</v>
      </c>
      <c r="Q96" s="100">
        <v>10</v>
      </c>
      <c r="R96" s="6"/>
      <c r="S96" s="6"/>
      <c r="T96" s="156"/>
      <c r="U96" s="6"/>
    </row>
    <row r="97" spans="1:28" customFormat="1">
      <c r="A97" s="163" t="s">
        <v>1480</v>
      </c>
      <c r="B97" s="100">
        <v>1.6</v>
      </c>
      <c r="C97" s="100">
        <v>3.89</v>
      </c>
      <c r="D97" s="100">
        <v>3.02</v>
      </c>
      <c r="E97" s="100">
        <v>5.18</v>
      </c>
      <c r="F97" s="100">
        <v>2.69</v>
      </c>
      <c r="G97" s="100">
        <v>28.99</v>
      </c>
      <c r="H97" s="100">
        <v>13.31</v>
      </c>
      <c r="I97" s="100">
        <v>5.82</v>
      </c>
      <c r="J97" s="100">
        <v>0.31</v>
      </c>
      <c r="K97" s="100">
        <v>244.38</v>
      </c>
      <c r="L97" s="100">
        <v>28.41</v>
      </c>
      <c r="M97" s="100">
        <v>76.180000000000007</v>
      </c>
      <c r="N97" s="100">
        <v>2</v>
      </c>
      <c r="O97" s="100">
        <v>0</v>
      </c>
      <c r="P97" s="100">
        <v>0.27</v>
      </c>
      <c r="Q97" s="100">
        <v>10</v>
      </c>
      <c r="R97" s="6"/>
      <c r="S97" s="6"/>
      <c r="T97" s="156"/>
      <c r="U97" s="6"/>
    </row>
    <row r="98" spans="1:28" customFormat="1">
      <c r="A98" s="163" t="s">
        <v>1481</v>
      </c>
      <c r="B98" s="100">
        <v>1.55</v>
      </c>
      <c r="C98" s="100">
        <v>3.72</v>
      </c>
      <c r="D98" s="100">
        <v>2.75</v>
      </c>
      <c r="E98" s="100">
        <v>5.15</v>
      </c>
      <c r="F98" s="100">
        <v>2.84</v>
      </c>
      <c r="G98" s="100">
        <v>28.99</v>
      </c>
      <c r="H98" s="100">
        <v>13.31</v>
      </c>
      <c r="I98" s="100">
        <v>5.76</v>
      </c>
      <c r="J98" s="100">
        <v>0.34</v>
      </c>
      <c r="K98" s="100">
        <v>242.32</v>
      </c>
      <c r="L98" s="100">
        <v>28.32</v>
      </c>
      <c r="M98" s="100">
        <v>77.180000000000007</v>
      </c>
      <c r="N98" s="100">
        <v>2</v>
      </c>
      <c r="O98" s="100">
        <v>0</v>
      </c>
      <c r="P98" s="100">
        <v>0.26</v>
      </c>
      <c r="Q98" s="100">
        <v>10</v>
      </c>
      <c r="R98" s="6"/>
      <c r="S98" s="6"/>
      <c r="T98" s="156"/>
      <c r="U98" s="6"/>
    </row>
    <row r="99" spans="1:28" customFormat="1">
      <c r="A99" s="163" t="s">
        <v>1482</v>
      </c>
      <c r="B99" s="100">
        <v>1.46</v>
      </c>
      <c r="C99" s="100">
        <v>3.59</v>
      </c>
      <c r="D99" s="100">
        <v>2.64</v>
      </c>
      <c r="E99" s="100">
        <v>5.19</v>
      </c>
      <c r="F99" s="100">
        <v>3.29</v>
      </c>
      <c r="G99" s="100">
        <v>28.99</v>
      </c>
      <c r="H99" s="100">
        <v>13.31</v>
      </c>
      <c r="I99" s="100">
        <v>5.76</v>
      </c>
      <c r="J99" s="100">
        <v>0.32</v>
      </c>
      <c r="K99" s="100">
        <v>236.27</v>
      </c>
      <c r="L99" s="100">
        <v>28.32</v>
      </c>
      <c r="M99" s="100">
        <v>78.19</v>
      </c>
      <c r="N99" s="100">
        <v>2.1</v>
      </c>
      <c r="O99" s="100">
        <v>0</v>
      </c>
      <c r="P99" s="100">
        <v>0.26</v>
      </c>
      <c r="Q99" s="100">
        <v>10</v>
      </c>
      <c r="R99" s="6"/>
      <c r="S99" s="6"/>
      <c r="T99" s="156"/>
      <c r="U99" s="6"/>
    </row>
    <row r="100" spans="1:28" customFormat="1">
      <c r="A100" s="163" t="s">
        <v>1483</v>
      </c>
      <c r="B100" s="100">
        <v>1.5</v>
      </c>
      <c r="C100" s="100">
        <v>3.6</v>
      </c>
      <c r="D100" s="100">
        <v>2.61</v>
      </c>
      <c r="E100" s="100">
        <v>5.22</v>
      </c>
      <c r="F100" s="100">
        <v>1.4</v>
      </c>
      <c r="G100" s="100">
        <v>29.98</v>
      </c>
      <c r="H100" s="100">
        <v>13.38</v>
      </c>
      <c r="I100" s="100">
        <v>5.69</v>
      </c>
      <c r="J100" s="100">
        <v>0.39</v>
      </c>
      <c r="K100" s="100">
        <v>243.78</v>
      </c>
      <c r="L100" s="100">
        <v>28.21</v>
      </c>
      <c r="M100" s="100">
        <v>79.650000000000006</v>
      </c>
      <c r="N100" s="100">
        <v>2.1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1484</v>
      </c>
      <c r="B101" s="100">
        <v>1.54</v>
      </c>
      <c r="C101" s="100">
        <v>3.63</v>
      </c>
      <c r="D101" s="100">
        <v>2.61</v>
      </c>
      <c r="E101" s="100">
        <v>5.3</v>
      </c>
      <c r="F101" s="100">
        <v>2.59</v>
      </c>
      <c r="G101" s="100">
        <v>34.200000000000003</v>
      </c>
      <c r="H101" s="100">
        <v>13.75</v>
      </c>
      <c r="I101" s="100">
        <v>5.57</v>
      </c>
      <c r="J101" s="100">
        <v>0.38</v>
      </c>
      <c r="K101" s="100">
        <v>252.35</v>
      </c>
      <c r="L101" s="100">
        <v>28.18</v>
      </c>
      <c r="M101" s="100">
        <v>80.06</v>
      </c>
      <c r="N101" s="100">
        <v>2.1</v>
      </c>
      <c r="O101" s="100">
        <v>0</v>
      </c>
      <c r="P101" s="100">
        <v>0.25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1485</v>
      </c>
      <c r="B102" s="100">
        <v>1.62</v>
      </c>
      <c r="C102" s="100">
        <v>3.75</v>
      </c>
      <c r="D102" s="100">
        <v>2.7</v>
      </c>
      <c r="E102" s="100">
        <v>5.17</v>
      </c>
      <c r="F102" s="100">
        <v>2.85</v>
      </c>
      <c r="G102" s="100">
        <v>34.200000000000003</v>
      </c>
      <c r="H102" s="100">
        <v>13.75</v>
      </c>
      <c r="I102" s="100">
        <v>5.53</v>
      </c>
      <c r="J102" s="100">
        <v>0.38</v>
      </c>
      <c r="K102" s="100">
        <v>248.28</v>
      </c>
      <c r="L102" s="100">
        <v>28.01</v>
      </c>
      <c r="M102" s="100">
        <v>81.41</v>
      </c>
      <c r="N102" s="100">
        <v>2.1</v>
      </c>
      <c r="O102" s="100">
        <v>0</v>
      </c>
      <c r="P102" s="100">
        <v>0.25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1486</v>
      </c>
      <c r="B103" s="100">
        <v>1.51</v>
      </c>
      <c r="C103" s="100">
        <v>3.57</v>
      </c>
      <c r="D103" s="100">
        <v>2.54</v>
      </c>
      <c r="E103" s="100">
        <v>5.52</v>
      </c>
      <c r="F103" s="100">
        <v>3.55</v>
      </c>
      <c r="G103" s="100">
        <v>34.200000000000003</v>
      </c>
      <c r="H103" s="100">
        <v>13.75</v>
      </c>
      <c r="I103" s="100">
        <v>5.44</v>
      </c>
      <c r="J103" s="100">
        <v>0.41</v>
      </c>
      <c r="K103" s="100">
        <v>255.35</v>
      </c>
      <c r="L103" s="100">
        <v>27.85</v>
      </c>
      <c r="M103" s="100">
        <v>82.18</v>
      </c>
      <c r="N103" s="100">
        <v>2.1</v>
      </c>
      <c r="O103" s="100">
        <v>0</v>
      </c>
      <c r="P103" s="100">
        <v>0.23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1487</v>
      </c>
      <c r="B104" s="100">
        <v>1.55</v>
      </c>
      <c r="C104" s="100">
        <v>3.53</v>
      </c>
      <c r="D104" s="100">
        <v>2.39</v>
      </c>
      <c r="E104" s="100">
        <v>5.42</v>
      </c>
      <c r="F104" s="100">
        <v>6.87</v>
      </c>
      <c r="G104" s="100">
        <v>33.64</v>
      </c>
      <c r="H104" s="100">
        <v>13.27</v>
      </c>
      <c r="I104" s="100">
        <v>5.23</v>
      </c>
      <c r="J104" s="100">
        <v>0.56999999999999995</v>
      </c>
      <c r="K104" s="100">
        <v>252.38</v>
      </c>
      <c r="L104" s="100">
        <v>27.89</v>
      </c>
      <c r="M104" s="100">
        <v>81.2</v>
      </c>
      <c r="N104" s="100">
        <v>2</v>
      </c>
      <c r="O104" s="100">
        <v>0</v>
      </c>
      <c r="P104" s="100">
        <v>0.2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1.25</v>
      </c>
      <c r="C106" s="158">
        <f>MIN(C9:C104)</f>
        <v>3.26</v>
      </c>
      <c r="D106" s="158">
        <f t="shared" ref="D106:Q106" si="0">MIN(D9:D104)</f>
        <v>2.2400000000000002</v>
      </c>
      <c r="E106" s="158">
        <f t="shared" si="0"/>
        <v>3.72</v>
      </c>
      <c r="F106" s="158">
        <f t="shared" si="0"/>
        <v>0.84</v>
      </c>
      <c r="G106" s="158">
        <f t="shared" si="0"/>
        <v>26.95</v>
      </c>
      <c r="H106" s="158">
        <f t="shared" si="0"/>
        <v>9.09</v>
      </c>
      <c r="I106" s="158">
        <f t="shared" si="0"/>
        <v>4.01</v>
      </c>
      <c r="J106" s="158">
        <f t="shared" si="0"/>
        <v>0.09</v>
      </c>
      <c r="K106" s="158">
        <f t="shared" si="0"/>
        <v>146.84</v>
      </c>
      <c r="L106" s="158">
        <f t="shared" si="0"/>
        <v>25.6</v>
      </c>
      <c r="M106" s="158">
        <f t="shared" si="0"/>
        <v>61.61</v>
      </c>
      <c r="N106" s="158">
        <f t="shared" si="0"/>
        <v>1.9</v>
      </c>
      <c r="O106" s="158">
        <f t="shared" si="0"/>
        <v>0</v>
      </c>
      <c r="P106" s="158">
        <f t="shared" si="0"/>
        <v>0.08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2.2599999999999998</v>
      </c>
      <c r="C107" s="157">
        <f t="shared" ref="C107:Q107" si="1">MAX(C9:C104)</f>
        <v>4.3499999999999996</v>
      </c>
      <c r="D107" s="157">
        <f t="shared" si="1"/>
        <v>3.41</v>
      </c>
      <c r="E107" s="157">
        <f t="shared" si="1"/>
        <v>5.69</v>
      </c>
      <c r="F107" s="157">
        <f t="shared" si="1"/>
        <v>11.09</v>
      </c>
      <c r="G107" s="157">
        <f t="shared" si="1"/>
        <v>39.22</v>
      </c>
      <c r="H107" s="157">
        <f t="shared" si="1"/>
        <v>16.87</v>
      </c>
      <c r="I107" s="157">
        <f t="shared" si="1"/>
        <v>6.22</v>
      </c>
      <c r="J107" s="157">
        <f t="shared" si="1"/>
        <v>1.1200000000000001</v>
      </c>
      <c r="K107" s="157">
        <f t="shared" si="1"/>
        <v>306.72000000000003</v>
      </c>
      <c r="L107" s="157">
        <f t="shared" si="1"/>
        <v>33.130000000000003</v>
      </c>
      <c r="M107" s="157">
        <f t="shared" si="1"/>
        <v>95.44</v>
      </c>
      <c r="N107" s="157">
        <f t="shared" si="1"/>
        <v>614</v>
      </c>
      <c r="O107" s="157">
        <f t="shared" si="1"/>
        <v>0</v>
      </c>
      <c r="P107" s="157">
        <f t="shared" si="1"/>
        <v>0.3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1.6395833333333334</v>
      </c>
      <c r="C108" s="158">
        <f t="shared" ref="C108:Q108" si="2">AVERAGE(C9:C104)</f>
        <v>3.7768750000000004</v>
      </c>
      <c r="D108" s="158">
        <f t="shared" si="2"/>
        <v>2.7312500000000006</v>
      </c>
      <c r="E108" s="158">
        <f t="shared" si="2"/>
        <v>4.9965624999999987</v>
      </c>
      <c r="F108" s="158">
        <f t="shared" si="2"/>
        <v>4.0361458333333333</v>
      </c>
      <c r="G108" s="158">
        <f t="shared" si="2"/>
        <v>32.584687500000001</v>
      </c>
      <c r="H108" s="158">
        <f t="shared" si="2"/>
        <v>13.143020833333338</v>
      </c>
      <c r="I108" s="158">
        <f t="shared" si="2"/>
        <v>4.984583333333334</v>
      </c>
      <c r="J108" s="158">
        <f t="shared" si="2"/>
        <v>0.50989583333333355</v>
      </c>
      <c r="K108" s="158">
        <f t="shared" si="2"/>
        <v>242.77864583333334</v>
      </c>
      <c r="L108" s="158">
        <f t="shared" si="2"/>
        <v>29.372083333333332</v>
      </c>
      <c r="M108" s="158">
        <f t="shared" si="2"/>
        <v>74.882083333333341</v>
      </c>
      <c r="N108" s="158">
        <f t="shared" si="2"/>
        <v>104.12500000000004</v>
      </c>
      <c r="O108" s="158">
        <f t="shared" si="2"/>
        <v>0</v>
      </c>
      <c r="P108" s="158">
        <f t="shared" si="2"/>
        <v>0.16958333333333322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0.27590202939551095</v>
      </c>
      <c r="C109" s="158">
        <f t="shared" ref="C109:Q109" si="3">STDEV(C9:C104)</f>
        <v>0.2744844449623981</v>
      </c>
      <c r="D109" s="158">
        <f t="shared" si="3"/>
        <v>0.24673552855766756</v>
      </c>
      <c r="E109" s="158">
        <f t="shared" si="3"/>
        <v>0.3896795664051223</v>
      </c>
      <c r="F109" s="158">
        <f t="shared" si="3"/>
        <v>2.3273153133992093</v>
      </c>
      <c r="G109" s="158">
        <f t="shared" si="3"/>
        <v>2.8875678905210904</v>
      </c>
      <c r="H109" s="158">
        <f t="shared" si="3"/>
        <v>2.1566587802195549</v>
      </c>
      <c r="I109" s="158">
        <f t="shared" si="3"/>
        <v>0.56781375127794598</v>
      </c>
      <c r="J109" s="158">
        <f t="shared" si="3"/>
        <v>0.23937855855996271</v>
      </c>
      <c r="K109" s="158">
        <f t="shared" si="3"/>
        <v>30.404467456360024</v>
      </c>
      <c r="L109" s="158">
        <f t="shared" si="3"/>
        <v>2.2074037699317208</v>
      </c>
      <c r="M109" s="158">
        <f t="shared" si="3"/>
        <v>10.220862556727353</v>
      </c>
      <c r="N109" s="158">
        <f t="shared" si="3"/>
        <v>139.19816695707789</v>
      </c>
      <c r="O109" s="158">
        <f t="shared" si="3"/>
        <v>0</v>
      </c>
      <c r="P109" s="158">
        <f t="shared" si="3"/>
        <v>5.8398209537562133E-2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3" sqref="G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1488</v>
      </c>
      <c r="B9" s="100">
        <v>1.26</v>
      </c>
      <c r="C9" s="100">
        <v>2.96</v>
      </c>
      <c r="D9" s="100">
        <v>1.74</v>
      </c>
      <c r="E9" s="100">
        <v>4.9000000000000004</v>
      </c>
      <c r="F9" s="100">
        <v>4.6500000000000004</v>
      </c>
      <c r="G9" s="100">
        <v>31.23</v>
      </c>
      <c r="H9" s="100">
        <v>11.76</v>
      </c>
      <c r="I9" s="100">
        <v>5.0599999999999996</v>
      </c>
      <c r="J9" s="100">
        <v>0.41</v>
      </c>
      <c r="K9" s="100">
        <v>247.96</v>
      </c>
      <c r="L9" s="100">
        <v>27.84</v>
      </c>
      <c r="M9" s="100">
        <v>81.73</v>
      </c>
      <c r="N9" s="100">
        <v>2.1</v>
      </c>
      <c r="O9" s="100">
        <v>0</v>
      </c>
      <c r="P9" s="100">
        <v>0.19</v>
      </c>
      <c r="Q9" s="100">
        <v>10</v>
      </c>
      <c r="R9" s="6"/>
      <c r="S9" s="6"/>
      <c r="T9" s="156"/>
      <c r="U9" s="6"/>
    </row>
    <row r="10" spans="1:21" customFormat="1">
      <c r="A10" s="163" t="s">
        <v>1489</v>
      </c>
      <c r="B10" s="100">
        <v>1.24</v>
      </c>
      <c r="C10" s="100">
        <v>3.2</v>
      </c>
      <c r="D10" s="100">
        <v>2.23</v>
      </c>
      <c r="E10" s="100">
        <v>4.75</v>
      </c>
      <c r="F10" s="100">
        <v>4.9800000000000004</v>
      </c>
      <c r="G10" s="100">
        <v>31.23</v>
      </c>
      <c r="H10" s="100">
        <v>11.76</v>
      </c>
      <c r="I10" s="100">
        <v>4.8899999999999997</v>
      </c>
      <c r="J10" s="100">
        <v>0.25</v>
      </c>
      <c r="K10" s="100">
        <v>245.05</v>
      </c>
      <c r="L10" s="100">
        <v>27.71</v>
      </c>
      <c r="M10" s="100">
        <v>82.87</v>
      </c>
      <c r="N10" s="100">
        <v>2.1</v>
      </c>
      <c r="O10" s="100">
        <v>0</v>
      </c>
      <c r="P10" s="100">
        <v>0.2</v>
      </c>
      <c r="Q10" s="100">
        <v>10</v>
      </c>
      <c r="R10" s="6"/>
      <c r="S10" s="6"/>
      <c r="T10" s="156"/>
      <c r="U10" s="6"/>
    </row>
    <row r="11" spans="1:21" customFormat="1">
      <c r="A11" s="163" t="s">
        <v>1490</v>
      </c>
      <c r="B11" s="100">
        <v>1.24</v>
      </c>
      <c r="C11" s="100">
        <v>3.28</v>
      </c>
      <c r="D11" s="100">
        <v>2.39</v>
      </c>
      <c r="E11" s="100">
        <v>4.79</v>
      </c>
      <c r="F11" s="100">
        <v>6.52</v>
      </c>
      <c r="G11" s="100">
        <v>31.23</v>
      </c>
      <c r="H11" s="100">
        <v>11.76</v>
      </c>
      <c r="I11" s="100">
        <v>4.8600000000000003</v>
      </c>
      <c r="J11" s="100">
        <v>0.35</v>
      </c>
      <c r="K11" s="100">
        <v>254.12</v>
      </c>
      <c r="L11" s="100">
        <v>27.61</v>
      </c>
      <c r="M11" s="100">
        <v>83.37</v>
      </c>
      <c r="N11" s="100">
        <v>2.1</v>
      </c>
      <c r="O11" s="100">
        <v>0</v>
      </c>
      <c r="P11" s="100">
        <v>0.18</v>
      </c>
      <c r="Q11" s="100">
        <v>10</v>
      </c>
      <c r="R11" s="6"/>
      <c r="S11" s="6"/>
      <c r="T11" s="156"/>
      <c r="U11" s="6"/>
    </row>
    <row r="12" spans="1:21" customFormat="1">
      <c r="A12" s="163" t="s">
        <v>1491</v>
      </c>
      <c r="B12" s="100">
        <v>1.24</v>
      </c>
      <c r="C12" s="100">
        <v>3.32</v>
      </c>
      <c r="D12" s="100">
        <v>2.4700000000000002</v>
      </c>
      <c r="E12" s="100">
        <v>4.6500000000000004</v>
      </c>
      <c r="F12" s="100">
        <v>7.03</v>
      </c>
      <c r="G12" s="100">
        <v>30.42</v>
      </c>
      <c r="H12" s="100">
        <v>11.54</v>
      </c>
      <c r="I12" s="100">
        <v>4.9000000000000004</v>
      </c>
      <c r="J12" s="100">
        <v>0.25</v>
      </c>
      <c r="K12" s="100">
        <v>241.34</v>
      </c>
      <c r="L12" s="100">
        <v>27.62</v>
      </c>
      <c r="M12" s="100">
        <v>83.53</v>
      </c>
      <c r="N12" s="100">
        <v>2.1</v>
      </c>
      <c r="O12" s="100">
        <v>0</v>
      </c>
      <c r="P12" s="100">
        <v>0.16</v>
      </c>
      <c r="Q12" s="100">
        <v>10</v>
      </c>
      <c r="R12" s="6"/>
      <c r="S12" s="6"/>
      <c r="T12" s="156"/>
      <c r="U12" s="6"/>
    </row>
    <row r="13" spans="1:21" customFormat="1">
      <c r="A13" s="163" t="s">
        <v>1492</v>
      </c>
      <c r="B13" s="100">
        <v>1.24</v>
      </c>
      <c r="C13" s="100">
        <v>3.27</v>
      </c>
      <c r="D13" s="100">
        <v>2.38</v>
      </c>
      <c r="E13" s="100">
        <v>4.6900000000000004</v>
      </c>
      <c r="F13" s="100">
        <v>4.55</v>
      </c>
      <c r="G13" s="100">
        <v>26.92</v>
      </c>
      <c r="H13" s="100">
        <v>10.86</v>
      </c>
      <c r="I13" s="100">
        <v>4.68</v>
      </c>
      <c r="J13" s="100">
        <v>0.38</v>
      </c>
      <c r="K13" s="100">
        <v>251.24</v>
      </c>
      <c r="L13" s="100">
        <v>27.65</v>
      </c>
      <c r="M13" s="100">
        <v>83.33</v>
      </c>
      <c r="N13" s="100">
        <v>2.1</v>
      </c>
      <c r="O13" s="100">
        <v>0</v>
      </c>
      <c r="P13" s="100">
        <v>0.19</v>
      </c>
      <c r="Q13" s="100">
        <v>10</v>
      </c>
      <c r="R13" s="6"/>
      <c r="S13" s="6"/>
      <c r="T13" s="156"/>
      <c r="U13" s="6"/>
    </row>
    <row r="14" spans="1:21" customFormat="1">
      <c r="A14" s="163" t="s">
        <v>1493</v>
      </c>
      <c r="B14" s="100">
        <v>1.31</v>
      </c>
      <c r="C14" s="100">
        <v>3.47</v>
      </c>
      <c r="D14" s="100">
        <v>2.65</v>
      </c>
      <c r="E14" s="100">
        <v>4.76</v>
      </c>
      <c r="F14" s="100">
        <v>5.5</v>
      </c>
      <c r="G14" s="100">
        <v>26.92</v>
      </c>
      <c r="H14" s="100">
        <v>10.86</v>
      </c>
      <c r="I14" s="100">
        <v>4.6500000000000004</v>
      </c>
      <c r="J14" s="100">
        <v>0.32</v>
      </c>
      <c r="K14" s="100">
        <v>251.39</v>
      </c>
      <c r="L14" s="100">
        <v>27.64</v>
      </c>
      <c r="M14" s="100">
        <v>83.32</v>
      </c>
      <c r="N14" s="100">
        <v>2.1</v>
      </c>
      <c r="O14" s="100">
        <v>0</v>
      </c>
      <c r="P14" s="100">
        <v>0.17</v>
      </c>
      <c r="Q14" s="100">
        <v>10</v>
      </c>
      <c r="R14" s="6"/>
      <c r="S14" s="6"/>
      <c r="T14" s="156"/>
      <c r="U14" s="6"/>
    </row>
    <row r="15" spans="1:21" customFormat="1">
      <c r="A15" s="163" t="s">
        <v>1494</v>
      </c>
      <c r="B15" s="100">
        <v>1.29</v>
      </c>
      <c r="C15" s="100">
        <v>3.44</v>
      </c>
      <c r="D15" s="100">
        <v>2.64</v>
      </c>
      <c r="E15" s="100">
        <v>4.32</v>
      </c>
      <c r="F15" s="100">
        <v>6.17</v>
      </c>
      <c r="G15" s="100">
        <v>26.92</v>
      </c>
      <c r="H15" s="100">
        <v>10.86</v>
      </c>
      <c r="I15" s="100">
        <v>4.9000000000000004</v>
      </c>
      <c r="J15" s="100">
        <v>0.28000000000000003</v>
      </c>
      <c r="K15" s="100">
        <v>239.38</v>
      </c>
      <c r="L15" s="100">
        <v>27.63</v>
      </c>
      <c r="M15" s="100">
        <v>83.84</v>
      </c>
      <c r="N15" s="100">
        <v>2.1</v>
      </c>
      <c r="O15" s="100">
        <v>0</v>
      </c>
      <c r="P15" s="100">
        <v>0.16</v>
      </c>
      <c r="Q15" s="100">
        <v>10</v>
      </c>
      <c r="R15" s="6"/>
      <c r="S15" s="6"/>
      <c r="T15" s="156"/>
      <c r="U15" s="6"/>
    </row>
    <row r="16" spans="1:21" customFormat="1">
      <c r="A16" s="163" t="s">
        <v>1495</v>
      </c>
      <c r="B16" s="100">
        <v>1.27</v>
      </c>
      <c r="C16" s="100">
        <v>3.39</v>
      </c>
      <c r="D16" s="100">
        <v>2.56</v>
      </c>
      <c r="E16" s="100">
        <v>4.9000000000000004</v>
      </c>
      <c r="F16" s="100">
        <v>5.36</v>
      </c>
      <c r="G16" s="100">
        <v>26.39</v>
      </c>
      <c r="H16" s="100">
        <v>10.68</v>
      </c>
      <c r="I16" s="100">
        <v>4.5199999999999996</v>
      </c>
      <c r="J16" s="100">
        <v>0.37</v>
      </c>
      <c r="K16" s="100">
        <v>247.88</v>
      </c>
      <c r="L16" s="100">
        <v>27.63</v>
      </c>
      <c r="M16" s="100">
        <v>83.52</v>
      </c>
      <c r="N16" s="100">
        <v>2.1</v>
      </c>
      <c r="O16" s="100">
        <v>0</v>
      </c>
      <c r="P16" s="100">
        <v>0.17</v>
      </c>
      <c r="Q16" s="100">
        <v>10</v>
      </c>
      <c r="R16" s="6"/>
      <c r="S16" s="6"/>
      <c r="T16" s="156"/>
      <c r="U16" s="6"/>
    </row>
    <row r="17" spans="1:21" customFormat="1">
      <c r="A17" s="163" t="s">
        <v>1496</v>
      </c>
      <c r="B17" s="100">
        <v>1.25</v>
      </c>
      <c r="C17" s="100">
        <v>3.25</v>
      </c>
      <c r="D17" s="100">
        <v>2.33</v>
      </c>
      <c r="E17" s="100">
        <v>3.83</v>
      </c>
      <c r="F17" s="100">
        <v>5.14</v>
      </c>
      <c r="G17" s="100">
        <v>23.95</v>
      </c>
      <c r="H17" s="100">
        <v>10.09</v>
      </c>
      <c r="I17" s="100">
        <v>4.49</v>
      </c>
      <c r="J17" s="100">
        <v>0.37</v>
      </c>
      <c r="K17" s="100">
        <v>249.61</v>
      </c>
      <c r="L17" s="100">
        <v>27.57</v>
      </c>
      <c r="M17" s="100">
        <v>84.27</v>
      </c>
      <c r="N17" s="100">
        <v>2.2999999999999998</v>
      </c>
      <c r="O17" s="100">
        <v>0</v>
      </c>
      <c r="P17" s="100">
        <v>0.16</v>
      </c>
      <c r="Q17" s="100">
        <v>10</v>
      </c>
      <c r="R17" s="6"/>
      <c r="S17" s="6"/>
      <c r="T17" s="156"/>
      <c r="U17" s="6"/>
    </row>
    <row r="18" spans="1:21" customFormat="1">
      <c r="A18" s="163" t="s">
        <v>1497</v>
      </c>
      <c r="B18" s="100">
        <v>1.33</v>
      </c>
      <c r="C18" s="100">
        <v>3.52</v>
      </c>
      <c r="D18" s="100">
        <v>2.72</v>
      </c>
      <c r="E18" s="100">
        <v>4.79</v>
      </c>
      <c r="F18" s="100">
        <v>4.8899999999999997</v>
      </c>
      <c r="G18" s="100">
        <v>23.95</v>
      </c>
      <c r="H18" s="100">
        <v>10.09</v>
      </c>
      <c r="I18" s="100">
        <v>4.72</v>
      </c>
      <c r="J18" s="100">
        <v>0.38</v>
      </c>
      <c r="K18" s="100">
        <v>250.74</v>
      </c>
      <c r="L18" s="100">
        <v>27.53</v>
      </c>
      <c r="M18" s="100">
        <v>84.57</v>
      </c>
      <c r="N18" s="100">
        <v>2.2000000000000002</v>
      </c>
      <c r="O18" s="100">
        <v>0</v>
      </c>
      <c r="P18" s="100">
        <v>0.16</v>
      </c>
      <c r="Q18" s="100">
        <v>10</v>
      </c>
      <c r="R18" s="6"/>
      <c r="S18" s="6"/>
      <c r="T18" s="156"/>
      <c r="U18" s="6"/>
    </row>
    <row r="19" spans="1:21" customFormat="1">
      <c r="A19" s="163" t="s">
        <v>1498</v>
      </c>
      <c r="B19" s="100">
        <v>1.35</v>
      </c>
      <c r="C19" s="100">
        <v>3.54</v>
      </c>
      <c r="D19" s="100">
        <v>2.72</v>
      </c>
      <c r="E19" s="100">
        <v>4.91</v>
      </c>
      <c r="F19" s="100">
        <v>2.99</v>
      </c>
      <c r="G19" s="100">
        <v>23.95</v>
      </c>
      <c r="H19" s="100">
        <v>10.09</v>
      </c>
      <c r="I19" s="100">
        <v>4.4000000000000004</v>
      </c>
      <c r="J19" s="100">
        <v>0.46</v>
      </c>
      <c r="K19" s="100">
        <v>250.46</v>
      </c>
      <c r="L19" s="100">
        <v>27.51</v>
      </c>
      <c r="M19" s="100">
        <v>84.54</v>
      </c>
      <c r="N19" s="100">
        <v>2.2000000000000002</v>
      </c>
      <c r="O19" s="100">
        <v>0</v>
      </c>
      <c r="P19" s="100">
        <v>0.17</v>
      </c>
      <c r="Q19" s="100">
        <v>10</v>
      </c>
      <c r="R19" s="6"/>
      <c r="S19" s="6"/>
      <c r="T19" s="156"/>
      <c r="U19" s="6"/>
    </row>
    <row r="20" spans="1:21" customFormat="1">
      <c r="A20" s="163" t="s">
        <v>1499</v>
      </c>
      <c r="B20" s="100">
        <v>1.42</v>
      </c>
      <c r="C20" s="100">
        <v>3.88</v>
      </c>
      <c r="D20" s="100">
        <v>3.27</v>
      </c>
      <c r="E20" s="100">
        <v>4.8899999999999997</v>
      </c>
      <c r="F20" s="100">
        <v>5.82</v>
      </c>
      <c r="G20" s="100">
        <v>23.33</v>
      </c>
      <c r="H20" s="100">
        <v>10.01</v>
      </c>
      <c r="I20" s="100">
        <v>4.4800000000000004</v>
      </c>
      <c r="J20" s="100">
        <v>0.53</v>
      </c>
      <c r="K20" s="100">
        <v>251.35</v>
      </c>
      <c r="L20" s="100">
        <v>27.48</v>
      </c>
      <c r="M20" s="100">
        <v>84.58</v>
      </c>
      <c r="N20" s="100">
        <v>2.2000000000000002</v>
      </c>
      <c r="O20" s="100">
        <v>0</v>
      </c>
      <c r="P20" s="100">
        <v>0.15</v>
      </c>
      <c r="Q20" s="100">
        <v>10</v>
      </c>
      <c r="R20" s="6"/>
      <c r="S20" s="6"/>
      <c r="T20" s="156"/>
      <c r="U20" s="6"/>
    </row>
    <row r="21" spans="1:21" customFormat="1">
      <c r="A21" s="163" t="s">
        <v>1500</v>
      </c>
      <c r="B21" s="100">
        <v>1.48</v>
      </c>
      <c r="C21" s="100">
        <v>3.84</v>
      </c>
      <c r="D21" s="100">
        <v>3.1</v>
      </c>
      <c r="E21" s="100">
        <v>4.7699999999999996</v>
      </c>
      <c r="F21" s="100">
        <v>3.63</v>
      </c>
      <c r="G21" s="100">
        <v>20.43</v>
      </c>
      <c r="H21" s="100">
        <v>9.61</v>
      </c>
      <c r="I21" s="100">
        <v>4.59</v>
      </c>
      <c r="J21" s="100">
        <v>0.5</v>
      </c>
      <c r="K21" s="100">
        <v>249.86</v>
      </c>
      <c r="L21" s="100">
        <v>27.43</v>
      </c>
      <c r="M21" s="100">
        <v>84.66</v>
      </c>
      <c r="N21" s="100">
        <v>2.2000000000000002</v>
      </c>
      <c r="O21" s="100">
        <v>0</v>
      </c>
      <c r="P21" s="100">
        <v>0.16</v>
      </c>
      <c r="Q21" s="100">
        <v>10</v>
      </c>
      <c r="R21" s="6"/>
      <c r="S21" s="6"/>
      <c r="T21" s="156"/>
      <c r="U21" s="6"/>
    </row>
    <row r="22" spans="1:21" customFormat="1">
      <c r="A22" s="163" t="s">
        <v>1501</v>
      </c>
      <c r="B22" s="100">
        <v>1.51</v>
      </c>
      <c r="C22" s="100">
        <v>3.85</v>
      </c>
      <c r="D22" s="100">
        <v>3.08</v>
      </c>
      <c r="E22" s="100">
        <v>4.59</v>
      </c>
      <c r="F22" s="100">
        <v>4.45</v>
      </c>
      <c r="G22" s="100">
        <v>20.43</v>
      </c>
      <c r="H22" s="100">
        <v>9.61</v>
      </c>
      <c r="I22" s="100">
        <v>4.3600000000000003</v>
      </c>
      <c r="J22" s="100">
        <v>0.33</v>
      </c>
      <c r="K22" s="100">
        <v>251.19</v>
      </c>
      <c r="L22" s="100">
        <v>27.38</v>
      </c>
      <c r="M22" s="100">
        <v>85.31</v>
      </c>
      <c r="N22" s="100">
        <v>2.2000000000000002</v>
      </c>
      <c r="O22" s="100">
        <v>0</v>
      </c>
      <c r="P22" s="100">
        <v>0.15</v>
      </c>
      <c r="Q22" s="100">
        <v>10</v>
      </c>
      <c r="R22" s="6"/>
      <c r="S22" s="6"/>
      <c r="T22" s="156"/>
      <c r="U22" s="6"/>
    </row>
    <row r="23" spans="1:21" customFormat="1">
      <c r="A23" s="163" t="s">
        <v>1502</v>
      </c>
      <c r="B23" s="100">
        <v>1.35</v>
      </c>
      <c r="C23" s="100">
        <v>3.57</v>
      </c>
      <c r="D23" s="100">
        <v>2.76</v>
      </c>
      <c r="E23" s="100">
        <v>4.5</v>
      </c>
      <c r="F23" s="100">
        <v>6.38</v>
      </c>
      <c r="G23" s="100">
        <v>20.43</v>
      </c>
      <c r="H23" s="100">
        <v>9.61</v>
      </c>
      <c r="I23" s="100">
        <v>4.43</v>
      </c>
      <c r="J23" s="100">
        <v>0.49</v>
      </c>
      <c r="K23" s="100">
        <v>257.31</v>
      </c>
      <c r="L23" s="100">
        <v>27.35</v>
      </c>
      <c r="M23" s="100">
        <v>85.02</v>
      </c>
      <c r="N23" s="100">
        <v>2.2000000000000002</v>
      </c>
      <c r="O23" s="100">
        <v>0</v>
      </c>
      <c r="P23" s="100">
        <v>0.13</v>
      </c>
      <c r="Q23" s="100">
        <v>10</v>
      </c>
      <c r="R23" s="6"/>
      <c r="S23" s="6"/>
      <c r="T23" s="156"/>
      <c r="U23" s="6"/>
    </row>
    <row r="24" spans="1:21" customFormat="1">
      <c r="A24" s="163" t="s">
        <v>1503</v>
      </c>
      <c r="B24" s="100">
        <v>1.4</v>
      </c>
      <c r="C24" s="100">
        <v>3.58</v>
      </c>
      <c r="D24" s="100">
        <v>2.72</v>
      </c>
      <c r="E24" s="100">
        <v>4.92</v>
      </c>
      <c r="F24" s="100">
        <v>3.84</v>
      </c>
      <c r="G24" s="100">
        <v>21.03</v>
      </c>
      <c r="H24" s="100">
        <v>8.9700000000000006</v>
      </c>
      <c r="I24" s="100">
        <v>4.22</v>
      </c>
      <c r="J24" s="100">
        <v>0.57999999999999996</v>
      </c>
      <c r="K24" s="100">
        <v>255.87</v>
      </c>
      <c r="L24" s="100">
        <v>27.41</v>
      </c>
      <c r="M24" s="100">
        <v>84.07</v>
      </c>
      <c r="N24" s="100">
        <v>2.1</v>
      </c>
      <c r="O24" s="100">
        <v>0</v>
      </c>
      <c r="P24" s="100">
        <v>0.14000000000000001</v>
      </c>
      <c r="Q24" s="100">
        <v>10</v>
      </c>
      <c r="R24" s="6"/>
      <c r="S24" s="6"/>
      <c r="T24" s="156"/>
      <c r="U24" s="6"/>
    </row>
    <row r="25" spans="1:21" customFormat="1">
      <c r="A25" s="163" t="s">
        <v>1504</v>
      </c>
      <c r="B25" s="100">
        <v>1.34</v>
      </c>
      <c r="C25" s="100">
        <v>3.42</v>
      </c>
      <c r="D25" s="100">
        <v>2.5</v>
      </c>
      <c r="E25" s="100">
        <v>4.6900000000000004</v>
      </c>
      <c r="F25" s="100">
        <v>2.87</v>
      </c>
      <c r="G25" s="100">
        <v>23.84</v>
      </c>
      <c r="H25" s="100">
        <v>6.94</v>
      </c>
      <c r="I25" s="100">
        <v>4.1900000000000004</v>
      </c>
      <c r="J25" s="100">
        <v>0.47</v>
      </c>
      <c r="K25" s="100">
        <v>255.39</v>
      </c>
      <c r="L25" s="100">
        <v>27.39</v>
      </c>
      <c r="M25" s="100">
        <v>84.16</v>
      </c>
      <c r="N25" s="100">
        <v>2.2000000000000002</v>
      </c>
      <c r="O25" s="100">
        <v>0</v>
      </c>
      <c r="P25" s="100">
        <v>0.15</v>
      </c>
      <c r="Q25" s="100">
        <v>10</v>
      </c>
      <c r="R25" s="6"/>
      <c r="S25" s="6"/>
      <c r="T25" s="156"/>
      <c r="U25" s="6"/>
    </row>
    <row r="26" spans="1:21" customFormat="1">
      <c r="A26" s="163" t="s">
        <v>1505</v>
      </c>
      <c r="B26" s="100">
        <v>1.43</v>
      </c>
      <c r="C26" s="100">
        <v>3.62</v>
      </c>
      <c r="D26" s="100">
        <v>2.75</v>
      </c>
      <c r="E26" s="100">
        <v>4.82</v>
      </c>
      <c r="F26" s="100">
        <v>3.09</v>
      </c>
      <c r="G26" s="100">
        <v>23.84</v>
      </c>
      <c r="H26" s="100">
        <v>6.94</v>
      </c>
      <c r="I26" s="100">
        <v>4.28</v>
      </c>
      <c r="J26" s="100">
        <v>0.44</v>
      </c>
      <c r="K26" s="100">
        <v>257.39</v>
      </c>
      <c r="L26" s="100">
        <v>27.36</v>
      </c>
      <c r="M26" s="100">
        <v>84.08</v>
      </c>
      <c r="N26" s="100">
        <v>2.2000000000000002</v>
      </c>
      <c r="O26" s="100">
        <v>0</v>
      </c>
      <c r="P26" s="100">
        <v>0.16</v>
      </c>
      <c r="Q26" s="100">
        <v>10</v>
      </c>
      <c r="R26" s="6"/>
      <c r="S26" s="6"/>
      <c r="T26" s="156"/>
      <c r="U26" s="6"/>
    </row>
    <row r="27" spans="1:21" customFormat="1">
      <c r="A27" s="163" t="s">
        <v>1506</v>
      </c>
      <c r="B27" s="100">
        <v>1.26</v>
      </c>
      <c r="C27" s="100">
        <v>3.35</v>
      </c>
      <c r="D27" s="100">
        <v>2.5</v>
      </c>
      <c r="E27" s="100">
        <v>4.8</v>
      </c>
      <c r="F27" s="100">
        <v>2.9</v>
      </c>
      <c r="G27" s="100">
        <v>23.84</v>
      </c>
      <c r="H27" s="100">
        <v>6.94</v>
      </c>
      <c r="I27" s="100">
        <v>4.3600000000000003</v>
      </c>
      <c r="J27" s="100">
        <v>0.48</v>
      </c>
      <c r="K27" s="100">
        <v>248.73</v>
      </c>
      <c r="L27" s="100">
        <v>27.33</v>
      </c>
      <c r="M27" s="100">
        <v>83.93</v>
      </c>
      <c r="N27" s="100">
        <v>2.1</v>
      </c>
      <c r="O27" s="100">
        <v>0</v>
      </c>
      <c r="P27" s="100">
        <v>0.16</v>
      </c>
      <c r="Q27" s="100">
        <v>10</v>
      </c>
      <c r="R27" s="6"/>
      <c r="S27" s="6"/>
      <c r="T27" s="156"/>
      <c r="U27" s="6"/>
    </row>
    <row r="28" spans="1:21" customFormat="1">
      <c r="A28" s="163" t="s">
        <v>1507</v>
      </c>
      <c r="B28" s="100">
        <v>1.3</v>
      </c>
      <c r="C28" s="100">
        <v>3.57</v>
      </c>
      <c r="D28" s="100">
        <v>2.84</v>
      </c>
      <c r="E28" s="100">
        <v>5.07</v>
      </c>
      <c r="F28" s="100">
        <v>3.09</v>
      </c>
      <c r="G28" s="100">
        <v>23.76</v>
      </c>
      <c r="H28" s="100">
        <v>6.98</v>
      </c>
      <c r="I28" s="100">
        <v>4.3499999999999996</v>
      </c>
      <c r="J28" s="100">
        <v>0.43</v>
      </c>
      <c r="K28" s="100">
        <v>249.37</v>
      </c>
      <c r="L28" s="100">
        <v>27.24</v>
      </c>
      <c r="M28" s="100">
        <v>84.03</v>
      </c>
      <c r="N28" s="100">
        <v>2.2000000000000002</v>
      </c>
      <c r="O28" s="100">
        <v>0</v>
      </c>
      <c r="P28" s="100">
        <v>0.16</v>
      </c>
      <c r="Q28" s="100">
        <v>10</v>
      </c>
      <c r="R28" s="6"/>
      <c r="S28" s="6"/>
      <c r="T28" s="156"/>
      <c r="U28" s="6"/>
    </row>
    <row r="29" spans="1:21" customFormat="1">
      <c r="A29" s="163" t="s">
        <v>1508</v>
      </c>
      <c r="B29" s="100">
        <v>1.31</v>
      </c>
      <c r="C29" s="100">
        <v>3.61</v>
      </c>
      <c r="D29" s="100">
        <v>2.91</v>
      </c>
      <c r="E29" s="100">
        <v>5.08</v>
      </c>
      <c r="F29" s="100">
        <v>3.14</v>
      </c>
      <c r="G29" s="100">
        <v>23.36</v>
      </c>
      <c r="H29" s="100">
        <v>7.09</v>
      </c>
      <c r="I29" s="100">
        <v>4.24</v>
      </c>
      <c r="J29" s="100">
        <v>0.28999999999999998</v>
      </c>
      <c r="K29" s="100">
        <v>242.78</v>
      </c>
      <c r="L29" s="100">
        <v>27.16</v>
      </c>
      <c r="M29" s="100">
        <v>84.9</v>
      </c>
      <c r="N29" s="100">
        <v>2.2999999999999998</v>
      </c>
      <c r="O29" s="100">
        <v>0</v>
      </c>
      <c r="P29" s="100">
        <v>0.16</v>
      </c>
      <c r="Q29" s="100">
        <v>10</v>
      </c>
      <c r="R29" s="6"/>
      <c r="S29" s="6"/>
      <c r="T29" s="156"/>
      <c r="U29" s="6"/>
    </row>
    <row r="30" spans="1:21" customFormat="1">
      <c r="A30" s="163" t="s">
        <v>1509</v>
      </c>
      <c r="B30" s="100">
        <v>1.24</v>
      </c>
      <c r="C30" s="100">
        <v>3.28</v>
      </c>
      <c r="D30" s="100">
        <v>2.38</v>
      </c>
      <c r="E30" s="100">
        <v>5.13</v>
      </c>
      <c r="F30" s="100">
        <v>2.0499999999999998</v>
      </c>
      <c r="G30" s="100">
        <v>23.36</v>
      </c>
      <c r="H30" s="100">
        <v>7.09</v>
      </c>
      <c r="I30" s="100">
        <v>4.1100000000000003</v>
      </c>
      <c r="J30" s="100">
        <v>0.35</v>
      </c>
      <c r="K30" s="100">
        <v>247.18</v>
      </c>
      <c r="L30" s="100">
        <v>27.05</v>
      </c>
      <c r="M30" s="100">
        <v>85.84</v>
      </c>
      <c r="N30" s="100">
        <v>2.5</v>
      </c>
      <c r="O30" s="100">
        <v>0</v>
      </c>
      <c r="P30" s="100">
        <v>0.15</v>
      </c>
      <c r="Q30" s="100">
        <v>10</v>
      </c>
      <c r="R30" s="6"/>
      <c r="S30" s="6"/>
      <c r="T30" s="156"/>
      <c r="U30" s="6"/>
    </row>
    <row r="31" spans="1:21" customFormat="1">
      <c r="A31" s="163" t="s">
        <v>1510</v>
      </c>
      <c r="B31" s="100">
        <v>1.24</v>
      </c>
      <c r="C31" s="100">
        <v>3.29</v>
      </c>
      <c r="D31" s="100">
        <v>2.41</v>
      </c>
      <c r="E31" s="100">
        <v>5.35</v>
      </c>
      <c r="F31" s="100">
        <v>1.33</v>
      </c>
      <c r="G31" s="100">
        <v>23.36</v>
      </c>
      <c r="H31" s="100">
        <v>7.09</v>
      </c>
      <c r="I31" s="100">
        <v>3.94</v>
      </c>
      <c r="J31" s="100">
        <v>0.25</v>
      </c>
      <c r="K31" s="100">
        <v>244.74</v>
      </c>
      <c r="L31" s="100">
        <v>26.92</v>
      </c>
      <c r="M31" s="100">
        <v>87.12</v>
      </c>
      <c r="N31" s="100">
        <v>5.2</v>
      </c>
      <c r="O31" s="100">
        <v>0</v>
      </c>
      <c r="P31" s="100">
        <v>0.15</v>
      </c>
      <c r="Q31" s="100">
        <v>10</v>
      </c>
      <c r="R31" s="6"/>
      <c r="S31" s="6"/>
      <c r="T31" s="156"/>
      <c r="U31" s="6"/>
    </row>
    <row r="32" spans="1:21" customFormat="1">
      <c r="A32" s="163" t="s">
        <v>1511</v>
      </c>
      <c r="B32" s="100">
        <v>1.28</v>
      </c>
      <c r="C32" s="100">
        <v>3.51</v>
      </c>
      <c r="D32" s="100">
        <v>2.77</v>
      </c>
      <c r="E32" s="100">
        <v>5.33</v>
      </c>
      <c r="F32" s="100">
        <v>1.89</v>
      </c>
      <c r="G32" s="100">
        <v>22.61</v>
      </c>
      <c r="H32" s="100">
        <v>7.08</v>
      </c>
      <c r="I32" s="100">
        <v>3.94</v>
      </c>
      <c r="J32" s="100">
        <v>0.21</v>
      </c>
      <c r="K32" s="100">
        <v>245.41</v>
      </c>
      <c r="L32" s="100">
        <v>26.87</v>
      </c>
      <c r="M32" s="100">
        <v>88.02</v>
      </c>
      <c r="N32" s="100">
        <v>10.9</v>
      </c>
      <c r="O32" s="100">
        <v>0</v>
      </c>
      <c r="P32" s="100">
        <v>0.14000000000000001</v>
      </c>
      <c r="Q32" s="100">
        <v>10</v>
      </c>
      <c r="R32" s="6"/>
      <c r="S32" s="6"/>
      <c r="T32" s="156"/>
      <c r="U32" s="6"/>
    </row>
    <row r="33" spans="1:21" customFormat="1">
      <c r="A33" s="163" t="s">
        <v>1512</v>
      </c>
      <c r="B33" s="100">
        <v>1.25</v>
      </c>
      <c r="C33" s="100">
        <v>3.51</v>
      </c>
      <c r="D33" s="100">
        <v>2.83</v>
      </c>
      <c r="E33" s="100">
        <v>5.33</v>
      </c>
      <c r="F33" s="100">
        <v>1.67</v>
      </c>
      <c r="G33" s="100">
        <v>19.149999999999999</v>
      </c>
      <c r="H33" s="100">
        <v>7.04</v>
      </c>
      <c r="I33" s="100">
        <v>3.89</v>
      </c>
      <c r="J33" s="100">
        <v>0.28999999999999998</v>
      </c>
      <c r="K33" s="100">
        <v>246.74</v>
      </c>
      <c r="L33" s="100">
        <v>26.9</v>
      </c>
      <c r="M33" s="100">
        <v>87.93</v>
      </c>
      <c r="N33" s="100">
        <v>17.100000000000001</v>
      </c>
      <c r="O33" s="100">
        <v>0</v>
      </c>
      <c r="P33" s="100">
        <v>0.14000000000000001</v>
      </c>
      <c r="Q33" s="100">
        <v>10</v>
      </c>
      <c r="R33" s="6"/>
      <c r="S33" s="6"/>
      <c r="T33" s="156"/>
      <c r="U33" s="6"/>
    </row>
    <row r="34" spans="1:21" customFormat="1">
      <c r="A34" s="163" t="s">
        <v>1513</v>
      </c>
      <c r="B34" s="100">
        <v>1.24</v>
      </c>
      <c r="C34" s="100">
        <v>3.38</v>
      </c>
      <c r="D34" s="100">
        <v>2.58</v>
      </c>
      <c r="E34" s="100">
        <v>5.28</v>
      </c>
      <c r="F34" s="100">
        <v>2.33</v>
      </c>
      <c r="G34" s="100">
        <v>19.149999999999999</v>
      </c>
      <c r="H34" s="100">
        <v>7.04</v>
      </c>
      <c r="I34" s="100">
        <v>3.83</v>
      </c>
      <c r="J34" s="100">
        <v>0.46</v>
      </c>
      <c r="K34" s="100">
        <v>252.72</v>
      </c>
      <c r="L34" s="100">
        <v>26.97</v>
      </c>
      <c r="M34" s="100">
        <v>87.43</v>
      </c>
      <c r="N34" s="100">
        <v>20.9</v>
      </c>
      <c r="O34" s="100">
        <v>0</v>
      </c>
      <c r="P34" s="100">
        <v>0.15</v>
      </c>
      <c r="Q34" s="100">
        <v>10</v>
      </c>
      <c r="R34" s="6"/>
      <c r="S34" s="6"/>
      <c r="T34" s="156"/>
      <c r="U34" s="6"/>
    </row>
    <row r="35" spans="1:21" customFormat="1">
      <c r="A35" s="163" t="s">
        <v>1514</v>
      </c>
      <c r="B35" s="100">
        <v>1.36</v>
      </c>
      <c r="C35" s="100">
        <v>3.7</v>
      </c>
      <c r="D35" s="100">
        <v>3.02</v>
      </c>
      <c r="E35" s="100">
        <v>4.57</v>
      </c>
      <c r="F35" s="100">
        <v>2.08</v>
      </c>
      <c r="G35" s="100">
        <v>19.149999999999999</v>
      </c>
      <c r="H35" s="100">
        <v>7.04</v>
      </c>
      <c r="I35" s="100">
        <v>3.8</v>
      </c>
      <c r="J35" s="100">
        <v>0.33</v>
      </c>
      <c r="K35" s="100">
        <v>247.02</v>
      </c>
      <c r="L35" s="100">
        <v>27.14</v>
      </c>
      <c r="M35" s="100">
        <v>87</v>
      </c>
      <c r="N35" s="100">
        <v>34.1</v>
      </c>
      <c r="O35" s="100">
        <v>0</v>
      </c>
      <c r="P35" s="100">
        <v>0.14000000000000001</v>
      </c>
      <c r="Q35" s="100">
        <v>10</v>
      </c>
      <c r="R35" s="6"/>
      <c r="S35" s="6"/>
      <c r="T35" s="156"/>
      <c r="U35" s="6"/>
    </row>
    <row r="36" spans="1:21" customFormat="1">
      <c r="A36" s="163" t="s">
        <v>1515</v>
      </c>
      <c r="B36" s="100">
        <v>1.32</v>
      </c>
      <c r="C36" s="100">
        <v>3.66</v>
      </c>
      <c r="D36" s="100">
        <v>3.01</v>
      </c>
      <c r="E36" s="100">
        <v>5.18</v>
      </c>
      <c r="F36" s="100">
        <v>1.35</v>
      </c>
      <c r="G36" s="100">
        <v>19.559999999999999</v>
      </c>
      <c r="H36" s="100">
        <v>7.04</v>
      </c>
      <c r="I36" s="100">
        <v>3.69</v>
      </c>
      <c r="J36" s="100">
        <v>0.41</v>
      </c>
      <c r="K36" s="100">
        <v>249.91</v>
      </c>
      <c r="L36" s="100">
        <v>27.31</v>
      </c>
      <c r="M36" s="100">
        <v>86.21</v>
      </c>
      <c r="N36" s="100">
        <v>53.8</v>
      </c>
      <c r="O36" s="100">
        <v>0</v>
      </c>
      <c r="P36" s="100">
        <v>0.13</v>
      </c>
      <c r="Q36" s="100">
        <v>10</v>
      </c>
      <c r="R36" s="6"/>
      <c r="S36" s="6"/>
      <c r="T36" s="156"/>
      <c r="U36" s="6"/>
    </row>
    <row r="37" spans="1:21" customFormat="1">
      <c r="A37" s="163" t="s">
        <v>1516</v>
      </c>
      <c r="B37" s="100">
        <v>1.26</v>
      </c>
      <c r="C37" s="100">
        <v>3.44</v>
      </c>
      <c r="D37" s="100">
        <v>2.66</v>
      </c>
      <c r="E37" s="100">
        <v>5.2</v>
      </c>
      <c r="F37" s="100">
        <v>1.8</v>
      </c>
      <c r="G37" s="100">
        <v>21.5</v>
      </c>
      <c r="H37" s="100">
        <v>7.02</v>
      </c>
      <c r="I37" s="100">
        <v>3.71</v>
      </c>
      <c r="J37" s="100">
        <v>0.43</v>
      </c>
      <c r="K37" s="100">
        <v>257.04000000000002</v>
      </c>
      <c r="L37" s="100">
        <v>27.53</v>
      </c>
      <c r="M37" s="100">
        <v>85.35</v>
      </c>
      <c r="N37" s="100">
        <v>69.599999999999994</v>
      </c>
      <c r="O37" s="100">
        <v>0</v>
      </c>
      <c r="P37" s="100">
        <v>0.14000000000000001</v>
      </c>
      <c r="Q37" s="100">
        <v>10</v>
      </c>
      <c r="R37" s="6"/>
      <c r="S37" s="6"/>
      <c r="T37" s="156"/>
      <c r="U37" s="6"/>
    </row>
    <row r="38" spans="1:21" customFormat="1">
      <c r="A38" s="163" t="s">
        <v>1517</v>
      </c>
      <c r="B38" s="100">
        <v>1.24</v>
      </c>
      <c r="C38" s="100">
        <v>3.29</v>
      </c>
      <c r="D38" s="100">
        <v>2.41</v>
      </c>
      <c r="E38" s="100">
        <v>5.33</v>
      </c>
      <c r="F38" s="100">
        <v>2.19</v>
      </c>
      <c r="G38" s="100">
        <v>21.5</v>
      </c>
      <c r="H38" s="100">
        <v>7.02</v>
      </c>
      <c r="I38" s="100">
        <v>3.74</v>
      </c>
      <c r="J38" s="100">
        <v>0.24</v>
      </c>
      <c r="K38" s="100">
        <v>239.97</v>
      </c>
      <c r="L38" s="100">
        <v>27.83</v>
      </c>
      <c r="M38" s="100">
        <v>84.41</v>
      </c>
      <c r="N38" s="100">
        <v>77.8</v>
      </c>
      <c r="O38" s="100">
        <v>0</v>
      </c>
      <c r="P38" s="100">
        <v>0.14000000000000001</v>
      </c>
      <c r="Q38" s="100">
        <v>10</v>
      </c>
      <c r="R38" s="6"/>
      <c r="S38" s="6"/>
      <c r="T38" s="156"/>
      <c r="U38" s="6"/>
    </row>
    <row r="39" spans="1:21" customFormat="1">
      <c r="A39" s="163" t="s">
        <v>1518</v>
      </c>
      <c r="B39" s="100">
        <v>1.24</v>
      </c>
      <c r="C39" s="100">
        <v>2.87</v>
      </c>
      <c r="D39" s="100">
        <v>1.6</v>
      </c>
      <c r="E39" s="100">
        <v>5.28</v>
      </c>
      <c r="F39" s="100">
        <v>1.75</v>
      </c>
      <c r="G39" s="100">
        <v>21.5</v>
      </c>
      <c r="H39" s="100">
        <v>7.02</v>
      </c>
      <c r="I39" s="100">
        <v>3.78</v>
      </c>
      <c r="J39" s="100">
        <v>0.26</v>
      </c>
      <c r="K39" s="100">
        <v>254.07</v>
      </c>
      <c r="L39" s="100">
        <v>28.09</v>
      </c>
      <c r="M39" s="100">
        <v>83.42</v>
      </c>
      <c r="N39" s="100">
        <v>94.2</v>
      </c>
      <c r="O39" s="100">
        <v>0</v>
      </c>
      <c r="P39" s="100">
        <v>0.14000000000000001</v>
      </c>
      <c r="Q39" s="100">
        <v>10</v>
      </c>
      <c r="R39" s="6"/>
      <c r="S39" s="6"/>
      <c r="T39" s="156"/>
      <c r="U39" s="6"/>
    </row>
    <row r="40" spans="1:21" customFormat="1">
      <c r="A40" s="163" t="s">
        <v>1519</v>
      </c>
      <c r="B40" s="100">
        <v>1.24</v>
      </c>
      <c r="C40" s="100">
        <v>3.13</v>
      </c>
      <c r="D40" s="100">
        <v>2.1</v>
      </c>
      <c r="E40" s="100">
        <v>5.32</v>
      </c>
      <c r="F40" s="100">
        <v>1.1200000000000001</v>
      </c>
      <c r="G40" s="100">
        <v>21.26</v>
      </c>
      <c r="H40" s="100">
        <v>6.73</v>
      </c>
      <c r="I40" s="100">
        <v>3.72</v>
      </c>
      <c r="J40" s="100">
        <v>0.43</v>
      </c>
      <c r="K40" s="100">
        <v>250.86</v>
      </c>
      <c r="L40" s="100">
        <v>28.18</v>
      </c>
      <c r="M40" s="100">
        <v>82.04</v>
      </c>
      <c r="N40" s="100">
        <v>91.4</v>
      </c>
      <c r="O40" s="100">
        <v>0</v>
      </c>
      <c r="P40" s="100">
        <v>0.14000000000000001</v>
      </c>
      <c r="Q40" s="100">
        <v>10</v>
      </c>
      <c r="R40" s="6"/>
      <c r="S40" s="6"/>
      <c r="T40" s="156"/>
      <c r="U40" s="6"/>
    </row>
    <row r="41" spans="1:21" customFormat="1">
      <c r="A41" s="163" t="s">
        <v>1520</v>
      </c>
      <c r="B41" s="100">
        <v>1.24</v>
      </c>
      <c r="C41" s="100">
        <v>2.97</v>
      </c>
      <c r="D41" s="100">
        <v>1.81</v>
      </c>
      <c r="E41" s="100">
        <v>5.35</v>
      </c>
      <c r="F41" s="100">
        <v>1.43</v>
      </c>
      <c r="G41" s="100">
        <v>20.12</v>
      </c>
      <c r="H41" s="100">
        <v>5.78</v>
      </c>
      <c r="I41" s="100">
        <v>3.7</v>
      </c>
      <c r="J41" s="100">
        <v>0.59</v>
      </c>
      <c r="K41" s="100">
        <v>256.57</v>
      </c>
      <c r="L41" s="100">
        <v>28.17</v>
      </c>
      <c r="M41" s="100">
        <v>81.31</v>
      </c>
      <c r="N41" s="100">
        <v>122.6</v>
      </c>
      <c r="O41" s="100">
        <v>0</v>
      </c>
      <c r="P41" s="100">
        <v>0.15</v>
      </c>
      <c r="Q41" s="100">
        <v>10</v>
      </c>
      <c r="R41" s="6"/>
      <c r="S41" s="6"/>
      <c r="T41" s="156"/>
      <c r="U41" s="6"/>
    </row>
    <row r="42" spans="1:21" customFormat="1">
      <c r="A42" s="163" t="s">
        <v>1521</v>
      </c>
      <c r="B42" s="100">
        <v>1.24</v>
      </c>
      <c r="C42" s="100">
        <v>2.99</v>
      </c>
      <c r="D42" s="100">
        <v>1.84</v>
      </c>
      <c r="E42" s="100">
        <v>5.14</v>
      </c>
      <c r="F42" s="100">
        <v>2.4900000000000002</v>
      </c>
      <c r="G42" s="100">
        <v>20.12</v>
      </c>
      <c r="H42" s="100">
        <v>5.78</v>
      </c>
      <c r="I42" s="100">
        <v>3.79</v>
      </c>
      <c r="J42" s="100">
        <v>0.49</v>
      </c>
      <c r="K42" s="100">
        <v>258.45</v>
      </c>
      <c r="L42" s="100">
        <v>28.5</v>
      </c>
      <c r="M42" s="100">
        <v>80</v>
      </c>
      <c r="N42" s="100">
        <v>135.4</v>
      </c>
      <c r="O42" s="100">
        <v>0</v>
      </c>
      <c r="P42" s="100">
        <v>0.14000000000000001</v>
      </c>
      <c r="Q42" s="100">
        <v>10</v>
      </c>
      <c r="R42" s="6"/>
      <c r="S42" s="6"/>
      <c r="T42" s="156"/>
      <c r="U42" s="6"/>
    </row>
    <row r="43" spans="1:21" customFormat="1">
      <c r="A43" s="163" t="s">
        <v>1522</v>
      </c>
      <c r="B43" s="100">
        <v>1.24</v>
      </c>
      <c r="C43" s="100">
        <v>3.23</v>
      </c>
      <c r="D43" s="100">
        <v>2.29</v>
      </c>
      <c r="E43" s="100">
        <v>5.01</v>
      </c>
      <c r="F43" s="100">
        <v>1.52</v>
      </c>
      <c r="G43" s="100">
        <v>20.12</v>
      </c>
      <c r="H43" s="100">
        <v>5.78</v>
      </c>
      <c r="I43" s="100">
        <v>3.82</v>
      </c>
      <c r="J43" s="100">
        <v>0.63</v>
      </c>
      <c r="K43" s="100">
        <v>269.77</v>
      </c>
      <c r="L43" s="100">
        <v>28.64</v>
      </c>
      <c r="M43" s="100">
        <v>78.599999999999994</v>
      </c>
      <c r="N43" s="100">
        <v>127</v>
      </c>
      <c r="O43" s="100">
        <v>0</v>
      </c>
      <c r="P43" s="100">
        <v>0.16</v>
      </c>
      <c r="Q43" s="100">
        <v>10</v>
      </c>
      <c r="R43" s="6"/>
      <c r="S43" s="6"/>
      <c r="T43" s="156"/>
      <c r="U43" s="6"/>
    </row>
    <row r="44" spans="1:21" customFormat="1">
      <c r="A44" s="163" t="s">
        <v>1523</v>
      </c>
      <c r="B44" s="100">
        <v>1.24</v>
      </c>
      <c r="C44" s="100">
        <v>3.14</v>
      </c>
      <c r="D44" s="100">
        <v>2.12</v>
      </c>
      <c r="E44" s="100">
        <v>5.24</v>
      </c>
      <c r="F44" s="100">
        <v>1.18</v>
      </c>
      <c r="G44" s="100">
        <v>20.73</v>
      </c>
      <c r="H44" s="100">
        <v>5.39</v>
      </c>
      <c r="I44" s="100">
        <v>3.86</v>
      </c>
      <c r="J44" s="100">
        <v>0.63</v>
      </c>
      <c r="K44" s="100">
        <v>270.87</v>
      </c>
      <c r="L44" s="100">
        <v>28.56</v>
      </c>
      <c r="M44" s="100">
        <v>78.16</v>
      </c>
      <c r="N44" s="100">
        <v>102</v>
      </c>
      <c r="O44" s="100">
        <v>0</v>
      </c>
      <c r="P44" s="100">
        <v>0.19</v>
      </c>
      <c r="Q44" s="100">
        <v>10</v>
      </c>
      <c r="R44" s="6"/>
      <c r="S44" s="6"/>
      <c r="T44" s="156"/>
      <c r="U44" s="6"/>
    </row>
    <row r="45" spans="1:21" customFormat="1">
      <c r="A45" s="163" t="s">
        <v>1524</v>
      </c>
      <c r="B45" s="100">
        <v>1.31</v>
      </c>
      <c r="C45" s="100">
        <v>3.54</v>
      </c>
      <c r="D45" s="100">
        <v>2.77</v>
      </c>
      <c r="E45" s="100">
        <v>5.38</v>
      </c>
      <c r="F45" s="100">
        <v>1.49</v>
      </c>
      <c r="G45" s="100">
        <v>23.52</v>
      </c>
      <c r="H45" s="100">
        <v>4.1500000000000004</v>
      </c>
      <c r="I45" s="100">
        <v>4.05</v>
      </c>
      <c r="J45" s="100">
        <v>0.5</v>
      </c>
      <c r="K45" s="100">
        <v>258.29000000000002</v>
      </c>
      <c r="L45" s="100">
        <v>28.54</v>
      </c>
      <c r="M45" s="100">
        <v>78.19</v>
      </c>
      <c r="N45" s="100">
        <v>106.1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163" t="s">
        <v>1525</v>
      </c>
      <c r="B46" s="100">
        <v>1.28</v>
      </c>
      <c r="C46" s="100">
        <v>3.31</v>
      </c>
      <c r="D46" s="100">
        <v>2.4</v>
      </c>
      <c r="E46" s="100">
        <v>5.45</v>
      </c>
      <c r="F46" s="100">
        <v>1.08</v>
      </c>
      <c r="G46" s="100">
        <v>23.52</v>
      </c>
      <c r="H46" s="100">
        <v>4.1500000000000004</v>
      </c>
      <c r="I46" s="100">
        <v>4.3899999999999997</v>
      </c>
      <c r="J46" s="100">
        <v>0.51</v>
      </c>
      <c r="K46" s="100">
        <v>256.39</v>
      </c>
      <c r="L46" s="100">
        <v>28.66</v>
      </c>
      <c r="M46" s="100">
        <v>78.28</v>
      </c>
      <c r="N46" s="100">
        <v>115</v>
      </c>
      <c r="O46" s="100">
        <v>0</v>
      </c>
      <c r="P46" s="100">
        <v>0.21</v>
      </c>
      <c r="Q46" s="100">
        <v>10</v>
      </c>
      <c r="R46" s="6"/>
      <c r="S46" s="6"/>
      <c r="T46" s="156"/>
      <c r="U46" s="6"/>
    </row>
    <row r="47" spans="1:21" customFormat="1">
      <c r="A47" s="163" t="s">
        <v>1526</v>
      </c>
      <c r="B47" s="100">
        <v>1.29</v>
      </c>
      <c r="C47" s="100">
        <v>3.42</v>
      </c>
      <c r="D47" s="100">
        <v>2.59</v>
      </c>
      <c r="E47" s="100">
        <v>5.26</v>
      </c>
      <c r="F47" s="100">
        <v>2.61</v>
      </c>
      <c r="G47" s="100">
        <v>23.52</v>
      </c>
      <c r="H47" s="100">
        <v>4.1500000000000004</v>
      </c>
      <c r="I47" s="100">
        <v>4.62</v>
      </c>
      <c r="J47" s="100">
        <v>0.45</v>
      </c>
      <c r="K47" s="100">
        <v>250.66</v>
      </c>
      <c r="L47" s="100">
        <v>28.71</v>
      </c>
      <c r="M47" s="100">
        <v>78.02</v>
      </c>
      <c r="N47" s="100">
        <v>131.4</v>
      </c>
      <c r="O47" s="100">
        <v>0</v>
      </c>
      <c r="P47" s="100">
        <v>0.21</v>
      </c>
      <c r="Q47" s="100">
        <v>10</v>
      </c>
      <c r="R47" s="6"/>
      <c r="S47" s="6"/>
      <c r="T47" s="156"/>
      <c r="U47" s="6"/>
    </row>
    <row r="48" spans="1:21" customFormat="1">
      <c r="A48" s="163" t="s">
        <v>1527</v>
      </c>
      <c r="B48" s="100">
        <v>1.5</v>
      </c>
      <c r="C48" s="100">
        <v>3.83</v>
      </c>
      <c r="D48" s="100">
        <v>3.05</v>
      </c>
      <c r="E48" s="100">
        <v>5.59</v>
      </c>
      <c r="F48" s="100">
        <v>5.07</v>
      </c>
      <c r="G48" s="100">
        <v>23.43</v>
      </c>
      <c r="H48" s="100">
        <v>4.95</v>
      </c>
      <c r="I48" s="100">
        <v>4.87</v>
      </c>
      <c r="J48" s="100">
        <v>0.51</v>
      </c>
      <c r="K48" s="100">
        <v>261.74</v>
      </c>
      <c r="L48" s="100">
        <v>29.01</v>
      </c>
      <c r="M48" s="100">
        <v>76.91</v>
      </c>
      <c r="N48" s="100">
        <v>179.3</v>
      </c>
      <c r="O48" s="100">
        <v>0</v>
      </c>
      <c r="P48" s="100">
        <v>0.22</v>
      </c>
      <c r="Q48" s="100">
        <v>10</v>
      </c>
      <c r="R48" s="6"/>
      <c r="S48" s="6"/>
      <c r="T48" s="156"/>
      <c r="U48" s="6"/>
    </row>
    <row r="49" spans="1:21" customFormat="1">
      <c r="A49" s="163" t="s">
        <v>1528</v>
      </c>
      <c r="B49" s="100">
        <v>1.41</v>
      </c>
      <c r="C49" s="100">
        <v>3.75</v>
      </c>
      <c r="D49" s="100">
        <v>3.02</v>
      </c>
      <c r="E49" s="100">
        <v>5.2</v>
      </c>
      <c r="F49" s="100">
        <v>3.88</v>
      </c>
      <c r="G49" s="100">
        <v>23.01</v>
      </c>
      <c r="H49" s="100">
        <v>7.52</v>
      </c>
      <c r="I49" s="100">
        <v>5.23</v>
      </c>
      <c r="J49" s="100">
        <v>0.65</v>
      </c>
      <c r="K49" s="100">
        <v>269.14999999999998</v>
      </c>
      <c r="L49" s="100">
        <v>29.41</v>
      </c>
      <c r="M49" s="100">
        <v>74.69</v>
      </c>
      <c r="N49" s="100">
        <v>216.3</v>
      </c>
      <c r="O49" s="100">
        <v>0</v>
      </c>
      <c r="P49" s="100">
        <v>0.2</v>
      </c>
      <c r="Q49" s="100">
        <v>10</v>
      </c>
      <c r="R49" s="6"/>
      <c r="S49" s="6"/>
      <c r="T49" s="156"/>
      <c r="U49" s="6"/>
    </row>
    <row r="50" spans="1:21" customFormat="1">
      <c r="A50" s="163" t="s">
        <v>1529</v>
      </c>
      <c r="B50" s="100">
        <v>1.29</v>
      </c>
      <c r="C50" s="100">
        <v>3.44</v>
      </c>
      <c r="D50" s="100">
        <v>2.62</v>
      </c>
      <c r="E50" s="100">
        <v>5.55</v>
      </c>
      <c r="F50" s="100">
        <v>7.91</v>
      </c>
      <c r="G50" s="100">
        <v>23.01</v>
      </c>
      <c r="H50" s="100">
        <v>7.52</v>
      </c>
      <c r="I50" s="100">
        <v>5.51</v>
      </c>
      <c r="J50" s="100">
        <v>0.45</v>
      </c>
      <c r="K50" s="100">
        <v>269.29000000000002</v>
      </c>
      <c r="L50" s="100">
        <v>29.73</v>
      </c>
      <c r="M50" s="100">
        <v>74</v>
      </c>
      <c r="N50" s="100">
        <v>226.5</v>
      </c>
      <c r="O50" s="100">
        <v>0</v>
      </c>
      <c r="P50" s="100">
        <v>0.21</v>
      </c>
      <c r="Q50" s="100">
        <v>10</v>
      </c>
      <c r="R50" s="6"/>
      <c r="S50" s="6"/>
      <c r="T50" s="156"/>
      <c r="U50" s="6"/>
    </row>
    <row r="51" spans="1:21" customFormat="1">
      <c r="A51" s="163" t="s">
        <v>1530</v>
      </c>
      <c r="B51" s="100">
        <v>1.24</v>
      </c>
      <c r="C51" s="100">
        <v>3.17</v>
      </c>
      <c r="D51" s="100">
        <v>2.17</v>
      </c>
      <c r="E51" s="100">
        <v>5.72</v>
      </c>
      <c r="F51" s="100">
        <v>15.02</v>
      </c>
      <c r="G51" s="100">
        <v>23.01</v>
      </c>
      <c r="H51" s="100">
        <v>7.52</v>
      </c>
      <c r="I51" s="100">
        <v>5.53</v>
      </c>
      <c r="J51" s="100">
        <v>0.62</v>
      </c>
      <c r="K51" s="100">
        <v>261.73</v>
      </c>
      <c r="L51" s="100">
        <v>30.04</v>
      </c>
      <c r="M51" s="100">
        <v>71.239999999999995</v>
      </c>
      <c r="N51" s="100">
        <v>267.89999999999998</v>
      </c>
      <c r="O51" s="100">
        <v>0</v>
      </c>
      <c r="P51" s="100">
        <v>0.24</v>
      </c>
      <c r="Q51" s="100">
        <v>10</v>
      </c>
      <c r="R51" s="6"/>
      <c r="S51" s="6"/>
      <c r="T51" s="156"/>
      <c r="U51" s="6"/>
    </row>
    <row r="52" spans="1:21" customFormat="1">
      <c r="A52" s="163" t="s">
        <v>1531</v>
      </c>
      <c r="B52" s="100">
        <v>1.24</v>
      </c>
      <c r="C52" s="100">
        <v>3.01</v>
      </c>
      <c r="D52" s="100">
        <v>1.87</v>
      </c>
      <c r="E52" s="100">
        <v>7.07</v>
      </c>
      <c r="F52" s="100">
        <v>12.47</v>
      </c>
      <c r="G52" s="100">
        <v>24.33</v>
      </c>
      <c r="H52" s="100">
        <v>7.82</v>
      </c>
      <c r="I52" s="100">
        <v>5.52</v>
      </c>
      <c r="J52" s="100">
        <v>0.89</v>
      </c>
      <c r="K52" s="100">
        <v>279.41000000000003</v>
      </c>
      <c r="L52" s="100">
        <v>30.23</v>
      </c>
      <c r="M52" s="100">
        <v>69.709999999999994</v>
      </c>
      <c r="N52" s="100">
        <v>263.2</v>
      </c>
      <c r="O52" s="100">
        <v>0</v>
      </c>
      <c r="P52" s="100">
        <v>0.24</v>
      </c>
      <c r="Q52" s="100">
        <v>10</v>
      </c>
      <c r="R52" s="6"/>
      <c r="S52" s="6"/>
      <c r="T52" s="156"/>
      <c r="U52" s="6"/>
    </row>
    <row r="53" spans="1:21" customFormat="1">
      <c r="A53" s="163" t="s">
        <v>1532</v>
      </c>
      <c r="B53" s="100">
        <v>1.24</v>
      </c>
      <c r="C53" s="100">
        <v>2.9</v>
      </c>
      <c r="D53" s="100">
        <v>1.66</v>
      </c>
      <c r="E53" s="100">
        <v>7.25</v>
      </c>
      <c r="F53" s="100">
        <v>15.25</v>
      </c>
      <c r="G53" s="100">
        <v>30.48</v>
      </c>
      <c r="H53" s="100">
        <v>9.5399999999999991</v>
      </c>
      <c r="I53" s="100">
        <v>5.54</v>
      </c>
      <c r="J53" s="100">
        <v>0.7</v>
      </c>
      <c r="K53" s="100">
        <v>276.72000000000003</v>
      </c>
      <c r="L53" s="100">
        <v>30</v>
      </c>
      <c r="M53" s="100">
        <v>69.97</v>
      </c>
      <c r="N53" s="100">
        <v>224.3</v>
      </c>
      <c r="O53" s="100">
        <v>0</v>
      </c>
      <c r="P53" s="100">
        <v>0.21</v>
      </c>
      <c r="Q53" s="100">
        <v>10</v>
      </c>
      <c r="R53" s="6"/>
      <c r="S53" s="6"/>
      <c r="T53" s="156"/>
      <c r="U53" s="6"/>
    </row>
    <row r="54" spans="1:21" customFormat="1">
      <c r="A54" s="163" t="s">
        <v>1533</v>
      </c>
      <c r="B54" s="100">
        <v>1.24</v>
      </c>
      <c r="C54" s="100">
        <v>2.63</v>
      </c>
      <c r="D54" s="100">
        <v>1.1399999999999999</v>
      </c>
      <c r="E54" s="100">
        <v>7.43</v>
      </c>
      <c r="F54" s="100">
        <v>17.39</v>
      </c>
      <c r="G54" s="100">
        <v>30.48</v>
      </c>
      <c r="H54" s="100">
        <v>9.5399999999999991</v>
      </c>
      <c r="I54" s="100">
        <v>6.01</v>
      </c>
      <c r="J54" s="100">
        <v>0.55000000000000004</v>
      </c>
      <c r="K54" s="100">
        <v>273.85000000000002</v>
      </c>
      <c r="L54" s="100">
        <v>29.99</v>
      </c>
      <c r="M54" s="100">
        <v>71.91</v>
      </c>
      <c r="N54" s="100">
        <v>219.6</v>
      </c>
      <c r="O54" s="100">
        <v>0</v>
      </c>
      <c r="P54" s="100">
        <v>0.2</v>
      </c>
      <c r="Q54" s="100">
        <v>10</v>
      </c>
      <c r="R54" s="6"/>
      <c r="S54" s="6"/>
      <c r="T54" s="156"/>
      <c r="U54" s="6"/>
    </row>
    <row r="55" spans="1:21" customFormat="1">
      <c r="A55" s="163" t="s">
        <v>1534</v>
      </c>
      <c r="B55" s="100">
        <v>1.24</v>
      </c>
      <c r="C55" s="100">
        <v>2.64</v>
      </c>
      <c r="D55" s="100">
        <v>1.17</v>
      </c>
      <c r="E55" s="100">
        <v>7.47</v>
      </c>
      <c r="F55" s="100">
        <v>20.53</v>
      </c>
      <c r="G55" s="100">
        <v>30.48</v>
      </c>
      <c r="H55" s="100">
        <v>9.5399999999999991</v>
      </c>
      <c r="I55" s="100">
        <v>6.72</v>
      </c>
      <c r="J55" s="100">
        <v>0.61</v>
      </c>
      <c r="K55" s="100">
        <v>259.01</v>
      </c>
      <c r="L55" s="100">
        <v>30.32</v>
      </c>
      <c r="M55" s="100">
        <v>70.989999999999995</v>
      </c>
      <c r="N55" s="100">
        <v>269</v>
      </c>
      <c r="O55" s="100">
        <v>0</v>
      </c>
      <c r="P55" s="100">
        <v>0.2</v>
      </c>
      <c r="Q55" s="100">
        <v>10</v>
      </c>
      <c r="R55" s="6"/>
      <c r="S55" s="6"/>
      <c r="T55" s="156"/>
      <c r="U55" s="6"/>
    </row>
    <row r="56" spans="1:21" customFormat="1">
      <c r="A56" s="163" t="s">
        <v>1535</v>
      </c>
      <c r="B56" s="100">
        <v>1.24</v>
      </c>
      <c r="C56" s="100">
        <v>2.31</v>
      </c>
      <c r="D56" s="100">
        <v>0.54</v>
      </c>
      <c r="E56" s="100">
        <v>6.64</v>
      </c>
      <c r="F56" s="100">
        <v>21.1</v>
      </c>
      <c r="G56" s="100">
        <v>29.74</v>
      </c>
      <c r="H56" s="100">
        <v>9</v>
      </c>
      <c r="I56" s="100">
        <v>6</v>
      </c>
      <c r="J56" s="100">
        <v>0.59</v>
      </c>
      <c r="K56" s="100">
        <v>260.06</v>
      </c>
      <c r="L56" s="100">
        <v>30.51</v>
      </c>
      <c r="M56" s="100">
        <v>69.52</v>
      </c>
      <c r="N56" s="100">
        <v>290</v>
      </c>
      <c r="O56" s="100">
        <v>0</v>
      </c>
      <c r="P56" s="100">
        <v>0.17</v>
      </c>
      <c r="Q56" s="100">
        <v>10</v>
      </c>
      <c r="R56" s="6"/>
      <c r="S56" s="6"/>
      <c r="T56" s="156"/>
      <c r="U56" s="6"/>
    </row>
    <row r="57" spans="1:21" customFormat="1">
      <c r="A57" s="163" t="s">
        <v>1536</v>
      </c>
      <c r="B57" s="100">
        <v>1.24</v>
      </c>
      <c r="C57" s="100">
        <v>2.11</v>
      </c>
      <c r="D57" s="100">
        <v>0.15</v>
      </c>
      <c r="E57" s="100">
        <v>5.87</v>
      </c>
      <c r="F57" s="100">
        <v>19.86</v>
      </c>
      <c r="G57" s="100">
        <v>26.31</v>
      </c>
      <c r="H57" s="100">
        <v>7.28</v>
      </c>
      <c r="I57" s="100">
        <v>5.86</v>
      </c>
      <c r="J57" s="100">
        <v>0.72</v>
      </c>
      <c r="K57" s="100">
        <v>259.81</v>
      </c>
      <c r="L57" s="100">
        <v>30.4</v>
      </c>
      <c r="M57" s="100">
        <v>68.69</v>
      </c>
      <c r="N57" s="100">
        <v>287.5</v>
      </c>
      <c r="O57" s="100">
        <v>0</v>
      </c>
      <c r="P57" s="100">
        <v>0.16</v>
      </c>
      <c r="Q57" s="100">
        <v>10</v>
      </c>
      <c r="R57" s="6"/>
      <c r="S57" s="6"/>
      <c r="T57" s="156"/>
      <c r="U57" s="6"/>
    </row>
    <row r="58" spans="1:21" customFormat="1">
      <c r="A58" s="163" t="s">
        <v>1537</v>
      </c>
      <c r="B58" s="100">
        <v>1.24</v>
      </c>
      <c r="C58" s="100">
        <v>2.1</v>
      </c>
      <c r="D58" s="100">
        <v>0.14000000000000001</v>
      </c>
      <c r="E58" s="100">
        <v>5.6</v>
      </c>
      <c r="F58" s="100">
        <v>22.27</v>
      </c>
      <c r="G58" s="100">
        <v>26.31</v>
      </c>
      <c r="H58" s="100">
        <v>7.28</v>
      </c>
      <c r="I58" s="100">
        <v>5.23</v>
      </c>
      <c r="J58" s="100">
        <v>0.67</v>
      </c>
      <c r="K58" s="100">
        <v>284.01</v>
      </c>
      <c r="L58" s="100">
        <v>30.46</v>
      </c>
      <c r="M58" s="100">
        <v>67.87</v>
      </c>
      <c r="N58" s="100">
        <v>252.6</v>
      </c>
      <c r="O58" s="100">
        <v>0</v>
      </c>
      <c r="P58" s="100">
        <v>0.16</v>
      </c>
      <c r="Q58" s="100">
        <v>10</v>
      </c>
      <c r="R58" s="6"/>
      <c r="S58" s="6"/>
      <c r="T58" s="156"/>
      <c r="U58" s="6"/>
    </row>
    <row r="59" spans="1:21" customFormat="1">
      <c r="A59" s="163" t="s">
        <v>1538</v>
      </c>
      <c r="B59" s="100">
        <v>1.24</v>
      </c>
      <c r="C59" s="100">
        <v>2.15</v>
      </c>
      <c r="D59" s="100">
        <v>0.22</v>
      </c>
      <c r="E59" s="100">
        <v>6.28</v>
      </c>
      <c r="F59" s="100">
        <v>24.89</v>
      </c>
      <c r="G59" s="100">
        <v>26.31</v>
      </c>
      <c r="H59" s="100">
        <v>7.28</v>
      </c>
      <c r="I59" s="100">
        <v>4.38</v>
      </c>
      <c r="J59" s="100">
        <v>0.57999999999999996</v>
      </c>
      <c r="K59" s="100">
        <v>258.72000000000003</v>
      </c>
      <c r="L59" s="100">
        <v>30.62</v>
      </c>
      <c r="M59" s="100">
        <v>68.430000000000007</v>
      </c>
      <c r="N59" s="100">
        <v>273.10000000000002</v>
      </c>
      <c r="O59" s="100">
        <v>0</v>
      </c>
      <c r="P59" s="100">
        <v>0.16</v>
      </c>
      <c r="Q59" s="100">
        <v>10</v>
      </c>
      <c r="R59" s="6"/>
      <c r="S59" s="6"/>
      <c r="T59" s="156"/>
      <c r="U59" s="6"/>
    </row>
    <row r="60" spans="1:21" customFormat="1">
      <c r="A60" s="163" t="s">
        <v>1539</v>
      </c>
      <c r="B60" s="100">
        <v>1.24</v>
      </c>
      <c r="C60" s="100">
        <v>2.04</v>
      </c>
      <c r="D60" s="100">
        <v>0.01</v>
      </c>
      <c r="E60" s="100">
        <v>5.96</v>
      </c>
      <c r="F60" s="100">
        <v>29.28</v>
      </c>
      <c r="G60" s="100">
        <v>26.5</v>
      </c>
      <c r="H60" s="100">
        <v>8.0299999999999994</v>
      </c>
      <c r="I60" s="100">
        <v>4.66</v>
      </c>
      <c r="J60" s="100">
        <v>0.52</v>
      </c>
      <c r="K60" s="100">
        <v>254.16</v>
      </c>
      <c r="L60" s="100">
        <v>30.84</v>
      </c>
      <c r="M60" s="100">
        <v>68.33</v>
      </c>
      <c r="N60" s="100">
        <v>314.5</v>
      </c>
      <c r="O60" s="100">
        <v>0</v>
      </c>
      <c r="P60" s="100">
        <v>0.15</v>
      </c>
      <c r="Q60" s="100">
        <v>10</v>
      </c>
      <c r="R60" s="6"/>
      <c r="S60" s="6"/>
      <c r="T60" s="156"/>
      <c r="U60" s="6"/>
    </row>
    <row r="61" spans="1:21" customFormat="1">
      <c r="A61" s="163" t="s">
        <v>1540</v>
      </c>
      <c r="B61" s="100">
        <v>1.24</v>
      </c>
      <c r="C61" s="100">
        <v>2.0299999999999998</v>
      </c>
      <c r="D61" s="100">
        <v>0</v>
      </c>
      <c r="E61" s="100">
        <v>6.24</v>
      </c>
      <c r="F61" s="100">
        <v>31.94</v>
      </c>
      <c r="G61" s="100">
        <v>27.28</v>
      </c>
      <c r="H61" s="100">
        <v>10.34</v>
      </c>
      <c r="I61" s="100">
        <v>5.67</v>
      </c>
      <c r="J61" s="100">
        <v>0.48</v>
      </c>
      <c r="K61" s="100">
        <v>260.74</v>
      </c>
      <c r="L61" s="100">
        <v>30.83</v>
      </c>
      <c r="M61" s="100">
        <v>67.98</v>
      </c>
      <c r="N61" s="100">
        <v>243.7</v>
      </c>
      <c r="O61" s="100">
        <v>0</v>
      </c>
      <c r="P61" s="100">
        <v>0.18</v>
      </c>
      <c r="Q61" s="100">
        <v>10</v>
      </c>
      <c r="R61" s="6"/>
      <c r="S61" s="6"/>
      <c r="T61" s="156"/>
      <c r="U61" s="6"/>
    </row>
    <row r="62" spans="1:21" customFormat="1">
      <c r="A62" s="163" t="s">
        <v>1541</v>
      </c>
      <c r="B62" s="100">
        <v>1.24</v>
      </c>
      <c r="C62" s="100">
        <v>2.0299999999999998</v>
      </c>
      <c r="D62" s="100">
        <v>0</v>
      </c>
      <c r="E62" s="100">
        <v>6.8</v>
      </c>
      <c r="F62" s="100">
        <v>30.71</v>
      </c>
      <c r="G62" s="100">
        <v>27.28</v>
      </c>
      <c r="H62" s="100">
        <v>10.34</v>
      </c>
      <c r="I62" s="100">
        <v>5.5</v>
      </c>
      <c r="J62" s="100">
        <v>0.34</v>
      </c>
      <c r="K62" s="100">
        <v>243.81</v>
      </c>
      <c r="L62" s="100">
        <v>30.98</v>
      </c>
      <c r="M62" s="100">
        <v>68.31</v>
      </c>
      <c r="N62" s="100">
        <v>238.8</v>
      </c>
      <c r="O62" s="100">
        <v>0</v>
      </c>
      <c r="P62" s="100">
        <v>0.21</v>
      </c>
      <c r="Q62" s="100">
        <v>10</v>
      </c>
      <c r="R62" s="6"/>
      <c r="S62" s="6"/>
      <c r="T62" s="156"/>
      <c r="U62" s="6"/>
    </row>
    <row r="63" spans="1:21" customFormat="1">
      <c r="A63" s="163" t="s">
        <v>1542</v>
      </c>
      <c r="B63" s="100">
        <v>1.24</v>
      </c>
      <c r="C63" s="100">
        <v>2.0299999999999998</v>
      </c>
      <c r="D63" s="100">
        <v>0</v>
      </c>
      <c r="E63" s="100">
        <v>6.77</v>
      </c>
      <c r="F63" s="100">
        <v>32.19</v>
      </c>
      <c r="G63" s="100">
        <v>27.28</v>
      </c>
      <c r="H63" s="100">
        <v>10.34</v>
      </c>
      <c r="I63" s="100">
        <v>5.75</v>
      </c>
      <c r="J63" s="100">
        <v>0.48</v>
      </c>
      <c r="K63" s="100">
        <v>249.33</v>
      </c>
      <c r="L63" s="100">
        <v>30.78</v>
      </c>
      <c r="M63" s="100">
        <v>68.88</v>
      </c>
      <c r="N63" s="100">
        <v>214.4</v>
      </c>
      <c r="O63" s="100">
        <v>0</v>
      </c>
      <c r="P63" s="100">
        <v>0.24</v>
      </c>
      <c r="Q63" s="100">
        <v>10</v>
      </c>
      <c r="R63" s="6"/>
      <c r="S63" s="6"/>
      <c r="T63" s="156"/>
      <c r="U63" s="6"/>
    </row>
    <row r="64" spans="1:21" customFormat="1">
      <c r="A64" s="163" t="s">
        <v>1543</v>
      </c>
      <c r="B64" s="100">
        <v>1.24</v>
      </c>
      <c r="C64" s="100">
        <v>2.0299999999999998</v>
      </c>
      <c r="D64" s="100">
        <v>0</v>
      </c>
      <c r="E64" s="100">
        <v>7.31</v>
      </c>
      <c r="F64" s="100">
        <v>36.659999999999997</v>
      </c>
      <c r="G64" s="100">
        <v>28.63</v>
      </c>
      <c r="H64" s="100">
        <v>11.09</v>
      </c>
      <c r="I64" s="100">
        <v>6.22</v>
      </c>
      <c r="J64" s="100">
        <v>0.44</v>
      </c>
      <c r="K64" s="100">
        <v>257.77</v>
      </c>
      <c r="L64" s="100">
        <v>30.97</v>
      </c>
      <c r="M64" s="100">
        <v>68.14</v>
      </c>
      <c r="N64" s="100">
        <v>209.1</v>
      </c>
      <c r="O64" s="100">
        <v>0</v>
      </c>
      <c r="P64" s="100">
        <v>0.27</v>
      </c>
      <c r="Q64" s="100">
        <v>10</v>
      </c>
      <c r="R64" s="6"/>
      <c r="S64" s="6"/>
      <c r="T64" s="156"/>
      <c r="U64" s="6"/>
    </row>
    <row r="65" spans="1:21" customFormat="1">
      <c r="A65" s="163" t="s">
        <v>1544</v>
      </c>
      <c r="B65" s="100">
        <v>1.24</v>
      </c>
      <c r="C65" s="100">
        <v>2.0299999999999998</v>
      </c>
      <c r="D65" s="100">
        <v>0</v>
      </c>
      <c r="E65" s="100">
        <v>6.96</v>
      </c>
      <c r="F65" s="100">
        <v>28.22</v>
      </c>
      <c r="G65" s="100">
        <v>34.9</v>
      </c>
      <c r="H65" s="100">
        <v>13.43</v>
      </c>
      <c r="I65" s="100">
        <v>6.57</v>
      </c>
      <c r="J65" s="100">
        <v>0.36</v>
      </c>
      <c r="K65" s="100">
        <v>253.72</v>
      </c>
      <c r="L65" s="100">
        <v>30.94</v>
      </c>
      <c r="M65" s="100">
        <v>69.17</v>
      </c>
      <c r="N65" s="100">
        <v>165.6</v>
      </c>
      <c r="O65" s="100">
        <v>0</v>
      </c>
      <c r="P65" s="100">
        <v>0.28000000000000003</v>
      </c>
      <c r="Q65" s="100">
        <v>10</v>
      </c>
      <c r="R65" s="6"/>
      <c r="S65" s="6"/>
      <c r="T65" s="156"/>
      <c r="U65" s="6"/>
    </row>
    <row r="66" spans="1:21" customFormat="1">
      <c r="A66" s="163" t="s">
        <v>1545</v>
      </c>
      <c r="B66" s="100">
        <v>1.24</v>
      </c>
      <c r="C66" s="100">
        <v>2.0299999999999998</v>
      </c>
      <c r="D66" s="100">
        <v>0</v>
      </c>
      <c r="E66" s="100">
        <v>5.97</v>
      </c>
      <c r="F66" s="100">
        <v>24.96</v>
      </c>
      <c r="G66" s="100">
        <v>34.9</v>
      </c>
      <c r="H66" s="100">
        <v>13.43</v>
      </c>
      <c r="I66" s="100">
        <v>7.08</v>
      </c>
      <c r="J66" s="100">
        <v>0.46</v>
      </c>
      <c r="K66" s="100">
        <v>236.93</v>
      </c>
      <c r="L66" s="100">
        <v>31.24</v>
      </c>
      <c r="M66" s="100">
        <v>68.819999999999993</v>
      </c>
      <c r="N66" s="100">
        <v>219.8</v>
      </c>
      <c r="O66" s="100">
        <v>0</v>
      </c>
      <c r="P66" s="100">
        <v>0.28999999999999998</v>
      </c>
      <c r="Q66" s="100">
        <v>10</v>
      </c>
      <c r="R66" s="6"/>
      <c r="S66" s="6"/>
      <c r="T66" s="156"/>
      <c r="U66" s="6"/>
    </row>
    <row r="67" spans="1:21" customFormat="1">
      <c r="A67" s="163" t="s">
        <v>1546</v>
      </c>
      <c r="B67" s="100">
        <v>1.24</v>
      </c>
      <c r="C67" s="100">
        <v>2.0299999999999998</v>
      </c>
      <c r="D67" s="100">
        <v>0</v>
      </c>
      <c r="E67" s="100">
        <v>5.49</v>
      </c>
      <c r="F67" s="100">
        <v>27.83</v>
      </c>
      <c r="G67" s="100">
        <v>34.9</v>
      </c>
      <c r="H67" s="100">
        <v>13.43</v>
      </c>
      <c r="I67" s="100">
        <v>7.39</v>
      </c>
      <c r="J67" s="100">
        <v>0.39</v>
      </c>
      <c r="K67" s="100">
        <v>232.78</v>
      </c>
      <c r="L67" s="100">
        <v>31.63</v>
      </c>
      <c r="M67" s="100">
        <v>68.3</v>
      </c>
      <c r="N67" s="100">
        <v>240</v>
      </c>
      <c r="O67" s="100">
        <v>0</v>
      </c>
      <c r="P67" s="100">
        <v>0.26</v>
      </c>
      <c r="Q67" s="100">
        <v>10</v>
      </c>
      <c r="R67" s="6"/>
      <c r="S67" s="6"/>
      <c r="T67" s="156"/>
      <c r="U67" s="6"/>
    </row>
    <row r="68" spans="1:21" customFormat="1">
      <c r="A68" s="163" t="s">
        <v>1547</v>
      </c>
      <c r="B68" s="100">
        <v>1.24</v>
      </c>
      <c r="C68" s="100">
        <v>2.0299999999999998</v>
      </c>
      <c r="D68" s="100">
        <v>0</v>
      </c>
      <c r="E68" s="100">
        <v>4.43</v>
      </c>
      <c r="F68" s="100">
        <v>22.64</v>
      </c>
      <c r="G68" s="100">
        <v>34.47</v>
      </c>
      <c r="H68" s="100">
        <v>13.8</v>
      </c>
      <c r="I68" s="100">
        <v>7.4</v>
      </c>
      <c r="J68" s="100">
        <v>0.57999999999999996</v>
      </c>
      <c r="K68" s="100">
        <v>255.24</v>
      </c>
      <c r="L68" s="100">
        <v>31.66</v>
      </c>
      <c r="M68" s="100">
        <v>66.47</v>
      </c>
      <c r="N68" s="100">
        <v>238.3</v>
      </c>
      <c r="O68" s="100">
        <v>0</v>
      </c>
      <c r="P68" s="100">
        <v>0.2</v>
      </c>
      <c r="Q68" s="100">
        <v>10</v>
      </c>
      <c r="R68" s="6"/>
      <c r="S68" s="6"/>
      <c r="T68" s="156"/>
      <c r="U68" s="6"/>
    </row>
    <row r="69" spans="1:21" customFormat="1">
      <c r="A69" s="163" t="s">
        <v>1548</v>
      </c>
      <c r="B69" s="100">
        <v>1.24</v>
      </c>
      <c r="C69" s="100">
        <v>2.0299999999999998</v>
      </c>
      <c r="D69" s="100">
        <v>0</v>
      </c>
      <c r="E69" s="100">
        <v>4.67</v>
      </c>
      <c r="F69" s="100">
        <v>27.36</v>
      </c>
      <c r="G69" s="100">
        <v>32.65</v>
      </c>
      <c r="H69" s="100">
        <v>15.65</v>
      </c>
      <c r="I69" s="100">
        <v>6.51</v>
      </c>
      <c r="J69" s="100">
        <v>0.3</v>
      </c>
      <c r="K69" s="100">
        <v>216.2</v>
      </c>
      <c r="L69" s="100">
        <v>32.1</v>
      </c>
      <c r="M69" s="100">
        <v>66.42</v>
      </c>
      <c r="N69" s="100">
        <v>261.5</v>
      </c>
      <c r="O69" s="100">
        <v>0</v>
      </c>
      <c r="P69" s="100">
        <v>0.18</v>
      </c>
      <c r="Q69" s="100">
        <v>10</v>
      </c>
      <c r="R69" s="6"/>
      <c r="S69" s="6"/>
      <c r="T69" s="156"/>
      <c r="U69" s="6"/>
    </row>
    <row r="70" spans="1:21" customFormat="1">
      <c r="A70" s="163" t="s">
        <v>1549</v>
      </c>
      <c r="B70" s="100">
        <v>1.24</v>
      </c>
      <c r="C70" s="100">
        <v>2.0299999999999998</v>
      </c>
      <c r="D70" s="100">
        <v>0</v>
      </c>
      <c r="E70" s="100">
        <v>4.83</v>
      </c>
      <c r="F70" s="100">
        <v>23.36</v>
      </c>
      <c r="G70" s="100">
        <v>32.65</v>
      </c>
      <c r="H70" s="100">
        <v>15.65</v>
      </c>
      <c r="I70" s="100">
        <v>5.57</v>
      </c>
      <c r="J70" s="100">
        <v>0.41</v>
      </c>
      <c r="K70" s="100">
        <v>244.21</v>
      </c>
      <c r="L70" s="100">
        <v>32.01</v>
      </c>
      <c r="M70" s="100">
        <v>64.8</v>
      </c>
      <c r="N70" s="100">
        <v>301.60000000000002</v>
      </c>
      <c r="O70" s="100">
        <v>0</v>
      </c>
      <c r="P70" s="100">
        <v>0.19</v>
      </c>
      <c r="Q70" s="100">
        <v>10</v>
      </c>
      <c r="R70" s="6"/>
      <c r="S70" s="6"/>
      <c r="T70" s="156"/>
      <c r="U70" s="6"/>
    </row>
    <row r="71" spans="1:21" customFormat="1">
      <c r="A71" s="163" t="s">
        <v>1550</v>
      </c>
      <c r="B71" s="100">
        <v>1.24</v>
      </c>
      <c r="C71" s="100">
        <v>2.0299999999999998</v>
      </c>
      <c r="D71" s="100">
        <v>0</v>
      </c>
      <c r="E71" s="100">
        <v>5.24</v>
      </c>
      <c r="F71" s="100">
        <v>27.28</v>
      </c>
      <c r="G71" s="100">
        <v>32.65</v>
      </c>
      <c r="H71" s="100">
        <v>15.65</v>
      </c>
      <c r="I71" s="100">
        <v>5.24</v>
      </c>
      <c r="J71" s="100">
        <v>0.33</v>
      </c>
      <c r="K71" s="100">
        <v>230.43</v>
      </c>
      <c r="L71" s="100">
        <v>31.88</v>
      </c>
      <c r="M71" s="100">
        <v>65.55</v>
      </c>
      <c r="N71" s="100">
        <v>130.5</v>
      </c>
      <c r="O71" s="100">
        <v>0</v>
      </c>
      <c r="P71" s="100">
        <v>0.17</v>
      </c>
      <c r="Q71" s="100">
        <v>10</v>
      </c>
      <c r="R71" s="6"/>
      <c r="S71" s="6"/>
      <c r="T71" s="156"/>
      <c r="U71" s="6"/>
    </row>
    <row r="72" spans="1:21" customFormat="1">
      <c r="A72" s="163" t="s">
        <v>1551</v>
      </c>
      <c r="B72" s="100">
        <v>1.24</v>
      </c>
      <c r="C72" s="100">
        <v>2.0299999999999998</v>
      </c>
      <c r="D72" s="100">
        <v>0</v>
      </c>
      <c r="E72" s="100">
        <v>4.59</v>
      </c>
      <c r="F72" s="100">
        <v>20.85</v>
      </c>
      <c r="G72" s="100">
        <v>32.229999999999997</v>
      </c>
      <c r="H72" s="100">
        <v>14.53</v>
      </c>
      <c r="I72" s="100">
        <v>5.28</v>
      </c>
      <c r="J72" s="100">
        <v>0.36</v>
      </c>
      <c r="K72" s="100">
        <v>242.68</v>
      </c>
      <c r="L72" s="100">
        <v>31.31</v>
      </c>
      <c r="M72" s="100">
        <v>67.27</v>
      </c>
      <c r="N72" s="100">
        <v>123.7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163" t="s">
        <v>1552</v>
      </c>
      <c r="B73" s="100">
        <v>1.24</v>
      </c>
      <c r="C73" s="100">
        <v>2.0299999999999998</v>
      </c>
      <c r="D73" s="100">
        <v>0</v>
      </c>
      <c r="E73" s="100">
        <v>4.5</v>
      </c>
      <c r="F73" s="100">
        <v>28.36</v>
      </c>
      <c r="G73" s="100">
        <v>30.45</v>
      </c>
      <c r="H73" s="100">
        <v>11.04</v>
      </c>
      <c r="I73" s="100">
        <v>4.97</v>
      </c>
      <c r="J73" s="100">
        <v>0.37</v>
      </c>
      <c r="K73" s="100">
        <v>244</v>
      </c>
      <c r="L73" s="100">
        <v>31.32</v>
      </c>
      <c r="M73" s="100">
        <v>67.41</v>
      </c>
      <c r="N73" s="100">
        <v>120.2</v>
      </c>
      <c r="O73" s="100">
        <v>0</v>
      </c>
      <c r="P73" s="100">
        <v>0.1</v>
      </c>
      <c r="Q73" s="100">
        <v>10</v>
      </c>
      <c r="R73" s="6"/>
      <c r="S73" s="6"/>
      <c r="T73" s="156"/>
      <c r="U73" s="6"/>
    </row>
    <row r="74" spans="1:21" customFormat="1">
      <c r="A74" s="163" t="s">
        <v>1553</v>
      </c>
      <c r="B74" s="100">
        <v>1.24</v>
      </c>
      <c r="C74" s="100">
        <v>2.0299999999999998</v>
      </c>
      <c r="D74" s="100">
        <v>0</v>
      </c>
      <c r="E74" s="100">
        <v>4.51</v>
      </c>
      <c r="F74" s="100">
        <v>20.87</v>
      </c>
      <c r="G74" s="100">
        <v>30.45</v>
      </c>
      <c r="H74" s="100">
        <v>11.04</v>
      </c>
      <c r="I74" s="100">
        <v>4.26</v>
      </c>
      <c r="J74" s="100">
        <v>0.5</v>
      </c>
      <c r="K74" s="100">
        <v>256.26</v>
      </c>
      <c r="L74" s="100">
        <v>31.38</v>
      </c>
      <c r="M74" s="100">
        <v>66.31</v>
      </c>
      <c r="N74" s="100">
        <v>124.5</v>
      </c>
      <c r="O74" s="100">
        <v>0</v>
      </c>
      <c r="P74" s="100">
        <v>0.09</v>
      </c>
      <c r="Q74" s="100">
        <v>10</v>
      </c>
      <c r="R74" s="6"/>
      <c r="S74" s="6"/>
      <c r="T74" s="156"/>
      <c r="U74" s="6"/>
    </row>
    <row r="75" spans="1:21" customFormat="1">
      <c r="A75" s="163" t="s">
        <v>1554</v>
      </c>
      <c r="B75" s="100">
        <v>1.24</v>
      </c>
      <c r="C75" s="100">
        <v>2.0299999999999998</v>
      </c>
      <c r="D75" s="100">
        <v>0</v>
      </c>
      <c r="E75" s="100">
        <v>4.37</v>
      </c>
      <c r="F75" s="100">
        <v>26.21</v>
      </c>
      <c r="G75" s="100">
        <v>30.45</v>
      </c>
      <c r="H75" s="100">
        <v>11.04</v>
      </c>
      <c r="I75" s="100">
        <v>3.63</v>
      </c>
      <c r="J75" s="100">
        <v>0.56999999999999995</v>
      </c>
      <c r="K75" s="100">
        <v>253.68</v>
      </c>
      <c r="L75" s="100">
        <v>31.3</v>
      </c>
      <c r="M75" s="100">
        <v>65.77</v>
      </c>
      <c r="N75" s="100">
        <v>106.5</v>
      </c>
      <c r="O75" s="100">
        <v>0</v>
      </c>
      <c r="P75" s="100">
        <v>0.08</v>
      </c>
      <c r="Q75" s="100">
        <v>10</v>
      </c>
      <c r="R75" s="6"/>
      <c r="S75" s="6"/>
      <c r="T75" s="156"/>
      <c r="U75" s="6"/>
    </row>
    <row r="76" spans="1:21" customFormat="1">
      <c r="A76" s="163" t="s">
        <v>1555</v>
      </c>
      <c r="B76" s="100">
        <v>1.24</v>
      </c>
      <c r="C76" s="100">
        <v>2.0299999999999998</v>
      </c>
      <c r="D76" s="100">
        <v>0</v>
      </c>
      <c r="E76" s="100">
        <v>4.12</v>
      </c>
      <c r="F76" s="100">
        <v>25.5</v>
      </c>
      <c r="G76" s="100">
        <v>29.94</v>
      </c>
      <c r="H76" s="100">
        <v>10.77</v>
      </c>
      <c r="I76" s="100">
        <v>3.32</v>
      </c>
      <c r="J76" s="100">
        <v>0.53</v>
      </c>
      <c r="K76" s="100">
        <v>260.08</v>
      </c>
      <c r="L76" s="100">
        <v>31.19</v>
      </c>
      <c r="M76" s="100">
        <v>67.09</v>
      </c>
      <c r="N76" s="100">
        <v>94.7</v>
      </c>
      <c r="O76" s="100">
        <v>0</v>
      </c>
      <c r="P76" s="100">
        <v>7.0000000000000007E-2</v>
      </c>
      <c r="Q76" s="100">
        <v>10</v>
      </c>
      <c r="R76" s="6"/>
      <c r="S76" s="6"/>
      <c r="T76" s="156"/>
      <c r="U76" s="6"/>
    </row>
    <row r="77" spans="1:21" customFormat="1">
      <c r="A77" s="163" t="s">
        <v>1556</v>
      </c>
      <c r="B77" s="100">
        <v>1.24</v>
      </c>
      <c r="C77" s="100">
        <v>2.0299999999999998</v>
      </c>
      <c r="D77" s="100">
        <v>0</v>
      </c>
      <c r="E77" s="100">
        <v>4.1399999999999997</v>
      </c>
      <c r="F77" s="100">
        <v>31.12</v>
      </c>
      <c r="G77" s="100">
        <v>27.78</v>
      </c>
      <c r="H77" s="100">
        <v>9.9</v>
      </c>
      <c r="I77" s="100">
        <v>2.29</v>
      </c>
      <c r="J77" s="100">
        <v>0.59</v>
      </c>
      <c r="K77" s="100">
        <v>243.55</v>
      </c>
      <c r="L77" s="100">
        <v>31.15</v>
      </c>
      <c r="M77" s="100">
        <v>66.19</v>
      </c>
      <c r="N77" s="100">
        <v>53</v>
      </c>
      <c r="O77" s="100">
        <v>0</v>
      </c>
      <c r="P77" s="100">
        <v>7.0000000000000007E-2</v>
      </c>
      <c r="Q77" s="100">
        <v>10</v>
      </c>
      <c r="R77" s="6"/>
      <c r="S77" s="6"/>
      <c r="T77" s="156"/>
      <c r="U77" s="6"/>
    </row>
    <row r="78" spans="1:21" customFormat="1">
      <c r="A78" s="163" t="s">
        <v>1557</v>
      </c>
      <c r="B78" s="100">
        <v>1.24</v>
      </c>
      <c r="C78" s="100">
        <v>2.0299999999999998</v>
      </c>
      <c r="D78" s="100">
        <v>0</v>
      </c>
      <c r="E78" s="100">
        <v>4.28</v>
      </c>
      <c r="F78" s="100">
        <v>26.21</v>
      </c>
      <c r="G78" s="100">
        <v>27.78</v>
      </c>
      <c r="H78" s="100">
        <v>9.9</v>
      </c>
      <c r="I78" s="100">
        <v>2.34</v>
      </c>
      <c r="J78" s="100">
        <v>1.33</v>
      </c>
      <c r="K78" s="100">
        <v>296.87</v>
      </c>
      <c r="L78" s="100">
        <v>30.35</v>
      </c>
      <c r="M78" s="100">
        <v>67.319999999999993</v>
      </c>
      <c r="N78" s="100">
        <v>30.5</v>
      </c>
      <c r="O78" s="100">
        <v>0</v>
      </c>
      <c r="P78" s="100">
        <v>7.0000000000000007E-2</v>
      </c>
      <c r="Q78" s="100">
        <v>10</v>
      </c>
      <c r="R78" s="6"/>
      <c r="S78" s="6"/>
      <c r="T78" s="156"/>
      <c r="U78" s="6"/>
    </row>
    <row r="79" spans="1:21" customFormat="1">
      <c r="A79" s="163" t="s">
        <v>1558</v>
      </c>
      <c r="B79" s="100">
        <v>1.24</v>
      </c>
      <c r="C79" s="100">
        <v>2.0299999999999998</v>
      </c>
      <c r="D79" s="100">
        <v>0</v>
      </c>
      <c r="E79" s="100">
        <v>4.2699999999999996</v>
      </c>
      <c r="F79" s="100">
        <v>11.31</v>
      </c>
      <c r="G79" s="100">
        <v>27.78</v>
      </c>
      <c r="H79" s="100">
        <v>9.9</v>
      </c>
      <c r="I79" s="100">
        <v>2.79</v>
      </c>
      <c r="J79" s="100">
        <v>1.32</v>
      </c>
      <c r="K79" s="100">
        <v>300.70999999999998</v>
      </c>
      <c r="L79" s="100">
        <v>28.59</v>
      </c>
      <c r="M79" s="100">
        <v>69.56</v>
      </c>
      <c r="N79" s="100">
        <v>28.6</v>
      </c>
      <c r="O79" s="100">
        <v>0</v>
      </c>
      <c r="P79" s="100">
        <v>0.09</v>
      </c>
      <c r="Q79" s="100">
        <v>10</v>
      </c>
      <c r="R79" s="6"/>
      <c r="S79" s="6"/>
      <c r="T79" s="156"/>
      <c r="U79" s="6"/>
    </row>
    <row r="80" spans="1:21" customFormat="1">
      <c r="A80" s="163" t="s">
        <v>1559</v>
      </c>
      <c r="B80" s="100">
        <v>1.24</v>
      </c>
      <c r="C80" s="100">
        <v>2.0299999999999998</v>
      </c>
      <c r="D80" s="100">
        <v>0</v>
      </c>
      <c r="E80" s="100">
        <v>4.3499999999999996</v>
      </c>
      <c r="F80" s="100">
        <v>16.91</v>
      </c>
      <c r="G80" s="100">
        <v>27.08</v>
      </c>
      <c r="H80" s="100">
        <v>9.2899999999999991</v>
      </c>
      <c r="I80" s="100">
        <v>2.7</v>
      </c>
      <c r="J80" s="100">
        <v>1.1399999999999999</v>
      </c>
      <c r="K80" s="100">
        <v>303.39999999999998</v>
      </c>
      <c r="L80" s="100">
        <v>28.32</v>
      </c>
      <c r="M80" s="100">
        <v>67.87</v>
      </c>
      <c r="N80" s="100">
        <v>19.899999999999999</v>
      </c>
      <c r="O80" s="100">
        <v>0</v>
      </c>
      <c r="P80" s="100">
        <v>0.11</v>
      </c>
      <c r="Q80" s="100">
        <v>10</v>
      </c>
      <c r="R80" s="6"/>
      <c r="S80" s="6"/>
      <c r="T80" s="156"/>
      <c r="U80" s="6"/>
    </row>
    <row r="81" spans="1:21" customFormat="1">
      <c r="A81" s="163" t="s">
        <v>1560</v>
      </c>
      <c r="B81" s="100">
        <v>1.24</v>
      </c>
      <c r="C81" s="100">
        <v>2.0699999999999998</v>
      </c>
      <c r="D81" s="100">
        <v>7.0000000000000007E-2</v>
      </c>
      <c r="E81" s="100">
        <v>2.64</v>
      </c>
      <c r="F81" s="100">
        <v>12.18</v>
      </c>
      <c r="G81" s="100">
        <v>24.03</v>
      </c>
      <c r="H81" s="100">
        <v>7.38</v>
      </c>
      <c r="I81" s="100">
        <v>3.52</v>
      </c>
      <c r="J81" s="100">
        <v>0.7</v>
      </c>
      <c r="K81" s="100">
        <v>309.55</v>
      </c>
      <c r="L81" s="100">
        <v>28.34</v>
      </c>
      <c r="M81" s="100">
        <v>69.12</v>
      </c>
      <c r="N81" s="100">
        <v>19.2</v>
      </c>
      <c r="O81" s="100">
        <v>0</v>
      </c>
      <c r="P81" s="100">
        <v>0.16</v>
      </c>
      <c r="Q81" s="100">
        <v>10</v>
      </c>
      <c r="R81" s="6"/>
      <c r="S81" s="6"/>
      <c r="T81" s="156"/>
      <c r="U81" s="6"/>
    </row>
    <row r="82" spans="1:21" customFormat="1">
      <c r="A82" s="163" t="s">
        <v>1561</v>
      </c>
      <c r="B82" s="100">
        <v>1.24</v>
      </c>
      <c r="C82" s="100">
        <v>2.06</v>
      </c>
      <c r="D82" s="100">
        <v>0.05</v>
      </c>
      <c r="E82" s="100">
        <v>2.74</v>
      </c>
      <c r="F82" s="100">
        <v>9.6</v>
      </c>
      <c r="G82" s="100">
        <v>24.03</v>
      </c>
      <c r="H82" s="100">
        <v>7.38</v>
      </c>
      <c r="I82" s="100">
        <v>4.32</v>
      </c>
      <c r="J82" s="100">
        <v>0.71</v>
      </c>
      <c r="K82" s="100">
        <v>313.02999999999997</v>
      </c>
      <c r="L82" s="100">
        <v>28.41</v>
      </c>
      <c r="M82" s="100">
        <v>70.069999999999993</v>
      </c>
      <c r="N82" s="100">
        <v>9.9</v>
      </c>
      <c r="O82" s="100">
        <v>0</v>
      </c>
      <c r="P82" s="100">
        <v>0.2</v>
      </c>
      <c r="Q82" s="100">
        <v>10</v>
      </c>
      <c r="R82" s="6"/>
      <c r="S82" s="6"/>
      <c r="T82" s="156"/>
      <c r="U82" s="6"/>
    </row>
    <row r="83" spans="1:21" customFormat="1">
      <c r="A83" s="163" t="s">
        <v>1562</v>
      </c>
      <c r="B83" s="100">
        <v>1.24</v>
      </c>
      <c r="C83" s="100">
        <v>2.19</v>
      </c>
      <c r="D83" s="100">
        <v>0.32</v>
      </c>
      <c r="E83" s="100">
        <v>2.85</v>
      </c>
      <c r="F83" s="100">
        <v>4.24</v>
      </c>
      <c r="G83" s="100">
        <v>24.03</v>
      </c>
      <c r="H83" s="100">
        <v>7.38</v>
      </c>
      <c r="I83" s="100">
        <v>5.01</v>
      </c>
      <c r="J83" s="100">
        <v>0.22</v>
      </c>
      <c r="K83" s="100">
        <v>241.19</v>
      </c>
      <c r="L83" s="100">
        <v>28.41</v>
      </c>
      <c r="M83" s="100">
        <v>72.47</v>
      </c>
      <c r="N83" s="100">
        <v>3.9</v>
      </c>
      <c r="O83" s="100">
        <v>0</v>
      </c>
      <c r="P83" s="100">
        <v>0.21</v>
      </c>
      <c r="Q83" s="100">
        <v>10</v>
      </c>
      <c r="R83" s="6"/>
      <c r="S83" s="6"/>
      <c r="T83" s="156"/>
      <c r="U83" s="6"/>
    </row>
    <row r="84" spans="1:21" customFormat="1">
      <c r="A84" s="163" t="s">
        <v>1563</v>
      </c>
      <c r="B84" s="100">
        <v>1.24</v>
      </c>
      <c r="C84" s="100">
        <v>2.13</v>
      </c>
      <c r="D84" s="100">
        <v>0.19</v>
      </c>
      <c r="E84" s="100">
        <v>2.67</v>
      </c>
      <c r="F84" s="100">
        <v>4</v>
      </c>
      <c r="G84" s="100">
        <v>25.31</v>
      </c>
      <c r="H84" s="100">
        <v>7.96</v>
      </c>
      <c r="I84" s="100">
        <v>5.94</v>
      </c>
      <c r="J84" s="100">
        <v>0.15</v>
      </c>
      <c r="K84" s="100">
        <v>238.03</v>
      </c>
      <c r="L84" s="100">
        <v>28.3</v>
      </c>
      <c r="M84" s="100">
        <v>75.510000000000005</v>
      </c>
      <c r="N84" s="100">
        <v>2.2999999999999998</v>
      </c>
      <c r="O84" s="100">
        <v>0</v>
      </c>
      <c r="P84" s="100">
        <v>0.2</v>
      </c>
      <c r="Q84" s="100">
        <v>10</v>
      </c>
      <c r="R84" s="6"/>
      <c r="S84" s="6"/>
      <c r="T84" s="156"/>
      <c r="U84" s="6"/>
    </row>
    <row r="85" spans="1:21" customFormat="1">
      <c r="A85" s="163" t="s">
        <v>1564</v>
      </c>
      <c r="B85" s="100">
        <v>1.24</v>
      </c>
      <c r="C85" s="100">
        <v>2.29</v>
      </c>
      <c r="D85" s="100">
        <v>0.51</v>
      </c>
      <c r="E85" s="100">
        <v>2.82</v>
      </c>
      <c r="F85" s="100">
        <v>1.51</v>
      </c>
      <c r="G85" s="100">
        <v>30.79</v>
      </c>
      <c r="H85" s="100">
        <v>10.85</v>
      </c>
      <c r="I85" s="100">
        <v>6.4</v>
      </c>
      <c r="J85" s="100">
        <v>0.18</v>
      </c>
      <c r="K85" s="100">
        <v>182.62</v>
      </c>
      <c r="L85" s="100">
        <v>28.37</v>
      </c>
      <c r="M85" s="100">
        <v>76.86</v>
      </c>
      <c r="N85" s="100">
        <v>2.1</v>
      </c>
      <c r="O85" s="100">
        <v>0</v>
      </c>
      <c r="P85" s="100">
        <v>0.22</v>
      </c>
      <c r="Q85" s="100">
        <v>10</v>
      </c>
      <c r="R85" s="6"/>
      <c r="S85" s="6"/>
      <c r="T85" s="156"/>
      <c r="U85" s="6"/>
    </row>
    <row r="86" spans="1:21" customFormat="1">
      <c r="A86" s="163" t="s">
        <v>1565</v>
      </c>
      <c r="B86" s="100">
        <v>1.24</v>
      </c>
      <c r="C86" s="100">
        <v>2.1</v>
      </c>
      <c r="D86" s="100">
        <v>0.13</v>
      </c>
      <c r="E86" s="100">
        <v>2.81</v>
      </c>
      <c r="F86" s="100">
        <v>3.84</v>
      </c>
      <c r="G86" s="100">
        <v>30.79</v>
      </c>
      <c r="H86" s="100">
        <v>10.85</v>
      </c>
      <c r="I86" s="100">
        <v>6.09</v>
      </c>
      <c r="J86" s="100">
        <v>0.35</v>
      </c>
      <c r="K86" s="100">
        <v>161.6</v>
      </c>
      <c r="L86" s="100">
        <v>28.18</v>
      </c>
      <c r="M86" s="100">
        <v>79.06</v>
      </c>
      <c r="N86" s="100">
        <v>2.2999999999999998</v>
      </c>
      <c r="O86" s="100">
        <v>0</v>
      </c>
      <c r="P86" s="100">
        <v>0.23</v>
      </c>
      <c r="Q86" s="100">
        <v>10</v>
      </c>
      <c r="R86" s="6"/>
      <c r="S86" s="6"/>
      <c r="T86" s="156"/>
      <c r="U86" s="6"/>
    </row>
    <row r="87" spans="1:21" customFormat="1">
      <c r="A87" s="163" t="s">
        <v>1566</v>
      </c>
      <c r="B87" s="100">
        <v>1.24</v>
      </c>
      <c r="C87" s="100">
        <v>2.42</v>
      </c>
      <c r="D87" s="100">
        <v>0.75</v>
      </c>
      <c r="E87" s="100">
        <v>2.52</v>
      </c>
      <c r="F87" s="100">
        <v>5.27</v>
      </c>
      <c r="G87" s="100">
        <v>30.79</v>
      </c>
      <c r="H87" s="100">
        <v>10.85</v>
      </c>
      <c r="I87" s="100">
        <v>6.25</v>
      </c>
      <c r="J87" s="100">
        <v>0.15</v>
      </c>
      <c r="K87" s="100">
        <v>167.04</v>
      </c>
      <c r="L87" s="100">
        <v>27.98</v>
      </c>
      <c r="M87" s="100">
        <v>80.59</v>
      </c>
      <c r="N87" s="100">
        <v>2.2999999999999998</v>
      </c>
      <c r="O87" s="100">
        <v>0</v>
      </c>
      <c r="P87" s="100">
        <v>0.24</v>
      </c>
      <c r="Q87" s="100">
        <v>10</v>
      </c>
      <c r="R87" s="6"/>
      <c r="S87" s="6"/>
      <c r="T87" s="156"/>
      <c r="U87" s="6"/>
    </row>
    <row r="88" spans="1:21" customFormat="1">
      <c r="A88" s="163" t="s">
        <v>1567</v>
      </c>
      <c r="B88" s="100">
        <v>1.24</v>
      </c>
      <c r="C88" s="100">
        <v>2.85</v>
      </c>
      <c r="D88" s="100">
        <v>1.57</v>
      </c>
      <c r="E88" s="100">
        <v>2.08</v>
      </c>
      <c r="F88" s="100">
        <v>5.54</v>
      </c>
      <c r="G88" s="100">
        <v>30.95</v>
      </c>
      <c r="H88" s="100">
        <v>10.84</v>
      </c>
      <c r="I88" s="100">
        <v>6.52</v>
      </c>
      <c r="J88" s="100">
        <v>0.17</v>
      </c>
      <c r="K88" s="100">
        <v>188</v>
      </c>
      <c r="L88" s="100">
        <v>27.76</v>
      </c>
      <c r="M88" s="100">
        <v>83.7</v>
      </c>
      <c r="N88" s="100">
        <v>2.2999999999999998</v>
      </c>
      <c r="O88" s="100">
        <v>0</v>
      </c>
      <c r="P88" s="100">
        <v>0.24</v>
      </c>
      <c r="Q88" s="100">
        <v>10</v>
      </c>
      <c r="R88" s="6"/>
      <c r="S88" s="6"/>
      <c r="T88" s="156"/>
      <c r="U88" s="6"/>
    </row>
    <row r="89" spans="1:21" customFormat="1">
      <c r="A89" s="163" t="s">
        <v>1568</v>
      </c>
      <c r="B89" s="100">
        <v>1.24</v>
      </c>
      <c r="C89" s="100">
        <v>2.86</v>
      </c>
      <c r="D89" s="100">
        <v>1.58</v>
      </c>
      <c r="E89" s="100">
        <v>2.66</v>
      </c>
      <c r="F89" s="100">
        <v>3.56</v>
      </c>
      <c r="G89" s="100">
        <v>31.64</v>
      </c>
      <c r="H89" s="100">
        <v>10.79</v>
      </c>
      <c r="I89" s="100">
        <v>6.77</v>
      </c>
      <c r="J89" s="100">
        <v>0.11</v>
      </c>
      <c r="K89" s="100">
        <v>150.38999999999999</v>
      </c>
      <c r="L89" s="100">
        <v>27.75</v>
      </c>
      <c r="M89" s="100">
        <v>82.35</v>
      </c>
      <c r="N89" s="100">
        <v>2.1</v>
      </c>
      <c r="O89" s="100">
        <v>0</v>
      </c>
      <c r="P89" s="100">
        <v>0.23</v>
      </c>
      <c r="Q89" s="100">
        <v>10</v>
      </c>
      <c r="R89" s="6"/>
      <c r="S89" s="6"/>
      <c r="T89" s="156"/>
      <c r="U89" s="6"/>
    </row>
    <row r="90" spans="1:21" customFormat="1">
      <c r="A90" s="163" t="s">
        <v>1569</v>
      </c>
      <c r="B90" s="100">
        <v>1.24</v>
      </c>
      <c r="C90" s="100">
        <v>2.72</v>
      </c>
      <c r="D90" s="100">
        <v>1.32</v>
      </c>
      <c r="E90" s="100">
        <v>2.8</v>
      </c>
      <c r="F90" s="100">
        <v>4.1500000000000004</v>
      </c>
      <c r="G90" s="100">
        <v>31.64</v>
      </c>
      <c r="H90" s="100">
        <v>10.79</v>
      </c>
      <c r="I90" s="100">
        <v>6.88</v>
      </c>
      <c r="J90" s="100">
        <v>0.23</v>
      </c>
      <c r="K90" s="100">
        <v>151.38</v>
      </c>
      <c r="L90" s="100">
        <v>28</v>
      </c>
      <c r="M90" s="100">
        <v>82.14</v>
      </c>
      <c r="N90" s="100">
        <v>2</v>
      </c>
      <c r="O90" s="100">
        <v>0</v>
      </c>
      <c r="P90" s="100">
        <v>0.26</v>
      </c>
      <c r="Q90" s="100">
        <v>10</v>
      </c>
      <c r="R90" s="6"/>
      <c r="S90" s="6"/>
      <c r="T90" s="156"/>
      <c r="U90" s="6"/>
    </row>
    <row r="91" spans="1:21" customFormat="1">
      <c r="A91" s="163" t="s">
        <v>1570</v>
      </c>
      <c r="B91" s="100">
        <v>1.24</v>
      </c>
      <c r="C91" s="100">
        <v>2.89</v>
      </c>
      <c r="D91" s="100">
        <v>1.66</v>
      </c>
      <c r="E91" s="100">
        <v>2.72</v>
      </c>
      <c r="F91" s="100">
        <v>3.65</v>
      </c>
      <c r="G91" s="100">
        <v>31.64</v>
      </c>
      <c r="H91" s="100">
        <v>10.79</v>
      </c>
      <c r="I91" s="100">
        <v>6.71</v>
      </c>
      <c r="J91" s="100">
        <v>0.28000000000000003</v>
      </c>
      <c r="K91" s="100">
        <v>62.09</v>
      </c>
      <c r="L91" s="100">
        <v>28.31</v>
      </c>
      <c r="M91" s="100">
        <v>80.38</v>
      </c>
      <c r="N91" s="100">
        <v>1.8</v>
      </c>
      <c r="O91" s="100">
        <v>0</v>
      </c>
      <c r="P91" s="100">
        <v>0.31</v>
      </c>
      <c r="Q91" s="100">
        <v>10</v>
      </c>
      <c r="R91" s="6"/>
      <c r="S91" s="6"/>
      <c r="T91" s="156"/>
      <c r="U91" s="6"/>
    </row>
    <row r="92" spans="1:21" customFormat="1">
      <c r="A92" s="163" t="s">
        <v>1571</v>
      </c>
      <c r="B92" s="100">
        <v>1.31</v>
      </c>
      <c r="C92" s="100">
        <v>3.36</v>
      </c>
      <c r="D92" s="100">
        <v>2.44</v>
      </c>
      <c r="E92" s="100">
        <v>2.67</v>
      </c>
      <c r="F92" s="100">
        <v>2.61</v>
      </c>
      <c r="G92" s="100">
        <v>32.590000000000003</v>
      </c>
      <c r="H92" s="100">
        <v>11.04</v>
      </c>
      <c r="I92" s="100">
        <v>7.26</v>
      </c>
      <c r="J92" s="100">
        <v>0.25</v>
      </c>
      <c r="K92" s="100">
        <v>61.58</v>
      </c>
      <c r="L92" s="100">
        <v>28.34</v>
      </c>
      <c r="M92" s="100">
        <v>80.34</v>
      </c>
      <c r="N92" s="100">
        <v>2.1</v>
      </c>
      <c r="O92" s="100">
        <v>0</v>
      </c>
      <c r="P92" s="100">
        <v>0.28000000000000003</v>
      </c>
      <c r="Q92" s="100">
        <v>10</v>
      </c>
      <c r="R92" s="6"/>
      <c r="S92" s="6"/>
      <c r="T92" s="156"/>
      <c r="U92" s="6"/>
    </row>
    <row r="93" spans="1:21" customFormat="1">
      <c r="A93" s="163" t="s">
        <v>1572</v>
      </c>
      <c r="B93" s="100">
        <v>1.35</v>
      </c>
      <c r="C93" s="100">
        <v>3.34</v>
      </c>
      <c r="D93" s="100">
        <v>2.33</v>
      </c>
      <c r="E93" s="100">
        <v>2.61</v>
      </c>
      <c r="F93" s="100">
        <v>1.35</v>
      </c>
      <c r="G93" s="100">
        <v>36.68</v>
      </c>
      <c r="H93" s="100">
        <v>11.8</v>
      </c>
      <c r="I93" s="100">
        <v>7.7</v>
      </c>
      <c r="J93" s="100">
        <v>0.31</v>
      </c>
      <c r="K93" s="100">
        <v>54.6</v>
      </c>
      <c r="L93" s="100">
        <v>28.23</v>
      </c>
      <c r="M93" s="100">
        <v>81.27</v>
      </c>
      <c r="N93" s="100">
        <v>2.2000000000000002</v>
      </c>
      <c r="O93" s="100">
        <v>0</v>
      </c>
      <c r="P93" s="100">
        <v>0.32</v>
      </c>
      <c r="Q93" s="100">
        <v>10</v>
      </c>
      <c r="R93" s="6"/>
      <c r="S93" s="6"/>
      <c r="T93" s="156"/>
      <c r="U93" s="6"/>
    </row>
    <row r="94" spans="1:21" customFormat="1">
      <c r="A94" s="163" t="s">
        <v>1573</v>
      </c>
      <c r="B94" s="100">
        <v>1.28</v>
      </c>
      <c r="C94" s="100">
        <v>2.96</v>
      </c>
      <c r="D94" s="100">
        <v>1.73</v>
      </c>
      <c r="E94" s="100">
        <v>2.66</v>
      </c>
      <c r="F94" s="100">
        <v>1.52</v>
      </c>
      <c r="G94" s="100">
        <v>36.68</v>
      </c>
      <c r="H94" s="100">
        <v>11.8</v>
      </c>
      <c r="I94" s="100">
        <v>7.67</v>
      </c>
      <c r="J94" s="100">
        <v>0.16</v>
      </c>
      <c r="K94" s="100">
        <v>138.55000000000001</v>
      </c>
      <c r="L94" s="100">
        <v>28.14</v>
      </c>
      <c r="M94" s="100">
        <v>83</v>
      </c>
      <c r="N94" s="100">
        <v>2.2999999999999998</v>
      </c>
      <c r="O94" s="100">
        <v>0</v>
      </c>
      <c r="P94" s="100">
        <v>0.33</v>
      </c>
      <c r="Q94" s="100">
        <v>10</v>
      </c>
      <c r="R94" s="6"/>
      <c r="S94" s="6"/>
      <c r="T94" s="156"/>
      <c r="U94" s="6"/>
    </row>
    <row r="95" spans="1:21" customFormat="1">
      <c r="A95" s="163" t="s">
        <v>1574</v>
      </c>
      <c r="B95" s="100">
        <v>1.26</v>
      </c>
      <c r="C95" s="100">
        <v>3.14</v>
      </c>
      <c r="D95" s="100">
        <v>2.1</v>
      </c>
      <c r="E95" s="100">
        <v>2.93</v>
      </c>
      <c r="F95" s="100">
        <v>2.57</v>
      </c>
      <c r="G95" s="100">
        <v>36.68</v>
      </c>
      <c r="H95" s="100">
        <v>11.8</v>
      </c>
      <c r="I95" s="100">
        <v>7.8</v>
      </c>
      <c r="J95" s="100">
        <v>0.2</v>
      </c>
      <c r="K95" s="100">
        <v>157.51</v>
      </c>
      <c r="L95" s="100">
        <v>27.87</v>
      </c>
      <c r="M95" s="100">
        <v>86.28</v>
      </c>
      <c r="N95" s="100">
        <v>2.2999999999999998</v>
      </c>
      <c r="O95" s="100">
        <v>0</v>
      </c>
      <c r="P95" s="100">
        <v>0.28999999999999998</v>
      </c>
      <c r="Q95" s="100">
        <v>10</v>
      </c>
      <c r="R95" s="6"/>
      <c r="S95" s="6"/>
      <c r="T95" s="156"/>
      <c r="U95" s="6"/>
    </row>
    <row r="96" spans="1:21" customFormat="1">
      <c r="A96" s="163" t="s">
        <v>1575</v>
      </c>
      <c r="B96" s="100">
        <v>1.35</v>
      </c>
      <c r="C96" s="100">
        <v>3.43</v>
      </c>
      <c r="D96" s="100">
        <v>2.5099999999999998</v>
      </c>
      <c r="E96" s="100">
        <v>2.68</v>
      </c>
      <c r="F96" s="100">
        <v>1.63</v>
      </c>
      <c r="G96" s="100">
        <v>39.35</v>
      </c>
      <c r="H96" s="100">
        <v>12.47</v>
      </c>
      <c r="I96" s="100">
        <v>8.14</v>
      </c>
      <c r="J96" s="100">
        <v>0.32</v>
      </c>
      <c r="K96" s="100">
        <v>156.19999999999999</v>
      </c>
      <c r="L96" s="100">
        <v>27.87</v>
      </c>
      <c r="M96" s="100">
        <v>86.02</v>
      </c>
      <c r="N96" s="100">
        <v>2.1</v>
      </c>
      <c r="O96" s="100">
        <v>0</v>
      </c>
      <c r="P96" s="100">
        <v>0.32</v>
      </c>
      <c r="Q96" s="100">
        <v>10</v>
      </c>
      <c r="R96" s="6"/>
      <c r="S96" s="6"/>
      <c r="T96" s="156"/>
      <c r="U96" s="6"/>
    </row>
    <row r="97" spans="1:28" customFormat="1">
      <c r="A97" s="163" t="s">
        <v>1576</v>
      </c>
      <c r="B97" s="100">
        <v>1.28</v>
      </c>
      <c r="C97" s="100">
        <v>3.2</v>
      </c>
      <c r="D97" s="100">
        <v>2.17</v>
      </c>
      <c r="E97" s="100">
        <v>2.65</v>
      </c>
      <c r="F97" s="100">
        <v>1.33</v>
      </c>
      <c r="G97" s="100">
        <v>50.81</v>
      </c>
      <c r="H97" s="100">
        <v>14.58</v>
      </c>
      <c r="I97" s="100">
        <v>7.76</v>
      </c>
      <c r="J97" s="100">
        <v>0.27</v>
      </c>
      <c r="K97" s="100">
        <v>168.95</v>
      </c>
      <c r="L97" s="100">
        <v>27.68</v>
      </c>
      <c r="M97" s="100">
        <v>88.44</v>
      </c>
      <c r="N97" s="100">
        <v>2.2999999999999998</v>
      </c>
      <c r="O97" s="100">
        <v>0</v>
      </c>
      <c r="P97" s="100">
        <v>0.32</v>
      </c>
      <c r="Q97" s="100">
        <v>10</v>
      </c>
      <c r="R97" s="6"/>
      <c r="S97" s="6"/>
      <c r="T97" s="156"/>
      <c r="U97" s="6"/>
    </row>
    <row r="98" spans="1:28" customFormat="1">
      <c r="A98" s="163" t="s">
        <v>1577</v>
      </c>
      <c r="B98" s="100">
        <v>1.41</v>
      </c>
      <c r="C98" s="100">
        <v>3.51</v>
      </c>
      <c r="D98" s="100">
        <v>2.58</v>
      </c>
      <c r="E98" s="100">
        <v>2.72</v>
      </c>
      <c r="F98" s="100">
        <v>2.64</v>
      </c>
      <c r="G98" s="100">
        <v>50.81</v>
      </c>
      <c r="H98" s="100">
        <v>14.58</v>
      </c>
      <c r="I98" s="100">
        <v>7.89</v>
      </c>
      <c r="J98" s="100">
        <v>0.11</v>
      </c>
      <c r="K98" s="100">
        <v>156.25</v>
      </c>
      <c r="L98" s="100">
        <v>27.38</v>
      </c>
      <c r="M98" s="100">
        <v>90.34</v>
      </c>
      <c r="N98" s="100">
        <v>1.9</v>
      </c>
      <c r="O98" s="100">
        <v>0</v>
      </c>
      <c r="P98" s="100">
        <v>0.3</v>
      </c>
      <c r="Q98" s="100">
        <v>10</v>
      </c>
      <c r="R98" s="6"/>
      <c r="S98" s="6"/>
      <c r="T98" s="156"/>
      <c r="U98" s="6"/>
    </row>
    <row r="99" spans="1:28" customFormat="1">
      <c r="A99" s="163" t="s">
        <v>1578</v>
      </c>
      <c r="B99" s="100">
        <v>1.46</v>
      </c>
      <c r="C99" s="100">
        <v>3.34</v>
      </c>
      <c r="D99" s="100">
        <v>2.17</v>
      </c>
      <c r="E99" s="100">
        <v>2.71</v>
      </c>
      <c r="F99" s="100">
        <v>2.15</v>
      </c>
      <c r="G99" s="100">
        <v>50.81</v>
      </c>
      <c r="H99" s="100">
        <v>14.58</v>
      </c>
      <c r="I99" s="100">
        <v>8.1</v>
      </c>
      <c r="J99" s="100">
        <v>0.12</v>
      </c>
      <c r="K99" s="100">
        <v>99.54</v>
      </c>
      <c r="L99" s="100">
        <v>27.32</v>
      </c>
      <c r="M99" s="100">
        <v>91.27</v>
      </c>
      <c r="N99" s="100">
        <v>1.8</v>
      </c>
      <c r="O99" s="100">
        <v>0</v>
      </c>
      <c r="P99" s="100">
        <v>0.31</v>
      </c>
      <c r="Q99" s="100">
        <v>10</v>
      </c>
      <c r="R99" s="6"/>
      <c r="S99" s="6"/>
      <c r="T99" s="156"/>
      <c r="U99" s="6"/>
    </row>
    <row r="100" spans="1:28" customFormat="1">
      <c r="A100" s="163" t="s">
        <v>1579</v>
      </c>
      <c r="B100" s="100">
        <v>1.75</v>
      </c>
      <c r="C100" s="100">
        <v>3.85</v>
      </c>
      <c r="D100" s="100">
        <v>2.71</v>
      </c>
      <c r="E100" s="100">
        <v>2.86</v>
      </c>
      <c r="F100" s="100">
        <v>2.08</v>
      </c>
      <c r="G100" s="100">
        <v>50.95</v>
      </c>
      <c r="H100" s="100">
        <v>14.92</v>
      </c>
      <c r="I100" s="100">
        <v>7.91</v>
      </c>
      <c r="J100" s="100">
        <v>0.19</v>
      </c>
      <c r="K100" s="100">
        <v>71.64</v>
      </c>
      <c r="L100" s="100">
        <v>27.33</v>
      </c>
      <c r="M100" s="100">
        <v>91.31</v>
      </c>
      <c r="N100" s="100">
        <v>1.7</v>
      </c>
      <c r="O100" s="100">
        <v>0</v>
      </c>
      <c r="P100" s="100">
        <v>0.32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1580</v>
      </c>
      <c r="B101" s="100">
        <v>2.1800000000000002</v>
      </c>
      <c r="C101" s="100">
        <v>4.43</v>
      </c>
      <c r="D101" s="100">
        <v>3.15</v>
      </c>
      <c r="E101" s="100">
        <v>2.65</v>
      </c>
      <c r="F101" s="100">
        <v>1.24</v>
      </c>
      <c r="G101" s="100">
        <v>51.56</v>
      </c>
      <c r="H101" s="100">
        <v>16.64</v>
      </c>
      <c r="I101" s="100">
        <v>7.81</v>
      </c>
      <c r="J101" s="100">
        <v>0.3</v>
      </c>
      <c r="K101" s="100">
        <v>52.75</v>
      </c>
      <c r="L101" s="100">
        <v>27.35</v>
      </c>
      <c r="M101" s="100">
        <v>91.21</v>
      </c>
      <c r="N101" s="100">
        <v>1.8</v>
      </c>
      <c r="O101" s="100">
        <v>0</v>
      </c>
      <c r="P101" s="100">
        <v>0.31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1581</v>
      </c>
      <c r="B102" s="100">
        <v>2.2599999999999998</v>
      </c>
      <c r="C102" s="100">
        <v>4.5</v>
      </c>
      <c r="D102" s="100">
        <v>3.16</v>
      </c>
      <c r="E102" s="100">
        <v>3.15</v>
      </c>
      <c r="F102" s="100">
        <v>1.69</v>
      </c>
      <c r="G102" s="100">
        <v>51.56</v>
      </c>
      <c r="H102" s="100">
        <v>16.64</v>
      </c>
      <c r="I102" s="100">
        <v>7.9</v>
      </c>
      <c r="J102" s="100">
        <v>0.38</v>
      </c>
      <c r="K102" s="100">
        <v>56.55</v>
      </c>
      <c r="L102" s="100">
        <v>27.25</v>
      </c>
      <c r="M102" s="100">
        <v>90.93</v>
      </c>
      <c r="N102" s="100">
        <v>2.1</v>
      </c>
      <c r="O102" s="100">
        <v>0</v>
      </c>
      <c r="P102" s="100">
        <v>0.32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1582</v>
      </c>
      <c r="B103" s="100">
        <v>2.16</v>
      </c>
      <c r="C103" s="100">
        <v>4.41</v>
      </c>
      <c r="D103" s="100">
        <v>3.15</v>
      </c>
      <c r="E103" s="100">
        <v>3.09</v>
      </c>
      <c r="F103" s="100">
        <v>2.2000000000000002</v>
      </c>
      <c r="G103" s="100">
        <v>51.56</v>
      </c>
      <c r="H103" s="100">
        <v>16.64</v>
      </c>
      <c r="I103" s="100">
        <v>7.98</v>
      </c>
      <c r="J103" s="100">
        <v>0.16</v>
      </c>
      <c r="K103" s="100">
        <v>171.58</v>
      </c>
      <c r="L103" s="100">
        <v>27</v>
      </c>
      <c r="M103" s="100">
        <v>92.96</v>
      </c>
      <c r="N103" s="100">
        <v>2.2000000000000002</v>
      </c>
      <c r="O103" s="100">
        <v>0.2</v>
      </c>
      <c r="P103" s="100">
        <v>0.31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1583</v>
      </c>
      <c r="B104" s="100">
        <v>1.87</v>
      </c>
      <c r="C104" s="100">
        <v>4</v>
      </c>
      <c r="D104" s="100">
        <v>2.8</v>
      </c>
      <c r="E104" s="100">
        <v>3.07</v>
      </c>
      <c r="F104" s="100">
        <v>2.87</v>
      </c>
      <c r="G104" s="100">
        <v>51.59</v>
      </c>
      <c r="H104" s="100">
        <v>16.37</v>
      </c>
      <c r="I104" s="100">
        <v>7.82</v>
      </c>
      <c r="J104" s="100">
        <v>0.22</v>
      </c>
      <c r="K104" s="100">
        <v>157.1</v>
      </c>
      <c r="L104" s="100">
        <v>26.79</v>
      </c>
      <c r="M104" s="100">
        <v>94.82</v>
      </c>
      <c r="N104" s="100">
        <v>2.1</v>
      </c>
      <c r="O104" s="100">
        <v>0</v>
      </c>
      <c r="P104" s="100">
        <v>0.3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2.0299999999999998</v>
      </c>
      <c r="D106" s="158">
        <f t="shared" ref="D106:Q106" si="0">MIN(D9:D104)</f>
        <v>0</v>
      </c>
      <c r="E106" s="158">
        <f t="shared" si="0"/>
        <v>2.08</v>
      </c>
      <c r="F106" s="158">
        <f t="shared" si="0"/>
        <v>1.08</v>
      </c>
      <c r="G106" s="158">
        <f t="shared" si="0"/>
        <v>19.149999999999999</v>
      </c>
      <c r="H106" s="158">
        <f t="shared" si="0"/>
        <v>4.1500000000000004</v>
      </c>
      <c r="I106" s="158">
        <f t="shared" si="0"/>
        <v>2.29</v>
      </c>
      <c r="J106" s="158">
        <f t="shared" si="0"/>
        <v>0.11</v>
      </c>
      <c r="K106" s="158">
        <f t="shared" si="0"/>
        <v>52.75</v>
      </c>
      <c r="L106" s="158">
        <f t="shared" si="0"/>
        <v>26.79</v>
      </c>
      <c r="M106" s="158">
        <f t="shared" si="0"/>
        <v>64.8</v>
      </c>
      <c r="N106" s="158">
        <f t="shared" si="0"/>
        <v>1.7</v>
      </c>
      <c r="O106" s="158">
        <f t="shared" si="0"/>
        <v>0</v>
      </c>
      <c r="P106" s="158">
        <f t="shared" si="0"/>
        <v>7.0000000000000007E-2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2.2599999999999998</v>
      </c>
      <c r="C107" s="157">
        <f t="shared" ref="C107:Q107" si="1">MAX(C9:C104)</f>
        <v>4.5</v>
      </c>
      <c r="D107" s="157">
        <f t="shared" si="1"/>
        <v>3.27</v>
      </c>
      <c r="E107" s="157">
        <f t="shared" si="1"/>
        <v>7.47</v>
      </c>
      <c r="F107" s="157">
        <f t="shared" si="1"/>
        <v>36.659999999999997</v>
      </c>
      <c r="G107" s="157">
        <f t="shared" si="1"/>
        <v>51.59</v>
      </c>
      <c r="H107" s="157">
        <f t="shared" si="1"/>
        <v>16.64</v>
      </c>
      <c r="I107" s="157">
        <f t="shared" si="1"/>
        <v>8.14</v>
      </c>
      <c r="J107" s="157">
        <f t="shared" si="1"/>
        <v>1.33</v>
      </c>
      <c r="K107" s="157">
        <f t="shared" si="1"/>
        <v>313.02999999999997</v>
      </c>
      <c r="L107" s="157">
        <f t="shared" si="1"/>
        <v>32.1</v>
      </c>
      <c r="M107" s="157">
        <f t="shared" si="1"/>
        <v>94.82</v>
      </c>
      <c r="N107" s="157">
        <f t="shared" si="1"/>
        <v>314.5</v>
      </c>
      <c r="O107" s="157">
        <f t="shared" si="1"/>
        <v>0.2</v>
      </c>
      <c r="P107" s="157">
        <f t="shared" si="1"/>
        <v>0.33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1.3180208333333319</v>
      </c>
      <c r="C108" s="158">
        <f t="shared" ref="C108:Q108" si="2">AVERAGE(C9:C104)</f>
        <v>2.9512499999999999</v>
      </c>
      <c r="D108" s="158">
        <f t="shared" si="2"/>
        <v>1.6433333333333333</v>
      </c>
      <c r="E108" s="158">
        <f t="shared" si="2"/>
        <v>4.6331249999999988</v>
      </c>
      <c r="F108" s="158">
        <f t="shared" si="2"/>
        <v>9.8664583333333358</v>
      </c>
      <c r="G108" s="158">
        <f t="shared" si="2"/>
        <v>28.889062499999984</v>
      </c>
      <c r="H108" s="158">
        <f t="shared" si="2"/>
        <v>9.8806249999999913</v>
      </c>
      <c r="I108" s="158">
        <f t="shared" si="2"/>
        <v>5.2462499999999972</v>
      </c>
      <c r="J108" s="158">
        <f t="shared" si="2"/>
        <v>0.43124999999999997</v>
      </c>
      <c r="K108" s="158">
        <f t="shared" si="2"/>
        <v>229.40458333333325</v>
      </c>
      <c r="L108" s="158">
        <f t="shared" si="2"/>
        <v>28.728020833333332</v>
      </c>
      <c r="M108" s="158">
        <f t="shared" si="2"/>
        <v>78.450937500000023</v>
      </c>
      <c r="N108" s="158">
        <f t="shared" si="2"/>
        <v>82.168750000000031</v>
      </c>
      <c r="O108" s="158">
        <f t="shared" si="2"/>
        <v>2.0833333333333333E-3</v>
      </c>
      <c r="P108" s="158">
        <f t="shared" si="2"/>
        <v>0.19354166666666664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0.18830333754298459</v>
      </c>
      <c r="C109" s="158">
        <f t="shared" ref="C109:Q109" si="3">STDEV(C9:C104)</f>
        <v>0.69820861005712032</v>
      </c>
      <c r="D109" s="158">
        <f t="shared" si="3"/>
        <v>1.1818947024668907</v>
      </c>
      <c r="E109" s="158">
        <f t="shared" si="3"/>
        <v>1.3258826752096344</v>
      </c>
      <c r="F109" s="158">
        <f t="shared" si="3"/>
        <v>10.294419129766286</v>
      </c>
      <c r="G109" s="158">
        <f t="shared" si="3"/>
        <v>8.2367567810235691</v>
      </c>
      <c r="H109" s="158">
        <f t="shared" si="3"/>
        <v>3.0609891117260455</v>
      </c>
      <c r="I109" s="158">
        <f t="shared" si="3"/>
        <v>1.4789564243963356</v>
      </c>
      <c r="J109" s="158">
        <f t="shared" si="3"/>
        <v>0.22052688104437057</v>
      </c>
      <c r="K109" s="158">
        <f t="shared" si="3"/>
        <v>58.587448429751589</v>
      </c>
      <c r="L109" s="158">
        <f t="shared" si="3"/>
        <v>1.5535857469884351</v>
      </c>
      <c r="M109" s="158">
        <f t="shared" si="3"/>
        <v>8.2130841797350556</v>
      </c>
      <c r="N109" s="158">
        <f t="shared" si="3"/>
        <v>101.38867404046769</v>
      </c>
      <c r="O109" s="158">
        <f t="shared" si="3"/>
        <v>2.0412414523193152E-2</v>
      </c>
      <c r="P109" s="158">
        <f t="shared" si="3"/>
        <v>6.5582076605806144E-2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2" sqref="I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1584</v>
      </c>
      <c r="B9" s="100">
        <v>3.09</v>
      </c>
      <c r="C9" s="100">
        <v>5.32</v>
      </c>
      <c r="D9" s="100">
        <v>3.46</v>
      </c>
      <c r="E9" s="100">
        <v>3.3</v>
      </c>
      <c r="F9" s="100">
        <v>2.5099999999999998</v>
      </c>
      <c r="G9" s="100">
        <v>51.75</v>
      </c>
      <c r="H9" s="100">
        <v>15.53</v>
      </c>
      <c r="I9" s="100">
        <v>7.58</v>
      </c>
      <c r="J9" s="100">
        <v>0.08</v>
      </c>
      <c r="K9" s="100">
        <v>179.69</v>
      </c>
      <c r="L9" s="100">
        <v>26.78</v>
      </c>
      <c r="M9" s="100">
        <v>95.59</v>
      </c>
      <c r="N9" s="100">
        <v>2</v>
      </c>
      <c r="O9" s="100">
        <v>0</v>
      </c>
      <c r="P9" s="100">
        <v>0.31</v>
      </c>
      <c r="Q9" s="100">
        <v>10</v>
      </c>
      <c r="R9" s="6"/>
      <c r="S9" s="6"/>
      <c r="T9" s="156"/>
      <c r="U9" s="6"/>
    </row>
    <row r="10" spans="1:21" customFormat="1">
      <c r="A10" s="163" t="s">
        <v>1585</v>
      </c>
      <c r="B10" s="100">
        <v>2.41</v>
      </c>
      <c r="C10" s="100">
        <v>4.22</v>
      </c>
      <c r="D10" s="100">
        <v>2.39</v>
      </c>
      <c r="E10" s="100">
        <v>3.38</v>
      </c>
      <c r="F10" s="100">
        <v>2.33</v>
      </c>
      <c r="G10" s="100">
        <v>51.75</v>
      </c>
      <c r="H10" s="100">
        <v>15.53</v>
      </c>
      <c r="I10" s="100">
        <v>7.58</v>
      </c>
      <c r="J10" s="100">
        <v>0.08</v>
      </c>
      <c r="K10" s="100">
        <v>172.3</v>
      </c>
      <c r="L10" s="100">
        <v>26.8</v>
      </c>
      <c r="M10" s="100">
        <v>95.73</v>
      </c>
      <c r="N10" s="100">
        <v>2</v>
      </c>
      <c r="O10" s="100">
        <v>0</v>
      </c>
      <c r="P10" s="100">
        <v>0.31</v>
      </c>
      <c r="Q10" s="100">
        <v>10</v>
      </c>
      <c r="R10" s="6"/>
      <c r="S10" s="6"/>
      <c r="T10" s="156"/>
      <c r="U10" s="6"/>
    </row>
    <row r="11" spans="1:21" customFormat="1">
      <c r="A11" s="163" t="s">
        <v>1586</v>
      </c>
      <c r="B11" s="100">
        <v>2.27</v>
      </c>
      <c r="C11" s="100">
        <v>3.93</v>
      </c>
      <c r="D11" s="100">
        <v>2.06</v>
      </c>
      <c r="E11" s="100">
        <v>3.47</v>
      </c>
      <c r="F11" s="100">
        <v>1.45</v>
      </c>
      <c r="G11" s="100">
        <v>51.75</v>
      </c>
      <c r="H11" s="100">
        <v>15.53</v>
      </c>
      <c r="I11" s="100">
        <v>7.65</v>
      </c>
      <c r="J11" s="100">
        <v>7.0000000000000007E-2</v>
      </c>
      <c r="K11" s="100">
        <v>211.71</v>
      </c>
      <c r="L11" s="100">
        <v>26.73</v>
      </c>
      <c r="M11" s="100">
        <v>95.78</v>
      </c>
      <c r="N11" s="100">
        <v>2.2000000000000002</v>
      </c>
      <c r="O11" s="100">
        <v>0</v>
      </c>
      <c r="P11" s="100">
        <v>0.31</v>
      </c>
      <c r="Q11" s="100">
        <v>10</v>
      </c>
      <c r="R11" s="6"/>
      <c r="S11" s="6"/>
      <c r="T11" s="156"/>
      <c r="U11" s="6"/>
    </row>
    <row r="12" spans="1:21" customFormat="1">
      <c r="A12" s="163" t="s">
        <v>1587</v>
      </c>
      <c r="B12" s="100">
        <v>2.5099999999999998</v>
      </c>
      <c r="C12" s="100">
        <v>4.3499999999999996</v>
      </c>
      <c r="D12" s="100">
        <v>2.4900000000000002</v>
      </c>
      <c r="E12" s="100">
        <v>3.42</v>
      </c>
      <c r="F12" s="100">
        <v>1.98</v>
      </c>
      <c r="G12" s="100">
        <v>51.36</v>
      </c>
      <c r="H12" s="100">
        <v>16.25</v>
      </c>
      <c r="I12" s="100">
        <v>7.51</v>
      </c>
      <c r="J12" s="100">
        <v>0.13</v>
      </c>
      <c r="K12" s="100">
        <v>136.9</v>
      </c>
      <c r="L12" s="100">
        <v>26.78</v>
      </c>
      <c r="M12" s="100">
        <v>95.86</v>
      </c>
      <c r="N12" s="100">
        <v>2.1</v>
      </c>
      <c r="O12" s="100">
        <v>0</v>
      </c>
      <c r="P12" s="100">
        <v>0.32</v>
      </c>
      <c r="Q12" s="100">
        <v>10</v>
      </c>
      <c r="R12" s="6"/>
      <c r="S12" s="6"/>
      <c r="T12" s="156"/>
      <c r="U12" s="6"/>
    </row>
    <row r="13" spans="1:21" customFormat="1">
      <c r="A13" s="163" t="s">
        <v>1588</v>
      </c>
      <c r="B13" s="100">
        <v>2.62</v>
      </c>
      <c r="C13" s="100">
        <v>4.42</v>
      </c>
      <c r="D13" s="100">
        <v>2.4500000000000002</v>
      </c>
      <c r="E13" s="100">
        <v>3.57</v>
      </c>
      <c r="F13" s="100">
        <v>2.2400000000000002</v>
      </c>
      <c r="G13" s="100">
        <v>49.69</v>
      </c>
      <c r="H13" s="100">
        <v>18.489999999999998</v>
      </c>
      <c r="I13" s="100">
        <v>7.47</v>
      </c>
      <c r="J13" s="100">
        <v>0.3</v>
      </c>
      <c r="K13" s="100">
        <v>32.94</v>
      </c>
      <c r="L13" s="100">
        <v>26.89</v>
      </c>
      <c r="M13" s="100">
        <v>95.62</v>
      </c>
      <c r="N13" s="100">
        <v>2.1</v>
      </c>
      <c r="O13" s="100">
        <v>0</v>
      </c>
      <c r="P13" s="100">
        <v>0.31</v>
      </c>
      <c r="Q13" s="100">
        <v>10</v>
      </c>
      <c r="R13" s="6"/>
      <c r="S13" s="6"/>
      <c r="T13" s="156"/>
      <c r="U13" s="6"/>
    </row>
    <row r="14" spans="1:21" customFormat="1">
      <c r="A14" s="163" t="s">
        <v>1589</v>
      </c>
      <c r="B14" s="100">
        <v>2.59</v>
      </c>
      <c r="C14" s="100">
        <v>4.3600000000000003</v>
      </c>
      <c r="D14" s="100">
        <v>2.38</v>
      </c>
      <c r="E14" s="100">
        <v>3.62</v>
      </c>
      <c r="F14" s="100">
        <v>2.41</v>
      </c>
      <c r="G14" s="100">
        <v>49.69</v>
      </c>
      <c r="H14" s="100">
        <v>18.489999999999998</v>
      </c>
      <c r="I14" s="100">
        <v>7.41</v>
      </c>
      <c r="J14" s="100">
        <v>0.26</v>
      </c>
      <c r="K14" s="100">
        <v>44.45</v>
      </c>
      <c r="L14" s="100">
        <v>26.87</v>
      </c>
      <c r="M14" s="100">
        <v>95.84</v>
      </c>
      <c r="N14" s="100">
        <v>2.1</v>
      </c>
      <c r="O14" s="100">
        <v>0</v>
      </c>
      <c r="P14" s="100">
        <v>0.31</v>
      </c>
      <c r="Q14" s="100">
        <v>10</v>
      </c>
      <c r="R14" s="6"/>
      <c r="S14" s="6"/>
      <c r="T14" s="156"/>
      <c r="U14" s="6"/>
    </row>
    <row r="15" spans="1:21" customFormat="1">
      <c r="A15" s="163" t="s">
        <v>1590</v>
      </c>
      <c r="B15" s="100">
        <v>2.85</v>
      </c>
      <c r="C15" s="100">
        <v>4.62</v>
      </c>
      <c r="D15" s="100">
        <v>2.5</v>
      </c>
      <c r="E15" s="100">
        <v>2.97</v>
      </c>
      <c r="F15" s="100">
        <v>1.1200000000000001</v>
      </c>
      <c r="G15" s="100">
        <v>49.69</v>
      </c>
      <c r="H15" s="100">
        <v>18.489999999999998</v>
      </c>
      <c r="I15" s="100">
        <v>7.34</v>
      </c>
      <c r="J15" s="100">
        <v>0.14000000000000001</v>
      </c>
      <c r="K15" s="100">
        <v>170.11</v>
      </c>
      <c r="L15" s="100">
        <v>26.91</v>
      </c>
      <c r="M15" s="100">
        <v>95.88</v>
      </c>
      <c r="N15" s="100">
        <v>2.2999999999999998</v>
      </c>
      <c r="O15" s="100">
        <v>0</v>
      </c>
      <c r="P15" s="100">
        <v>0.31</v>
      </c>
      <c r="Q15" s="100">
        <v>10</v>
      </c>
      <c r="R15" s="6"/>
      <c r="S15" s="6"/>
      <c r="T15" s="156"/>
      <c r="U15" s="6"/>
    </row>
    <row r="16" spans="1:21" customFormat="1">
      <c r="A16" s="163" t="s">
        <v>1591</v>
      </c>
      <c r="B16" s="100">
        <v>2.98</v>
      </c>
      <c r="C16" s="100">
        <v>4.8</v>
      </c>
      <c r="D16" s="100">
        <v>2.62</v>
      </c>
      <c r="E16" s="100">
        <v>3.94</v>
      </c>
      <c r="F16" s="100">
        <v>1.35</v>
      </c>
      <c r="G16" s="100">
        <v>50.28</v>
      </c>
      <c r="H16" s="100">
        <v>18.61</v>
      </c>
      <c r="I16" s="100">
        <v>7.27</v>
      </c>
      <c r="J16" s="100">
        <v>0.11</v>
      </c>
      <c r="K16" s="100">
        <v>143.96</v>
      </c>
      <c r="L16" s="100">
        <v>26.87</v>
      </c>
      <c r="M16" s="100">
        <v>96.2</v>
      </c>
      <c r="N16" s="100">
        <v>2.2000000000000002</v>
      </c>
      <c r="O16" s="100">
        <v>0</v>
      </c>
      <c r="P16" s="100">
        <v>0.31</v>
      </c>
      <c r="Q16" s="100">
        <v>10</v>
      </c>
      <c r="R16" s="6"/>
      <c r="S16" s="6"/>
      <c r="T16" s="156"/>
      <c r="U16" s="6"/>
    </row>
    <row r="17" spans="1:21" customFormat="1">
      <c r="A17" s="163" t="s">
        <v>1592</v>
      </c>
      <c r="B17" s="100">
        <v>3.27</v>
      </c>
      <c r="C17" s="100">
        <v>5.2</v>
      </c>
      <c r="D17" s="100">
        <v>2.95</v>
      </c>
      <c r="E17" s="100">
        <v>4.25</v>
      </c>
      <c r="F17" s="100">
        <v>1.56</v>
      </c>
      <c r="G17" s="100">
        <v>53.04</v>
      </c>
      <c r="H17" s="100">
        <v>18.97</v>
      </c>
      <c r="I17" s="100">
        <v>7.28</v>
      </c>
      <c r="J17" s="100">
        <v>0.17</v>
      </c>
      <c r="K17" s="100">
        <v>87.69</v>
      </c>
      <c r="L17" s="100">
        <v>26.92</v>
      </c>
      <c r="M17" s="100">
        <v>96.39</v>
      </c>
      <c r="N17" s="100">
        <v>2.1</v>
      </c>
      <c r="O17" s="100">
        <v>0</v>
      </c>
      <c r="P17" s="100">
        <v>0.32</v>
      </c>
      <c r="Q17" s="100">
        <v>10</v>
      </c>
      <c r="R17" s="6"/>
      <c r="S17" s="6"/>
      <c r="T17" s="156"/>
      <c r="U17" s="6"/>
    </row>
    <row r="18" spans="1:21" customFormat="1">
      <c r="A18" s="163" t="s">
        <v>1593</v>
      </c>
      <c r="B18" s="100">
        <v>3.07</v>
      </c>
      <c r="C18" s="100">
        <v>4.84</v>
      </c>
      <c r="D18" s="100">
        <v>2.57</v>
      </c>
      <c r="E18" s="100">
        <v>4.9000000000000004</v>
      </c>
      <c r="F18" s="100">
        <v>2.8</v>
      </c>
      <c r="G18" s="100">
        <v>53.04</v>
      </c>
      <c r="H18" s="100">
        <v>18.97</v>
      </c>
      <c r="I18" s="100">
        <v>7.3</v>
      </c>
      <c r="J18" s="100">
        <v>0.13</v>
      </c>
      <c r="K18" s="100">
        <v>92.69</v>
      </c>
      <c r="L18" s="100">
        <v>26.98</v>
      </c>
      <c r="M18" s="100">
        <v>94.69</v>
      </c>
      <c r="N18" s="100">
        <v>2.2000000000000002</v>
      </c>
      <c r="O18" s="100">
        <v>0</v>
      </c>
      <c r="P18" s="100">
        <v>0.32</v>
      </c>
      <c r="Q18" s="100">
        <v>10</v>
      </c>
      <c r="R18" s="6"/>
      <c r="S18" s="6"/>
      <c r="T18" s="156"/>
      <c r="U18" s="6"/>
    </row>
    <row r="19" spans="1:21" customFormat="1">
      <c r="A19" s="163" t="s">
        <v>1594</v>
      </c>
      <c r="B19" s="100">
        <v>2.79</v>
      </c>
      <c r="C19" s="100">
        <v>4.37</v>
      </c>
      <c r="D19" s="100">
        <v>2.1</v>
      </c>
      <c r="E19" s="100">
        <v>5.01</v>
      </c>
      <c r="F19" s="100">
        <v>2.29</v>
      </c>
      <c r="G19" s="100">
        <v>53.04</v>
      </c>
      <c r="H19" s="100">
        <v>18.97</v>
      </c>
      <c r="I19" s="100">
        <v>7.27</v>
      </c>
      <c r="J19" s="100">
        <v>0.09</v>
      </c>
      <c r="K19" s="100">
        <v>141.25</v>
      </c>
      <c r="L19" s="100">
        <v>26.81</v>
      </c>
      <c r="M19" s="100">
        <v>94.89</v>
      </c>
      <c r="N19" s="100">
        <v>2.2000000000000002</v>
      </c>
      <c r="O19" s="100">
        <v>0</v>
      </c>
      <c r="P19" s="100">
        <v>0.31</v>
      </c>
      <c r="Q19" s="100">
        <v>10</v>
      </c>
      <c r="R19" s="6"/>
      <c r="S19" s="6"/>
      <c r="T19" s="156"/>
      <c r="U19" s="6"/>
    </row>
    <row r="20" spans="1:21" customFormat="1">
      <c r="A20" s="163" t="s">
        <v>1595</v>
      </c>
      <c r="B20" s="100">
        <v>2.92</v>
      </c>
      <c r="C20" s="100">
        <v>4.54</v>
      </c>
      <c r="D20" s="100">
        <v>2.23</v>
      </c>
      <c r="E20" s="100">
        <v>4.74</v>
      </c>
      <c r="F20" s="100">
        <v>1.1200000000000001</v>
      </c>
      <c r="G20" s="100">
        <v>53.13</v>
      </c>
      <c r="H20" s="100">
        <v>19.329999999999998</v>
      </c>
      <c r="I20" s="100">
        <v>7.22</v>
      </c>
      <c r="J20" s="100">
        <v>0.24</v>
      </c>
      <c r="K20" s="100">
        <v>57.05</v>
      </c>
      <c r="L20" s="100">
        <v>26.67</v>
      </c>
      <c r="M20" s="100">
        <v>94.09</v>
      </c>
      <c r="N20" s="100">
        <v>2.1</v>
      </c>
      <c r="O20" s="100">
        <v>0</v>
      </c>
      <c r="P20" s="100">
        <v>0.31</v>
      </c>
      <c r="Q20" s="100">
        <v>10</v>
      </c>
      <c r="R20" s="6"/>
      <c r="S20" s="6"/>
      <c r="T20" s="156"/>
      <c r="U20" s="6"/>
    </row>
    <row r="21" spans="1:21" customFormat="1">
      <c r="A21" s="163" t="s">
        <v>1596</v>
      </c>
      <c r="B21" s="100">
        <v>2.96</v>
      </c>
      <c r="C21" s="100">
        <v>4.67</v>
      </c>
      <c r="D21" s="100">
        <v>2.41</v>
      </c>
      <c r="E21" s="100">
        <v>4.7699999999999996</v>
      </c>
      <c r="F21" s="100">
        <v>1.62</v>
      </c>
      <c r="G21" s="100">
        <v>53.57</v>
      </c>
      <c r="H21" s="100">
        <v>21.16</v>
      </c>
      <c r="I21" s="100">
        <v>7.18</v>
      </c>
      <c r="J21" s="100">
        <v>0.08</v>
      </c>
      <c r="K21" s="100">
        <v>110.4</v>
      </c>
      <c r="L21" s="100">
        <v>26.68</v>
      </c>
      <c r="M21" s="100">
        <v>94.4</v>
      </c>
      <c r="N21" s="100">
        <v>2</v>
      </c>
      <c r="O21" s="100">
        <v>0</v>
      </c>
      <c r="P21" s="100">
        <v>0.31</v>
      </c>
      <c r="Q21" s="100">
        <v>10</v>
      </c>
      <c r="R21" s="6"/>
      <c r="S21" s="6"/>
      <c r="T21" s="156"/>
      <c r="U21" s="6"/>
    </row>
    <row r="22" spans="1:21" customFormat="1">
      <c r="A22" s="163" t="s">
        <v>1597</v>
      </c>
      <c r="B22" s="100">
        <v>3.27</v>
      </c>
      <c r="C22" s="100">
        <v>5</v>
      </c>
      <c r="D22" s="100">
        <v>2.58</v>
      </c>
      <c r="E22" s="100">
        <v>4.8899999999999997</v>
      </c>
      <c r="F22" s="100">
        <v>1.91</v>
      </c>
      <c r="G22" s="100">
        <v>53.57</v>
      </c>
      <c r="H22" s="100">
        <v>21.16</v>
      </c>
      <c r="I22" s="100">
        <v>7.16</v>
      </c>
      <c r="J22" s="100">
        <v>0.11</v>
      </c>
      <c r="K22" s="100">
        <v>179.33</v>
      </c>
      <c r="L22" s="100">
        <v>26.56</v>
      </c>
      <c r="M22" s="100">
        <v>94.99</v>
      </c>
      <c r="N22" s="100">
        <v>2.1</v>
      </c>
      <c r="O22" s="100">
        <v>0</v>
      </c>
      <c r="P22" s="100">
        <v>0.3</v>
      </c>
      <c r="Q22" s="100">
        <v>10</v>
      </c>
      <c r="R22" s="6"/>
      <c r="S22" s="6"/>
      <c r="T22" s="156"/>
      <c r="U22" s="6"/>
    </row>
    <row r="23" spans="1:21" customFormat="1">
      <c r="A23" s="163" t="s">
        <v>1598</v>
      </c>
      <c r="B23" s="100">
        <v>3.18</v>
      </c>
      <c r="C23" s="100">
        <v>4.99</v>
      </c>
      <c r="D23" s="100">
        <v>2.69</v>
      </c>
      <c r="E23" s="100">
        <v>5.0199999999999996</v>
      </c>
      <c r="F23" s="100">
        <v>2.0499999999999998</v>
      </c>
      <c r="G23" s="100">
        <v>53.57</v>
      </c>
      <c r="H23" s="100">
        <v>21.16</v>
      </c>
      <c r="I23" s="100">
        <v>7.05</v>
      </c>
      <c r="J23" s="100">
        <v>0.11</v>
      </c>
      <c r="K23" s="100">
        <v>157.88</v>
      </c>
      <c r="L23" s="100">
        <v>26.52</v>
      </c>
      <c r="M23" s="100">
        <v>95.55</v>
      </c>
      <c r="N23" s="100">
        <v>2</v>
      </c>
      <c r="O23" s="100">
        <v>0</v>
      </c>
      <c r="P23" s="100">
        <v>0.28000000000000003</v>
      </c>
      <c r="Q23" s="100">
        <v>10</v>
      </c>
      <c r="R23" s="6"/>
      <c r="S23" s="6"/>
      <c r="T23" s="156"/>
      <c r="U23" s="6"/>
    </row>
    <row r="24" spans="1:21" customFormat="1">
      <c r="A24" s="163" t="s">
        <v>1599</v>
      </c>
      <c r="B24" s="100">
        <v>2.89</v>
      </c>
      <c r="C24" s="100">
        <v>4.5599999999999996</v>
      </c>
      <c r="D24" s="100">
        <v>2.31</v>
      </c>
      <c r="E24" s="100">
        <v>5.08</v>
      </c>
      <c r="F24" s="100">
        <v>1.27</v>
      </c>
      <c r="G24" s="100">
        <v>51.71</v>
      </c>
      <c r="H24" s="100">
        <v>19.440000000000001</v>
      </c>
      <c r="I24" s="100">
        <v>6.89</v>
      </c>
      <c r="J24" s="100">
        <v>7.0000000000000007E-2</v>
      </c>
      <c r="K24" s="100">
        <v>176.39</v>
      </c>
      <c r="L24" s="100">
        <v>26.38</v>
      </c>
      <c r="M24" s="100">
        <v>96.34</v>
      </c>
      <c r="N24" s="100">
        <v>2.1</v>
      </c>
      <c r="O24" s="100">
        <v>0</v>
      </c>
      <c r="P24" s="100">
        <v>0.28000000000000003</v>
      </c>
      <c r="Q24" s="100">
        <v>10</v>
      </c>
      <c r="R24" s="6"/>
      <c r="S24" s="6"/>
      <c r="T24" s="156"/>
      <c r="U24" s="6"/>
    </row>
    <row r="25" spans="1:21" customFormat="1">
      <c r="A25" s="163" t="s">
        <v>1600</v>
      </c>
      <c r="B25" s="100">
        <v>2.78</v>
      </c>
      <c r="C25" s="100">
        <v>4.46</v>
      </c>
      <c r="D25" s="100">
        <v>2.2799999999999998</v>
      </c>
      <c r="E25" s="100">
        <v>5.0999999999999996</v>
      </c>
      <c r="F25" s="100">
        <v>1.59</v>
      </c>
      <c r="G25" s="100">
        <v>43.08</v>
      </c>
      <c r="H25" s="100">
        <v>13.97</v>
      </c>
      <c r="I25" s="100">
        <v>6.8</v>
      </c>
      <c r="J25" s="100">
        <v>0.14000000000000001</v>
      </c>
      <c r="K25" s="100">
        <v>192.73</v>
      </c>
      <c r="L25" s="100">
        <v>26.45</v>
      </c>
      <c r="M25" s="100">
        <v>96.96</v>
      </c>
      <c r="N25" s="100">
        <v>2.1</v>
      </c>
      <c r="O25" s="100">
        <v>0</v>
      </c>
      <c r="P25" s="100">
        <v>0.28999999999999998</v>
      </c>
      <c r="Q25" s="100">
        <v>10</v>
      </c>
      <c r="R25" s="6"/>
      <c r="S25" s="6"/>
      <c r="T25" s="156"/>
      <c r="U25" s="6"/>
    </row>
    <row r="26" spans="1:21" customFormat="1">
      <c r="A26" s="163" t="s">
        <v>1601</v>
      </c>
      <c r="B26" s="100">
        <v>2.73</v>
      </c>
      <c r="C26" s="100">
        <v>4.3499999999999996</v>
      </c>
      <c r="D26" s="100">
        <v>2.16</v>
      </c>
      <c r="E26" s="100">
        <v>5.0999999999999996</v>
      </c>
      <c r="F26" s="100">
        <v>2.48</v>
      </c>
      <c r="G26" s="100">
        <v>43.08</v>
      </c>
      <c r="H26" s="100">
        <v>13.97</v>
      </c>
      <c r="I26" s="100">
        <v>6.74</v>
      </c>
      <c r="J26" s="100">
        <v>0.11</v>
      </c>
      <c r="K26" s="100">
        <v>95.66</v>
      </c>
      <c r="L26" s="100">
        <v>26.5</v>
      </c>
      <c r="M26" s="100">
        <v>97.16</v>
      </c>
      <c r="N26" s="100">
        <v>2</v>
      </c>
      <c r="O26" s="100">
        <v>0</v>
      </c>
      <c r="P26" s="100">
        <v>0.28000000000000003</v>
      </c>
      <c r="Q26" s="100">
        <v>10</v>
      </c>
      <c r="R26" s="6"/>
      <c r="S26" s="6"/>
      <c r="T26" s="156"/>
      <c r="U26" s="6"/>
    </row>
    <row r="27" spans="1:21" customFormat="1">
      <c r="A27" s="163" t="s">
        <v>1602</v>
      </c>
      <c r="B27" s="100">
        <v>2.86</v>
      </c>
      <c r="C27" s="100">
        <v>4.5</v>
      </c>
      <c r="D27" s="100">
        <v>2.2400000000000002</v>
      </c>
      <c r="E27" s="100">
        <v>4.8099999999999996</v>
      </c>
      <c r="F27" s="100">
        <v>1.98</v>
      </c>
      <c r="G27" s="100">
        <v>43.08</v>
      </c>
      <c r="H27" s="100">
        <v>13.97</v>
      </c>
      <c r="I27" s="100">
        <v>6.66</v>
      </c>
      <c r="J27" s="100">
        <v>0.67</v>
      </c>
      <c r="K27" s="100">
        <v>43.69</v>
      </c>
      <c r="L27" s="100">
        <v>26.45</v>
      </c>
      <c r="M27" s="100">
        <v>97.43</v>
      </c>
      <c r="N27" s="100">
        <v>2.2000000000000002</v>
      </c>
      <c r="O27" s="100">
        <v>0</v>
      </c>
      <c r="P27" s="100">
        <v>0.27</v>
      </c>
      <c r="Q27" s="100">
        <v>10</v>
      </c>
      <c r="R27" s="6"/>
      <c r="S27" s="6"/>
      <c r="T27" s="156"/>
      <c r="U27" s="6"/>
    </row>
    <row r="28" spans="1:21" customFormat="1">
      <c r="A28" s="163" t="s">
        <v>1603</v>
      </c>
      <c r="B28" s="100">
        <v>2.69</v>
      </c>
      <c r="C28" s="100">
        <v>4.3499999999999996</v>
      </c>
      <c r="D28" s="100">
        <v>2.2200000000000002</v>
      </c>
      <c r="E28" s="100">
        <v>4.88</v>
      </c>
      <c r="F28" s="100">
        <v>0.7</v>
      </c>
      <c r="G28" s="100">
        <v>42.43</v>
      </c>
      <c r="H28" s="100">
        <v>14.39</v>
      </c>
      <c r="I28" s="100">
        <v>6.56</v>
      </c>
      <c r="J28" s="100">
        <v>0.43</v>
      </c>
      <c r="K28" s="100">
        <v>48.71</v>
      </c>
      <c r="L28" s="100">
        <v>26.17</v>
      </c>
      <c r="M28" s="100">
        <v>97.1</v>
      </c>
      <c r="N28" s="100">
        <v>2.2000000000000002</v>
      </c>
      <c r="O28" s="100">
        <v>0</v>
      </c>
      <c r="P28" s="100">
        <v>0.26</v>
      </c>
      <c r="Q28" s="100">
        <v>10</v>
      </c>
      <c r="R28" s="6"/>
      <c r="S28" s="6"/>
      <c r="T28" s="156"/>
      <c r="U28" s="6"/>
    </row>
    <row r="29" spans="1:21" customFormat="1">
      <c r="A29" s="163" t="s">
        <v>1604</v>
      </c>
      <c r="B29" s="100">
        <v>3.29</v>
      </c>
      <c r="C29" s="100">
        <v>5.17</v>
      </c>
      <c r="D29" s="100">
        <v>2.86</v>
      </c>
      <c r="E29" s="100">
        <v>5.04</v>
      </c>
      <c r="F29" s="100">
        <v>1.7</v>
      </c>
      <c r="G29" s="100">
        <v>39.43</v>
      </c>
      <c r="H29" s="100">
        <v>15.71</v>
      </c>
      <c r="I29" s="100">
        <v>6.47</v>
      </c>
      <c r="J29" s="100">
        <v>0.28000000000000003</v>
      </c>
      <c r="K29" s="100">
        <v>52.36</v>
      </c>
      <c r="L29" s="100">
        <v>26.04</v>
      </c>
      <c r="M29" s="100">
        <v>96.74</v>
      </c>
      <c r="N29" s="100">
        <v>2.2000000000000002</v>
      </c>
      <c r="O29" s="100">
        <v>0</v>
      </c>
      <c r="P29" s="100">
        <v>0.27</v>
      </c>
      <c r="Q29" s="100">
        <v>10</v>
      </c>
      <c r="R29" s="6"/>
      <c r="S29" s="6"/>
      <c r="T29" s="156"/>
      <c r="U29" s="6"/>
    </row>
    <row r="30" spans="1:21" customFormat="1">
      <c r="A30" s="163" t="s">
        <v>1605</v>
      </c>
      <c r="B30" s="100">
        <v>3.31</v>
      </c>
      <c r="C30" s="100">
        <v>5.1100000000000003</v>
      </c>
      <c r="D30" s="100">
        <v>2.72</v>
      </c>
      <c r="E30" s="100">
        <v>4.68</v>
      </c>
      <c r="F30" s="100">
        <v>1.88</v>
      </c>
      <c r="G30" s="100">
        <v>39.43</v>
      </c>
      <c r="H30" s="100">
        <v>15.71</v>
      </c>
      <c r="I30" s="100">
        <v>6.38</v>
      </c>
      <c r="J30" s="100">
        <v>0.12</v>
      </c>
      <c r="K30" s="100">
        <v>69.86</v>
      </c>
      <c r="L30" s="100">
        <v>25.97</v>
      </c>
      <c r="M30" s="100">
        <v>96.14</v>
      </c>
      <c r="N30" s="100">
        <v>2.4</v>
      </c>
      <c r="O30" s="100">
        <v>0</v>
      </c>
      <c r="P30" s="100">
        <v>0.26</v>
      </c>
      <c r="Q30" s="100">
        <v>10</v>
      </c>
      <c r="R30" s="6"/>
      <c r="S30" s="6"/>
      <c r="T30" s="156"/>
      <c r="U30" s="6"/>
    </row>
    <row r="31" spans="1:21" customFormat="1">
      <c r="A31" s="163" t="s">
        <v>1606</v>
      </c>
      <c r="B31" s="100">
        <v>3.1</v>
      </c>
      <c r="C31" s="100">
        <v>4.8600000000000003</v>
      </c>
      <c r="D31" s="100">
        <v>2.56</v>
      </c>
      <c r="E31" s="100">
        <v>4.54</v>
      </c>
      <c r="F31" s="100">
        <v>2.64</v>
      </c>
      <c r="G31" s="100">
        <v>39.43</v>
      </c>
      <c r="H31" s="100">
        <v>15.71</v>
      </c>
      <c r="I31" s="100">
        <v>6.28</v>
      </c>
      <c r="J31" s="100">
        <v>0.12</v>
      </c>
      <c r="K31" s="100">
        <v>164.96</v>
      </c>
      <c r="L31" s="100">
        <v>25.94</v>
      </c>
      <c r="M31" s="100">
        <v>96.38</v>
      </c>
      <c r="N31" s="100">
        <v>3.9</v>
      </c>
      <c r="O31" s="100">
        <v>0</v>
      </c>
      <c r="P31" s="100">
        <v>0.25</v>
      </c>
      <c r="Q31" s="100">
        <v>10</v>
      </c>
      <c r="R31" s="6"/>
      <c r="S31" s="6"/>
      <c r="T31" s="156"/>
      <c r="U31" s="6"/>
    </row>
    <row r="32" spans="1:21" customFormat="1">
      <c r="A32" s="163" t="s">
        <v>1607</v>
      </c>
      <c r="B32" s="100">
        <v>2.94</v>
      </c>
      <c r="C32" s="100">
        <v>4.68</v>
      </c>
      <c r="D32" s="100">
        <v>2.4700000000000002</v>
      </c>
      <c r="E32" s="100">
        <v>4.2699999999999996</v>
      </c>
      <c r="F32" s="100">
        <v>1.67</v>
      </c>
      <c r="G32" s="100">
        <v>39.08</v>
      </c>
      <c r="H32" s="100">
        <v>15.15</v>
      </c>
      <c r="I32" s="100">
        <v>6.18</v>
      </c>
      <c r="J32" s="100">
        <v>7.0000000000000007E-2</v>
      </c>
      <c r="K32" s="100">
        <v>177.47</v>
      </c>
      <c r="L32" s="100">
        <v>25.99</v>
      </c>
      <c r="M32" s="100">
        <v>96.93</v>
      </c>
      <c r="N32" s="100">
        <v>8.1</v>
      </c>
      <c r="O32" s="100">
        <v>0</v>
      </c>
      <c r="P32" s="100">
        <v>0.25</v>
      </c>
      <c r="Q32" s="100">
        <v>10</v>
      </c>
      <c r="R32" s="6"/>
      <c r="S32" s="6"/>
      <c r="T32" s="156"/>
      <c r="U32" s="6"/>
    </row>
    <row r="33" spans="1:21" customFormat="1">
      <c r="A33" s="163" t="s">
        <v>1608</v>
      </c>
      <c r="B33" s="100">
        <v>3.11</v>
      </c>
      <c r="C33" s="100">
        <v>4.9000000000000004</v>
      </c>
      <c r="D33" s="100">
        <v>2.62</v>
      </c>
      <c r="E33" s="100">
        <v>4.34</v>
      </c>
      <c r="F33" s="100">
        <v>1.97</v>
      </c>
      <c r="G33" s="100">
        <v>37.450000000000003</v>
      </c>
      <c r="H33" s="100">
        <v>13.24</v>
      </c>
      <c r="I33" s="100">
        <v>6.12</v>
      </c>
      <c r="J33" s="100">
        <v>0.11</v>
      </c>
      <c r="K33" s="100">
        <v>204.55</v>
      </c>
      <c r="L33" s="100">
        <v>26</v>
      </c>
      <c r="M33" s="100">
        <v>97.29</v>
      </c>
      <c r="N33" s="100">
        <v>14</v>
      </c>
      <c r="O33" s="100">
        <v>0</v>
      </c>
      <c r="P33" s="100">
        <v>0.23</v>
      </c>
      <c r="Q33" s="100">
        <v>10</v>
      </c>
      <c r="R33" s="6"/>
      <c r="S33" s="6"/>
      <c r="T33" s="156"/>
      <c r="U33" s="6"/>
    </row>
    <row r="34" spans="1:21" customFormat="1">
      <c r="A34" s="163" t="s">
        <v>1609</v>
      </c>
      <c r="B34" s="100">
        <v>2.96</v>
      </c>
      <c r="C34" s="100">
        <v>4.72</v>
      </c>
      <c r="D34" s="100">
        <v>2.52</v>
      </c>
      <c r="E34" s="100">
        <v>4.3</v>
      </c>
      <c r="F34" s="100">
        <v>2.6</v>
      </c>
      <c r="G34" s="100">
        <v>37.450000000000003</v>
      </c>
      <c r="H34" s="100">
        <v>13.24</v>
      </c>
      <c r="I34" s="100">
        <v>6.03</v>
      </c>
      <c r="J34" s="100">
        <v>0.1</v>
      </c>
      <c r="K34" s="100">
        <v>168.51</v>
      </c>
      <c r="L34" s="100">
        <v>26.27</v>
      </c>
      <c r="M34" s="100">
        <v>97.59</v>
      </c>
      <c r="N34" s="100">
        <v>23.4</v>
      </c>
      <c r="O34" s="100">
        <v>0</v>
      </c>
      <c r="P34" s="100">
        <v>0.23</v>
      </c>
      <c r="Q34" s="100">
        <v>10</v>
      </c>
      <c r="R34" s="6"/>
      <c r="S34" s="6"/>
      <c r="T34" s="156"/>
      <c r="U34" s="6"/>
    </row>
    <row r="35" spans="1:21" customFormat="1">
      <c r="A35" s="163" t="s">
        <v>1610</v>
      </c>
      <c r="B35" s="100">
        <v>2.4900000000000002</v>
      </c>
      <c r="C35" s="100">
        <v>4.12</v>
      </c>
      <c r="D35" s="100">
        <v>2.08</v>
      </c>
      <c r="E35" s="100">
        <v>4.51</v>
      </c>
      <c r="F35" s="100">
        <v>1.04</v>
      </c>
      <c r="G35" s="100">
        <v>37.450000000000003</v>
      </c>
      <c r="H35" s="100">
        <v>13.24</v>
      </c>
      <c r="I35" s="100">
        <v>5.83</v>
      </c>
      <c r="J35" s="100">
        <v>0.08</v>
      </c>
      <c r="K35" s="100">
        <v>155.97999999999999</v>
      </c>
      <c r="L35" s="100">
        <v>26.61</v>
      </c>
      <c r="M35" s="100">
        <v>97.37</v>
      </c>
      <c r="N35" s="100">
        <v>32.299999999999997</v>
      </c>
      <c r="O35" s="100">
        <v>0</v>
      </c>
      <c r="P35" s="100">
        <v>0.25</v>
      </c>
      <c r="Q35" s="100">
        <v>10</v>
      </c>
      <c r="R35" s="6"/>
      <c r="S35" s="6"/>
      <c r="T35" s="156"/>
      <c r="U35" s="6"/>
    </row>
    <row r="36" spans="1:21" customFormat="1">
      <c r="A36" s="163" t="s">
        <v>1611</v>
      </c>
      <c r="B36" s="100">
        <v>2.52</v>
      </c>
      <c r="C36" s="100">
        <v>4.24</v>
      </c>
      <c r="D36" s="100">
        <v>2.2599999999999998</v>
      </c>
      <c r="E36" s="100">
        <v>4.45</v>
      </c>
      <c r="F36" s="100">
        <v>3.18</v>
      </c>
      <c r="G36" s="100">
        <v>36.950000000000003</v>
      </c>
      <c r="H36" s="100">
        <v>13.57</v>
      </c>
      <c r="I36" s="100">
        <v>5.86</v>
      </c>
      <c r="J36" s="100">
        <v>0.15</v>
      </c>
      <c r="K36" s="100">
        <v>250.7</v>
      </c>
      <c r="L36" s="100">
        <v>26.79</v>
      </c>
      <c r="M36" s="100">
        <v>96.63</v>
      </c>
      <c r="N36" s="100">
        <v>35.299999999999997</v>
      </c>
      <c r="O36" s="100">
        <v>0</v>
      </c>
      <c r="P36" s="100">
        <v>0.23</v>
      </c>
      <c r="Q36" s="100">
        <v>10</v>
      </c>
      <c r="R36" s="6"/>
      <c r="S36" s="6"/>
      <c r="T36" s="156"/>
      <c r="U36" s="6"/>
    </row>
    <row r="37" spans="1:21" customFormat="1">
      <c r="A37" s="163" t="s">
        <v>1612</v>
      </c>
      <c r="B37" s="100">
        <v>2.8</v>
      </c>
      <c r="C37" s="100">
        <v>4.59</v>
      </c>
      <c r="D37" s="100">
        <v>2.5099999999999998</v>
      </c>
      <c r="E37" s="100">
        <v>4</v>
      </c>
      <c r="F37" s="100">
        <v>2.73</v>
      </c>
      <c r="G37" s="100">
        <v>34.61</v>
      </c>
      <c r="H37" s="100">
        <v>15.21</v>
      </c>
      <c r="I37" s="100">
        <v>5.95</v>
      </c>
      <c r="J37" s="100">
        <v>0.25</v>
      </c>
      <c r="K37" s="100">
        <v>253.64</v>
      </c>
      <c r="L37" s="100">
        <v>27.04</v>
      </c>
      <c r="M37" s="100">
        <v>94.69</v>
      </c>
      <c r="N37" s="100">
        <v>51.1</v>
      </c>
      <c r="O37" s="100">
        <v>0</v>
      </c>
      <c r="P37" s="100">
        <v>0.23</v>
      </c>
      <c r="Q37" s="100">
        <v>10</v>
      </c>
      <c r="R37" s="6"/>
      <c r="S37" s="6"/>
      <c r="T37" s="156"/>
      <c r="U37" s="6"/>
    </row>
    <row r="38" spans="1:21" customFormat="1">
      <c r="A38" s="163" t="s">
        <v>1613</v>
      </c>
      <c r="B38" s="100">
        <v>3.2</v>
      </c>
      <c r="C38" s="100">
        <v>5.17</v>
      </c>
      <c r="D38" s="100">
        <v>3.01</v>
      </c>
      <c r="E38" s="100">
        <v>4.38</v>
      </c>
      <c r="F38" s="100">
        <v>2.11</v>
      </c>
      <c r="G38" s="100">
        <v>34.61</v>
      </c>
      <c r="H38" s="100">
        <v>15.21</v>
      </c>
      <c r="I38" s="100">
        <v>5.84</v>
      </c>
      <c r="J38" s="100">
        <v>0.26</v>
      </c>
      <c r="K38" s="100">
        <v>254.26</v>
      </c>
      <c r="L38" s="100">
        <v>27.29</v>
      </c>
      <c r="M38" s="100">
        <v>91.47</v>
      </c>
      <c r="N38" s="100">
        <v>62.2</v>
      </c>
      <c r="O38" s="100">
        <v>0</v>
      </c>
      <c r="P38" s="100">
        <v>0.23</v>
      </c>
      <c r="Q38" s="100">
        <v>10</v>
      </c>
      <c r="R38" s="6"/>
      <c r="S38" s="6"/>
      <c r="T38" s="156"/>
      <c r="U38" s="6"/>
    </row>
    <row r="39" spans="1:21" customFormat="1">
      <c r="A39" s="163" t="s">
        <v>1614</v>
      </c>
      <c r="B39" s="100">
        <v>3.24</v>
      </c>
      <c r="C39" s="100">
        <v>5.2</v>
      </c>
      <c r="D39" s="100">
        <v>3</v>
      </c>
      <c r="E39" s="100">
        <v>4.16</v>
      </c>
      <c r="F39" s="100">
        <v>3.9</v>
      </c>
      <c r="G39" s="100">
        <v>34.61</v>
      </c>
      <c r="H39" s="100">
        <v>15.21</v>
      </c>
      <c r="I39" s="100">
        <v>5.88</v>
      </c>
      <c r="J39" s="100">
        <v>0.35</v>
      </c>
      <c r="K39" s="100">
        <v>251.91</v>
      </c>
      <c r="L39" s="100">
        <v>27.4</v>
      </c>
      <c r="M39" s="100">
        <v>89.43</v>
      </c>
      <c r="N39" s="100">
        <v>63</v>
      </c>
      <c r="O39" s="100">
        <v>0</v>
      </c>
      <c r="P39" s="100">
        <v>0.21</v>
      </c>
      <c r="Q39" s="100">
        <v>10</v>
      </c>
      <c r="R39" s="6"/>
      <c r="S39" s="6"/>
      <c r="T39" s="156"/>
      <c r="U39" s="6"/>
    </row>
    <row r="40" spans="1:21" customFormat="1">
      <c r="A40" s="163" t="s">
        <v>1615</v>
      </c>
      <c r="B40" s="100">
        <v>3.2</v>
      </c>
      <c r="C40" s="100">
        <v>5.29</v>
      </c>
      <c r="D40" s="100">
        <v>3.24</v>
      </c>
      <c r="E40" s="100">
        <v>4.28</v>
      </c>
      <c r="F40" s="100">
        <v>3.66</v>
      </c>
      <c r="G40" s="100">
        <v>32.97</v>
      </c>
      <c r="H40" s="100">
        <v>14.38</v>
      </c>
      <c r="I40" s="100">
        <v>5.89</v>
      </c>
      <c r="J40" s="100">
        <v>0.54</v>
      </c>
      <c r="K40" s="100">
        <v>253.81</v>
      </c>
      <c r="L40" s="100">
        <v>27.47</v>
      </c>
      <c r="M40" s="100">
        <v>88.32</v>
      </c>
      <c r="N40" s="100">
        <v>74</v>
      </c>
      <c r="O40" s="100">
        <v>0</v>
      </c>
      <c r="P40" s="100">
        <v>0.21</v>
      </c>
      <c r="Q40" s="100">
        <v>10</v>
      </c>
      <c r="R40" s="6"/>
      <c r="S40" s="6"/>
      <c r="T40" s="156"/>
      <c r="U40" s="6"/>
    </row>
    <row r="41" spans="1:21" customFormat="1">
      <c r="A41" s="163" t="s">
        <v>1616</v>
      </c>
      <c r="B41" s="100">
        <v>3</v>
      </c>
      <c r="C41" s="100">
        <v>4.91</v>
      </c>
      <c r="D41" s="100">
        <v>2.8</v>
      </c>
      <c r="E41" s="100">
        <v>4.47</v>
      </c>
      <c r="F41" s="100">
        <v>2.25</v>
      </c>
      <c r="G41" s="100">
        <v>25.37</v>
      </c>
      <c r="H41" s="100">
        <v>11.73</v>
      </c>
      <c r="I41" s="100">
        <v>5.77</v>
      </c>
      <c r="J41" s="100">
        <v>0.5</v>
      </c>
      <c r="K41" s="100">
        <v>255.14</v>
      </c>
      <c r="L41" s="100">
        <v>27.67</v>
      </c>
      <c r="M41" s="100">
        <v>86.22</v>
      </c>
      <c r="N41" s="100">
        <v>108.8</v>
      </c>
      <c r="O41" s="100">
        <v>0</v>
      </c>
      <c r="P41" s="100">
        <v>0.23</v>
      </c>
      <c r="Q41" s="100">
        <v>10</v>
      </c>
      <c r="R41" s="6"/>
      <c r="S41" s="6"/>
      <c r="T41" s="156"/>
      <c r="U41" s="6"/>
    </row>
    <row r="42" spans="1:21" customFormat="1">
      <c r="A42" s="163" t="s">
        <v>1617</v>
      </c>
      <c r="B42" s="100">
        <v>3.17</v>
      </c>
      <c r="C42" s="100">
        <v>5.17</v>
      </c>
      <c r="D42" s="100">
        <v>3.05</v>
      </c>
      <c r="E42" s="100">
        <v>4.55</v>
      </c>
      <c r="F42" s="100">
        <v>3.82</v>
      </c>
      <c r="G42" s="100">
        <v>25.37</v>
      </c>
      <c r="H42" s="100">
        <v>11.73</v>
      </c>
      <c r="I42" s="100">
        <v>5.79</v>
      </c>
      <c r="J42" s="100">
        <v>0.51</v>
      </c>
      <c r="K42" s="100">
        <v>254.97</v>
      </c>
      <c r="L42" s="100">
        <v>28.15</v>
      </c>
      <c r="M42" s="100">
        <v>84.23</v>
      </c>
      <c r="N42" s="100">
        <v>144.69999999999999</v>
      </c>
      <c r="O42" s="100">
        <v>0</v>
      </c>
      <c r="P42" s="100">
        <v>0.21</v>
      </c>
      <c r="Q42" s="100">
        <v>10</v>
      </c>
      <c r="R42" s="6"/>
      <c r="S42" s="6"/>
      <c r="T42" s="156"/>
      <c r="U42" s="6"/>
    </row>
    <row r="43" spans="1:21" customFormat="1">
      <c r="A43" s="163" t="s">
        <v>1618</v>
      </c>
      <c r="B43" s="100">
        <v>2.99</v>
      </c>
      <c r="C43" s="100">
        <v>5.04</v>
      </c>
      <c r="D43" s="100">
        <v>3.07</v>
      </c>
      <c r="E43" s="100">
        <v>4.5199999999999996</v>
      </c>
      <c r="F43" s="100">
        <v>2.98</v>
      </c>
      <c r="G43" s="100">
        <v>25.37</v>
      </c>
      <c r="H43" s="100">
        <v>11.73</v>
      </c>
      <c r="I43" s="100">
        <v>5.83</v>
      </c>
      <c r="J43" s="100">
        <v>0.45</v>
      </c>
      <c r="K43" s="100">
        <v>261.38</v>
      </c>
      <c r="L43" s="100">
        <v>28.58</v>
      </c>
      <c r="M43" s="100">
        <v>82.79</v>
      </c>
      <c r="N43" s="100">
        <v>161.69999999999999</v>
      </c>
      <c r="O43" s="100">
        <v>0</v>
      </c>
      <c r="P43" s="100">
        <v>0.2</v>
      </c>
      <c r="Q43" s="100">
        <v>10</v>
      </c>
      <c r="R43" s="6"/>
      <c r="S43" s="6"/>
      <c r="T43" s="156"/>
      <c r="U43" s="6"/>
    </row>
    <row r="44" spans="1:21" customFormat="1">
      <c r="A44" s="163" t="s">
        <v>1619</v>
      </c>
      <c r="B44" s="100">
        <v>2.99</v>
      </c>
      <c r="C44" s="100">
        <v>5.0999999999999996</v>
      </c>
      <c r="D44" s="100">
        <v>3.19</v>
      </c>
      <c r="E44" s="100">
        <v>4.87</v>
      </c>
      <c r="F44" s="100">
        <v>3.47</v>
      </c>
      <c r="G44" s="100">
        <v>25.05</v>
      </c>
      <c r="H44" s="100">
        <v>11.47</v>
      </c>
      <c r="I44" s="100">
        <v>5.66</v>
      </c>
      <c r="J44" s="100">
        <v>0.57999999999999996</v>
      </c>
      <c r="K44" s="100">
        <v>258.36</v>
      </c>
      <c r="L44" s="100">
        <v>28.83</v>
      </c>
      <c r="M44" s="100">
        <v>80.86</v>
      </c>
      <c r="N44" s="100">
        <v>167</v>
      </c>
      <c r="O44" s="100">
        <v>0</v>
      </c>
      <c r="P44" s="100">
        <v>0.23</v>
      </c>
      <c r="Q44" s="100">
        <v>10</v>
      </c>
      <c r="R44" s="6"/>
      <c r="S44" s="6"/>
      <c r="T44" s="156"/>
      <c r="U44" s="6"/>
    </row>
    <row r="45" spans="1:21" customFormat="1">
      <c r="A45" s="163" t="s">
        <v>1620</v>
      </c>
      <c r="B45" s="100">
        <v>2.56</v>
      </c>
      <c r="C45" s="100">
        <v>4.3899999999999997</v>
      </c>
      <c r="D45" s="100">
        <v>2.4900000000000002</v>
      </c>
      <c r="E45" s="100">
        <v>5.49</v>
      </c>
      <c r="F45" s="100">
        <v>3.59</v>
      </c>
      <c r="G45" s="100">
        <v>23.57</v>
      </c>
      <c r="H45" s="100">
        <v>10.66</v>
      </c>
      <c r="I45" s="100">
        <v>5.66</v>
      </c>
      <c r="J45" s="100">
        <v>0.64</v>
      </c>
      <c r="K45" s="100">
        <v>258.08999999999997</v>
      </c>
      <c r="L45" s="100">
        <v>28.74</v>
      </c>
      <c r="M45" s="100">
        <v>78.77</v>
      </c>
      <c r="N45" s="100">
        <v>160.9</v>
      </c>
      <c r="O45" s="100">
        <v>0</v>
      </c>
      <c r="P45" s="100">
        <v>0.21</v>
      </c>
      <c r="Q45" s="100">
        <v>10</v>
      </c>
      <c r="R45" s="6"/>
      <c r="S45" s="6"/>
      <c r="T45" s="156"/>
      <c r="U45" s="6"/>
    </row>
    <row r="46" spans="1:21" customFormat="1">
      <c r="A46" s="163" t="s">
        <v>1621</v>
      </c>
      <c r="B46" s="100">
        <v>2.71</v>
      </c>
      <c r="C46" s="100">
        <v>4.74</v>
      </c>
      <c r="D46" s="100">
        <v>2.93</v>
      </c>
      <c r="E46" s="100">
        <v>4.91</v>
      </c>
      <c r="F46" s="100">
        <v>3.65</v>
      </c>
      <c r="G46" s="100">
        <v>23.57</v>
      </c>
      <c r="H46" s="100">
        <v>10.66</v>
      </c>
      <c r="I46" s="100">
        <v>5.84</v>
      </c>
      <c r="J46" s="100">
        <v>0.64</v>
      </c>
      <c r="K46" s="100">
        <v>262.5</v>
      </c>
      <c r="L46" s="100">
        <v>28.89</v>
      </c>
      <c r="M46" s="100">
        <v>76.02</v>
      </c>
      <c r="N46" s="100">
        <v>209.3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163" t="s">
        <v>1622</v>
      </c>
      <c r="B47" s="100">
        <v>2.86</v>
      </c>
      <c r="C47" s="100">
        <v>5.05</v>
      </c>
      <c r="D47" s="100">
        <v>3.29</v>
      </c>
      <c r="E47" s="100">
        <v>4.62</v>
      </c>
      <c r="F47" s="100">
        <v>3.28</v>
      </c>
      <c r="G47" s="100">
        <v>23.57</v>
      </c>
      <c r="H47" s="100">
        <v>10.66</v>
      </c>
      <c r="I47" s="100">
        <v>5.69</v>
      </c>
      <c r="J47" s="100">
        <v>0.79</v>
      </c>
      <c r="K47" s="100">
        <v>260.45999999999998</v>
      </c>
      <c r="L47" s="100">
        <v>29.39</v>
      </c>
      <c r="M47" s="100">
        <v>73.98</v>
      </c>
      <c r="N47" s="100">
        <v>274.39999999999998</v>
      </c>
      <c r="O47" s="100">
        <v>0</v>
      </c>
      <c r="P47" s="100">
        <v>0.19</v>
      </c>
      <c r="Q47" s="100">
        <v>10</v>
      </c>
      <c r="R47" s="6"/>
      <c r="S47" s="6"/>
      <c r="T47" s="156"/>
      <c r="U47" s="6"/>
    </row>
    <row r="48" spans="1:21" customFormat="1">
      <c r="A48" s="163" t="s">
        <v>1623</v>
      </c>
      <c r="B48" s="100">
        <v>2.81</v>
      </c>
      <c r="C48" s="100">
        <v>5.0599999999999996</v>
      </c>
      <c r="D48" s="100">
        <v>3.39</v>
      </c>
      <c r="E48" s="100">
        <v>4.68</v>
      </c>
      <c r="F48" s="100">
        <v>2.67</v>
      </c>
      <c r="G48" s="100">
        <v>23.26</v>
      </c>
      <c r="H48" s="100">
        <v>10.6</v>
      </c>
      <c r="I48" s="100">
        <v>5.51</v>
      </c>
      <c r="J48" s="100">
        <v>0.67</v>
      </c>
      <c r="K48" s="100">
        <v>260.17</v>
      </c>
      <c r="L48" s="100">
        <v>29.75</v>
      </c>
      <c r="M48" s="100">
        <v>73.290000000000006</v>
      </c>
      <c r="N48" s="100">
        <v>271.8</v>
      </c>
      <c r="O48" s="100">
        <v>0</v>
      </c>
      <c r="P48" s="100">
        <v>0.2</v>
      </c>
      <c r="Q48" s="100">
        <v>10</v>
      </c>
      <c r="R48" s="6"/>
      <c r="S48" s="6"/>
      <c r="T48" s="156"/>
      <c r="U48" s="6"/>
    </row>
    <row r="49" spans="1:21" customFormat="1">
      <c r="A49" s="163" t="s">
        <v>1624</v>
      </c>
      <c r="B49" s="100">
        <v>2.4500000000000002</v>
      </c>
      <c r="C49" s="100">
        <v>4.57</v>
      </c>
      <c r="D49" s="100">
        <v>3.01</v>
      </c>
      <c r="E49" s="100">
        <v>4.5</v>
      </c>
      <c r="F49" s="100">
        <v>1.8</v>
      </c>
      <c r="G49" s="100">
        <v>21.79</v>
      </c>
      <c r="H49" s="100">
        <v>10.41</v>
      </c>
      <c r="I49" s="100">
        <v>5.65</v>
      </c>
      <c r="J49" s="100">
        <v>0.77</v>
      </c>
      <c r="K49" s="100">
        <v>258.22000000000003</v>
      </c>
      <c r="L49" s="100">
        <v>29.68</v>
      </c>
      <c r="M49" s="100">
        <v>70.459999999999994</v>
      </c>
      <c r="N49" s="100">
        <v>261.3</v>
      </c>
      <c r="O49" s="100">
        <v>0</v>
      </c>
      <c r="P49" s="100">
        <v>0.23</v>
      </c>
      <c r="Q49" s="100">
        <v>10</v>
      </c>
      <c r="R49" s="6"/>
      <c r="S49" s="6"/>
      <c r="T49" s="156"/>
      <c r="U49" s="6"/>
    </row>
    <row r="50" spans="1:21" customFormat="1">
      <c r="A50" s="163" t="s">
        <v>1625</v>
      </c>
      <c r="B50" s="100">
        <v>2.65</v>
      </c>
      <c r="C50" s="100">
        <v>5.0599999999999996</v>
      </c>
      <c r="D50" s="100">
        <v>3.64</v>
      </c>
      <c r="E50" s="100">
        <v>5.59</v>
      </c>
      <c r="F50" s="100">
        <v>2.17</v>
      </c>
      <c r="G50" s="100">
        <v>21.79</v>
      </c>
      <c r="H50" s="100">
        <v>10.41</v>
      </c>
      <c r="I50" s="100">
        <v>6.15</v>
      </c>
      <c r="J50" s="100">
        <v>0.63</v>
      </c>
      <c r="K50" s="100">
        <v>254.67</v>
      </c>
      <c r="L50" s="100">
        <v>29.29</v>
      </c>
      <c r="M50" s="100">
        <v>72.28</v>
      </c>
      <c r="N50" s="100">
        <v>157.69999999999999</v>
      </c>
      <c r="O50" s="100">
        <v>0</v>
      </c>
      <c r="P50" s="100">
        <v>0.28000000000000003</v>
      </c>
      <c r="Q50" s="100">
        <v>10</v>
      </c>
      <c r="R50" s="6"/>
      <c r="S50" s="6"/>
      <c r="T50" s="156"/>
      <c r="U50" s="6"/>
    </row>
    <row r="51" spans="1:21" customFormat="1">
      <c r="A51" s="163" t="s">
        <v>1626</v>
      </c>
      <c r="B51" s="100">
        <v>2.36</v>
      </c>
      <c r="C51" s="100">
        <v>4.4800000000000004</v>
      </c>
      <c r="D51" s="100">
        <v>2.97</v>
      </c>
      <c r="E51" s="100">
        <v>5.42</v>
      </c>
      <c r="F51" s="100">
        <v>4.7699999999999996</v>
      </c>
      <c r="G51" s="100">
        <v>21.79</v>
      </c>
      <c r="H51" s="100">
        <v>10.41</v>
      </c>
      <c r="I51" s="100">
        <v>7.07</v>
      </c>
      <c r="J51" s="100">
        <v>0.62</v>
      </c>
      <c r="K51" s="100">
        <v>253.95</v>
      </c>
      <c r="L51" s="100">
        <v>28.82</v>
      </c>
      <c r="M51" s="100">
        <v>74.33</v>
      </c>
      <c r="N51" s="100">
        <v>119.7</v>
      </c>
      <c r="O51" s="100">
        <v>0</v>
      </c>
      <c r="P51" s="100">
        <v>0.33</v>
      </c>
      <c r="Q51" s="100">
        <v>10</v>
      </c>
      <c r="R51" s="6"/>
      <c r="S51" s="6"/>
      <c r="T51" s="156"/>
      <c r="U51" s="6"/>
    </row>
    <row r="52" spans="1:21" customFormat="1">
      <c r="A52" s="163" t="s">
        <v>1627</v>
      </c>
      <c r="B52" s="100">
        <v>1.93</v>
      </c>
      <c r="C52" s="100">
        <v>3.82</v>
      </c>
      <c r="D52" s="100">
        <v>2.36</v>
      </c>
      <c r="E52" s="100">
        <v>5.5</v>
      </c>
      <c r="F52" s="100">
        <v>8.5</v>
      </c>
      <c r="G52" s="100">
        <v>21.42</v>
      </c>
      <c r="H52" s="100">
        <v>10.02</v>
      </c>
      <c r="I52" s="100">
        <v>8.51</v>
      </c>
      <c r="J52" s="100">
        <v>0.62</v>
      </c>
      <c r="K52" s="100">
        <v>256.29000000000002</v>
      </c>
      <c r="L52" s="100">
        <v>28.61</v>
      </c>
      <c r="M52" s="100">
        <v>75.959999999999994</v>
      </c>
      <c r="N52" s="100">
        <v>148.4</v>
      </c>
      <c r="O52" s="100">
        <v>0</v>
      </c>
      <c r="P52" s="100">
        <v>0.34</v>
      </c>
      <c r="Q52" s="100">
        <v>10</v>
      </c>
      <c r="R52" s="6"/>
      <c r="S52" s="6"/>
      <c r="T52" s="156"/>
      <c r="U52" s="6"/>
    </row>
    <row r="53" spans="1:21" customFormat="1">
      <c r="A53" s="163" t="s">
        <v>1628</v>
      </c>
      <c r="B53" s="100">
        <v>1.78</v>
      </c>
      <c r="C53" s="100">
        <v>3.65</v>
      </c>
      <c r="D53" s="100">
        <v>2.27</v>
      </c>
      <c r="E53" s="100">
        <v>5.51</v>
      </c>
      <c r="F53" s="100">
        <v>9.99</v>
      </c>
      <c r="G53" s="100">
        <v>19.68</v>
      </c>
      <c r="H53" s="100">
        <v>8.2200000000000006</v>
      </c>
      <c r="I53" s="100">
        <v>9.4</v>
      </c>
      <c r="J53" s="100">
        <v>0.6</v>
      </c>
      <c r="K53" s="100">
        <v>280.67</v>
      </c>
      <c r="L53" s="100">
        <v>29.35</v>
      </c>
      <c r="M53" s="100">
        <v>74.09</v>
      </c>
      <c r="N53" s="100">
        <v>285</v>
      </c>
      <c r="O53" s="100">
        <v>0</v>
      </c>
      <c r="P53" s="100">
        <v>0.35</v>
      </c>
      <c r="Q53" s="100">
        <v>10</v>
      </c>
      <c r="R53" s="6"/>
      <c r="S53" s="6"/>
      <c r="T53" s="156"/>
      <c r="U53" s="6"/>
    </row>
    <row r="54" spans="1:21" customFormat="1">
      <c r="A54" s="163" t="s">
        <v>1629</v>
      </c>
      <c r="B54" s="100">
        <v>1.69</v>
      </c>
      <c r="C54" s="100">
        <v>3.52</v>
      </c>
      <c r="D54" s="100">
        <v>2.17</v>
      </c>
      <c r="E54" s="100">
        <v>5.51</v>
      </c>
      <c r="F54" s="100">
        <v>14.76</v>
      </c>
      <c r="G54" s="100">
        <v>19.68</v>
      </c>
      <c r="H54" s="100">
        <v>8.2200000000000006</v>
      </c>
      <c r="I54" s="100">
        <v>9.36</v>
      </c>
      <c r="J54" s="100">
        <v>0.59</v>
      </c>
      <c r="K54" s="100">
        <v>278.67</v>
      </c>
      <c r="L54" s="100">
        <v>31.19</v>
      </c>
      <c r="M54" s="100">
        <v>67.959999999999994</v>
      </c>
      <c r="N54" s="100">
        <v>294</v>
      </c>
      <c r="O54" s="100">
        <v>0</v>
      </c>
      <c r="P54" s="100">
        <v>0.36</v>
      </c>
      <c r="Q54" s="100">
        <v>10</v>
      </c>
      <c r="R54" s="6"/>
      <c r="S54" s="6"/>
      <c r="T54" s="156"/>
      <c r="U54" s="6"/>
    </row>
    <row r="55" spans="1:21" customFormat="1">
      <c r="A55" s="163" t="s">
        <v>1630</v>
      </c>
      <c r="B55" s="100">
        <v>1.51</v>
      </c>
      <c r="C55" s="100">
        <v>3.14</v>
      </c>
      <c r="D55" s="100">
        <v>1.72</v>
      </c>
      <c r="E55" s="100">
        <v>5.99</v>
      </c>
      <c r="F55" s="100">
        <v>14.88</v>
      </c>
      <c r="G55" s="100">
        <v>19.68</v>
      </c>
      <c r="H55" s="100">
        <v>8.2200000000000006</v>
      </c>
      <c r="I55" s="100">
        <v>9.61</v>
      </c>
      <c r="J55" s="100">
        <v>0.72</v>
      </c>
      <c r="K55" s="100">
        <v>260.64</v>
      </c>
      <c r="L55" s="100">
        <v>31.56</v>
      </c>
      <c r="M55" s="100">
        <v>66.569999999999993</v>
      </c>
      <c r="N55" s="100">
        <v>285.10000000000002</v>
      </c>
      <c r="O55" s="100">
        <v>0</v>
      </c>
      <c r="P55" s="100">
        <v>0.39</v>
      </c>
      <c r="Q55" s="100">
        <v>10</v>
      </c>
      <c r="R55" s="6"/>
      <c r="S55" s="6"/>
      <c r="T55" s="156"/>
      <c r="U55" s="6"/>
    </row>
    <row r="56" spans="1:21" customFormat="1">
      <c r="A56" s="163" t="s">
        <v>1631</v>
      </c>
      <c r="B56" s="100">
        <v>1.43</v>
      </c>
      <c r="C56" s="100">
        <v>2.95</v>
      </c>
      <c r="D56" s="100">
        <v>1.46</v>
      </c>
      <c r="E56" s="100">
        <v>5.9</v>
      </c>
      <c r="F56" s="100">
        <v>16.690000000000001</v>
      </c>
      <c r="G56" s="100">
        <v>19.32</v>
      </c>
      <c r="H56" s="100">
        <v>8.19</v>
      </c>
      <c r="I56" s="100">
        <v>10.77</v>
      </c>
      <c r="J56" s="100">
        <v>0.68</v>
      </c>
      <c r="K56" s="100">
        <v>254.74</v>
      </c>
      <c r="L56" s="100">
        <v>31.46</v>
      </c>
      <c r="M56" s="100">
        <v>66.790000000000006</v>
      </c>
      <c r="N56" s="100">
        <v>411.5</v>
      </c>
      <c r="O56" s="100">
        <v>0</v>
      </c>
      <c r="P56" s="100">
        <v>0.39</v>
      </c>
      <c r="Q56" s="100">
        <v>10</v>
      </c>
      <c r="R56" s="6"/>
      <c r="S56" s="6"/>
      <c r="T56" s="156"/>
      <c r="U56" s="6"/>
    </row>
    <row r="57" spans="1:21" customFormat="1">
      <c r="A57" s="163" t="s">
        <v>1632</v>
      </c>
      <c r="B57" s="100">
        <v>1.3</v>
      </c>
      <c r="C57" s="100">
        <v>2.62</v>
      </c>
      <c r="D57" s="100">
        <v>1.03</v>
      </c>
      <c r="E57" s="100">
        <v>6.09</v>
      </c>
      <c r="F57" s="100">
        <v>19.59</v>
      </c>
      <c r="G57" s="100">
        <v>17.78</v>
      </c>
      <c r="H57" s="100">
        <v>8.1</v>
      </c>
      <c r="I57" s="100">
        <v>10.86</v>
      </c>
      <c r="J57" s="100">
        <v>0.59</v>
      </c>
      <c r="K57" s="100">
        <v>259.20999999999998</v>
      </c>
      <c r="L57" s="100">
        <v>31.96</v>
      </c>
      <c r="M57" s="100">
        <v>65.680000000000007</v>
      </c>
      <c r="N57" s="100">
        <v>482.3</v>
      </c>
      <c r="O57" s="100">
        <v>0</v>
      </c>
      <c r="P57" s="100">
        <v>0.42</v>
      </c>
      <c r="Q57" s="100">
        <v>10</v>
      </c>
      <c r="R57" s="6"/>
      <c r="S57" s="6"/>
      <c r="T57" s="156"/>
      <c r="U57" s="6"/>
    </row>
    <row r="58" spans="1:21" customFormat="1">
      <c r="A58" s="163" t="s">
        <v>1633</v>
      </c>
      <c r="B58" s="100">
        <v>1.28</v>
      </c>
      <c r="C58" s="100">
        <v>2.71</v>
      </c>
      <c r="D58" s="100">
        <v>1.24</v>
      </c>
      <c r="E58" s="100">
        <v>6.13</v>
      </c>
      <c r="F58" s="100">
        <v>18.09</v>
      </c>
      <c r="G58" s="100">
        <v>17.78</v>
      </c>
      <c r="H58" s="100">
        <v>8.1</v>
      </c>
      <c r="I58" s="100">
        <v>9.99</v>
      </c>
      <c r="J58" s="100">
        <v>0.65</v>
      </c>
      <c r="K58" s="100">
        <v>256.67</v>
      </c>
      <c r="L58" s="100">
        <v>31.48</v>
      </c>
      <c r="M58" s="100">
        <v>66.98</v>
      </c>
      <c r="N58" s="100">
        <v>283.89999999999998</v>
      </c>
      <c r="O58" s="100">
        <v>0</v>
      </c>
      <c r="P58" s="100">
        <v>0.38</v>
      </c>
      <c r="Q58" s="100">
        <v>10</v>
      </c>
      <c r="R58" s="6"/>
      <c r="S58" s="6"/>
      <c r="T58" s="156"/>
      <c r="U58" s="6"/>
    </row>
    <row r="59" spans="1:21" customFormat="1">
      <c r="A59" s="163" t="s">
        <v>1634</v>
      </c>
      <c r="B59" s="100">
        <v>1.25</v>
      </c>
      <c r="C59" s="100">
        <v>2.39</v>
      </c>
      <c r="D59" s="100">
        <v>0.69</v>
      </c>
      <c r="E59" s="100">
        <v>5.64</v>
      </c>
      <c r="F59" s="100">
        <v>22.87</v>
      </c>
      <c r="G59" s="100">
        <v>17.78</v>
      </c>
      <c r="H59" s="100">
        <v>8.1</v>
      </c>
      <c r="I59" s="100">
        <v>11.54</v>
      </c>
      <c r="J59" s="100">
        <v>0.56000000000000005</v>
      </c>
      <c r="K59" s="100">
        <v>245.82</v>
      </c>
      <c r="L59" s="100">
        <v>31.62</v>
      </c>
      <c r="M59" s="100">
        <v>67.25</v>
      </c>
      <c r="N59" s="100">
        <v>445.3</v>
      </c>
      <c r="O59" s="100">
        <v>0</v>
      </c>
      <c r="P59" s="100">
        <v>0.36</v>
      </c>
      <c r="Q59" s="100">
        <v>10</v>
      </c>
      <c r="R59" s="6"/>
      <c r="S59" s="6"/>
      <c r="T59" s="156"/>
      <c r="U59" s="6"/>
    </row>
    <row r="60" spans="1:21" customFormat="1">
      <c r="A60" s="163" t="s">
        <v>1635</v>
      </c>
      <c r="B60" s="100">
        <v>1.25</v>
      </c>
      <c r="C60" s="100">
        <v>2.42</v>
      </c>
      <c r="D60" s="100">
        <v>0.72</v>
      </c>
      <c r="E60" s="100">
        <v>5.77</v>
      </c>
      <c r="F60" s="100">
        <v>25.29</v>
      </c>
      <c r="G60" s="100">
        <v>20.059999999999999</v>
      </c>
      <c r="H60" s="100">
        <v>8.9</v>
      </c>
      <c r="I60" s="100">
        <v>11.15</v>
      </c>
      <c r="J60" s="100">
        <v>0.57999999999999996</v>
      </c>
      <c r="K60" s="100">
        <v>258.83999999999997</v>
      </c>
      <c r="L60" s="100">
        <v>32.25</v>
      </c>
      <c r="M60" s="100">
        <v>64.63</v>
      </c>
      <c r="N60" s="100">
        <v>416</v>
      </c>
      <c r="O60" s="100">
        <v>0</v>
      </c>
      <c r="P60" s="100">
        <v>0.32</v>
      </c>
      <c r="Q60" s="100">
        <v>10</v>
      </c>
      <c r="R60" s="6"/>
      <c r="S60" s="6"/>
      <c r="T60" s="156"/>
      <c r="U60" s="6"/>
    </row>
    <row r="61" spans="1:21" customFormat="1">
      <c r="A61" s="163" t="s">
        <v>1636</v>
      </c>
      <c r="B61" s="100">
        <v>1.26</v>
      </c>
      <c r="C61" s="100">
        <v>2.41</v>
      </c>
      <c r="D61" s="100">
        <v>0.69</v>
      </c>
      <c r="E61" s="100">
        <v>5.51</v>
      </c>
      <c r="F61" s="100">
        <v>22.25</v>
      </c>
      <c r="G61" s="100">
        <v>30.61</v>
      </c>
      <c r="H61" s="100">
        <v>11.43</v>
      </c>
      <c r="I61" s="100">
        <v>10.35</v>
      </c>
      <c r="J61" s="100">
        <v>0.56000000000000005</v>
      </c>
      <c r="K61" s="100">
        <v>252.78</v>
      </c>
      <c r="L61" s="100">
        <v>31.71</v>
      </c>
      <c r="M61" s="100">
        <v>66.599999999999994</v>
      </c>
      <c r="N61" s="100">
        <v>192.5</v>
      </c>
      <c r="O61" s="100">
        <v>0</v>
      </c>
      <c r="P61" s="100">
        <v>0.34</v>
      </c>
      <c r="Q61" s="100">
        <v>10</v>
      </c>
      <c r="R61" s="6"/>
      <c r="S61" s="6"/>
      <c r="T61" s="156"/>
      <c r="U61" s="6"/>
    </row>
    <row r="62" spans="1:21" customFormat="1">
      <c r="A62" s="163" t="s">
        <v>1637</v>
      </c>
      <c r="B62" s="100">
        <v>1.26</v>
      </c>
      <c r="C62" s="100">
        <v>2.54</v>
      </c>
      <c r="D62" s="100">
        <v>0.93</v>
      </c>
      <c r="E62" s="100">
        <v>6.44</v>
      </c>
      <c r="F62" s="100">
        <v>14.66</v>
      </c>
      <c r="G62" s="100">
        <v>30.61</v>
      </c>
      <c r="H62" s="100">
        <v>11.43</v>
      </c>
      <c r="I62" s="100">
        <v>9.48</v>
      </c>
      <c r="J62" s="100">
        <v>0.54</v>
      </c>
      <c r="K62" s="100">
        <v>256.22000000000003</v>
      </c>
      <c r="L62" s="100">
        <v>31.14</v>
      </c>
      <c r="M62" s="100">
        <v>68.489999999999995</v>
      </c>
      <c r="N62" s="100">
        <v>133.5</v>
      </c>
      <c r="O62" s="100">
        <v>0</v>
      </c>
      <c r="P62" s="100">
        <v>0.36</v>
      </c>
      <c r="Q62" s="100">
        <v>10</v>
      </c>
      <c r="R62" s="6"/>
      <c r="S62" s="6"/>
      <c r="T62" s="156"/>
      <c r="U62" s="6"/>
    </row>
    <row r="63" spans="1:21" customFormat="1">
      <c r="A63" s="163" t="s">
        <v>1638</v>
      </c>
      <c r="B63" s="100">
        <v>1.24</v>
      </c>
      <c r="C63" s="100">
        <v>2.54</v>
      </c>
      <c r="D63" s="100">
        <v>0.98</v>
      </c>
      <c r="E63" s="100">
        <v>5.44</v>
      </c>
      <c r="F63" s="100">
        <v>3.69</v>
      </c>
      <c r="G63" s="100">
        <v>30.61</v>
      </c>
      <c r="H63" s="100">
        <v>11.43</v>
      </c>
      <c r="I63" s="100">
        <v>9.5299999999999994</v>
      </c>
      <c r="J63" s="100">
        <v>0.54</v>
      </c>
      <c r="K63" s="100">
        <v>251.9</v>
      </c>
      <c r="L63" s="100">
        <v>30.99</v>
      </c>
      <c r="M63" s="100">
        <v>68.099999999999994</v>
      </c>
      <c r="N63" s="100">
        <v>142.30000000000001</v>
      </c>
      <c r="O63" s="100">
        <v>0</v>
      </c>
      <c r="P63" s="100">
        <v>0.39</v>
      </c>
      <c r="Q63" s="100">
        <v>10</v>
      </c>
      <c r="R63" s="6"/>
      <c r="S63" s="6"/>
      <c r="T63" s="156"/>
      <c r="U63" s="6"/>
    </row>
    <row r="64" spans="1:21" customFormat="1">
      <c r="A64" s="163" t="s">
        <v>1639</v>
      </c>
      <c r="B64" s="100">
        <v>1.24</v>
      </c>
      <c r="C64" s="100">
        <v>2.54</v>
      </c>
      <c r="D64" s="100">
        <v>0.97</v>
      </c>
      <c r="E64" s="100">
        <v>5.0999999999999996</v>
      </c>
      <c r="F64" s="100">
        <v>4.68</v>
      </c>
      <c r="G64" s="100">
        <v>29.51</v>
      </c>
      <c r="H64" s="100">
        <v>12</v>
      </c>
      <c r="I64" s="100">
        <v>9.17</v>
      </c>
      <c r="J64" s="100">
        <v>0.48</v>
      </c>
      <c r="K64" s="100">
        <v>265.79000000000002</v>
      </c>
      <c r="L64" s="100">
        <v>30.9</v>
      </c>
      <c r="M64" s="100">
        <v>68.66</v>
      </c>
      <c r="N64" s="100">
        <v>97.2</v>
      </c>
      <c r="O64" s="100">
        <v>0</v>
      </c>
      <c r="P64" s="100">
        <v>0.39</v>
      </c>
      <c r="Q64" s="100">
        <v>10</v>
      </c>
      <c r="R64" s="6"/>
      <c r="S64" s="6"/>
      <c r="T64" s="156"/>
      <c r="U64" s="6"/>
    </row>
    <row r="65" spans="1:21" customFormat="1">
      <c r="A65" s="163" t="s">
        <v>1640</v>
      </c>
      <c r="B65" s="100">
        <v>1.29</v>
      </c>
      <c r="C65" s="100">
        <v>2.9</v>
      </c>
      <c r="D65" s="100">
        <v>1.59</v>
      </c>
      <c r="E65" s="100">
        <v>5.0199999999999996</v>
      </c>
      <c r="F65" s="100">
        <v>2.73</v>
      </c>
      <c r="G65" s="100">
        <v>24.81</v>
      </c>
      <c r="H65" s="100">
        <v>13.95</v>
      </c>
      <c r="I65" s="100">
        <v>7.58</v>
      </c>
      <c r="J65" s="100">
        <v>0.53</v>
      </c>
      <c r="K65" s="100">
        <v>264.14999999999998</v>
      </c>
      <c r="L65" s="100">
        <v>30.74</v>
      </c>
      <c r="M65" s="100">
        <v>68.17</v>
      </c>
      <c r="N65" s="100">
        <v>118</v>
      </c>
      <c r="O65" s="100">
        <v>0</v>
      </c>
      <c r="P65" s="100">
        <v>0.33</v>
      </c>
      <c r="Q65" s="100">
        <v>10</v>
      </c>
      <c r="R65" s="6"/>
      <c r="S65" s="6"/>
      <c r="T65" s="156"/>
      <c r="U65" s="6"/>
    </row>
    <row r="66" spans="1:21" customFormat="1">
      <c r="A66" s="163" t="s">
        <v>1641</v>
      </c>
      <c r="B66" s="100">
        <v>1.26</v>
      </c>
      <c r="C66" s="100">
        <v>2.5299999999999998</v>
      </c>
      <c r="D66" s="100">
        <v>0.93</v>
      </c>
      <c r="E66" s="100">
        <v>4.82</v>
      </c>
      <c r="F66" s="100">
        <v>3.76</v>
      </c>
      <c r="G66" s="100">
        <v>24.81</v>
      </c>
      <c r="H66" s="100">
        <v>13.95</v>
      </c>
      <c r="I66" s="100">
        <v>7.47</v>
      </c>
      <c r="J66" s="100">
        <v>0.56000000000000005</v>
      </c>
      <c r="K66" s="100">
        <v>256.01</v>
      </c>
      <c r="L66" s="100">
        <v>30.89</v>
      </c>
      <c r="M66" s="100">
        <v>65.489999999999995</v>
      </c>
      <c r="N66" s="100">
        <v>132.80000000000001</v>
      </c>
      <c r="O66" s="100">
        <v>0</v>
      </c>
      <c r="P66" s="100">
        <v>0.34</v>
      </c>
      <c r="Q66" s="100">
        <v>10</v>
      </c>
      <c r="R66" s="6"/>
      <c r="S66" s="6"/>
      <c r="T66" s="156"/>
      <c r="U66" s="6"/>
    </row>
    <row r="67" spans="1:21" customFormat="1">
      <c r="A67" s="163" t="s">
        <v>1642</v>
      </c>
      <c r="B67" s="100">
        <v>1.29</v>
      </c>
      <c r="C67" s="100">
        <v>2.71</v>
      </c>
      <c r="D67" s="100">
        <v>1.23</v>
      </c>
      <c r="E67" s="100">
        <v>5.12</v>
      </c>
      <c r="F67" s="100">
        <v>4.9400000000000004</v>
      </c>
      <c r="G67" s="100">
        <v>24.81</v>
      </c>
      <c r="H67" s="100">
        <v>13.95</v>
      </c>
      <c r="I67" s="100">
        <v>7.78</v>
      </c>
      <c r="J67" s="100">
        <v>0.52</v>
      </c>
      <c r="K67" s="100">
        <v>250.48</v>
      </c>
      <c r="L67" s="100">
        <v>31.15</v>
      </c>
      <c r="M67" s="100">
        <v>65.88</v>
      </c>
      <c r="N67" s="100">
        <v>132</v>
      </c>
      <c r="O67" s="100">
        <v>0</v>
      </c>
      <c r="P67" s="100">
        <v>0.32</v>
      </c>
      <c r="Q67" s="100">
        <v>10</v>
      </c>
      <c r="R67" s="6"/>
      <c r="S67" s="6"/>
      <c r="T67" s="156"/>
      <c r="U67" s="6"/>
    </row>
    <row r="68" spans="1:21" customFormat="1">
      <c r="A68" s="163" t="s">
        <v>1643</v>
      </c>
      <c r="B68" s="100">
        <v>1.31</v>
      </c>
      <c r="C68" s="100">
        <v>2.73</v>
      </c>
      <c r="D68" s="100">
        <v>1.23</v>
      </c>
      <c r="E68" s="100">
        <v>5.19</v>
      </c>
      <c r="F68" s="100">
        <v>7.61</v>
      </c>
      <c r="G68" s="100">
        <v>25.64</v>
      </c>
      <c r="H68" s="100">
        <v>13.29</v>
      </c>
      <c r="I68" s="100">
        <v>8.89</v>
      </c>
      <c r="J68" s="100">
        <v>0.65</v>
      </c>
      <c r="K68" s="100">
        <v>251.86</v>
      </c>
      <c r="L68" s="100">
        <v>30.96</v>
      </c>
      <c r="M68" s="100">
        <v>66.510000000000005</v>
      </c>
      <c r="N68" s="100">
        <v>136.9</v>
      </c>
      <c r="O68" s="100">
        <v>0</v>
      </c>
      <c r="P68" s="100">
        <v>0.28999999999999998</v>
      </c>
      <c r="Q68" s="100">
        <v>10</v>
      </c>
      <c r="R68" s="6"/>
      <c r="S68" s="6"/>
      <c r="T68" s="156"/>
      <c r="U68" s="6"/>
    </row>
    <row r="69" spans="1:21" customFormat="1">
      <c r="A69" s="163" t="s">
        <v>1644</v>
      </c>
      <c r="B69" s="100">
        <v>1.53</v>
      </c>
      <c r="C69" s="100">
        <v>3.35</v>
      </c>
      <c r="D69" s="100">
        <v>2.08</v>
      </c>
      <c r="E69" s="100">
        <v>5.48</v>
      </c>
      <c r="F69" s="100">
        <v>11.83</v>
      </c>
      <c r="G69" s="100">
        <v>29.44</v>
      </c>
      <c r="H69" s="100">
        <v>9.93</v>
      </c>
      <c r="I69" s="100">
        <v>8.5500000000000007</v>
      </c>
      <c r="J69" s="100">
        <v>0.49</v>
      </c>
      <c r="K69" s="100">
        <v>250.82</v>
      </c>
      <c r="L69" s="100">
        <v>30.96</v>
      </c>
      <c r="M69" s="100">
        <v>67.59</v>
      </c>
      <c r="N69" s="100">
        <v>118.4</v>
      </c>
      <c r="O69" s="100">
        <v>0</v>
      </c>
      <c r="P69" s="100">
        <v>0.26</v>
      </c>
      <c r="Q69" s="100">
        <v>10</v>
      </c>
      <c r="R69" s="6"/>
      <c r="S69" s="6"/>
      <c r="T69" s="156"/>
      <c r="U69" s="6"/>
    </row>
    <row r="70" spans="1:21" customFormat="1">
      <c r="A70" s="163" t="s">
        <v>1645</v>
      </c>
      <c r="B70" s="100">
        <v>1.48</v>
      </c>
      <c r="C70" s="100">
        <v>3.26</v>
      </c>
      <c r="D70" s="100">
        <v>1.97</v>
      </c>
      <c r="E70" s="100">
        <v>5.97</v>
      </c>
      <c r="F70" s="100">
        <v>7.97</v>
      </c>
      <c r="G70" s="100">
        <v>29.44</v>
      </c>
      <c r="H70" s="100">
        <v>9.93</v>
      </c>
      <c r="I70" s="100">
        <v>8.14</v>
      </c>
      <c r="J70" s="100">
        <v>0.72</v>
      </c>
      <c r="K70" s="100">
        <v>326.24</v>
      </c>
      <c r="L70" s="100">
        <v>30.09</v>
      </c>
      <c r="M70" s="100">
        <v>69.599999999999994</v>
      </c>
      <c r="N70" s="100">
        <v>69.099999999999994</v>
      </c>
      <c r="O70" s="100">
        <v>0</v>
      </c>
      <c r="P70" s="100">
        <v>0.27</v>
      </c>
      <c r="Q70" s="100">
        <v>10</v>
      </c>
      <c r="R70" s="6"/>
      <c r="S70" s="6"/>
      <c r="T70" s="156"/>
      <c r="U70" s="6"/>
    </row>
    <row r="71" spans="1:21" customFormat="1">
      <c r="A71" s="163" t="s">
        <v>1646</v>
      </c>
      <c r="B71" s="100">
        <v>1.38</v>
      </c>
      <c r="C71" s="100">
        <v>2.87</v>
      </c>
      <c r="D71" s="100">
        <v>1.39</v>
      </c>
      <c r="E71" s="100">
        <v>5.88</v>
      </c>
      <c r="F71" s="100">
        <v>6.2</v>
      </c>
      <c r="G71" s="100">
        <v>29.44</v>
      </c>
      <c r="H71" s="100">
        <v>9.93</v>
      </c>
      <c r="I71" s="100">
        <v>7.65</v>
      </c>
      <c r="J71" s="100">
        <v>1.1000000000000001</v>
      </c>
      <c r="K71" s="100">
        <v>32.54</v>
      </c>
      <c r="L71" s="100">
        <v>28.26</v>
      </c>
      <c r="M71" s="100">
        <v>77.77</v>
      </c>
      <c r="N71" s="100">
        <v>50.8</v>
      </c>
      <c r="O71" s="100">
        <v>0</v>
      </c>
      <c r="P71" s="100">
        <v>0.25</v>
      </c>
      <c r="Q71" s="100">
        <v>10</v>
      </c>
      <c r="R71" s="6"/>
      <c r="S71" s="6"/>
      <c r="T71" s="156"/>
      <c r="U71" s="6"/>
    </row>
    <row r="72" spans="1:21" customFormat="1">
      <c r="A72" s="163" t="s">
        <v>1647</v>
      </c>
      <c r="B72" s="100">
        <v>1.46</v>
      </c>
      <c r="C72" s="100">
        <v>3.12</v>
      </c>
      <c r="D72" s="100">
        <v>1.75</v>
      </c>
      <c r="E72" s="100">
        <v>5.17</v>
      </c>
      <c r="F72" s="100">
        <v>6.33</v>
      </c>
      <c r="G72" s="100">
        <v>29.59</v>
      </c>
      <c r="H72" s="100">
        <v>9.92</v>
      </c>
      <c r="I72" s="100">
        <v>7.88</v>
      </c>
      <c r="J72" s="100">
        <v>0.71</v>
      </c>
      <c r="K72" s="100">
        <v>42.29</v>
      </c>
      <c r="L72" s="100">
        <v>27.67</v>
      </c>
      <c r="M72" s="100">
        <v>80.260000000000005</v>
      </c>
      <c r="N72" s="100">
        <v>41.1</v>
      </c>
      <c r="O72" s="100">
        <v>0</v>
      </c>
      <c r="P72" s="100">
        <v>0.24</v>
      </c>
      <c r="Q72" s="100">
        <v>10</v>
      </c>
      <c r="R72" s="6"/>
      <c r="S72" s="6"/>
      <c r="T72" s="156"/>
      <c r="U72" s="6"/>
    </row>
    <row r="73" spans="1:21" customFormat="1">
      <c r="A73" s="163" t="s">
        <v>1648</v>
      </c>
      <c r="B73" s="100">
        <v>1.8</v>
      </c>
      <c r="C73" s="100">
        <v>3.74</v>
      </c>
      <c r="D73" s="100">
        <v>2.42</v>
      </c>
      <c r="E73" s="100">
        <v>5.0199999999999996</v>
      </c>
      <c r="F73" s="100">
        <v>4.84</v>
      </c>
      <c r="G73" s="100">
        <v>30.26</v>
      </c>
      <c r="H73" s="100">
        <v>9.8800000000000008</v>
      </c>
      <c r="I73" s="100">
        <v>7.73</v>
      </c>
      <c r="J73" s="100">
        <v>0.72</v>
      </c>
      <c r="K73" s="100">
        <v>38.57</v>
      </c>
      <c r="L73" s="100">
        <v>27.58</v>
      </c>
      <c r="M73" s="100">
        <v>79.06</v>
      </c>
      <c r="N73" s="100">
        <v>42.8</v>
      </c>
      <c r="O73" s="100">
        <v>0</v>
      </c>
      <c r="P73" s="100">
        <v>0.22</v>
      </c>
      <c r="Q73" s="100">
        <v>10</v>
      </c>
      <c r="R73" s="6"/>
      <c r="S73" s="6"/>
      <c r="T73" s="156"/>
      <c r="U73" s="6"/>
    </row>
    <row r="74" spans="1:21" customFormat="1">
      <c r="A74" s="163" t="s">
        <v>1649</v>
      </c>
      <c r="B74" s="100">
        <v>1.79</v>
      </c>
      <c r="C74" s="100">
        <v>3.66</v>
      </c>
      <c r="D74" s="100">
        <v>2.27</v>
      </c>
      <c r="E74" s="100">
        <v>4.5999999999999996</v>
      </c>
      <c r="F74" s="100">
        <v>4.0199999999999996</v>
      </c>
      <c r="G74" s="100">
        <v>30.26</v>
      </c>
      <c r="H74" s="100">
        <v>9.8800000000000008</v>
      </c>
      <c r="I74" s="100">
        <v>7.49</v>
      </c>
      <c r="J74" s="100">
        <v>0.41</v>
      </c>
      <c r="K74" s="100">
        <v>63.65</v>
      </c>
      <c r="L74" s="100">
        <v>27.59</v>
      </c>
      <c r="M74" s="100">
        <v>78.55</v>
      </c>
      <c r="N74" s="100">
        <v>39.5</v>
      </c>
      <c r="O74" s="100">
        <v>0</v>
      </c>
      <c r="P74" s="100">
        <v>0.22</v>
      </c>
      <c r="Q74" s="100">
        <v>10</v>
      </c>
      <c r="R74" s="6"/>
      <c r="S74" s="6"/>
      <c r="T74" s="156"/>
      <c r="U74" s="6"/>
    </row>
    <row r="75" spans="1:21" customFormat="1">
      <c r="A75" s="163" t="s">
        <v>1650</v>
      </c>
      <c r="B75" s="100">
        <v>1.57</v>
      </c>
      <c r="C75" s="100">
        <v>3.05</v>
      </c>
      <c r="D75" s="100">
        <v>1.45</v>
      </c>
      <c r="E75" s="100">
        <v>4.59</v>
      </c>
      <c r="F75" s="100">
        <v>2.99</v>
      </c>
      <c r="G75" s="100">
        <v>30.26</v>
      </c>
      <c r="H75" s="100">
        <v>9.8800000000000008</v>
      </c>
      <c r="I75" s="100">
        <v>7.27</v>
      </c>
      <c r="J75" s="100">
        <v>0.17</v>
      </c>
      <c r="K75" s="100">
        <v>25.79</v>
      </c>
      <c r="L75" s="100">
        <v>27.85</v>
      </c>
      <c r="M75" s="100">
        <v>78.14</v>
      </c>
      <c r="N75" s="100">
        <v>36.4</v>
      </c>
      <c r="O75" s="100">
        <v>0</v>
      </c>
      <c r="P75" s="100">
        <v>0.24</v>
      </c>
      <c r="Q75" s="100">
        <v>10</v>
      </c>
      <c r="R75" s="6"/>
      <c r="S75" s="6"/>
      <c r="T75" s="156"/>
      <c r="U75" s="6"/>
    </row>
    <row r="76" spans="1:21" customFormat="1">
      <c r="A76" s="163" t="s">
        <v>1651</v>
      </c>
      <c r="B76" s="100">
        <v>1.81</v>
      </c>
      <c r="C76" s="100">
        <v>3.74</v>
      </c>
      <c r="D76" s="100">
        <v>2.4</v>
      </c>
      <c r="E76" s="100">
        <v>4.55</v>
      </c>
      <c r="F76" s="100">
        <v>6</v>
      </c>
      <c r="G76" s="100">
        <v>29.48</v>
      </c>
      <c r="H76" s="100">
        <v>9.4600000000000009</v>
      </c>
      <c r="I76" s="100">
        <v>7.23</v>
      </c>
      <c r="J76" s="100">
        <v>0.18</v>
      </c>
      <c r="K76" s="100">
        <v>85.69</v>
      </c>
      <c r="L76" s="100">
        <v>28.07</v>
      </c>
      <c r="M76" s="100">
        <v>78.33</v>
      </c>
      <c r="N76" s="100">
        <v>34.799999999999997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163" t="s">
        <v>1652</v>
      </c>
      <c r="B77" s="100">
        <v>1.98</v>
      </c>
      <c r="C77" s="100">
        <v>4.0999999999999996</v>
      </c>
      <c r="D77" s="100">
        <v>2.82</v>
      </c>
      <c r="E77" s="100">
        <v>5.08</v>
      </c>
      <c r="F77" s="100">
        <v>4.62</v>
      </c>
      <c r="G77" s="100">
        <v>25.86</v>
      </c>
      <c r="H77" s="100">
        <v>8.0299999999999994</v>
      </c>
      <c r="I77" s="100">
        <v>7.16</v>
      </c>
      <c r="J77" s="100">
        <v>0.28000000000000003</v>
      </c>
      <c r="K77" s="100">
        <v>68.08</v>
      </c>
      <c r="L77" s="100">
        <v>28.21</v>
      </c>
      <c r="M77" s="100">
        <v>76.67</v>
      </c>
      <c r="N77" s="100">
        <v>33.5</v>
      </c>
      <c r="O77" s="100">
        <v>0</v>
      </c>
      <c r="P77" s="100">
        <v>0.23</v>
      </c>
      <c r="Q77" s="100">
        <v>10</v>
      </c>
      <c r="R77" s="6"/>
      <c r="S77" s="6"/>
      <c r="T77" s="156"/>
      <c r="U77" s="6"/>
    </row>
    <row r="78" spans="1:21" customFormat="1">
      <c r="A78" s="163" t="s">
        <v>1653</v>
      </c>
      <c r="B78" s="100">
        <v>1.8</v>
      </c>
      <c r="C78" s="100">
        <v>3.73</v>
      </c>
      <c r="D78" s="100">
        <v>2.39</v>
      </c>
      <c r="E78" s="100">
        <v>5.12</v>
      </c>
      <c r="F78" s="100">
        <v>2.34</v>
      </c>
      <c r="G78" s="100">
        <v>25.86</v>
      </c>
      <c r="H78" s="100">
        <v>8.0299999999999994</v>
      </c>
      <c r="I78" s="100">
        <v>6.93</v>
      </c>
      <c r="J78" s="100">
        <v>0.33</v>
      </c>
      <c r="K78" s="100">
        <v>58.98</v>
      </c>
      <c r="L78" s="100">
        <v>28.22</v>
      </c>
      <c r="M78" s="100">
        <v>76.680000000000007</v>
      </c>
      <c r="N78" s="100">
        <v>30.6</v>
      </c>
      <c r="O78" s="100">
        <v>0</v>
      </c>
      <c r="P78" s="100">
        <v>0.24</v>
      </c>
      <c r="Q78" s="100">
        <v>10</v>
      </c>
      <c r="R78" s="6"/>
      <c r="S78" s="6"/>
      <c r="T78" s="156"/>
      <c r="U78" s="6"/>
    </row>
    <row r="79" spans="1:21" customFormat="1">
      <c r="A79" s="163" t="s">
        <v>1654</v>
      </c>
      <c r="B79" s="100">
        <v>2.4900000000000002</v>
      </c>
      <c r="C79" s="100">
        <v>4.8099999999999996</v>
      </c>
      <c r="D79" s="100">
        <v>3.4</v>
      </c>
      <c r="E79" s="100">
        <v>6.48</v>
      </c>
      <c r="F79" s="100">
        <v>3.71</v>
      </c>
      <c r="G79" s="100">
        <v>25.86</v>
      </c>
      <c r="H79" s="100">
        <v>8.0299999999999994</v>
      </c>
      <c r="I79" s="100">
        <v>7.86</v>
      </c>
      <c r="J79" s="100">
        <v>0.43</v>
      </c>
      <c r="K79" s="100">
        <v>46.78</v>
      </c>
      <c r="L79" s="100">
        <v>28.26</v>
      </c>
      <c r="M79" s="100">
        <v>76.739999999999995</v>
      </c>
      <c r="N79" s="100">
        <v>25.2</v>
      </c>
      <c r="O79" s="100">
        <v>0</v>
      </c>
      <c r="P79" s="100">
        <v>0.25</v>
      </c>
      <c r="Q79" s="100">
        <v>10</v>
      </c>
      <c r="R79" s="6"/>
      <c r="S79" s="6"/>
      <c r="T79" s="156"/>
      <c r="U79" s="6"/>
    </row>
    <row r="80" spans="1:21" customFormat="1">
      <c r="A80" s="163" t="s">
        <v>1655</v>
      </c>
      <c r="B80" s="100">
        <v>2.3199999999999998</v>
      </c>
      <c r="C80" s="100">
        <v>4.32</v>
      </c>
      <c r="D80" s="100">
        <v>2.73</v>
      </c>
      <c r="E80" s="100">
        <v>6.97</v>
      </c>
      <c r="F80" s="100">
        <v>5.43</v>
      </c>
      <c r="G80" s="100">
        <v>26.64</v>
      </c>
      <c r="H80" s="100">
        <v>8.6199999999999992</v>
      </c>
      <c r="I80" s="100">
        <v>8.1999999999999993</v>
      </c>
      <c r="J80" s="100">
        <v>0.3</v>
      </c>
      <c r="K80" s="100">
        <v>58.71</v>
      </c>
      <c r="L80" s="100">
        <v>28.26</v>
      </c>
      <c r="M80" s="100">
        <v>78.58</v>
      </c>
      <c r="N80" s="100">
        <v>19.7</v>
      </c>
      <c r="O80" s="100">
        <v>0</v>
      </c>
      <c r="P80" s="100">
        <v>0.23</v>
      </c>
      <c r="Q80" s="100">
        <v>10</v>
      </c>
      <c r="R80" s="6"/>
      <c r="S80" s="6"/>
      <c r="T80" s="156"/>
      <c r="U80" s="6"/>
    </row>
    <row r="81" spans="1:21" customFormat="1">
      <c r="A81" s="163" t="s">
        <v>1656</v>
      </c>
      <c r="B81" s="100">
        <v>2.5299999999999998</v>
      </c>
      <c r="C81" s="100">
        <v>4.6500000000000004</v>
      </c>
      <c r="D81" s="100">
        <v>3.04</v>
      </c>
      <c r="E81" s="100">
        <v>5.34</v>
      </c>
      <c r="F81" s="100">
        <v>2.84</v>
      </c>
      <c r="G81" s="100">
        <v>30.25</v>
      </c>
      <c r="H81" s="100">
        <v>10.52</v>
      </c>
      <c r="I81" s="100">
        <v>8.18</v>
      </c>
      <c r="J81" s="100">
        <v>0.54</v>
      </c>
      <c r="K81" s="100">
        <v>42.72</v>
      </c>
      <c r="L81" s="100">
        <v>28.29</v>
      </c>
      <c r="M81" s="100">
        <v>78.16</v>
      </c>
      <c r="N81" s="100">
        <v>14</v>
      </c>
      <c r="O81" s="100">
        <v>0</v>
      </c>
      <c r="P81" s="100">
        <v>0.24</v>
      </c>
      <c r="Q81" s="100">
        <v>10</v>
      </c>
      <c r="R81" s="6"/>
      <c r="S81" s="6"/>
      <c r="T81" s="156"/>
      <c r="U81" s="6"/>
    </row>
    <row r="82" spans="1:21" customFormat="1">
      <c r="A82" s="163" t="s">
        <v>1657</v>
      </c>
      <c r="B82" s="100">
        <v>2.46</v>
      </c>
      <c r="C82" s="100">
        <v>4.5199999999999996</v>
      </c>
      <c r="D82" s="100">
        <v>2.9</v>
      </c>
      <c r="E82" s="100">
        <v>5.0599999999999996</v>
      </c>
      <c r="F82" s="100">
        <v>3.75</v>
      </c>
      <c r="G82" s="100">
        <v>30.25</v>
      </c>
      <c r="H82" s="100">
        <v>10.52</v>
      </c>
      <c r="I82" s="100">
        <v>7.28</v>
      </c>
      <c r="J82" s="100">
        <v>0.4</v>
      </c>
      <c r="K82" s="100">
        <v>57.44</v>
      </c>
      <c r="L82" s="100">
        <v>28.14</v>
      </c>
      <c r="M82" s="100">
        <v>79.53</v>
      </c>
      <c r="N82" s="100">
        <v>9.1</v>
      </c>
      <c r="O82" s="100">
        <v>0</v>
      </c>
      <c r="P82" s="100">
        <v>0.25</v>
      </c>
      <c r="Q82" s="100">
        <v>10</v>
      </c>
      <c r="R82" s="6"/>
      <c r="S82" s="6"/>
      <c r="T82" s="156"/>
      <c r="U82" s="6"/>
    </row>
    <row r="83" spans="1:21" customFormat="1">
      <c r="A83" s="163" t="s">
        <v>1658</v>
      </c>
      <c r="B83" s="100">
        <v>2.44</v>
      </c>
      <c r="C83" s="100">
        <v>4.47</v>
      </c>
      <c r="D83" s="100">
        <v>2.83</v>
      </c>
      <c r="E83" s="100">
        <v>4.46</v>
      </c>
      <c r="F83" s="100">
        <v>4.96</v>
      </c>
      <c r="G83" s="100">
        <v>30.25</v>
      </c>
      <c r="H83" s="100">
        <v>10.52</v>
      </c>
      <c r="I83" s="100">
        <v>7.59</v>
      </c>
      <c r="J83" s="100">
        <v>0.38</v>
      </c>
      <c r="K83" s="100">
        <v>51.77</v>
      </c>
      <c r="L83" s="100">
        <v>28.01</v>
      </c>
      <c r="M83" s="100">
        <v>80.540000000000006</v>
      </c>
      <c r="N83" s="100">
        <v>4.5</v>
      </c>
      <c r="O83" s="100">
        <v>0</v>
      </c>
      <c r="P83" s="100">
        <v>0.23</v>
      </c>
      <c r="Q83" s="100">
        <v>10</v>
      </c>
      <c r="R83" s="6"/>
      <c r="S83" s="6"/>
      <c r="T83" s="156"/>
      <c r="U83" s="6"/>
    </row>
    <row r="84" spans="1:21" customFormat="1">
      <c r="A84" s="163" t="s">
        <v>1659</v>
      </c>
      <c r="B84" s="100">
        <v>2.3199999999999998</v>
      </c>
      <c r="C84" s="100">
        <v>4.2300000000000004</v>
      </c>
      <c r="D84" s="100">
        <v>2.54</v>
      </c>
      <c r="E84" s="100">
        <v>4.42</v>
      </c>
      <c r="F84" s="100">
        <v>2.89</v>
      </c>
      <c r="G84" s="100">
        <v>32.42</v>
      </c>
      <c r="H84" s="100">
        <v>10.83</v>
      </c>
      <c r="I84" s="100">
        <v>7.49</v>
      </c>
      <c r="J84" s="100">
        <v>0.45</v>
      </c>
      <c r="K84" s="100">
        <v>42.19</v>
      </c>
      <c r="L84" s="100">
        <v>27.94</v>
      </c>
      <c r="M84" s="100">
        <v>80.64</v>
      </c>
      <c r="N84" s="100">
        <v>2.4</v>
      </c>
      <c r="O84" s="100">
        <v>0</v>
      </c>
      <c r="P84" s="100">
        <v>0.25</v>
      </c>
      <c r="Q84" s="100">
        <v>10</v>
      </c>
      <c r="R84" s="6"/>
      <c r="S84" s="6"/>
      <c r="T84" s="156"/>
      <c r="U84" s="6"/>
    </row>
    <row r="85" spans="1:21" customFormat="1">
      <c r="A85" s="163" t="s">
        <v>1660</v>
      </c>
      <c r="B85" s="100">
        <v>2.62</v>
      </c>
      <c r="C85" s="100">
        <v>4.6900000000000004</v>
      </c>
      <c r="D85" s="100">
        <v>2.98</v>
      </c>
      <c r="E85" s="100">
        <v>4.51</v>
      </c>
      <c r="F85" s="100">
        <v>2.8</v>
      </c>
      <c r="G85" s="100">
        <v>42.43</v>
      </c>
      <c r="H85" s="100">
        <v>12.42</v>
      </c>
      <c r="I85" s="100">
        <v>7.31</v>
      </c>
      <c r="J85" s="100">
        <v>0.33</v>
      </c>
      <c r="K85" s="100">
        <v>337.66</v>
      </c>
      <c r="L85" s="100">
        <v>27.88</v>
      </c>
      <c r="M85" s="100">
        <v>80.63</v>
      </c>
      <c r="N85" s="100">
        <v>2.2000000000000002</v>
      </c>
      <c r="O85" s="100">
        <v>0</v>
      </c>
      <c r="P85" s="100">
        <v>0.26</v>
      </c>
      <c r="Q85" s="100">
        <v>10</v>
      </c>
      <c r="R85" s="6"/>
      <c r="S85" s="6"/>
      <c r="T85" s="156"/>
      <c r="U85" s="6"/>
    </row>
    <row r="86" spans="1:21" customFormat="1">
      <c r="A86" s="163" t="s">
        <v>1661</v>
      </c>
      <c r="B86" s="100">
        <v>2.96</v>
      </c>
      <c r="C86" s="100">
        <v>5.17</v>
      </c>
      <c r="D86" s="100">
        <v>3.36</v>
      </c>
      <c r="E86" s="100">
        <v>4.54</v>
      </c>
      <c r="F86" s="100">
        <v>2.62</v>
      </c>
      <c r="G86" s="100">
        <v>42.43</v>
      </c>
      <c r="H86" s="100">
        <v>12.42</v>
      </c>
      <c r="I86" s="100">
        <v>7.52</v>
      </c>
      <c r="J86" s="100">
        <v>0.14000000000000001</v>
      </c>
      <c r="K86" s="100">
        <v>228.18</v>
      </c>
      <c r="L86" s="100">
        <v>26.9</v>
      </c>
      <c r="M86" s="100">
        <v>90.21</v>
      </c>
      <c r="N86" s="100">
        <v>4.8</v>
      </c>
      <c r="O86" s="100">
        <v>3</v>
      </c>
      <c r="P86" s="100">
        <v>0.25</v>
      </c>
      <c r="Q86" s="100">
        <v>10</v>
      </c>
      <c r="R86" s="6"/>
      <c r="S86" s="6"/>
      <c r="T86" s="156"/>
      <c r="U86" s="6"/>
    </row>
    <row r="87" spans="1:21" customFormat="1">
      <c r="A87" s="163" t="s">
        <v>1662</v>
      </c>
      <c r="B87" s="100">
        <v>2.85</v>
      </c>
      <c r="C87" s="100">
        <v>5.09</v>
      </c>
      <c r="D87" s="100">
        <v>3.39</v>
      </c>
      <c r="E87" s="100">
        <v>4.3099999999999996</v>
      </c>
      <c r="F87" s="100">
        <v>2.2799999999999998</v>
      </c>
      <c r="G87" s="100">
        <v>42.43</v>
      </c>
      <c r="H87" s="100">
        <v>12.42</v>
      </c>
      <c r="I87" s="100">
        <v>7.5</v>
      </c>
      <c r="J87" s="100">
        <v>0.19</v>
      </c>
      <c r="K87" s="100">
        <v>153.99</v>
      </c>
      <c r="L87" s="100">
        <v>26.2</v>
      </c>
      <c r="M87" s="100">
        <v>97.32</v>
      </c>
      <c r="N87" s="100">
        <v>2.6</v>
      </c>
      <c r="O87" s="100">
        <v>0</v>
      </c>
      <c r="P87" s="100">
        <v>0.27</v>
      </c>
      <c r="Q87" s="100">
        <v>10</v>
      </c>
      <c r="R87" s="6"/>
      <c r="S87" s="6"/>
      <c r="T87" s="156"/>
      <c r="U87" s="6"/>
    </row>
    <row r="88" spans="1:21" customFormat="1">
      <c r="A88" s="163" t="s">
        <v>1663</v>
      </c>
      <c r="B88" s="100">
        <v>2.4</v>
      </c>
      <c r="C88" s="100">
        <v>4.3600000000000003</v>
      </c>
      <c r="D88" s="100">
        <v>2.68</v>
      </c>
      <c r="E88" s="100">
        <v>4.45</v>
      </c>
      <c r="F88" s="100">
        <v>1.72</v>
      </c>
      <c r="G88" s="100">
        <v>42.12</v>
      </c>
      <c r="H88" s="100">
        <v>12.16</v>
      </c>
      <c r="I88" s="100">
        <v>7.54</v>
      </c>
      <c r="J88" s="100">
        <v>0.18</v>
      </c>
      <c r="K88" s="100">
        <v>163.46</v>
      </c>
      <c r="L88" s="100">
        <v>26</v>
      </c>
      <c r="M88" s="100">
        <v>97.49</v>
      </c>
      <c r="N88" s="100">
        <v>2.8</v>
      </c>
      <c r="O88" s="100">
        <v>0</v>
      </c>
      <c r="P88" s="100">
        <v>0.28000000000000003</v>
      </c>
      <c r="Q88" s="100">
        <v>10</v>
      </c>
      <c r="R88" s="6"/>
      <c r="S88" s="6"/>
      <c r="T88" s="156"/>
      <c r="U88" s="6"/>
    </row>
    <row r="89" spans="1:21" customFormat="1">
      <c r="A89" s="163" t="s">
        <v>1664</v>
      </c>
      <c r="B89" s="100">
        <v>2.52</v>
      </c>
      <c r="C89" s="100">
        <v>4.49</v>
      </c>
      <c r="D89" s="100">
        <v>2.75</v>
      </c>
      <c r="E89" s="100">
        <v>4.28</v>
      </c>
      <c r="F89" s="100">
        <v>1.61</v>
      </c>
      <c r="G89" s="100">
        <v>40.72</v>
      </c>
      <c r="H89" s="100">
        <v>11.3</v>
      </c>
      <c r="I89" s="100">
        <v>7.53</v>
      </c>
      <c r="J89" s="100">
        <v>0.55000000000000004</v>
      </c>
      <c r="K89" s="100">
        <v>250.45</v>
      </c>
      <c r="L89" s="100">
        <v>25.89</v>
      </c>
      <c r="M89" s="100">
        <v>97.81</v>
      </c>
      <c r="N89" s="100">
        <v>2.8</v>
      </c>
      <c r="O89" s="100">
        <v>2.2000000000000002</v>
      </c>
      <c r="P89" s="100">
        <v>0.28999999999999998</v>
      </c>
      <c r="Q89" s="100">
        <v>10</v>
      </c>
      <c r="R89" s="6"/>
      <c r="S89" s="6"/>
      <c r="T89" s="156"/>
      <c r="U89" s="6"/>
    </row>
    <row r="90" spans="1:21" customFormat="1">
      <c r="A90" s="163" t="s">
        <v>1665</v>
      </c>
      <c r="B90" s="100">
        <v>2.76</v>
      </c>
      <c r="C90" s="100">
        <v>4.82</v>
      </c>
      <c r="D90" s="100">
        <v>3.02</v>
      </c>
      <c r="E90" s="100">
        <v>4.71</v>
      </c>
      <c r="F90" s="100">
        <v>1.61</v>
      </c>
      <c r="G90" s="100">
        <v>40.72</v>
      </c>
      <c r="H90" s="100">
        <v>11.3</v>
      </c>
      <c r="I90" s="100">
        <v>7.36</v>
      </c>
      <c r="J90" s="100">
        <v>0.1</v>
      </c>
      <c r="K90" s="100">
        <v>165.27</v>
      </c>
      <c r="L90" s="100">
        <v>25.66</v>
      </c>
      <c r="M90" s="100">
        <v>98.19</v>
      </c>
      <c r="N90" s="100">
        <v>2</v>
      </c>
      <c r="O90" s="100">
        <v>0</v>
      </c>
      <c r="P90" s="100">
        <v>0.28000000000000003</v>
      </c>
      <c r="Q90" s="100">
        <v>10</v>
      </c>
      <c r="R90" s="6"/>
      <c r="S90" s="6"/>
      <c r="T90" s="156"/>
      <c r="U90" s="6"/>
    </row>
    <row r="91" spans="1:21" customFormat="1">
      <c r="A91" s="163" t="s">
        <v>1666</v>
      </c>
      <c r="B91" s="100">
        <v>2.77</v>
      </c>
      <c r="C91" s="100">
        <v>4.9800000000000004</v>
      </c>
      <c r="D91" s="100">
        <v>3.3</v>
      </c>
      <c r="E91" s="100">
        <v>4.62</v>
      </c>
      <c r="F91" s="100">
        <v>1.45</v>
      </c>
      <c r="G91" s="100">
        <v>40.72</v>
      </c>
      <c r="H91" s="100">
        <v>11.3</v>
      </c>
      <c r="I91" s="100">
        <v>7.29</v>
      </c>
      <c r="J91" s="100">
        <v>0.13</v>
      </c>
      <c r="K91" s="100">
        <v>140.88</v>
      </c>
      <c r="L91" s="100">
        <v>25.93</v>
      </c>
      <c r="M91" s="100">
        <v>98.21</v>
      </c>
      <c r="N91" s="100">
        <v>2.1</v>
      </c>
      <c r="O91" s="100">
        <v>0</v>
      </c>
      <c r="P91" s="100">
        <v>0.28000000000000003</v>
      </c>
      <c r="Q91" s="100">
        <v>10</v>
      </c>
      <c r="R91" s="6"/>
      <c r="S91" s="6"/>
      <c r="T91" s="156"/>
      <c r="U91" s="6"/>
    </row>
    <row r="92" spans="1:21" customFormat="1">
      <c r="A92" s="163" t="s">
        <v>1667</v>
      </c>
      <c r="B92" s="100">
        <v>2.6</v>
      </c>
      <c r="C92" s="100">
        <v>4.8</v>
      </c>
      <c r="D92" s="100">
        <v>3.21</v>
      </c>
      <c r="E92" s="100">
        <v>4.8099999999999996</v>
      </c>
      <c r="F92" s="100">
        <v>1.4</v>
      </c>
      <c r="G92" s="100">
        <v>39.340000000000003</v>
      </c>
      <c r="H92" s="100">
        <v>10.53</v>
      </c>
      <c r="I92" s="100">
        <v>7.14</v>
      </c>
      <c r="J92" s="100">
        <v>0.15</v>
      </c>
      <c r="K92" s="100">
        <v>174.2</v>
      </c>
      <c r="L92" s="100">
        <v>25.99</v>
      </c>
      <c r="M92" s="100">
        <v>98.23</v>
      </c>
      <c r="N92" s="100">
        <v>2.2000000000000002</v>
      </c>
      <c r="O92" s="100">
        <v>0</v>
      </c>
      <c r="P92" s="100">
        <v>0.27</v>
      </c>
      <c r="Q92" s="100">
        <v>10</v>
      </c>
      <c r="R92" s="6"/>
      <c r="S92" s="6"/>
      <c r="T92" s="156"/>
      <c r="U92" s="6"/>
    </row>
    <row r="93" spans="1:21" customFormat="1">
      <c r="A93" s="163" t="s">
        <v>1668</v>
      </c>
      <c r="B93" s="100">
        <v>2.68</v>
      </c>
      <c r="C93" s="100">
        <v>4.99</v>
      </c>
      <c r="D93" s="100">
        <v>3.45</v>
      </c>
      <c r="E93" s="100">
        <v>4.59</v>
      </c>
      <c r="F93" s="100">
        <v>1.26</v>
      </c>
      <c r="G93" s="100">
        <v>33.43</v>
      </c>
      <c r="H93" s="100">
        <v>8.07</v>
      </c>
      <c r="I93" s="100">
        <v>6.99</v>
      </c>
      <c r="J93" s="100">
        <v>0.37</v>
      </c>
      <c r="K93" s="100">
        <v>252.13</v>
      </c>
      <c r="L93" s="100">
        <v>26.08</v>
      </c>
      <c r="M93" s="100">
        <v>98.25</v>
      </c>
      <c r="N93" s="100">
        <v>2.1</v>
      </c>
      <c r="O93" s="100">
        <v>0</v>
      </c>
      <c r="P93" s="100">
        <v>0.26</v>
      </c>
      <c r="Q93" s="100">
        <v>10</v>
      </c>
      <c r="R93" s="6"/>
      <c r="S93" s="6"/>
      <c r="T93" s="156"/>
      <c r="U93" s="6"/>
    </row>
    <row r="94" spans="1:21" customFormat="1">
      <c r="A94" s="163" t="s">
        <v>1669</v>
      </c>
      <c r="B94" s="100">
        <v>2.27</v>
      </c>
      <c r="C94" s="100">
        <v>4.25</v>
      </c>
      <c r="D94" s="100">
        <v>2.66</v>
      </c>
      <c r="E94" s="100">
        <v>4.75</v>
      </c>
      <c r="F94" s="100">
        <v>1.27</v>
      </c>
      <c r="G94" s="100">
        <v>33.43</v>
      </c>
      <c r="H94" s="100">
        <v>8.07</v>
      </c>
      <c r="I94" s="100">
        <v>6.93</v>
      </c>
      <c r="J94" s="100">
        <v>0.38</v>
      </c>
      <c r="K94" s="100">
        <v>247.67</v>
      </c>
      <c r="L94" s="100">
        <v>26.28</v>
      </c>
      <c r="M94" s="100">
        <v>98.27</v>
      </c>
      <c r="N94" s="100">
        <v>2.4</v>
      </c>
      <c r="O94" s="100">
        <v>0</v>
      </c>
      <c r="P94" s="100">
        <v>0.28000000000000003</v>
      </c>
      <c r="Q94" s="100">
        <v>10</v>
      </c>
      <c r="R94" s="6"/>
      <c r="S94" s="6"/>
      <c r="T94" s="156"/>
      <c r="U94" s="6"/>
    </row>
    <row r="95" spans="1:21" customFormat="1">
      <c r="A95" s="163" t="s">
        <v>1670</v>
      </c>
      <c r="B95" s="100">
        <v>2.35</v>
      </c>
      <c r="C95" s="100">
        <v>4.3600000000000003</v>
      </c>
      <c r="D95" s="100">
        <v>2.76</v>
      </c>
      <c r="E95" s="100">
        <v>4.8499999999999996</v>
      </c>
      <c r="F95" s="100">
        <v>1.99</v>
      </c>
      <c r="G95" s="100">
        <v>33.43</v>
      </c>
      <c r="H95" s="100">
        <v>8.07</v>
      </c>
      <c r="I95" s="100">
        <v>6.94</v>
      </c>
      <c r="J95" s="100">
        <v>0.12</v>
      </c>
      <c r="K95" s="100">
        <v>155.09</v>
      </c>
      <c r="L95" s="100">
        <v>26.38</v>
      </c>
      <c r="M95" s="100">
        <v>98.3</v>
      </c>
      <c r="N95" s="100">
        <v>2.2999999999999998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163" t="s">
        <v>1671</v>
      </c>
      <c r="B96" s="100">
        <v>2.23</v>
      </c>
      <c r="C96" s="100">
        <v>4.1399999999999997</v>
      </c>
      <c r="D96" s="100">
        <v>2.5299999999999998</v>
      </c>
      <c r="E96" s="100">
        <v>4.96</v>
      </c>
      <c r="F96" s="100">
        <v>1.96</v>
      </c>
      <c r="G96" s="100">
        <v>32.81</v>
      </c>
      <c r="H96" s="100">
        <v>8.7899999999999991</v>
      </c>
      <c r="I96" s="100">
        <v>7.02</v>
      </c>
      <c r="J96" s="100">
        <v>0.19</v>
      </c>
      <c r="K96" s="100">
        <v>170.56</v>
      </c>
      <c r="L96" s="100">
        <v>26.34</v>
      </c>
      <c r="M96" s="100">
        <v>98.33</v>
      </c>
      <c r="N96" s="100">
        <v>2.2999999999999998</v>
      </c>
      <c r="O96" s="100">
        <v>0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163" t="s">
        <v>1672</v>
      </c>
      <c r="B97" s="100">
        <v>2.29</v>
      </c>
      <c r="C97" s="100">
        <v>4.37</v>
      </c>
      <c r="D97" s="100">
        <v>2.86</v>
      </c>
      <c r="E97" s="100">
        <v>4.8</v>
      </c>
      <c r="F97" s="100">
        <v>1.18</v>
      </c>
      <c r="G97" s="100">
        <v>29.92</v>
      </c>
      <c r="H97" s="100">
        <v>11.06</v>
      </c>
      <c r="I97" s="100">
        <v>7.02</v>
      </c>
      <c r="J97" s="100">
        <v>0.26</v>
      </c>
      <c r="K97" s="100">
        <v>175.16</v>
      </c>
      <c r="L97" s="100">
        <v>26.34</v>
      </c>
      <c r="M97" s="100">
        <v>98.35</v>
      </c>
      <c r="N97" s="100">
        <v>2.2000000000000002</v>
      </c>
      <c r="O97" s="100">
        <v>0</v>
      </c>
      <c r="P97" s="100">
        <v>0.28000000000000003</v>
      </c>
      <c r="Q97" s="100">
        <v>10</v>
      </c>
      <c r="R97" s="6"/>
      <c r="S97" s="6"/>
      <c r="T97" s="156"/>
      <c r="U97" s="6"/>
    </row>
    <row r="98" spans="1:28" customFormat="1">
      <c r="A98" s="163" t="s">
        <v>1673</v>
      </c>
      <c r="B98" s="100">
        <v>2.27</v>
      </c>
      <c r="C98" s="100">
        <v>4.1900000000000004</v>
      </c>
      <c r="D98" s="100">
        <v>2.57</v>
      </c>
      <c r="E98" s="100">
        <v>4.83</v>
      </c>
      <c r="F98" s="100">
        <v>0.89</v>
      </c>
      <c r="G98" s="100">
        <v>29.92</v>
      </c>
      <c r="H98" s="100">
        <v>11.06</v>
      </c>
      <c r="I98" s="100">
        <v>7.11</v>
      </c>
      <c r="J98" s="100">
        <v>0.11</v>
      </c>
      <c r="K98" s="100">
        <v>219.65</v>
      </c>
      <c r="L98" s="100">
        <v>26.2</v>
      </c>
      <c r="M98" s="100">
        <v>98.39</v>
      </c>
      <c r="N98" s="100">
        <v>2.4</v>
      </c>
      <c r="O98" s="100">
        <v>0</v>
      </c>
      <c r="P98" s="100">
        <v>0.28999999999999998</v>
      </c>
      <c r="Q98" s="100">
        <v>10</v>
      </c>
      <c r="R98" s="6"/>
      <c r="S98" s="6"/>
      <c r="T98" s="156"/>
      <c r="U98" s="6"/>
    </row>
    <row r="99" spans="1:28" customFormat="1">
      <c r="A99" s="163" t="s">
        <v>1674</v>
      </c>
      <c r="B99" s="100">
        <v>2.4300000000000002</v>
      </c>
      <c r="C99" s="100">
        <v>4.3899999999999997</v>
      </c>
      <c r="D99" s="100">
        <v>2.7</v>
      </c>
      <c r="E99" s="100">
        <v>4.87</v>
      </c>
      <c r="F99" s="100">
        <v>1.17</v>
      </c>
      <c r="G99" s="100">
        <v>29.92</v>
      </c>
      <c r="H99" s="100">
        <v>11.06</v>
      </c>
      <c r="I99" s="100">
        <v>7.17</v>
      </c>
      <c r="J99" s="100">
        <v>0.12</v>
      </c>
      <c r="K99" s="100">
        <v>122.43</v>
      </c>
      <c r="L99" s="100">
        <v>26.21</v>
      </c>
      <c r="M99" s="100">
        <v>98.42</v>
      </c>
      <c r="N99" s="100">
        <v>2.2999999999999998</v>
      </c>
      <c r="O99" s="100">
        <v>0</v>
      </c>
      <c r="P99" s="100">
        <v>0.28000000000000003</v>
      </c>
      <c r="Q99" s="100">
        <v>10</v>
      </c>
      <c r="R99" s="6"/>
      <c r="S99" s="6"/>
      <c r="T99" s="156"/>
      <c r="U99" s="6"/>
    </row>
    <row r="100" spans="1:28" customFormat="1">
      <c r="A100" s="163" t="s">
        <v>1675</v>
      </c>
      <c r="B100" s="100">
        <v>2.13</v>
      </c>
      <c r="C100" s="100">
        <v>3.94</v>
      </c>
      <c r="D100" s="100">
        <v>2.29</v>
      </c>
      <c r="E100" s="100">
        <v>4.84</v>
      </c>
      <c r="F100" s="100">
        <v>2.59</v>
      </c>
      <c r="G100" s="100">
        <v>28.61</v>
      </c>
      <c r="H100" s="100">
        <v>11.07</v>
      </c>
      <c r="I100" s="100">
        <v>7.23</v>
      </c>
      <c r="J100" s="100">
        <v>0.12</v>
      </c>
      <c r="K100" s="100">
        <v>97.88</v>
      </c>
      <c r="L100" s="100">
        <v>26.29</v>
      </c>
      <c r="M100" s="100">
        <v>98.46</v>
      </c>
      <c r="N100" s="100">
        <v>2.2000000000000002</v>
      </c>
      <c r="O100" s="100">
        <v>0</v>
      </c>
      <c r="P100" s="100">
        <v>0.28000000000000003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1676</v>
      </c>
      <c r="B101" s="100">
        <v>2.21</v>
      </c>
      <c r="C101" s="100">
        <v>4.1399999999999997</v>
      </c>
      <c r="D101" s="100">
        <v>2.56</v>
      </c>
      <c r="E101" s="100">
        <v>4.8</v>
      </c>
      <c r="F101" s="100">
        <v>1.53</v>
      </c>
      <c r="G101" s="100">
        <v>23.02</v>
      </c>
      <c r="H101" s="100">
        <v>11.1</v>
      </c>
      <c r="I101" s="100">
        <v>7.23</v>
      </c>
      <c r="J101" s="100">
        <v>7.0000000000000007E-2</v>
      </c>
      <c r="K101" s="100">
        <v>132.16999999999999</v>
      </c>
      <c r="L101" s="100">
        <v>26.32</v>
      </c>
      <c r="M101" s="100">
        <v>98.5</v>
      </c>
      <c r="N101" s="100">
        <v>2.1</v>
      </c>
      <c r="O101" s="100">
        <v>0</v>
      </c>
      <c r="P101" s="100">
        <v>0.27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1677</v>
      </c>
      <c r="B102" s="100">
        <v>2.65</v>
      </c>
      <c r="C102" s="100">
        <v>4.7300000000000004</v>
      </c>
      <c r="D102" s="100">
        <v>3.01</v>
      </c>
      <c r="E102" s="100">
        <v>5.22</v>
      </c>
      <c r="F102" s="100">
        <v>1.43</v>
      </c>
      <c r="G102" s="100">
        <v>23.02</v>
      </c>
      <c r="H102" s="100">
        <v>11.1</v>
      </c>
      <c r="I102" s="100">
        <v>7.19</v>
      </c>
      <c r="J102" s="100">
        <v>0.08</v>
      </c>
      <c r="K102" s="100">
        <v>56.43</v>
      </c>
      <c r="L102" s="100">
        <v>26.29</v>
      </c>
      <c r="M102" s="100">
        <v>98.55</v>
      </c>
      <c r="N102" s="100">
        <v>2.2000000000000002</v>
      </c>
      <c r="O102" s="100">
        <v>0</v>
      </c>
      <c r="P102" s="100">
        <v>0.27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1678</v>
      </c>
      <c r="B103" s="100">
        <v>2.5499999999999998</v>
      </c>
      <c r="C103" s="100">
        <v>4.45</v>
      </c>
      <c r="D103" s="100">
        <v>2.61</v>
      </c>
      <c r="E103" s="100">
        <v>4.99</v>
      </c>
      <c r="F103" s="100">
        <v>1.34</v>
      </c>
      <c r="G103" s="100">
        <v>23.02</v>
      </c>
      <c r="H103" s="100">
        <v>11.1</v>
      </c>
      <c r="I103" s="100">
        <v>7.2</v>
      </c>
      <c r="J103" s="100">
        <v>0.15</v>
      </c>
      <c r="K103" s="100">
        <v>177.76</v>
      </c>
      <c r="L103" s="100">
        <v>26.42</v>
      </c>
      <c r="M103" s="100">
        <v>98.58</v>
      </c>
      <c r="N103" s="100">
        <v>2.2000000000000002</v>
      </c>
      <c r="O103" s="100">
        <v>0</v>
      </c>
      <c r="P103" s="100">
        <v>0.27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1679</v>
      </c>
      <c r="B104" s="100">
        <v>2.69</v>
      </c>
      <c r="C104" s="100">
        <v>4.6500000000000004</v>
      </c>
      <c r="D104" s="100">
        <v>2.79</v>
      </c>
      <c r="E104" s="100">
        <v>4.67</v>
      </c>
      <c r="F104" s="100">
        <v>1.52</v>
      </c>
      <c r="G104" s="100">
        <v>25.28</v>
      </c>
      <c r="H104" s="100">
        <v>11.01</v>
      </c>
      <c r="I104" s="100">
        <v>7.24</v>
      </c>
      <c r="J104" s="100">
        <v>0.16</v>
      </c>
      <c r="K104" s="100">
        <v>176.38</v>
      </c>
      <c r="L104" s="100">
        <v>26.43</v>
      </c>
      <c r="M104" s="100">
        <v>98.62</v>
      </c>
      <c r="N104" s="100">
        <v>2.2000000000000002</v>
      </c>
      <c r="O104" s="100">
        <v>0</v>
      </c>
      <c r="P104" s="100">
        <v>0.27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2.39</v>
      </c>
      <c r="D106" s="158">
        <f t="shared" ref="D106:Q106" si="0">MIN(D9:D104)</f>
        <v>0.69</v>
      </c>
      <c r="E106" s="158">
        <f t="shared" si="0"/>
        <v>2.97</v>
      </c>
      <c r="F106" s="158">
        <f t="shared" si="0"/>
        <v>0.7</v>
      </c>
      <c r="G106" s="158">
        <f t="shared" si="0"/>
        <v>17.78</v>
      </c>
      <c r="H106" s="158">
        <f t="shared" si="0"/>
        <v>8.0299999999999994</v>
      </c>
      <c r="I106" s="158">
        <f t="shared" si="0"/>
        <v>5.51</v>
      </c>
      <c r="J106" s="158">
        <f t="shared" si="0"/>
        <v>7.0000000000000007E-2</v>
      </c>
      <c r="K106" s="158">
        <f t="shared" si="0"/>
        <v>25.79</v>
      </c>
      <c r="L106" s="158">
        <f t="shared" si="0"/>
        <v>25.66</v>
      </c>
      <c r="M106" s="158">
        <f t="shared" si="0"/>
        <v>64.63</v>
      </c>
      <c r="N106" s="158">
        <f t="shared" si="0"/>
        <v>2</v>
      </c>
      <c r="O106" s="158">
        <f t="shared" si="0"/>
        <v>0</v>
      </c>
      <c r="P106" s="158">
        <f t="shared" si="0"/>
        <v>0.19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3.31</v>
      </c>
      <c r="C107" s="157">
        <f t="shared" ref="C107:Q107" si="1">MAX(C9:C104)</f>
        <v>5.32</v>
      </c>
      <c r="D107" s="157">
        <f t="shared" si="1"/>
        <v>3.64</v>
      </c>
      <c r="E107" s="157">
        <f t="shared" si="1"/>
        <v>6.97</v>
      </c>
      <c r="F107" s="157">
        <f t="shared" si="1"/>
        <v>25.29</v>
      </c>
      <c r="G107" s="157">
        <f t="shared" si="1"/>
        <v>53.57</v>
      </c>
      <c r="H107" s="157">
        <f t="shared" si="1"/>
        <v>21.16</v>
      </c>
      <c r="I107" s="157">
        <f t="shared" si="1"/>
        <v>11.54</v>
      </c>
      <c r="J107" s="157">
        <f t="shared" si="1"/>
        <v>1.1000000000000001</v>
      </c>
      <c r="K107" s="157">
        <f t="shared" si="1"/>
        <v>337.66</v>
      </c>
      <c r="L107" s="157">
        <f t="shared" si="1"/>
        <v>32.25</v>
      </c>
      <c r="M107" s="157">
        <f t="shared" si="1"/>
        <v>98.62</v>
      </c>
      <c r="N107" s="157">
        <f t="shared" si="1"/>
        <v>482.3</v>
      </c>
      <c r="O107" s="157">
        <f t="shared" si="1"/>
        <v>3</v>
      </c>
      <c r="P107" s="157">
        <f t="shared" si="1"/>
        <v>0.42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2.3791666666666669</v>
      </c>
      <c r="C108" s="158">
        <f t="shared" ref="C108:Q108" si="2">AVERAGE(C9:C104)</f>
        <v>4.2105208333333328</v>
      </c>
      <c r="D108" s="158">
        <f t="shared" si="2"/>
        <v>2.4254166666666657</v>
      </c>
      <c r="E108" s="158">
        <f t="shared" si="2"/>
        <v>4.8547916666666673</v>
      </c>
      <c r="F108" s="158">
        <f t="shared" si="2"/>
        <v>4.4751041666666644</v>
      </c>
      <c r="G108" s="158">
        <f t="shared" si="2"/>
        <v>33.782708333333325</v>
      </c>
      <c r="H108" s="158">
        <f t="shared" si="2"/>
        <v>12.45052083333332</v>
      </c>
      <c r="I108" s="158">
        <f t="shared" si="2"/>
        <v>7.3935416666666649</v>
      </c>
      <c r="J108" s="158">
        <f t="shared" si="2"/>
        <v>0.35656249999999967</v>
      </c>
      <c r="K108" s="158">
        <f t="shared" si="2"/>
        <v>175.64427083333331</v>
      </c>
      <c r="L108" s="158">
        <f t="shared" si="2"/>
        <v>27.892812500000002</v>
      </c>
      <c r="M108" s="158">
        <f t="shared" si="2"/>
        <v>85.817291666666691</v>
      </c>
      <c r="N108" s="158">
        <f t="shared" si="2"/>
        <v>75.088541666666671</v>
      </c>
      <c r="O108" s="158">
        <f t="shared" si="2"/>
        <v>5.4166666666666669E-2</v>
      </c>
      <c r="P108" s="158">
        <f t="shared" si="2"/>
        <v>0.27875000000000005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0.63393452537004236</v>
      </c>
      <c r="C109" s="158">
        <f t="shared" ref="C109:Q109" si="3">STDEV(C9:C104)</f>
        <v>0.82683081677052483</v>
      </c>
      <c r="D109" s="158">
        <f t="shared" si="3"/>
        <v>0.69820358464708365</v>
      </c>
      <c r="E109" s="158">
        <f t="shared" si="3"/>
        <v>0.69433190784061882</v>
      </c>
      <c r="F109" s="158">
        <f t="shared" si="3"/>
        <v>5.1415699004940789</v>
      </c>
      <c r="G109" s="158">
        <f t="shared" si="3"/>
        <v>10.557091353724182</v>
      </c>
      <c r="H109" s="158">
        <f t="shared" si="3"/>
        <v>3.4676105438431728</v>
      </c>
      <c r="I109" s="158">
        <f t="shared" si="3"/>
        <v>1.281838300966466</v>
      </c>
      <c r="J109" s="158">
        <f t="shared" si="3"/>
        <v>0.2360233178712384</v>
      </c>
      <c r="K109" s="158">
        <f t="shared" si="3"/>
        <v>85.296719227891046</v>
      </c>
      <c r="L109" s="158">
        <f t="shared" si="3"/>
        <v>1.8432184113235484</v>
      </c>
      <c r="M109" s="158">
        <f t="shared" si="3"/>
        <v>12.121102388563136</v>
      </c>
      <c r="N109" s="158">
        <f t="shared" si="3"/>
        <v>112.42199622736483</v>
      </c>
      <c r="O109" s="158">
        <f t="shared" si="3"/>
        <v>0.37778207771890671</v>
      </c>
      <c r="P109" s="158">
        <f t="shared" si="3"/>
        <v>5.0288640550536161E-2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5" sqref="G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1680</v>
      </c>
      <c r="B9" s="100">
        <v>2.76</v>
      </c>
      <c r="C9" s="100">
        <v>4.28</v>
      </c>
      <c r="D9" s="100">
        <v>1.99</v>
      </c>
      <c r="E9" s="100">
        <v>4.87</v>
      </c>
      <c r="F9" s="100">
        <v>1.1299999999999999</v>
      </c>
      <c r="G9" s="100">
        <v>34.99</v>
      </c>
      <c r="H9" s="100">
        <v>10.71</v>
      </c>
      <c r="I9" s="100">
        <v>7.37</v>
      </c>
      <c r="J9" s="100">
        <v>0.13</v>
      </c>
      <c r="K9" s="100">
        <v>174.35</v>
      </c>
      <c r="L9" s="100">
        <v>26.35</v>
      </c>
      <c r="M9" s="100">
        <v>98.68</v>
      </c>
      <c r="N9" s="100">
        <v>2.2000000000000002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163" t="s">
        <v>1681</v>
      </c>
      <c r="B10" s="100">
        <v>2.6</v>
      </c>
      <c r="C10" s="100">
        <v>4.32</v>
      </c>
      <c r="D10" s="100">
        <v>2.2999999999999998</v>
      </c>
      <c r="E10" s="100">
        <v>4.99</v>
      </c>
      <c r="F10" s="100">
        <v>2.2000000000000002</v>
      </c>
      <c r="G10" s="100">
        <v>34.99</v>
      </c>
      <c r="H10" s="100">
        <v>10.71</v>
      </c>
      <c r="I10" s="100">
        <v>7.33</v>
      </c>
      <c r="J10" s="100">
        <v>0.09</v>
      </c>
      <c r="K10" s="100">
        <v>211.09</v>
      </c>
      <c r="L10" s="100">
        <v>26.29</v>
      </c>
      <c r="M10" s="100">
        <v>98.74</v>
      </c>
      <c r="N10" s="100">
        <v>2.2999999999999998</v>
      </c>
      <c r="O10" s="100">
        <v>0</v>
      </c>
      <c r="P10" s="100">
        <v>0.27</v>
      </c>
      <c r="Q10" s="100">
        <v>10</v>
      </c>
      <c r="R10" s="6"/>
      <c r="S10" s="6"/>
      <c r="T10" s="156"/>
      <c r="U10" s="6"/>
    </row>
    <row r="11" spans="1:21" customFormat="1">
      <c r="A11" s="163" t="s">
        <v>1682</v>
      </c>
      <c r="B11" s="100">
        <v>2.82</v>
      </c>
      <c r="C11" s="100">
        <v>4.8499999999999996</v>
      </c>
      <c r="D11" s="100">
        <v>2.97</v>
      </c>
      <c r="E11" s="100">
        <v>5.09</v>
      </c>
      <c r="F11" s="100">
        <v>0.89</v>
      </c>
      <c r="G11" s="100">
        <v>34.99</v>
      </c>
      <c r="H11" s="100">
        <v>10.71</v>
      </c>
      <c r="I11" s="100">
        <v>7.38</v>
      </c>
      <c r="J11" s="100">
        <v>0.09</v>
      </c>
      <c r="K11" s="100">
        <v>163.01</v>
      </c>
      <c r="L11" s="100">
        <v>26.31</v>
      </c>
      <c r="M11" s="100">
        <v>98.79</v>
      </c>
      <c r="N11" s="100">
        <v>2.2000000000000002</v>
      </c>
      <c r="O11" s="100">
        <v>0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163" t="s">
        <v>1683</v>
      </c>
      <c r="B12" s="100">
        <v>2.8</v>
      </c>
      <c r="C12" s="100">
        <v>4.75</v>
      </c>
      <c r="D12" s="100">
        <v>2.82</v>
      </c>
      <c r="E12" s="100">
        <v>4.42</v>
      </c>
      <c r="F12" s="100">
        <v>2.11</v>
      </c>
      <c r="G12" s="100">
        <v>33.42</v>
      </c>
      <c r="H12" s="100">
        <v>10.73</v>
      </c>
      <c r="I12" s="100">
        <v>7.35</v>
      </c>
      <c r="J12" s="100">
        <v>0.09</v>
      </c>
      <c r="K12" s="100">
        <v>195.2</v>
      </c>
      <c r="L12" s="100">
        <v>26.3</v>
      </c>
      <c r="M12" s="100">
        <v>98.85</v>
      </c>
      <c r="N12" s="100">
        <v>2.2000000000000002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163" t="s">
        <v>1684</v>
      </c>
      <c r="B13" s="100">
        <v>2.39</v>
      </c>
      <c r="C13" s="100">
        <v>4.09</v>
      </c>
      <c r="D13" s="100">
        <v>2.1800000000000002</v>
      </c>
      <c r="E13" s="100">
        <v>3.97</v>
      </c>
      <c r="F13" s="100">
        <v>3.04</v>
      </c>
      <c r="G13" s="100">
        <v>26.18</v>
      </c>
      <c r="H13" s="100">
        <v>10.8</v>
      </c>
      <c r="I13" s="100">
        <v>7.25</v>
      </c>
      <c r="J13" s="100">
        <v>0.1</v>
      </c>
      <c r="K13" s="100">
        <v>162.43</v>
      </c>
      <c r="L13" s="100">
        <v>26.2</v>
      </c>
      <c r="M13" s="100">
        <v>98.88</v>
      </c>
      <c r="N13" s="100">
        <v>2.4</v>
      </c>
      <c r="O13" s="100">
        <v>0</v>
      </c>
      <c r="P13" s="100">
        <v>0.2</v>
      </c>
      <c r="Q13" s="100">
        <v>10</v>
      </c>
      <c r="R13" s="6"/>
      <c r="S13" s="6"/>
      <c r="T13" s="156"/>
      <c r="U13" s="6"/>
    </row>
    <row r="14" spans="1:21" customFormat="1">
      <c r="A14" s="163" t="s">
        <v>1685</v>
      </c>
      <c r="B14" s="100">
        <v>2.75</v>
      </c>
      <c r="C14" s="100">
        <v>4.66</v>
      </c>
      <c r="D14" s="100">
        <v>2.71</v>
      </c>
      <c r="E14" s="100">
        <v>4.1900000000000004</v>
      </c>
      <c r="F14" s="100">
        <v>1.48</v>
      </c>
      <c r="G14" s="100">
        <v>26.18</v>
      </c>
      <c r="H14" s="100">
        <v>10.8</v>
      </c>
      <c r="I14" s="100">
        <v>7.18</v>
      </c>
      <c r="J14" s="100">
        <v>0.11</v>
      </c>
      <c r="K14" s="100">
        <v>197.14</v>
      </c>
      <c r="L14" s="100">
        <v>26.21</v>
      </c>
      <c r="M14" s="100">
        <v>98.93</v>
      </c>
      <c r="N14" s="100">
        <v>2.1</v>
      </c>
      <c r="O14" s="100">
        <v>0</v>
      </c>
      <c r="P14" s="100">
        <v>0.22</v>
      </c>
      <c r="Q14" s="100">
        <v>10</v>
      </c>
      <c r="R14" s="6"/>
      <c r="S14" s="6"/>
      <c r="T14" s="156"/>
      <c r="U14" s="6"/>
    </row>
    <row r="15" spans="1:21" customFormat="1">
      <c r="A15" s="163" t="s">
        <v>1686</v>
      </c>
      <c r="B15" s="100">
        <v>2.5</v>
      </c>
      <c r="C15" s="100">
        <v>4.34</v>
      </c>
      <c r="D15" s="100">
        <v>2.4900000000000002</v>
      </c>
      <c r="E15" s="100">
        <v>4.03</v>
      </c>
      <c r="F15" s="100">
        <v>2.0299999999999998</v>
      </c>
      <c r="G15" s="100">
        <v>26.18</v>
      </c>
      <c r="H15" s="100">
        <v>10.8</v>
      </c>
      <c r="I15" s="100">
        <v>7.1</v>
      </c>
      <c r="J15" s="100">
        <v>0.28999999999999998</v>
      </c>
      <c r="K15" s="100">
        <v>253.59</v>
      </c>
      <c r="L15" s="100">
        <v>26.28</v>
      </c>
      <c r="M15" s="100">
        <v>98.97</v>
      </c>
      <c r="N15" s="100">
        <v>2.2000000000000002</v>
      </c>
      <c r="O15" s="100">
        <v>0</v>
      </c>
      <c r="P15" s="100">
        <v>0.21</v>
      </c>
      <c r="Q15" s="100">
        <v>10</v>
      </c>
      <c r="R15" s="6"/>
      <c r="S15" s="6"/>
      <c r="T15" s="156"/>
      <c r="U15" s="6"/>
    </row>
    <row r="16" spans="1:21" customFormat="1">
      <c r="A16" s="163" t="s">
        <v>1687</v>
      </c>
      <c r="B16" s="100">
        <v>2.75</v>
      </c>
      <c r="C16" s="100">
        <v>4.8099999999999996</v>
      </c>
      <c r="D16" s="100">
        <v>3</v>
      </c>
      <c r="E16" s="100">
        <v>3.77</v>
      </c>
      <c r="F16" s="100">
        <v>3.42</v>
      </c>
      <c r="G16" s="100">
        <v>25.52</v>
      </c>
      <c r="H16" s="100">
        <v>10.58</v>
      </c>
      <c r="I16" s="100">
        <v>7.25</v>
      </c>
      <c r="J16" s="100">
        <v>0.74</v>
      </c>
      <c r="K16" s="100">
        <v>276.29000000000002</v>
      </c>
      <c r="L16" s="100">
        <v>26.39</v>
      </c>
      <c r="M16" s="100">
        <v>99</v>
      </c>
      <c r="N16" s="100">
        <v>3.1</v>
      </c>
      <c r="O16" s="100">
        <v>0</v>
      </c>
      <c r="P16" s="100">
        <v>0.19</v>
      </c>
      <c r="Q16" s="100">
        <v>10</v>
      </c>
      <c r="R16" s="6"/>
      <c r="S16" s="6"/>
      <c r="T16" s="156"/>
      <c r="U16" s="6"/>
    </row>
    <row r="17" spans="1:21" customFormat="1">
      <c r="A17" s="163" t="s">
        <v>1688</v>
      </c>
      <c r="B17" s="100">
        <v>2.34</v>
      </c>
      <c r="C17" s="100">
        <v>4.08</v>
      </c>
      <c r="D17" s="100">
        <v>2.25</v>
      </c>
      <c r="E17" s="100">
        <v>3.77</v>
      </c>
      <c r="F17" s="100">
        <v>2.5299999999999998</v>
      </c>
      <c r="G17" s="100">
        <v>22.45</v>
      </c>
      <c r="H17" s="100">
        <v>9.86</v>
      </c>
      <c r="I17" s="100">
        <v>6.92</v>
      </c>
      <c r="J17" s="100">
        <v>1.54</v>
      </c>
      <c r="K17" s="100">
        <v>285.25</v>
      </c>
      <c r="L17" s="100">
        <v>25.9</v>
      </c>
      <c r="M17" s="100">
        <v>94.8</v>
      </c>
      <c r="N17" s="100">
        <v>4.7</v>
      </c>
      <c r="O17" s="100">
        <v>0</v>
      </c>
      <c r="P17" s="100">
        <v>0.21</v>
      </c>
      <c r="Q17" s="100">
        <v>10</v>
      </c>
      <c r="R17" s="6"/>
      <c r="S17" s="6"/>
      <c r="T17" s="156"/>
      <c r="U17" s="6"/>
    </row>
    <row r="18" spans="1:21" customFormat="1">
      <c r="A18" s="163" t="s">
        <v>1689</v>
      </c>
      <c r="B18" s="100">
        <v>2.68</v>
      </c>
      <c r="C18" s="100">
        <v>4.7300000000000004</v>
      </c>
      <c r="D18" s="100">
        <v>2.96</v>
      </c>
      <c r="E18" s="100">
        <v>4.58</v>
      </c>
      <c r="F18" s="100">
        <v>2.0099999999999998</v>
      </c>
      <c r="G18" s="100">
        <v>22.45</v>
      </c>
      <c r="H18" s="100">
        <v>9.86</v>
      </c>
      <c r="I18" s="100">
        <v>6.94</v>
      </c>
      <c r="J18" s="100">
        <v>1.75</v>
      </c>
      <c r="K18" s="100">
        <v>278.33999999999997</v>
      </c>
      <c r="L18" s="100">
        <v>25</v>
      </c>
      <c r="M18" s="100">
        <v>93.85</v>
      </c>
      <c r="N18" s="100">
        <v>4.5</v>
      </c>
      <c r="O18" s="100">
        <v>0.6</v>
      </c>
      <c r="P18" s="100">
        <v>0.2</v>
      </c>
      <c r="Q18" s="100">
        <v>10</v>
      </c>
      <c r="R18" s="6"/>
      <c r="S18" s="6"/>
      <c r="T18" s="156"/>
      <c r="U18" s="6"/>
    </row>
    <row r="19" spans="1:21" customFormat="1">
      <c r="A19" s="163" t="s">
        <v>1690</v>
      </c>
      <c r="B19" s="100">
        <v>2.59</v>
      </c>
      <c r="C19" s="100">
        <v>4.7300000000000004</v>
      </c>
      <c r="D19" s="100">
        <v>3.1</v>
      </c>
      <c r="E19" s="100">
        <v>4.3499999999999996</v>
      </c>
      <c r="F19" s="100">
        <v>2.4700000000000002</v>
      </c>
      <c r="G19" s="100">
        <v>22.45</v>
      </c>
      <c r="H19" s="100">
        <v>9.86</v>
      </c>
      <c r="I19" s="100">
        <v>7.03</v>
      </c>
      <c r="J19" s="100">
        <v>1.29</v>
      </c>
      <c r="K19" s="100">
        <v>287.01</v>
      </c>
      <c r="L19" s="100">
        <v>23.9</v>
      </c>
      <c r="M19" s="100">
        <v>98.48</v>
      </c>
      <c r="N19" s="100">
        <v>2.9</v>
      </c>
      <c r="O19" s="100">
        <v>4.2</v>
      </c>
      <c r="P19" s="100">
        <v>0.18</v>
      </c>
      <c r="Q19" s="100">
        <v>10</v>
      </c>
      <c r="R19" s="6"/>
      <c r="S19" s="6"/>
      <c r="T19" s="156"/>
      <c r="U19" s="6"/>
    </row>
    <row r="20" spans="1:21" customFormat="1">
      <c r="A20" s="163" t="s">
        <v>1691</v>
      </c>
      <c r="B20" s="100">
        <v>2.4</v>
      </c>
      <c r="C20" s="100">
        <v>4.3499999999999996</v>
      </c>
      <c r="D20" s="100">
        <v>2.66</v>
      </c>
      <c r="E20" s="100">
        <v>4.3899999999999997</v>
      </c>
      <c r="F20" s="100">
        <v>2.61</v>
      </c>
      <c r="G20" s="100">
        <v>21.47</v>
      </c>
      <c r="H20" s="100">
        <v>9.4</v>
      </c>
      <c r="I20" s="100">
        <v>6.9</v>
      </c>
      <c r="J20" s="100">
        <v>0.66</v>
      </c>
      <c r="K20" s="100">
        <v>280.77</v>
      </c>
      <c r="L20" s="100">
        <v>23.56</v>
      </c>
      <c r="M20" s="100">
        <v>99.11</v>
      </c>
      <c r="N20" s="100">
        <v>2.6</v>
      </c>
      <c r="O20" s="100">
        <v>0.6</v>
      </c>
      <c r="P20" s="100">
        <v>0.2</v>
      </c>
      <c r="Q20" s="100">
        <v>10</v>
      </c>
      <c r="R20" s="6"/>
      <c r="S20" s="6"/>
      <c r="T20" s="156"/>
      <c r="U20" s="6"/>
    </row>
    <row r="21" spans="1:21" customFormat="1">
      <c r="A21" s="163" t="s">
        <v>1692</v>
      </c>
      <c r="B21" s="100">
        <v>2.81</v>
      </c>
      <c r="C21" s="100">
        <v>5.14</v>
      </c>
      <c r="D21" s="100">
        <v>3.54</v>
      </c>
      <c r="E21" s="100">
        <v>4.57</v>
      </c>
      <c r="F21" s="100">
        <v>1.53</v>
      </c>
      <c r="G21" s="100">
        <v>16.95</v>
      </c>
      <c r="H21" s="100">
        <v>7.24</v>
      </c>
      <c r="I21" s="100">
        <v>6.93</v>
      </c>
      <c r="J21" s="100">
        <v>0.21</v>
      </c>
      <c r="K21" s="100">
        <v>174.19</v>
      </c>
      <c r="L21" s="100">
        <v>23.7</v>
      </c>
      <c r="M21" s="100">
        <v>99.16</v>
      </c>
      <c r="N21" s="100">
        <v>2.1</v>
      </c>
      <c r="O21" s="100">
        <v>0</v>
      </c>
      <c r="P21" s="100">
        <v>0.18</v>
      </c>
      <c r="Q21" s="100">
        <v>10</v>
      </c>
      <c r="R21" s="6"/>
      <c r="S21" s="6"/>
      <c r="T21" s="156"/>
      <c r="U21" s="6"/>
    </row>
    <row r="22" spans="1:21" customFormat="1">
      <c r="A22" s="163" t="s">
        <v>1693</v>
      </c>
      <c r="B22" s="100">
        <v>2.71</v>
      </c>
      <c r="C22" s="100">
        <v>5.09</v>
      </c>
      <c r="D22" s="100">
        <v>3.59</v>
      </c>
      <c r="E22" s="100">
        <v>4.3099999999999996</v>
      </c>
      <c r="F22" s="100">
        <v>2.37</v>
      </c>
      <c r="G22" s="100">
        <v>16.95</v>
      </c>
      <c r="H22" s="100">
        <v>7.24</v>
      </c>
      <c r="I22" s="100">
        <v>6.83</v>
      </c>
      <c r="J22" s="100">
        <v>0.18</v>
      </c>
      <c r="K22" s="100">
        <v>168.01</v>
      </c>
      <c r="L22" s="100">
        <v>23.82</v>
      </c>
      <c r="M22" s="100">
        <v>99.22</v>
      </c>
      <c r="N22" s="100">
        <v>2.1</v>
      </c>
      <c r="O22" s="100">
        <v>0.4</v>
      </c>
      <c r="P22" s="100">
        <v>0.18</v>
      </c>
      <c r="Q22" s="100">
        <v>10</v>
      </c>
      <c r="R22" s="6"/>
      <c r="S22" s="6"/>
      <c r="T22" s="156"/>
      <c r="U22" s="6"/>
    </row>
    <row r="23" spans="1:21" customFormat="1">
      <c r="A23" s="163" t="s">
        <v>1694</v>
      </c>
      <c r="B23" s="100">
        <v>2.15</v>
      </c>
      <c r="C23" s="100">
        <v>3.92</v>
      </c>
      <c r="D23" s="100">
        <v>2.21</v>
      </c>
      <c r="E23" s="100">
        <v>4.32</v>
      </c>
      <c r="F23" s="100">
        <v>1.95</v>
      </c>
      <c r="G23" s="100">
        <v>16.95</v>
      </c>
      <c r="H23" s="100">
        <v>7.24</v>
      </c>
      <c r="I23" s="100">
        <v>6.73</v>
      </c>
      <c r="J23" s="100">
        <v>0.16</v>
      </c>
      <c r="K23" s="100">
        <v>173.66</v>
      </c>
      <c r="L23" s="100">
        <v>23.84</v>
      </c>
      <c r="M23" s="100">
        <v>99.34</v>
      </c>
      <c r="N23" s="100">
        <v>2.2999999999999998</v>
      </c>
      <c r="O23" s="100">
        <v>0.6</v>
      </c>
      <c r="P23" s="100">
        <v>0.19</v>
      </c>
      <c r="Q23" s="100">
        <v>10</v>
      </c>
      <c r="R23" s="6"/>
      <c r="S23" s="6"/>
      <c r="T23" s="156"/>
      <c r="U23" s="6"/>
    </row>
    <row r="24" spans="1:21" customFormat="1">
      <c r="A24" s="163" t="s">
        <v>1695</v>
      </c>
      <c r="B24" s="100">
        <v>2.39</v>
      </c>
      <c r="C24" s="100">
        <v>4.3099999999999996</v>
      </c>
      <c r="D24" s="100">
        <v>2.59</v>
      </c>
      <c r="E24" s="100">
        <v>4.6100000000000003</v>
      </c>
      <c r="F24" s="100">
        <v>2.12</v>
      </c>
      <c r="G24" s="100">
        <v>16.34</v>
      </c>
      <c r="H24" s="100">
        <v>6.78</v>
      </c>
      <c r="I24" s="100">
        <v>6.65</v>
      </c>
      <c r="J24" s="100">
        <v>7.0000000000000007E-2</v>
      </c>
      <c r="K24" s="100">
        <v>214.94</v>
      </c>
      <c r="L24" s="100">
        <v>23.81</v>
      </c>
      <c r="M24" s="100">
        <v>98.97</v>
      </c>
      <c r="N24" s="100">
        <v>2.2000000000000002</v>
      </c>
      <c r="O24" s="100">
        <v>0.4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163" t="s">
        <v>1696</v>
      </c>
      <c r="B25" s="100">
        <v>2.67</v>
      </c>
      <c r="C25" s="100">
        <v>4.9000000000000004</v>
      </c>
      <c r="D25" s="100">
        <v>3.3</v>
      </c>
      <c r="E25" s="100">
        <v>4.34</v>
      </c>
      <c r="F25" s="100">
        <v>2.77</v>
      </c>
      <c r="G25" s="100">
        <v>13.56</v>
      </c>
      <c r="H25" s="100">
        <v>5.31</v>
      </c>
      <c r="I25" s="100">
        <v>6.74</v>
      </c>
      <c r="J25" s="100">
        <v>0.08</v>
      </c>
      <c r="K25" s="100">
        <v>221.26</v>
      </c>
      <c r="L25" s="100">
        <v>23.82</v>
      </c>
      <c r="M25" s="100">
        <v>98.36</v>
      </c>
      <c r="N25" s="100">
        <v>2.2000000000000002</v>
      </c>
      <c r="O25" s="100">
        <v>0.4</v>
      </c>
      <c r="P25" s="100">
        <v>0.2</v>
      </c>
      <c r="Q25" s="100">
        <v>10</v>
      </c>
      <c r="R25" s="6"/>
      <c r="S25" s="6"/>
      <c r="T25" s="156"/>
      <c r="U25" s="6"/>
    </row>
    <row r="26" spans="1:21" customFormat="1">
      <c r="A26" s="163" t="s">
        <v>1697</v>
      </c>
      <c r="B26" s="100">
        <v>2.86</v>
      </c>
      <c r="C26" s="100">
        <v>5.21</v>
      </c>
      <c r="D26" s="100">
        <v>3.6</v>
      </c>
      <c r="E26" s="100">
        <v>4.71</v>
      </c>
      <c r="F26" s="100">
        <v>0.42</v>
      </c>
      <c r="G26" s="100">
        <v>13.56</v>
      </c>
      <c r="H26" s="100">
        <v>5.31</v>
      </c>
      <c r="I26" s="100">
        <v>6.76</v>
      </c>
      <c r="J26" s="100">
        <v>0.03</v>
      </c>
      <c r="K26" s="100">
        <v>299.68</v>
      </c>
      <c r="L26" s="100">
        <v>23.83</v>
      </c>
      <c r="M26" s="100">
        <v>98.44</v>
      </c>
      <c r="N26" s="100">
        <v>2.2000000000000002</v>
      </c>
      <c r="O26" s="100">
        <v>0.2</v>
      </c>
      <c r="P26" s="100">
        <v>0.2</v>
      </c>
      <c r="Q26" s="100">
        <v>10</v>
      </c>
      <c r="R26" s="6"/>
      <c r="S26" s="6"/>
      <c r="T26" s="156"/>
      <c r="U26" s="6"/>
    </row>
    <row r="27" spans="1:21" customFormat="1">
      <c r="A27" s="163" t="s">
        <v>1698</v>
      </c>
      <c r="B27" s="100">
        <v>2.62</v>
      </c>
      <c r="C27" s="100">
        <v>4.66</v>
      </c>
      <c r="D27" s="100">
        <v>2.92</v>
      </c>
      <c r="E27" s="100">
        <v>4.33</v>
      </c>
      <c r="F27" s="100">
        <v>1.46</v>
      </c>
      <c r="G27" s="100">
        <v>13.56</v>
      </c>
      <c r="H27" s="100">
        <v>5.31</v>
      </c>
      <c r="I27" s="100">
        <v>6.8</v>
      </c>
      <c r="J27" s="100">
        <v>0.25</v>
      </c>
      <c r="K27" s="100">
        <v>300.66000000000003</v>
      </c>
      <c r="L27" s="100">
        <v>24</v>
      </c>
      <c r="M27" s="100">
        <v>98.5</v>
      </c>
      <c r="N27" s="100">
        <v>2.1</v>
      </c>
      <c r="O27" s="100">
        <v>0.4</v>
      </c>
      <c r="P27" s="100">
        <v>0.19</v>
      </c>
      <c r="Q27" s="100">
        <v>10</v>
      </c>
      <c r="R27" s="6"/>
      <c r="S27" s="6"/>
      <c r="T27" s="156"/>
      <c r="U27" s="6"/>
    </row>
    <row r="28" spans="1:21" customFormat="1">
      <c r="A28" s="163" t="s">
        <v>1699</v>
      </c>
      <c r="B28" s="100">
        <v>2.73</v>
      </c>
      <c r="C28" s="100">
        <v>4.92</v>
      </c>
      <c r="D28" s="100">
        <v>3.25</v>
      </c>
      <c r="E28" s="100">
        <v>4.24</v>
      </c>
      <c r="F28" s="100">
        <v>1.75</v>
      </c>
      <c r="G28" s="100">
        <v>13.19</v>
      </c>
      <c r="H28" s="100">
        <v>5.18</v>
      </c>
      <c r="I28" s="100">
        <v>6.95</v>
      </c>
      <c r="J28" s="100">
        <v>0.47</v>
      </c>
      <c r="K28" s="100">
        <v>306.61</v>
      </c>
      <c r="L28" s="100">
        <v>24.17</v>
      </c>
      <c r="M28" s="100">
        <v>98.56</v>
      </c>
      <c r="N28" s="100">
        <v>2.1</v>
      </c>
      <c r="O28" s="100">
        <v>0.4</v>
      </c>
      <c r="P28" s="100">
        <v>0.23</v>
      </c>
      <c r="Q28" s="100">
        <v>10</v>
      </c>
      <c r="R28" s="6"/>
      <c r="S28" s="6"/>
      <c r="T28" s="156"/>
      <c r="U28" s="6"/>
    </row>
    <row r="29" spans="1:21" customFormat="1">
      <c r="A29" s="163" t="s">
        <v>1700</v>
      </c>
      <c r="B29" s="100">
        <v>2.68</v>
      </c>
      <c r="C29" s="100">
        <v>4.8</v>
      </c>
      <c r="D29" s="100">
        <v>3.09</v>
      </c>
      <c r="E29" s="100">
        <v>4.58</v>
      </c>
      <c r="F29" s="100">
        <v>1</v>
      </c>
      <c r="G29" s="100">
        <v>11.48</v>
      </c>
      <c r="H29" s="100">
        <v>4.74</v>
      </c>
      <c r="I29" s="100">
        <v>6.97</v>
      </c>
      <c r="J29" s="100">
        <v>0.28000000000000003</v>
      </c>
      <c r="K29" s="100">
        <v>341.42</v>
      </c>
      <c r="L29" s="100">
        <v>24.34</v>
      </c>
      <c r="M29" s="100">
        <v>98.63</v>
      </c>
      <c r="N29" s="100">
        <v>2.1</v>
      </c>
      <c r="O29" s="100">
        <v>0.4</v>
      </c>
      <c r="P29" s="100">
        <v>0.23</v>
      </c>
      <c r="Q29" s="100">
        <v>10</v>
      </c>
      <c r="R29" s="6"/>
      <c r="S29" s="6"/>
      <c r="T29" s="156"/>
      <c r="U29" s="6"/>
    </row>
    <row r="30" spans="1:21" customFormat="1">
      <c r="A30" s="163" t="s">
        <v>1701</v>
      </c>
      <c r="B30" s="100">
        <v>3.15</v>
      </c>
      <c r="C30" s="100">
        <v>5.52</v>
      </c>
      <c r="D30" s="100">
        <v>3.75</v>
      </c>
      <c r="E30" s="100">
        <v>4.6100000000000003</v>
      </c>
      <c r="F30" s="100">
        <v>2.15</v>
      </c>
      <c r="G30" s="100">
        <v>11.48</v>
      </c>
      <c r="H30" s="100">
        <v>4.74</v>
      </c>
      <c r="I30" s="100">
        <v>7.05</v>
      </c>
      <c r="J30" s="100">
        <v>0.06</v>
      </c>
      <c r="K30" s="100">
        <v>145.47999999999999</v>
      </c>
      <c r="L30" s="100">
        <v>24.49</v>
      </c>
      <c r="M30" s="100">
        <v>98.72</v>
      </c>
      <c r="N30" s="100">
        <v>2.2000000000000002</v>
      </c>
      <c r="O30" s="100">
        <v>0.4</v>
      </c>
      <c r="P30" s="100">
        <v>0.24</v>
      </c>
      <c r="Q30" s="100">
        <v>10</v>
      </c>
      <c r="R30" s="6"/>
      <c r="S30" s="6"/>
      <c r="T30" s="156"/>
      <c r="U30" s="6"/>
    </row>
    <row r="31" spans="1:21" customFormat="1">
      <c r="A31" s="163" t="s">
        <v>1702</v>
      </c>
      <c r="B31" s="100">
        <v>2.93</v>
      </c>
      <c r="C31" s="100">
        <v>5.13</v>
      </c>
      <c r="D31" s="100">
        <v>3.34</v>
      </c>
      <c r="E31" s="100">
        <v>4.55</v>
      </c>
      <c r="F31" s="100">
        <v>1.37</v>
      </c>
      <c r="G31" s="100">
        <v>11.48</v>
      </c>
      <c r="H31" s="100">
        <v>4.74</v>
      </c>
      <c r="I31" s="100">
        <v>7.21</v>
      </c>
      <c r="J31" s="100">
        <v>0.19</v>
      </c>
      <c r="K31" s="100">
        <v>53.48</v>
      </c>
      <c r="L31" s="100">
        <v>24.51</v>
      </c>
      <c r="M31" s="100">
        <v>98.78</v>
      </c>
      <c r="N31" s="100">
        <v>2.4</v>
      </c>
      <c r="O31" s="100">
        <v>0.4</v>
      </c>
      <c r="P31" s="100">
        <v>0.28999999999999998</v>
      </c>
      <c r="Q31" s="100">
        <v>10</v>
      </c>
      <c r="R31" s="6"/>
      <c r="S31" s="6"/>
      <c r="T31" s="156"/>
      <c r="U31" s="6"/>
    </row>
    <row r="32" spans="1:21" customFormat="1">
      <c r="A32" s="163" t="s">
        <v>1703</v>
      </c>
      <c r="B32" s="100">
        <v>2.85</v>
      </c>
      <c r="C32" s="100">
        <v>5.05</v>
      </c>
      <c r="D32" s="100">
        <v>3.3</v>
      </c>
      <c r="E32" s="100">
        <v>4.5</v>
      </c>
      <c r="F32" s="100">
        <v>1.78</v>
      </c>
      <c r="G32" s="100">
        <v>11.37</v>
      </c>
      <c r="H32" s="100">
        <v>4.79</v>
      </c>
      <c r="I32" s="100">
        <v>7.3</v>
      </c>
      <c r="J32" s="100">
        <v>0.17</v>
      </c>
      <c r="K32" s="100">
        <v>155.30000000000001</v>
      </c>
      <c r="L32" s="100">
        <v>24.67</v>
      </c>
      <c r="M32" s="100">
        <v>98.83</v>
      </c>
      <c r="N32" s="100">
        <v>2.9</v>
      </c>
      <c r="O32" s="100">
        <v>0.2</v>
      </c>
      <c r="P32" s="100">
        <v>0.3</v>
      </c>
      <c r="Q32" s="100">
        <v>10</v>
      </c>
      <c r="R32" s="6"/>
      <c r="S32" s="6"/>
      <c r="T32" s="156"/>
      <c r="U32" s="6"/>
    </row>
    <row r="33" spans="1:21" customFormat="1">
      <c r="A33" s="163" t="s">
        <v>1704</v>
      </c>
      <c r="B33" s="100">
        <v>2.87</v>
      </c>
      <c r="C33" s="100">
        <v>5.07</v>
      </c>
      <c r="D33" s="100">
        <v>3.32</v>
      </c>
      <c r="E33" s="100">
        <v>4.7</v>
      </c>
      <c r="F33" s="100">
        <v>1.44</v>
      </c>
      <c r="G33" s="100">
        <v>10.85</v>
      </c>
      <c r="H33" s="100">
        <v>4.95</v>
      </c>
      <c r="I33" s="100">
        <v>7.6</v>
      </c>
      <c r="J33" s="100">
        <v>0.14000000000000001</v>
      </c>
      <c r="K33" s="100">
        <v>156.06</v>
      </c>
      <c r="L33" s="100">
        <v>24.64</v>
      </c>
      <c r="M33" s="100">
        <v>98.87</v>
      </c>
      <c r="N33" s="100">
        <v>4.3</v>
      </c>
      <c r="O33" s="100">
        <v>0.4</v>
      </c>
      <c r="P33" s="100">
        <v>0.3</v>
      </c>
      <c r="Q33" s="100">
        <v>10</v>
      </c>
      <c r="R33" s="6"/>
      <c r="S33" s="6"/>
      <c r="T33" s="156"/>
      <c r="U33" s="6"/>
    </row>
    <row r="34" spans="1:21" customFormat="1">
      <c r="A34" s="163" t="s">
        <v>1705</v>
      </c>
      <c r="B34" s="100">
        <v>2.73</v>
      </c>
      <c r="C34" s="100">
        <v>4.8099999999999996</v>
      </c>
      <c r="D34" s="100">
        <v>3.04</v>
      </c>
      <c r="E34" s="100">
        <v>5.0599999999999996</v>
      </c>
      <c r="F34" s="100">
        <v>1.22</v>
      </c>
      <c r="G34" s="100">
        <v>10.85</v>
      </c>
      <c r="H34" s="100">
        <v>4.95</v>
      </c>
      <c r="I34" s="100">
        <v>7.84</v>
      </c>
      <c r="J34" s="100">
        <v>0.11</v>
      </c>
      <c r="K34" s="100">
        <v>137.57</v>
      </c>
      <c r="L34" s="100">
        <v>24.65</v>
      </c>
      <c r="M34" s="100">
        <v>98.93</v>
      </c>
      <c r="N34" s="100">
        <v>6.3</v>
      </c>
      <c r="O34" s="100">
        <v>0.2</v>
      </c>
      <c r="P34" s="100">
        <v>0.31</v>
      </c>
      <c r="Q34" s="100">
        <v>10</v>
      </c>
      <c r="R34" s="6"/>
      <c r="S34" s="6"/>
      <c r="T34" s="156"/>
      <c r="U34" s="6"/>
    </row>
    <row r="35" spans="1:21" customFormat="1">
      <c r="A35" s="163" t="s">
        <v>1706</v>
      </c>
      <c r="B35" s="100">
        <v>2.62</v>
      </c>
      <c r="C35" s="100">
        <v>4.57</v>
      </c>
      <c r="D35" s="100">
        <v>2.74</v>
      </c>
      <c r="E35" s="100">
        <v>4.99</v>
      </c>
      <c r="F35" s="100">
        <v>2.1</v>
      </c>
      <c r="G35" s="100">
        <v>10.85</v>
      </c>
      <c r="H35" s="100">
        <v>4.95</v>
      </c>
      <c r="I35" s="100">
        <v>7.92</v>
      </c>
      <c r="J35" s="100">
        <v>0.15</v>
      </c>
      <c r="K35" s="100">
        <v>151.33000000000001</v>
      </c>
      <c r="L35" s="100">
        <v>24.64</v>
      </c>
      <c r="M35" s="100">
        <v>98.98</v>
      </c>
      <c r="N35" s="100">
        <v>8.9</v>
      </c>
      <c r="O35" s="100">
        <v>0.2</v>
      </c>
      <c r="P35" s="100">
        <v>0.31</v>
      </c>
      <c r="Q35" s="100">
        <v>10</v>
      </c>
      <c r="R35" s="6"/>
      <c r="S35" s="6"/>
      <c r="T35" s="156"/>
      <c r="U35" s="6"/>
    </row>
    <row r="36" spans="1:21" customFormat="1">
      <c r="A36" s="163" t="s">
        <v>1707</v>
      </c>
      <c r="B36" s="100">
        <v>2.93</v>
      </c>
      <c r="C36" s="100">
        <v>5.23</v>
      </c>
      <c r="D36" s="100">
        <v>3.53</v>
      </c>
      <c r="E36" s="100">
        <v>5.08</v>
      </c>
      <c r="F36" s="100">
        <v>2</v>
      </c>
      <c r="G36" s="100">
        <v>10.9</v>
      </c>
      <c r="H36" s="100">
        <v>5.32</v>
      </c>
      <c r="I36" s="100">
        <v>8</v>
      </c>
      <c r="J36" s="100">
        <v>0.13</v>
      </c>
      <c r="K36" s="100">
        <v>39.31</v>
      </c>
      <c r="L36" s="100">
        <v>24.68</v>
      </c>
      <c r="M36" s="100">
        <v>99.07</v>
      </c>
      <c r="N36" s="100">
        <v>13.9</v>
      </c>
      <c r="O36" s="100">
        <v>0.2</v>
      </c>
      <c r="P36" s="100">
        <v>0.33</v>
      </c>
      <c r="Q36" s="100">
        <v>10</v>
      </c>
      <c r="R36" s="6"/>
      <c r="S36" s="6"/>
      <c r="T36" s="156"/>
      <c r="U36" s="6"/>
    </row>
    <row r="37" spans="1:21" customFormat="1">
      <c r="A37" s="163" t="s">
        <v>1708</v>
      </c>
      <c r="B37" s="100">
        <v>3.08</v>
      </c>
      <c r="C37" s="100">
        <v>5.43</v>
      </c>
      <c r="D37" s="100">
        <v>3.69</v>
      </c>
      <c r="E37" s="100">
        <v>4.88</v>
      </c>
      <c r="F37" s="100">
        <v>1.71</v>
      </c>
      <c r="G37" s="100">
        <v>11.12</v>
      </c>
      <c r="H37" s="100">
        <v>7.07</v>
      </c>
      <c r="I37" s="100">
        <v>8.07</v>
      </c>
      <c r="J37" s="100">
        <v>0.08</v>
      </c>
      <c r="K37" s="100">
        <v>125.43</v>
      </c>
      <c r="L37" s="100">
        <v>24.72</v>
      </c>
      <c r="M37" s="100">
        <v>99.33</v>
      </c>
      <c r="N37" s="100">
        <v>22.4</v>
      </c>
      <c r="O37" s="100">
        <v>0.2</v>
      </c>
      <c r="P37" s="100">
        <v>0.35</v>
      </c>
      <c r="Q37" s="100">
        <v>10</v>
      </c>
      <c r="R37" s="6"/>
      <c r="S37" s="6"/>
      <c r="T37" s="156"/>
      <c r="U37" s="6"/>
    </row>
    <row r="38" spans="1:21" customFormat="1">
      <c r="A38" s="163" t="s">
        <v>1709</v>
      </c>
      <c r="B38" s="100">
        <v>2.8</v>
      </c>
      <c r="C38" s="100">
        <v>4.88</v>
      </c>
      <c r="D38" s="100">
        <v>3.06</v>
      </c>
      <c r="E38" s="100">
        <v>4.91</v>
      </c>
      <c r="F38" s="100">
        <v>2.1</v>
      </c>
      <c r="G38" s="100">
        <v>11.12</v>
      </c>
      <c r="H38" s="100">
        <v>7.07</v>
      </c>
      <c r="I38" s="100">
        <v>8.32</v>
      </c>
      <c r="J38" s="100">
        <v>0.12</v>
      </c>
      <c r="K38" s="100">
        <v>114.41</v>
      </c>
      <c r="L38" s="100">
        <v>24.87</v>
      </c>
      <c r="M38" s="100">
        <v>99.5</v>
      </c>
      <c r="N38" s="100">
        <v>31</v>
      </c>
      <c r="O38" s="100">
        <v>0</v>
      </c>
      <c r="P38" s="100">
        <v>0.36</v>
      </c>
      <c r="Q38" s="100">
        <v>10</v>
      </c>
      <c r="R38" s="6"/>
      <c r="S38" s="6"/>
      <c r="T38" s="156"/>
      <c r="U38" s="6"/>
    </row>
    <row r="39" spans="1:21" customFormat="1">
      <c r="A39" s="163" t="s">
        <v>1710</v>
      </c>
      <c r="B39" s="100">
        <v>2.8</v>
      </c>
      <c r="C39" s="100">
        <v>4.9000000000000004</v>
      </c>
      <c r="D39" s="100">
        <v>3.1</v>
      </c>
      <c r="E39" s="100">
        <v>4.96</v>
      </c>
      <c r="F39" s="100">
        <v>1.73</v>
      </c>
      <c r="G39" s="100">
        <v>11.12</v>
      </c>
      <c r="H39" s="100">
        <v>7.07</v>
      </c>
      <c r="I39" s="100">
        <v>8.49</v>
      </c>
      <c r="J39" s="100">
        <v>7.0000000000000007E-2</v>
      </c>
      <c r="K39" s="100">
        <v>250.9</v>
      </c>
      <c r="L39" s="100">
        <v>24.98</v>
      </c>
      <c r="M39" s="100">
        <v>99.9</v>
      </c>
      <c r="N39" s="100">
        <v>51.9</v>
      </c>
      <c r="O39" s="100">
        <v>0</v>
      </c>
      <c r="P39" s="100">
        <v>0.37</v>
      </c>
      <c r="Q39" s="100">
        <v>10</v>
      </c>
      <c r="R39" s="6"/>
      <c r="S39" s="6"/>
      <c r="T39" s="156"/>
      <c r="U39" s="6"/>
    </row>
    <row r="40" spans="1:21" customFormat="1">
      <c r="A40" s="163" t="s">
        <v>1711</v>
      </c>
      <c r="B40" s="100">
        <v>2.2000000000000002</v>
      </c>
      <c r="C40" s="100">
        <v>3.71</v>
      </c>
      <c r="D40" s="100">
        <v>1.76</v>
      </c>
      <c r="E40" s="100">
        <v>4.8899999999999997</v>
      </c>
      <c r="F40" s="100">
        <v>1.5</v>
      </c>
      <c r="G40" s="100">
        <v>11.11</v>
      </c>
      <c r="H40" s="100">
        <v>6.61</v>
      </c>
      <c r="I40" s="100">
        <v>8.5399999999999991</v>
      </c>
      <c r="J40" s="100">
        <v>0.28999999999999998</v>
      </c>
      <c r="K40" s="100">
        <v>248.22</v>
      </c>
      <c r="L40" s="100">
        <v>25.27</v>
      </c>
      <c r="M40" s="100">
        <v>99.74</v>
      </c>
      <c r="N40" s="100">
        <v>71.8</v>
      </c>
      <c r="O40" s="100">
        <v>0</v>
      </c>
      <c r="P40" s="100">
        <v>0.38</v>
      </c>
      <c r="Q40" s="100">
        <v>10</v>
      </c>
      <c r="R40" s="6"/>
      <c r="S40" s="6"/>
      <c r="T40" s="156"/>
      <c r="U40" s="6"/>
    </row>
    <row r="41" spans="1:21" customFormat="1">
      <c r="A41" s="163" t="s">
        <v>1712</v>
      </c>
      <c r="B41" s="100">
        <v>2.57</v>
      </c>
      <c r="C41" s="100">
        <v>4.4400000000000004</v>
      </c>
      <c r="D41" s="100">
        <v>2.57</v>
      </c>
      <c r="E41" s="100">
        <v>5.01</v>
      </c>
      <c r="F41" s="100">
        <v>1.68</v>
      </c>
      <c r="G41" s="100">
        <v>11.03</v>
      </c>
      <c r="H41" s="100">
        <v>5.14</v>
      </c>
      <c r="I41" s="100">
        <v>8.61</v>
      </c>
      <c r="J41" s="100">
        <v>0.24</v>
      </c>
      <c r="K41" s="100">
        <v>246.3</v>
      </c>
      <c r="L41" s="100">
        <v>25.5</v>
      </c>
      <c r="M41" s="100">
        <v>98.54</v>
      </c>
      <c r="N41" s="100">
        <v>93.9</v>
      </c>
      <c r="O41" s="100">
        <v>0</v>
      </c>
      <c r="P41" s="100">
        <v>0.38</v>
      </c>
      <c r="Q41" s="100">
        <v>10</v>
      </c>
      <c r="R41" s="6"/>
      <c r="S41" s="6"/>
      <c r="T41" s="156"/>
      <c r="U41" s="6"/>
    </row>
    <row r="42" spans="1:21" customFormat="1">
      <c r="A42" s="163" t="s">
        <v>1713</v>
      </c>
      <c r="B42" s="100">
        <v>2.5299999999999998</v>
      </c>
      <c r="C42" s="100">
        <v>4.5599999999999996</v>
      </c>
      <c r="D42" s="100">
        <v>2.86</v>
      </c>
      <c r="E42" s="100">
        <v>4.82</v>
      </c>
      <c r="F42" s="100">
        <v>1.55</v>
      </c>
      <c r="G42" s="100">
        <v>11.03</v>
      </c>
      <c r="H42" s="100">
        <v>5.14</v>
      </c>
      <c r="I42" s="100">
        <v>8.74</v>
      </c>
      <c r="J42" s="100">
        <v>0.33</v>
      </c>
      <c r="K42" s="100">
        <v>251.48</v>
      </c>
      <c r="L42" s="100">
        <v>25.65</v>
      </c>
      <c r="M42" s="100">
        <v>97.98</v>
      </c>
      <c r="N42" s="100">
        <v>114.6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163" t="s">
        <v>1714</v>
      </c>
      <c r="B43" s="100">
        <v>2.2599999999999998</v>
      </c>
      <c r="C43" s="100">
        <v>4.07</v>
      </c>
      <c r="D43" s="100">
        <v>2.34</v>
      </c>
      <c r="E43" s="100">
        <v>4.9800000000000004</v>
      </c>
      <c r="F43" s="100">
        <v>1.74</v>
      </c>
      <c r="G43" s="100">
        <v>11.03</v>
      </c>
      <c r="H43" s="100">
        <v>5.14</v>
      </c>
      <c r="I43" s="100">
        <v>8.8800000000000008</v>
      </c>
      <c r="J43" s="100">
        <v>0.35</v>
      </c>
      <c r="K43" s="100">
        <v>246.71</v>
      </c>
      <c r="L43" s="100">
        <v>26.02</v>
      </c>
      <c r="M43" s="100">
        <v>97.98</v>
      </c>
      <c r="N43" s="100">
        <v>130.4</v>
      </c>
      <c r="O43" s="100">
        <v>0</v>
      </c>
      <c r="P43" s="100">
        <v>0.37</v>
      </c>
      <c r="Q43" s="100">
        <v>10</v>
      </c>
      <c r="R43" s="6"/>
      <c r="S43" s="6"/>
      <c r="T43" s="156"/>
      <c r="U43" s="6"/>
    </row>
    <row r="44" spans="1:21" customFormat="1">
      <c r="A44" s="163" t="s">
        <v>1715</v>
      </c>
      <c r="B44" s="100">
        <v>2.27</v>
      </c>
      <c r="C44" s="100">
        <v>4.0599999999999996</v>
      </c>
      <c r="D44" s="100">
        <v>2.31</v>
      </c>
      <c r="E44" s="100">
        <v>4.5599999999999996</v>
      </c>
      <c r="F44" s="100">
        <v>2.4</v>
      </c>
      <c r="G44" s="100">
        <v>11.64</v>
      </c>
      <c r="H44" s="100">
        <v>5.34</v>
      </c>
      <c r="I44" s="100">
        <v>8.84</v>
      </c>
      <c r="J44" s="100">
        <v>0.21</v>
      </c>
      <c r="K44" s="100">
        <v>239.57</v>
      </c>
      <c r="L44" s="100">
        <v>26.29</v>
      </c>
      <c r="M44" s="100">
        <v>97.98</v>
      </c>
      <c r="N44" s="100">
        <v>141.5</v>
      </c>
      <c r="O44" s="100">
        <v>0</v>
      </c>
      <c r="P44" s="100">
        <v>0.35</v>
      </c>
      <c r="Q44" s="100">
        <v>10</v>
      </c>
      <c r="R44" s="6"/>
      <c r="S44" s="6"/>
      <c r="T44" s="156"/>
      <c r="U44" s="6"/>
    </row>
    <row r="45" spans="1:21" customFormat="1">
      <c r="A45" s="163" t="s">
        <v>1716</v>
      </c>
      <c r="B45" s="100">
        <v>2.4300000000000002</v>
      </c>
      <c r="C45" s="100">
        <v>4.29</v>
      </c>
      <c r="D45" s="100">
        <v>2.5</v>
      </c>
      <c r="E45" s="100">
        <v>4.9000000000000004</v>
      </c>
      <c r="F45" s="100">
        <v>2.52</v>
      </c>
      <c r="G45" s="100">
        <v>14.46</v>
      </c>
      <c r="H45" s="100">
        <v>6.02</v>
      </c>
      <c r="I45" s="100">
        <v>8.68</v>
      </c>
      <c r="J45" s="100">
        <v>0.35</v>
      </c>
      <c r="K45" s="100">
        <v>246.79</v>
      </c>
      <c r="L45" s="100">
        <v>26.57</v>
      </c>
      <c r="M45" s="100">
        <v>98.01</v>
      </c>
      <c r="N45" s="100">
        <v>164.4</v>
      </c>
      <c r="O45" s="100">
        <v>0</v>
      </c>
      <c r="P45" s="100">
        <v>0.34</v>
      </c>
      <c r="Q45" s="100">
        <v>10</v>
      </c>
      <c r="R45" s="6"/>
      <c r="S45" s="6"/>
      <c r="T45" s="156"/>
      <c r="U45" s="6"/>
    </row>
    <row r="46" spans="1:21" customFormat="1">
      <c r="A46" s="163" t="s">
        <v>1717</v>
      </c>
      <c r="B46" s="100">
        <v>2.4700000000000002</v>
      </c>
      <c r="C46" s="100">
        <v>4.51</v>
      </c>
      <c r="D46" s="100">
        <v>2.86</v>
      </c>
      <c r="E46" s="100">
        <v>4.76</v>
      </c>
      <c r="F46" s="100">
        <v>1.46</v>
      </c>
      <c r="G46" s="100">
        <v>14.46</v>
      </c>
      <c r="H46" s="100">
        <v>6.02</v>
      </c>
      <c r="I46" s="100">
        <v>8.43</v>
      </c>
      <c r="J46" s="100">
        <v>0.45</v>
      </c>
      <c r="K46" s="100">
        <v>249.94</v>
      </c>
      <c r="L46" s="100">
        <v>26.94</v>
      </c>
      <c r="M46" s="100">
        <v>98.04</v>
      </c>
      <c r="N46" s="100">
        <v>214.4</v>
      </c>
      <c r="O46" s="100">
        <v>0</v>
      </c>
      <c r="P46" s="100">
        <v>0.32</v>
      </c>
      <c r="Q46" s="100">
        <v>10</v>
      </c>
      <c r="R46" s="6"/>
      <c r="S46" s="6"/>
      <c r="T46" s="156"/>
      <c r="U46" s="6"/>
    </row>
    <row r="47" spans="1:21" customFormat="1">
      <c r="A47" s="163" t="s">
        <v>1718</v>
      </c>
      <c r="B47" s="100">
        <v>2.29</v>
      </c>
      <c r="C47" s="100">
        <v>4.16</v>
      </c>
      <c r="D47" s="100">
        <v>2.48</v>
      </c>
      <c r="E47" s="100">
        <v>4.76</v>
      </c>
      <c r="F47" s="100">
        <v>1.26</v>
      </c>
      <c r="G47" s="100">
        <v>14.46</v>
      </c>
      <c r="H47" s="100">
        <v>6.02</v>
      </c>
      <c r="I47" s="100">
        <v>8.17</v>
      </c>
      <c r="J47" s="100">
        <v>0.45</v>
      </c>
      <c r="K47" s="100">
        <v>278.14999999999998</v>
      </c>
      <c r="L47" s="100">
        <v>27.64</v>
      </c>
      <c r="M47" s="100">
        <v>97.8</v>
      </c>
      <c r="N47" s="100">
        <v>266.10000000000002</v>
      </c>
      <c r="O47" s="100">
        <v>0</v>
      </c>
      <c r="P47" s="100">
        <v>0.31</v>
      </c>
      <c r="Q47" s="100">
        <v>10</v>
      </c>
      <c r="R47" s="6"/>
      <c r="S47" s="6"/>
      <c r="T47" s="156"/>
      <c r="U47" s="6"/>
    </row>
    <row r="48" spans="1:21" customFormat="1">
      <c r="A48" s="163" t="s">
        <v>1719</v>
      </c>
      <c r="B48" s="100">
        <v>1.86</v>
      </c>
      <c r="C48" s="100">
        <v>3.42</v>
      </c>
      <c r="D48" s="100">
        <v>1.71</v>
      </c>
      <c r="E48" s="100">
        <v>4.62</v>
      </c>
      <c r="F48" s="100">
        <v>2.17</v>
      </c>
      <c r="G48" s="100">
        <v>14.43</v>
      </c>
      <c r="H48" s="100">
        <v>5.84</v>
      </c>
      <c r="I48" s="100">
        <v>7.88</v>
      </c>
      <c r="J48" s="100">
        <v>0.41</v>
      </c>
      <c r="K48" s="100">
        <v>260.77</v>
      </c>
      <c r="L48" s="100">
        <v>27.82</v>
      </c>
      <c r="M48" s="100">
        <v>92.57</v>
      </c>
      <c r="N48" s="100">
        <v>191.9</v>
      </c>
      <c r="O48" s="100">
        <v>0</v>
      </c>
      <c r="P48" s="100">
        <v>0.3</v>
      </c>
      <c r="Q48" s="100">
        <v>10</v>
      </c>
      <c r="R48" s="6"/>
      <c r="S48" s="6"/>
      <c r="T48" s="156"/>
      <c r="U48" s="6"/>
    </row>
    <row r="49" spans="1:21" customFormat="1">
      <c r="A49" s="163" t="s">
        <v>1720</v>
      </c>
      <c r="B49" s="100">
        <v>1.77</v>
      </c>
      <c r="C49" s="100">
        <v>3.35</v>
      </c>
      <c r="D49" s="100">
        <v>1.7</v>
      </c>
      <c r="E49" s="100">
        <v>3.38</v>
      </c>
      <c r="F49" s="100">
        <v>2.23</v>
      </c>
      <c r="G49" s="100">
        <v>14.29</v>
      </c>
      <c r="H49" s="100">
        <v>5.28</v>
      </c>
      <c r="I49" s="100">
        <v>7.64</v>
      </c>
      <c r="J49" s="100">
        <v>0.41</v>
      </c>
      <c r="K49" s="100">
        <v>266.5</v>
      </c>
      <c r="L49" s="100">
        <v>28.15</v>
      </c>
      <c r="M49" s="100">
        <v>89.21</v>
      </c>
      <c r="N49" s="100">
        <v>227</v>
      </c>
      <c r="O49" s="100">
        <v>0</v>
      </c>
      <c r="P49" s="100">
        <v>0.28000000000000003</v>
      </c>
      <c r="Q49" s="100">
        <v>10</v>
      </c>
      <c r="R49" s="6"/>
      <c r="S49" s="6"/>
      <c r="T49" s="156"/>
      <c r="U49" s="6"/>
    </row>
    <row r="50" spans="1:21" customFormat="1">
      <c r="A50" s="163" t="s">
        <v>1721</v>
      </c>
      <c r="B50" s="100">
        <v>1.91</v>
      </c>
      <c r="C50" s="100">
        <v>3.66</v>
      </c>
      <c r="D50" s="100">
        <v>2.09</v>
      </c>
      <c r="E50" s="100">
        <v>4.16</v>
      </c>
      <c r="F50" s="100">
        <v>0.7</v>
      </c>
      <c r="G50" s="100">
        <v>14.29</v>
      </c>
      <c r="H50" s="100">
        <v>5.28</v>
      </c>
      <c r="I50" s="100">
        <v>7.35</v>
      </c>
      <c r="J50" s="100">
        <v>0.47</v>
      </c>
      <c r="K50" s="100">
        <v>284.12</v>
      </c>
      <c r="L50" s="100">
        <v>28.28</v>
      </c>
      <c r="M50" s="100">
        <v>87.46</v>
      </c>
      <c r="N50" s="100">
        <v>168.8</v>
      </c>
      <c r="O50" s="100">
        <v>0</v>
      </c>
      <c r="P50" s="100">
        <v>0.27</v>
      </c>
      <c r="Q50" s="100">
        <v>10</v>
      </c>
      <c r="R50" s="6"/>
      <c r="S50" s="6"/>
      <c r="T50" s="156"/>
      <c r="U50" s="6"/>
    </row>
    <row r="51" spans="1:21" customFormat="1">
      <c r="A51" s="163" t="s">
        <v>1722</v>
      </c>
      <c r="B51" s="100">
        <v>2.19</v>
      </c>
      <c r="C51" s="100">
        <v>4.38</v>
      </c>
      <c r="D51" s="100">
        <v>3.03</v>
      </c>
      <c r="E51" s="100">
        <v>4.2300000000000004</v>
      </c>
      <c r="F51" s="100">
        <v>1.55</v>
      </c>
      <c r="G51" s="100">
        <v>14.29</v>
      </c>
      <c r="H51" s="100">
        <v>5.28</v>
      </c>
      <c r="I51" s="100">
        <v>7.11</v>
      </c>
      <c r="J51" s="100">
        <v>0.51</v>
      </c>
      <c r="K51" s="100">
        <v>257.02999999999997</v>
      </c>
      <c r="L51" s="100">
        <v>27.93</v>
      </c>
      <c r="M51" s="100">
        <v>88.13</v>
      </c>
      <c r="N51" s="100">
        <v>111.8</v>
      </c>
      <c r="O51" s="100">
        <v>0</v>
      </c>
      <c r="P51" s="100">
        <v>0.25</v>
      </c>
      <c r="Q51" s="100">
        <v>10</v>
      </c>
      <c r="R51" s="6"/>
      <c r="S51" s="6"/>
      <c r="T51" s="156"/>
      <c r="U51" s="6"/>
    </row>
    <row r="52" spans="1:21" customFormat="1">
      <c r="A52" s="163" t="s">
        <v>1723</v>
      </c>
      <c r="B52" s="100">
        <v>1.97</v>
      </c>
      <c r="C52" s="100">
        <v>3.81</v>
      </c>
      <c r="D52" s="100">
        <v>2.29</v>
      </c>
      <c r="E52" s="100">
        <v>3.63</v>
      </c>
      <c r="F52" s="100">
        <v>5.49</v>
      </c>
      <c r="G52" s="100">
        <v>14.28</v>
      </c>
      <c r="H52" s="100">
        <v>5.26</v>
      </c>
      <c r="I52" s="100">
        <v>6.98</v>
      </c>
      <c r="J52" s="100">
        <v>0.45</v>
      </c>
      <c r="K52" s="100">
        <v>255.39</v>
      </c>
      <c r="L52" s="100">
        <v>27.7</v>
      </c>
      <c r="M52" s="100">
        <v>88.94</v>
      </c>
      <c r="N52" s="100">
        <v>102.5</v>
      </c>
      <c r="O52" s="100">
        <v>0</v>
      </c>
      <c r="P52" s="100">
        <v>0.23</v>
      </c>
      <c r="Q52" s="100">
        <v>10</v>
      </c>
      <c r="R52" s="6"/>
      <c r="S52" s="6"/>
      <c r="T52" s="156"/>
      <c r="U52" s="6"/>
    </row>
    <row r="53" spans="1:21" customFormat="1">
      <c r="A53" s="163" t="s">
        <v>1724</v>
      </c>
      <c r="B53" s="100">
        <v>1.88</v>
      </c>
      <c r="C53" s="100">
        <v>3.67</v>
      </c>
      <c r="D53" s="100">
        <v>2.16</v>
      </c>
      <c r="E53" s="100">
        <v>3.33</v>
      </c>
      <c r="F53" s="100">
        <v>5.1100000000000003</v>
      </c>
      <c r="G53" s="100">
        <v>14.22</v>
      </c>
      <c r="H53" s="100">
        <v>5.1100000000000003</v>
      </c>
      <c r="I53" s="100">
        <v>6.85</v>
      </c>
      <c r="J53" s="100">
        <v>0.34</v>
      </c>
      <c r="K53" s="100">
        <v>252.22</v>
      </c>
      <c r="L53" s="100">
        <v>27.86</v>
      </c>
      <c r="M53" s="100">
        <v>89.99</v>
      </c>
      <c r="N53" s="100">
        <v>105.2</v>
      </c>
      <c r="O53" s="100">
        <v>0</v>
      </c>
      <c r="P53" s="100">
        <v>0.21</v>
      </c>
      <c r="Q53" s="100">
        <v>10</v>
      </c>
      <c r="R53" s="6"/>
      <c r="S53" s="6"/>
      <c r="T53" s="156"/>
      <c r="U53" s="6"/>
    </row>
    <row r="54" spans="1:21" customFormat="1">
      <c r="A54" s="163" t="s">
        <v>1725</v>
      </c>
      <c r="B54" s="100">
        <v>1.78</v>
      </c>
      <c r="C54" s="100">
        <v>3.48</v>
      </c>
      <c r="D54" s="100">
        <v>1.93</v>
      </c>
      <c r="E54" s="100">
        <v>3.45</v>
      </c>
      <c r="F54" s="100">
        <v>4.12</v>
      </c>
      <c r="G54" s="100">
        <v>14.22</v>
      </c>
      <c r="H54" s="100">
        <v>5.1100000000000003</v>
      </c>
      <c r="I54" s="100">
        <v>6.55</v>
      </c>
      <c r="J54" s="100">
        <v>0.41</v>
      </c>
      <c r="K54" s="100">
        <v>257.77999999999997</v>
      </c>
      <c r="L54" s="100">
        <v>27.82</v>
      </c>
      <c r="M54" s="100">
        <v>89.11</v>
      </c>
      <c r="N54" s="100">
        <v>110.6</v>
      </c>
      <c r="O54" s="100">
        <v>0</v>
      </c>
      <c r="P54" s="100">
        <v>0.2</v>
      </c>
      <c r="Q54" s="100">
        <v>10</v>
      </c>
      <c r="R54" s="6"/>
      <c r="S54" s="6"/>
      <c r="T54" s="156"/>
      <c r="U54" s="6"/>
    </row>
    <row r="55" spans="1:21" customFormat="1">
      <c r="A55" s="163" t="s">
        <v>1726</v>
      </c>
      <c r="B55" s="100">
        <v>1.74</v>
      </c>
      <c r="C55" s="100">
        <v>3.41</v>
      </c>
      <c r="D55" s="100">
        <v>1.87</v>
      </c>
      <c r="E55" s="100">
        <v>3.48</v>
      </c>
      <c r="F55" s="100">
        <v>2.4300000000000002</v>
      </c>
      <c r="G55" s="100">
        <v>14.22</v>
      </c>
      <c r="H55" s="100">
        <v>5.1100000000000003</v>
      </c>
      <c r="I55" s="100">
        <v>6.53</v>
      </c>
      <c r="J55" s="100">
        <v>0.31</v>
      </c>
      <c r="K55" s="100">
        <v>249.82</v>
      </c>
      <c r="L55" s="100">
        <v>27.91</v>
      </c>
      <c r="M55" s="100">
        <v>89</v>
      </c>
      <c r="N55" s="100">
        <v>119.1</v>
      </c>
      <c r="O55" s="100">
        <v>0</v>
      </c>
      <c r="P55" s="100">
        <v>0.23</v>
      </c>
      <c r="Q55" s="100">
        <v>10</v>
      </c>
      <c r="R55" s="6"/>
      <c r="S55" s="6"/>
      <c r="T55" s="156"/>
      <c r="U55" s="6"/>
    </row>
    <row r="56" spans="1:21" customFormat="1">
      <c r="A56" s="163" t="s">
        <v>1727</v>
      </c>
      <c r="B56" s="100">
        <v>2.25</v>
      </c>
      <c r="C56" s="100">
        <v>4.4800000000000004</v>
      </c>
      <c r="D56" s="100">
        <v>3.14</v>
      </c>
      <c r="E56" s="100">
        <v>3.49</v>
      </c>
      <c r="F56" s="100">
        <v>4.5599999999999996</v>
      </c>
      <c r="G56" s="100">
        <v>14.4</v>
      </c>
      <c r="H56" s="100">
        <v>4.75</v>
      </c>
      <c r="I56" s="100">
        <v>6.67</v>
      </c>
      <c r="J56" s="100">
        <v>0.43</v>
      </c>
      <c r="K56" s="100">
        <v>281.93</v>
      </c>
      <c r="L56" s="100">
        <v>28.2</v>
      </c>
      <c r="M56" s="100">
        <v>87.8</v>
      </c>
      <c r="N56" s="100">
        <v>153</v>
      </c>
      <c r="O56" s="100">
        <v>0</v>
      </c>
      <c r="P56" s="100">
        <v>0.25</v>
      </c>
      <c r="Q56" s="100">
        <v>10</v>
      </c>
      <c r="R56" s="6"/>
      <c r="S56" s="6"/>
      <c r="T56" s="156"/>
      <c r="U56" s="6"/>
    </row>
    <row r="57" spans="1:21" customFormat="1">
      <c r="A57" s="163" t="s">
        <v>1728</v>
      </c>
      <c r="B57" s="100">
        <v>2.4300000000000002</v>
      </c>
      <c r="C57" s="100">
        <v>4.7699999999999996</v>
      </c>
      <c r="D57" s="100">
        <v>3.43</v>
      </c>
      <c r="E57" s="100">
        <v>4.07</v>
      </c>
      <c r="F57" s="100">
        <v>4.26</v>
      </c>
      <c r="G57" s="100">
        <v>15.24</v>
      </c>
      <c r="H57" s="100">
        <v>3.62</v>
      </c>
      <c r="I57" s="100">
        <v>6.82</v>
      </c>
      <c r="J57" s="100">
        <v>0.48</v>
      </c>
      <c r="K57" s="100">
        <v>266.04000000000002</v>
      </c>
      <c r="L57" s="100">
        <v>28.49</v>
      </c>
      <c r="M57" s="100">
        <v>85.68</v>
      </c>
      <c r="N57" s="100">
        <v>201.2</v>
      </c>
      <c r="O57" s="100">
        <v>0</v>
      </c>
      <c r="P57" s="100">
        <v>0.24</v>
      </c>
      <c r="Q57" s="100">
        <v>10</v>
      </c>
      <c r="R57" s="6"/>
      <c r="S57" s="6"/>
      <c r="T57" s="156"/>
      <c r="U57" s="6"/>
    </row>
    <row r="58" spans="1:21" customFormat="1">
      <c r="A58" s="163" t="s">
        <v>1729</v>
      </c>
      <c r="B58" s="100">
        <v>2.29</v>
      </c>
      <c r="C58" s="100">
        <v>4.55</v>
      </c>
      <c r="D58" s="100">
        <v>3.22</v>
      </c>
      <c r="E58" s="100">
        <v>3.87</v>
      </c>
      <c r="F58" s="100">
        <v>4.2300000000000004</v>
      </c>
      <c r="G58" s="100">
        <v>15.24</v>
      </c>
      <c r="H58" s="100">
        <v>3.62</v>
      </c>
      <c r="I58" s="100">
        <v>7</v>
      </c>
      <c r="J58" s="100">
        <v>0.5</v>
      </c>
      <c r="K58" s="100">
        <v>268.91000000000003</v>
      </c>
      <c r="L58" s="100">
        <v>28.84</v>
      </c>
      <c r="M58" s="100">
        <v>83.81</v>
      </c>
      <c r="N58" s="100">
        <v>246.3</v>
      </c>
      <c r="O58" s="100">
        <v>0</v>
      </c>
      <c r="P58" s="100">
        <v>0.22</v>
      </c>
      <c r="Q58" s="100">
        <v>10</v>
      </c>
      <c r="R58" s="6"/>
      <c r="S58" s="6"/>
      <c r="T58" s="156"/>
      <c r="U58" s="6"/>
    </row>
    <row r="59" spans="1:21" customFormat="1">
      <c r="A59" s="163" t="s">
        <v>1730</v>
      </c>
      <c r="B59" s="100">
        <v>2.02</v>
      </c>
      <c r="C59" s="100">
        <v>3.89</v>
      </c>
      <c r="D59" s="100">
        <v>2.37</v>
      </c>
      <c r="E59" s="100">
        <v>3.42</v>
      </c>
      <c r="F59" s="100">
        <v>5.71</v>
      </c>
      <c r="G59" s="100">
        <v>15.24</v>
      </c>
      <c r="H59" s="100">
        <v>3.62</v>
      </c>
      <c r="I59" s="100">
        <v>7.09</v>
      </c>
      <c r="J59" s="100">
        <v>0.51</v>
      </c>
      <c r="K59" s="100">
        <v>271.49</v>
      </c>
      <c r="L59" s="100">
        <v>29.32</v>
      </c>
      <c r="M59" s="100">
        <v>82.14</v>
      </c>
      <c r="N59" s="100">
        <v>322</v>
      </c>
      <c r="O59" s="100">
        <v>0</v>
      </c>
      <c r="P59" s="100">
        <v>0.23</v>
      </c>
      <c r="Q59" s="100">
        <v>10</v>
      </c>
      <c r="R59" s="6"/>
      <c r="S59" s="6"/>
      <c r="T59" s="156"/>
      <c r="U59" s="6"/>
    </row>
    <row r="60" spans="1:21" customFormat="1">
      <c r="A60" s="163" t="s">
        <v>1731</v>
      </c>
      <c r="B60" s="100">
        <v>2.0699999999999998</v>
      </c>
      <c r="C60" s="100">
        <v>4.09</v>
      </c>
      <c r="D60" s="100">
        <v>2.65</v>
      </c>
      <c r="E60" s="100">
        <v>3.35</v>
      </c>
      <c r="F60" s="100">
        <v>3.46</v>
      </c>
      <c r="G60" s="100">
        <v>16.440000000000001</v>
      </c>
      <c r="H60" s="100">
        <v>3.68</v>
      </c>
      <c r="I60" s="100">
        <v>7.14</v>
      </c>
      <c r="J60" s="100">
        <v>0.65</v>
      </c>
      <c r="K60" s="100">
        <v>286.92</v>
      </c>
      <c r="L60" s="100">
        <v>29.48</v>
      </c>
      <c r="M60" s="100">
        <v>80.599999999999994</v>
      </c>
      <c r="N60" s="100">
        <v>325</v>
      </c>
      <c r="O60" s="100">
        <v>0</v>
      </c>
      <c r="P60" s="100">
        <v>0.24</v>
      </c>
      <c r="Q60" s="100">
        <v>10</v>
      </c>
      <c r="R60" s="6"/>
      <c r="S60" s="6"/>
      <c r="T60" s="156"/>
      <c r="U60" s="6"/>
    </row>
    <row r="61" spans="1:21" customFormat="1">
      <c r="A61" s="163" t="s">
        <v>1732</v>
      </c>
      <c r="B61" s="100">
        <v>1.89</v>
      </c>
      <c r="C61" s="100">
        <v>3.69</v>
      </c>
      <c r="D61" s="100">
        <v>2.1800000000000002</v>
      </c>
      <c r="E61" s="100">
        <v>3.64</v>
      </c>
      <c r="F61" s="100">
        <v>3.6</v>
      </c>
      <c r="G61" s="100">
        <v>22.01</v>
      </c>
      <c r="H61" s="100">
        <v>3.88</v>
      </c>
      <c r="I61" s="100">
        <v>7.1</v>
      </c>
      <c r="J61" s="100">
        <v>1.07</v>
      </c>
      <c r="K61" s="100">
        <v>303.79000000000002</v>
      </c>
      <c r="L61" s="100">
        <v>29.65</v>
      </c>
      <c r="M61" s="100">
        <v>77.099999999999994</v>
      </c>
      <c r="N61" s="100">
        <v>383.7</v>
      </c>
      <c r="O61" s="100">
        <v>0</v>
      </c>
      <c r="P61" s="100">
        <v>0.25</v>
      </c>
      <c r="Q61" s="100">
        <v>10</v>
      </c>
      <c r="R61" s="6"/>
      <c r="S61" s="6"/>
      <c r="T61" s="156"/>
      <c r="U61" s="6"/>
    </row>
    <row r="62" spans="1:21" customFormat="1">
      <c r="A62" s="163" t="s">
        <v>1733</v>
      </c>
      <c r="B62" s="100">
        <v>1.74</v>
      </c>
      <c r="C62" s="100">
        <v>3.4</v>
      </c>
      <c r="D62" s="100">
        <v>1.85</v>
      </c>
      <c r="E62" s="100">
        <v>3.46</v>
      </c>
      <c r="F62" s="100">
        <v>6.7</v>
      </c>
      <c r="G62" s="100">
        <v>22.01</v>
      </c>
      <c r="H62" s="100">
        <v>3.88</v>
      </c>
      <c r="I62" s="100">
        <v>7.17</v>
      </c>
      <c r="J62" s="100">
        <v>0.83</v>
      </c>
      <c r="K62" s="100">
        <v>300.70999999999998</v>
      </c>
      <c r="L62" s="100">
        <v>30.22</v>
      </c>
      <c r="M62" s="100">
        <v>75.819999999999993</v>
      </c>
      <c r="N62" s="100">
        <v>467.2</v>
      </c>
      <c r="O62" s="100">
        <v>0</v>
      </c>
      <c r="P62" s="100">
        <v>0.24</v>
      </c>
      <c r="Q62" s="100">
        <v>10</v>
      </c>
      <c r="R62" s="6"/>
      <c r="S62" s="6"/>
      <c r="T62" s="156"/>
      <c r="U62" s="6"/>
    </row>
    <row r="63" spans="1:21" customFormat="1">
      <c r="A63" s="163" t="s">
        <v>1734</v>
      </c>
      <c r="B63" s="100">
        <v>1.65</v>
      </c>
      <c r="C63" s="100">
        <v>3.07</v>
      </c>
      <c r="D63" s="100">
        <v>1.37</v>
      </c>
      <c r="E63" s="100">
        <v>3.5</v>
      </c>
      <c r="F63" s="100">
        <v>5.9</v>
      </c>
      <c r="G63" s="100">
        <v>22.01</v>
      </c>
      <c r="H63" s="100">
        <v>3.88</v>
      </c>
      <c r="I63" s="100">
        <v>7.19</v>
      </c>
      <c r="J63" s="100">
        <v>0.81</v>
      </c>
      <c r="K63" s="100">
        <v>288.74</v>
      </c>
      <c r="L63" s="100">
        <v>30.5</v>
      </c>
      <c r="M63" s="100">
        <v>74.48</v>
      </c>
      <c r="N63" s="100">
        <v>497.8</v>
      </c>
      <c r="O63" s="100">
        <v>0</v>
      </c>
      <c r="P63" s="100">
        <v>0.22</v>
      </c>
      <c r="Q63" s="100">
        <v>10</v>
      </c>
      <c r="R63" s="6"/>
      <c r="S63" s="6"/>
      <c r="T63" s="156"/>
      <c r="U63" s="6"/>
    </row>
    <row r="64" spans="1:21" customFormat="1">
      <c r="A64" s="163" t="s">
        <v>1735</v>
      </c>
      <c r="B64" s="100">
        <v>2.0299999999999998</v>
      </c>
      <c r="C64" s="100">
        <v>4.2699999999999996</v>
      </c>
      <c r="D64" s="100">
        <v>3.07</v>
      </c>
      <c r="E64" s="100">
        <v>3.36</v>
      </c>
      <c r="F64" s="100">
        <v>6.79</v>
      </c>
      <c r="G64" s="100">
        <v>22.67</v>
      </c>
      <c r="H64" s="100">
        <v>4.87</v>
      </c>
      <c r="I64" s="100">
        <v>7.15</v>
      </c>
      <c r="J64" s="100">
        <v>0.87</v>
      </c>
      <c r="K64" s="100">
        <v>284.97000000000003</v>
      </c>
      <c r="L64" s="100">
        <v>30.63</v>
      </c>
      <c r="M64" s="100">
        <v>74.260000000000005</v>
      </c>
      <c r="N64" s="100">
        <v>370.7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163" t="s">
        <v>1736</v>
      </c>
      <c r="B65" s="100">
        <v>2.02</v>
      </c>
      <c r="C65" s="100">
        <v>4.3499999999999996</v>
      </c>
      <c r="D65" s="100">
        <v>3.24</v>
      </c>
      <c r="E65" s="100">
        <v>3.03</v>
      </c>
      <c r="F65" s="100">
        <v>6.38</v>
      </c>
      <c r="G65" s="100">
        <v>25.76</v>
      </c>
      <c r="H65" s="100">
        <v>8.02</v>
      </c>
      <c r="I65" s="100">
        <v>7.07</v>
      </c>
      <c r="J65" s="100">
        <v>0.81</v>
      </c>
      <c r="K65" s="100">
        <v>284.51</v>
      </c>
      <c r="L65" s="100">
        <v>30.58</v>
      </c>
      <c r="M65" s="100">
        <v>73.58</v>
      </c>
      <c r="N65" s="100">
        <v>270.10000000000002</v>
      </c>
      <c r="O65" s="100">
        <v>0</v>
      </c>
      <c r="P65" s="100">
        <v>0.2</v>
      </c>
      <c r="Q65" s="100">
        <v>10</v>
      </c>
      <c r="R65" s="6"/>
      <c r="S65" s="6"/>
      <c r="T65" s="156"/>
      <c r="U65" s="6"/>
    </row>
    <row r="66" spans="1:21" customFormat="1">
      <c r="A66" s="163" t="s">
        <v>1737</v>
      </c>
      <c r="B66" s="100">
        <v>1.83</v>
      </c>
      <c r="C66" s="100">
        <v>4.1399999999999997</v>
      </c>
      <c r="D66" s="100">
        <v>3.13</v>
      </c>
      <c r="E66" s="100">
        <v>2.97</v>
      </c>
      <c r="F66" s="100">
        <v>7.38</v>
      </c>
      <c r="G66" s="100">
        <v>25.76</v>
      </c>
      <c r="H66" s="100">
        <v>8.02</v>
      </c>
      <c r="I66" s="100">
        <v>6.9</v>
      </c>
      <c r="J66" s="100">
        <v>0.56000000000000005</v>
      </c>
      <c r="K66" s="100">
        <v>293.48</v>
      </c>
      <c r="L66" s="100">
        <v>30.35</v>
      </c>
      <c r="M66" s="100">
        <v>73.819999999999993</v>
      </c>
      <c r="N66" s="100">
        <v>196.2</v>
      </c>
      <c r="O66" s="100">
        <v>0</v>
      </c>
      <c r="P66" s="100">
        <v>0.2</v>
      </c>
      <c r="Q66" s="100">
        <v>10</v>
      </c>
      <c r="R66" s="6"/>
      <c r="S66" s="6"/>
      <c r="T66" s="156"/>
      <c r="U66" s="6"/>
    </row>
    <row r="67" spans="1:21" customFormat="1">
      <c r="A67" s="163" t="s">
        <v>1738</v>
      </c>
      <c r="B67" s="100">
        <v>1.63</v>
      </c>
      <c r="C67" s="100">
        <v>3.54</v>
      </c>
      <c r="D67" s="100">
        <v>2.29</v>
      </c>
      <c r="E67" s="100">
        <v>3.06</v>
      </c>
      <c r="F67" s="100">
        <v>8.08</v>
      </c>
      <c r="G67" s="100">
        <v>25.76</v>
      </c>
      <c r="H67" s="100">
        <v>8.02</v>
      </c>
      <c r="I67" s="100">
        <v>6.78</v>
      </c>
      <c r="J67" s="100">
        <v>0.55000000000000004</v>
      </c>
      <c r="K67" s="100">
        <v>272.95999999999998</v>
      </c>
      <c r="L67" s="100">
        <v>30.47</v>
      </c>
      <c r="M67" s="100">
        <v>74.25</v>
      </c>
      <c r="N67" s="100">
        <v>221.8</v>
      </c>
      <c r="O67" s="100">
        <v>0</v>
      </c>
      <c r="P67" s="100">
        <v>0.19</v>
      </c>
      <c r="Q67" s="100">
        <v>10</v>
      </c>
      <c r="R67" s="6"/>
      <c r="S67" s="6"/>
      <c r="T67" s="156"/>
      <c r="U67" s="6"/>
    </row>
    <row r="68" spans="1:21" customFormat="1">
      <c r="A68" s="163" t="s">
        <v>1739</v>
      </c>
      <c r="B68" s="100">
        <v>1.69</v>
      </c>
      <c r="C68" s="100">
        <v>3.63</v>
      </c>
      <c r="D68" s="100">
        <v>2.38</v>
      </c>
      <c r="E68" s="100">
        <v>3.16</v>
      </c>
      <c r="F68" s="100">
        <v>7.73</v>
      </c>
      <c r="G68" s="100">
        <v>26.51</v>
      </c>
      <c r="H68" s="100">
        <v>8.23</v>
      </c>
      <c r="I68" s="100">
        <v>6.56</v>
      </c>
      <c r="J68" s="100">
        <v>0.59</v>
      </c>
      <c r="K68" s="100">
        <v>258.72000000000003</v>
      </c>
      <c r="L68" s="100">
        <v>30.61</v>
      </c>
      <c r="M68" s="100">
        <v>74.290000000000006</v>
      </c>
      <c r="N68" s="100">
        <v>249.8</v>
      </c>
      <c r="O68" s="100">
        <v>0</v>
      </c>
      <c r="P68" s="100">
        <v>0.19</v>
      </c>
      <c r="Q68" s="100">
        <v>10</v>
      </c>
      <c r="R68" s="6"/>
      <c r="S68" s="6"/>
      <c r="T68" s="156"/>
      <c r="U68" s="6"/>
    </row>
    <row r="69" spans="1:21" customFormat="1">
      <c r="A69" s="163" t="s">
        <v>1740</v>
      </c>
      <c r="B69" s="100">
        <v>1.58</v>
      </c>
      <c r="C69" s="100">
        <v>3.53</v>
      </c>
      <c r="D69" s="100">
        <v>2.36</v>
      </c>
      <c r="E69" s="100">
        <v>3.22</v>
      </c>
      <c r="F69" s="100">
        <v>4.12</v>
      </c>
      <c r="G69" s="100">
        <v>30.01</v>
      </c>
      <c r="H69" s="100">
        <v>9.3000000000000007</v>
      </c>
      <c r="I69" s="100">
        <v>6.37</v>
      </c>
      <c r="J69" s="100">
        <v>0.46</v>
      </c>
      <c r="K69" s="100">
        <v>257.57</v>
      </c>
      <c r="L69" s="100">
        <v>30.96</v>
      </c>
      <c r="M69" s="100">
        <v>73.64</v>
      </c>
      <c r="N69" s="100">
        <v>277.8</v>
      </c>
      <c r="O69" s="100">
        <v>0</v>
      </c>
      <c r="P69" s="100">
        <v>0.2</v>
      </c>
      <c r="Q69" s="100">
        <v>10</v>
      </c>
      <c r="R69" s="6"/>
      <c r="S69" s="6"/>
      <c r="T69" s="156"/>
      <c r="U69" s="6"/>
    </row>
    <row r="70" spans="1:21" customFormat="1">
      <c r="A70" s="163" t="s">
        <v>1741</v>
      </c>
      <c r="B70" s="100">
        <v>1.62</v>
      </c>
      <c r="C70" s="100">
        <v>3.89</v>
      </c>
      <c r="D70" s="100">
        <v>2.98</v>
      </c>
      <c r="E70" s="100">
        <v>3.3</v>
      </c>
      <c r="F70" s="100">
        <v>3.21</v>
      </c>
      <c r="G70" s="100">
        <v>30.01</v>
      </c>
      <c r="H70" s="100">
        <v>9.3000000000000007</v>
      </c>
      <c r="I70" s="100">
        <v>6.42</v>
      </c>
      <c r="J70" s="100">
        <v>0.36</v>
      </c>
      <c r="K70" s="100">
        <v>254.96</v>
      </c>
      <c r="L70" s="100">
        <v>31.06</v>
      </c>
      <c r="M70" s="100">
        <v>73.61</v>
      </c>
      <c r="N70" s="100">
        <v>271.39999999999998</v>
      </c>
      <c r="O70" s="100">
        <v>0</v>
      </c>
      <c r="P70" s="100">
        <v>0.22</v>
      </c>
      <c r="Q70" s="100">
        <v>10</v>
      </c>
      <c r="R70" s="6"/>
      <c r="S70" s="6"/>
      <c r="T70" s="156"/>
      <c r="U70" s="6"/>
    </row>
    <row r="71" spans="1:21" customFormat="1">
      <c r="A71" s="163" t="s">
        <v>1742</v>
      </c>
      <c r="B71" s="100">
        <v>1.55</v>
      </c>
      <c r="C71" s="100">
        <v>3.76</v>
      </c>
      <c r="D71" s="100">
        <v>2.82</v>
      </c>
      <c r="E71" s="100">
        <v>2.74</v>
      </c>
      <c r="F71" s="100">
        <v>2.94</v>
      </c>
      <c r="G71" s="100">
        <v>30.01</v>
      </c>
      <c r="H71" s="100">
        <v>9.3000000000000007</v>
      </c>
      <c r="I71" s="100">
        <v>6.37</v>
      </c>
      <c r="J71" s="100">
        <v>0.71</v>
      </c>
      <c r="K71" s="100">
        <v>255.13</v>
      </c>
      <c r="L71" s="100">
        <v>31.1</v>
      </c>
      <c r="M71" s="100">
        <v>70.34</v>
      </c>
      <c r="N71" s="100">
        <v>185.9</v>
      </c>
      <c r="O71" s="100">
        <v>0</v>
      </c>
      <c r="P71" s="100">
        <v>0.22</v>
      </c>
      <c r="Q71" s="100">
        <v>10</v>
      </c>
      <c r="R71" s="6"/>
      <c r="S71" s="6"/>
      <c r="T71" s="156"/>
      <c r="U71" s="6"/>
    </row>
    <row r="72" spans="1:21" customFormat="1">
      <c r="A72" s="163" t="s">
        <v>1743</v>
      </c>
      <c r="B72" s="100">
        <v>1.39</v>
      </c>
      <c r="C72" s="100">
        <v>3.39</v>
      </c>
      <c r="D72" s="100">
        <v>2.36</v>
      </c>
      <c r="E72" s="100">
        <v>3.05</v>
      </c>
      <c r="F72" s="100">
        <v>3.28</v>
      </c>
      <c r="G72" s="100">
        <v>29.26</v>
      </c>
      <c r="H72" s="100">
        <v>9.31</v>
      </c>
      <c r="I72" s="100">
        <v>6.24</v>
      </c>
      <c r="J72" s="100">
        <v>0.49</v>
      </c>
      <c r="K72" s="100">
        <v>248.97</v>
      </c>
      <c r="L72" s="100">
        <v>30.46</v>
      </c>
      <c r="M72" s="100">
        <v>73.8</v>
      </c>
      <c r="N72" s="100">
        <v>93.6</v>
      </c>
      <c r="O72" s="100">
        <v>0</v>
      </c>
      <c r="P72" s="100">
        <v>0.2</v>
      </c>
      <c r="Q72" s="100">
        <v>10</v>
      </c>
      <c r="R72" s="6"/>
      <c r="S72" s="6"/>
      <c r="T72" s="156"/>
      <c r="U72" s="6"/>
    </row>
    <row r="73" spans="1:21" customFormat="1">
      <c r="A73" s="163" t="s">
        <v>1744</v>
      </c>
      <c r="B73" s="100">
        <v>1.41</v>
      </c>
      <c r="C73" s="100">
        <v>3.49</v>
      </c>
      <c r="D73" s="100">
        <v>2.5299999999999998</v>
      </c>
      <c r="E73" s="100">
        <v>3.32</v>
      </c>
      <c r="F73" s="100">
        <v>3.85</v>
      </c>
      <c r="G73" s="100">
        <v>26.05</v>
      </c>
      <c r="H73" s="100">
        <v>9.35</v>
      </c>
      <c r="I73" s="100">
        <v>6.02</v>
      </c>
      <c r="J73" s="100">
        <v>0.46</v>
      </c>
      <c r="K73" s="100">
        <v>248.08</v>
      </c>
      <c r="L73" s="100">
        <v>30.15</v>
      </c>
      <c r="M73" s="100">
        <v>77.239999999999995</v>
      </c>
      <c r="N73" s="100">
        <v>85</v>
      </c>
      <c r="O73" s="100">
        <v>0</v>
      </c>
      <c r="P73" s="100">
        <v>0.21</v>
      </c>
      <c r="Q73" s="100">
        <v>10</v>
      </c>
      <c r="R73" s="6"/>
      <c r="S73" s="6"/>
      <c r="T73" s="156"/>
      <c r="U73" s="6"/>
    </row>
    <row r="74" spans="1:21" customFormat="1">
      <c r="A74" s="163" t="s">
        <v>1745</v>
      </c>
      <c r="B74" s="100">
        <v>1.34</v>
      </c>
      <c r="C74" s="100">
        <v>3.34</v>
      </c>
      <c r="D74" s="100">
        <v>2.34</v>
      </c>
      <c r="E74" s="100">
        <v>3.35</v>
      </c>
      <c r="F74" s="100">
        <v>3.44</v>
      </c>
      <c r="G74" s="100">
        <v>26.05</v>
      </c>
      <c r="H74" s="100">
        <v>9.35</v>
      </c>
      <c r="I74" s="100">
        <v>5.87</v>
      </c>
      <c r="J74" s="100">
        <v>0.32</v>
      </c>
      <c r="K74" s="100">
        <v>238.73</v>
      </c>
      <c r="L74" s="100">
        <v>30.05</v>
      </c>
      <c r="M74" s="100">
        <v>77.58</v>
      </c>
      <c r="N74" s="100">
        <v>80.5</v>
      </c>
      <c r="O74" s="100">
        <v>0</v>
      </c>
      <c r="P74" s="100">
        <v>0.21</v>
      </c>
      <c r="Q74" s="100">
        <v>10</v>
      </c>
      <c r="R74" s="6"/>
      <c r="S74" s="6"/>
      <c r="T74" s="156"/>
      <c r="U74" s="6"/>
    </row>
    <row r="75" spans="1:21" customFormat="1">
      <c r="A75" s="163" t="s">
        <v>1746</v>
      </c>
      <c r="B75" s="100">
        <v>1.34</v>
      </c>
      <c r="C75" s="100">
        <v>3.65</v>
      </c>
      <c r="D75" s="100">
        <v>2.94</v>
      </c>
      <c r="E75" s="100">
        <v>3.56</v>
      </c>
      <c r="F75" s="100">
        <v>3.13</v>
      </c>
      <c r="G75" s="100">
        <v>26.05</v>
      </c>
      <c r="H75" s="100">
        <v>9.35</v>
      </c>
      <c r="I75" s="100">
        <v>5.95</v>
      </c>
      <c r="J75" s="100">
        <v>0.34</v>
      </c>
      <c r="K75" s="100">
        <v>245.24</v>
      </c>
      <c r="L75" s="100">
        <v>29.97</v>
      </c>
      <c r="M75" s="100">
        <v>78.489999999999995</v>
      </c>
      <c r="N75" s="100">
        <v>70.400000000000006</v>
      </c>
      <c r="O75" s="100">
        <v>0</v>
      </c>
      <c r="P75" s="100">
        <v>0.22</v>
      </c>
      <c r="Q75" s="100">
        <v>10</v>
      </c>
      <c r="R75" s="6"/>
      <c r="S75" s="6"/>
      <c r="T75" s="156"/>
      <c r="U75" s="6"/>
    </row>
    <row r="76" spans="1:21" customFormat="1">
      <c r="A76" s="163" t="s">
        <v>1747</v>
      </c>
      <c r="B76" s="100">
        <v>1.27</v>
      </c>
      <c r="C76" s="100">
        <v>3.08</v>
      </c>
      <c r="D76" s="100">
        <v>1.98</v>
      </c>
      <c r="E76" s="100">
        <v>3.48</v>
      </c>
      <c r="F76" s="100">
        <v>4.97</v>
      </c>
      <c r="G76" s="100">
        <v>26.81</v>
      </c>
      <c r="H76" s="100">
        <v>10.24</v>
      </c>
      <c r="I76" s="100">
        <v>6.18</v>
      </c>
      <c r="J76" s="100">
        <v>0.2</v>
      </c>
      <c r="K76" s="100">
        <v>208.75</v>
      </c>
      <c r="L76" s="100">
        <v>29.96</v>
      </c>
      <c r="M76" s="100">
        <v>79.010000000000005</v>
      </c>
      <c r="N76" s="100">
        <v>66.8</v>
      </c>
      <c r="O76" s="100">
        <v>0</v>
      </c>
      <c r="P76" s="100">
        <v>0.2</v>
      </c>
      <c r="Q76" s="100">
        <v>10</v>
      </c>
      <c r="R76" s="6"/>
      <c r="S76" s="6"/>
      <c r="T76" s="156"/>
      <c r="U76" s="6"/>
    </row>
    <row r="77" spans="1:21" customFormat="1">
      <c r="A77" s="163" t="s">
        <v>1748</v>
      </c>
      <c r="B77" s="100">
        <v>1.29</v>
      </c>
      <c r="C77" s="100">
        <v>3.1</v>
      </c>
      <c r="D77" s="100">
        <v>1.98</v>
      </c>
      <c r="E77" s="100">
        <v>3.85</v>
      </c>
      <c r="F77" s="100">
        <v>3.24</v>
      </c>
      <c r="G77" s="100">
        <v>30.33</v>
      </c>
      <c r="H77" s="100">
        <v>13.09</v>
      </c>
      <c r="I77" s="100">
        <v>6.17</v>
      </c>
      <c r="J77" s="100">
        <v>0.23</v>
      </c>
      <c r="K77" s="100">
        <v>226.71</v>
      </c>
      <c r="L77" s="100">
        <v>29.83</v>
      </c>
      <c r="M77" s="100">
        <v>79.95</v>
      </c>
      <c r="N77" s="100">
        <v>58.4</v>
      </c>
      <c r="O77" s="100">
        <v>0</v>
      </c>
      <c r="P77" s="100">
        <v>0.2</v>
      </c>
      <c r="Q77" s="100">
        <v>10</v>
      </c>
      <c r="R77" s="6"/>
      <c r="S77" s="6"/>
      <c r="T77" s="156"/>
      <c r="U77" s="6"/>
    </row>
    <row r="78" spans="1:21" customFormat="1">
      <c r="A78" s="163" t="s">
        <v>1749</v>
      </c>
      <c r="B78" s="100">
        <v>1.24</v>
      </c>
      <c r="C78" s="100">
        <v>2.5299999999999998</v>
      </c>
      <c r="D78" s="100">
        <v>0.95</v>
      </c>
      <c r="E78" s="100">
        <v>3.65</v>
      </c>
      <c r="F78" s="100">
        <v>3.93</v>
      </c>
      <c r="G78" s="100">
        <v>30.33</v>
      </c>
      <c r="H78" s="100">
        <v>13.09</v>
      </c>
      <c r="I78" s="100">
        <v>5.97</v>
      </c>
      <c r="J78" s="100">
        <v>0.31</v>
      </c>
      <c r="K78" s="100">
        <v>243.68</v>
      </c>
      <c r="L78" s="100">
        <v>29.71</v>
      </c>
      <c r="M78" s="100">
        <v>80.48</v>
      </c>
      <c r="N78" s="100">
        <v>55.6</v>
      </c>
      <c r="O78" s="100">
        <v>0</v>
      </c>
      <c r="P78" s="100">
        <v>0.2</v>
      </c>
      <c r="Q78" s="100">
        <v>10</v>
      </c>
      <c r="R78" s="6"/>
      <c r="S78" s="6"/>
      <c r="T78" s="156"/>
      <c r="U78" s="6"/>
    </row>
    <row r="79" spans="1:21" customFormat="1">
      <c r="A79" s="163" t="s">
        <v>1750</v>
      </c>
      <c r="B79" s="100">
        <v>1.26</v>
      </c>
      <c r="C79" s="100">
        <v>2.94</v>
      </c>
      <c r="D79" s="100">
        <v>1.72</v>
      </c>
      <c r="E79" s="100">
        <v>3.68</v>
      </c>
      <c r="F79" s="100">
        <v>3.64</v>
      </c>
      <c r="G79" s="100">
        <v>30.33</v>
      </c>
      <c r="H79" s="100">
        <v>13.09</v>
      </c>
      <c r="I79" s="100">
        <v>5.82</v>
      </c>
      <c r="J79" s="100">
        <v>0.31</v>
      </c>
      <c r="K79" s="100">
        <v>245.67</v>
      </c>
      <c r="L79" s="100">
        <v>29.63</v>
      </c>
      <c r="M79" s="100">
        <v>81.17</v>
      </c>
      <c r="N79" s="100">
        <v>44.3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163" t="s">
        <v>1751</v>
      </c>
      <c r="B80" s="100">
        <v>1.32</v>
      </c>
      <c r="C80" s="100">
        <v>3.25</v>
      </c>
      <c r="D80" s="100">
        <v>2.21</v>
      </c>
      <c r="E80" s="100">
        <v>3.69</v>
      </c>
      <c r="F80" s="100">
        <v>5.84</v>
      </c>
      <c r="G80" s="100">
        <v>30.5</v>
      </c>
      <c r="H80" s="100">
        <v>13.37</v>
      </c>
      <c r="I80" s="100">
        <v>5.66</v>
      </c>
      <c r="J80" s="100">
        <v>0.25</v>
      </c>
      <c r="K80" s="100">
        <v>251.12</v>
      </c>
      <c r="L80" s="100">
        <v>29.36</v>
      </c>
      <c r="M80" s="100">
        <v>81.14</v>
      </c>
      <c r="N80" s="100">
        <v>28.7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163" t="s">
        <v>1752</v>
      </c>
      <c r="B81" s="100">
        <v>1.31</v>
      </c>
      <c r="C81" s="100">
        <v>3.06</v>
      </c>
      <c r="D81" s="100">
        <v>1.86</v>
      </c>
      <c r="E81" s="100">
        <v>3.72</v>
      </c>
      <c r="F81" s="100">
        <v>3.62</v>
      </c>
      <c r="G81" s="100">
        <v>31.25</v>
      </c>
      <c r="H81" s="100">
        <v>14.28</v>
      </c>
      <c r="I81" s="100">
        <v>5.51</v>
      </c>
      <c r="J81" s="100">
        <v>0.28999999999999998</v>
      </c>
      <c r="K81" s="100">
        <v>237.98</v>
      </c>
      <c r="L81" s="100">
        <v>29.19</v>
      </c>
      <c r="M81" s="100">
        <v>82.4</v>
      </c>
      <c r="N81" s="100">
        <v>18.8</v>
      </c>
      <c r="O81" s="100">
        <v>0</v>
      </c>
      <c r="P81" s="100">
        <v>0.18</v>
      </c>
      <c r="Q81" s="100">
        <v>10</v>
      </c>
      <c r="R81" s="6"/>
      <c r="S81" s="6"/>
      <c r="T81" s="156"/>
      <c r="U81" s="6"/>
    </row>
    <row r="82" spans="1:21" customFormat="1">
      <c r="A82" s="163" t="s">
        <v>1753</v>
      </c>
      <c r="B82" s="100">
        <v>1.25</v>
      </c>
      <c r="C82" s="100">
        <v>2.66</v>
      </c>
      <c r="D82" s="100">
        <v>1.18</v>
      </c>
      <c r="E82" s="100">
        <v>4.41</v>
      </c>
      <c r="F82" s="100">
        <v>4.03</v>
      </c>
      <c r="G82" s="100">
        <v>31.25</v>
      </c>
      <c r="H82" s="100">
        <v>14.28</v>
      </c>
      <c r="I82" s="100">
        <v>5.37</v>
      </c>
      <c r="J82" s="100">
        <v>0.39</v>
      </c>
      <c r="K82" s="100">
        <v>250.08</v>
      </c>
      <c r="L82" s="100">
        <v>28.99</v>
      </c>
      <c r="M82" s="100">
        <v>82.65</v>
      </c>
      <c r="N82" s="100">
        <v>10.9</v>
      </c>
      <c r="O82" s="100">
        <v>0</v>
      </c>
      <c r="P82" s="100">
        <v>0.18</v>
      </c>
      <c r="Q82" s="100">
        <v>10</v>
      </c>
      <c r="R82" s="6"/>
      <c r="S82" s="6"/>
      <c r="T82" s="156"/>
      <c r="U82" s="6"/>
    </row>
    <row r="83" spans="1:21" customFormat="1">
      <c r="A83" s="163" t="s">
        <v>1754</v>
      </c>
      <c r="B83" s="100">
        <v>1.31</v>
      </c>
      <c r="C83" s="100">
        <v>3.02</v>
      </c>
      <c r="D83" s="100">
        <v>1.77</v>
      </c>
      <c r="E83" s="100">
        <v>4.46</v>
      </c>
      <c r="F83" s="100">
        <v>4.08</v>
      </c>
      <c r="G83" s="100">
        <v>31.25</v>
      </c>
      <c r="H83" s="100">
        <v>14.28</v>
      </c>
      <c r="I83" s="100">
        <v>5.34</v>
      </c>
      <c r="J83" s="100">
        <v>0.37</v>
      </c>
      <c r="K83" s="100">
        <v>252.67</v>
      </c>
      <c r="L83" s="100">
        <v>28.8</v>
      </c>
      <c r="M83" s="100">
        <v>85.62</v>
      </c>
      <c r="N83" s="100">
        <v>5.2</v>
      </c>
      <c r="O83" s="100">
        <v>0</v>
      </c>
      <c r="P83" s="100">
        <v>0.17</v>
      </c>
      <c r="Q83" s="100">
        <v>10</v>
      </c>
      <c r="R83" s="6"/>
      <c r="S83" s="6"/>
      <c r="T83" s="156"/>
      <c r="U83" s="6"/>
    </row>
    <row r="84" spans="1:21" customFormat="1">
      <c r="A84" s="163" t="s">
        <v>1755</v>
      </c>
      <c r="B84" s="100">
        <v>1.32</v>
      </c>
      <c r="C84" s="100">
        <v>3.21</v>
      </c>
      <c r="D84" s="100">
        <v>2.14</v>
      </c>
      <c r="E84" s="100">
        <v>4.63</v>
      </c>
      <c r="F84" s="100">
        <v>2.36</v>
      </c>
      <c r="G84" s="100">
        <v>30.63</v>
      </c>
      <c r="H84" s="100">
        <v>14.32</v>
      </c>
      <c r="I84" s="100">
        <v>5.2</v>
      </c>
      <c r="J84" s="100">
        <v>0.24</v>
      </c>
      <c r="K84" s="100">
        <v>244.9</v>
      </c>
      <c r="L84" s="100">
        <v>28.48</v>
      </c>
      <c r="M84" s="100">
        <v>89.28</v>
      </c>
      <c r="N84" s="100">
        <v>2.8</v>
      </c>
      <c r="O84" s="100">
        <v>0</v>
      </c>
      <c r="P84" s="100">
        <v>0.17</v>
      </c>
      <c r="Q84" s="100">
        <v>10</v>
      </c>
      <c r="R84" s="6"/>
      <c r="S84" s="6"/>
      <c r="T84" s="156"/>
      <c r="U84" s="6"/>
    </row>
    <row r="85" spans="1:21" customFormat="1">
      <c r="A85" s="163" t="s">
        <v>1756</v>
      </c>
      <c r="B85" s="100">
        <v>1.44</v>
      </c>
      <c r="C85" s="100">
        <v>3.45</v>
      </c>
      <c r="D85" s="100">
        <v>2.41</v>
      </c>
      <c r="E85" s="100">
        <v>4.63</v>
      </c>
      <c r="F85" s="100">
        <v>1.6</v>
      </c>
      <c r="G85" s="100">
        <v>27.95</v>
      </c>
      <c r="H85" s="100">
        <v>14.57</v>
      </c>
      <c r="I85" s="100">
        <v>5.0599999999999996</v>
      </c>
      <c r="J85" s="100">
        <v>0.31</v>
      </c>
      <c r="K85" s="100">
        <v>250.06</v>
      </c>
      <c r="L85" s="100">
        <v>28.27</v>
      </c>
      <c r="M85" s="100">
        <v>90.16</v>
      </c>
      <c r="N85" s="100">
        <v>2.2000000000000002</v>
      </c>
      <c r="O85" s="100">
        <v>0</v>
      </c>
      <c r="P85" s="100">
        <v>0.17</v>
      </c>
      <c r="Q85" s="100">
        <v>10</v>
      </c>
      <c r="R85" s="6"/>
      <c r="S85" s="6"/>
      <c r="T85" s="156"/>
      <c r="U85" s="6"/>
    </row>
    <row r="86" spans="1:21" customFormat="1">
      <c r="A86" s="163" t="s">
        <v>1757</v>
      </c>
      <c r="B86" s="100">
        <v>1.48</v>
      </c>
      <c r="C86" s="100">
        <v>3.66</v>
      </c>
      <c r="D86" s="100">
        <v>2.77</v>
      </c>
      <c r="E86" s="100">
        <v>4.5199999999999996</v>
      </c>
      <c r="F86" s="100">
        <v>2.1</v>
      </c>
      <c r="G86" s="100">
        <v>27.95</v>
      </c>
      <c r="H86" s="100">
        <v>14.57</v>
      </c>
      <c r="I86" s="100">
        <v>5.03</v>
      </c>
      <c r="J86" s="100">
        <v>0.28000000000000003</v>
      </c>
      <c r="K86" s="100">
        <v>247.78</v>
      </c>
      <c r="L86" s="100">
        <v>28.2</v>
      </c>
      <c r="M86" s="100">
        <v>89.71</v>
      </c>
      <c r="N86" s="100">
        <v>2.2000000000000002</v>
      </c>
      <c r="O86" s="100">
        <v>0</v>
      </c>
      <c r="P86" s="100">
        <v>0.17</v>
      </c>
      <c r="Q86" s="100">
        <v>10</v>
      </c>
      <c r="R86" s="6"/>
      <c r="S86" s="6"/>
      <c r="T86" s="156"/>
      <c r="U86" s="6"/>
    </row>
    <row r="87" spans="1:21" customFormat="1">
      <c r="A87" s="163" t="s">
        <v>1758</v>
      </c>
      <c r="B87" s="100">
        <v>1.44</v>
      </c>
      <c r="C87" s="100">
        <v>3.44</v>
      </c>
      <c r="D87" s="100">
        <v>2.4</v>
      </c>
      <c r="E87" s="100">
        <v>4.51</v>
      </c>
      <c r="F87" s="100">
        <v>2.64</v>
      </c>
      <c r="G87" s="100">
        <v>27.95</v>
      </c>
      <c r="H87" s="100">
        <v>14.57</v>
      </c>
      <c r="I87" s="100">
        <v>5.09</v>
      </c>
      <c r="J87" s="100">
        <v>0.08</v>
      </c>
      <c r="K87" s="100">
        <v>200.58</v>
      </c>
      <c r="L87" s="100">
        <v>28.1</v>
      </c>
      <c r="M87" s="100">
        <v>90.66</v>
      </c>
      <c r="N87" s="100">
        <v>2.2000000000000002</v>
      </c>
      <c r="O87" s="100">
        <v>0</v>
      </c>
      <c r="P87" s="100">
        <v>0.16</v>
      </c>
      <c r="Q87" s="100">
        <v>10</v>
      </c>
      <c r="R87" s="6"/>
      <c r="S87" s="6"/>
      <c r="T87" s="156"/>
      <c r="U87" s="6"/>
    </row>
    <row r="88" spans="1:21" customFormat="1">
      <c r="A88" s="163" t="s">
        <v>1759</v>
      </c>
      <c r="B88" s="100">
        <v>1.44</v>
      </c>
      <c r="C88" s="100">
        <v>3.19</v>
      </c>
      <c r="D88" s="100">
        <v>1.91</v>
      </c>
      <c r="E88" s="100">
        <v>4.62</v>
      </c>
      <c r="F88" s="100">
        <v>2.0099999999999998</v>
      </c>
      <c r="G88" s="100">
        <v>27.56</v>
      </c>
      <c r="H88" s="100">
        <v>13.96</v>
      </c>
      <c r="I88" s="100">
        <v>4.9400000000000004</v>
      </c>
      <c r="J88" s="100">
        <v>0.14000000000000001</v>
      </c>
      <c r="K88" s="100">
        <v>241.9</v>
      </c>
      <c r="L88" s="100">
        <v>27.86</v>
      </c>
      <c r="M88" s="100">
        <v>92.08</v>
      </c>
      <c r="N88" s="100">
        <v>2.1</v>
      </c>
      <c r="O88" s="100">
        <v>0</v>
      </c>
      <c r="P88" s="100">
        <v>0.15</v>
      </c>
      <c r="Q88" s="100">
        <v>10</v>
      </c>
      <c r="R88" s="6"/>
      <c r="S88" s="6"/>
      <c r="T88" s="156"/>
      <c r="U88" s="6"/>
    </row>
    <row r="89" spans="1:21" customFormat="1">
      <c r="A89" s="163" t="s">
        <v>1760</v>
      </c>
      <c r="B89" s="100">
        <v>1.32</v>
      </c>
      <c r="C89" s="100">
        <v>2.94</v>
      </c>
      <c r="D89" s="100">
        <v>1.62</v>
      </c>
      <c r="E89" s="100">
        <v>4.67</v>
      </c>
      <c r="F89" s="100">
        <v>2.19</v>
      </c>
      <c r="G89" s="100">
        <v>25.9</v>
      </c>
      <c r="H89" s="100">
        <v>12.04</v>
      </c>
      <c r="I89" s="100">
        <v>4.76</v>
      </c>
      <c r="J89" s="100">
        <v>0.14000000000000001</v>
      </c>
      <c r="K89" s="100">
        <v>247.31</v>
      </c>
      <c r="L89" s="100">
        <v>27.71</v>
      </c>
      <c r="M89" s="100">
        <v>92.69</v>
      </c>
      <c r="N89" s="100">
        <v>2.1</v>
      </c>
      <c r="O89" s="100">
        <v>0</v>
      </c>
      <c r="P89" s="100">
        <v>0.15</v>
      </c>
      <c r="Q89" s="100">
        <v>10</v>
      </c>
      <c r="R89" s="6"/>
      <c r="S89" s="6"/>
      <c r="T89" s="156"/>
      <c r="U89" s="6"/>
    </row>
    <row r="90" spans="1:21" customFormat="1">
      <c r="A90" s="163" t="s">
        <v>1761</v>
      </c>
      <c r="B90" s="100">
        <v>1.55</v>
      </c>
      <c r="C90" s="100">
        <v>3.45</v>
      </c>
      <c r="D90" s="100">
        <v>2.25</v>
      </c>
      <c r="E90" s="100">
        <v>4.08</v>
      </c>
      <c r="F90" s="100">
        <v>6.8</v>
      </c>
      <c r="G90" s="100">
        <v>25.9</v>
      </c>
      <c r="H90" s="100">
        <v>12.04</v>
      </c>
      <c r="I90" s="100">
        <v>4.71</v>
      </c>
      <c r="J90" s="100">
        <v>0.09</v>
      </c>
      <c r="K90" s="100">
        <v>224.62</v>
      </c>
      <c r="L90" s="100">
        <v>27.57</v>
      </c>
      <c r="M90" s="100">
        <v>92.76</v>
      </c>
      <c r="N90" s="100">
        <v>2.1</v>
      </c>
      <c r="O90" s="100">
        <v>0</v>
      </c>
      <c r="P90" s="100">
        <v>0.12</v>
      </c>
      <c r="Q90" s="100">
        <v>10</v>
      </c>
      <c r="R90" s="6"/>
      <c r="S90" s="6"/>
      <c r="T90" s="156"/>
      <c r="U90" s="6"/>
    </row>
    <row r="91" spans="1:21" customFormat="1">
      <c r="A91" s="163" t="s">
        <v>1762</v>
      </c>
      <c r="B91" s="100">
        <v>1.49</v>
      </c>
      <c r="C91" s="100">
        <v>3.26</v>
      </c>
      <c r="D91" s="100">
        <v>1.96</v>
      </c>
      <c r="E91" s="100">
        <v>3.82</v>
      </c>
      <c r="F91" s="100">
        <v>8.07</v>
      </c>
      <c r="G91" s="100">
        <v>25.9</v>
      </c>
      <c r="H91" s="100">
        <v>12.04</v>
      </c>
      <c r="I91" s="100">
        <v>4.67</v>
      </c>
      <c r="J91" s="100">
        <v>0.12</v>
      </c>
      <c r="K91" s="100">
        <v>286.39</v>
      </c>
      <c r="L91" s="100">
        <v>27.44</v>
      </c>
      <c r="M91" s="100">
        <v>93.14</v>
      </c>
      <c r="N91" s="100">
        <v>2.1</v>
      </c>
      <c r="O91" s="100">
        <v>0</v>
      </c>
      <c r="P91" s="100">
        <v>0.11</v>
      </c>
      <c r="Q91" s="100">
        <v>10</v>
      </c>
      <c r="R91" s="6"/>
      <c r="S91" s="6"/>
      <c r="T91" s="156"/>
      <c r="U91" s="6"/>
    </row>
    <row r="92" spans="1:21" customFormat="1">
      <c r="A92" s="163" t="s">
        <v>1763</v>
      </c>
      <c r="B92" s="100">
        <v>1.52</v>
      </c>
      <c r="C92" s="100">
        <v>3.28</v>
      </c>
      <c r="D92" s="100">
        <v>1.96</v>
      </c>
      <c r="E92" s="100">
        <v>3.57</v>
      </c>
      <c r="F92" s="100">
        <v>11.28</v>
      </c>
      <c r="G92" s="100">
        <v>25.46</v>
      </c>
      <c r="H92" s="100">
        <v>11.55</v>
      </c>
      <c r="I92" s="100">
        <v>4.4400000000000004</v>
      </c>
      <c r="J92" s="100">
        <v>0.09</v>
      </c>
      <c r="K92" s="100">
        <v>194.24</v>
      </c>
      <c r="L92" s="100">
        <v>27.41</v>
      </c>
      <c r="M92" s="100">
        <v>92.09</v>
      </c>
      <c r="N92" s="100">
        <v>2.1</v>
      </c>
      <c r="O92" s="100">
        <v>0</v>
      </c>
      <c r="P92" s="100">
        <v>0.09</v>
      </c>
      <c r="Q92" s="100">
        <v>10</v>
      </c>
      <c r="R92" s="6"/>
      <c r="S92" s="6"/>
      <c r="T92" s="156"/>
      <c r="U92" s="6"/>
    </row>
    <row r="93" spans="1:21" customFormat="1">
      <c r="A93" s="163" t="s">
        <v>1764</v>
      </c>
      <c r="B93" s="100">
        <v>1.45</v>
      </c>
      <c r="C93" s="100">
        <v>3.21</v>
      </c>
      <c r="D93" s="100">
        <v>1.94</v>
      </c>
      <c r="E93" s="100">
        <v>4.0999999999999996</v>
      </c>
      <c r="F93" s="100">
        <v>3.06</v>
      </c>
      <c r="G93" s="100">
        <v>23.6</v>
      </c>
      <c r="H93" s="100">
        <v>10.01</v>
      </c>
      <c r="I93" s="100">
        <v>4.3899999999999997</v>
      </c>
      <c r="J93" s="100">
        <v>0.11</v>
      </c>
      <c r="K93" s="100">
        <v>171.88</v>
      </c>
      <c r="L93" s="100">
        <v>27.35</v>
      </c>
      <c r="M93" s="100">
        <v>92.18</v>
      </c>
      <c r="N93" s="100">
        <v>2.2000000000000002</v>
      </c>
      <c r="O93" s="100">
        <v>0</v>
      </c>
      <c r="P93" s="100">
        <v>0.1</v>
      </c>
      <c r="Q93" s="100">
        <v>10</v>
      </c>
      <c r="R93" s="6"/>
      <c r="S93" s="6"/>
      <c r="T93" s="156"/>
      <c r="U93" s="6"/>
    </row>
    <row r="94" spans="1:21" customFormat="1">
      <c r="A94" s="163" t="s">
        <v>1765</v>
      </c>
      <c r="B94" s="100">
        <v>1.37</v>
      </c>
      <c r="C94" s="100">
        <v>2.96</v>
      </c>
      <c r="D94" s="100">
        <v>1.58</v>
      </c>
      <c r="E94" s="100">
        <v>3.85</v>
      </c>
      <c r="F94" s="100">
        <v>4.7699999999999996</v>
      </c>
      <c r="G94" s="100">
        <v>23.6</v>
      </c>
      <c r="H94" s="100">
        <v>10.01</v>
      </c>
      <c r="I94" s="100">
        <v>4.25</v>
      </c>
      <c r="J94" s="100">
        <v>0.06</v>
      </c>
      <c r="K94" s="100">
        <v>190.29</v>
      </c>
      <c r="L94" s="100">
        <v>27.19</v>
      </c>
      <c r="M94" s="100">
        <v>93.89</v>
      </c>
      <c r="N94" s="100">
        <v>2.1</v>
      </c>
      <c r="O94" s="100">
        <v>0</v>
      </c>
      <c r="P94" s="100">
        <v>0.11</v>
      </c>
      <c r="Q94" s="100">
        <v>10</v>
      </c>
      <c r="R94" s="6"/>
      <c r="S94" s="6"/>
      <c r="T94" s="156"/>
      <c r="U94" s="6"/>
    </row>
    <row r="95" spans="1:21" customFormat="1">
      <c r="A95" s="163" t="s">
        <v>1766</v>
      </c>
      <c r="B95" s="100">
        <v>1.6</v>
      </c>
      <c r="C95" s="100">
        <v>3.49</v>
      </c>
      <c r="D95" s="100">
        <v>2.25</v>
      </c>
      <c r="E95" s="100">
        <v>3.7</v>
      </c>
      <c r="F95" s="100">
        <v>6.22</v>
      </c>
      <c r="G95" s="100">
        <v>23.6</v>
      </c>
      <c r="H95" s="100">
        <v>10.01</v>
      </c>
      <c r="I95" s="100">
        <v>4.42</v>
      </c>
      <c r="J95" s="100">
        <v>0.09</v>
      </c>
      <c r="K95" s="100">
        <v>181.2</v>
      </c>
      <c r="L95" s="100">
        <v>27.11</v>
      </c>
      <c r="M95" s="100">
        <v>93.65</v>
      </c>
      <c r="N95" s="100">
        <v>2.1</v>
      </c>
      <c r="O95" s="100">
        <v>0</v>
      </c>
      <c r="P95" s="100">
        <v>0.1</v>
      </c>
      <c r="Q95" s="100">
        <v>10</v>
      </c>
      <c r="R95" s="6"/>
      <c r="S95" s="6"/>
      <c r="T95" s="156"/>
      <c r="U95" s="6"/>
    </row>
    <row r="96" spans="1:21" customFormat="1">
      <c r="A96" s="163" t="s">
        <v>1767</v>
      </c>
      <c r="B96" s="100">
        <v>1.4</v>
      </c>
      <c r="C96" s="100">
        <v>2.9</v>
      </c>
      <c r="D96" s="100">
        <v>1.42</v>
      </c>
      <c r="E96" s="100">
        <v>3.57</v>
      </c>
      <c r="F96" s="100">
        <v>4.4800000000000004</v>
      </c>
      <c r="G96" s="100">
        <v>23.36</v>
      </c>
      <c r="H96" s="100">
        <v>9.94</v>
      </c>
      <c r="I96" s="100">
        <v>4.4000000000000004</v>
      </c>
      <c r="J96" s="100">
        <v>0.08</v>
      </c>
      <c r="K96" s="100">
        <v>162.11000000000001</v>
      </c>
      <c r="L96" s="100">
        <v>26.96</v>
      </c>
      <c r="M96" s="100">
        <v>94.3</v>
      </c>
      <c r="N96" s="100">
        <v>2.1</v>
      </c>
      <c r="O96" s="100">
        <v>0</v>
      </c>
      <c r="P96" s="100">
        <v>0.1</v>
      </c>
      <c r="Q96" s="100">
        <v>10</v>
      </c>
      <c r="R96" s="6"/>
      <c r="S96" s="6"/>
      <c r="T96" s="156"/>
      <c r="U96" s="6"/>
    </row>
    <row r="97" spans="1:28" customFormat="1">
      <c r="A97" s="163" t="s">
        <v>1768</v>
      </c>
      <c r="B97" s="100">
        <v>1.68</v>
      </c>
      <c r="C97" s="100">
        <v>3.65</v>
      </c>
      <c r="D97" s="100">
        <v>2.41</v>
      </c>
      <c r="E97" s="100">
        <v>3.91</v>
      </c>
      <c r="F97" s="100">
        <v>3.54</v>
      </c>
      <c r="G97" s="100">
        <v>22.31</v>
      </c>
      <c r="H97" s="100">
        <v>9.69</v>
      </c>
      <c r="I97" s="100">
        <v>4.3099999999999996</v>
      </c>
      <c r="J97" s="100">
        <v>0.12</v>
      </c>
      <c r="K97" s="100">
        <v>199.01</v>
      </c>
      <c r="L97" s="100">
        <v>26.84</v>
      </c>
      <c r="M97" s="100">
        <v>95.21</v>
      </c>
      <c r="N97" s="100">
        <v>2.1</v>
      </c>
      <c r="O97" s="100">
        <v>0</v>
      </c>
      <c r="P97" s="100">
        <v>0.12</v>
      </c>
      <c r="Q97" s="100">
        <v>10</v>
      </c>
      <c r="R97" s="6"/>
      <c r="S97" s="6"/>
      <c r="T97" s="156"/>
      <c r="U97" s="6"/>
    </row>
    <row r="98" spans="1:28" customFormat="1">
      <c r="A98" s="163" t="s">
        <v>1769</v>
      </c>
      <c r="B98" s="100">
        <v>1.66</v>
      </c>
      <c r="C98" s="100">
        <v>3.61</v>
      </c>
      <c r="D98" s="100">
        <v>2.38</v>
      </c>
      <c r="E98" s="100">
        <v>3.53</v>
      </c>
      <c r="F98" s="100">
        <v>4.6500000000000004</v>
      </c>
      <c r="G98" s="100">
        <v>22.31</v>
      </c>
      <c r="H98" s="100">
        <v>9.69</v>
      </c>
      <c r="I98" s="100">
        <v>4.38</v>
      </c>
      <c r="J98" s="100">
        <v>0.05</v>
      </c>
      <c r="K98" s="100">
        <v>213.81</v>
      </c>
      <c r="L98" s="100">
        <v>26.72</v>
      </c>
      <c r="M98" s="100">
        <v>96.16</v>
      </c>
      <c r="N98" s="100">
        <v>2.1</v>
      </c>
      <c r="O98" s="100">
        <v>0</v>
      </c>
      <c r="P98" s="100">
        <v>0.1</v>
      </c>
      <c r="Q98" s="100">
        <v>10</v>
      </c>
      <c r="R98" s="6"/>
      <c r="S98" s="6"/>
      <c r="T98" s="156"/>
      <c r="U98" s="6"/>
    </row>
    <row r="99" spans="1:28" customFormat="1">
      <c r="A99" s="163" t="s">
        <v>1770</v>
      </c>
      <c r="B99" s="100">
        <v>1.81</v>
      </c>
      <c r="C99" s="100">
        <v>3.82</v>
      </c>
      <c r="D99" s="100">
        <v>2.56</v>
      </c>
      <c r="E99" s="100">
        <v>3.63</v>
      </c>
      <c r="F99" s="100">
        <v>4.01</v>
      </c>
      <c r="G99" s="100">
        <v>22.31</v>
      </c>
      <c r="H99" s="100">
        <v>9.69</v>
      </c>
      <c r="I99" s="100">
        <v>4.47</v>
      </c>
      <c r="J99" s="100">
        <v>7.0000000000000007E-2</v>
      </c>
      <c r="K99" s="100">
        <v>213.68</v>
      </c>
      <c r="L99" s="100">
        <v>26.71</v>
      </c>
      <c r="M99" s="100">
        <v>96.31</v>
      </c>
      <c r="N99" s="100">
        <v>2</v>
      </c>
      <c r="O99" s="100">
        <v>0</v>
      </c>
      <c r="P99" s="100">
        <v>0.1</v>
      </c>
      <c r="Q99" s="100">
        <v>10</v>
      </c>
      <c r="R99" s="6"/>
      <c r="S99" s="6"/>
      <c r="T99" s="156"/>
      <c r="U99" s="6"/>
    </row>
    <row r="100" spans="1:28" customFormat="1">
      <c r="A100" s="163" t="s">
        <v>1771</v>
      </c>
      <c r="B100" s="100">
        <v>1.8</v>
      </c>
      <c r="C100" s="100">
        <v>3.78</v>
      </c>
      <c r="D100" s="100">
        <v>2.4900000000000002</v>
      </c>
      <c r="E100" s="100">
        <v>3.72</v>
      </c>
      <c r="F100" s="100">
        <v>4.58</v>
      </c>
      <c r="G100" s="100">
        <v>21.97</v>
      </c>
      <c r="H100" s="100">
        <v>9.75</v>
      </c>
      <c r="I100" s="100">
        <v>4.33</v>
      </c>
      <c r="J100" s="100">
        <v>0.13</v>
      </c>
      <c r="K100" s="100">
        <v>250.49</v>
      </c>
      <c r="L100" s="100">
        <v>26.78</v>
      </c>
      <c r="M100" s="100">
        <v>95.17</v>
      </c>
      <c r="N100" s="100">
        <v>2.1</v>
      </c>
      <c r="O100" s="100">
        <v>0</v>
      </c>
      <c r="P100" s="100">
        <v>0.11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1772</v>
      </c>
      <c r="B101" s="100">
        <v>1.74</v>
      </c>
      <c r="C101" s="100">
        <v>3.62</v>
      </c>
      <c r="D101" s="100">
        <v>2.29</v>
      </c>
      <c r="E101" s="100">
        <v>3.56</v>
      </c>
      <c r="F101" s="100">
        <v>5.56</v>
      </c>
      <c r="G101" s="100">
        <v>20.54</v>
      </c>
      <c r="H101" s="100">
        <v>10.08</v>
      </c>
      <c r="I101" s="100">
        <v>4.3899999999999997</v>
      </c>
      <c r="J101" s="100">
        <v>0.15</v>
      </c>
      <c r="K101" s="100">
        <v>256.39</v>
      </c>
      <c r="L101" s="100">
        <v>26.75</v>
      </c>
      <c r="M101" s="100">
        <v>94.91</v>
      </c>
      <c r="N101" s="100">
        <v>2.1</v>
      </c>
      <c r="O101" s="100">
        <v>0</v>
      </c>
      <c r="P101" s="100">
        <v>0.1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1773</v>
      </c>
      <c r="B102" s="100">
        <v>1.75</v>
      </c>
      <c r="C102" s="100">
        <v>3.68</v>
      </c>
      <c r="D102" s="100">
        <v>2.39</v>
      </c>
      <c r="E102" s="100">
        <v>3.41</v>
      </c>
      <c r="F102" s="100">
        <v>4.54</v>
      </c>
      <c r="G102" s="100">
        <v>20.54</v>
      </c>
      <c r="H102" s="100">
        <v>10.08</v>
      </c>
      <c r="I102" s="100">
        <v>4.3899999999999997</v>
      </c>
      <c r="J102" s="100">
        <v>0.16</v>
      </c>
      <c r="K102" s="100">
        <v>255.73</v>
      </c>
      <c r="L102" s="100">
        <v>26.75</v>
      </c>
      <c r="M102" s="100">
        <v>94.78</v>
      </c>
      <c r="N102" s="100">
        <v>2.1</v>
      </c>
      <c r="O102" s="100">
        <v>0</v>
      </c>
      <c r="P102" s="100">
        <v>0.08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1774</v>
      </c>
      <c r="B103" s="100">
        <v>1.72</v>
      </c>
      <c r="C103" s="100">
        <v>3.54</v>
      </c>
      <c r="D103" s="100">
        <v>2.15</v>
      </c>
      <c r="E103" s="100">
        <v>4.24</v>
      </c>
      <c r="F103" s="100">
        <v>2.71</v>
      </c>
      <c r="G103" s="100">
        <v>20.54</v>
      </c>
      <c r="H103" s="100">
        <v>10.08</v>
      </c>
      <c r="I103" s="100">
        <v>4.17</v>
      </c>
      <c r="J103" s="100">
        <v>0.15</v>
      </c>
      <c r="K103" s="100">
        <v>246.26</v>
      </c>
      <c r="L103" s="100">
        <v>26.73</v>
      </c>
      <c r="M103" s="100">
        <v>94.14</v>
      </c>
      <c r="N103" s="100">
        <v>2.1</v>
      </c>
      <c r="O103" s="100">
        <v>0</v>
      </c>
      <c r="P103" s="100">
        <v>0.1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1775</v>
      </c>
      <c r="B104" s="100">
        <v>1.66</v>
      </c>
      <c r="C104" s="100">
        <v>3.32</v>
      </c>
      <c r="D104" s="100">
        <v>1.82</v>
      </c>
      <c r="E104" s="100">
        <v>3.98</v>
      </c>
      <c r="F104" s="100">
        <v>4.18</v>
      </c>
      <c r="G104" s="100">
        <v>19.809999999999999</v>
      </c>
      <c r="H104" s="100">
        <v>9.7799999999999994</v>
      </c>
      <c r="I104" s="100">
        <v>4.29</v>
      </c>
      <c r="J104" s="100">
        <v>0.13</v>
      </c>
      <c r="K104" s="100">
        <v>239.04</v>
      </c>
      <c r="L104" s="100">
        <v>26.76</v>
      </c>
      <c r="M104" s="100">
        <v>93.85</v>
      </c>
      <c r="N104" s="100">
        <v>2.1</v>
      </c>
      <c r="O104" s="100">
        <v>0</v>
      </c>
      <c r="P104" s="100">
        <v>0.1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2.5299999999999998</v>
      </c>
      <c r="D106" s="158">
        <f t="shared" ref="D106:Q106" si="0">MIN(D9:D104)</f>
        <v>0.95</v>
      </c>
      <c r="E106" s="158">
        <f t="shared" si="0"/>
        <v>2.74</v>
      </c>
      <c r="F106" s="158">
        <f t="shared" si="0"/>
        <v>0.42</v>
      </c>
      <c r="G106" s="158">
        <f t="shared" si="0"/>
        <v>10.85</v>
      </c>
      <c r="H106" s="158">
        <f t="shared" si="0"/>
        <v>3.62</v>
      </c>
      <c r="I106" s="158">
        <f t="shared" si="0"/>
        <v>4.17</v>
      </c>
      <c r="J106" s="158">
        <f t="shared" si="0"/>
        <v>0.03</v>
      </c>
      <c r="K106" s="158">
        <f t="shared" si="0"/>
        <v>39.31</v>
      </c>
      <c r="L106" s="158">
        <f t="shared" si="0"/>
        <v>23.56</v>
      </c>
      <c r="M106" s="158">
        <f t="shared" si="0"/>
        <v>70.34</v>
      </c>
      <c r="N106" s="158">
        <f t="shared" si="0"/>
        <v>2</v>
      </c>
      <c r="O106" s="158">
        <f t="shared" si="0"/>
        <v>0</v>
      </c>
      <c r="P106" s="158">
        <f t="shared" si="0"/>
        <v>0.08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3.15</v>
      </c>
      <c r="C107" s="157">
        <f t="shared" ref="C107:Q107" si="1">MAX(C9:C104)</f>
        <v>5.52</v>
      </c>
      <c r="D107" s="157">
        <f t="shared" si="1"/>
        <v>3.75</v>
      </c>
      <c r="E107" s="157">
        <f t="shared" si="1"/>
        <v>5.09</v>
      </c>
      <c r="F107" s="157">
        <f t="shared" si="1"/>
        <v>11.28</v>
      </c>
      <c r="G107" s="157">
        <f t="shared" si="1"/>
        <v>34.99</v>
      </c>
      <c r="H107" s="157">
        <f t="shared" si="1"/>
        <v>14.57</v>
      </c>
      <c r="I107" s="157">
        <f t="shared" si="1"/>
        <v>8.8800000000000008</v>
      </c>
      <c r="J107" s="157">
        <f t="shared" si="1"/>
        <v>1.75</v>
      </c>
      <c r="K107" s="157">
        <f t="shared" si="1"/>
        <v>341.42</v>
      </c>
      <c r="L107" s="157">
        <f t="shared" si="1"/>
        <v>31.1</v>
      </c>
      <c r="M107" s="157">
        <f t="shared" si="1"/>
        <v>99.9</v>
      </c>
      <c r="N107" s="157">
        <f t="shared" si="1"/>
        <v>497.8</v>
      </c>
      <c r="O107" s="157">
        <f t="shared" si="1"/>
        <v>4.2</v>
      </c>
      <c r="P107" s="157">
        <f t="shared" si="1"/>
        <v>0.38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2.0472916666666672</v>
      </c>
      <c r="C108" s="158">
        <f t="shared" ref="C108:Q108" si="2">AVERAGE(C9:C104)</f>
        <v>3.9846874999999962</v>
      </c>
      <c r="D108" s="158">
        <f t="shared" si="2"/>
        <v>2.5026041666666665</v>
      </c>
      <c r="E108" s="158">
        <f t="shared" si="2"/>
        <v>4.0806250000000004</v>
      </c>
      <c r="F108" s="158">
        <f t="shared" si="2"/>
        <v>3.3359375</v>
      </c>
      <c r="G108" s="158">
        <f t="shared" si="2"/>
        <v>20.902499999999993</v>
      </c>
      <c r="H108" s="158">
        <f t="shared" si="2"/>
        <v>8.3339583333333334</v>
      </c>
      <c r="I108" s="158">
        <f t="shared" si="2"/>
        <v>6.5305208333333331</v>
      </c>
      <c r="J108" s="158">
        <f t="shared" si="2"/>
        <v>0.3411458333333332</v>
      </c>
      <c r="K108" s="158">
        <f t="shared" si="2"/>
        <v>233.65770833333332</v>
      </c>
      <c r="L108" s="158">
        <f t="shared" si="2"/>
        <v>27.234062500000004</v>
      </c>
      <c r="M108" s="158">
        <f t="shared" si="2"/>
        <v>90.724166666666648</v>
      </c>
      <c r="N108" s="158">
        <f t="shared" si="2"/>
        <v>81.627083333333374</v>
      </c>
      <c r="O108" s="158">
        <f t="shared" si="2"/>
        <v>0.11249999999999999</v>
      </c>
      <c r="P108" s="158">
        <f t="shared" si="2"/>
        <v>0.21635416666666685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0.55907720805037386</v>
      </c>
      <c r="C109" s="158">
        <f t="shared" ref="C109:Q109" si="3">STDEV(C9:C104)</f>
        <v>0.71052234769849021</v>
      </c>
      <c r="D109" s="158">
        <f t="shared" si="3"/>
        <v>0.60215795233592995</v>
      </c>
      <c r="E109" s="158">
        <f t="shared" si="3"/>
        <v>0.61020412891700759</v>
      </c>
      <c r="F109" s="158">
        <f t="shared" si="3"/>
        <v>1.9649971625130178</v>
      </c>
      <c r="G109" s="158">
        <f t="shared" si="3"/>
        <v>7.2191283917688009</v>
      </c>
      <c r="H109" s="158">
        <f t="shared" si="3"/>
        <v>3.2096363063902102</v>
      </c>
      <c r="I109" s="158">
        <f t="shared" si="3"/>
        <v>1.2783232189837548</v>
      </c>
      <c r="J109" s="158">
        <f t="shared" si="3"/>
        <v>0.30706375059558016</v>
      </c>
      <c r="K109" s="158">
        <f t="shared" si="3"/>
        <v>53.16596999227324</v>
      </c>
      <c r="L109" s="158">
        <f t="shared" si="3"/>
        <v>2.147563406637</v>
      </c>
      <c r="M109" s="158">
        <f t="shared" si="3"/>
        <v>8.8790317948543862</v>
      </c>
      <c r="N109" s="158">
        <f t="shared" si="3"/>
        <v>116.30576804193569</v>
      </c>
      <c r="O109" s="158">
        <f t="shared" si="3"/>
        <v>0.44938554540734016</v>
      </c>
      <c r="P109" s="158">
        <f t="shared" si="3"/>
        <v>7.4651749958924318E-2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F15" sqref="F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1776</v>
      </c>
      <c r="B9" s="100">
        <v>1.27</v>
      </c>
      <c r="C9" s="100">
        <v>2.19</v>
      </c>
      <c r="D9" s="100">
        <v>0.27</v>
      </c>
      <c r="E9" s="100">
        <v>3.57</v>
      </c>
      <c r="F9" s="100">
        <v>4.79</v>
      </c>
      <c r="G9" s="100">
        <v>16.66</v>
      </c>
      <c r="H9" s="100">
        <v>8.82</v>
      </c>
      <c r="I9" s="100">
        <v>4.4400000000000004</v>
      </c>
      <c r="J9" s="100">
        <v>0.09</v>
      </c>
      <c r="K9" s="100">
        <v>229.48</v>
      </c>
      <c r="L9" s="100">
        <v>26.69</v>
      </c>
      <c r="M9" s="100">
        <v>94.15</v>
      </c>
      <c r="N9" s="100">
        <v>2.1</v>
      </c>
      <c r="O9" s="100">
        <v>0</v>
      </c>
      <c r="P9" s="100">
        <v>0.08</v>
      </c>
      <c r="Q9" s="100">
        <v>10</v>
      </c>
      <c r="R9" s="6"/>
      <c r="S9" s="6"/>
      <c r="T9" s="156"/>
      <c r="U9" s="6"/>
    </row>
    <row r="10" spans="1:21" customFormat="1">
      <c r="A10" s="163" t="s">
        <v>1777</v>
      </c>
      <c r="B10" s="100">
        <v>1.43</v>
      </c>
      <c r="C10" s="100">
        <v>3.51</v>
      </c>
      <c r="D10" s="100">
        <v>2.54</v>
      </c>
      <c r="E10" s="100">
        <v>4.03</v>
      </c>
      <c r="F10" s="100">
        <v>2.76</v>
      </c>
      <c r="G10" s="100">
        <v>16.66</v>
      </c>
      <c r="H10" s="100">
        <v>8.82</v>
      </c>
      <c r="I10" s="100">
        <v>4.2300000000000004</v>
      </c>
      <c r="J10" s="100">
        <v>0.17</v>
      </c>
      <c r="K10" s="100">
        <v>253.08</v>
      </c>
      <c r="L10" s="100">
        <v>26.62</v>
      </c>
      <c r="M10" s="100">
        <v>94.87</v>
      </c>
      <c r="N10" s="100">
        <v>2.1</v>
      </c>
      <c r="O10" s="100">
        <v>0</v>
      </c>
      <c r="P10" s="100">
        <v>0.1</v>
      </c>
      <c r="Q10" s="100">
        <v>10</v>
      </c>
      <c r="R10" s="6"/>
      <c r="S10" s="6"/>
      <c r="T10" s="156"/>
      <c r="U10" s="6"/>
    </row>
    <row r="11" spans="1:21" customFormat="1">
      <c r="A11" s="163" t="s">
        <v>1778</v>
      </c>
      <c r="B11" s="100">
        <v>1.28</v>
      </c>
      <c r="C11" s="100">
        <v>3.18</v>
      </c>
      <c r="D11" s="100">
        <v>2.14</v>
      </c>
      <c r="E11" s="100">
        <v>4.24</v>
      </c>
      <c r="F11" s="100">
        <v>2.31</v>
      </c>
      <c r="G11" s="100">
        <v>16.66</v>
      </c>
      <c r="H11" s="100">
        <v>8.82</v>
      </c>
      <c r="I11" s="100">
        <v>4.2300000000000004</v>
      </c>
      <c r="J11" s="100">
        <v>0.18</v>
      </c>
      <c r="K11" s="100">
        <v>248.3</v>
      </c>
      <c r="L11" s="100">
        <v>26.61</v>
      </c>
      <c r="M11" s="100">
        <v>94.42</v>
      </c>
      <c r="N11" s="100">
        <v>2.1</v>
      </c>
      <c r="O11" s="100">
        <v>0</v>
      </c>
      <c r="P11" s="100">
        <v>0.1</v>
      </c>
      <c r="Q11" s="100">
        <v>10</v>
      </c>
      <c r="R11" s="6"/>
      <c r="S11" s="6"/>
      <c r="T11" s="156"/>
      <c r="U11" s="6"/>
    </row>
    <row r="12" spans="1:21" customFormat="1">
      <c r="A12" s="163" t="s">
        <v>1779</v>
      </c>
      <c r="B12" s="100">
        <v>1.38</v>
      </c>
      <c r="C12" s="100">
        <v>3.42</v>
      </c>
      <c r="D12" s="100">
        <v>2.44</v>
      </c>
      <c r="E12" s="100">
        <v>3.96</v>
      </c>
      <c r="F12" s="100">
        <v>3.47</v>
      </c>
      <c r="G12" s="100">
        <v>16.05</v>
      </c>
      <c r="H12" s="100">
        <v>8.41</v>
      </c>
      <c r="I12" s="100">
        <v>4.49</v>
      </c>
      <c r="J12" s="100">
        <v>0.13</v>
      </c>
      <c r="K12" s="100">
        <v>227.53</v>
      </c>
      <c r="L12" s="100">
        <v>26.61</v>
      </c>
      <c r="M12" s="100">
        <v>94.57</v>
      </c>
      <c r="N12" s="100">
        <v>2.1</v>
      </c>
      <c r="O12" s="100">
        <v>0</v>
      </c>
      <c r="P12" s="100">
        <v>0.1</v>
      </c>
      <c r="Q12" s="100">
        <v>10</v>
      </c>
      <c r="R12" s="6"/>
      <c r="S12" s="6"/>
      <c r="T12" s="156"/>
      <c r="U12" s="6"/>
    </row>
    <row r="13" spans="1:21" customFormat="1">
      <c r="A13" s="163" t="s">
        <v>1780</v>
      </c>
      <c r="B13" s="100">
        <v>1.56</v>
      </c>
      <c r="C13" s="100">
        <v>3.75</v>
      </c>
      <c r="D13" s="100">
        <v>2.81</v>
      </c>
      <c r="E13" s="100">
        <v>4.08</v>
      </c>
      <c r="F13" s="100">
        <v>2.42</v>
      </c>
      <c r="G13" s="100">
        <v>13.41</v>
      </c>
      <c r="H13" s="100">
        <v>7.13</v>
      </c>
      <c r="I13" s="100">
        <v>4.2699999999999996</v>
      </c>
      <c r="J13" s="100">
        <v>0.1</v>
      </c>
      <c r="K13" s="100">
        <v>218.13</v>
      </c>
      <c r="L13" s="100">
        <v>26.61</v>
      </c>
      <c r="M13" s="100">
        <v>94.82</v>
      </c>
      <c r="N13" s="100">
        <v>2.1</v>
      </c>
      <c r="O13" s="100">
        <v>0</v>
      </c>
      <c r="P13" s="100">
        <v>0.12</v>
      </c>
      <c r="Q13" s="100">
        <v>10</v>
      </c>
      <c r="R13" s="6"/>
      <c r="S13" s="6"/>
      <c r="T13" s="156"/>
      <c r="U13" s="6"/>
    </row>
    <row r="14" spans="1:21" customFormat="1">
      <c r="A14" s="163" t="s">
        <v>1781</v>
      </c>
      <c r="B14" s="100">
        <v>1.24</v>
      </c>
      <c r="C14" s="100">
        <v>2.65</v>
      </c>
      <c r="D14" s="100">
        <v>1.18</v>
      </c>
      <c r="E14" s="100">
        <v>4.26</v>
      </c>
      <c r="F14" s="100">
        <v>1.94</v>
      </c>
      <c r="G14" s="100">
        <v>13.41</v>
      </c>
      <c r="H14" s="100">
        <v>7.13</v>
      </c>
      <c r="I14" s="100">
        <v>4.3</v>
      </c>
      <c r="J14" s="100">
        <v>0.13</v>
      </c>
      <c r="K14" s="100">
        <v>240.94</v>
      </c>
      <c r="L14" s="100">
        <v>26.54</v>
      </c>
      <c r="M14" s="100">
        <v>94.95</v>
      </c>
      <c r="N14" s="100">
        <v>2.1</v>
      </c>
      <c r="O14" s="100">
        <v>0</v>
      </c>
      <c r="P14" s="100">
        <v>0.12</v>
      </c>
      <c r="Q14" s="100">
        <v>10</v>
      </c>
      <c r="R14" s="6"/>
      <c r="S14" s="6"/>
      <c r="T14" s="156"/>
      <c r="U14" s="6"/>
    </row>
    <row r="15" spans="1:21" customFormat="1">
      <c r="A15" s="163" t="s">
        <v>1782</v>
      </c>
      <c r="B15" s="100">
        <v>1.32</v>
      </c>
      <c r="C15" s="100">
        <v>3.17</v>
      </c>
      <c r="D15" s="100">
        <v>2.06</v>
      </c>
      <c r="E15" s="100">
        <v>4.1900000000000004</v>
      </c>
      <c r="F15" s="100">
        <v>1.92</v>
      </c>
      <c r="G15" s="100">
        <v>13.41</v>
      </c>
      <c r="H15" s="100">
        <v>7.13</v>
      </c>
      <c r="I15" s="100">
        <v>4.3899999999999997</v>
      </c>
      <c r="J15" s="100">
        <v>0.11</v>
      </c>
      <c r="K15" s="100">
        <v>228</v>
      </c>
      <c r="L15" s="100">
        <v>26.45</v>
      </c>
      <c r="M15" s="100">
        <v>95.48</v>
      </c>
      <c r="N15" s="100">
        <v>2.1</v>
      </c>
      <c r="O15" s="100">
        <v>0</v>
      </c>
      <c r="P15" s="100">
        <v>0.13</v>
      </c>
      <c r="Q15" s="100">
        <v>10</v>
      </c>
      <c r="R15" s="6"/>
      <c r="S15" s="6"/>
      <c r="T15" s="156"/>
      <c r="U15" s="6"/>
    </row>
    <row r="16" spans="1:21" customFormat="1">
      <c r="A16" s="163" t="s">
        <v>1783</v>
      </c>
      <c r="B16" s="100">
        <v>1.28</v>
      </c>
      <c r="C16" s="100">
        <v>3.04</v>
      </c>
      <c r="D16" s="100">
        <v>1.88</v>
      </c>
      <c r="E16" s="100">
        <v>4.28</v>
      </c>
      <c r="F16" s="100">
        <v>2</v>
      </c>
      <c r="G16" s="100">
        <v>13.73</v>
      </c>
      <c r="H16" s="100">
        <v>7.54</v>
      </c>
      <c r="I16" s="100">
        <v>4.2300000000000004</v>
      </c>
      <c r="J16" s="100">
        <v>0.09</v>
      </c>
      <c r="K16" s="100">
        <v>193.59</v>
      </c>
      <c r="L16" s="100">
        <v>26.44</v>
      </c>
      <c r="M16" s="100">
        <v>95.91</v>
      </c>
      <c r="N16" s="100">
        <v>2.1</v>
      </c>
      <c r="O16" s="100">
        <v>0</v>
      </c>
      <c r="P16" s="100">
        <v>0.12</v>
      </c>
      <c r="Q16" s="100">
        <v>10</v>
      </c>
      <c r="R16" s="6"/>
      <c r="S16" s="6"/>
      <c r="T16" s="156"/>
      <c r="U16" s="6"/>
    </row>
    <row r="17" spans="1:21" customFormat="1">
      <c r="A17" s="163" t="s">
        <v>1784</v>
      </c>
      <c r="B17" s="100">
        <v>1.29</v>
      </c>
      <c r="C17" s="100">
        <v>3.11</v>
      </c>
      <c r="D17" s="100">
        <v>1.98</v>
      </c>
      <c r="E17" s="100">
        <v>4.83</v>
      </c>
      <c r="F17" s="100">
        <v>1.95</v>
      </c>
      <c r="G17" s="100">
        <v>15.21</v>
      </c>
      <c r="H17" s="100">
        <v>8.93</v>
      </c>
      <c r="I17" s="100">
        <v>4.17</v>
      </c>
      <c r="J17" s="100">
        <v>0.08</v>
      </c>
      <c r="K17" s="100">
        <v>189.09</v>
      </c>
      <c r="L17" s="100">
        <v>26.36</v>
      </c>
      <c r="M17" s="100">
        <v>95.87</v>
      </c>
      <c r="N17" s="100">
        <v>2.1</v>
      </c>
      <c r="O17" s="100">
        <v>0</v>
      </c>
      <c r="P17" s="100">
        <v>0.12</v>
      </c>
      <c r="Q17" s="100">
        <v>10</v>
      </c>
      <c r="R17" s="6"/>
      <c r="S17" s="6"/>
      <c r="T17" s="156"/>
      <c r="U17" s="6"/>
    </row>
    <row r="18" spans="1:21" customFormat="1">
      <c r="A18" s="163" t="s">
        <v>1785</v>
      </c>
      <c r="B18" s="100">
        <v>1.24</v>
      </c>
      <c r="C18" s="100">
        <v>2.4900000000000002</v>
      </c>
      <c r="D18" s="100">
        <v>0.88</v>
      </c>
      <c r="E18" s="100">
        <v>6.09</v>
      </c>
      <c r="F18" s="100">
        <v>1.56</v>
      </c>
      <c r="G18" s="100">
        <v>15.21</v>
      </c>
      <c r="H18" s="100">
        <v>8.93</v>
      </c>
      <c r="I18" s="100">
        <v>4.1399999999999997</v>
      </c>
      <c r="J18" s="100">
        <v>0.14000000000000001</v>
      </c>
      <c r="K18" s="100">
        <v>166.36</v>
      </c>
      <c r="L18" s="100">
        <v>26.37</v>
      </c>
      <c r="M18" s="100">
        <v>96.02</v>
      </c>
      <c r="N18" s="100">
        <v>2.1</v>
      </c>
      <c r="O18" s="100">
        <v>0</v>
      </c>
      <c r="P18" s="100">
        <v>0.12</v>
      </c>
      <c r="Q18" s="100">
        <v>10</v>
      </c>
      <c r="R18" s="6"/>
      <c r="S18" s="6"/>
      <c r="T18" s="156"/>
      <c r="U18" s="6"/>
    </row>
    <row r="19" spans="1:21" customFormat="1">
      <c r="A19" s="163" t="s">
        <v>1786</v>
      </c>
      <c r="B19" s="100">
        <v>1.34</v>
      </c>
      <c r="C19" s="100">
        <v>3.28</v>
      </c>
      <c r="D19" s="100">
        <v>2.2400000000000002</v>
      </c>
      <c r="E19" s="100">
        <v>5.9</v>
      </c>
      <c r="F19" s="100">
        <v>1.68</v>
      </c>
      <c r="G19" s="100">
        <v>15.21</v>
      </c>
      <c r="H19" s="100">
        <v>8.93</v>
      </c>
      <c r="I19" s="100">
        <v>4.04</v>
      </c>
      <c r="J19" s="100">
        <v>0.11</v>
      </c>
      <c r="K19" s="100">
        <v>149.31</v>
      </c>
      <c r="L19" s="100">
        <v>26.33</v>
      </c>
      <c r="M19" s="100">
        <v>96.2</v>
      </c>
      <c r="N19" s="100">
        <v>2.1</v>
      </c>
      <c r="O19" s="100">
        <v>0</v>
      </c>
      <c r="P19" s="100">
        <v>0.12</v>
      </c>
      <c r="Q19" s="100">
        <v>10</v>
      </c>
      <c r="R19" s="6"/>
      <c r="S19" s="6"/>
      <c r="T19" s="156"/>
      <c r="U19" s="6"/>
    </row>
    <row r="20" spans="1:21" customFormat="1">
      <c r="A20" s="163" t="s">
        <v>1787</v>
      </c>
      <c r="B20" s="100">
        <v>1.24</v>
      </c>
      <c r="C20" s="100">
        <v>2.36</v>
      </c>
      <c r="D20" s="100">
        <v>0.64</v>
      </c>
      <c r="E20" s="100">
        <v>5.63</v>
      </c>
      <c r="F20" s="100">
        <v>1.4</v>
      </c>
      <c r="G20" s="100">
        <v>15.37</v>
      </c>
      <c r="H20" s="100">
        <v>8.57</v>
      </c>
      <c r="I20" s="100">
        <v>4.0599999999999996</v>
      </c>
      <c r="J20" s="100">
        <v>0.08</v>
      </c>
      <c r="K20" s="100">
        <v>158.38</v>
      </c>
      <c r="L20" s="100">
        <v>26.35</v>
      </c>
      <c r="M20" s="100">
        <v>96.14</v>
      </c>
      <c r="N20" s="100">
        <v>2.1</v>
      </c>
      <c r="O20" s="100">
        <v>0</v>
      </c>
      <c r="P20" s="100">
        <v>0.12</v>
      </c>
      <c r="Q20" s="100">
        <v>10</v>
      </c>
      <c r="R20" s="6"/>
      <c r="S20" s="6"/>
      <c r="T20" s="156"/>
      <c r="U20" s="6"/>
    </row>
    <row r="21" spans="1:21" customFormat="1">
      <c r="A21" s="163" t="s">
        <v>1788</v>
      </c>
      <c r="B21" s="100">
        <v>1.27</v>
      </c>
      <c r="C21" s="100">
        <v>2.59</v>
      </c>
      <c r="D21" s="100">
        <v>1.02</v>
      </c>
      <c r="E21" s="100">
        <v>5.93</v>
      </c>
      <c r="F21" s="100">
        <v>1.48</v>
      </c>
      <c r="G21" s="100">
        <v>16.079999999999998</v>
      </c>
      <c r="H21" s="100">
        <v>6.74</v>
      </c>
      <c r="I21" s="100">
        <v>4.03</v>
      </c>
      <c r="J21" s="100">
        <v>0.11</v>
      </c>
      <c r="K21" s="100">
        <v>226.04</v>
      </c>
      <c r="L21" s="100">
        <v>26.27</v>
      </c>
      <c r="M21" s="100">
        <v>96.39</v>
      </c>
      <c r="N21" s="100">
        <v>2.1</v>
      </c>
      <c r="O21" s="100">
        <v>0</v>
      </c>
      <c r="P21" s="100">
        <v>0.12</v>
      </c>
      <c r="Q21" s="100">
        <v>10</v>
      </c>
      <c r="R21" s="6"/>
      <c r="S21" s="6"/>
      <c r="T21" s="156"/>
      <c r="U21" s="6"/>
    </row>
    <row r="22" spans="1:21" customFormat="1">
      <c r="A22" s="163" t="s">
        <v>1789</v>
      </c>
      <c r="B22" s="100">
        <v>1.5</v>
      </c>
      <c r="C22" s="100">
        <v>3.72</v>
      </c>
      <c r="D22" s="100">
        <v>2.82</v>
      </c>
      <c r="E22" s="100">
        <v>6.02</v>
      </c>
      <c r="F22" s="100">
        <v>1.72</v>
      </c>
      <c r="G22" s="100">
        <v>16.079999999999998</v>
      </c>
      <c r="H22" s="100">
        <v>6.74</v>
      </c>
      <c r="I22" s="100">
        <v>3.99</v>
      </c>
      <c r="J22" s="100">
        <v>0.18</v>
      </c>
      <c r="K22" s="100">
        <v>241.99</v>
      </c>
      <c r="L22" s="100">
        <v>26.17</v>
      </c>
      <c r="M22" s="100">
        <v>97.09</v>
      </c>
      <c r="N22" s="100">
        <v>2.1</v>
      </c>
      <c r="O22" s="100">
        <v>0</v>
      </c>
      <c r="P22" s="100">
        <v>0.12</v>
      </c>
      <c r="Q22" s="100">
        <v>10</v>
      </c>
      <c r="R22" s="6"/>
      <c r="S22" s="6"/>
      <c r="T22" s="156"/>
      <c r="U22" s="6"/>
    </row>
    <row r="23" spans="1:21" customFormat="1">
      <c r="A23" s="163" t="s">
        <v>1790</v>
      </c>
      <c r="B23" s="100">
        <v>1.46</v>
      </c>
      <c r="C23" s="100">
        <v>3.58</v>
      </c>
      <c r="D23" s="100">
        <v>2.63</v>
      </c>
      <c r="E23" s="100">
        <v>6.06</v>
      </c>
      <c r="F23" s="100">
        <v>1.94</v>
      </c>
      <c r="G23" s="100">
        <v>16.079999999999998</v>
      </c>
      <c r="H23" s="100">
        <v>6.74</v>
      </c>
      <c r="I23" s="100">
        <v>3.95</v>
      </c>
      <c r="J23" s="100">
        <v>0.17</v>
      </c>
      <c r="K23" s="100">
        <v>235.74</v>
      </c>
      <c r="L23" s="100">
        <v>26.19</v>
      </c>
      <c r="M23" s="100">
        <v>96.98</v>
      </c>
      <c r="N23" s="100">
        <v>2</v>
      </c>
      <c r="O23" s="100">
        <v>0</v>
      </c>
      <c r="P23" s="100">
        <v>0.11</v>
      </c>
      <c r="Q23" s="100">
        <v>10</v>
      </c>
      <c r="R23" s="6"/>
      <c r="S23" s="6"/>
      <c r="T23" s="156"/>
      <c r="U23" s="6"/>
    </row>
    <row r="24" spans="1:21" customFormat="1">
      <c r="A24" s="163" t="s">
        <v>1791</v>
      </c>
      <c r="B24" s="100">
        <v>1.31</v>
      </c>
      <c r="C24" s="100">
        <v>2.93</v>
      </c>
      <c r="D24" s="100">
        <v>1.62</v>
      </c>
      <c r="E24" s="100">
        <v>6.14</v>
      </c>
      <c r="F24" s="100">
        <v>2.46</v>
      </c>
      <c r="G24" s="100">
        <v>15.93</v>
      </c>
      <c r="H24" s="100">
        <v>7.07</v>
      </c>
      <c r="I24" s="100">
        <v>3.86</v>
      </c>
      <c r="J24" s="100">
        <v>0.16</v>
      </c>
      <c r="K24" s="100">
        <v>242.07</v>
      </c>
      <c r="L24" s="100">
        <v>26.19</v>
      </c>
      <c r="M24" s="100">
        <v>96.48</v>
      </c>
      <c r="N24" s="100">
        <v>2</v>
      </c>
      <c r="O24" s="100">
        <v>0</v>
      </c>
      <c r="P24" s="100">
        <v>0.11</v>
      </c>
      <c r="Q24" s="100">
        <v>10</v>
      </c>
      <c r="R24" s="6"/>
      <c r="S24" s="6"/>
      <c r="T24" s="156"/>
      <c r="U24" s="6"/>
    </row>
    <row r="25" spans="1:21" customFormat="1">
      <c r="A25" s="163" t="s">
        <v>1792</v>
      </c>
      <c r="B25" s="100">
        <v>1.33</v>
      </c>
      <c r="C25" s="100">
        <v>3.15</v>
      </c>
      <c r="D25" s="100">
        <v>2.0099999999999998</v>
      </c>
      <c r="E25" s="100">
        <v>6.09</v>
      </c>
      <c r="F25" s="100">
        <v>1.39</v>
      </c>
      <c r="G25" s="100">
        <v>15.26</v>
      </c>
      <c r="H25" s="100">
        <v>8.2100000000000009</v>
      </c>
      <c r="I25" s="100">
        <v>3.79</v>
      </c>
      <c r="J25" s="100">
        <v>0.11</v>
      </c>
      <c r="K25" s="100">
        <v>210.85</v>
      </c>
      <c r="L25" s="100">
        <v>26.06</v>
      </c>
      <c r="M25" s="100">
        <v>96.72</v>
      </c>
      <c r="N25" s="100">
        <v>2.1</v>
      </c>
      <c r="O25" s="100">
        <v>0</v>
      </c>
      <c r="P25" s="100">
        <v>0.11</v>
      </c>
      <c r="Q25" s="100">
        <v>10</v>
      </c>
      <c r="R25" s="6"/>
      <c r="S25" s="6"/>
      <c r="T25" s="156"/>
      <c r="U25" s="6"/>
    </row>
    <row r="26" spans="1:21" customFormat="1">
      <c r="A26" s="163" t="s">
        <v>1793</v>
      </c>
      <c r="B26" s="100">
        <v>1.38</v>
      </c>
      <c r="C26" s="100">
        <v>3.33</v>
      </c>
      <c r="D26" s="100">
        <v>2.27</v>
      </c>
      <c r="E26" s="100">
        <v>6.11</v>
      </c>
      <c r="F26" s="100">
        <v>1.66</v>
      </c>
      <c r="G26" s="100">
        <v>15.26</v>
      </c>
      <c r="H26" s="100">
        <v>8.2100000000000009</v>
      </c>
      <c r="I26" s="100">
        <v>3.71</v>
      </c>
      <c r="J26" s="100">
        <v>0.13</v>
      </c>
      <c r="K26" s="100">
        <v>197.61</v>
      </c>
      <c r="L26" s="100">
        <v>26.03</v>
      </c>
      <c r="M26" s="100">
        <v>96.66</v>
      </c>
      <c r="N26" s="100">
        <v>2</v>
      </c>
      <c r="O26" s="100">
        <v>0</v>
      </c>
      <c r="P26" s="100">
        <v>0.1</v>
      </c>
      <c r="Q26" s="100">
        <v>10</v>
      </c>
      <c r="R26" s="6"/>
      <c r="S26" s="6"/>
      <c r="T26" s="156"/>
      <c r="U26" s="6"/>
    </row>
    <row r="27" spans="1:21" customFormat="1">
      <c r="A27" s="163" t="s">
        <v>1794</v>
      </c>
      <c r="B27" s="100">
        <v>1.53</v>
      </c>
      <c r="C27" s="100">
        <v>3.58</v>
      </c>
      <c r="D27" s="100">
        <v>2.5099999999999998</v>
      </c>
      <c r="E27" s="100">
        <v>5.79</v>
      </c>
      <c r="F27" s="100">
        <v>1.63</v>
      </c>
      <c r="G27" s="100">
        <v>15.26</v>
      </c>
      <c r="H27" s="100">
        <v>8.2100000000000009</v>
      </c>
      <c r="I27" s="100">
        <v>3.68</v>
      </c>
      <c r="J27" s="100">
        <v>0.1</v>
      </c>
      <c r="K27" s="100">
        <v>147.61000000000001</v>
      </c>
      <c r="L27" s="100">
        <v>25.91</v>
      </c>
      <c r="M27" s="100">
        <v>96.58</v>
      </c>
      <c r="N27" s="100">
        <v>2.1</v>
      </c>
      <c r="O27" s="100">
        <v>0</v>
      </c>
      <c r="P27" s="100">
        <v>0.11</v>
      </c>
      <c r="Q27" s="100">
        <v>10</v>
      </c>
      <c r="R27" s="6"/>
      <c r="S27" s="6"/>
      <c r="T27" s="156"/>
      <c r="U27" s="6"/>
    </row>
    <row r="28" spans="1:21" customFormat="1">
      <c r="A28" s="163" t="s">
        <v>1795</v>
      </c>
      <c r="B28" s="100">
        <v>1.55</v>
      </c>
      <c r="C28" s="100">
        <v>3.74</v>
      </c>
      <c r="D28" s="100">
        <v>2.79</v>
      </c>
      <c r="E28" s="100">
        <v>5.86</v>
      </c>
      <c r="F28" s="100">
        <v>1.88</v>
      </c>
      <c r="G28" s="100">
        <v>15.06</v>
      </c>
      <c r="H28" s="100">
        <v>7.67</v>
      </c>
      <c r="I28" s="100">
        <v>3.7</v>
      </c>
      <c r="J28" s="100">
        <v>0.12</v>
      </c>
      <c r="K28" s="100">
        <v>147.27000000000001</v>
      </c>
      <c r="L28" s="100">
        <v>25.88</v>
      </c>
      <c r="M28" s="100">
        <v>96.41</v>
      </c>
      <c r="N28" s="100">
        <v>2.1</v>
      </c>
      <c r="O28" s="100">
        <v>0</v>
      </c>
      <c r="P28" s="100">
        <v>0.11</v>
      </c>
      <c r="Q28" s="100">
        <v>10</v>
      </c>
      <c r="R28" s="6"/>
      <c r="S28" s="6"/>
      <c r="T28" s="156"/>
      <c r="U28" s="6"/>
    </row>
    <row r="29" spans="1:21" customFormat="1">
      <c r="A29" s="163" t="s">
        <v>1796</v>
      </c>
      <c r="B29" s="100">
        <v>1.27</v>
      </c>
      <c r="C29" s="100">
        <v>2.95</v>
      </c>
      <c r="D29" s="100">
        <v>1.71</v>
      </c>
      <c r="E29" s="100">
        <v>6.29</v>
      </c>
      <c r="F29" s="100">
        <v>2.35</v>
      </c>
      <c r="G29" s="100">
        <v>14.12</v>
      </c>
      <c r="H29" s="100">
        <v>5.95</v>
      </c>
      <c r="I29" s="100">
        <v>3.68</v>
      </c>
      <c r="J29" s="100">
        <v>0.12</v>
      </c>
      <c r="K29" s="100">
        <v>137.19999999999999</v>
      </c>
      <c r="L29" s="100">
        <v>25.77</v>
      </c>
      <c r="M29" s="100">
        <v>96.86</v>
      </c>
      <c r="N29" s="100">
        <v>2</v>
      </c>
      <c r="O29" s="100">
        <v>0</v>
      </c>
      <c r="P29" s="100">
        <v>0.1</v>
      </c>
      <c r="Q29" s="100">
        <v>10</v>
      </c>
      <c r="R29" s="6"/>
      <c r="S29" s="6"/>
      <c r="T29" s="156"/>
      <c r="U29" s="6"/>
    </row>
    <row r="30" spans="1:21" customFormat="1">
      <c r="A30" s="163" t="s">
        <v>1797</v>
      </c>
      <c r="B30" s="100">
        <v>1.35</v>
      </c>
      <c r="C30" s="100">
        <v>3.23</v>
      </c>
      <c r="D30" s="100">
        <v>2.13</v>
      </c>
      <c r="E30" s="100">
        <v>6.11</v>
      </c>
      <c r="F30" s="100">
        <v>2.15</v>
      </c>
      <c r="G30" s="100">
        <v>14.12</v>
      </c>
      <c r="H30" s="100">
        <v>5.95</v>
      </c>
      <c r="I30" s="100">
        <v>3.63</v>
      </c>
      <c r="J30" s="100">
        <v>0.1</v>
      </c>
      <c r="K30" s="100">
        <v>137.05000000000001</v>
      </c>
      <c r="L30" s="100">
        <v>25.73</v>
      </c>
      <c r="M30" s="100">
        <v>97.08</v>
      </c>
      <c r="N30" s="100">
        <v>2.5</v>
      </c>
      <c r="O30" s="100">
        <v>0</v>
      </c>
      <c r="P30" s="100">
        <v>0.11</v>
      </c>
      <c r="Q30" s="100">
        <v>10</v>
      </c>
      <c r="R30" s="6"/>
      <c r="S30" s="6"/>
      <c r="T30" s="156"/>
      <c r="U30" s="6"/>
    </row>
    <row r="31" spans="1:21" customFormat="1">
      <c r="A31" s="163" t="s">
        <v>1798</v>
      </c>
      <c r="B31" s="100">
        <v>1.51</v>
      </c>
      <c r="C31" s="100">
        <v>3.63</v>
      </c>
      <c r="D31" s="100">
        <v>2.64</v>
      </c>
      <c r="E31" s="100">
        <v>6.05</v>
      </c>
      <c r="F31" s="100">
        <v>2.09</v>
      </c>
      <c r="G31" s="100">
        <v>14.12</v>
      </c>
      <c r="H31" s="100">
        <v>5.95</v>
      </c>
      <c r="I31" s="100">
        <v>3.64</v>
      </c>
      <c r="J31" s="100">
        <v>0.09</v>
      </c>
      <c r="K31" s="100">
        <v>138.13999999999999</v>
      </c>
      <c r="L31" s="100">
        <v>25.64</v>
      </c>
      <c r="M31" s="100">
        <v>97.45</v>
      </c>
      <c r="N31" s="100">
        <v>5.6</v>
      </c>
      <c r="O31" s="100">
        <v>0</v>
      </c>
      <c r="P31" s="100">
        <v>0.11</v>
      </c>
      <c r="Q31" s="100">
        <v>10</v>
      </c>
      <c r="R31" s="6"/>
      <c r="S31" s="6"/>
      <c r="T31" s="156"/>
      <c r="U31" s="6"/>
    </row>
    <row r="32" spans="1:21" customFormat="1">
      <c r="A32" s="163" t="s">
        <v>1799</v>
      </c>
      <c r="B32" s="100">
        <v>1.66</v>
      </c>
      <c r="C32" s="100">
        <v>3.88</v>
      </c>
      <c r="D32" s="100">
        <v>2.9</v>
      </c>
      <c r="E32" s="100">
        <v>6.1</v>
      </c>
      <c r="F32" s="100">
        <v>1.92</v>
      </c>
      <c r="G32" s="100">
        <v>13.74</v>
      </c>
      <c r="H32" s="100">
        <v>6.32</v>
      </c>
      <c r="I32" s="100">
        <v>3.7</v>
      </c>
      <c r="J32" s="100">
        <v>0.1</v>
      </c>
      <c r="K32" s="100">
        <v>156.06</v>
      </c>
      <c r="L32" s="100">
        <v>25.67</v>
      </c>
      <c r="M32" s="100">
        <v>97.72</v>
      </c>
      <c r="N32" s="100">
        <v>12.6</v>
      </c>
      <c r="O32" s="100">
        <v>0</v>
      </c>
      <c r="P32" s="100">
        <v>0.11</v>
      </c>
      <c r="Q32" s="100">
        <v>10</v>
      </c>
      <c r="R32" s="6"/>
      <c r="S32" s="6"/>
      <c r="T32" s="156"/>
      <c r="U32" s="6"/>
    </row>
    <row r="33" spans="1:21" customFormat="1">
      <c r="A33" s="163" t="s">
        <v>1800</v>
      </c>
      <c r="B33" s="100">
        <v>1.39</v>
      </c>
      <c r="C33" s="100">
        <v>3.27</v>
      </c>
      <c r="D33" s="100">
        <v>2.14</v>
      </c>
      <c r="E33" s="100">
        <v>5.95</v>
      </c>
      <c r="F33" s="100">
        <v>0.77</v>
      </c>
      <c r="G33" s="100">
        <v>11.98</v>
      </c>
      <c r="H33" s="100">
        <v>7.56</v>
      </c>
      <c r="I33" s="100">
        <v>3.86</v>
      </c>
      <c r="J33" s="100">
        <v>7.0000000000000007E-2</v>
      </c>
      <c r="K33" s="100">
        <v>169.75</v>
      </c>
      <c r="L33" s="100">
        <v>25.77</v>
      </c>
      <c r="M33" s="100">
        <v>97.93</v>
      </c>
      <c r="N33" s="100">
        <v>23.9</v>
      </c>
      <c r="O33" s="100">
        <v>0</v>
      </c>
      <c r="P33" s="100">
        <v>0.1</v>
      </c>
      <c r="Q33" s="100">
        <v>10</v>
      </c>
      <c r="R33" s="6"/>
      <c r="S33" s="6"/>
      <c r="T33" s="156"/>
      <c r="U33" s="6"/>
    </row>
    <row r="34" spans="1:21" customFormat="1">
      <c r="A34" s="163" t="s">
        <v>1801</v>
      </c>
      <c r="B34" s="100">
        <v>1.39</v>
      </c>
      <c r="C34" s="100">
        <v>2.73</v>
      </c>
      <c r="D34" s="100">
        <v>1.1000000000000001</v>
      </c>
      <c r="E34" s="100">
        <v>5.72</v>
      </c>
      <c r="F34" s="100">
        <v>1.93</v>
      </c>
      <c r="G34" s="100">
        <v>11.98</v>
      </c>
      <c r="H34" s="100">
        <v>7.56</v>
      </c>
      <c r="I34" s="100">
        <v>3.93</v>
      </c>
      <c r="J34" s="100">
        <v>0.14000000000000001</v>
      </c>
      <c r="K34" s="100">
        <v>248.17</v>
      </c>
      <c r="L34" s="100">
        <v>26.01</v>
      </c>
      <c r="M34" s="100">
        <v>97.74</v>
      </c>
      <c r="N34" s="100">
        <v>39.6</v>
      </c>
      <c r="O34" s="100">
        <v>0</v>
      </c>
      <c r="P34" s="100">
        <v>7.0000000000000007E-2</v>
      </c>
      <c r="Q34" s="100">
        <v>10</v>
      </c>
      <c r="R34" s="6"/>
      <c r="S34" s="6"/>
      <c r="T34" s="156"/>
      <c r="U34" s="6"/>
    </row>
    <row r="35" spans="1:21" customFormat="1">
      <c r="A35" s="163" t="s">
        <v>1802</v>
      </c>
      <c r="B35" s="100">
        <v>1.67</v>
      </c>
      <c r="C35" s="100">
        <v>3.72</v>
      </c>
      <c r="D35" s="100">
        <v>2.57</v>
      </c>
      <c r="E35" s="100">
        <v>5.07</v>
      </c>
      <c r="F35" s="100">
        <v>1.76</v>
      </c>
      <c r="G35" s="100">
        <v>11.98</v>
      </c>
      <c r="H35" s="100">
        <v>7.56</v>
      </c>
      <c r="I35" s="100">
        <v>3.96</v>
      </c>
      <c r="J35" s="100">
        <v>0.11</v>
      </c>
      <c r="K35" s="100">
        <v>262.45</v>
      </c>
      <c r="L35" s="100">
        <v>26.36</v>
      </c>
      <c r="M35" s="100">
        <v>96.48</v>
      </c>
      <c r="N35" s="100">
        <v>49.4</v>
      </c>
      <c r="O35" s="100">
        <v>0</v>
      </c>
      <c r="P35" s="100">
        <v>0.06</v>
      </c>
      <c r="Q35" s="100">
        <v>10</v>
      </c>
      <c r="R35" s="6"/>
      <c r="S35" s="6"/>
      <c r="T35" s="156"/>
      <c r="U35" s="6"/>
    </row>
    <row r="36" spans="1:21" customFormat="1">
      <c r="A36" s="163" t="s">
        <v>1803</v>
      </c>
      <c r="B36" s="100">
        <v>1.48</v>
      </c>
      <c r="C36" s="100">
        <v>3.42</v>
      </c>
      <c r="D36" s="100">
        <v>2.2799999999999998</v>
      </c>
      <c r="E36" s="100">
        <v>5.13</v>
      </c>
      <c r="F36" s="100">
        <v>3.2</v>
      </c>
      <c r="G36" s="100">
        <v>11.93</v>
      </c>
      <c r="H36" s="100">
        <v>7.19</v>
      </c>
      <c r="I36" s="100">
        <v>3.9</v>
      </c>
      <c r="J36" s="100">
        <v>7.0000000000000007E-2</v>
      </c>
      <c r="K36" s="100">
        <v>242.45</v>
      </c>
      <c r="L36" s="100">
        <v>26.58</v>
      </c>
      <c r="M36" s="100">
        <v>94.27</v>
      </c>
      <c r="N36" s="100">
        <v>55.8</v>
      </c>
      <c r="O36" s="100">
        <v>0</v>
      </c>
      <c r="P36" s="100">
        <v>0.09</v>
      </c>
      <c r="Q36" s="100">
        <v>10</v>
      </c>
      <c r="R36" s="6"/>
      <c r="S36" s="6"/>
      <c r="T36" s="156"/>
      <c r="U36" s="6"/>
    </row>
    <row r="37" spans="1:21" customFormat="1">
      <c r="A37" s="163" t="s">
        <v>1804</v>
      </c>
      <c r="B37" s="100">
        <v>1.65</v>
      </c>
      <c r="C37" s="100">
        <v>3.75</v>
      </c>
      <c r="D37" s="100">
        <v>2.66</v>
      </c>
      <c r="E37" s="100">
        <v>5.42</v>
      </c>
      <c r="F37" s="100">
        <v>3.21</v>
      </c>
      <c r="G37" s="100">
        <v>11.71</v>
      </c>
      <c r="H37" s="100">
        <v>5.49</v>
      </c>
      <c r="I37" s="100">
        <v>3.91</v>
      </c>
      <c r="J37" s="100">
        <v>0.23</v>
      </c>
      <c r="K37" s="100">
        <v>249.75</v>
      </c>
      <c r="L37" s="100">
        <v>26.87</v>
      </c>
      <c r="M37" s="100">
        <v>92.16</v>
      </c>
      <c r="N37" s="100">
        <v>79</v>
      </c>
      <c r="O37" s="100">
        <v>0</v>
      </c>
      <c r="P37" s="100">
        <v>7.0000000000000007E-2</v>
      </c>
      <c r="Q37" s="100">
        <v>10</v>
      </c>
      <c r="R37" s="6"/>
      <c r="S37" s="6"/>
      <c r="T37" s="156"/>
      <c r="U37" s="6"/>
    </row>
    <row r="38" spans="1:21" customFormat="1">
      <c r="A38" s="163" t="s">
        <v>1805</v>
      </c>
      <c r="B38" s="100">
        <v>1.36</v>
      </c>
      <c r="C38" s="100">
        <v>3.1</v>
      </c>
      <c r="D38" s="100">
        <v>1.86</v>
      </c>
      <c r="E38" s="100">
        <v>5.15</v>
      </c>
      <c r="F38" s="100">
        <v>3.45</v>
      </c>
      <c r="G38" s="100">
        <v>11.71</v>
      </c>
      <c r="H38" s="100">
        <v>5.49</v>
      </c>
      <c r="I38" s="100">
        <v>4.01</v>
      </c>
      <c r="J38" s="100">
        <v>0.26</v>
      </c>
      <c r="K38" s="100">
        <v>245.31</v>
      </c>
      <c r="L38" s="100">
        <v>27.08</v>
      </c>
      <c r="M38" s="100">
        <v>90.31</v>
      </c>
      <c r="N38" s="100">
        <v>94.1</v>
      </c>
      <c r="O38" s="100">
        <v>0</v>
      </c>
      <c r="P38" s="100">
        <v>0.06</v>
      </c>
      <c r="Q38" s="100">
        <v>10</v>
      </c>
      <c r="R38" s="6"/>
      <c r="S38" s="6"/>
      <c r="T38" s="156"/>
      <c r="U38" s="6"/>
    </row>
    <row r="39" spans="1:21" customFormat="1">
      <c r="A39" s="163" t="s">
        <v>1806</v>
      </c>
      <c r="B39" s="100">
        <v>1.25</v>
      </c>
      <c r="C39" s="100">
        <v>2.61</v>
      </c>
      <c r="D39" s="100">
        <v>1.1000000000000001</v>
      </c>
      <c r="E39" s="100">
        <v>5.28</v>
      </c>
      <c r="F39" s="100">
        <v>2.84</v>
      </c>
      <c r="G39" s="100">
        <v>11.71</v>
      </c>
      <c r="H39" s="100">
        <v>5.49</v>
      </c>
      <c r="I39" s="100">
        <v>3.93</v>
      </c>
      <c r="J39" s="100">
        <v>0.35</v>
      </c>
      <c r="K39" s="100">
        <v>251.94</v>
      </c>
      <c r="L39" s="100">
        <v>27.27</v>
      </c>
      <c r="M39" s="100">
        <v>88.89</v>
      </c>
      <c r="N39" s="100">
        <v>106.6</v>
      </c>
      <c r="O39" s="100">
        <v>0</v>
      </c>
      <c r="P39" s="100">
        <v>0.08</v>
      </c>
      <c r="Q39" s="100">
        <v>10</v>
      </c>
      <c r="R39" s="6"/>
      <c r="S39" s="6"/>
      <c r="T39" s="156"/>
      <c r="U39" s="6"/>
    </row>
    <row r="40" spans="1:21" customFormat="1">
      <c r="A40" s="163" t="s">
        <v>1807</v>
      </c>
      <c r="B40" s="100">
        <v>1.71</v>
      </c>
      <c r="C40" s="100">
        <v>3.83</v>
      </c>
      <c r="D40" s="100">
        <v>2.72</v>
      </c>
      <c r="E40" s="100">
        <v>4.97</v>
      </c>
      <c r="F40" s="100">
        <v>3.96</v>
      </c>
      <c r="G40" s="100">
        <v>12.05</v>
      </c>
      <c r="H40" s="100">
        <v>5.26</v>
      </c>
      <c r="I40" s="100">
        <v>3.91</v>
      </c>
      <c r="J40" s="100">
        <v>0.43</v>
      </c>
      <c r="K40" s="100">
        <v>251.03</v>
      </c>
      <c r="L40" s="100">
        <v>27.5</v>
      </c>
      <c r="M40" s="100">
        <v>87.6</v>
      </c>
      <c r="N40" s="100">
        <v>135.6</v>
      </c>
      <c r="O40" s="100">
        <v>0</v>
      </c>
      <c r="P40" s="100">
        <v>0.08</v>
      </c>
      <c r="Q40" s="100">
        <v>10</v>
      </c>
      <c r="R40" s="6"/>
      <c r="S40" s="6"/>
      <c r="T40" s="156"/>
      <c r="U40" s="6"/>
    </row>
    <row r="41" spans="1:21" customFormat="1">
      <c r="A41" s="163" t="s">
        <v>1808</v>
      </c>
      <c r="B41" s="100">
        <v>1.62</v>
      </c>
      <c r="C41" s="100">
        <v>3.67</v>
      </c>
      <c r="D41" s="100">
        <v>2.57</v>
      </c>
      <c r="E41" s="100">
        <v>5.13</v>
      </c>
      <c r="F41" s="100">
        <v>4.16</v>
      </c>
      <c r="G41" s="100">
        <v>13.63</v>
      </c>
      <c r="H41" s="100">
        <v>4.4800000000000004</v>
      </c>
      <c r="I41" s="100">
        <v>4.07</v>
      </c>
      <c r="J41" s="100">
        <v>0.5</v>
      </c>
      <c r="K41" s="100">
        <v>251.9</v>
      </c>
      <c r="L41" s="100">
        <v>27.95</v>
      </c>
      <c r="M41" s="100">
        <v>85.65</v>
      </c>
      <c r="N41" s="100">
        <v>161.9</v>
      </c>
      <c r="O41" s="100">
        <v>0</v>
      </c>
      <c r="P41" s="100">
        <v>0.06</v>
      </c>
      <c r="Q41" s="100">
        <v>10</v>
      </c>
      <c r="R41" s="6"/>
      <c r="S41" s="6"/>
      <c r="T41" s="156"/>
      <c r="U41" s="6"/>
    </row>
    <row r="42" spans="1:21" customFormat="1">
      <c r="A42" s="163" t="s">
        <v>1809</v>
      </c>
      <c r="B42" s="100">
        <v>1.57</v>
      </c>
      <c r="C42" s="100">
        <v>3.57</v>
      </c>
      <c r="D42" s="100">
        <v>2.44</v>
      </c>
      <c r="E42" s="100">
        <v>5</v>
      </c>
      <c r="F42" s="100">
        <v>2.92</v>
      </c>
      <c r="G42" s="100">
        <v>13.63</v>
      </c>
      <c r="H42" s="100">
        <v>4.4800000000000004</v>
      </c>
      <c r="I42" s="100">
        <v>4</v>
      </c>
      <c r="J42" s="100">
        <v>0.47</v>
      </c>
      <c r="K42" s="100">
        <v>255.98</v>
      </c>
      <c r="L42" s="100">
        <v>28.07</v>
      </c>
      <c r="M42" s="100">
        <v>84.56</v>
      </c>
      <c r="N42" s="100">
        <v>175.5</v>
      </c>
      <c r="O42" s="100">
        <v>0</v>
      </c>
      <c r="P42" s="100">
        <v>0.08</v>
      </c>
      <c r="Q42" s="100">
        <v>10</v>
      </c>
      <c r="R42" s="6"/>
      <c r="S42" s="6"/>
      <c r="T42" s="156"/>
      <c r="U42" s="6"/>
    </row>
    <row r="43" spans="1:21" customFormat="1">
      <c r="A43" s="163" t="s">
        <v>1810</v>
      </c>
      <c r="B43" s="100">
        <v>1.56</v>
      </c>
      <c r="C43" s="100">
        <v>3.58</v>
      </c>
      <c r="D43" s="100">
        <v>2.48</v>
      </c>
      <c r="E43" s="100">
        <v>5.42</v>
      </c>
      <c r="F43" s="100">
        <v>2.83</v>
      </c>
      <c r="G43" s="100">
        <v>13.63</v>
      </c>
      <c r="H43" s="100">
        <v>4.4800000000000004</v>
      </c>
      <c r="I43" s="100">
        <v>3.97</v>
      </c>
      <c r="J43" s="100">
        <v>0.44</v>
      </c>
      <c r="K43" s="100">
        <v>255.37</v>
      </c>
      <c r="L43" s="100">
        <v>28.73</v>
      </c>
      <c r="M43" s="100">
        <v>81.99</v>
      </c>
      <c r="N43" s="100">
        <v>194.1</v>
      </c>
      <c r="O43" s="100">
        <v>0</v>
      </c>
      <c r="P43" s="100">
        <v>0.08</v>
      </c>
      <c r="Q43" s="100">
        <v>10</v>
      </c>
      <c r="R43" s="6"/>
      <c r="S43" s="6"/>
      <c r="T43" s="156"/>
      <c r="U43" s="6"/>
    </row>
    <row r="44" spans="1:21" customFormat="1">
      <c r="A44" s="163" t="s">
        <v>1811</v>
      </c>
      <c r="B44" s="100">
        <v>1.62</v>
      </c>
      <c r="C44" s="100">
        <v>3.93</v>
      </c>
      <c r="D44" s="100">
        <v>3.06</v>
      </c>
      <c r="E44" s="100">
        <v>5.22</v>
      </c>
      <c r="F44" s="100">
        <v>4.41</v>
      </c>
      <c r="G44" s="100">
        <v>13.79</v>
      </c>
      <c r="H44" s="100">
        <v>5.04</v>
      </c>
      <c r="I44" s="100">
        <v>4.07</v>
      </c>
      <c r="J44" s="100">
        <v>0.32</v>
      </c>
      <c r="K44" s="100">
        <v>247.93</v>
      </c>
      <c r="L44" s="100">
        <v>29.06</v>
      </c>
      <c r="M44" s="100">
        <v>80.540000000000006</v>
      </c>
      <c r="N44" s="100">
        <v>189.3</v>
      </c>
      <c r="O44" s="100">
        <v>0</v>
      </c>
      <c r="P44" s="100">
        <v>7.0000000000000007E-2</v>
      </c>
      <c r="Q44" s="100">
        <v>10</v>
      </c>
      <c r="R44" s="6"/>
      <c r="S44" s="6"/>
      <c r="T44" s="156"/>
      <c r="U44" s="6"/>
    </row>
    <row r="45" spans="1:21" customFormat="1">
      <c r="A45" s="163" t="s">
        <v>1812</v>
      </c>
      <c r="B45" s="100">
        <v>1.69</v>
      </c>
      <c r="C45" s="100">
        <v>3.98</v>
      </c>
      <c r="D45" s="100">
        <v>3.04</v>
      </c>
      <c r="E45" s="100">
        <v>4.88</v>
      </c>
      <c r="F45" s="100">
        <v>3.72</v>
      </c>
      <c r="G45" s="100">
        <v>14.51</v>
      </c>
      <c r="H45" s="100">
        <v>6.85</v>
      </c>
      <c r="I45" s="100">
        <v>4.03</v>
      </c>
      <c r="J45" s="100">
        <v>0.44</v>
      </c>
      <c r="K45" s="100">
        <v>248.63</v>
      </c>
      <c r="L45" s="100">
        <v>29.57</v>
      </c>
      <c r="M45" s="100">
        <v>78.650000000000006</v>
      </c>
      <c r="N45" s="100">
        <v>235.6</v>
      </c>
      <c r="O45" s="100">
        <v>0</v>
      </c>
      <c r="P45" s="100">
        <v>0.06</v>
      </c>
      <c r="Q45" s="100">
        <v>10</v>
      </c>
      <c r="R45" s="6"/>
      <c r="S45" s="6"/>
      <c r="T45" s="156"/>
      <c r="U45" s="6"/>
    </row>
    <row r="46" spans="1:21" customFormat="1">
      <c r="A46" s="163" t="s">
        <v>1813</v>
      </c>
      <c r="B46" s="100">
        <v>1.53</v>
      </c>
      <c r="C46" s="100">
        <v>3.63</v>
      </c>
      <c r="D46" s="100">
        <v>2.62</v>
      </c>
      <c r="E46" s="100">
        <v>4.7300000000000004</v>
      </c>
      <c r="F46" s="100">
        <v>4.32</v>
      </c>
      <c r="G46" s="100">
        <v>14.51</v>
      </c>
      <c r="H46" s="100">
        <v>6.85</v>
      </c>
      <c r="I46" s="100">
        <v>3.98</v>
      </c>
      <c r="J46" s="100">
        <v>0.54</v>
      </c>
      <c r="K46" s="100">
        <v>248.35</v>
      </c>
      <c r="L46" s="100">
        <v>30.07</v>
      </c>
      <c r="M46" s="100">
        <v>76.48</v>
      </c>
      <c r="N46" s="100">
        <v>221.6</v>
      </c>
      <c r="O46" s="100">
        <v>0</v>
      </c>
      <c r="P46" s="100">
        <v>0.06</v>
      </c>
      <c r="Q46" s="100">
        <v>10</v>
      </c>
      <c r="R46" s="6"/>
      <c r="S46" s="6"/>
      <c r="T46" s="156"/>
      <c r="U46" s="6"/>
    </row>
    <row r="47" spans="1:21" customFormat="1">
      <c r="A47" s="163" t="s">
        <v>1814</v>
      </c>
      <c r="B47" s="100">
        <v>1.59</v>
      </c>
      <c r="C47" s="100">
        <v>3.95</v>
      </c>
      <c r="D47" s="100">
        <v>3.13</v>
      </c>
      <c r="E47" s="100">
        <v>4.67</v>
      </c>
      <c r="F47" s="100">
        <v>2.61</v>
      </c>
      <c r="G47" s="100">
        <v>14.51</v>
      </c>
      <c r="H47" s="100">
        <v>6.85</v>
      </c>
      <c r="I47" s="100">
        <v>3.91</v>
      </c>
      <c r="J47" s="100">
        <v>0.57999999999999996</v>
      </c>
      <c r="K47" s="100">
        <v>263.79000000000002</v>
      </c>
      <c r="L47" s="100">
        <v>30.03</v>
      </c>
      <c r="M47" s="100">
        <v>76.22</v>
      </c>
      <c r="N47" s="100">
        <v>222.6</v>
      </c>
      <c r="O47" s="100">
        <v>0</v>
      </c>
      <c r="P47" s="100">
        <v>7.0000000000000007E-2</v>
      </c>
      <c r="Q47" s="100">
        <v>10</v>
      </c>
      <c r="R47" s="6"/>
      <c r="S47" s="6"/>
      <c r="T47" s="156"/>
      <c r="U47" s="6"/>
    </row>
    <row r="48" spans="1:21" customFormat="1">
      <c r="A48" s="163" t="s">
        <v>1815</v>
      </c>
      <c r="B48" s="100">
        <v>1.31</v>
      </c>
      <c r="C48" s="100">
        <v>3.07</v>
      </c>
      <c r="D48" s="100">
        <v>1.89</v>
      </c>
      <c r="E48" s="100">
        <v>5.09</v>
      </c>
      <c r="F48" s="100">
        <v>4.04</v>
      </c>
      <c r="G48" s="100">
        <v>14.77</v>
      </c>
      <c r="H48" s="100">
        <v>7.25</v>
      </c>
      <c r="I48" s="100">
        <v>4.0199999999999996</v>
      </c>
      <c r="J48" s="100">
        <v>0.49</v>
      </c>
      <c r="K48" s="100">
        <v>255.49</v>
      </c>
      <c r="L48" s="100">
        <v>30.37</v>
      </c>
      <c r="M48" s="100">
        <v>75.66</v>
      </c>
      <c r="N48" s="100">
        <v>223.7</v>
      </c>
      <c r="O48" s="100">
        <v>0</v>
      </c>
      <c r="P48" s="100">
        <v>0.08</v>
      </c>
      <c r="Q48" s="100">
        <v>10</v>
      </c>
      <c r="R48" s="6"/>
      <c r="S48" s="6"/>
      <c r="T48" s="156"/>
      <c r="U48" s="6"/>
    </row>
    <row r="49" spans="1:21" customFormat="1">
      <c r="A49" s="163" t="s">
        <v>1816</v>
      </c>
      <c r="B49" s="100">
        <v>1.35</v>
      </c>
      <c r="C49" s="100">
        <v>3.35</v>
      </c>
      <c r="D49" s="100">
        <v>2.36</v>
      </c>
      <c r="E49" s="100">
        <v>3.76</v>
      </c>
      <c r="F49" s="100">
        <v>3.61</v>
      </c>
      <c r="G49" s="100">
        <v>15.97</v>
      </c>
      <c r="H49" s="100">
        <v>8.6</v>
      </c>
      <c r="I49" s="100">
        <v>3.98</v>
      </c>
      <c r="J49" s="100">
        <v>0.7</v>
      </c>
      <c r="K49" s="100">
        <v>256.56</v>
      </c>
      <c r="L49" s="100">
        <v>30.64</v>
      </c>
      <c r="M49" s="100">
        <v>74.75</v>
      </c>
      <c r="N49" s="100">
        <v>231.8</v>
      </c>
      <c r="O49" s="100">
        <v>0</v>
      </c>
      <c r="P49" s="100">
        <v>0.08</v>
      </c>
      <c r="Q49" s="100">
        <v>10</v>
      </c>
      <c r="R49" s="6"/>
      <c r="S49" s="6"/>
      <c r="T49" s="156"/>
      <c r="U49" s="6"/>
    </row>
    <row r="50" spans="1:21" customFormat="1">
      <c r="A50" s="163" t="s">
        <v>1817</v>
      </c>
      <c r="B50" s="100">
        <v>1.39</v>
      </c>
      <c r="C50" s="100">
        <v>3.67</v>
      </c>
      <c r="D50" s="100">
        <v>2.9</v>
      </c>
      <c r="E50" s="100">
        <v>4.59</v>
      </c>
      <c r="F50" s="100">
        <v>5.69</v>
      </c>
      <c r="G50" s="100">
        <v>15.97</v>
      </c>
      <c r="H50" s="100">
        <v>8.6</v>
      </c>
      <c r="I50" s="100">
        <v>4.01</v>
      </c>
      <c r="J50" s="100">
        <v>0.49</v>
      </c>
      <c r="K50" s="100">
        <v>254.93</v>
      </c>
      <c r="L50" s="100">
        <v>30.92</v>
      </c>
      <c r="M50" s="100">
        <v>73.489999999999995</v>
      </c>
      <c r="N50" s="100">
        <v>239.4</v>
      </c>
      <c r="O50" s="100">
        <v>0</v>
      </c>
      <c r="P50" s="100">
        <v>7.0000000000000007E-2</v>
      </c>
      <c r="Q50" s="100">
        <v>10</v>
      </c>
      <c r="R50" s="6"/>
      <c r="S50" s="6"/>
      <c r="T50" s="156"/>
      <c r="U50" s="6"/>
    </row>
    <row r="51" spans="1:21" customFormat="1">
      <c r="A51" s="163" t="s">
        <v>1818</v>
      </c>
      <c r="B51" s="100">
        <v>1.24</v>
      </c>
      <c r="C51" s="100">
        <v>2.79</v>
      </c>
      <c r="D51" s="100">
        <v>1.46</v>
      </c>
      <c r="E51" s="100">
        <v>3.82</v>
      </c>
      <c r="F51" s="100">
        <v>4.0199999999999996</v>
      </c>
      <c r="G51" s="100">
        <v>15.97</v>
      </c>
      <c r="H51" s="100">
        <v>8.6</v>
      </c>
      <c r="I51" s="100">
        <v>3.93</v>
      </c>
      <c r="J51" s="100">
        <v>0.49</v>
      </c>
      <c r="K51" s="100">
        <v>259.05</v>
      </c>
      <c r="L51" s="100">
        <v>31.61</v>
      </c>
      <c r="M51" s="100">
        <v>71.25</v>
      </c>
      <c r="N51" s="100">
        <v>253.7</v>
      </c>
      <c r="O51" s="100">
        <v>0</v>
      </c>
      <c r="P51" s="100">
        <v>0.08</v>
      </c>
      <c r="Q51" s="100">
        <v>10</v>
      </c>
      <c r="R51" s="6"/>
      <c r="S51" s="6"/>
      <c r="T51" s="156"/>
      <c r="U51" s="6"/>
    </row>
    <row r="52" spans="1:21" customFormat="1">
      <c r="A52" s="163" t="s">
        <v>1819</v>
      </c>
      <c r="B52" s="100">
        <v>1.26</v>
      </c>
      <c r="C52" s="100">
        <v>3.26</v>
      </c>
      <c r="D52" s="100">
        <v>2.3199999999999998</v>
      </c>
      <c r="E52" s="100">
        <v>4.38</v>
      </c>
      <c r="F52" s="100">
        <v>4.68</v>
      </c>
      <c r="G52" s="100">
        <v>16.510000000000002</v>
      </c>
      <c r="H52" s="100">
        <v>9</v>
      </c>
      <c r="I52" s="100">
        <v>3.83</v>
      </c>
      <c r="J52" s="100">
        <v>0.42</v>
      </c>
      <c r="K52" s="100">
        <v>268.3</v>
      </c>
      <c r="L52" s="100">
        <v>31.78</v>
      </c>
      <c r="M52" s="100">
        <v>70.14</v>
      </c>
      <c r="N52" s="100">
        <v>256.8</v>
      </c>
      <c r="O52" s="100">
        <v>0</v>
      </c>
      <c r="P52" s="100">
        <v>0.09</v>
      </c>
      <c r="Q52" s="100">
        <v>10</v>
      </c>
      <c r="R52" s="6"/>
      <c r="S52" s="6"/>
      <c r="T52" s="156"/>
      <c r="U52" s="6"/>
    </row>
    <row r="53" spans="1:21" customFormat="1">
      <c r="A53" s="163" t="s">
        <v>1820</v>
      </c>
      <c r="B53" s="100">
        <v>1.24</v>
      </c>
      <c r="C53" s="100">
        <v>2.48</v>
      </c>
      <c r="D53" s="100">
        <v>0.85</v>
      </c>
      <c r="E53" s="100">
        <v>4.67</v>
      </c>
      <c r="F53" s="100">
        <v>3.31</v>
      </c>
      <c r="G53" s="100">
        <v>18.809999999999999</v>
      </c>
      <c r="H53" s="100">
        <v>10.88</v>
      </c>
      <c r="I53" s="100">
        <v>3.83</v>
      </c>
      <c r="J53" s="100">
        <v>0.41</v>
      </c>
      <c r="K53" s="100">
        <v>242.17</v>
      </c>
      <c r="L53" s="100">
        <v>32.299999999999997</v>
      </c>
      <c r="M53" s="100">
        <v>68.2</v>
      </c>
      <c r="N53" s="100">
        <v>276.39999999999998</v>
      </c>
      <c r="O53" s="100">
        <v>0</v>
      </c>
      <c r="P53" s="100">
        <v>0.1</v>
      </c>
      <c r="Q53" s="100">
        <v>10</v>
      </c>
      <c r="R53" s="6"/>
      <c r="S53" s="6"/>
      <c r="T53" s="156"/>
      <c r="U53" s="6"/>
    </row>
    <row r="54" spans="1:21" customFormat="1">
      <c r="A54" s="163" t="s">
        <v>1821</v>
      </c>
      <c r="B54" s="100">
        <v>1.24</v>
      </c>
      <c r="C54" s="100">
        <v>2.62</v>
      </c>
      <c r="D54" s="100">
        <v>1.1299999999999999</v>
      </c>
      <c r="E54" s="100">
        <v>4.91</v>
      </c>
      <c r="F54" s="100">
        <v>2.84</v>
      </c>
      <c r="G54" s="100">
        <v>18.809999999999999</v>
      </c>
      <c r="H54" s="100">
        <v>10.88</v>
      </c>
      <c r="I54" s="100">
        <v>3.86</v>
      </c>
      <c r="J54" s="100">
        <v>0.45</v>
      </c>
      <c r="K54" s="100">
        <v>260.23</v>
      </c>
      <c r="L54" s="100">
        <v>32.18</v>
      </c>
      <c r="M54" s="100">
        <v>66.86</v>
      </c>
      <c r="N54" s="100">
        <v>257.5</v>
      </c>
      <c r="O54" s="100">
        <v>0</v>
      </c>
      <c r="P54" s="100">
        <v>0.1</v>
      </c>
      <c r="Q54" s="100">
        <v>10</v>
      </c>
      <c r="R54" s="6"/>
      <c r="S54" s="6"/>
      <c r="T54" s="156"/>
      <c r="U54" s="6"/>
    </row>
    <row r="55" spans="1:21" customFormat="1">
      <c r="A55" s="163" t="s">
        <v>1822</v>
      </c>
      <c r="B55" s="100">
        <v>1.24</v>
      </c>
      <c r="C55" s="100">
        <v>3.09</v>
      </c>
      <c r="D55" s="100">
        <v>2.02</v>
      </c>
      <c r="E55" s="100">
        <v>4.8</v>
      </c>
      <c r="F55" s="100">
        <v>3.22</v>
      </c>
      <c r="G55" s="100">
        <v>18.809999999999999</v>
      </c>
      <c r="H55" s="100">
        <v>10.88</v>
      </c>
      <c r="I55" s="100">
        <v>3.78</v>
      </c>
      <c r="J55" s="100">
        <v>0.54</v>
      </c>
      <c r="K55" s="100">
        <v>246.23</v>
      </c>
      <c r="L55" s="100">
        <v>32.19</v>
      </c>
      <c r="M55" s="100">
        <v>66.72</v>
      </c>
      <c r="N55" s="100">
        <v>239.2</v>
      </c>
      <c r="O55" s="100">
        <v>0</v>
      </c>
      <c r="P55" s="100">
        <v>0.1</v>
      </c>
      <c r="Q55" s="100">
        <v>10</v>
      </c>
      <c r="R55" s="6"/>
      <c r="S55" s="6"/>
      <c r="T55" s="156"/>
      <c r="U55" s="6"/>
    </row>
    <row r="56" spans="1:21" customFormat="1">
      <c r="A56" s="163" t="s">
        <v>1823</v>
      </c>
      <c r="B56" s="100">
        <v>1.24</v>
      </c>
      <c r="C56" s="100">
        <v>2.9</v>
      </c>
      <c r="D56" s="100">
        <v>1.67</v>
      </c>
      <c r="E56" s="100">
        <v>4.79</v>
      </c>
      <c r="F56" s="100">
        <v>3.22</v>
      </c>
      <c r="G56" s="100">
        <v>18.45</v>
      </c>
      <c r="H56" s="100">
        <v>10.15</v>
      </c>
      <c r="I56" s="100">
        <v>3.72</v>
      </c>
      <c r="J56" s="100">
        <v>0.35</v>
      </c>
      <c r="K56" s="100">
        <v>246.24</v>
      </c>
      <c r="L56" s="100">
        <v>32.700000000000003</v>
      </c>
      <c r="M56" s="100">
        <v>65.47</v>
      </c>
      <c r="N56" s="100">
        <v>421.4</v>
      </c>
      <c r="O56" s="100">
        <v>0</v>
      </c>
      <c r="P56" s="100">
        <v>0.1</v>
      </c>
      <c r="Q56" s="100">
        <v>10</v>
      </c>
      <c r="R56" s="6"/>
      <c r="S56" s="6"/>
      <c r="T56" s="156"/>
      <c r="U56" s="6"/>
    </row>
    <row r="57" spans="1:21" customFormat="1">
      <c r="A57" s="163" t="s">
        <v>1824</v>
      </c>
      <c r="B57" s="100">
        <v>1.24</v>
      </c>
      <c r="C57" s="100">
        <v>3.33</v>
      </c>
      <c r="D57" s="100">
        <v>2.48</v>
      </c>
      <c r="E57" s="100">
        <v>4.93</v>
      </c>
      <c r="F57" s="100">
        <v>3.37</v>
      </c>
      <c r="G57" s="100">
        <v>16.82</v>
      </c>
      <c r="H57" s="100">
        <v>7.84</v>
      </c>
      <c r="I57" s="100">
        <v>3.57</v>
      </c>
      <c r="J57" s="100">
        <v>0.4</v>
      </c>
      <c r="K57" s="100">
        <v>240.7</v>
      </c>
      <c r="L57" s="100">
        <v>32.64</v>
      </c>
      <c r="M57" s="100">
        <v>65.569999999999993</v>
      </c>
      <c r="N57" s="100">
        <v>516.1</v>
      </c>
      <c r="O57" s="100">
        <v>0</v>
      </c>
      <c r="P57" s="100">
        <v>0.1</v>
      </c>
      <c r="Q57" s="100">
        <v>10</v>
      </c>
      <c r="R57" s="6"/>
      <c r="S57" s="6"/>
      <c r="T57" s="156"/>
      <c r="U57" s="6"/>
    </row>
    <row r="58" spans="1:21" customFormat="1">
      <c r="A58" s="163" t="s">
        <v>1825</v>
      </c>
      <c r="B58" s="100">
        <v>1.24</v>
      </c>
      <c r="C58" s="100">
        <v>3.19</v>
      </c>
      <c r="D58" s="100">
        <v>2.21</v>
      </c>
      <c r="E58" s="100">
        <v>4.9000000000000004</v>
      </c>
      <c r="F58" s="100">
        <v>3.4</v>
      </c>
      <c r="G58" s="100">
        <v>16.82</v>
      </c>
      <c r="H58" s="100">
        <v>7.84</v>
      </c>
      <c r="I58" s="100">
        <v>3.52</v>
      </c>
      <c r="J58" s="100">
        <v>0.34</v>
      </c>
      <c r="K58" s="100">
        <v>247.88</v>
      </c>
      <c r="L58" s="100">
        <v>32.61</v>
      </c>
      <c r="M58" s="100">
        <v>65.94</v>
      </c>
      <c r="N58" s="100">
        <v>463.3</v>
      </c>
      <c r="O58" s="100">
        <v>0</v>
      </c>
      <c r="P58" s="100">
        <v>0.09</v>
      </c>
      <c r="Q58" s="100">
        <v>10</v>
      </c>
      <c r="R58" s="6"/>
      <c r="S58" s="6"/>
      <c r="T58" s="156"/>
      <c r="U58" s="6"/>
    </row>
    <row r="59" spans="1:21" customFormat="1">
      <c r="A59" s="163" t="s">
        <v>1826</v>
      </c>
      <c r="B59" s="100">
        <v>1.24</v>
      </c>
      <c r="C59" s="100">
        <v>3.3</v>
      </c>
      <c r="D59" s="100">
        <v>2.4300000000000002</v>
      </c>
      <c r="E59" s="100">
        <v>4.9400000000000004</v>
      </c>
      <c r="F59" s="100">
        <v>1.54</v>
      </c>
      <c r="G59" s="100">
        <v>16.82</v>
      </c>
      <c r="H59" s="100">
        <v>7.84</v>
      </c>
      <c r="I59" s="100">
        <v>3.5</v>
      </c>
      <c r="J59" s="100">
        <v>0.28999999999999998</v>
      </c>
      <c r="K59" s="100">
        <v>242.97</v>
      </c>
      <c r="L59" s="100">
        <v>32.57</v>
      </c>
      <c r="M59" s="100">
        <v>65.75</v>
      </c>
      <c r="N59" s="100">
        <v>260.89999999999998</v>
      </c>
      <c r="O59" s="100">
        <v>0</v>
      </c>
      <c r="P59" s="100">
        <v>0.09</v>
      </c>
      <c r="Q59" s="100">
        <v>10</v>
      </c>
      <c r="R59" s="6"/>
      <c r="S59" s="6"/>
      <c r="T59" s="156"/>
      <c r="U59" s="6"/>
    </row>
    <row r="60" spans="1:21" customFormat="1">
      <c r="A60" s="163" t="s">
        <v>1827</v>
      </c>
      <c r="B60" s="100">
        <v>1.24</v>
      </c>
      <c r="C60" s="100">
        <v>2.4</v>
      </c>
      <c r="D60" s="100">
        <v>0.72</v>
      </c>
      <c r="E60" s="100">
        <v>4.96</v>
      </c>
      <c r="F60" s="100">
        <v>3.92</v>
      </c>
      <c r="G60" s="100">
        <v>17.52</v>
      </c>
      <c r="H60" s="100">
        <v>7.55</v>
      </c>
      <c r="I60" s="100">
        <v>3.47</v>
      </c>
      <c r="J60" s="100">
        <v>0.27</v>
      </c>
      <c r="K60" s="100">
        <v>352.87</v>
      </c>
      <c r="L60" s="100">
        <v>32.06</v>
      </c>
      <c r="M60" s="100">
        <v>68.28</v>
      </c>
      <c r="N60" s="100">
        <v>448.3</v>
      </c>
      <c r="O60" s="100">
        <v>0</v>
      </c>
      <c r="P60" s="100">
        <v>0.11</v>
      </c>
      <c r="Q60" s="100">
        <v>10</v>
      </c>
      <c r="R60" s="6"/>
      <c r="S60" s="6"/>
      <c r="T60" s="156"/>
      <c r="U60" s="6"/>
    </row>
    <row r="61" spans="1:21" customFormat="1">
      <c r="A61" s="163" t="s">
        <v>1828</v>
      </c>
      <c r="B61" s="100">
        <v>1.24</v>
      </c>
      <c r="C61" s="100">
        <v>2.46</v>
      </c>
      <c r="D61" s="100">
        <v>0.82</v>
      </c>
      <c r="E61" s="100">
        <v>5.41</v>
      </c>
      <c r="F61" s="100">
        <v>3.76</v>
      </c>
      <c r="G61" s="100">
        <v>20.74</v>
      </c>
      <c r="H61" s="100">
        <v>6.64</v>
      </c>
      <c r="I61" s="100">
        <v>3.54</v>
      </c>
      <c r="J61" s="100">
        <v>0.64</v>
      </c>
      <c r="K61" s="100">
        <v>313.88</v>
      </c>
      <c r="L61" s="100">
        <v>32.340000000000003</v>
      </c>
      <c r="M61" s="100">
        <v>64.97</v>
      </c>
      <c r="N61" s="100">
        <v>300.8</v>
      </c>
      <c r="O61" s="100">
        <v>0</v>
      </c>
      <c r="P61" s="100">
        <v>0.12</v>
      </c>
      <c r="Q61" s="100">
        <v>10</v>
      </c>
      <c r="R61" s="6"/>
      <c r="S61" s="6"/>
      <c r="T61" s="156"/>
      <c r="U61" s="6"/>
    </row>
    <row r="62" spans="1:21" customFormat="1">
      <c r="A62" s="163" t="s">
        <v>1829</v>
      </c>
      <c r="B62" s="100">
        <v>1.24</v>
      </c>
      <c r="C62" s="100">
        <v>2.5499999999999998</v>
      </c>
      <c r="D62" s="100">
        <v>1</v>
      </c>
      <c r="E62" s="100">
        <v>5.34</v>
      </c>
      <c r="F62" s="100">
        <v>1.67</v>
      </c>
      <c r="G62" s="100">
        <v>20.74</v>
      </c>
      <c r="H62" s="100">
        <v>6.64</v>
      </c>
      <c r="I62" s="100">
        <v>3.69</v>
      </c>
      <c r="J62" s="100">
        <v>0.53</v>
      </c>
      <c r="K62" s="100">
        <v>285.95999999999998</v>
      </c>
      <c r="L62" s="100">
        <v>33.25</v>
      </c>
      <c r="M62" s="100">
        <v>62.87</v>
      </c>
      <c r="N62" s="100">
        <v>642.70000000000005</v>
      </c>
      <c r="O62" s="100">
        <v>0</v>
      </c>
      <c r="P62" s="100">
        <v>0.12</v>
      </c>
      <c r="Q62" s="100">
        <v>10</v>
      </c>
      <c r="R62" s="6"/>
      <c r="S62" s="6"/>
      <c r="T62" s="156"/>
      <c r="U62" s="6"/>
    </row>
    <row r="63" spans="1:21" customFormat="1">
      <c r="A63" s="163" t="s">
        <v>1830</v>
      </c>
      <c r="B63" s="100">
        <v>1.24</v>
      </c>
      <c r="C63" s="100">
        <v>2.42</v>
      </c>
      <c r="D63" s="100">
        <v>0.75</v>
      </c>
      <c r="E63" s="100">
        <v>5.07</v>
      </c>
      <c r="F63" s="100">
        <v>2.4700000000000002</v>
      </c>
      <c r="G63" s="100">
        <v>20.74</v>
      </c>
      <c r="H63" s="100">
        <v>6.64</v>
      </c>
      <c r="I63" s="100">
        <v>3.88</v>
      </c>
      <c r="J63" s="100">
        <v>0.18</v>
      </c>
      <c r="K63" s="100">
        <v>246.57</v>
      </c>
      <c r="L63" s="100">
        <v>33.880000000000003</v>
      </c>
      <c r="M63" s="100">
        <v>60.22</v>
      </c>
      <c r="N63" s="100">
        <v>649.29999999999995</v>
      </c>
      <c r="O63" s="100">
        <v>0</v>
      </c>
      <c r="P63" s="100">
        <v>0.12</v>
      </c>
      <c r="Q63" s="100">
        <v>10</v>
      </c>
      <c r="R63" s="6"/>
      <c r="S63" s="6"/>
      <c r="T63" s="156"/>
      <c r="U63" s="6"/>
    </row>
    <row r="64" spans="1:21" customFormat="1">
      <c r="A64" s="163" t="s">
        <v>1831</v>
      </c>
      <c r="B64" s="100">
        <v>1.24</v>
      </c>
      <c r="C64" s="100">
        <v>3.04</v>
      </c>
      <c r="D64" s="100">
        <v>1.94</v>
      </c>
      <c r="E64" s="100">
        <v>5.12</v>
      </c>
      <c r="F64" s="100">
        <v>2.77</v>
      </c>
      <c r="G64" s="100">
        <v>21.28</v>
      </c>
      <c r="H64" s="100">
        <v>7.02</v>
      </c>
      <c r="I64" s="100">
        <v>3.83</v>
      </c>
      <c r="J64" s="100">
        <v>0.46</v>
      </c>
      <c r="K64" s="100">
        <v>259.51</v>
      </c>
      <c r="L64" s="100">
        <v>34.01</v>
      </c>
      <c r="M64" s="100">
        <v>57.79</v>
      </c>
      <c r="N64" s="100">
        <v>510</v>
      </c>
      <c r="O64" s="100">
        <v>0</v>
      </c>
      <c r="P64" s="100">
        <v>0.12</v>
      </c>
      <c r="Q64" s="100">
        <v>10</v>
      </c>
      <c r="R64" s="6"/>
      <c r="S64" s="6"/>
      <c r="T64" s="156"/>
      <c r="U64" s="6"/>
    </row>
    <row r="65" spans="1:21" customFormat="1">
      <c r="A65" s="163" t="s">
        <v>1832</v>
      </c>
      <c r="B65" s="100">
        <v>1.24</v>
      </c>
      <c r="C65" s="100">
        <v>2.36</v>
      </c>
      <c r="D65" s="100">
        <v>0.63</v>
      </c>
      <c r="E65" s="100">
        <v>5.03</v>
      </c>
      <c r="F65" s="100">
        <v>1.55</v>
      </c>
      <c r="G65" s="100">
        <v>23.78</v>
      </c>
      <c r="H65" s="100">
        <v>8.23</v>
      </c>
      <c r="I65" s="100">
        <v>3.79</v>
      </c>
      <c r="J65" s="100">
        <v>0.31</v>
      </c>
      <c r="K65" s="100">
        <v>258.01</v>
      </c>
      <c r="L65" s="100">
        <v>33.83</v>
      </c>
      <c r="M65" s="100">
        <v>58.4</v>
      </c>
      <c r="N65" s="100">
        <v>351.2</v>
      </c>
      <c r="O65" s="100">
        <v>0</v>
      </c>
      <c r="P65" s="100">
        <v>0.13</v>
      </c>
      <c r="Q65" s="100">
        <v>10</v>
      </c>
      <c r="R65" s="6"/>
      <c r="S65" s="6"/>
      <c r="T65" s="156"/>
      <c r="U65" s="6"/>
    </row>
    <row r="66" spans="1:21" customFormat="1">
      <c r="A66" s="163" t="s">
        <v>1833</v>
      </c>
      <c r="B66" s="100">
        <v>1.24</v>
      </c>
      <c r="C66" s="100">
        <v>3</v>
      </c>
      <c r="D66" s="100">
        <v>1.86</v>
      </c>
      <c r="E66" s="100">
        <v>5.25</v>
      </c>
      <c r="F66" s="100">
        <v>3.26</v>
      </c>
      <c r="G66" s="100">
        <v>23.78</v>
      </c>
      <c r="H66" s="100">
        <v>8.23</v>
      </c>
      <c r="I66" s="100">
        <v>3.71</v>
      </c>
      <c r="J66" s="100">
        <v>0.44</v>
      </c>
      <c r="K66" s="100">
        <v>273.10000000000002</v>
      </c>
      <c r="L66" s="100">
        <v>33.869999999999997</v>
      </c>
      <c r="M66" s="100">
        <v>57.91</v>
      </c>
      <c r="N66" s="100">
        <v>273.8</v>
      </c>
      <c r="O66" s="100">
        <v>0</v>
      </c>
      <c r="P66" s="100">
        <v>0.14000000000000001</v>
      </c>
      <c r="Q66" s="100">
        <v>10</v>
      </c>
      <c r="R66" s="6"/>
      <c r="S66" s="6"/>
      <c r="T66" s="156"/>
      <c r="U66" s="6"/>
    </row>
    <row r="67" spans="1:21" customFormat="1">
      <c r="A67" s="163" t="s">
        <v>1834</v>
      </c>
      <c r="B67" s="100">
        <v>1.24</v>
      </c>
      <c r="C67" s="100">
        <v>2.61</v>
      </c>
      <c r="D67" s="100">
        <v>1.1100000000000001</v>
      </c>
      <c r="E67" s="100">
        <v>5.28</v>
      </c>
      <c r="F67" s="100">
        <v>1.25</v>
      </c>
      <c r="G67" s="100">
        <v>23.78</v>
      </c>
      <c r="H67" s="100">
        <v>8.23</v>
      </c>
      <c r="I67" s="100">
        <v>3.71</v>
      </c>
      <c r="J67" s="100">
        <v>0.46</v>
      </c>
      <c r="K67" s="100">
        <v>258.52</v>
      </c>
      <c r="L67" s="100">
        <v>33.25</v>
      </c>
      <c r="M67" s="100">
        <v>58.92</v>
      </c>
      <c r="N67" s="100">
        <v>196.7</v>
      </c>
      <c r="O67" s="100">
        <v>0</v>
      </c>
      <c r="P67" s="100">
        <v>0.14000000000000001</v>
      </c>
      <c r="Q67" s="100">
        <v>10</v>
      </c>
      <c r="R67" s="6"/>
      <c r="S67" s="6"/>
      <c r="T67" s="156"/>
      <c r="U67" s="6"/>
    </row>
    <row r="68" spans="1:21" customFormat="1">
      <c r="A68" s="163" t="s">
        <v>1835</v>
      </c>
      <c r="B68" s="100">
        <v>1.24</v>
      </c>
      <c r="C68" s="100">
        <v>2.58</v>
      </c>
      <c r="D68" s="100">
        <v>1.05</v>
      </c>
      <c r="E68" s="100">
        <v>4.9400000000000004</v>
      </c>
      <c r="F68" s="100">
        <v>3.56</v>
      </c>
      <c r="G68" s="100">
        <v>24.28</v>
      </c>
      <c r="H68" s="100">
        <v>8.49</v>
      </c>
      <c r="I68" s="100">
        <v>3.63</v>
      </c>
      <c r="J68" s="100">
        <v>0.23</v>
      </c>
      <c r="K68" s="100">
        <v>231.22</v>
      </c>
      <c r="L68" s="100">
        <v>33.299999999999997</v>
      </c>
      <c r="M68" s="100">
        <v>62.08</v>
      </c>
      <c r="N68" s="100">
        <v>244.8</v>
      </c>
      <c r="O68" s="100">
        <v>0</v>
      </c>
      <c r="P68" s="100">
        <v>0.14000000000000001</v>
      </c>
      <c r="Q68" s="100">
        <v>10</v>
      </c>
      <c r="R68" s="6"/>
      <c r="S68" s="6"/>
      <c r="T68" s="156"/>
      <c r="U68" s="6"/>
    </row>
    <row r="69" spans="1:21" customFormat="1">
      <c r="A69" s="163" t="s">
        <v>1836</v>
      </c>
      <c r="B69" s="100">
        <v>1.24</v>
      </c>
      <c r="C69" s="100">
        <v>2.91</v>
      </c>
      <c r="D69" s="100">
        <v>1.68</v>
      </c>
      <c r="E69" s="100">
        <v>5.03</v>
      </c>
      <c r="F69" s="100">
        <v>4.04</v>
      </c>
      <c r="G69" s="100">
        <v>26.57</v>
      </c>
      <c r="H69" s="100">
        <v>9.98</v>
      </c>
      <c r="I69" s="100">
        <v>3.62</v>
      </c>
      <c r="J69" s="100">
        <v>0.57999999999999996</v>
      </c>
      <c r="K69" s="100">
        <v>269.35000000000002</v>
      </c>
      <c r="L69" s="100">
        <v>33.72</v>
      </c>
      <c r="M69" s="100">
        <v>59.22</v>
      </c>
      <c r="N69" s="100">
        <v>390.7</v>
      </c>
      <c r="O69" s="100">
        <v>0</v>
      </c>
      <c r="P69" s="100">
        <v>0.13</v>
      </c>
      <c r="Q69" s="100">
        <v>10</v>
      </c>
      <c r="R69" s="6"/>
      <c r="S69" s="6"/>
      <c r="T69" s="156"/>
      <c r="U69" s="6"/>
    </row>
    <row r="70" spans="1:21" customFormat="1">
      <c r="A70" s="163" t="s">
        <v>1837</v>
      </c>
      <c r="B70" s="100">
        <v>1.24</v>
      </c>
      <c r="C70" s="100">
        <v>2.88</v>
      </c>
      <c r="D70" s="100">
        <v>1.63</v>
      </c>
      <c r="E70" s="100">
        <v>4.99</v>
      </c>
      <c r="F70" s="100">
        <v>4.17</v>
      </c>
      <c r="G70" s="100">
        <v>26.57</v>
      </c>
      <c r="H70" s="100">
        <v>9.98</v>
      </c>
      <c r="I70" s="100">
        <v>3.51</v>
      </c>
      <c r="J70" s="100">
        <v>0.42</v>
      </c>
      <c r="K70" s="100">
        <v>236.89</v>
      </c>
      <c r="L70" s="100">
        <v>33.21</v>
      </c>
      <c r="M70" s="100">
        <v>62.21</v>
      </c>
      <c r="N70" s="100">
        <v>236.1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163" t="s">
        <v>1838</v>
      </c>
      <c r="B71" s="100">
        <v>1.24</v>
      </c>
      <c r="C71" s="100">
        <v>2.52</v>
      </c>
      <c r="D71" s="100">
        <v>0.94</v>
      </c>
      <c r="E71" s="100">
        <v>4.84</v>
      </c>
      <c r="F71" s="100">
        <v>3.68</v>
      </c>
      <c r="G71" s="100">
        <v>26.57</v>
      </c>
      <c r="H71" s="100">
        <v>9.98</v>
      </c>
      <c r="I71" s="100">
        <v>3.44</v>
      </c>
      <c r="J71" s="100">
        <v>0.37</v>
      </c>
      <c r="K71" s="100">
        <v>235.49</v>
      </c>
      <c r="L71" s="100">
        <v>32.89</v>
      </c>
      <c r="M71" s="100">
        <v>63.49</v>
      </c>
      <c r="N71" s="100">
        <v>187.3</v>
      </c>
      <c r="O71" s="100">
        <v>0</v>
      </c>
      <c r="P71" s="100">
        <v>0.13</v>
      </c>
      <c r="Q71" s="100">
        <v>10</v>
      </c>
      <c r="R71" s="6"/>
      <c r="S71" s="6"/>
      <c r="T71" s="156"/>
      <c r="U71" s="6"/>
    </row>
    <row r="72" spans="1:21" customFormat="1">
      <c r="A72" s="163" t="s">
        <v>1839</v>
      </c>
      <c r="B72" s="100">
        <v>1.24</v>
      </c>
      <c r="C72" s="100">
        <v>2.4</v>
      </c>
      <c r="D72" s="100">
        <v>0.71</v>
      </c>
      <c r="E72" s="100">
        <v>5.04</v>
      </c>
      <c r="F72" s="100">
        <v>9.1999999999999993</v>
      </c>
      <c r="G72" s="100">
        <v>26.38</v>
      </c>
      <c r="H72" s="100">
        <v>9.4600000000000009</v>
      </c>
      <c r="I72" s="100">
        <v>3.45</v>
      </c>
      <c r="J72" s="100">
        <v>0.42</v>
      </c>
      <c r="K72" s="100">
        <v>251.5</v>
      </c>
      <c r="L72" s="100">
        <v>32.61</v>
      </c>
      <c r="M72" s="100">
        <v>63.74</v>
      </c>
      <c r="N72" s="100">
        <v>176.8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163" t="s">
        <v>1840</v>
      </c>
      <c r="B73" s="100">
        <v>1.24</v>
      </c>
      <c r="C73" s="100">
        <v>2.4500000000000002</v>
      </c>
      <c r="D73" s="100">
        <v>0.8</v>
      </c>
      <c r="E73" s="100">
        <v>5.03</v>
      </c>
      <c r="F73" s="100">
        <v>9.3699999999999992</v>
      </c>
      <c r="G73" s="100">
        <v>25.56</v>
      </c>
      <c r="H73" s="100">
        <v>7.8</v>
      </c>
      <c r="I73" s="100">
        <v>3.33</v>
      </c>
      <c r="J73" s="100">
        <v>0.27</v>
      </c>
      <c r="K73" s="100">
        <v>246.59</v>
      </c>
      <c r="L73" s="100">
        <v>32.450000000000003</v>
      </c>
      <c r="M73" s="100">
        <v>64.98</v>
      </c>
      <c r="N73" s="100">
        <v>133.69999999999999</v>
      </c>
      <c r="O73" s="100">
        <v>0</v>
      </c>
      <c r="P73" s="100">
        <v>0.11</v>
      </c>
      <c r="Q73" s="100">
        <v>10</v>
      </c>
      <c r="R73" s="6"/>
      <c r="S73" s="6"/>
      <c r="T73" s="156"/>
      <c r="U73" s="6"/>
    </row>
    <row r="74" spans="1:21" customFormat="1">
      <c r="A74" s="163" t="s">
        <v>1841</v>
      </c>
      <c r="B74" s="100">
        <v>1.24</v>
      </c>
      <c r="C74" s="100">
        <v>2.85</v>
      </c>
      <c r="D74" s="100">
        <v>1.56</v>
      </c>
      <c r="E74" s="100">
        <v>4.96</v>
      </c>
      <c r="F74" s="100">
        <v>10.59</v>
      </c>
      <c r="G74" s="100">
        <v>25.56</v>
      </c>
      <c r="H74" s="100">
        <v>7.8</v>
      </c>
      <c r="I74" s="100">
        <v>3.22</v>
      </c>
      <c r="J74" s="100">
        <v>0.42</v>
      </c>
      <c r="K74" s="100">
        <v>251.34</v>
      </c>
      <c r="L74" s="100">
        <v>32.03</v>
      </c>
      <c r="M74" s="100">
        <v>65.31</v>
      </c>
      <c r="N74" s="100">
        <v>74.8</v>
      </c>
      <c r="O74" s="100">
        <v>0</v>
      </c>
      <c r="P74" s="100">
        <v>0.1</v>
      </c>
      <c r="Q74" s="100">
        <v>10</v>
      </c>
      <c r="R74" s="6"/>
      <c r="S74" s="6"/>
      <c r="T74" s="156"/>
      <c r="U74" s="6"/>
    </row>
    <row r="75" spans="1:21" customFormat="1">
      <c r="A75" s="163" t="s">
        <v>1842</v>
      </c>
      <c r="B75" s="100">
        <v>1.24</v>
      </c>
      <c r="C75" s="100">
        <v>3.06</v>
      </c>
      <c r="D75" s="100">
        <v>1.96</v>
      </c>
      <c r="E75" s="100">
        <v>5.0599999999999996</v>
      </c>
      <c r="F75" s="100">
        <v>7.72</v>
      </c>
      <c r="G75" s="100">
        <v>25.56</v>
      </c>
      <c r="H75" s="100">
        <v>7.8</v>
      </c>
      <c r="I75" s="100">
        <v>3.14</v>
      </c>
      <c r="J75" s="100">
        <v>0.61</v>
      </c>
      <c r="K75" s="100">
        <v>252.86</v>
      </c>
      <c r="L75" s="100">
        <v>31.15</v>
      </c>
      <c r="M75" s="100">
        <v>67.540000000000006</v>
      </c>
      <c r="N75" s="100">
        <v>46.8</v>
      </c>
      <c r="O75" s="100">
        <v>0</v>
      </c>
      <c r="P75" s="100">
        <v>0.09</v>
      </c>
      <c r="Q75" s="100">
        <v>10</v>
      </c>
      <c r="R75" s="6"/>
      <c r="S75" s="6"/>
      <c r="T75" s="156"/>
      <c r="U75" s="6"/>
    </row>
    <row r="76" spans="1:21" customFormat="1">
      <c r="A76" s="163" t="s">
        <v>1843</v>
      </c>
      <c r="B76" s="100">
        <v>1.24</v>
      </c>
      <c r="C76" s="100">
        <v>2.94</v>
      </c>
      <c r="D76" s="100">
        <v>1.74</v>
      </c>
      <c r="E76" s="100">
        <v>4.6399999999999997</v>
      </c>
      <c r="F76" s="100">
        <v>10.18</v>
      </c>
      <c r="G76" s="100">
        <v>25.27</v>
      </c>
      <c r="H76" s="100">
        <v>8.2200000000000006</v>
      </c>
      <c r="I76" s="100">
        <v>3.11</v>
      </c>
      <c r="J76" s="100">
        <v>0.25</v>
      </c>
      <c r="K76" s="100">
        <v>227.71</v>
      </c>
      <c r="L76" s="100">
        <v>30.17</v>
      </c>
      <c r="M76" s="100">
        <v>73.2</v>
      </c>
      <c r="N76" s="100">
        <v>23.4</v>
      </c>
      <c r="O76" s="100">
        <v>0</v>
      </c>
      <c r="P76" s="100">
        <v>0.09</v>
      </c>
      <c r="Q76" s="100">
        <v>10</v>
      </c>
      <c r="R76" s="6"/>
      <c r="S76" s="6"/>
      <c r="T76" s="156"/>
      <c r="U76" s="6"/>
    </row>
    <row r="77" spans="1:21" customFormat="1">
      <c r="A77" s="163" t="s">
        <v>1844</v>
      </c>
      <c r="B77" s="100">
        <v>1.24</v>
      </c>
      <c r="C77" s="100">
        <v>3.03</v>
      </c>
      <c r="D77" s="100">
        <v>1.92</v>
      </c>
      <c r="E77" s="100">
        <v>4.43</v>
      </c>
      <c r="F77" s="100">
        <v>9.1999999999999993</v>
      </c>
      <c r="G77" s="100">
        <v>23.92</v>
      </c>
      <c r="H77" s="100">
        <v>9.57</v>
      </c>
      <c r="I77" s="100">
        <v>3.16</v>
      </c>
      <c r="J77" s="100">
        <v>0.41</v>
      </c>
      <c r="K77" s="100">
        <v>254.35</v>
      </c>
      <c r="L77" s="100">
        <v>29.34</v>
      </c>
      <c r="M77" s="100">
        <v>77.599999999999994</v>
      </c>
      <c r="N77" s="100">
        <v>12.9</v>
      </c>
      <c r="O77" s="100">
        <v>0</v>
      </c>
      <c r="P77" s="100">
        <v>0.09</v>
      </c>
      <c r="Q77" s="100">
        <v>10</v>
      </c>
      <c r="R77" s="6"/>
      <c r="S77" s="6"/>
      <c r="T77" s="156"/>
      <c r="U77" s="6"/>
    </row>
    <row r="78" spans="1:21" customFormat="1">
      <c r="A78" s="163" t="s">
        <v>1845</v>
      </c>
      <c r="B78" s="100">
        <v>1.24</v>
      </c>
      <c r="C78" s="100">
        <v>2.3199999999999998</v>
      </c>
      <c r="D78" s="100">
        <v>0.56000000000000005</v>
      </c>
      <c r="E78" s="100">
        <v>3.81</v>
      </c>
      <c r="F78" s="100">
        <v>11.19</v>
      </c>
      <c r="G78" s="100">
        <v>23.92</v>
      </c>
      <c r="H78" s="100">
        <v>9.57</v>
      </c>
      <c r="I78" s="100">
        <v>3.07</v>
      </c>
      <c r="J78" s="100">
        <v>0.1</v>
      </c>
      <c r="K78" s="100">
        <v>154.65</v>
      </c>
      <c r="L78" s="100">
        <v>28.77</v>
      </c>
      <c r="M78" s="100">
        <v>82.93</v>
      </c>
      <c r="N78" s="100">
        <v>6.6</v>
      </c>
      <c r="O78" s="100">
        <v>0</v>
      </c>
      <c r="P78" s="100">
        <v>7.0000000000000007E-2</v>
      </c>
      <c r="Q78" s="100">
        <v>10</v>
      </c>
      <c r="R78" s="6"/>
      <c r="S78" s="6"/>
      <c r="T78" s="156"/>
      <c r="U78" s="6"/>
    </row>
    <row r="79" spans="1:21" customFormat="1">
      <c r="A79" s="163" t="s">
        <v>1846</v>
      </c>
      <c r="B79" s="100">
        <v>1.24</v>
      </c>
      <c r="C79" s="100">
        <v>2.9</v>
      </c>
      <c r="D79" s="100">
        <v>1.67</v>
      </c>
      <c r="E79" s="100">
        <v>4.04</v>
      </c>
      <c r="F79" s="100">
        <v>9.11</v>
      </c>
      <c r="G79" s="100">
        <v>23.92</v>
      </c>
      <c r="H79" s="100">
        <v>9.57</v>
      </c>
      <c r="I79" s="100">
        <v>3.02</v>
      </c>
      <c r="J79" s="100">
        <v>0.05</v>
      </c>
      <c r="K79" s="100">
        <v>80.89</v>
      </c>
      <c r="L79" s="100">
        <v>28.03</v>
      </c>
      <c r="M79" s="100">
        <v>87.77</v>
      </c>
      <c r="N79" s="100">
        <v>5.8</v>
      </c>
      <c r="O79" s="100">
        <v>0.4</v>
      </c>
      <c r="P79" s="100">
        <v>0.08</v>
      </c>
      <c r="Q79" s="100">
        <v>10</v>
      </c>
      <c r="R79" s="6"/>
      <c r="S79" s="6"/>
      <c r="T79" s="156"/>
      <c r="U79" s="6"/>
    </row>
    <row r="80" spans="1:21" customFormat="1">
      <c r="A80" s="163" t="s">
        <v>1847</v>
      </c>
      <c r="B80" s="100">
        <v>1.24</v>
      </c>
      <c r="C80" s="100">
        <v>2.37</v>
      </c>
      <c r="D80" s="100">
        <v>0.65</v>
      </c>
      <c r="E80" s="100">
        <v>3.93</v>
      </c>
      <c r="F80" s="100">
        <v>6.54</v>
      </c>
      <c r="G80" s="100">
        <v>23.99</v>
      </c>
      <c r="H80" s="100">
        <v>10.25</v>
      </c>
      <c r="I80" s="100">
        <v>2.99</v>
      </c>
      <c r="J80" s="100">
        <v>0.19</v>
      </c>
      <c r="K80" s="100">
        <v>140.29</v>
      </c>
      <c r="L80" s="100">
        <v>27.24</v>
      </c>
      <c r="M80" s="100">
        <v>92.34</v>
      </c>
      <c r="N80" s="100">
        <v>5</v>
      </c>
      <c r="O80" s="100">
        <v>0</v>
      </c>
      <c r="P80" s="100">
        <v>7.0000000000000007E-2</v>
      </c>
      <c r="Q80" s="100">
        <v>10</v>
      </c>
      <c r="R80" s="6"/>
      <c r="S80" s="6"/>
      <c r="T80" s="156"/>
      <c r="U80" s="6"/>
    </row>
    <row r="81" spans="1:21" customFormat="1">
      <c r="A81" s="163" t="s">
        <v>1848</v>
      </c>
      <c r="B81" s="100">
        <v>1.24</v>
      </c>
      <c r="C81" s="100">
        <v>2.4500000000000002</v>
      </c>
      <c r="D81" s="100">
        <v>0.8</v>
      </c>
      <c r="E81" s="100">
        <v>3.89</v>
      </c>
      <c r="F81" s="100">
        <v>3.28</v>
      </c>
      <c r="G81" s="100">
        <v>24.31</v>
      </c>
      <c r="H81" s="100">
        <v>12.43</v>
      </c>
      <c r="I81" s="100">
        <v>3.11</v>
      </c>
      <c r="J81" s="100">
        <v>0.24</v>
      </c>
      <c r="K81" s="100">
        <v>103.74</v>
      </c>
      <c r="L81" s="100">
        <v>26.68</v>
      </c>
      <c r="M81" s="100">
        <v>93.18</v>
      </c>
      <c r="N81" s="100">
        <v>3.5</v>
      </c>
      <c r="O81" s="100">
        <v>0</v>
      </c>
      <c r="P81" s="100">
        <v>0.1</v>
      </c>
      <c r="Q81" s="100">
        <v>10</v>
      </c>
      <c r="R81" s="6"/>
      <c r="S81" s="6"/>
      <c r="T81" s="156"/>
      <c r="U81" s="6"/>
    </row>
    <row r="82" spans="1:21" customFormat="1">
      <c r="A82" s="163" t="s">
        <v>1849</v>
      </c>
      <c r="B82" s="100">
        <v>1.24</v>
      </c>
      <c r="C82" s="100">
        <v>2.37</v>
      </c>
      <c r="D82" s="100">
        <v>0.65</v>
      </c>
      <c r="E82" s="100">
        <v>4.74</v>
      </c>
      <c r="F82" s="100">
        <v>4.9000000000000004</v>
      </c>
      <c r="G82" s="100">
        <v>24.31</v>
      </c>
      <c r="H82" s="100">
        <v>12.43</v>
      </c>
      <c r="I82" s="100">
        <v>3.13</v>
      </c>
      <c r="J82" s="100">
        <v>0.05</v>
      </c>
      <c r="K82" s="100">
        <v>235.68</v>
      </c>
      <c r="L82" s="100">
        <v>26.52</v>
      </c>
      <c r="M82" s="100">
        <v>94.49</v>
      </c>
      <c r="N82" s="100">
        <v>2.5</v>
      </c>
      <c r="O82" s="100">
        <v>0.2</v>
      </c>
      <c r="P82" s="100">
        <v>0.09</v>
      </c>
      <c r="Q82" s="100">
        <v>10</v>
      </c>
      <c r="R82" s="6"/>
      <c r="S82" s="6"/>
      <c r="T82" s="156"/>
      <c r="U82" s="6"/>
    </row>
    <row r="83" spans="1:21" customFormat="1">
      <c r="A83" s="163" t="s">
        <v>1850</v>
      </c>
      <c r="B83" s="100">
        <v>1.3</v>
      </c>
      <c r="C83" s="100">
        <v>3.32</v>
      </c>
      <c r="D83" s="100">
        <v>2.39</v>
      </c>
      <c r="E83" s="100">
        <v>4.53</v>
      </c>
      <c r="F83" s="100">
        <v>5.21</v>
      </c>
      <c r="G83" s="100">
        <v>24.31</v>
      </c>
      <c r="H83" s="100">
        <v>12.43</v>
      </c>
      <c r="I83" s="100">
        <v>3.27</v>
      </c>
      <c r="J83" s="100">
        <v>0.45</v>
      </c>
      <c r="K83" s="100">
        <v>14.52</v>
      </c>
      <c r="L83" s="100">
        <v>26.7</v>
      </c>
      <c r="M83" s="100">
        <v>93.11</v>
      </c>
      <c r="N83" s="100">
        <v>2.2999999999999998</v>
      </c>
      <c r="O83" s="100">
        <v>0</v>
      </c>
      <c r="P83" s="100">
        <v>0.11</v>
      </c>
      <c r="Q83" s="100">
        <v>10</v>
      </c>
      <c r="R83" s="6"/>
      <c r="S83" s="6"/>
      <c r="T83" s="156"/>
      <c r="U83" s="6"/>
    </row>
    <row r="84" spans="1:21" customFormat="1">
      <c r="A84" s="163" t="s">
        <v>1851</v>
      </c>
      <c r="B84" s="100">
        <v>1.24</v>
      </c>
      <c r="C84" s="100">
        <v>2.81</v>
      </c>
      <c r="D84" s="100">
        <v>1.5</v>
      </c>
      <c r="E84" s="100">
        <v>4.75</v>
      </c>
      <c r="F84" s="100">
        <v>4.6500000000000004</v>
      </c>
      <c r="G84" s="100">
        <v>24.26</v>
      </c>
      <c r="H84" s="100">
        <v>12.28</v>
      </c>
      <c r="I84" s="100">
        <v>3.25</v>
      </c>
      <c r="J84" s="100">
        <v>0.56999999999999995</v>
      </c>
      <c r="K84" s="100">
        <v>339.46</v>
      </c>
      <c r="L84" s="100">
        <v>26.87</v>
      </c>
      <c r="M84" s="100">
        <v>87.97</v>
      </c>
      <c r="N84" s="100">
        <v>3.4</v>
      </c>
      <c r="O84" s="100">
        <v>0</v>
      </c>
      <c r="P84" s="100">
        <v>0.12</v>
      </c>
      <c r="Q84" s="100">
        <v>10</v>
      </c>
      <c r="R84" s="6"/>
      <c r="S84" s="6"/>
      <c r="T84" s="156"/>
      <c r="U84" s="6"/>
    </row>
    <row r="85" spans="1:21" customFormat="1">
      <c r="A85" s="163" t="s">
        <v>1852</v>
      </c>
      <c r="B85" s="100">
        <v>1.27</v>
      </c>
      <c r="C85" s="100">
        <v>2.67</v>
      </c>
      <c r="D85" s="100">
        <v>1.18</v>
      </c>
      <c r="E85" s="100">
        <v>4.79</v>
      </c>
      <c r="F85" s="100">
        <v>4.2300000000000004</v>
      </c>
      <c r="G85" s="100">
        <v>24.03</v>
      </c>
      <c r="H85" s="100">
        <v>11.51</v>
      </c>
      <c r="I85" s="100">
        <v>3.42</v>
      </c>
      <c r="J85" s="100">
        <v>0.39</v>
      </c>
      <c r="K85" s="100">
        <v>332.96</v>
      </c>
      <c r="L85" s="100">
        <v>25.89</v>
      </c>
      <c r="M85" s="100">
        <v>89.33</v>
      </c>
      <c r="N85" s="100">
        <v>3.6</v>
      </c>
      <c r="O85" s="100">
        <v>0</v>
      </c>
      <c r="P85" s="100">
        <v>0.11</v>
      </c>
      <c r="Q85" s="100">
        <v>10</v>
      </c>
      <c r="R85" s="6"/>
      <c r="S85" s="6"/>
      <c r="T85" s="156"/>
      <c r="U85" s="6"/>
    </row>
    <row r="86" spans="1:21" customFormat="1">
      <c r="A86" s="163" t="s">
        <v>1853</v>
      </c>
      <c r="B86" s="100">
        <v>1.27</v>
      </c>
      <c r="C86" s="100">
        <v>3.26</v>
      </c>
      <c r="D86" s="100">
        <v>2.2999999999999998</v>
      </c>
      <c r="E86" s="100">
        <v>4.66</v>
      </c>
      <c r="F86" s="100">
        <v>4.59</v>
      </c>
      <c r="G86" s="100">
        <v>24.03</v>
      </c>
      <c r="H86" s="100">
        <v>11.51</v>
      </c>
      <c r="I86" s="100">
        <v>3.47</v>
      </c>
      <c r="J86" s="100">
        <v>0.43</v>
      </c>
      <c r="K86" s="100">
        <v>35.58</v>
      </c>
      <c r="L86" s="100">
        <v>25.41</v>
      </c>
      <c r="M86" s="100">
        <v>93.56</v>
      </c>
      <c r="N86" s="100">
        <v>2</v>
      </c>
      <c r="O86" s="100">
        <v>0</v>
      </c>
      <c r="P86" s="100">
        <v>0.1</v>
      </c>
      <c r="Q86" s="100">
        <v>10</v>
      </c>
      <c r="R86" s="6"/>
      <c r="S86" s="6"/>
      <c r="T86" s="156"/>
      <c r="U86" s="6"/>
    </row>
    <row r="87" spans="1:21" customFormat="1">
      <c r="A87" s="163" t="s">
        <v>1854</v>
      </c>
      <c r="B87" s="100">
        <v>1.3</v>
      </c>
      <c r="C87" s="100">
        <v>3.39</v>
      </c>
      <c r="D87" s="100">
        <v>2.5099999999999998</v>
      </c>
      <c r="E87" s="100">
        <v>4.7699999999999996</v>
      </c>
      <c r="F87" s="100">
        <v>3.09</v>
      </c>
      <c r="G87" s="100">
        <v>24.03</v>
      </c>
      <c r="H87" s="100">
        <v>11.51</v>
      </c>
      <c r="I87" s="100">
        <v>3.49</v>
      </c>
      <c r="J87" s="100">
        <v>0.31</v>
      </c>
      <c r="K87" s="100">
        <v>10.19</v>
      </c>
      <c r="L87" s="100">
        <v>25.53</v>
      </c>
      <c r="M87" s="100">
        <v>95.16</v>
      </c>
      <c r="N87" s="100">
        <v>1.8</v>
      </c>
      <c r="O87" s="100">
        <v>0</v>
      </c>
      <c r="P87" s="100">
        <v>0.12</v>
      </c>
      <c r="Q87" s="100">
        <v>10</v>
      </c>
      <c r="R87" s="6"/>
      <c r="S87" s="6"/>
      <c r="T87" s="156"/>
      <c r="U87" s="6"/>
    </row>
    <row r="88" spans="1:21" customFormat="1">
      <c r="A88" s="163" t="s">
        <v>1855</v>
      </c>
      <c r="B88" s="100">
        <v>1.45</v>
      </c>
      <c r="C88" s="100">
        <v>3.79</v>
      </c>
      <c r="D88" s="100">
        <v>3.06</v>
      </c>
      <c r="E88" s="100">
        <v>5.41</v>
      </c>
      <c r="F88" s="100">
        <v>2.4700000000000002</v>
      </c>
      <c r="G88" s="100">
        <v>24.56</v>
      </c>
      <c r="H88" s="100">
        <v>10.75</v>
      </c>
      <c r="I88" s="100">
        <v>3.56</v>
      </c>
      <c r="J88" s="100">
        <v>0.45</v>
      </c>
      <c r="K88" s="100">
        <v>309.64</v>
      </c>
      <c r="L88" s="100">
        <v>25.7</v>
      </c>
      <c r="M88" s="100">
        <v>95.47</v>
      </c>
      <c r="N88" s="100">
        <v>1.9</v>
      </c>
      <c r="O88" s="100">
        <v>0</v>
      </c>
      <c r="P88" s="100">
        <v>0.14000000000000001</v>
      </c>
      <c r="Q88" s="100">
        <v>10</v>
      </c>
      <c r="R88" s="6"/>
      <c r="S88" s="6"/>
      <c r="T88" s="156"/>
      <c r="U88" s="6"/>
    </row>
    <row r="89" spans="1:21" customFormat="1">
      <c r="A89" s="163" t="s">
        <v>1856</v>
      </c>
      <c r="B89" s="100">
        <v>1.71</v>
      </c>
      <c r="C89" s="100">
        <v>4.43</v>
      </c>
      <c r="D89" s="100">
        <v>3.86</v>
      </c>
      <c r="E89" s="100">
        <v>6.52</v>
      </c>
      <c r="F89" s="100">
        <v>2.79</v>
      </c>
      <c r="G89" s="100">
        <v>27.01</v>
      </c>
      <c r="H89" s="100">
        <v>8.35</v>
      </c>
      <c r="I89" s="100">
        <v>3.62</v>
      </c>
      <c r="J89" s="100">
        <v>0.18</v>
      </c>
      <c r="K89" s="100">
        <v>79.25</v>
      </c>
      <c r="L89" s="100">
        <v>25.97</v>
      </c>
      <c r="M89" s="100">
        <v>94.53</v>
      </c>
      <c r="N89" s="100">
        <v>1.8</v>
      </c>
      <c r="O89" s="100">
        <v>0</v>
      </c>
      <c r="P89" s="100">
        <v>0.14000000000000001</v>
      </c>
      <c r="Q89" s="100">
        <v>10</v>
      </c>
      <c r="R89" s="6"/>
      <c r="S89" s="6"/>
      <c r="T89" s="156"/>
      <c r="U89" s="6"/>
    </row>
    <row r="90" spans="1:21" customFormat="1">
      <c r="A90" s="163" t="s">
        <v>1857</v>
      </c>
      <c r="B90" s="100">
        <v>1.57</v>
      </c>
      <c r="C90" s="100">
        <v>3.99</v>
      </c>
      <c r="D90" s="100">
        <v>3.24</v>
      </c>
      <c r="E90" s="100">
        <v>5.49</v>
      </c>
      <c r="F90" s="100">
        <v>2.2799999999999998</v>
      </c>
      <c r="G90" s="100">
        <v>27.01</v>
      </c>
      <c r="H90" s="100">
        <v>8.35</v>
      </c>
      <c r="I90" s="100">
        <v>3.82</v>
      </c>
      <c r="J90" s="100">
        <v>0.63</v>
      </c>
      <c r="K90" s="100">
        <v>45.58</v>
      </c>
      <c r="L90" s="100">
        <v>25.94</v>
      </c>
      <c r="M90" s="100">
        <v>94.6</v>
      </c>
      <c r="N90" s="100">
        <v>2.1</v>
      </c>
      <c r="O90" s="100">
        <v>0</v>
      </c>
      <c r="P90" s="100">
        <v>0.13</v>
      </c>
      <c r="Q90" s="100">
        <v>10</v>
      </c>
      <c r="R90" s="6"/>
      <c r="S90" s="6"/>
      <c r="T90" s="156"/>
      <c r="U90" s="6"/>
    </row>
    <row r="91" spans="1:21" customFormat="1">
      <c r="A91" s="163" t="s">
        <v>1858</v>
      </c>
      <c r="B91" s="100">
        <v>1.51</v>
      </c>
      <c r="C91" s="100">
        <v>3.84</v>
      </c>
      <c r="D91" s="100">
        <v>3.05</v>
      </c>
      <c r="E91" s="100">
        <v>5.54</v>
      </c>
      <c r="F91" s="100">
        <v>1.35</v>
      </c>
      <c r="G91" s="100">
        <v>27.01</v>
      </c>
      <c r="H91" s="100">
        <v>8.35</v>
      </c>
      <c r="I91" s="100">
        <v>4.08</v>
      </c>
      <c r="J91" s="100">
        <v>0.43</v>
      </c>
      <c r="K91" s="100">
        <v>30.93</v>
      </c>
      <c r="L91" s="100">
        <v>25.98</v>
      </c>
      <c r="M91" s="100">
        <v>94.3</v>
      </c>
      <c r="N91" s="100">
        <v>2.1</v>
      </c>
      <c r="O91" s="100">
        <v>0</v>
      </c>
      <c r="P91" s="100">
        <v>0.18</v>
      </c>
      <c r="Q91" s="100">
        <v>10</v>
      </c>
      <c r="R91" s="6"/>
      <c r="S91" s="6"/>
      <c r="T91" s="156"/>
      <c r="U91" s="6"/>
    </row>
    <row r="92" spans="1:21" customFormat="1">
      <c r="A92" s="163" t="s">
        <v>1859</v>
      </c>
      <c r="B92" s="100">
        <v>1.55</v>
      </c>
      <c r="C92" s="100">
        <v>3.71</v>
      </c>
      <c r="D92" s="100">
        <v>2.74</v>
      </c>
      <c r="E92" s="100">
        <v>5.45</v>
      </c>
      <c r="F92" s="100">
        <v>1.97</v>
      </c>
      <c r="G92" s="100">
        <v>28.78</v>
      </c>
      <c r="H92" s="100">
        <v>10.08</v>
      </c>
      <c r="I92" s="100">
        <v>4.0599999999999996</v>
      </c>
      <c r="J92" s="100">
        <v>0.05</v>
      </c>
      <c r="K92" s="100">
        <v>230.87</v>
      </c>
      <c r="L92" s="100">
        <v>26.14</v>
      </c>
      <c r="M92" s="100">
        <v>94.35</v>
      </c>
      <c r="N92" s="100">
        <v>2</v>
      </c>
      <c r="O92" s="100">
        <v>0</v>
      </c>
      <c r="P92" s="100">
        <v>0.2</v>
      </c>
      <c r="Q92" s="100">
        <v>10</v>
      </c>
      <c r="R92" s="6"/>
      <c r="S92" s="6"/>
      <c r="T92" s="156"/>
      <c r="U92" s="6"/>
    </row>
    <row r="93" spans="1:21" customFormat="1">
      <c r="A93" s="163" t="s">
        <v>1860</v>
      </c>
      <c r="B93" s="100">
        <v>1.52</v>
      </c>
      <c r="C93" s="100">
        <v>3.48</v>
      </c>
      <c r="D93" s="100">
        <v>2.35</v>
      </c>
      <c r="E93" s="100">
        <v>5.45</v>
      </c>
      <c r="F93" s="100">
        <v>2.06</v>
      </c>
      <c r="G93" s="100">
        <v>36.39</v>
      </c>
      <c r="H93" s="100">
        <v>15.61</v>
      </c>
      <c r="I93" s="100">
        <v>4.17</v>
      </c>
      <c r="J93" s="100">
        <v>0.16</v>
      </c>
      <c r="K93" s="100">
        <v>195.44</v>
      </c>
      <c r="L93" s="100">
        <v>26.2</v>
      </c>
      <c r="M93" s="100">
        <v>93.55</v>
      </c>
      <c r="N93" s="100">
        <v>2.2000000000000002</v>
      </c>
      <c r="O93" s="100">
        <v>0</v>
      </c>
      <c r="P93" s="100">
        <v>0.21</v>
      </c>
      <c r="Q93" s="100">
        <v>10</v>
      </c>
      <c r="R93" s="6"/>
      <c r="S93" s="6"/>
      <c r="T93" s="156"/>
      <c r="U93" s="6"/>
    </row>
    <row r="94" spans="1:21" customFormat="1">
      <c r="A94" s="163" t="s">
        <v>1861</v>
      </c>
      <c r="B94" s="100">
        <v>1.53</v>
      </c>
      <c r="C94" s="100">
        <v>3.35</v>
      </c>
      <c r="D94" s="100">
        <v>2.08</v>
      </c>
      <c r="E94" s="100">
        <v>5.46</v>
      </c>
      <c r="F94" s="100">
        <v>2</v>
      </c>
      <c r="G94" s="100">
        <v>36.39</v>
      </c>
      <c r="H94" s="100">
        <v>15.61</v>
      </c>
      <c r="I94" s="100">
        <v>4.1100000000000003</v>
      </c>
      <c r="J94" s="100">
        <v>0.17</v>
      </c>
      <c r="K94" s="100">
        <v>198.5</v>
      </c>
      <c r="L94" s="100">
        <v>26.06</v>
      </c>
      <c r="M94" s="100">
        <v>93.09</v>
      </c>
      <c r="N94" s="100">
        <v>2.2999999999999998</v>
      </c>
      <c r="O94" s="100">
        <v>0</v>
      </c>
      <c r="P94" s="100">
        <v>0.23</v>
      </c>
      <c r="Q94" s="100">
        <v>10</v>
      </c>
      <c r="R94" s="6"/>
      <c r="S94" s="6"/>
      <c r="T94" s="156"/>
      <c r="U94" s="6"/>
    </row>
    <row r="95" spans="1:21" customFormat="1">
      <c r="A95" s="163" t="s">
        <v>1862</v>
      </c>
      <c r="B95" s="100">
        <v>1.62</v>
      </c>
      <c r="C95" s="100">
        <v>3.73</v>
      </c>
      <c r="D95" s="100">
        <v>2.67</v>
      </c>
      <c r="E95" s="100">
        <v>5.63</v>
      </c>
      <c r="F95" s="100">
        <v>1.42</v>
      </c>
      <c r="G95" s="100">
        <v>36.39</v>
      </c>
      <c r="H95" s="100">
        <v>15.61</v>
      </c>
      <c r="I95" s="100">
        <v>4.1500000000000004</v>
      </c>
      <c r="J95" s="100">
        <v>0.08</v>
      </c>
      <c r="K95" s="100">
        <v>182.25</v>
      </c>
      <c r="L95" s="100">
        <v>25.94</v>
      </c>
      <c r="M95" s="100">
        <v>92.73</v>
      </c>
      <c r="N95" s="100">
        <v>2.2000000000000002</v>
      </c>
      <c r="O95" s="100">
        <v>0</v>
      </c>
      <c r="P95" s="100">
        <v>0.24</v>
      </c>
      <c r="Q95" s="100">
        <v>10</v>
      </c>
      <c r="R95" s="6"/>
      <c r="S95" s="6"/>
      <c r="T95" s="156"/>
      <c r="U95" s="6"/>
    </row>
    <row r="96" spans="1:21" customFormat="1">
      <c r="A96" s="163" t="s">
        <v>1863</v>
      </c>
      <c r="B96" s="100">
        <v>1.37</v>
      </c>
      <c r="C96" s="100">
        <v>3.1</v>
      </c>
      <c r="D96" s="100">
        <v>1.86</v>
      </c>
      <c r="E96" s="100">
        <v>5.73</v>
      </c>
      <c r="F96" s="100">
        <v>1.27</v>
      </c>
      <c r="G96" s="100">
        <v>36.71</v>
      </c>
      <c r="H96" s="100">
        <v>15.98</v>
      </c>
      <c r="I96" s="100">
        <v>4.28</v>
      </c>
      <c r="J96" s="100">
        <v>0.15</v>
      </c>
      <c r="K96" s="100">
        <v>162.46</v>
      </c>
      <c r="L96" s="100">
        <v>26.04</v>
      </c>
      <c r="M96" s="100">
        <v>94.81</v>
      </c>
      <c r="N96" s="100">
        <v>2</v>
      </c>
      <c r="O96" s="100">
        <v>0</v>
      </c>
      <c r="P96" s="100">
        <v>0.25</v>
      </c>
      <c r="Q96" s="100">
        <v>10</v>
      </c>
      <c r="R96" s="6"/>
      <c r="S96" s="6"/>
      <c r="T96" s="156"/>
      <c r="U96" s="6"/>
    </row>
    <row r="97" spans="1:28" customFormat="1">
      <c r="A97" s="163" t="s">
        <v>1864</v>
      </c>
      <c r="B97" s="100">
        <v>1.47</v>
      </c>
      <c r="C97" s="100">
        <v>3.38</v>
      </c>
      <c r="D97" s="100">
        <v>2.23</v>
      </c>
      <c r="E97" s="100">
        <v>5.59</v>
      </c>
      <c r="F97" s="100">
        <v>1.31</v>
      </c>
      <c r="G97" s="100">
        <v>38.11</v>
      </c>
      <c r="H97" s="100">
        <v>17.149999999999999</v>
      </c>
      <c r="I97" s="100">
        <v>4.37</v>
      </c>
      <c r="J97" s="100">
        <v>0.08</v>
      </c>
      <c r="K97" s="100">
        <v>168.77</v>
      </c>
      <c r="L97" s="100">
        <v>26.06</v>
      </c>
      <c r="M97" s="100">
        <v>94.09</v>
      </c>
      <c r="N97" s="100">
        <v>2.1</v>
      </c>
      <c r="O97" s="100">
        <v>0</v>
      </c>
      <c r="P97" s="100">
        <v>0.26</v>
      </c>
      <c r="Q97" s="100">
        <v>10</v>
      </c>
      <c r="R97" s="6"/>
      <c r="S97" s="6"/>
      <c r="T97" s="156"/>
      <c r="U97" s="6"/>
    </row>
    <row r="98" spans="1:28" customFormat="1">
      <c r="A98" s="163" t="s">
        <v>1865</v>
      </c>
      <c r="B98" s="100">
        <v>1.8</v>
      </c>
      <c r="C98" s="100">
        <v>4.2699999999999996</v>
      </c>
      <c r="D98" s="100">
        <v>3.42</v>
      </c>
      <c r="E98" s="100">
        <v>5.66</v>
      </c>
      <c r="F98" s="100">
        <v>1.95</v>
      </c>
      <c r="G98" s="100">
        <v>38.11</v>
      </c>
      <c r="H98" s="100">
        <v>17.149999999999999</v>
      </c>
      <c r="I98" s="100">
        <v>4.46</v>
      </c>
      <c r="J98" s="100">
        <v>0.16</v>
      </c>
      <c r="K98" s="100">
        <v>167.41</v>
      </c>
      <c r="L98" s="100">
        <v>26.01</v>
      </c>
      <c r="M98" s="100">
        <v>94.54</v>
      </c>
      <c r="N98" s="100">
        <v>2.2000000000000002</v>
      </c>
      <c r="O98" s="100">
        <v>0</v>
      </c>
      <c r="P98" s="100">
        <v>0.26</v>
      </c>
      <c r="Q98" s="100">
        <v>10</v>
      </c>
      <c r="R98" s="6"/>
      <c r="S98" s="6"/>
      <c r="T98" s="156"/>
      <c r="U98" s="6"/>
    </row>
    <row r="99" spans="1:28" customFormat="1">
      <c r="A99" s="163" t="s">
        <v>1866</v>
      </c>
      <c r="B99" s="100">
        <v>1.6</v>
      </c>
      <c r="C99" s="100">
        <v>3.82</v>
      </c>
      <c r="D99" s="100">
        <v>2.88</v>
      </c>
      <c r="E99" s="100">
        <v>5.59</v>
      </c>
      <c r="F99" s="100">
        <v>2.08</v>
      </c>
      <c r="G99" s="100">
        <v>38.11</v>
      </c>
      <c r="H99" s="100">
        <v>17.149999999999999</v>
      </c>
      <c r="I99" s="100">
        <v>4.51</v>
      </c>
      <c r="J99" s="100">
        <v>0.11</v>
      </c>
      <c r="K99" s="100">
        <v>194.95</v>
      </c>
      <c r="L99" s="100">
        <v>25.93</v>
      </c>
      <c r="M99" s="100">
        <v>95.49</v>
      </c>
      <c r="N99" s="100">
        <v>2.1</v>
      </c>
      <c r="O99" s="100">
        <v>0</v>
      </c>
      <c r="P99" s="100">
        <v>0.27</v>
      </c>
      <c r="Q99" s="100">
        <v>10</v>
      </c>
      <c r="R99" s="6"/>
      <c r="S99" s="6"/>
      <c r="T99" s="156"/>
      <c r="U99" s="6"/>
    </row>
    <row r="100" spans="1:28" customFormat="1">
      <c r="A100" s="163" t="s">
        <v>1867</v>
      </c>
      <c r="B100" s="100">
        <v>1.52</v>
      </c>
      <c r="C100" s="100">
        <v>3.62</v>
      </c>
      <c r="D100" s="100">
        <v>2.6</v>
      </c>
      <c r="E100" s="100">
        <v>5.76</v>
      </c>
      <c r="F100" s="100">
        <v>1.71</v>
      </c>
      <c r="G100" s="100">
        <v>38.07</v>
      </c>
      <c r="H100" s="100">
        <v>17.25</v>
      </c>
      <c r="I100" s="100">
        <v>4.5199999999999996</v>
      </c>
      <c r="J100" s="100">
        <v>0.1</v>
      </c>
      <c r="K100" s="100">
        <v>197.87</v>
      </c>
      <c r="L100" s="100">
        <v>25.97</v>
      </c>
      <c r="M100" s="100">
        <v>95.75</v>
      </c>
      <c r="N100" s="100">
        <v>2.1</v>
      </c>
      <c r="O100" s="100">
        <v>0</v>
      </c>
      <c r="P100" s="100">
        <v>0.28000000000000003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1868</v>
      </c>
      <c r="B101" s="100">
        <v>1.92</v>
      </c>
      <c r="C101" s="100">
        <v>4.32</v>
      </c>
      <c r="D101" s="100">
        <v>3.35</v>
      </c>
      <c r="E101" s="100">
        <v>5.82</v>
      </c>
      <c r="F101" s="100">
        <v>1.3</v>
      </c>
      <c r="G101" s="100">
        <v>37.89</v>
      </c>
      <c r="H101" s="100">
        <v>17.8</v>
      </c>
      <c r="I101" s="100">
        <v>4.49</v>
      </c>
      <c r="J101" s="100">
        <v>0.1</v>
      </c>
      <c r="K101" s="100">
        <v>176.26</v>
      </c>
      <c r="L101" s="100">
        <v>25.94</v>
      </c>
      <c r="M101" s="100">
        <v>95.75</v>
      </c>
      <c r="N101" s="100">
        <v>2.1</v>
      </c>
      <c r="O101" s="100">
        <v>0</v>
      </c>
      <c r="P101" s="100">
        <v>0.28000000000000003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1869</v>
      </c>
      <c r="B102" s="100">
        <v>1.65</v>
      </c>
      <c r="C102" s="100">
        <v>3.71</v>
      </c>
      <c r="D102" s="100">
        <v>2.58</v>
      </c>
      <c r="E102" s="100">
        <v>5.83</v>
      </c>
      <c r="F102" s="100">
        <v>1.42</v>
      </c>
      <c r="G102" s="100">
        <v>37.89</v>
      </c>
      <c r="H102" s="100">
        <v>17.8</v>
      </c>
      <c r="I102" s="100">
        <v>4.54</v>
      </c>
      <c r="J102" s="100">
        <v>0.17</v>
      </c>
      <c r="K102" s="100">
        <v>231.04</v>
      </c>
      <c r="L102" s="100">
        <v>25.94</v>
      </c>
      <c r="M102" s="100">
        <v>94.95</v>
      </c>
      <c r="N102" s="100">
        <v>2.1</v>
      </c>
      <c r="O102" s="100">
        <v>0</v>
      </c>
      <c r="P102" s="100">
        <v>0.28000000000000003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1870</v>
      </c>
      <c r="B103" s="100">
        <v>1.51</v>
      </c>
      <c r="C103" s="100">
        <v>3.41</v>
      </c>
      <c r="D103" s="100">
        <v>2.23</v>
      </c>
      <c r="E103" s="100">
        <v>5.85</v>
      </c>
      <c r="F103" s="100">
        <v>1.75</v>
      </c>
      <c r="G103" s="100">
        <v>37.89</v>
      </c>
      <c r="H103" s="100">
        <v>17.8</v>
      </c>
      <c r="I103" s="100">
        <v>4.6500000000000004</v>
      </c>
      <c r="J103" s="100">
        <v>0.13</v>
      </c>
      <c r="K103" s="100">
        <v>219.06</v>
      </c>
      <c r="L103" s="100">
        <v>25.98</v>
      </c>
      <c r="M103" s="100">
        <v>94.88</v>
      </c>
      <c r="N103" s="100">
        <v>2.1</v>
      </c>
      <c r="O103" s="100">
        <v>0</v>
      </c>
      <c r="P103" s="100">
        <v>0.28000000000000003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1871</v>
      </c>
      <c r="B104" s="100">
        <v>1.63</v>
      </c>
      <c r="C104" s="100">
        <v>3.61</v>
      </c>
      <c r="D104" s="100">
        <v>2.4300000000000002</v>
      </c>
      <c r="E104" s="100">
        <v>5.85</v>
      </c>
      <c r="F104" s="100">
        <v>2.34</v>
      </c>
      <c r="G104" s="100">
        <v>38.22</v>
      </c>
      <c r="H104" s="100">
        <v>16.52</v>
      </c>
      <c r="I104" s="100">
        <v>4.6900000000000004</v>
      </c>
      <c r="J104" s="100">
        <v>0.1</v>
      </c>
      <c r="K104" s="100">
        <v>206.64</v>
      </c>
      <c r="L104" s="100">
        <v>26.08</v>
      </c>
      <c r="M104" s="100">
        <v>93.72</v>
      </c>
      <c r="N104" s="100">
        <v>2.2000000000000002</v>
      </c>
      <c r="O104" s="100">
        <v>0</v>
      </c>
      <c r="P104" s="100">
        <v>0.28000000000000003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2.19</v>
      </c>
      <c r="D106" s="158">
        <f t="shared" ref="D106:Q106" si="0">MIN(D9:D104)</f>
        <v>0.27</v>
      </c>
      <c r="E106" s="158">
        <f t="shared" si="0"/>
        <v>3.57</v>
      </c>
      <c r="F106" s="158">
        <f t="shared" si="0"/>
        <v>0.77</v>
      </c>
      <c r="G106" s="158">
        <f t="shared" si="0"/>
        <v>11.71</v>
      </c>
      <c r="H106" s="158">
        <f t="shared" si="0"/>
        <v>4.4800000000000004</v>
      </c>
      <c r="I106" s="158">
        <f t="shared" si="0"/>
        <v>2.99</v>
      </c>
      <c r="J106" s="158">
        <f t="shared" si="0"/>
        <v>0.05</v>
      </c>
      <c r="K106" s="158">
        <f t="shared" si="0"/>
        <v>10.19</v>
      </c>
      <c r="L106" s="158">
        <f t="shared" si="0"/>
        <v>25.41</v>
      </c>
      <c r="M106" s="158">
        <f t="shared" si="0"/>
        <v>57.79</v>
      </c>
      <c r="N106" s="158">
        <f t="shared" si="0"/>
        <v>1.8</v>
      </c>
      <c r="O106" s="158">
        <f t="shared" si="0"/>
        <v>0</v>
      </c>
      <c r="P106" s="158">
        <f t="shared" si="0"/>
        <v>0.06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1.92</v>
      </c>
      <c r="C107" s="157">
        <f t="shared" ref="C107:Q107" si="1">MAX(C9:C104)</f>
        <v>4.43</v>
      </c>
      <c r="D107" s="157">
        <f t="shared" si="1"/>
        <v>3.86</v>
      </c>
      <c r="E107" s="157">
        <f t="shared" si="1"/>
        <v>6.52</v>
      </c>
      <c r="F107" s="157">
        <f t="shared" si="1"/>
        <v>11.19</v>
      </c>
      <c r="G107" s="157">
        <f t="shared" si="1"/>
        <v>38.22</v>
      </c>
      <c r="H107" s="157">
        <f t="shared" si="1"/>
        <v>17.8</v>
      </c>
      <c r="I107" s="157">
        <f t="shared" si="1"/>
        <v>4.6900000000000004</v>
      </c>
      <c r="J107" s="157">
        <f t="shared" si="1"/>
        <v>0.7</v>
      </c>
      <c r="K107" s="157">
        <f t="shared" si="1"/>
        <v>352.87</v>
      </c>
      <c r="L107" s="157">
        <f t="shared" si="1"/>
        <v>34.01</v>
      </c>
      <c r="M107" s="157">
        <f t="shared" si="1"/>
        <v>97.93</v>
      </c>
      <c r="N107" s="157">
        <f t="shared" si="1"/>
        <v>649.29999999999995</v>
      </c>
      <c r="O107" s="157">
        <f t="shared" si="1"/>
        <v>0.4</v>
      </c>
      <c r="P107" s="157">
        <f t="shared" si="1"/>
        <v>0.28000000000000003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1.3867708333333315</v>
      </c>
      <c r="C108" s="158">
        <f t="shared" ref="C108:Q108" si="2">AVERAGE(C9:C104)</f>
        <v>3.1888541666666668</v>
      </c>
      <c r="D108" s="158">
        <f t="shared" si="2"/>
        <v>1.9922916666666666</v>
      </c>
      <c r="E108" s="158">
        <f t="shared" si="2"/>
        <v>5.123854166666665</v>
      </c>
      <c r="F108" s="158">
        <f t="shared" si="2"/>
        <v>3.3387499999999988</v>
      </c>
      <c r="G108" s="158">
        <f t="shared" si="2"/>
        <v>20.980625</v>
      </c>
      <c r="H108" s="158">
        <f t="shared" si="2"/>
        <v>9.2809374999999985</v>
      </c>
      <c r="I108" s="158">
        <f t="shared" si="2"/>
        <v>3.8423958333333341</v>
      </c>
      <c r="J108" s="158">
        <f t="shared" si="2"/>
        <v>0.27625000000000005</v>
      </c>
      <c r="K108" s="158">
        <f t="shared" si="2"/>
        <v>214.41635416666659</v>
      </c>
      <c r="L108" s="158">
        <f t="shared" si="2"/>
        <v>28.393749999999986</v>
      </c>
      <c r="M108" s="158">
        <f t="shared" si="2"/>
        <v>84.481874999999988</v>
      </c>
      <c r="N108" s="158">
        <f t="shared" si="2"/>
        <v>111.05624999999999</v>
      </c>
      <c r="O108" s="158">
        <f t="shared" si="2"/>
        <v>6.2500000000000012E-3</v>
      </c>
      <c r="P108" s="158">
        <f t="shared" si="2"/>
        <v>0.12354166666666661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0.16704550147013222</v>
      </c>
      <c r="C109" s="158">
        <f t="shared" ref="C109:Q109" si="3">STDEV(C9:C104)</f>
        <v>0.52874204195413177</v>
      </c>
      <c r="D109" s="158">
        <f t="shared" si="3"/>
        <v>0.79909880710008174</v>
      </c>
      <c r="E109" s="158">
        <f t="shared" si="3"/>
        <v>0.66999036881007279</v>
      </c>
      <c r="F109" s="158">
        <f t="shared" si="3"/>
        <v>2.2218045060621119</v>
      </c>
      <c r="G109" s="158">
        <f t="shared" si="3"/>
        <v>7.8782546574332351</v>
      </c>
      <c r="H109" s="158">
        <f t="shared" si="3"/>
        <v>3.365513983777213</v>
      </c>
      <c r="I109" s="158">
        <f t="shared" si="3"/>
        <v>0.39479440296695606</v>
      </c>
      <c r="J109" s="158">
        <f t="shared" si="3"/>
        <v>0.17672607408969931</v>
      </c>
      <c r="K109" s="158">
        <f t="shared" si="3"/>
        <v>66.986736568082463</v>
      </c>
      <c r="L109" s="158">
        <f t="shared" si="3"/>
        <v>2.8815983320666589</v>
      </c>
      <c r="M109" s="158">
        <f t="shared" si="3"/>
        <v>13.603940475000954</v>
      </c>
      <c r="N109" s="158">
        <f t="shared" si="3"/>
        <v>157.47801638557956</v>
      </c>
      <c r="O109" s="158">
        <f t="shared" si="3"/>
        <v>4.5450956796135887E-2</v>
      </c>
      <c r="P109" s="158">
        <f t="shared" si="3"/>
        <v>5.7728569350870479E-2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K18" sqref="K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1872</v>
      </c>
      <c r="B9" s="100">
        <v>1.37</v>
      </c>
      <c r="C9" s="100">
        <v>2.97</v>
      </c>
      <c r="D9" s="100">
        <v>1.59</v>
      </c>
      <c r="E9" s="100">
        <v>5.77</v>
      </c>
      <c r="F9" s="100">
        <v>1.93</v>
      </c>
      <c r="G9" s="100">
        <v>39.659999999999997</v>
      </c>
      <c r="H9" s="100">
        <v>12.52</v>
      </c>
      <c r="I9" s="100">
        <v>4.66</v>
      </c>
      <c r="J9" s="100">
        <v>7.0000000000000007E-2</v>
      </c>
      <c r="K9" s="100">
        <v>215.41</v>
      </c>
      <c r="L9" s="100">
        <v>26.15</v>
      </c>
      <c r="M9" s="100">
        <v>92.89</v>
      </c>
      <c r="N9" s="100">
        <v>2.2000000000000002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163" t="s">
        <v>1873</v>
      </c>
      <c r="B10" s="100">
        <v>1.7</v>
      </c>
      <c r="C10" s="100">
        <v>3.68</v>
      </c>
      <c r="D10" s="100">
        <v>2.46</v>
      </c>
      <c r="E10" s="100">
        <v>5.44</v>
      </c>
      <c r="F10" s="100">
        <v>1.19</v>
      </c>
      <c r="G10" s="100">
        <v>39.659999999999997</v>
      </c>
      <c r="H10" s="100">
        <v>12.52</v>
      </c>
      <c r="I10" s="100">
        <v>4.66</v>
      </c>
      <c r="J10" s="100">
        <v>0.09</v>
      </c>
      <c r="K10" s="100">
        <v>211.65</v>
      </c>
      <c r="L10" s="100">
        <v>26.08</v>
      </c>
      <c r="M10" s="100">
        <v>93.75</v>
      </c>
      <c r="N10" s="100">
        <v>2.1</v>
      </c>
      <c r="O10" s="100">
        <v>0.2</v>
      </c>
      <c r="P10" s="100">
        <v>0.26</v>
      </c>
      <c r="Q10" s="100">
        <v>10</v>
      </c>
      <c r="R10" s="6"/>
      <c r="S10" s="6"/>
      <c r="T10" s="156"/>
      <c r="U10" s="6"/>
    </row>
    <row r="11" spans="1:21" customFormat="1">
      <c r="A11" s="163" t="s">
        <v>1874</v>
      </c>
      <c r="B11" s="100">
        <v>1.58</v>
      </c>
      <c r="C11" s="100">
        <v>3.45</v>
      </c>
      <c r="D11" s="100">
        <v>2.19</v>
      </c>
      <c r="E11" s="100">
        <v>5.77</v>
      </c>
      <c r="F11" s="100">
        <v>1.22</v>
      </c>
      <c r="G11" s="100">
        <v>39.659999999999997</v>
      </c>
      <c r="H11" s="100">
        <v>12.52</v>
      </c>
      <c r="I11" s="100">
        <v>4.6900000000000004</v>
      </c>
      <c r="J11" s="100">
        <v>0.14000000000000001</v>
      </c>
      <c r="K11" s="100">
        <v>220.2</v>
      </c>
      <c r="L11" s="100">
        <v>25.77</v>
      </c>
      <c r="M11" s="100">
        <v>94.74</v>
      </c>
      <c r="N11" s="100">
        <v>2.2000000000000002</v>
      </c>
      <c r="O11" s="100">
        <v>0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163" t="s">
        <v>1875</v>
      </c>
      <c r="B12" s="100">
        <v>1.42</v>
      </c>
      <c r="C12" s="100">
        <v>3.07</v>
      </c>
      <c r="D12" s="100">
        <v>1.73</v>
      </c>
      <c r="E12" s="100">
        <v>5.62</v>
      </c>
      <c r="F12" s="100">
        <v>1.5</v>
      </c>
      <c r="G12" s="100">
        <v>37.96</v>
      </c>
      <c r="H12" s="100">
        <v>12.27</v>
      </c>
      <c r="I12" s="100">
        <v>4.6900000000000004</v>
      </c>
      <c r="J12" s="100">
        <v>0.15</v>
      </c>
      <c r="K12" s="100">
        <v>203.46</v>
      </c>
      <c r="L12" s="100">
        <v>25.73</v>
      </c>
      <c r="M12" s="100">
        <v>95.46</v>
      </c>
      <c r="N12" s="100">
        <v>2.1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163" t="s">
        <v>1876</v>
      </c>
      <c r="B13" s="100">
        <v>1.48</v>
      </c>
      <c r="C13" s="100">
        <v>3.25</v>
      </c>
      <c r="D13" s="100">
        <v>1.96</v>
      </c>
      <c r="E13" s="100">
        <v>5.75</v>
      </c>
      <c r="F13" s="100">
        <v>1.55</v>
      </c>
      <c r="G13" s="100">
        <v>30.12</v>
      </c>
      <c r="H13" s="100">
        <v>11.47</v>
      </c>
      <c r="I13" s="100">
        <v>4.6900000000000004</v>
      </c>
      <c r="J13" s="100">
        <v>0.13</v>
      </c>
      <c r="K13" s="100">
        <v>250.4</v>
      </c>
      <c r="L13" s="100">
        <v>25.69</v>
      </c>
      <c r="M13" s="100">
        <v>95.16</v>
      </c>
      <c r="N13" s="100">
        <v>2.1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163" t="s">
        <v>1877</v>
      </c>
      <c r="B14" s="100">
        <v>1.56</v>
      </c>
      <c r="C14" s="100">
        <v>3.47</v>
      </c>
      <c r="D14" s="100">
        <v>2.27</v>
      </c>
      <c r="E14" s="100">
        <v>5.9</v>
      </c>
      <c r="F14" s="100">
        <v>1.88</v>
      </c>
      <c r="G14" s="100">
        <v>30.12</v>
      </c>
      <c r="H14" s="100">
        <v>11.47</v>
      </c>
      <c r="I14" s="100">
        <v>4.59</v>
      </c>
      <c r="J14" s="100">
        <v>0.08</v>
      </c>
      <c r="K14" s="100">
        <v>194.27</v>
      </c>
      <c r="L14" s="100">
        <v>25.66</v>
      </c>
      <c r="M14" s="100">
        <v>94.02</v>
      </c>
      <c r="N14" s="100">
        <v>2.1</v>
      </c>
      <c r="O14" s="100">
        <v>0</v>
      </c>
      <c r="P14" s="100">
        <v>0.24</v>
      </c>
      <c r="Q14" s="100">
        <v>10</v>
      </c>
      <c r="R14" s="6"/>
      <c r="S14" s="6"/>
      <c r="T14" s="156"/>
      <c r="U14" s="6"/>
    </row>
    <row r="15" spans="1:21" customFormat="1">
      <c r="A15" s="163" t="s">
        <v>1878</v>
      </c>
      <c r="B15" s="100">
        <v>1.56</v>
      </c>
      <c r="C15" s="100">
        <v>3.38</v>
      </c>
      <c r="D15" s="100">
        <v>2.11</v>
      </c>
      <c r="E15" s="100">
        <v>5.88</v>
      </c>
      <c r="F15" s="100">
        <v>1.3</v>
      </c>
      <c r="G15" s="100">
        <v>30.12</v>
      </c>
      <c r="H15" s="100">
        <v>11.47</v>
      </c>
      <c r="I15" s="100">
        <v>4.49</v>
      </c>
      <c r="J15" s="100">
        <v>0.18</v>
      </c>
      <c r="K15" s="100">
        <v>161.81</v>
      </c>
      <c r="L15" s="100">
        <v>25.7</v>
      </c>
      <c r="M15" s="100">
        <v>92.7</v>
      </c>
      <c r="N15" s="100">
        <v>2.2999999999999998</v>
      </c>
      <c r="O15" s="100">
        <v>0</v>
      </c>
      <c r="P15" s="100">
        <v>0.22</v>
      </c>
      <c r="Q15" s="100">
        <v>10</v>
      </c>
      <c r="R15" s="6"/>
      <c r="S15" s="6"/>
      <c r="T15" s="156"/>
      <c r="U15" s="6"/>
    </row>
    <row r="16" spans="1:21" customFormat="1">
      <c r="A16" s="163" t="s">
        <v>1879</v>
      </c>
      <c r="B16" s="100">
        <v>1.47</v>
      </c>
      <c r="C16" s="100">
        <v>3.25</v>
      </c>
      <c r="D16" s="100">
        <v>1.99</v>
      </c>
      <c r="E16" s="100">
        <v>5.55</v>
      </c>
      <c r="F16" s="100">
        <v>3.32</v>
      </c>
      <c r="G16" s="100">
        <v>28.7</v>
      </c>
      <c r="H16" s="100">
        <v>11.68</v>
      </c>
      <c r="I16" s="100">
        <v>4.34</v>
      </c>
      <c r="J16" s="100">
        <v>0.1</v>
      </c>
      <c r="K16" s="100">
        <v>200.72</v>
      </c>
      <c r="L16" s="100">
        <v>25.51</v>
      </c>
      <c r="M16" s="100">
        <v>93.69</v>
      </c>
      <c r="N16" s="100">
        <v>2.2999999999999998</v>
      </c>
      <c r="O16" s="100">
        <v>0</v>
      </c>
      <c r="P16" s="100">
        <v>0.19</v>
      </c>
      <c r="Q16" s="100">
        <v>10</v>
      </c>
      <c r="R16" s="6"/>
      <c r="S16" s="6"/>
      <c r="T16" s="156"/>
      <c r="U16" s="6"/>
    </row>
    <row r="17" spans="1:21" customFormat="1">
      <c r="A17" s="163" t="s">
        <v>1880</v>
      </c>
      <c r="B17" s="100">
        <v>1.56</v>
      </c>
      <c r="C17" s="100">
        <v>3.4</v>
      </c>
      <c r="D17" s="100">
        <v>2.12</v>
      </c>
      <c r="E17" s="100">
        <v>3.78</v>
      </c>
      <c r="F17" s="100">
        <v>3.24</v>
      </c>
      <c r="G17" s="100">
        <v>22.11</v>
      </c>
      <c r="H17" s="100">
        <v>12.37</v>
      </c>
      <c r="I17" s="100">
        <v>4.3</v>
      </c>
      <c r="J17" s="100">
        <v>0.12</v>
      </c>
      <c r="K17" s="100">
        <v>185.39</v>
      </c>
      <c r="L17" s="100">
        <v>25.48</v>
      </c>
      <c r="M17" s="100">
        <v>94.84</v>
      </c>
      <c r="N17" s="100">
        <v>2.2000000000000002</v>
      </c>
      <c r="O17" s="100">
        <v>0</v>
      </c>
      <c r="P17" s="100">
        <v>0.17</v>
      </c>
      <c r="Q17" s="100">
        <v>10</v>
      </c>
      <c r="R17" s="6"/>
      <c r="S17" s="6"/>
      <c r="T17" s="156"/>
      <c r="U17" s="6"/>
    </row>
    <row r="18" spans="1:21" customFormat="1">
      <c r="A18" s="163" t="s">
        <v>1881</v>
      </c>
      <c r="B18" s="100">
        <v>1.4</v>
      </c>
      <c r="C18" s="100">
        <v>2.98</v>
      </c>
      <c r="D18" s="100">
        <v>1.56</v>
      </c>
      <c r="E18" s="100">
        <v>4.99</v>
      </c>
      <c r="F18" s="100">
        <v>2.36</v>
      </c>
      <c r="G18" s="100">
        <v>22.11</v>
      </c>
      <c r="H18" s="100">
        <v>12.37</v>
      </c>
      <c r="I18" s="100">
        <v>4.24</v>
      </c>
      <c r="J18" s="100">
        <v>7.0000000000000007E-2</v>
      </c>
      <c r="K18" s="100">
        <v>193.25</v>
      </c>
      <c r="L18" s="100">
        <v>25.47</v>
      </c>
      <c r="M18" s="100">
        <v>95.01</v>
      </c>
      <c r="N18" s="100">
        <v>2.1</v>
      </c>
      <c r="O18" s="100">
        <v>0</v>
      </c>
      <c r="P18" s="100">
        <v>0.19</v>
      </c>
      <c r="Q18" s="100">
        <v>10</v>
      </c>
      <c r="R18" s="6"/>
      <c r="S18" s="6"/>
      <c r="T18" s="156"/>
      <c r="U18" s="6"/>
    </row>
    <row r="19" spans="1:21" customFormat="1">
      <c r="A19" s="163" t="s">
        <v>1882</v>
      </c>
      <c r="B19" s="100">
        <v>1.82</v>
      </c>
      <c r="C19" s="100">
        <v>4.0599999999999996</v>
      </c>
      <c r="D19" s="100">
        <v>2.98</v>
      </c>
      <c r="E19" s="100">
        <v>4.8600000000000003</v>
      </c>
      <c r="F19" s="100">
        <v>2.04</v>
      </c>
      <c r="G19" s="100">
        <v>22.11</v>
      </c>
      <c r="H19" s="100">
        <v>12.37</v>
      </c>
      <c r="I19" s="100">
        <v>4.32</v>
      </c>
      <c r="J19" s="100">
        <v>0.1</v>
      </c>
      <c r="K19" s="100">
        <v>175.15</v>
      </c>
      <c r="L19" s="100">
        <v>25.43</v>
      </c>
      <c r="M19" s="100">
        <v>95.06</v>
      </c>
      <c r="N19" s="100">
        <v>2.1</v>
      </c>
      <c r="O19" s="100">
        <v>0</v>
      </c>
      <c r="P19" s="100">
        <v>0.18</v>
      </c>
      <c r="Q19" s="100">
        <v>10</v>
      </c>
      <c r="R19" s="6"/>
      <c r="S19" s="6"/>
      <c r="T19" s="156"/>
      <c r="U19" s="6"/>
    </row>
    <row r="20" spans="1:21" customFormat="1">
      <c r="A20" s="163" t="s">
        <v>1883</v>
      </c>
      <c r="B20" s="100">
        <v>1.52</v>
      </c>
      <c r="C20" s="100">
        <v>3.33</v>
      </c>
      <c r="D20" s="100">
        <v>2.06</v>
      </c>
      <c r="E20" s="100">
        <v>4.49</v>
      </c>
      <c r="F20" s="100">
        <v>3.1</v>
      </c>
      <c r="G20" s="100">
        <v>21.63</v>
      </c>
      <c r="H20" s="100">
        <v>11.82</v>
      </c>
      <c r="I20" s="100">
        <v>4.41</v>
      </c>
      <c r="J20" s="100">
        <v>0.09</v>
      </c>
      <c r="K20" s="100">
        <v>171.16</v>
      </c>
      <c r="L20" s="100">
        <v>25.38</v>
      </c>
      <c r="M20" s="100">
        <v>95.73</v>
      </c>
      <c r="N20" s="100">
        <v>2.1</v>
      </c>
      <c r="O20" s="100">
        <v>0</v>
      </c>
      <c r="P20" s="100">
        <v>0.16</v>
      </c>
      <c r="Q20" s="100">
        <v>10</v>
      </c>
      <c r="R20" s="6"/>
      <c r="S20" s="6"/>
      <c r="T20" s="156"/>
      <c r="U20" s="6"/>
    </row>
    <row r="21" spans="1:21" customFormat="1">
      <c r="A21" s="163" t="s">
        <v>1884</v>
      </c>
      <c r="B21" s="100">
        <v>1.63</v>
      </c>
      <c r="C21" s="100">
        <v>3.57</v>
      </c>
      <c r="D21" s="100">
        <v>2.35</v>
      </c>
      <c r="E21" s="100">
        <v>4.51</v>
      </c>
      <c r="F21" s="100">
        <v>2.19</v>
      </c>
      <c r="G21" s="100">
        <v>19.440000000000001</v>
      </c>
      <c r="H21" s="100">
        <v>9.27</v>
      </c>
      <c r="I21" s="100">
        <v>4.3600000000000003</v>
      </c>
      <c r="J21" s="100">
        <v>0.06</v>
      </c>
      <c r="K21" s="100">
        <v>174.96</v>
      </c>
      <c r="L21" s="100">
        <v>25.35</v>
      </c>
      <c r="M21" s="100">
        <v>96.09</v>
      </c>
      <c r="N21" s="100">
        <v>2.1</v>
      </c>
      <c r="O21" s="100">
        <v>0</v>
      </c>
      <c r="P21" s="100">
        <v>0.17</v>
      </c>
      <c r="Q21" s="100">
        <v>10</v>
      </c>
      <c r="R21" s="6"/>
      <c r="S21" s="6"/>
      <c r="T21" s="156"/>
      <c r="U21" s="6"/>
    </row>
    <row r="22" spans="1:21" customFormat="1">
      <c r="A22" s="163" t="s">
        <v>1885</v>
      </c>
      <c r="B22" s="100">
        <v>1.64</v>
      </c>
      <c r="C22" s="100">
        <v>3.48</v>
      </c>
      <c r="D22" s="100">
        <v>2.16</v>
      </c>
      <c r="E22" s="100">
        <v>4.8600000000000003</v>
      </c>
      <c r="F22" s="100">
        <v>0.84</v>
      </c>
      <c r="G22" s="100">
        <v>19.440000000000001</v>
      </c>
      <c r="H22" s="100">
        <v>9.27</v>
      </c>
      <c r="I22" s="100">
        <v>4.25</v>
      </c>
      <c r="J22" s="100">
        <v>7.0000000000000007E-2</v>
      </c>
      <c r="K22" s="100">
        <v>188.84</v>
      </c>
      <c r="L22" s="100">
        <v>25.29</v>
      </c>
      <c r="M22" s="100">
        <v>96.69</v>
      </c>
      <c r="N22" s="100">
        <v>2.1</v>
      </c>
      <c r="O22" s="100">
        <v>0</v>
      </c>
      <c r="P22" s="100">
        <v>0.17</v>
      </c>
      <c r="Q22" s="100">
        <v>10</v>
      </c>
      <c r="R22" s="6"/>
      <c r="S22" s="6"/>
      <c r="T22" s="156"/>
      <c r="U22" s="6"/>
    </row>
    <row r="23" spans="1:21" customFormat="1">
      <c r="A23" s="163" t="s">
        <v>1886</v>
      </c>
      <c r="B23" s="100">
        <v>1.67</v>
      </c>
      <c r="C23" s="100">
        <v>3.57</v>
      </c>
      <c r="D23" s="100">
        <v>2.29</v>
      </c>
      <c r="E23" s="100">
        <v>4.5599999999999996</v>
      </c>
      <c r="F23" s="100">
        <v>2.62</v>
      </c>
      <c r="G23" s="100">
        <v>19.440000000000001</v>
      </c>
      <c r="H23" s="100">
        <v>9.27</v>
      </c>
      <c r="I23" s="100">
        <v>4.38</v>
      </c>
      <c r="J23" s="100">
        <v>7.0000000000000007E-2</v>
      </c>
      <c r="K23" s="100">
        <v>188.21</v>
      </c>
      <c r="L23" s="100">
        <v>25.27</v>
      </c>
      <c r="M23" s="100">
        <v>96.5</v>
      </c>
      <c r="N23" s="100">
        <v>2</v>
      </c>
      <c r="O23" s="100">
        <v>0</v>
      </c>
      <c r="P23" s="100">
        <v>0.15</v>
      </c>
      <c r="Q23" s="100">
        <v>10</v>
      </c>
      <c r="R23" s="6"/>
      <c r="S23" s="6"/>
      <c r="T23" s="156"/>
      <c r="U23" s="6"/>
    </row>
    <row r="24" spans="1:21" customFormat="1">
      <c r="A24" s="163" t="s">
        <v>1887</v>
      </c>
      <c r="B24" s="100">
        <v>1.96</v>
      </c>
      <c r="C24" s="100">
        <v>4.4000000000000004</v>
      </c>
      <c r="D24" s="100">
        <v>3.43</v>
      </c>
      <c r="E24" s="100">
        <v>4.68</v>
      </c>
      <c r="F24" s="100">
        <v>2.61</v>
      </c>
      <c r="G24" s="100">
        <v>19.63</v>
      </c>
      <c r="H24" s="100">
        <v>9.4600000000000009</v>
      </c>
      <c r="I24" s="100">
        <v>4.3099999999999996</v>
      </c>
      <c r="J24" s="100">
        <v>0.16</v>
      </c>
      <c r="K24" s="100">
        <v>151.82</v>
      </c>
      <c r="L24" s="100">
        <v>25.28</v>
      </c>
      <c r="M24" s="100">
        <v>96.66</v>
      </c>
      <c r="N24" s="100">
        <v>2.1</v>
      </c>
      <c r="O24" s="100">
        <v>0</v>
      </c>
      <c r="P24" s="100">
        <v>0.16</v>
      </c>
      <c r="Q24" s="100">
        <v>10</v>
      </c>
      <c r="R24" s="6"/>
      <c r="S24" s="6"/>
      <c r="T24" s="156"/>
      <c r="U24" s="6"/>
    </row>
    <row r="25" spans="1:21" customFormat="1">
      <c r="A25" s="163" t="s">
        <v>1888</v>
      </c>
      <c r="B25" s="100">
        <v>1.89</v>
      </c>
      <c r="C25" s="100">
        <v>4.0999999999999996</v>
      </c>
      <c r="D25" s="100">
        <v>2.97</v>
      </c>
      <c r="E25" s="100">
        <v>5.0199999999999996</v>
      </c>
      <c r="F25" s="100">
        <v>1.55</v>
      </c>
      <c r="G25" s="100">
        <v>20.52</v>
      </c>
      <c r="H25" s="100">
        <v>10.119999999999999</v>
      </c>
      <c r="I25" s="100">
        <v>4.26</v>
      </c>
      <c r="J25" s="100">
        <v>0.1</v>
      </c>
      <c r="K25" s="100">
        <v>189.52</v>
      </c>
      <c r="L25" s="100">
        <v>25.22</v>
      </c>
      <c r="M25" s="100">
        <v>96.91</v>
      </c>
      <c r="N25" s="100">
        <v>2.1</v>
      </c>
      <c r="O25" s="100">
        <v>0</v>
      </c>
      <c r="P25" s="100">
        <v>0.16</v>
      </c>
      <c r="Q25" s="100">
        <v>10</v>
      </c>
      <c r="R25" s="6"/>
      <c r="S25" s="6"/>
      <c r="T25" s="156"/>
      <c r="U25" s="6"/>
    </row>
    <row r="26" spans="1:21" customFormat="1">
      <c r="A26" s="163" t="s">
        <v>1889</v>
      </c>
      <c r="B26" s="100">
        <v>1.58</v>
      </c>
      <c r="C26" s="100">
        <v>3.42</v>
      </c>
      <c r="D26" s="100">
        <v>2.15</v>
      </c>
      <c r="E26" s="100">
        <v>4.41</v>
      </c>
      <c r="F26" s="100">
        <v>2.68</v>
      </c>
      <c r="G26" s="100">
        <v>20.52</v>
      </c>
      <c r="H26" s="100">
        <v>10.119999999999999</v>
      </c>
      <c r="I26" s="100">
        <v>4.3099999999999996</v>
      </c>
      <c r="J26" s="100">
        <v>0.08</v>
      </c>
      <c r="K26" s="100">
        <v>189.41</v>
      </c>
      <c r="L26" s="100">
        <v>25.31</v>
      </c>
      <c r="M26" s="100">
        <v>97.44</v>
      </c>
      <c r="N26" s="100">
        <v>2.1</v>
      </c>
      <c r="O26" s="100">
        <v>0</v>
      </c>
      <c r="P26" s="100">
        <v>0.13</v>
      </c>
      <c r="Q26" s="100">
        <v>10</v>
      </c>
      <c r="R26" s="6"/>
      <c r="S26" s="6"/>
      <c r="T26" s="156"/>
      <c r="U26" s="6"/>
    </row>
    <row r="27" spans="1:21" customFormat="1">
      <c r="A27" s="163" t="s">
        <v>1890</v>
      </c>
      <c r="B27" s="100">
        <v>2.1</v>
      </c>
      <c r="C27" s="100">
        <v>4.3099999999999996</v>
      </c>
      <c r="D27" s="100">
        <v>3.03</v>
      </c>
      <c r="E27" s="100">
        <v>4.83</v>
      </c>
      <c r="F27" s="100">
        <v>2.61</v>
      </c>
      <c r="G27" s="100">
        <v>20.52</v>
      </c>
      <c r="H27" s="100">
        <v>10.119999999999999</v>
      </c>
      <c r="I27" s="100">
        <v>4.2300000000000004</v>
      </c>
      <c r="J27" s="100">
        <v>0.06</v>
      </c>
      <c r="K27" s="100">
        <v>193.12</v>
      </c>
      <c r="L27" s="100">
        <v>25.24</v>
      </c>
      <c r="M27" s="100">
        <v>97.51</v>
      </c>
      <c r="N27" s="100">
        <v>2.1</v>
      </c>
      <c r="O27" s="100">
        <v>0</v>
      </c>
      <c r="P27" s="100">
        <v>0.15</v>
      </c>
      <c r="Q27" s="100">
        <v>10</v>
      </c>
      <c r="R27" s="6"/>
      <c r="S27" s="6"/>
      <c r="T27" s="156"/>
      <c r="U27" s="6"/>
    </row>
    <row r="28" spans="1:21" customFormat="1">
      <c r="A28" s="163" t="s">
        <v>1891</v>
      </c>
      <c r="B28" s="100">
        <v>2.04</v>
      </c>
      <c r="C28" s="100">
        <v>4.1500000000000004</v>
      </c>
      <c r="D28" s="100">
        <v>2.83</v>
      </c>
      <c r="E28" s="100">
        <v>4.84</v>
      </c>
      <c r="F28" s="100">
        <v>1.65</v>
      </c>
      <c r="G28" s="100">
        <v>19.690000000000001</v>
      </c>
      <c r="H28" s="100">
        <v>9.4600000000000009</v>
      </c>
      <c r="I28" s="100">
        <v>4.0599999999999996</v>
      </c>
      <c r="J28" s="100">
        <v>0.11</v>
      </c>
      <c r="K28" s="100">
        <v>165.85</v>
      </c>
      <c r="L28" s="100">
        <v>25.4</v>
      </c>
      <c r="M28" s="100">
        <v>97.36</v>
      </c>
      <c r="N28" s="100">
        <v>2</v>
      </c>
      <c r="O28" s="100">
        <v>0</v>
      </c>
      <c r="P28" s="100">
        <v>0.15</v>
      </c>
      <c r="Q28" s="100">
        <v>10</v>
      </c>
      <c r="R28" s="6"/>
      <c r="S28" s="6"/>
      <c r="T28" s="156"/>
      <c r="U28" s="6"/>
    </row>
    <row r="29" spans="1:21" customFormat="1">
      <c r="A29" s="163" t="s">
        <v>1892</v>
      </c>
      <c r="B29" s="100">
        <v>1.89</v>
      </c>
      <c r="C29" s="100">
        <v>3.9</v>
      </c>
      <c r="D29" s="100">
        <v>2.59</v>
      </c>
      <c r="E29" s="100">
        <v>4.71</v>
      </c>
      <c r="F29" s="100">
        <v>3.47</v>
      </c>
      <c r="G29" s="100">
        <v>15.82</v>
      </c>
      <c r="H29" s="100">
        <v>7.25</v>
      </c>
      <c r="I29" s="100">
        <v>4.22</v>
      </c>
      <c r="J29" s="100">
        <v>0.11</v>
      </c>
      <c r="K29" s="100">
        <v>148.16</v>
      </c>
      <c r="L29" s="100">
        <v>25.48</v>
      </c>
      <c r="M29" s="100">
        <v>97.12</v>
      </c>
      <c r="N29" s="100">
        <v>2.1</v>
      </c>
      <c r="O29" s="100">
        <v>0</v>
      </c>
      <c r="P29" s="100">
        <v>0.14000000000000001</v>
      </c>
      <c r="Q29" s="100">
        <v>10</v>
      </c>
      <c r="R29" s="6"/>
      <c r="S29" s="6"/>
      <c r="T29" s="156"/>
      <c r="U29" s="6"/>
    </row>
    <row r="30" spans="1:21" customFormat="1">
      <c r="A30" s="163" t="s">
        <v>1893</v>
      </c>
      <c r="B30" s="100">
        <v>1.84</v>
      </c>
      <c r="C30" s="100">
        <v>3.85</v>
      </c>
      <c r="D30" s="100">
        <v>2.56</v>
      </c>
      <c r="E30" s="100">
        <v>4.59</v>
      </c>
      <c r="F30" s="100">
        <v>1.77</v>
      </c>
      <c r="G30" s="100">
        <v>15.82</v>
      </c>
      <c r="H30" s="100">
        <v>7.25</v>
      </c>
      <c r="I30" s="100">
        <v>4.12</v>
      </c>
      <c r="J30" s="100">
        <v>0.1</v>
      </c>
      <c r="K30" s="100">
        <v>141.38999999999999</v>
      </c>
      <c r="L30" s="100">
        <v>25.58</v>
      </c>
      <c r="M30" s="100">
        <v>97.02</v>
      </c>
      <c r="N30" s="100">
        <v>2.7</v>
      </c>
      <c r="O30" s="100">
        <v>0</v>
      </c>
      <c r="P30" s="100">
        <v>0.15</v>
      </c>
      <c r="Q30" s="100">
        <v>10</v>
      </c>
      <c r="R30" s="6"/>
      <c r="S30" s="6"/>
      <c r="T30" s="156"/>
      <c r="U30" s="6"/>
    </row>
    <row r="31" spans="1:21" customFormat="1">
      <c r="A31" s="163" t="s">
        <v>1894</v>
      </c>
      <c r="B31" s="100">
        <v>1.89</v>
      </c>
      <c r="C31" s="100">
        <v>3.95</v>
      </c>
      <c r="D31" s="100">
        <v>2.68</v>
      </c>
      <c r="E31" s="100">
        <v>4.34</v>
      </c>
      <c r="F31" s="100">
        <v>1.36</v>
      </c>
      <c r="G31" s="100">
        <v>15.82</v>
      </c>
      <c r="H31" s="100">
        <v>7.25</v>
      </c>
      <c r="I31" s="100">
        <v>4.03</v>
      </c>
      <c r="J31" s="100">
        <v>0.09</v>
      </c>
      <c r="K31" s="100">
        <v>106.4</v>
      </c>
      <c r="L31" s="100">
        <v>25.63</v>
      </c>
      <c r="M31" s="100">
        <v>96.78</v>
      </c>
      <c r="N31" s="100">
        <v>6.7</v>
      </c>
      <c r="O31" s="100">
        <v>0</v>
      </c>
      <c r="P31" s="100">
        <v>0.13</v>
      </c>
      <c r="Q31" s="100">
        <v>10</v>
      </c>
      <c r="R31" s="6"/>
      <c r="S31" s="6"/>
      <c r="T31" s="156"/>
      <c r="U31" s="6"/>
    </row>
    <row r="32" spans="1:21" customFormat="1">
      <c r="A32" s="163" t="s">
        <v>1895</v>
      </c>
      <c r="B32" s="100">
        <v>2.46</v>
      </c>
      <c r="C32" s="100">
        <v>4.8499999999999996</v>
      </c>
      <c r="D32" s="100">
        <v>3.53</v>
      </c>
      <c r="E32" s="100">
        <v>4.17</v>
      </c>
      <c r="F32" s="100">
        <v>1.59</v>
      </c>
      <c r="G32" s="100">
        <v>15.11</v>
      </c>
      <c r="H32" s="100">
        <v>6.76</v>
      </c>
      <c r="I32" s="100">
        <v>4.1500000000000004</v>
      </c>
      <c r="J32" s="100">
        <v>0.19</v>
      </c>
      <c r="K32" s="100">
        <v>37.619999999999997</v>
      </c>
      <c r="L32" s="100">
        <v>25.7</v>
      </c>
      <c r="M32" s="100">
        <v>95.8</v>
      </c>
      <c r="N32" s="100">
        <v>17.600000000000001</v>
      </c>
      <c r="O32" s="100">
        <v>0</v>
      </c>
      <c r="P32" s="100">
        <v>0.13</v>
      </c>
      <c r="Q32" s="100">
        <v>10</v>
      </c>
      <c r="R32" s="6"/>
      <c r="S32" s="6"/>
      <c r="T32" s="156"/>
      <c r="U32" s="6"/>
    </row>
    <row r="33" spans="1:21" customFormat="1">
      <c r="A33" s="163" t="s">
        <v>1896</v>
      </c>
      <c r="B33" s="100">
        <v>2.04</v>
      </c>
      <c r="C33" s="100">
        <v>4.2</v>
      </c>
      <c r="D33" s="100">
        <v>2.91</v>
      </c>
      <c r="E33" s="100">
        <v>4.72</v>
      </c>
      <c r="F33" s="100">
        <v>1.98</v>
      </c>
      <c r="G33" s="100">
        <v>11.84</v>
      </c>
      <c r="H33" s="100">
        <v>5.21</v>
      </c>
      <c r="I33" s="100">
        <v>3.92</v>
      </c>
      <c r="J33" s="100">
        <v>0.15</v>
      </c>
      <c r="K33" s="100">
        <v>108.94</v>
      </c>
      <c r="L33" s="100">
        <v>25.93</v>
      </c>
      <c r="M33" s="100">
        <v>95.29</v>
      </c>
      <c r="N33" s="100">
        <v>30.1</v>
      </c>
      <c r="O33" s="100">
        <v>0</v>
      </c>
      <c r="P33" s="100">
        <v>0.15</v>
      </c>
      <c r="Q33" s="100">
        <v>10</v>
      </c>
      <c r="R33" s="6"/>
      <c r="S33" s="6"/>
      <c r="T33" s="156"/>
      <c r="U33" s="6"/>
    </row>
    <row r="34" spans="1:21" customFormat="1">
      <c r="A34" s="163" t="s">
        <v>1897</v>
      </c>
      <c r="B34" s="100">
        <v>2.5499999999999998</v>
      </c>
      <c r="C34" s="100">
        <v>4.9400000000000004</v>
      </c>
      <c r="D34" s="100">
        <v>3.57</v>
      </c>
      <c r="E34" s="100">
        <v>4.8600000000000003</v>
      </c>
      <c r="F34" s="100">
        <v>1.08</v>
      </c>
      <c r="G34" s="100">
        <v>11.84</v>
      </c>
      <c r="H34" s="100">
        <v>5.21</v>
      </c>
      <c r="I34" s="100">
        <v>3.94</v>
      </c>
      <c r="J34" s="100">
        <v>0.64</v>
      </c>
      <c r="K34" s="100">
        <v>44.06</v>
      </c>
      <c r="L34" s="100">
        <v>26.08</v>
      </c>
      <c r="M34" s="100">
        <v>93.82</v>
      </c>
      <c r="N34" s="100">
        <v>47.1</v>
      </c>
      <c r="O34" s="100">
        <v>0</v>
      </c>
      <c r="P34" s="100">
        <v>0.17</v>
      </c>
      <c r="Q34" s="100">
        <v>10</v>
      </c>
      <c r="R34" s="6"/>
      <c r="S34" s="6"/>
      <c r="T34" s="156"/>
      <c r="U34" s="6"/>
    </row>
    <row r="35" spans="1:21" customFormat="1">
      <c r="A35" s="163" t="s">
        <v>1898</v>
      </c>
      <c r="B35" s="100">
        <v>2.66</v>
      </c>
      <c r="C35" s="100">
        <v>4.96</v>
      </c>
      <c r="D35" s="100">
        <v>3.42</v>
      </c>
      <c r="E35" s="100">
        <v>5.25</v>
      </c>
      <c r="F35" s="100">
        <v>1.4</v>
      </c>
      <c r="G35" s="100">
        <v>11.84</v>
      </c>
      <c r="H35" s="100">
        <v>5.21</v>
      </c>
      <c r="I35" s="100">
        <v>4.05</v>
      </c>
      <c r="J35" s="100">
        <v>0.5</v>
      </c>
      <c r="K35" s="100">
        <v>40.75</v>
      </c>
      <c r="L35" s="100">
        <v>26.33</v>
      </c>
      <c r="M35" s="100">
        <v>92.53</v>
      </c>
      <c r="N35" s="100">
        <v>66.900000000000006</v>
      </c>
      <c r="O35" s="100">
        <v>0</v>
      </c>
      <c r="P35" s="100">
        <v>0.18</v>
      </c>
      <c r="Q35" s="100">
        <v>10</v>
      </c>
      <c r="R35" s="6"/>
      <c r="S35" s="6"/>
      <c r="T35" s="156"/>
      <c r="U35" s="6"/>
    </row>
    <row r="36" spans="1:21" customFormat="1">
      <c r="A36" s="163" t="s">
        <v>1899</v>
      </c>
      <c r="B36" s="100">
        <v>2.48</v>
      </c>
      <c r="C36" s="100">
        <v>4.67</v>
      </c>
      <c r="D36" s="100">
        <v>3.14</v>
      </c>
      <c r="E36" s="100">
        <v>5.15</v>
      </c>
      <c r="F36" s="100">
        <v>1.98</v>
      </c>
      <c r="G36" s="100">
        <v>13.12</v>
      </c>
      <c r="H36" s="100">
        <v>5.61</v>
      </c>
      <c r="I36" s="100">
        <v>4.2699999999999996</v>
      </c>
      <c r="J36" s="100">
        <v>0.7</v>
      </c>
      <c r="K36" s="100">
        <v>38.71</v>
      </c>
      <c r="L36" s="100">
        <v>26.6</v>
      </c>
      <c r="M36" s="100">
        <v>90.73</v>
      </c>
      <c r="N36" s="100">
        <v>80.900000000000006</v>
      </c>
      <c r="O36" s="100">
        <v>0</v>
      </c>
      <c r="P36" s="100">
        <v>0.19</v>
      </c>
      <c r="Q36" s="100">
        <v>10</v>
      </c>
      <c r="R36" s="6"/>
      <c r="S36" s="6"/>
      <c r="T36" s="156"/>
      <c r="U36" s="6"/>
    </row>
    <row r="37" spans="1:21" customFormat="1">
      <c r="A37" s="163" t="s">
        <v>1900</v>
      </c>
      <c r="B37" s="100">
        <v>2.2799999999999998</v>
      </c>
      <c r="C37" s="100">
        <v>4.24</v>
      </c>
      <c r="D37" s="100">
        <v>2.62</v>
      </c>
      <c r="E37" s="100">
        <v>5.45</v>
      </c>
      <c r="F37" s="100">
        <v>1.64</v>
      </c>
      <c r="G37" s="100">
        <v>19.059999999999999</v>
      </c>
      <c r="H37" s="100">
        <v>7.46</v>
      </c>
      <c r="I37" s="100">
        <v>4.24</v>
      </c>
      <c r="J37" s="100">
        <v>0.61</v>
      </c>
      <c r="K37" s="100">
        <v>44.06</v>
      </c>
      <c r="L37" s="100">
        <v>26.91</v>
      </c>
      <c r="M37" s="100">
        <v>89.63</v>
      </c>
      <c r="N37" s="100">
        <v>91.3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163" t="s">
        <v>1901</v>
      </c>
      <c r="B38" s="100">
        <v>2.2599999999999998</v>
      </c>
      <c r="C38" s="100">
        <v>4.1100000000000003</v>
      </c>
      <c r="D38" s="100">
        <v>2.42</v>
      </c>
      <c r="E38" s="100">
        <v>5.28</v>
      </c>
      <c r="F38" s="100">
        <v>1.56</v>
      </c>
      <c r="G38" s="100">
        <v>19.059999999999999</v>
      </c>
      <c r="H38" s="100">
        <v>7.46</v>
      </c>
      <c r="I38" s="100">
        <v>4.2300000000000004</v>
      </c>
      <c r="J38" s="100">
        <v>0.85</v>
      </c>
      <c r="K38" s="100">
        <v>42.84</v>
      </c>
      <c r="L38" s="100">
        <v>27.12</v>
      </c>
      <c r="M38" s="100">
        <v>88.19</v>
      </c>
      <c r="N38" s="100">
        <v>103.7</v>
      </c>
      <c r="O38" s="100">
        <v>0</v>
      </c>
      <c r="P38" s="100">
        <v>0.19</v>
      </c>
      <c r="Q38" s="100">
        <v>10</v>
      </c>
      <c r="R38" s="6"/>
      <c r="S38" s="6"/>
      <c r="T38" s="156"/>
      <c r="U38" s="6"/>
    </row>
    <row r="39" spans="1:21" customFormat="1">
      <c r="A39" s="163" t="s">
        <v>1902</v>
      </c>
      <c r="B39" s="100">
        <v>2.77</v>
      </c>
      <c r="C39" s="100">
        <v>4.96</v>
      </c>
      <c r="D39" s="100">
        <v>3.26</v>
      </c>
      <c r="E39" s="100">
        <v>5.27</v>
      </c>
      <c r="F39" s="100">
        <v>1.33</v>
      </c>
      <c r="G39" s="100">
        <v>19.059999999999999</v>
      </c>
      <c r="H39" s="100">
        <v>7.46</v>
      </c>
      <c r="I39" s="100">
        <v>4.3499999999999996</v>
      </c>
      <c r="J39" s="100">
        <v>0.63</v>
      </c>
      <c r="K39" s="100">
        <v>43.84</v>
      </c>
      <c r="L39" s="100">
        <v>27.38</v>
      </c>
      <c r="M39" s="100">
        <v>86.83</v>
      </c>
      <c r="N39" s="100">
        <v>109.9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 customFormat="1">
      <c r="A40" s="163" t="s">
        <v>1903</v>
      </c>
      <c r="B40" s="100">
        <v>2.27</v>
      </c>
      <c r="C40" s="100">
        <v>4.18</v>
      </c>
      <c r="D40" s="100">
        <v>2.54</v>
      </c>
      <c r="E40" s="100">
        <v>5.17</v>
      </c>
      <c r="F40" s="100">
        <v>1.48</v>
      </c>
      <c r="G40" s="100">
        <v>19.809999999999999</v>
      </c>
      <c r="H40" s="100">
        <v>7</v>
      </c>
      <c r="I40" s="100">
        <v>4.3600000000000003</v>
      </c>
      <c r="J40" s="100">
        <v>0.21</v>
      </c>
      <c r="K40" s="100">
        <v>84.76</v>
      </c>
      <c r="L40" s="100">
        <v>27.93</v>
      </c>
      <c r="M40" s="100">
        <v>85.7</v>
      </c>
      <c r="N40" s="100">
        <v>118.7</v>
      </c>
      <c r="O40" s="100">
        <v>0</v>
      </c>
      <c r="P40" s="100">
        <v>0.19</v>
      </c>
      <c r="Q40" s="100">
        <v>10</v>
      </c>
      <c r="R40" s="6"/>
      <c r="S40" s="6"/>
      <c r="T40" s="156"/>
      <c r="U40" s="6"/>
    </row>
    <row r="41" spans="1:21" customFormat="1">
      <c r="A41" s="163" t="s">
        <v>1904</v>
      </c>
      <c r="B41" s="100">
        <v>2.37</v>
      </c>
      <c r="C41" s="100">
        <v>4.41</v>
      </c>
      <c r="D41" s="100">
        <v>2.83</v>
      </c>
      <c r="E41" s="100">
        <v>5.32</v>
      </c>
      <c r="F41" s="100">
        <v>1.77</v>
      </c>
      <c r="G41" s="100">
        <v>23.32</v>
      </c>
      <c r="H41" s="100">
        <v>5.54</v>
      </c>
      <c r="I41" s="100">
        <v>4.3600000000000003</v>
      </c>
      <c r="J41" s="100">
        <v>0.17</v>
      </c>
      <c r="K41" s="100">
        <v>141.30000000000001</v>
      </c>
      <c r="L41" s="100">
        <v>28.47</v>
      </c>
      <c r="M41" s="100">
        <v>83.89</v>
      </c>
      <c r="N41" s="100">
        <v>131.1</v>
      </c>
      <c r="O41" s="100">
        <v>0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163" t="s">
        <v>1905</v>
      </c>
      <c r="B42" s="100">
        <v>2.4700000000000002</v>
      </c>
      <c r="C42" s="100">
        <v>4.7</v>
      </c>
      <c r="D42" s="100">
        <v>3.23</v>
      </c>
      <c r="E42" s="100">
        <v>5.49</v>
      </c>
      <c r="F42" s="100">
        <v>2.14</v>
      </c>
      <c r="G42" s="100">
        <v>23.32</v>
      </c>
      <c r="H42" s="100">
        <v>5.54</v>
      </c>
      <c r="I42" s="100">
        <v>4.34</v>
      </c>
      <c r="J42" s="100">
        <v>0.19</v>
      </c>
      <c r="K42" s="100">
        <v>130.65</v>
      </c>
      <c r="L42" s="100">
        <v>28.9</v>
      </c>
      <c r="M42" s="100">
        <v>82.96</v>
      </c>
      <c r="N42" s="100">
        <v>151.6</v>
      </c>
      <c r="O42" s="100">
        <v>0</v>
      </c>
      <c r="P42" s="100">
        <v>0.19</v>
      </c>
      <c r="Q42" s="100">
        <v>10</v>
      </c>
      <c r="R42" s="6"/>
      <c r="S42" s="6"/>
      <c r="T42" s="156"/>
      <c r="U42" s="6"/>
    </row>
    <row r="43" spans="1:21" customFormat="1">
      <c r="A43" s="163" t="s">
        <v>1906</v>
      </c>
      <c r="B43" s="100">
        <v>2.5499999999999998</v>
      </c>
      <c r="C43" s="100">
        <v>4.8899999999999997</v>
      </c>
      <c r="D43" s="100">
        <v>3.47</v>
      </c>
      <c r="E43" s="100">
        <v>5.19</v>
      </c>
      <c r="F43" s="100">
        <v>1.22</v>
      </c>
      <c r="G43" s="100">
        <v>23.32</v>
      </c>
      <c r="H43" s="100">
        <v>5.54</v>
      </c>
      <c r="I43" s="100">
        <v>4.3499999999999996</v>
      </c>
      <c r="J43" s="100">
        <v>7.0000000000000007E-2</v>
      </c>
      <c r="K43" s="100">
        <v>138.69</v>
      </c>
      <c r="L43" s="100">
        <v>29.36</v>
      </c>
      <c r="M43" s="100">
        <v>82.33</v>
      </c>
      <c r="N43" s="100">
        <v>187.5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163" t="s">
        <v>1907</v>
      </c>
      <c r="B44" s="100">
        <v>2.2599999999999998</v>
      </c>
      <c r="C44" s="100">
        <v>4.42</v>
      </c>
      <c r="D44" s="100">
        <v>3</v>
      </c>
      <c r="E44" s="100">
        <v>5.1100000000000003</v>
      </c>
      <c r="F44" s="100">
        <v>1.02</v>
      </c>
      <c r="G44" s="100">
        <v>23.93</v>
      </c>
      <c r="H44" s="100">
        <v>6.05</v>
      </c>
      <c r="I44" s="100">
        <v>4.3899999999999997</v>
      </c>
      <c r="J44" s="100">
        <v>0.2</v>
      </c>
      <c r="K44" s="100">
        <v>151.68</v>
      </c>
      <c r="L44" s="100">
        <v>29.78</v>
      </c>
      <c r="M44" s="100">
        <v>79.510000000000005</v>
      </c>
      <c r="N44" s="100">
        <v>207.4</v>
      </c>
      <c r="O44" s="100">
        <v>0</v>
      </c>
      <c r="P44" s="100">
        <v>0.18</v>
      </c>
      <c r="Q44" s="100">
        <v>10</v>
      </c>
      <c r="R44" s="6"/>
      <c r="S44" s="6"/>
      <c r="T44" s="156"/>
      <c r="U44" s="6"/>
    </row>
    <row r="45" spans="1:21" customFormat="1">
      <c r="A45" s="163" t="s">
        <v>1908</v>
      </c>
      <c r="B45" s="100">
        <v>1.72</v>
      </c>
      <c r="C45" s="100">
        <v>3.61</v>
      </c>
      <c r="D45" s="100">
        <v>2.29</v>
      </c>
      <c r="E45" s="100">
        <v>5.36</v>
      </c>
      <c r="F45" s="100">
        <v>1.22</v>
      </c>
      <c r="G45" s="100">
        <v>26.78</v>
      </c>
      <c r="H45" s="100">
        <v>7.66</v>
      </c>
      <c r="I45" s="100">
        <v>4.46</v>
      </c>
      <c r="J45" s="100">
        <v>0.12</v>
      </c>
      <c r="K45" s="100">
        <v>174.63</v>
      </c>
      <c r="L45" s="100">
        <v>29.76</v>
      </c>
      <c r="M45" s="100">
        <v>79.87</v>
      </c>
      <c r="N45" s="100">
        <v>167.9</v>
      </c>
      <c r="O45" s="100">
        <v>0</v>
      </c>
      <c r="P45" s="100">
        <v>0.19</v>
      </c>
      <c r="Q45" s="100">
        <v>10</v>
      </c>
      <c r="R45" s="6"/>
      <c r="S45" s="6"/>
      <c r="T45" s="156"/>
      <c r="U45" s="6"/>
    </row>
    <row r="46" spans="1:21" customFormat="1">
      <c r="A46" s="163" t="s">
        <v>1909</v>
      </c>
      <c r="B46" s="100">
        <v>1.83</v>
      </c>
      <c r="C46" s="100">
        <v>3.75</v>
      </c>
      <c r="D46" s="100">
        <v>2.38</v>
      </c>
      <c r="E46" s="100">
        <v>5.29</v>
      </c>
      <c r="F46" s="100">
        <v>2</v>
      </c>
      <c r="G46" s="100">
        <v>26.78</v>
      </c>
      <c r="H46" s="100">
        <v>7.66</v>
      </c>
      <c r="I46" s="100">
        <v>4.5599999999999996</v>
      </c>
      <c r="J46" s="100">
        <v>0.2</v>
      </c>
      <c r="K46" s="100">
        <v>217.42</v>
      </c>
      <c r="L46" s="100">
        <v>29.52</v>
      </c>
      <c r="M46" s="100">
        <v>78.37</v>
      </c>
      <c r="N46" s="100">
        <v>220.5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163" t="s">
        <v>1910</v>
      </c>
      <c r="B47" s="100">
        <v>1.97</v>
      </c>
      <c r="C47" s="100">
        <v>4.05</v>
      </c>
      <c r="D47" s="100">
        <v>2.74</v>
      </c>
      <c r="E47" s="100">
        <v>5.23</v>
      </c>
      <c r="F47" s="100">
        <v>1.73</v>
      </c>
      <c r="G47" s="100">
        <v>26.78</v>
      </c>
      <c r="H47" s="100">
        <v>7.66</v>
      </c>
      <c r="I47" s="100">
        <v>4.67</v>
      </c>
      <c r="J47" s="100">
        <v>0.16</v>
      </c>
      <c r="K47" s="100">
        <v>192.77</v>
      </c>
      <c r="L47" s="100">
        <v>30.44</v>
      </c>
      <c r="M47" s="100">
        <v>74.61</v>
      </c>
      <c r="N47" s="100">
        <v>231.6</v>
      </c>
      <c r="O47" s="100">
        <v>0</v>
      </c>
      <c r="P47" s="100">
        <v>0.18</v>
      </c>
      <c r="Q47" s="100">
        <v>10</v>
      </c>
      <c r="R47" s="6"/>
      <c r="S47" s="6"/>
      <c r="T47" s="156"/>
      <c r="U47" s="6"/>
    </row>
    <row r="48" spans="1:21" customFormat="1">
      <c r="A48" s="163" t="s">
        <v>1911</v>
      </c>
      <c r="B48" s="100">
        <v>1.74</v>
      </c>
      <c r="C48" s="100">
        <v>3.72</v>
      </c>
      <c r="D48" s="100">
        <v>2.48</v>
      </c>
      <c r="E48" s="100">
        <v>5.0599999999999996</v>
      </c>
      <c r="F48" s="100">
        <v>1.27</v>
      </c>
      <c r="G48" s="100">
        <v>26.95</v>
      </c>
      <c r="H48" s="100">
        <v>8.9700000000000006</v>
      </c>
      <c r="I48" s="100">
        <v>4.74</v>
      </c>
      <c r="J48" s="100">
        <v>0.1</v>
      </c>
      <c r="K48" s="100">
        <v>194.26</v>
      </c>
      <c r="L48" s="100">
        <v>30.41</v>
      </c>
      <c r="M48" s="100">
        <v>75.959999999999994</v>
      </c>
      <c r="N48" s="100">
        <v>210.3</v>
      </c>
      <c r="O48" s="100">
        <v>0</v>
      </c>
      <c r="P48" s="100">
        <v>0.17</v>
      </c>
      <c r="Q48" s="100">
        <v>10</v>
      </c>
      <c r="R48" s="6"/>
      <c r="S48" s="6"/>
      <c r="T48" s="156"/>
      <c r="U48" s="6"/>
    </row>
    <row r="49" spans="1:21" customFormat="1">
      <c r="A49" s="163" t="s">
        <v>1912</v>
      </c>
      <c r="B49" s="100">
        <v>2.06</v>
      </c>
      <c r="C49" s="100">
        <v>4.4000000000000004</v>
      </c>
      <c r="D49" s="100">
        <v>3.28</v>
      </c>
      <c r="E49" s="100">
        <v>4.17</v>
      </c>
      <c r="F49" s="100">
        <v>1.1399999999999999</v>
      </c>
      <c r="G49" s="100">
        <v>27.75</v>
      </c>
      <c r="H49" s="100">
        <v>13.14</v>
      </c>
      <c r="I49" s="100">
        <v>4.7</v>
      </c>
      <c r="J49" s="100">
        <v>0.23</v>
      </c>
      <c r="K49" s="100">
        <v>202.39</v>
      </c>
      <c r="L49" s="100">
        <v>30.64</v>
      </c>
      <c r="M49" s="100">
        <v>74.06</v>
      </c>
      <c r="N49" s="100">
        <v>187</v>
      </c>
      <c r="O49" s="100">
        <v>0</v>
      </c>
      <c r="P49" s="100">
        <v>0.17</v>
      </c>
      <c r="Q49" s="100">
        <v>10</v>
      </c>
      <c r="R49" s="6"/>
      <c r="S49" s="6"/>
      <c r="T49" s="156"/>
      <c r="U49" s="6"/>
    </row>
    <row r="50" spans="1:21" customFormat="1">
      <c r="A50" s="163" t="s">
        <v>1913</v>
      </c>
      <c r="B50" s="100">
        <v>1.45</v>
      </c>
      <c r="C50" s="100">
        <v>3.18</v>
      </c>
      <c r="D50" s="100">
        <v>1.88</v>
      </c>
      <c r="E50" s="100">
        <v>5.09</v>
      </c>
      <c r="F50" s="100">
        <v>2.0099999999999998</v>
      </c>
      <c r="G50" s="100">
        <v>27.75</v>
      </c>
      <c r="H50" s="100">
        <v>13.14</v>
      </c>
      <c r="I50" s="100">
        <v>4.68</v>
      </c>
      <c r="J50" s="100">
        <v>0.26</v>
      </c>
      <c r="K50" s="100">
        <v>244.43</v>
      </c>
      <c r="L50" s="100">
        <v>30.1</v>
      </c>
      <c r="M50" s="100">
        <v>77.16</v>
      </c>
      <c r="N50" s="100">
        <v>218.9</v>
      </c>
      <c r="O50" s="100">
        <v>0</v>
      </c>
      <c r="P50" s="100">
        <v>0.17</v>
      </c>
      <c r="Q50" s="100">
        <v>10</v>
      </c>
      <c r="R50" s="6"/>
      <c r="S50" s="6"/>
      <c r="T50" s="156"/>
      <c r="U50" s="6"/>
    </row>
    <row r="51" spans="1:21" customFormat="1">
      <c r="A51" s="163" t="s">
        <v>1914</v>
      </c>
      <c r="B51" s="100">
        <v>1.51</v>
      </c>
      <c r="C51" s="100">
        <v>3.35</v>
      </c>
      <c r="D51" s="100">
        <v>2.12</v>
      </c>
      <c r="E51" s="100">
        <v>4.88</v>
      </c>
      <c r="F51" s="100">
        <v>2.0699999999999998</v>
      </c>
      <c r="G51" s="100">
        <v>27.75</v>
      </c>
      <c r="H51" s="100">
        <v>13.14</v>
      </c>
      <c r="I51" s="100">
        <v>4.66</v>
      </c>
      <c r="J51" s="100">
        <v>0.45</v>
      </c>
      <c r="K51" s="100">
        <v>270.02</v>
      </c>
      <c r="L51" s="100">
        <v>30.55</v>
      </c>
      <c r="M51" s="100">
        <v>74.069999999999993</v>
      </c>
      <c r="N51" s="100">
        <v>261.10000000000002</v>
      </c>
      <c r="O51" s="100">
        <v>0</v>
      </c>
      <c r="P51" s="100">
        <v>0.16</v>
      </c>
      <c r="Q51" s="100">
        <v>10</v>
      </c>
      <c r="R51" s="6"/>
      <c r="S51" s="6"/>
      <c r="T51" s="156"/>
      <c r="U51" s="6"/>
    </row>
    <row r="52" spans="1:21" customFormat="1">
      <c r="A52" s="163" t="s">
        <v>1915</v>
      </c>
      <c r="B52" s="100">
        <v>1.32</v>
      </c>
      <c r="C52" s="100">
        <v>2.91</v>
      </c>
      <c r="D52" s="100">
        <v>1.57</v>
      </c>
      <c r="E52" s="100">
        <v>5.07</v>
      </c>
      <c r="F52" s="100">
        <v>2.0099999999999998</v>
      </c>
      <c r="G52" s="100">
        <v>27.34</v>
      </c>
      <c r="H52" s="100">
        <v>13</v>
      </c>
      <c r="I52" s="100">
        <v>4.53</v>
      </c>
      <c r="J52" s="100">
        <v>0.35</v>
      </c>
      <c r="K52" s="100">
        <v>256.86</v>
      </c>
      <c r="L52" s="100">
        <v>30.83</v>
      </c>
      <c r="M52" s="100">
        <v>73.27</v>
      </c>
      <c r="N52" s="100">
        <v>273</v>
      </c>
      <c r="O52" s="100">
        <v>0</v>
      </c>
      <c r="P52" s="100">
        <v>0.17</v>
      </c>
      <c r="Q52" s="100">
        <v>10</v>
      </c>
      <c r="R52" s="6"/>
      <c r="S52" s="6"/>
      <c r="T52" s="156"/>
      <c r="U52" s="6"/>
    </row>
    <row r="53" spans="1:21" customFormat="1">
      <c r="A53" s="163" t="s">
        <v>1916</v>
      </c>
      <c r="B53" s="100">
        <v>1.34</v>
      </c>
      <c r="C53" s="100">
        <v>3.19</v>
      </c>
      <c r="D53" s="100">
        <v>2.0699999999999998</v>
      </c>
      <c r="E53" s="100">
        <v>4.95</v>
      </c>
      <c r="F53" s="100">
        <v>2.2999999999999998</v>
      </c>
      <c r="G53" s="100">
        <v>25.44</v>
      </c>
      <c r="H53" s="100">
        <v>12.33</v>
      </c>
      <c r="I53" s="100">
        <v>4.4400000000000004</v>
      </c>
      <c r="J53" s="100">
        <v>0.28000000000000003</v>
      </c>
      <c r="K53" s="100">
        <v>250.13</v>
      </c>
      <c r="L53" s="100">
        <v>31.24</v>
      </c>
      <c r="M53" s="100">
        <v>71.099999999999994</v>
      </c>
      <c r="N53" s="100">
        <v>290.7</v>
      </c>
      <c r="O53" s="100">
        <v>0</v>
      </c>
      <c r="P53" s="100">
        <v>0.16</v>
      </c>
      <c r="Q53" s="100">
        <v>10</v>
      </c>
      <c r="R53" s="6"/>
      <c r="S53" s="6"/>
      <c r="T53" s="156"/>
      <c r="U53" s="6"/>
    </row>
    <row r="54" spans="1:21" customFormat="1">
      <c r="A54" s="163" t="s">
        <v>1917</v>
      </c>
      <c r="B54" s="100">
        <v>1.43</v>
      </c>
      <c r="C54" s="100">
        <v>3.49</v>
      </c>
      <c r="D54" s="100">
        <v>2.5</v>
      </c>
      <c r="E54" s="100">
        <v>5.1100000000000003</v>
      </c>
      <c r="F54" s="100">
        <v>2.58</v>
      </c>
      <c r="G54" s="100">
        <v>25.44</v>
      </c>
      <c r="H54" s="100">
        <v>12.33</v>
      </c>
      <c r="I54" s="100">
        <v>4.42</v>
      </c>
      <c r="J54" s="100">
        <v>0.36</v>
      </c>
      <c r="K54" s="100">
        <v>237.61</v>
      </c>
      <c r="L54" s="100">
        <v>31.5</v>
      </c>
      <c r="M54" s="100">
        <v>69.84</v>
      </c>
      <c r="N54" s="100">
        <v>313.7</v>
      </c>
      <c r="O54" s="100">
        <v>0</v>
      </c>
      <c r="P54" s="100">
        <v>0.15</v>
      </c>
      <c r="Q54" s="100">
        <v>10</v>
      </c>
      <c r="R54" s="6"/>
      <c r="S54" s="6"/>
      <c r="T54" s="156"/>
      <c r="U54" s="6"/>
    </row>
    <row r="55" spans="1:21" customFormat="1">
      <c r="A55" s="163" t="s">
        <v>1918</v>
      </c>
      <c r="B55" s="100">
        <v>1.33</v>
      </c>
      <c r="C55" s="100">
        <v>3.32</v>
      </c>
      <c r="D55" s="100">
        <v>2.3199999999999998</v>
      </c>
      <c r="E55" s="100">
        <v>4.93</v>
      </c>
      <c r="F55" s="100">
        <v>3.68</v>
      </c>
      <c r="G55" s="100">
        <v>25.44</v>
      </c>
      <c r="H55" s="100">
        <v>12.33</v>
      </c>
      <c r="I55" s="100">
        <v>4.3499999999999996</v>
      </c>
      <c r="J55" s="100">
        <v>0.35</v>
      </c>
      <c r="K55" s="100">
        <v>242.85</v>
      </c>
      <c r="L55" s="100">
        <v>31.73</v>
      </c>
      <c r="M55" s="100">
        <v>68.37</v>
      </c>
      <c r="N55" s="100">
        <v>308.3</v>
      </c>
      <c r="O55" s="100">
        <v>0</v>
      </c>
      <c r="P55" s="100">
        <v>0.14000000000000001</v>
      </c>
      <c r="Q55" s="100">
        <v>10</v>
      </c>
      <c r="R55" s="6"/>
      <c r="S55" s="6"/>
      <c r="T55" s="156"/>
      <c r="U55" s="6"/>
    </row>
    <row r="56" spans="1:21" customFormat="1">
      <c r="A56" s="163" t="s">
        <v>1919</v>
      </c>
      <c r="B56" s="100">
        <v>1.32</v>
      </c>
      <c r="C56" s="100">
        <v>3.29</v>
      </c>
      <c r="D56" s="100">
        <v>2.2799999999999998</v>
      </c>
      <c r="E56" s="100">
        <v>4.5599999999999996</v>
      </c>
      <c r="F56" s="100">
        <v>6.12</v>
      </c>
      <c r="G56" s="100">
        <v>24.49</v>
      </c>
      <c r="H56" s="100">
        <v>11.68</v>
      </c>
      <c r="I56" s="100">
        <v>4.21</v>
      </c>
      <c r="J56" s="100">
        <v>0.22</v>
      </c>
      <c r="K56" s="100">
        <v>234.12</v>
      </c>
      <c r="L56" s="100">
        <v>31.87</v>
      </c>
      <c r="M56" s="100">
        <v>69.12</v>
      </c>
      <c r="N56" s="100">
        <v>306.7</v>
      </c>
      <c r="O56" s="100">
        <v>0</v>
      </c>
      <c r="P56" s="100">
        <v>0.13</v>
      </c>
      <c r="Q56" s="100">
        <v>10</v>
      </c>
      <c r="R56" s="6"/>
      <c r="S56" s="6"/>
      <c r="T56" s="156"/>
      <c r="U56" s="6"/>
    </row>
    <row r="57" spans="1:21" customFormat="1">
      <c r="A57" s="163" t="s">
        <v>1920</v>
      </c>
      <c r="B57" s="100">
        <v>1.26</v>
      </c>
      <c r="C57" s="100">
        <v>2.87</v>
      </c>
      <c r="D57" s="100">
        <v>1.58</v>
      </c>
      <c r="E57" s="100">
        <v>4.41</v>
      </c>
      <c r="F57" s="100">
        <v>7.47</v>
      </c>
      <c r="G57" s="100">
        <v>20.059999999999999</v>
      </c>
      <c r="H57" s="100">
        <v>9.64</v>
      </c>
      <c r="I57" s="100">
        <v>4.18</v>
      </c>
      <c r="J57" s="100">
        <v>0.55000000000000004</v>
      </c>
      <c r="K57" s="100">
        <v>306.56</v>
      </c>
      <c r="L57" s="100">
        <v>31.06</v>
      </c>
      <c r="M57" s="100">
        <v>70.37</v>
      </c>
      <c r="N57" s="100">
        <v>242.1</v>
      </c>
      <c r="O57" s="100">
        <v>0</v>
      </c>
      <c r="P57" s="100">
        <v>0.15</v>
      </c>
      <c r="Q57" s="100">
        <v>10</v>
      </c>
      <c r="R57" s="6"/>
      <c r="S57" s="6"/>
      <c r="T57" s="156"/>
      <c r="U57" s="6"/>
    </row>
    <row r="58" spans="1:21" customFormat="1">
      <c r="A58" s="163" t="s">
        <v>1921</v>
      </c>
      <c r="B58" s="100">
        <v>1.27</v>
      </c>
      <c r="C58" s="100">
        <v>3.05</v>
      </c>
      <c r="D58" s="100">
        <v>1.92</v>
      </c>
      <c r="E58" s="100">
        <v>5.19</v>
      </c>
      <c r="F58" s="100">
        <v>8.26</v>
      </c>
      <c r="G58" s="100">
        <v>20.059999999999999</v>
      </c>
      <c r="H58" s="100">
        <v>9.64</v>
      </c>
      <c r="I58" s="100">
        <v>4.1900000000000004</v>
      </c>
      <c r="J58" s="100">
        <v>0.41</v>
      </c>
      <c r="K58" s="100">
        <v>6.79</v>
      </c>
      <c r="L58" s="100">
        <v>30.88</v>
      </c>
      <c r="M58" s="100">
        <v>72.16</v>
      </c>
      <c r="N58" s="100">
        <v>188.5</v>
      </c>
      <c r="O58" s="100">
        <v>0</v>
      </c>
      <c r="P58" s="100">
        <v>0.17</v>
      </c>
      <c r="Q58" s="100">
        <v>10</v>
      </c>
      <c r="R58" s="6"/>
      <c r="S58" s="6"/>
      <c r="T58" s="156"/>
      <c r="U58" s="6"/>
    </row>
    <row r="59" spans="1:21" customFormat="1">
      <c r="A59" s="163" t="s">
        <v>1922</v>
      </c>
      <c r="B59" s="100">
        <v>1.39</v>
      </c>
      <c r="C59" s="100">
        <v>3.41</v>
      </c>
      <c r="D59" s="100">
        <v>2.42</v>
      </c>
      <c r="E59" s="100">
        <v>6.35</v>
      </c>
      <c r="F59" s="100">
        <v>9</v>
      </c>
      <c r="G59" s="100">
        <v>20.059999999999999</v>
      </c>
      <c r="H59" s="100">
        <v>9.64</v>
      </c>
      <c r="I59" s="100">
        <v>4.47</v>
      </c>
      <c r="J59" s="100">
        <v>0.3</v>
      </c>
      <c r="K59" s="100">
        <v>356.08</v>
      </c>
      <c r="L59" s="100">
        <v>31.26</v>
      </c>
      <c r="M59" s="100">
        <v>71.12</v>
      </c>
      <c r="N59" s="100">
        <v>344.9</v>
      </c>
      <c r="O59" s="100">
        <v>0</v>
      </c>
      <c r="P59" s="100">
        <v>0.19</v>
      </c>
      <c r="Q59" s="100">
        <v>10</v>
      </c>
      <c r="R59" s="6"/>
      <c r="S59" s="6"/>
      <c r="T59" s="156"/>
      <c r="U59" s="6"/>
    </row>
    <row r="60" spans="1:21" customFormat="1">
      <c r="A60" s="163" t="s">
        <v>1923</v>
      </c>
      <c r="B60" s="100">
        <v>1.41</v>
      </c>
      <c r="C60" s="100">
        <v>3.6</v>
      </c>
      <c r="D60" s="100">
        <v>2.73</v>
      </c>
      <c r="E60" s="100">
        <v>5.36</v>
      </c>
      <c r="F60" s="100">
        <v>10.54</v>
      </c>
      <c r="G60" s="100">
        <v>23.13</v>
      </c>
      <c r="H60" s="100">
        <v>12.38</v>
      </c>
      <c r="I60" s="100">
        <v>4.9400000000000004</v>
      </c>
      <c r="J60" s="100">
        <v>0.46</v>
      </c>
      <c r="K60" s="100">
        <v>285.17</v>
      </c>
      <c r="L60" s="100">
        <v>31.14</v>
      </c>
      <c r="M60" s="100">
        <v>70.92</v>
      </c>
      <c r="N60" s="100">
        <v>331.9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163" t="s">
        <v>1924</v>
      </c>
      <c r="B61" s="100">
        <v>1.5</v>
      </c>
      <c r="C61" s="100">
        <v>3.92</v>
      </c>
      <c r="D61" s="100">
        <v>3.23</v>
      </c>
      <c r="E61" s="100">
        <v>4.5599999999999996</v>
      </c>
      <c r="F61" s="100">
        <v>10.16</v>
      </c>
      <c r="G61" s="100">
        <v>36.35</v>
      </c>
      <c r="H61" s="100">
        <v>21.14</v>
      </c>
      <c r="I61" s="100">
        <v>5.43</v>
      </c>
      <c r="J61" s="100">
        <v>0.43</v>
      </c>
      <c r="K61" s="100">
        <v>277.33999999999997</v>
      </c>
      <c r="L61" s="100">
        <v>32.020000000000003</v>
      </c>
      <c r="M61" s="100">
        <v>67.41</v>
      </c>
      <c r="N61" s="100">
        <v>503</v>
      </c>
      <c r="O61" s="100">
        <v>0</v>
      </c>
      <c r="P61" s="100">
        <v>0.17</v>
      </c>
      <c r="Q61" s="100">
        <v>10</v>
      </c>
      <c r="R61" s="6"/>
      <c r="S61" s="6"/>
      <c r="T61" s="156"/>
      <c r="U61" s="6"/>
    </row>
    <row r="62" spans="1:21" customFormat="1">
      <c r="A62" s="163" t="s">
        <v>1925</v>
      </c>
      <c r="B62" s="100">
        <v>1.33</v>
      </c>
      <c r="C62" s="100">
        <v>3.31</v>
      </c>
      <c r="D62" s="100">
        <v>2.2999999999999998</v>
      </c>
      <c r="E62" s="100">
        <v>4.34</v>
      </c>
      <c r="F62" s="100">
        <v>9.91</v>
      </c>
      <c r="G62" s="100">
        <v>36.35</v>
      </c>
      <c r="H62" s="100">
        <v>21.14</v>
      </c>
      <c r="I62" s="100">
        <v>5.52</v>
      </c>
      <c r="J62" s="100">
        <v>0.46</v>
      </c>
      <c r="K62" s="100">
        <v>357.81</v>
      </c>
      <c r="L62" s="100">
        <v>32.21</v>
      </c>
      <c r="M62" s="100">
        <v>67.260000000000005</v>
      </c>
      <c r="N62" s="100">
        <v>331.9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163" t="s">
        <v>1926</v>
      </c>
      <c r="B63" s="100">
        <v>1.27</v>
      </c>
      <c r="C63" s="100">
        <v>2.99</v>
      </c>
      <c r="D63" s="100">
        <v>1.79</v>
      </c>
      <c r="E63" s="100">
        <v>5.07</v>
      </c>
      <c r="F63" s="100">
        <v>11.2</v>
      </c>
      <c r="G63" s="100">
        <v>36.35</v>
      </c>
      <c r="H63" s="100">
        <v>21.14</v>
      </c>
      <c r="I63" s="100">
        <v>5.48</v>
      </c>
      <c r="J63" s="100">
        <v>0.46</v>
      </c>
      <c r="K63" s="100">
        <v>24.67</v>
      </c>
      <c r="L63" s="100">
        <v>31.87</v>
      </c>
      <c r="M63" s="100">
        <v>67.819999999999993</v>
      </c>
      <c r="N63" s="100">
        <v>329.2</v>
      </c>
      <c r="O63" s="100">
        <v>0</v>
      </c>
      <c r="P63" s="100">
        <v>0.19</v>
      </c>
      <c r="Q63" s="100">
        <v>10</v>
      </c>
      <c r="R63" s="6"/>
      <c r="S63" s="6"/>
      <c r="T63" s="156"/>
      <c r="U63" s="6"/>
    </row>
    <row r="64" spans="1:21" customFormat="1">
      <c r="A64" s="163" t="s">
        <v>1927</v>
      </c>
      <c r="B64" s="100">
        <v>1.28</v>
      </c>
      <c r="C64" s="100">
        <v>3.49</v>
      </c>
      <c r="D64" s="100">
        <v>2.73</v>
      </c>
      <c r="E64" s="100">
        <v>4.78</v>
      </c>
      <c r="F64" s="100">
        <v>17.010000000000002</v>
      </c>
      <c r="G64" s="100">
        <v>36.36</v>
      </c>
      <c r="H64" s="100">
        <v>20.8</v>
      </c>
      <c r="I64" s="100">
        <v>5.59</v>
      </c>
      <c r="J64" s="100">
        <v>0.18</v>
      </c>
      <c r="K64" s="100">
        <v>309.91000000000003</v>
      </c>
      <c r="L64" s="100">
        <v>31.48</v>
      </c>
      <c r="M64" s="100">
        <v>69.78</v>
      </c>
      <c r="N64" s="100">
        <v>159.6</v>
      </c>
      <c r="O64" s="100">
        <v>0</v>
      </c>
      <c r="P64" s="100">
        <v>0.19</v>
      </c>
      <c r="Q64" s="100">
        <v>10</v>
      </c>
      <c r="R64" s="6"/>
      <c r="S64" s="6"/>
      <c r="T64" s="156"/>
      <c r="U64" s="6"/>
    </row>
    <row r="65" spans="1:21" customFormat="1">
      <c r="A65" s="163" t="s">
        <v>1928</v>
      </c>
      <c r="B65" s="100">
        <v>1.32</v>
      </c>
      <c r="C65" s="100">
        <v>3.57</v>
      </c>
      <c r="D65" s="100">
        <v>2.81</v>
      </c>
      <c r="E65" s="100">
        <v>4.28</v>
      </c>
      <c r="F65" s="100">
        <v>13.58</v>
      </c>
      <c r="G65" s="100">
        <v>36.44</v>
      </c>
      <c r="H65" s="100">
        <v>19.71</v>
      </c>
      <c r="I65" s="100">
        <v>5.65</v>
      </c>
      <c r="J65" s="100">
        <v>0.15</v>
      </c>
      <c r="K65" s="100">
        <v>69.42</v>
      </c>
      <c r="L65" s="100">
        <v>31.47</v>
      </c>
      <c r="M65" s="100">
        <v>69.53</v>
      </c>
      <c r="N65" s="100">
        <v>157.19999999999999</v>
      </c>
      <c r="O65" s="100">
        <v>0</v>
      </c>
      <c r="P65" s="100">
        <v>0.19</v>
      </c>
      <c r="Q65" s="100">
        <v>10</v>
      </c>
      <c r="R65" s="6"/>
      <c r="S65" s="6"/>
      <c r="T65" s="156"/>
      <c r="U65" s="6"/>
    </row>
    <row r="66" spans="1:21" customFormat="1">
      <c r="A66" s="163" t="s">
        <v>1929</v>
      </c>
      <c r="B66" s="100">
        <v>1.25</v>
      </c>
      <c r="C66" s="100">
        <v>3.17</v>
      </c>
      <c r="D66" s="100">
        <v>2.17</v>
      </c>
      <c r="E66" s="100">
        <v>4.5199999999999996</v>
      </c>
      <c r="F66" s="100">
        <v>13.63</v>
      </c>
      <c r="G66" s="100">
        <v>36.44</v>
      </c>
      <c r="H66" s="100">
        <v>19.71</v>
      </c>
      <c r="I66" s="100">
        <v>5.56</v>
      </c>
      <c r="J66" s="100">
        <v>0.21</v>
      </c>
      <c r="K66" s="100">
        <v>204.05</v>
      </c>
      <c r="L66" s="100">
        <v>31.55</v>
      </c>
      <c r="M66" s="100">
        <v>69.819999999999993</v>
      </c>
      <c r="N66" s="100">
        <v>207</v>
      </c>
      <c r="O66" s="100">
        <v>0</v>
      </c>
      <c r="P66" s="100">
        <v>0.19</v>
      </c>
      <c r="Q66" s="100">
        <v>10</v>
      </c>
      <c r="R66" s="6"/>
      <c r="S66" s="6"/>
      <c r="T66" s="156"/>
      <c r="U66" s="6"/>
    </row>
    <row r="67" spans="1:21" customFormat="1">
      <c r="A67" s="163" t="s">
        <v>1930</v>
      </c>
      <c r="B67" s="100">
        <v>1.25</v>
      </c>
      <c r="C67" s="100">
        <v>2.7</v>
      </c>
      <c r="D67" s="100">
        <v>1.27</v>
      </c>
      <c r="E67" s="100">
        <v>4.01</v>
      </c>
      <c r="F67" s="100">
        <v>8.74</v>
      </c>
      <c r="G67" s="100">
        <v>36.44</v>
      </c>
      <c r="H67" s="100">
        <v>19.71</v>
      </c>
      <c r="I67" s="100">
        <v>5.46</v>
      </c>
      <c r="J67" s="100">
        <v>0.24</v>
      </c>
      <c r="K67" s="100">
        <v>245.55</v>
      </c>
      <c r="L67" s="100">
        <v>31.8</v>
      </c>
      <c r="M67" s="100">
        <v>67.11</v>
      </c>
      <c r="N67" s="100">
        <v>181.1</v>
      </c>
      <c r="O67" s="100">
        <v>0</v>
      </c>
      <c r="P67" s="100">
        <v>0.18</v>
      </c>
      <c r="Q67" s="100">
        <v>10</v>
      </c>
      <c r="R67" s="6"/>
      <c r="S67" s="6"/>
      <c r="T67" s="156"/>
      <c r="U67" s="6"/>
    </row>
    <row r="68" spans="1:21" customFormat="1">
      <c r="A68" s="163" t="s">
        <v>1931</v>
      </c>
      <c r="B68" s="100">
        <v>1.26</v>
      </c>
      <c r="C68" s="100">
        <v>2.95</v>
      </c>
      <c r="D68" s="100">
        <v>1.72</v>
      </c>
      <c r="E68" s="100">
        <v>3.69</v>
      </c>
      <c r="F68" s="100">
        <v>13.23</v>
      </c>
      <c r="G68" s="100">
        <v>36.56</v>
      </c>
      <c r="H68" s="100">
        <v>19.329999999999998</v>
      </c>
      <c r="I68" s="100">
        <v>5.3</v>
      </c>
      <c r="J68" s="100">
        <v>0.2</v>
      </c>
      <c r="K68" s="100">
        <v>210.98</v>
      </c>
      <c r="L68" s="100">
        <v>31.16</v>
      </c>
      <c r="M68" s="100">
        <v>70.44</v>
      </c>
      <c r="N68" s="100">
        <v>75.900000000000006</v>
      </c>
      <c r="O68" s="100">
        <v>0</v>
      </c>
      <c r="P68" s="100">
        <v>0.18</v>
      </c>
      <c r="Q68" s="100">
        <v>10</v>
      </c>
      <c r="R68" s="6"/>
      <c r="S68" s="6"/>
      <c r="T68" s="156"/>
      <c r="U68" s="6"/>
    </row>
    <row r="69" spans="1:21" customFormat="1">
      <c r="A69" s="163" t="s">
        <v>1932</v>
      </c>
      <c r="B69" s="100">
        <v>1.24</v>
      </c>
      <c r="C69" s="100">
        <v>2.29</v>
      </c>
      <c r="D69" s="100">
        <v>0.5</v>
      </c>
      <c r="E69" s="100">
        <v>3.52</v>
      </c>
      <c r="F69" s="100">
        <v>15.44</v>
      </c>
      <c r="G69" s="100">
        <v>37.11</v>
      </c>
      <c r="H69" s="100">
        <v>17.37</v>
      </c>
      <c r="I69" s="100">
        <v>5.0199999999999996</v>
      </c>
      <c r="J69" s="100">
        <v>0.28999999999999998</v>
      </c>
      <c r="K69" s="100">
        <v>251.78</v>
      </c>
      <c r="L69" s="100">
        <v>30.55</v>
      </c>
      <c r="M69" s="100">
        <v>71.45</v>
      </c>
      <c r="N69" s="100">
        <v>36.9</v>
      </c>
      <c r="O69" s="100">
        <v>0</v>
      </c>
      <c r="P69" s="100">
        <v>0.17</v>
      </c>
      <c r="Q69" s="100">
        <v>10</v>
      </c>
      <c r="R69" s="6"/>
      <c r="S69" s="6"/>
      <c r="T69" s="156"/>
      <c r="U69" s="6"/>
    </row>
    <row r="70" spans="1:21" customFormat="1">
      <c r="A70" s="163" t="s">
        <v>1933</v>
      </c>
      <c r="B70" s="100">
        <v>1.24</v>
      </c>
      <c r="C70" s="100">
        <v>2.38</v>
      </c>
      <c r="D70" s="100">
        <v>0.67</v>
      </c>
      <c r="E70" s="100">
        <v>3.55</v>
      </c>
      <c r="F70" s="100">
        <v>15.29</v>
      </c>
      <c r="G70" s="100">
        <v>37.11</v>
      </c>
      <c r="H70" s="100">
        <v>17.37</v>
      </c>
      <c r="I70" s="100">
        <v>4.87</v>
      </c>
      <c r="J70" s="100">
        <v>0.12</v>
      </c>
      <c r="K70" s="100">
        <v>171.63</v>
      </c>
      <c r="L70" s="100">
        <v>30.35</v>
      </c>
      <c r="M70" s="100">
        <v>74.7</v>
      </c>
      <c r="N70" s="100">
        <v>30.3</v>
      </c>
      <c r="O70" s="100">
        <v>0</v>
      </c>
      <c r="P70" s="100">
        <v>0.16</v>
      </c>
      <c r="Q70" s="100">
        <v>10</v>
      </c>
      <c r="R70" s="6"/>
      <c r="S70" s="6"/>
      <c r="T70" s="156"/>
      <c r="U70" s="6"/>
    </row>
    <row r="71" spans="1:21" customFormat="1">
      <c r="A71" s="163" t="s">
        <v>1934</v>
      </c>
      <c r="B71" s="100">
        <v>1.26</v>
      </c>
      <c r="C71" s="100">
        <v>2.87</v>
      </c>
      <c r="D71" s="100">
        <v>1.58</v>
      </c>
      <c r="E71" s="100">
        <v>4.05</v>
      </c>
      <c r="F71" s="100">
        <v>9.02</v>
      </c>
      <c r="G71" s="100">
        <v>37.11</v>
      </c>
      <c r="H71" s="100">
        <v>17.37</v>
      </c>
      <c r="I71" s="100">
        <v>4.66</v>
      </c>
      <c r="J71" s="100">
        <v>0.15</v>
      </c>
      <c r="K71" s="100">
        <v>202</v>
      </c>
      <c r="L71" s="100">
        <v>30.17</v>
      </c>
      <c r="M71" s="100">
        <v>74.739999999999995</v>
      </c>
      <c r="N71" s="100">
        <v>23.6</v>
      </c>
      <c r="O71" s="100">
        <v>0</v>
      </c>
      <c r="P71" s="100">
        <v>0.18</v>
      </c>
      <c r="Q71" s="100">
        <v>10</v>
      </c>
      <c r="R71" s="6"/>
      <c r="S71" s="6"/>
      <c r="T71" s="156"/>
      <c r="U71" s="6"/>
    </row>
    <row r="72" spans="1:21" customFormat="1">
      <c r="A72" s="163" t="s">
        <v>1935</v>
      </c>
      <c r="B72" s="100">
        <v>1.24</v>
      </c>
      <c r="C72" s="100">
        <v>2.82</v>
      </c>
      <c r="D72" s="100">
        <v>1.5</v>
      </c>
      <c r="E72" s="100">
        <v>3.92</v>
      </c>
      <c r="F72" s="100">
        <v>12.85</v>
      </c>
      <c r="G72" s="100">
        <v>36.24</v>
      </c>
      <c r="H72" s="100">
        <v>16.170000000000002</v>
      </c>
      <c r="I72" s="100">
        <v>4.75</v>
      </c>
      <c r="J72" s="100">
        <v>0.13</v>
      </c>
      <c r="K72" s="100">
        <v>189.43</v>
      </c>
      <c r="L72" s="100">
        <v>30.07</v>
      </c>
      <c r="M72" s="100">
        <v>76.3</v>
      </c>
      <c r="N72" s="100">
        <v>17.100000000000001</v>
      </c>
      <c r="O72" s="100">
        <v>0</v>
      </c>
      <c r="P72" s="100">
        <v>0.18</v>
      </c>
      <c r="Q72" s="100">
        <v>10</v>
      </c>
      <c r="R72" s="6"/>
      <c r="S72" s="6"/>
      <c r="T72" s="156"/>
      <c r="U72" s="6"/>
    </row>
    <row r="73" spans="1:21" customFormat="1">
      <c r="A73" s="163" t="s">
        <v>1936</v>
      </c>
      <c r="B73" s="100">
        <v>1.26</v>
      </c>
      <c r="C73" s="100">
        <v>2.92</v>
      </c>
      <c r="D73" s="100">
        <v>1.67</v>
      </c>
      <c r="E73" s="100">
        <v>3.88</v>
      </c>
      <c r="F73" s="100">
        <v>6.46</v>
      </c>
      <c r="G73" s="100">
        <v>32.229999999999997</v>
      </c>
      <c r="H73" s="100">
        <v>12.35</v>
      </c>
      <c r="I73" s="100">
        <v>4.83</v>
      </c>
      <c r="J73" s="100">
        <v>0.13</v>
      </c>
      <c r="K73" s="100">
        <v>236.29</v>
      </c>
      <c r="L73" s="100">
        <v>29.87</v>
      </c>
      <c r="M73" s="100">
        <v>74.099999999999994</v>
      </c>
      <c r="N73" s="100">
        <v>20.2</v>
      </c>
      <c r="O73" s="100">
        <v>0</v>
      </c>
      <c r="P73" s="100">
        <v>0.2</v>
      </c>
      <c r="Q73" s="100">
        <v>10</v>
      </c>
      <c r="R73" s="6"/>
      <c r="S73" s="6"/>
      <c r="T73" s="156"/>
      <c r="U73" s="6"/>
    </row>
    <row r="74" spans="1:21" customFormat="1">
      <c r="A74" s="163" t="s">
        <v>1937</v>
      </c>
      <c r="B74" s="100">
        <v>1.3</v>
      </c>
      <c r="C74" s="100">
        <v>2.88</v>
      </c>
      <c r="D74" s="100">
        <v>1.53</v>
      </c>
      <c r="E74" s="100">
        <v>4.7300000000000004</v>
      </c>
      <c r="F74" s="100">
        <v>4.53</v>
      </c>
      <c r="G74" s="100">
        <v>32.229999999999997</v>
      </c>
      <c r="H74" s="100">
        <v>12.35</v>
      </c>
      <c r="I74" s="100">
        <v>4.71</v>
      </c>
      <c r="J74" s="100">
        <v>0.26</v>
      </c>
      <c r="K74" s="100">
        <v>161.52000000000001</v>
      </c>
      <c r="L74" s="100">
        <v>29.94</v>
      </c>
      <c r="M74" s="100">
        <v>72.680000000000007</v>
      </c>
      <c r="N74" s="100">
        <v>17.5</v>
      </c>
      <c r="O74" s="100">
        <v>0</v>
      </c>
      <c r="P74" s="100">
        <v>0.21</v>
      </c>
      <c r="Q74" s="100">
        <v>10</v>
      </c>
      <c r="R74" s="6"/>
      <c r="S74" s="6"/>
      <c r="T74" s="156"/>
      <c r="U74" s="6"/>
    </row>
    <row r="75" spans="1:21" customFormat="1">
      <c r="A75" s="163" t="s">
        <v>1938</v>
      </c>
      <c r="B75" s="100">
        <v>1.3</v>
      </c>
      <c r="C75" s="100">
        <v>3.14</v>
      </c>
      <c r="D75" s="100">
        <v>2.0299999999999998</v>
      </c>
      <c r="E75" s="100">
        <v>4.82</v>
      </c>
      <c r="F75" s="100">
        <v>4.13</v>
      </c>
      <c r="G75" s="100">
        <v>32.229999999999997</v>
      </c>
      <c r="H75" s="100">
        <v>12.35</v>
      </c>
      <c r="I75" s="100">
        <v>4.84</v>
      </c>
      <c r="J75" s="100">
        <v>0.25</v>
      </c>
      <c r="K75" s="100">
        <v>149.69</v>
      </c>
      <c r="L75" s="100">
        <v>29.83</v>
      </c>
      <c r="M75" s="100">
        <v>73.13</v>
      </c>
      <c r="N75" s="100">
        <v>14.9</v>
      </c>
      <c r="O75" s="100">
        <v>0</v>
      </c>
      <c r="P75" s="100">
        <v>0.22</v>
      </c>
      <c r="Q75" s="100">
        <v>10</v>
      </c>
      <c r="R75" s="6"/>
      <c r="S75" s="6"/>
      <c r="T75" s="156"/>
      <c r="U75" s="6"/>
    </row>
    <row r="76" spans="1:21" customFormat="1">
      <c r="A76" s="163" t="s">
        <v>1939</v>
      </c>
      <c r="B76" s="100">
        <v>1.25</v>
      </c>
      <c r="C76" s="100">
        <v>3</v>
      </c>
      <c r="D76" s="100">
        <v>1.84</v>
      </c>
      <c r="E76" s="100">
        <v>4.8</v>
      </c>
      <c r="F76" s="100">
        <v>3.73</v>
      </c>
      <c r="G76" s="100">
        <v>31.58</v>
      </c>
      <c r="H76" s="100">
        <v>12.77</v>
      </c>
      <c r="I76" s="100">
        <v>4.82</v>
      </c>
      <c r="J76" s="100">
        <v>0.22</v>
      </c>
      <c r="K76" s="100">
        <v>146.63</v>
      </c>
      <c r="L76" s="100">
        <v>29.74</v>
      </c>
      <c r="M76" s="100">
        <v>75.22</v>
      </c>
      <c r="N76" s="100">
        <v>11.9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163" t="s">
        <v>1940</v>
      </c>
      <c r="B77" s="100">
        <v>1.25</v>
      </c>
      <c r="C77" s="100">
        <v>2.99</v>
      </c>
      <c r="D77" s="100">
        <v>1.81</v>
      </c>
      <c r="E77" s="100">
        <v>4.92</v>
      </c>
      <c r="F77" s="100">
        <v>2.8</v>
      </c>
      <c r="G77" s="100">
        <v>28.76</v>
      </c>
      <c r="H77" s="100">
        <v>14.12</v>
      </c>
      <c r="I77" s="100">
        <v>4.67</v>
      </c>
      <c r="J77" s="100">
        <v>0.11</v>
      </c>
      <c r="K77" s="100">
        <v>104.23</v>
      </c>
      <c r="L77" s="100">
        <v>29.4</v>
      </c>
      <c r="M77" s="100">
        <v>77.459999999999994</v>
      </c>
      <c r="N77" s="100">
        <v>10.3</v>
      </c>
      <c r="O77" s="100">
        <v>0</v>
      </c>
      <c r="P77" s="100">
        <v>0.21</v>
      </c>
      <c r="Q77" s="100">
        <v>10</v>
      </c>
      <c r="R77" s="6"/>
      <c r="S77" s="6"/>
      <c r="T77" s="156"/>
      <c r="U77" s="6"/>
    </row>
    <row r="78" spans="1:21" customFormat="1">
      <c r="A78" s="163" t="s">
        <v>1941</v>
      </c>
      <c r="B78" s="100">
        <v>1.24</v>
      </c>
      <c r="C78" s="100">
        <v>2.25</v>
      </c>
      <c r="D78" s="100">
        <v>0.42</v>
      </c>
      <c r="E78" s="100">
        <v>5.23</v>
      </c>
      <c r="F78" s="100">
        <v>2.21</v>
      </c>
      <c r="G78" s="100">
        <v>28.76</v>
      </c>
      <c r="H78" s="100">
        <v>14.12</v>
      </c>
      <c r="I78" s="100">
        <v>4.57</v>
      </c>
      <c r="J78" s="100">
        <v>0.19</v>
      </c>
      <c r="K78" s="100">
        <v>172.94</v>
      </c>
      <c r="L78" s="100">
        <v>28.59</v>
      </c>
      <c r="M78" s="100">
        <v>82.51</v>
      </c>
      <c r="N78" s="100">
        <v>10</v>
      </c>
      <c r="O78" s="100">
        <v>0</v>
      </c>
      <c r="P78" s="100">
        <v>0.21</v>
      </c>
      <c r="Q78" s="100">
        <v>10</v>
      </c>
      <c r="R78" s="6"/>
      <c r="S78" s="6"/>
      <c r="T78" s="156"/>
      <c r="U78" s="6"/>
    </row>
    <row r="79" spans="1:21" customFormat="1">
      <c r="A79" s="163" t="s">
        <v>1942</v>
      </c>
      <c r="B79" s="100">
        <v>1.46</v>
      </c>
      <c r="C79" s="100">
        <v>3.46</v>
      </c>
      <c r="D79" s="100">
        <v>2.39</v>
      </c>
      <c r="E79" s="100">
        <v>4.8600000000000003</v>
      </c>
      <c r="F79" s="100">
        <v>2.1800000000000002</v>
      </c>
      <c r="G79" s="100">
        <v>28.76</v>
      </c>
      <c r="H79" s="100">
        <v>14.12</v>
      </c>
      <c r="I79" s="100">
        <v>4.71</v>
      </c>
      <c r="J79" s="100">
        <v>0.11</v>
      </c>
      <c r="K79" s="100">
        <v>121.94</v>
      </c>
      <c r="L79" s="100">
        <v>27.9</v>
      </c>
      <c r="M79" s="100">
        <v>89.06</v>
      </c>
      <c r="N79" s="100">
        <v>9.4</v>
      </c>
      <c r="O79" s="100">
        <v>0.2</v>
      </c>
      <c r="P79" s="100">
        <v>0.21</v>
      </c>
      <c r="Q79" s="100">
        <v>10</v>
      </c>
      <c r="R79" s="6"/>
      <c r="S79" s="6"/>
      <c r="T79" s="156"/>
      <c r="U79" s="6"/>
    </row>
    <row r="80" spans="1:21" customFormat="1">
      <c r="A80" s="163" t="s">
        <v>1943</v>
      </c>
      <c r="B80" s="100">
        <v>1.49</v>
      </c>
      <c r="C80" s="100">
        <v>3.84</v>
      </c>
      <c r="D80" s="100">
        <v>3.07</v>
      </c>
      <c r="E80" s="100">
        <v>5.0199999999999996</v>
      </c>
      <c r="F80" s="100">
        <v>2.12</v>
      </c>
      <c r="G80" s="100">
        <v>28.21</v>
      </c>
      <c r="H80" s="100">
        <v>14</v>
      </c>
      <c r="I80" s="100">
        <v>4.87</v>
      </c>
      <c r="J80" s="100">
        <v>0.15</v>
      </c>
      <c r="K80" s="100">
        <v>165.44</v>
      </c>
      <c r="L80" s="100">
        <v>27.55</v>
      </c>
      <c r="M80" s="100">
        <v>90.3</v>
      </c>
      <c r="N80" s="100">
        <v>10.8</v>
      </c>
      <c r="O80" s="100">
        <v>0</v>
      </c>
      <c r="P80" s="100">
        <v>0.21</v>
      </c>
      <c r="Q80" s="100">
        <v>10</v>
      </c>
      <c r="R80" s="6"/>
      <c r="S80" s="6"/>
      <c r="T80" s="156"/>
      <c r="U80" s="6"/>
    </row>
    <row r="81" spans="1:21" customFormat="1">
      <c r="A81" s="163" t="s">
        <v>1944</v>
      </c>
      <c r="B81" s="100">
        <v>1.34</v>
      </c>
      <c r="C81" s="100">
        <v>3.28</v>
      </c>
      <c r="D81" s="100">
        <v>2.23</v>
      </c>
      <c r="E81" s="100">
        <v>4.24</v>
      </c>
      <c r="F81" s="100">
        <v>1.23</v>
      </c>
      <c r="G81" s="100">
        <v>25.67</v>
      </c>
      <c r="H81" s="100">
        <v>13.62</v>
      </c>
      <c r="I81" s="100">
        <v>4.78</v>
      </c>
      <c r="J81" s="100">
        <v>0.06</v>
      </c>
      <c r="K81" s="100">
        <v>119.19</v>
      </c>
      <c r="L81" s="100">
        <v>27.42</v>
      </c>
      <c r="M81" s="100">
        <v>92.59</v>
      </c>
      <c r="N81" s="100">
        <v>10</v>
      </c>
      <c r="O81" s="100">
        <v>0</v>
      </c>
      <c r="P81" s="100">
        <v>0.21</v>
      </c>
      <c r="Q81" s="100">
        <v>10</v>
      </c>
      <c r="R81" s="6"/>
      <c r="S81" s="6"/>
      <c r="T81" s="156"/>
      <c r="U81" s="6"/>
    </row>
    <row r="82" spans="1:21" customFormat="1">
      <c r="A82" s="163" t="s">
        <v>1945</v>
      </c>
      <c r="B82" s="100">
        <v>1.57</v>
      </c>
      <c r="C82" s="100">
        <v>3.91</v>
      </c>
      <c r="D82" s="100">
        <v>3.09</v>
      </c>
      <c r="E82" s="100">
        <v>5.09</v>
      </c>
      <c r="F82" s="100">
        <v>1.51</v>
      </c>
      <c r="G82" s="100">
        <v>25.67</v>
      </c>
      <c r="H82" s="100">
        <v>13.62</v>
      </c>
      <c r="I82" s="100">
        <v>4.7300000000000004</v>
      </c>
      <c r="J82" s="100">
        <v>0.11</v>
      </c>
      <c r="K82" s="100">
        <v>193.43</v>
      </c>
      <c r="L82" s="100">
        <v>27.34</v>
      </c>
      <c r="M82" s="100">
        <v>93.24</v>
      </c>
      <c r="N82" s="100">
        <v>7.7</v>
      </c>
      <c r="O82" s="100">
        <v>0</v>
      </c>
      <c r="P82" s="100">
        <v>0.21</v>
      </c>
      <c r="Q82" s="100">
        <v>10</v>
      </c>
      <c r="R82" s="6"/>
      <c r="S82" s="6"/>
      <c r="T82" s="156"/>
      <c r="U82" s="6"/>
    </row>
    <row r="83" spans="1:21" customFormat="1">
      <c r="A83" s="163" t="s">
        <v>1946</v>
      </c>
      <c r="B83" s="100">
        <v>1.3</v>
      </c>
      <c r="C83" s="100">
        <v>2.99</v>
      </c>
      <c r="D83" s="100">
        <v>1.74</v>
      </c>
      <c r="E83" s="100">
        <v>5.08</v>
      </c>
      <c r="F83" s="100">
        <v>1.87</v>
      </c>
      <c r="G83" s="100">
        <v>25.67</v>
      </c>
      <c r="H83" s="100">
        <v>13.62</v>
      </c>
      <c r="I83" s="100">
        <v>4.76</v>
      </c>
      <c r="J83" s="100">
        <v>0.12</v>
      </c>
      <c r="K83" s="100">
        <v>132.91</v>
      </c>
      <c r="L83" s="100">
        <v>27.35</v>
      </c>
      <c r="M83" s="100">
        <v>94.56</v>
      </c>
      <c r="N83" s="100">
        <v>3.6</v>
      </c>
      <c r="O83" s="100">
        <v>0</v>
      </c>
      <c r="P83" s="100">
        <v>0.21</v>
      </c>
      <c r="Q83" s="100">
        <v>10</v>
      </c>
      <c r="R83" s="6"/>
      <c r="S83" s="6"/>
      <c r="T83" s="156"/>
      <c r="U83" s="6"/>
    </row>
    <row r="84" spans="1:21" customFormat="1">
      <c r="A84" s="163" t="s">
        <v>1947</v>
      </c>
      <c r="B84" s="100">
        <v>1.26</v>
      </c>
      <c r="C84" s="100">
        <v>2.85</v>
      </c>
      <c r="D84" s="100">
        <v>1.54</v>
      </c>
      <c r="E84" s="100">
        <v>4.74</v>
      </c>
      <c r="F84" s="100">
        <v>2.79</v>
      </c>
      <c r="G84" s="100">
        <v>25.63</v>
      </c>
      <c r="H84" s="100">
        <v>13.4</v>
      </c>
      <c r="I84" s="100">
        <v>4.76</v>
      </c>
      <c r="J84" s="100">
        <v>0.11</v>
      </c>
      <c r="K84" s="100">
        <v>147.37</v>
      </c>
      <c r="L84" s="100">
        <v>27.46</v>
      </c>
      <c r="M84" s="100">
        <v>94.22</v>
      </c>
      <c r="N84" s="100">
        <v>2.2000000000000002</v>
      </c>
      <c r="O84" s="100">
        <v>0</v>
      </c>
      <c r="P84" s="100">
        <v>0.21</v>
      </c>
      <c r="Q84" s="100">
        <v>10</v>
      </c>
      <c r="R84" s="6"/>
      <c r="S84" s="6"/>
      <c r="T84" s="156"/>
      <c r="U84" s="6"/>
    </row>
    <row r="85" spans="1:21" customFormat="1">
      <c r="A85" s="163" t="s">
        <v>1948</v>
      </c>
      <c r="B85" s="100">
        <v>1.33</v>
      </c>
      <c r="C85" s="100">
        <v>2.44</v>
      </c>
      <c r="D85" s="100">
        <v>0.64</v>
      </c>
      <c r="E85" s="100">
        <v>4.87</v>
      </c>
      <c r="F85" s="100">
        <v>2.99</v>
      </c>
      <c r="G85" s="100">
        <v>25.44</v>
      </c>
      <c r="H85" s="100">
        <v>12.3</v>
      </c>
      <c r="I85" s="100">
        <v>4.6900000000000004</v>
      </c>
      <c r="J85" s="100">
        <v>0.12</v>
      </c>
      <c r="K85" s="100">
        <v>157.12</v>
      </c>
      <c r="L85" s="100">
        <v>27.41</v>
      </c>
      <c r="M85" s="100">
        <v>94.6</v>
      </c>
      <c r="N85" s="100">
        <v>2.1</v>
      </c>
      <c r="O85" s="100">
        <v>0</v>
      </c>
      <c r="P85" s="100">
        <v>0.21</v>
      </c>
      <c r="Q85" s="100">
        <v>10</v>
      </c>
      <c r="R85" s="6"/>
      <c r="S85" s="6"/>
      <c r="T85" s="156"/>
      <c r="U85" s="6"/>
    </row>
    <row r="86" spans="1:21" customFormat="1">
      <c r="A86" s="163" t="s">
        <v>1949</v>
      </c>
      <c r="B86" s="100">
        <v>1.61</v>
      </c>
      <c r="C86" s="100">
        <v>3.66</v>
      </c>
      <c r="D86" s="100">
        <v>2.5499999999999998</v>
      </c>
      <c r="E86" s="100">
        <v>5.05</v>
      </c>
      <c r="F86" s="100">
        <v>1.92</v>
      </c>
      <c r="G86" s="100">
        <v>25.44</v>
      </c>
      <c r="H86" s="100">
        <v>12.3</v>
      </c>
      <c r="I86" s="100">
        <v>4.57</v>
      </c>
      <c r="J86" s="100">
        <v>0.17</v>
      </c>
      <c r="K86" s="100">
        <v>152.54</v>
      </c>
      <c r="L86" s="100">
        <v>27.51</v>
      </c>
      <c r="M86" s="100">
        <v>93.06</v>
      </c>
      <c r="N86" s="100">
        <v>2.2000000000000002</v>
      </c>
      <c r="O86" s="100">
        <v>0</v>
      </c>
      <c r="P86" s="100">
        <v>0.21</v>
      </c>
      <c r="Q86" s="100">
        <v>10</v>
      </c>
      <c r="R86" s="6"/>
      <c r="S86" s="6"/>
      <c r="T86" s="156"/>
      <c r="U86" s="6"/>
    </row>
    <row r="87" spans="1:21" customFormat="1">
      <c r="A87" s="163" t="s">
        <v>1950</v>
      </c>
      <c r="B87" s="100">
        <v>1.61</v>
      </c>
      <c r="C87" s="100">
        <v>3.63</v>
      </c>
      <c r="D87" s="100">
        <v>2.5</v>
      </c>
      <c r="E87" s="100">
        <v>5.04</v>
      </c>
      <c r="F87" s="100">
        <v>1.27</v>
      </c>
      <c r="G87" s="100">
        <v>25.44</v>
      </c>
      <c r="H87" s="100">
        <v>12.3</v>
      </c>
      <c r="I87" s="100">
        <v>4.54</v>
      </c>
      <c r="J87" s="100">
        <v>0.12</v>
      </c>
      <c r="K87" s="100">
        <v>143.55000000000001</v>
      </c>
      <c r="L87" s="100">
        <v>27.44</v>
      </c>
      <c r="M87" s="100">
        <v>93.8</v>
      </c>
      <c r="N87" s="100">
        <v>2.1</v>
      </c>
      <c r="O87" s="100">
        <v>0</v>
      </c>
      <c r="P87" s="100">
        <v>0.21</v>
      </c>
      <c r="Q87" s="100">
        <v>10</v>
      </c>
      <c r="R87" s="6"/>
      <c r="S87" s="6"/>
      <c r="T87" s="156"/>
      <c r="U87" s="6"/>
    </row>
    <row r="88" spans="1:21" customFormat="1">
      <c r="A88" s="163" t="s">
        <v>1951</v>
      </c>
      <c r="B88" s="100">
        <v>1.24</v>
      </c>
      <c r="C88" s="100">
        <v>2.52</v>
      </c>
      <c r="D88" s="100">
        <v>0.93</v>
      </c>
      <c r="E88" s="100">
        <v>4.99</v>
      </c>
      <c r="F88" s="100">
        <v>2.6</v>
      </c>
      <c r="G88" s="100">
        <v>25.07</v>
      </c>
      <c r="H88" s="100">
        <v>12.08</v>
      </c>
      <c r="I88" s="100">
        <v>4.63</v>
      </c>
      <c r="J88" s="100">
        <v>0.08</v>
      </c>
      <c r="K88" s="100">
        <v>187.3</v>
      </c>
      <c r="L88" s="100">
        <v>27.33</v>
      </c>
      <c r="M88" s="100">
        <v>94.06</v>
      </c>
      <c r="N88" s="100">
        <v>2.2000000000000002</v>
      </c>
      <c r="O88" s="100">
        <v>0</v>
      </c>
      <c r="P88" s="100">
        <v>0.2</v>
      </c>
      <c r="Q88" s="100">
        <v>10</v>
      </c>
      <c r="R88" s="6"/>
      <c r="S88" s="6"/>
      <c r="T88" s="156"/>
      <c r="U88" s="6"/>
    </row>
    <row r="89" spans="1:21" customFormat="1">
      <c r="A89" s="163" t="s">
        <v>1952</v>
      </c>
      <c r="B89" s="100">
        <v>1.44</v>
      </c>
      <c r="C89" s="100">
        <v>3.54</v>
      </c>
      <c r="D89" s="100">
        <v>2.58</v>
      </c>
      <c r="E89" s="100">
        <v>4.99</v>
      </c>
      <c r="F89" s="100">
        <v>2.36</v>
      </c>
      <c r="G89" s="100">
        <v>23.51</v>
      </c>
      <c r="H89" s="100">
        <v>11.38</v>
      </c>
      <c r="I89" s="100">
        <v>4.62</v>
      </c>
      <c r="J89" s="100">
        <v>0.15</v>
      </c>
      <c r="K89" s="100">
        <v>12.86</v>
      </c>
      <c r="L89" s="100">
        <v>27.35</v>
      </c>
      <c r="M89" s="100">
        <v>93.41</v>
      </c>
      <c r="N89" s="100">
        <v>2.2000000000000002</v>
      </c>
      <c r="O89" s="100">
        <v>0</v>
      </c>
      <c r="P89" s="100">
        <v>0.21</v>
      </c>
      <c r="Q89" s="100">
        <v>10</v>
      </c>
      <c r="R89" s="6"/>
      <c r="S89" s="6"/>
      <c r="T89" s="156"/>
      <c r="U89" s="6"/>
    </row>
    <row r="90" spans="1:21" customFormat="1">
      <c r="A90" s="163" t="s">
        <v>1953</v>
      </c>
      <c r="B90" s="100">
        <v>1.5</v>
      </c>
      <c r="C90" s="100">
        <v>3.29</v>
      </c>
      <c r="D90" s="100">
        <v>2.0099999999999998</v>
      </c>
      <c r="E90" s="100">
        <v>5.28</v>
      </c>
      <c r="F90" s="100">
        <v>1.76</v>
      </c>
      <c r="G90" s="100">
        <v>23.51</v>
      </c>
      <c r="H90" s="100">
        <v>11.38</v>
      </c>
      <c r="I90" s="100">
        <v>4.71</v>
      </c>
      <c r="J90" s="100">
        <v>0.1</v>
      </c>
      <c r="K90" s="100">
        <v>308.45</v>
      </c>
      <c r="L90" s="100">
        <v>27.44</v>
      </c>
      <c r="M90" s="100">
        <v>85.05</v>
      </c>
      <c r="N90" s="100">
        <v>3</v>
      </c>
      <c r="O90" s="100">
        <v>0</v>
      </c>
      <c r="P90" s="100">
        <v>0.22</v>
      </c>
      <c r="Q90" s="100">
        <v>10</v>
      </c>
      <c r="R90" s="6"/>
      <c r="S90" s="6"/>
      <c r="T90" s="156"/>
      <c r="U90" s="6"/>
    </row>
    <row r="91" spans="1:21" customFormat="1">
      <c r="A91" s="163" t="s">
        <v>1954</v>
      </c>
      <c r="B91" s="100">
        <v>1.36</v>
      </c>
      <c r="C91" s="100">
        <v>2.66</v>
      </c>
      <c r="D91" s="100">
        <v>1.03</v>
      </c>
      <c r="E91" s="100">
        <v>4.96</v>
      </c>
      <c r="F91" s="100">
        <v>1.91</v>
      </c>
      <c r="G91" s="100">
        <v>23.51</v>
      </c>
      <c r="H91" s="100">
        <v>11.38</v>
      </c>
      <c r="I91" s="100">
        <v>4.7</v>
      </c>
      <c r="J91" s="100">
        <v>0.19</v>
      </c>
      <c r="K91" s="100">
        <v>160.81</v>
      </c>
      <c r="L91" s="100">
        <v>27.44</v>
      </c>
      <c r="M91" s="100">
        <v>81.36</v>
      </c>
      <c r="N91" s="100">
        <v>3.2</v>
      </c>
      <c r="O91" s="100">
        <v>0</v>
      </c>
      <c r="P91" s="100">
        <v>0.23</v>
      </c>
      <c r="Q91" s="100">
        <v>10</v>
      </c>
      <c r="R91" s="6"/>
      <c r="S91" s="6"/>
      <c r="T91" s="156"/>
      <c r="U91" s="6"/>
    </row>
    <row r="92" spans="1:21" customFormat="1">
      <c r="A92" s="163" t="s">
        <v>1955</v>
      </c>
      <c r="B92" s="100">
        <v>1.59</v>
      </c>
      <c r="C92" s="100">
        <v>3.54</v>
      </c>
      <c r="D92" s="100">
        <v>2.34</v>
      </c>
      <c r="E92" s="100">
        <v>4.9400000000000004</v>
      </c>
      <c r="F92" s="100">
        <v>1.53</v>
      </c>
      <c r="G92" s="100">
        <v>23.42</v>
      </c>
      <c r="H92" s="100">
        <v>11.11</v>
      </c>
      <c r="I92" s="100">
        <v>4.75</v>
      </c>
      <c r="J92" s="100">
        <v>0.09</v>
      </c>
      <c r="K92" s="100">
        <v>97.84</v>
      </c>
      <c r="L92" s="100">
        <v>27.26</v>
      </c>
      <c r="M92" s="100">
        <v>82.03</v>
      </c>
      <c r="N92" s="100">
        <v>2.6</v>
      </c>
      <c r="O92" s="100">
        <v>0</v>
      </c>
      <c r="P92" s="100">
        <v>0.22</v>
      </c>
      <c r="Q92" s="100">
        <v>10</v>
      </c>
      <c r="R92" s="6"/>
      <c r="S92" s="6"/>
      <c r="T92" s="156"/>
      <c r="U92" s="6"/>
    </row>
    <row r="93" spans="1:21" customFormat="1">
      <c r="A93" s="163" t="s">
        <v>1956</v>
      </c>
      <c r="B93" s="100">
        <v>1.59</v>
      </c>
      <c r="C93" s="100">
        <v>3.39</v>
      </c>
      <c r="D93" s="100">
        <v>2.0699999999999998</v>
      </c>
      <c r="E93" s="100">
        <v>5.03</v>
      </c>
      <c r="F93" s="100">
        <v>1.23</v>
      </c>
      <c r="G93" s="100">
        <v>23.07</v>
      </c>
      <c r="H93" s="100">
        <v>10.26</v>
      </c>
      <c r="I93" s="100">
        <v>4.82</v>
      </c>
      <c r="J93" s="100">
        <v>0.04</v>
      </c>
      <c r="K93" s="100">
        <v>214.54</v>
      </c>
      <c r="L93" s="100">
        <v>27.23</v>
      </c>
      <c r="M93" s="100">
        <v>80.22</v>
      </c>
      <c r="N93" s="100">
        <v>2.4</v>
      </c>
      <c r="O93" s="100">
        <v>0</v>
      </c>
      <c r="P93" s="100">
        <v>0.23</v>
      </c>
      <c r="Q93" s="100">
        <v>10</v>
      </c>
      <c r="R93" s="6"/>
      <c r="S93" s="6"/>
      <c r="T93" s="156"/>
      <c r="U93" s="6"/>
    </row>
    <row r="94" spans="1:21" customFormat="1">
      <c r="A94" s="163" t="s">
        <v>1957</v>
      </c>
      <c r="B94" s="100">
        <v>1.73</v>
      </c>
      <c r="C94" s="100">
        <v>3.64</v>
      </c>
      <c r="D94" s="100">
        <v>2.33</v>
      </c>
      <c r="E94" s="100">
        <v>5.1100000000000003</v>
      </c>
      <c r="F94" s="100">
        <v>1.24</v>
      </c>
      <c r="G94" s="100">
        <v>23.07</v>
      </c>
      <c r="H94" s="100">
        <v>10.26</v>
      </c>
      <c r="I94" s="100">
        <v>4.87</v>
      </c>
      <c r="J94" s="100">
        <v>0.2</v>
      </c>
      <c r="K94" s="100">
        <v>172.5</v>
      </c>
      <c r="L94" s="100">
        <v>27.04</v>
      </c>
      <c r="M94" s="100">
        <v>81.67</v>
      </c>
      <c r="N94" s="100">
        <v>2.6</v>
      </c>
      <c r="O94" s="100">
        <v>0</v>
      </c>
      <c r="P94" s="100">
        <v>0.23</v>
      </c>
      <c r="Q94" s="100">
        <v>10</v>
      </c>
      <c r="R94" s="6"/>
      <c r="S94" s="6"/>
      <c r="T94" s="156"/>
      <c r="U94" s="6"/>
    </row>
    <row r="95" spans="1:21" customFormat="1">
      <c r="A95" s="163" t="s">
        <v>1958</v>
      </c>
      <c r="B95" s="100">
        <v>2.0099999999999998</v>
      </c>
      <c r="C95" s="100">
        <v>4.3600000000000003</v>
      </c>
      <c r="D95" s="100">
        <v>3.28</v>
      </c>
      <c r="E95" s="100">
        <v>4.63</v>
      </c>
      <c r="F95" s="100">
        <v>2.27</v>
      </c>
      <c r="G95" s="100">
        <v>23.07</v>
      </c>
      <c r="H95" s="100">
        <v>10.26</v>
      </c>
      <c r="I95" s="100">
        <v>4.96</v>
      </c>
      <c r="J95" s="100">
        <v>0.13</v>
      </c>
      <c r="K95" s="100">
        <v>159.04</v>
      </c>
      <c r="L95" s="100">
        <v>26.77</v>
      </c>
      <c r="M95" s="100">
        <v>85.51</v>
      </c>
      <c r="N95" s="100">
        <v>2.2999999999999998</v>
      </c>
      <c r="O95" s="100">
        <v>0</v>
      </c>
      <c r="P95" s="100">
        <v>0.21</v>
      </c>
      <c r="Q95" s="100">
        <v>10</v>
      </c>
      <c r="R95" s="6"/>
      <c r="S95" s="6"/>
      <c r="T95" s="156"/>
      <c r="U95" s="6"/>
    </row>
    <row r="96" spans="1:21" customFormat="1">
      <c r="A96" s="163" t="s">
        <v>1959</v>
      </c>
      <c r="B96" s="100">
        <v>1.71</v>
      </c>
      <c r="C96" s="100">
        <v>3.49</v>
      </c>
      <c r="D96" s="100">
        <v>2.0699999999999998</v>
      </c>
      <c r="E96" s="100">
        <v>4.3600000000000003</v>
      </c>
      <c r="F96" s="100">
        <v>1.33</v>
      </c>
      <c r="G96" s="100">
        <v>26.04</v>
      </c>
      <c r="H96" s="100">
        <v>10.7</v>
      </c>
      <c r="I96" s="100">
        <v>5</v>
      </c>
      <c r="J96" s="100">
        <v>0.12</v>
      </c>
      <c r="K96" s="100">
        <v>86.69</v>
      </c>
      <c r="L96" s="100">
        <v>27.03</v>
      </c>
      <c r="M96" s="100">
        <v>83.95</v>
      </c>
      <c r="N96" s="100">
        <v>1.9</v>
      </c>
      <c r="O96" s="100">
        <v>0</v>
      </c>
      <c r="P96" s="100">
        <v>0.22</v>
      </c>
      <c r="Q96" s="100">
        <v>10</v>
      </c>
      <c r="R96" s="6"/>
      <c r="S96" s="6"/>
      <c r="T96" s="156"/>
      <c r="U96" s="6"/>
    </row>
    <row r="97" spans="1:28" customFormat="1">
      <c r="A97" s="163" t="s">
        <v>1960</v>
      </c>
      <c r="B97" s="100">
        <v>2.5499999999999998</v>
      </c>
      <c r="C97" s="100">
        <v>4.8499999999999996</v>
      </c>
      <c r="D97" s="100">
        <v>3.39</v>
      </c>
      <c r="E97" s="100">
        <v>4.55</v>
      </c>
      <c r="F97" s="100">
        <v>0.71</v>
      </c>
      <c r="G97" s="100">
        <v>38.82</v>
      </c>
      <c r="H97" s="100">
        <v>12.09</v>
      </c>
      <c r="I97" s="100">
        <v>5.09</v>
      </c>
      <c r="J97" s="100">
        <v>0.11</v>
      </c>
      <c r="K97" s="100">
        <v>123.56</v>
      </c>
      <c r="L97" s="100">
        <v>27.04</v>
      </c>
      <c r="M97" s="100">
        <v>84.33</v>
      </c>
      <c r="N97" s="100">
        <v>2.1</v>
      </c>
      <c r="O97" s="100">
        <v>0</v>
      </c>
      <c r="P97" s="100">
        <v>0.24</v>
      </c>
      <c r="Q97" s="100">
        <v>10</v>
      </c>
      <c r="R97" s="6"/>
      <c r="S97" s="6"/>
      <c r="T97" s="156"/>
      <c r="U97" s="6"/>
    </row>
    <row r="98" spans="1:28" customFormat="1">
      <c r="A98" s="163" t="s">
        <v>1961</v>
      </c>
      <c r="B98" s="100">
        <v>1.73</v>
      </c>
      <c r="C98" s="100">
        <v>3.39</v>
      </c>
      <c r="D98" s="100">
        <v>1.84</v>
      </c>
      <c r="E98" s="100">
        <v>4.49</v>
      </c>
      <c r="F98" s="100">
        <v>1.28</v>
      </c>
      <c r="G98" s="100">
        <v>38.82</v>
      </c>
      <c r="H98" s="100">
        <v>12.09</v>
      </c>
      <c r="I98" s="100">
        <v>5.32</v>
      </c>
      <c r="J98" s="100">
        <v>0.17</v>
      </c>
      <c r="K98" s="100">
        <v>181.19</v>
      </c>
      <c r="L98" s="100">
        <v>26.75</v>
      </c>
      <c r="M98" s="100">
        <v>85.98</v>
      </c>
      <c r="N98" s="100">
        <v>2.4</v>
      </c>
      <c r="O98" s="100">
        <v>0</v>
      </c>
      <c r="P98" s="100">
        <v>0.24</v>
      </c>
      <c r="Q98" s="100">
        <v>10</v>
      </c>
      <c r="R98" s="6"/>
      <c r="S98" s="6"/>
      <c r="T98" s="156"/>
      <c r="U98" s="6"/>
    </row>
    <row r="99" spans="1:28" customFormat="1">
      <c r="A99" s="163" t="s">
        <v>1962</v>
      </c>
      <c r="B99" s="100">
        <v>2.73</v>
      </c>
      <c r="C99" s="100">
        <v>5.35</v>
      </c>
      <c r="D99" s="100">
        <v>4.07</v>
      </c>
      <c r="E99" s="100">
        <v>4.25</v>
      </c>
      <c r="F99" s="100">
        <v>1.61</v>
      </c>
      <c r="G99" s="100">
        <v>38.82</v>
      </c>
      <c r="H99" s="100">
        <v>12.09</v>
      </c>
      <c r="I99" s="100">
        <v>5.42</v>
      </c>
      <c r="J99" s="100">
        <v>0.09</v>
      </c>
      <c r="K99" s="100">
        <v>189.69</v>
      </c>
      <c r="L99" s="100">
        <v>26.56</v>
      </c>
      <c r="M99" s="100">
        <v>88.23</v>
      </c>
      <c r="N99" s="100">
        <v>2.1</v>
      </c>
      <c r="O99" s="100">
        <v>0</v>
      </c>
      <c r="P99" s="100">
        <v>0.23</v>
      </c>
      <c r="Q99" s="100">
        <v>10</v>
      </c>
      <c r="R99" s="6"/>
      <c r="S99" s="6"/>
      <c r="T99" s="156"/>
      <c r="U99" s="6"/>
    </row>
    <row r="100" spans="1:28" customFormat="1">
      <c r="A100" s="163" t="s">
        <v>1963</v>
      </c>
      <c r="B100" s="100">
        <v>2.5</v>
      </c>
      <c r="C100" s="100">
        <v>4.6900000000000004</v>
      </c>
      <c r="D100" s="100">
        <v>3.15</v>
      </c>
      <c r="E100" s="100">
        <v>4.51</v>
      </c>
      <c r="F100" s="100">
        <v>0.96</v>
      </c>
      <c r="G100" s="100">
        <v>40.049999999999997</v>
      </c>
      <c r="H100" s="100">
        <v>12.44</v>
      </c>
      <c r="I100" s="100">
        <v>5.43</v>
      </c>
      <c r="J100" s="100">
        <v>0.12</v>
      </c>
      <c r="K100" s="100">
        <v>168.93</v>
      </c>
      <c r="L100" s="100">
        <v>26.53</v>
      </c>
      <c r="M100" s="100">
        <v>90.24</v>
      </c>
      <c r="N100" s="100">
        <v>2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1964</v>
      </c>
      <c r="B101" s="100">
        <v>2.0699999999999998</v>
      </c>
      <c r="C101" s="100">
        <v>3.89</v>
      </c>
      <c r="D101" s="100">
        <v>2.2799999999999998</v>
      </c>
      <c r="E101" s="100">
        <v>4.29</v>
      </c>
      <c r="F101" s="100">
        <v>1.66</v>
      </c>
      <c r="G101" s="100">
        <v>45.71</v>
      </c>
      <c r="H101" s="100">
        <v>14.23</v>
      </c>
      <c r="I101" s="100">
        <v>5.45</v>
      </c>
      <c r="J101" s="100">
        <v>0.24</v>
      </c>
      <c r="K101" s="100">
        <v>237.95</v>
      </c>
      <c r="L101" s="100">
        <v>26.59</v>
      </c>
      <c r="M101" s="100">
        <v>89.92</v>
      </c>
      <c r="N101" s="100">
        <v>2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1965</v>
      </c>
      <c r="B102" s="100">
        <v>2.34</v>
      </c>
      <c r="C102" s="100">
        <v>4.29</v>
      </c>
      <c r="D102" s="100">
        <v>2.64</v>
      </c>
      <c r="E102" s="100">
        <v>4.43</v>
      </c>
      <c r="F102" s="100">
        <v>3.71</v>
      </c>
      <c r="G102" s="100">
        <v>45.71</v>
      </c>
      <c r="H102" s="100">
        <v>14.23</v>
      </c>
      <c r="I102" s="100">
        <v>5.48</v>
      </c>
      <c r="J102" s="100">
        <v>0.16</v>
      </c>
      <c r="K102" s="100">
        <v>230.89</v>
      </c>
      <c r="L102" s="100">
        <v>26.88</v>
      </c>
      <c r="M102" s="100">
        <v>85.27</v>
      </c>
      <c r="N102" s="100">
        <v>2</v>
      </c>
      <c r="O102" s="100">
        <v>0</v>
      </c>
      <c r="P102" s="100">
        <v>0.21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1966</v>
      </c>
      <c r="B103" s="100">
        <v>2.91</v>
      </c>
      <c r="C103" s="100">
        <v>5.23</v>
      </c>
      <c r="D103" s="100">
        <v>3.57</v>
      </c>
      <c r="E103" s="100">
        <v>4.91</v>
      </c>
      <c r="F103" s="100">
        <v>2.4500000000000002</v>
      </c>
      <c r="G103" s="100">
        <v>45.71</v>
      </c>
      <c r="H103" s="100">
        <v>14.23</v>
      </c>
      <c r="I103" s="100">
        <v>5.43</v>
      </c>
      <c r="J103" s="100">
        <v>0.16</v>
      </c>
      <c r="K103" s="100">
        <v>166.14</v>
      </c>
      <c r="L103" s="100">
        <v>26.92</v>
      </c>
      <c r="M103" s="100">
        <v>85.05</v>
      </c>
      <c r="N103" s="100">
        <v>2.1</v>
      </c>
      <c r="O103" s="100">
        <v>0</v>
      </c>
      <c r="P103" s="100">
        <v>0.24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1967</v>
      </c>
      <c r="B104" s="100">
        <v>2.1</v>
      </c>
      <c r="C104" s="100">
        <v>3.9</v>
      </c>
      <c r="D104" s="100">
        <v>2.25</v>
      </c>
      <c r="E104" s="100">
        <v>4.6500000000000004</v>
      </c>
      <c r="F104" s="100">
        <v>2.67</v>
      </c>
      <c r="G104" s="100">
        <v>43.24</v>
      </c>
      <c r="H104" s="100">
        <v>14.03</v>
      </c>
      <c r="I104" s="100">
        <v>5.42</v>
      </c>
      <c r="J104" s="100">
        <v>0.17</v>
      </c>
      <c r="K104" s="100">
        <v>171.15</v>
      </c>
      <c r="L104" s="100">
        <v>26.71</v>
      </c>
      <c r="M104" s="100">
        <v>88.72</v>
      </c>
      <c r="N104" s="100">
        <v>2.2000000000000002</v>
      </c>
      <c r="O104" s="100">
        <v>0</v>
      </c>
      <c r="P104" s="100">
        <v>0.23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2.25</v>
      </c>
      <c r="D106" s="158">
        <f t="shared" ref="D106:Q106" si="0">MIN(D9:D104)</f>
        <v>0.42</v>
      </c>
      <c r="E106" s="158">
        <f t="shared" si="0"/>
        <v>3.52</v>
      </c>
      <c r="F106" s="158">
        <f t="shared" si="0"/>
        <v>0.71</v>
      </c>
      <c r="G106" s="158">
        <f t="shared" si="0"/>
        <v>11.84</v>
      </c>
      <c r="H106" s="158">
        <f t="shared" si="0"/>
        <v>5.21</v>
      </c>
      <c r="I106" s="158">
        <f t="shared" si="0"/>
        <v>3.92</v>
      </c>
      <c r="J106" s="158">
        <f t="shared" si="0"/>
        <v>0.04</v>
      </c>
      <c r="K106" s="158">
        <f t="shared" si="0"/>
        <v>6.79</v>
      </c>
      <c r="L106" s="158">
        <f t="shared" si="0"/>
        <v>25.22</v>
      </c>
      <c r="M106" s="158">
        <f t="shared" si="0"/>
        <v>67.11</v>
      </c>
      <c r="N106" s="158">
        <f t="shared" si="0"/>
        <v>1.9</v>
      </c>
      <c r="O106" s="158">
        <f t="shared" si="0"/>
        <v>0</v>
      </c>
      <c r="P106" s="158">
        <f t="shared" si="0"/>
        <v>0.13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2.91</v>
      </c>
      <c r="C107" s="157">
        <f t="shared" ref="C107:Q107" si="1">MAX(C9:C104)</f>
        <v>5.35</v>
      </c>
      <c r="D107" s="157">
        <f t="shared" si="1"/>
        <v>4.07</v>
      </c>
      <c r="E107" s="157">
        <f t="shared" si="1"/>
        <v>6.35</v>
      </c>
      <c r="F107" s="157">
        <f t="shared" si="1"/>
        <v>17.010000000000002</v>
      </c>
      <c r="G107" s="157">
        <f t="shared" si="1"/>
        <v>45.71</v>
      </c>
      <c r="H107" s="157">
        <f t="shared" si="1"/>
        <v>21.14</v>
      </c>
      <c r="I107" s="157">
        <f t="shared" si="1"/>
        <v>5.65</v>
      </c>
      <c r="J107" s="157">
        <f t="shared" si="1"/>
        <v>0.85</v>
      </c>
      <c r="K107" s="157">
        <f t="shared" si="1"/>
        <v>357.81</v>
      </c>
      <c r="L107" s="157">
        <f t="shared" si="1"/>
        <v>32.21</v>
      </c>
      <c r="M107" s="157">
        <f t="shared" si="1"/>
        <v>97.51</v>
      </c>
      <c r="N107" s="157">
        <f t="shared" si="1"/>
        <v>503</v>
      </c>
      <c r="O107" s="157">
        <f t="shared" si="1"/>
        <v>0.2</v>
      </c>
      <c r="P107" s="157">
        <f t="shared" si="1"/>
        <v>0.27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1.7026041666666665</v>
      </c>
      <c r="C108" s="158">
        <f t="shared" ref="C108:Q108" si="2">AVERAGE(C9:C104)</f>
        <v>3.6190625000000005</v>
      </c>
      <c r="D108" s="158">
        <f t="shared" si="2"/>
        <v>2.3303124999999993</v>
      </c>
      <c r="E108" s="158">
        <f t="shared" si="2"/>
        <v>4.8502083333333337</v>
      </c>
      <c r="F108" s="158">
        <f t="shared" si="2"/>
        <v>3.6942708333333329</v>
      </c>
      <c r="G108" s="158">
        <f t="shared" si="2"/>
        <v>27.281041666666685</v>
      </c>
      <c r="H108" s="158">
        <f t="shared" si="2"/>
        <v>11.777291666666665</v>
      </c>
      <c r="I108" s="158">
        <f t="shared" si="2"/>
        <v>4.6666666666666652</v>
      </c>
      <c r="J108" s="158">
        <f t="shared" si="2"/>
        <v>0.20635416666666673</v>
      </c>
      <c r="K108" s="158">
        <f t="shared" si="2"/>
        <v>173.22322916666675</v>
      </c>
      <c r="L108" s="158">
        <f t="shared" si="2"/>
        <v>28.071250000000006</v>
      </c>
      <c r="M108" s="158">
        <f t="shared" si="2"/>
        <v>84.568750000000023</v>
      </c>
      <c r="N108" s="158">
        <f t="shared" si="2"/>
        <v>80.436458333333334</v>
      </c>
      <c r="O108" s="158">
        <f t="shared" si="2"/>
        <v>4.1666666666666666E-3</v>
      </c>
      <c r="P108" s="158">
        <f t="shared" si="2"/>
        <v>0.19229166666666675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0.4447216629040473</v>
      </c>
      <c r="C109" s="158">
        <f t="shared" ref="C109:Q109" si="3">STDEV(C9:C104)</f>
        <v>0.68746686523022571</v>
      </c>
      <c r="D109" s="158">
        <f t="shared" si="3"/>
        <v>0.71988076955036384</v>
      </c>
      <c r="E109" s="158">
        <f t="shared" si="3"/>
        <v>0.52487788888998599</v>
      </c>
      <c r="F109" s="158">
        <f t="shared" si="3"/>
        <v>3.846867965882093</v>
      </c>
      <c r="G109" s="158">
        <f t="shared" si="3"/>
        <v>8.0969165644012975</v>
      </c>
      <c r="H109" s="158">
        <f t="shared" si="3"/>
        <v>3.8079068650614918</v>
      </c>
      <c r="I109" s="158">
        <f t="shared" si="3"/>
        <v>0.42597668991492621</v>
      </c>
      <c r="J109" s="158">
        <f t="shared" si="3"/>
        <v>0.1586065624955873</v>
      </c>
      <c r="K109" s="158">
        <f t="shared" si="3"/>
        <v>72.263891652962528</v>
      </c>
      <c r="L109" s="158">
        <f t="shared" si="3"/>
        <v>2.2226557135671356</v>
      </c>
      <c r="M109" s="158">
        <f t="shared" si="3"/>
        <v>10.03769361745486</v>
      </c>
      <c r="N109" s="158">
        <f t="shared" si="3"/>
        <v>115.19590555570217</v>
      </c>
      <c r="O109" s="158">
        <f t="shared" si="3"/>
        <v>2.8715177232759195E-2</v>
      </c>
      <c r="P109" s="158">
        <f t="shared" si="3"/>
        <v>3.2589283568509181E-2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4" sqref="H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1968</v>
      </c>
      <c r="B9" s="100">
        <v>2.96</v>
      </c>
      <c r="C9" s="100">
        <v>4.72</v>
      </c>
      <c r="D9" s="100">
        <v>2.54</v>
      </c>
      <c r="E9" s="100">
        <v>4.34</v>
      </c>
      <c r="F9" s="100">
        <v>3.28</v>
      </c>
      <c r="G9" s="100">
        <v>32.630000000000003</v>
      </c>
      <c r="H9" s="100">
        <v>13.39</v>
      </c>
      <c r="I9" s="100">
        <v>5.59</v>
      </c>
      <c r="J9" s="100">
        <v>0.1</v>
      </c>
      <c r="K9" s="100">
        <v>160.30000000000001</v>
      </c>
      <c r="L9" s="100">
        <v>26.55</v>
      </c>
      <c r="M9" s="100">
        <v>89.03</v>
      </c>
      <c r="N9" s="100">
        <v>2.2000000000000002</v>
      </c>
      <c r="O9" s="100">
        <v>0</v>
      </c>
      <c r="P9" s="100">
        <v>0.22</v>
      </c>
      <c r="Q9" s="100">
        <v>10</v>
      </c>
      <c r="R9" s="6"/>
      <c r="S9" s="6"/>
      <c r="T9" s="156"/>
      <c r="U9" s="6"/>
    </row>
    <row r="10" spans="1:21" customFormat="1">
      <c r="A10" s="163" t="s">
        <v>1969</v>
      </c>
      <c r="B10" s="100">
        <v>3.09</v>
      </c>
      <c r="C10" s="100">
        <v>5.04</v>
      </c>
      <c r="D10" s="100">
        <v>2.92</v>
      </c>
      <c r="E10" s="100">
        <v>4.6500000000000004</v>
      </c>
      <c r="F10" s="100">
        <v>2.34</v>
      </c>
      <c r="G10" s="100">
        <v>32.630000000000003</v>
      </c>
      <c r="H10" s="100">
        <v>13.39</v>
      </c>
      <c r="I10" s="100">
        <v>5.62</v>
      </c>
      <c r="J10" s="100">
        <v>0.13</v>
      </c>
      <c r="K10" s="100">
        <v>161.84</v>
      </c>
      <c r="L10" s="100">
        <v>26.7</v>
      </c>
      <c r="M10" s="100">
        <v>88.53</v>
      </c>
      <c r="N10" s="100">
        <v>2</v>
      </c>
      <c r="O10" s="100">
        <v>0</v>
      </c>
      <c r="P10" s="100">
        <v>0.23</v>
      </c>
      <c r="Q10" s="100">
        <v>10</v>
      </c>
      <c r="R10" s="6"/>
      <c r="S10" s="6"/>
      <c r="T10" s="156"/>
      <c r="U10" s="6"/>
    </row>
    <row r="11" spans="1:21" customFormat="1">
      <c r="A11" s="163" t="s">
        <v>1970</v>
      </c>
      <c r="B11" s="100">
        <v>2.81</v>
      </c>
      <c r="C11" s="100">
        <v>4.51</v>
      </c>
      <c r="D11" s="100">
        <v>2.34</v>
      </c>
      <c r="E11" s="100">
        <v>4.32</v>
      </c>
      <c r="F11" s="100">
        <v>1.31</v>
      </c>
      <c r="G11" s="100">
        <v>32.630000000000003</v>
      </c>
      <c r="H11" s="100">
        <v>13.39</v>
      </c>
      <c r="I11" s="100">
        <v>5.8</v>
      </c>
      <c r="J11" s="100">
        <v>0.17</v>
      </c>
      <c r="K11" s="100">
        <v>178.98</v>
      </c>
      <c r="L11" s="100">
        <v>26.55</v>
      </c>
      <c r="M11" s="100">
        <v>91.16</v>
      </c>
      <c r="N11" s="100">
        <v>2.2000000000000002</v>
      </c>
      <c r="O11" s="100">
        <v>0</v>
      </c>
      <c r="P11" s="100">
        <v>0.24</v>
      </c>
      <c r="Q11" s="100">
        <v>10</v>
      </c>
      <c r="R11" s="6"/>
      <c r="S11" s="6"/>
      <c r="T11" s="156"/>
      <c r="U11" s="6"/>
    </row>
    <row r="12" spans="1:21" customFormat="1">
      <c r="A12" s="163" t="s">
        <v>1971</v>
      </c>
      <c r="B12" s="100">
        <v>3.12</v>
      </c>
      <c r="C12" s="100">
        <v>4.9800000000000004</v>
      </c>
      <c r="D12" s="100">
        <v>2.77</v>
      </c>
      <c r="E12" s="100">
        <v>4.22</v>
      </c>
      <c r="F12" s="100">
        <v>3.01</v>
      </c>
      <c r="G12" s="100">
        <v>32.89</v>
      </c>
      <c r="H12" s="100">
        <v>13</v>
      </c>
      <c r="I12" s="100">
        <v>5.82</v>
      </c>
      <c r="J12" s="100">
        <v>0.1</v>
      </c>
      <c r="K12" s="100">
        <v>132.35</v>
      </c>
      <c r="L12" s="100">
        <v>26.57</v>
      </c>
      <c r="M12" s="100">
        <v>90.56</v>
      </c>
      <c r="N12" s="100">
        <v>2.1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163" t="s">
        <v>1972</v>
      </c>
      <c r="B13" s="100">
        <v>2.99</v>
      </c>
      <c r="C13" s="100">
        <v>4.75</v>
      </c>
      <c r="D13" s="100">
        <v>2.52</v>
      </c>
      <c r="E13" s="100">
        <v>4.88</v>
      </c>
      <c r="F13" s="100">
        <v>2.36</v>
      </c>
      <c r="G13" s="100">
        <v>34.03</v>
      </c>
      <c r="H13" s="100">
        <v>11.8</v>
      </c>
      <c r="I13" s="100">
        <v>6.12</v>
      </c>
      <c r="J13" s="100">
        <v>0.13</v>
      </c>
      <c r="K13" s="100">
        <v>165.66</v>
      </c>
      <c r="L13" s="100">
        <v>26.65</v>
      </c>
      <c r="M13" s="100">
        <v>90.89</v>
      </c>
      <c r="N13" s="100">
        <v>2.1</v>
      </c>
      <c r="O13" s="100">
        <v>0</v>
      </c>
      <c r="P13" s="100">
        <v>0.24</v>
      </c>
      <c r="Q13" s="100">
        <v>10</v>
      </c>
      <c r="R13" s="6"/>
      <c r="S13" s="6"/>
      <c r="T13" s="156"/>
      <c r="U13" s="6"/>
    </row>
    <row r="14" spans="1:21" customFormat="1">
      <c r="A14" s="163" t="s">
        <v>1973</v>
      </c>
      <c r="B14" s="100">
        <v>3.07</v>
      </c>
      <c r="C14" s="100">
        <v>5.05</v>
      </c>
      <c r="D14" s="100">
        <v>2.97</v>
      </c>
      <c r="E14" s="100">
        <v>4.82</v>
      </c>
      <c r="F14" s="100">
        <v>0.69</v>
      </c>
      <c r="G14" s="100">
        <v>34.03</v>
      </c>
      <c r="H14" s="100">
        <v>11.8</v>
      </c>
      <c r="I14" s="100">
        <v>6.41</v>
      </c>
      <c r="J14" s="100">
        <v>0.17</v>
      </c>
      <c r="K14" s="100">
        <v>163.97</v>
      </c>
      <c r="L14" s="100">
        <v>26.55</v>
      </c>
      <c r="M14" s="100">
        <v>92.8</v>
      </c>
      <c r="N14" s="100">
        <v>2.1</v>
      </c>
      <c r="O14" s="100">
        <v>0</v>
      </c>
      <c r="P14" s="100">
        <v>0.25</v>
      </c>
      <c r="Q14" s="100">
        <v>10</v>
      </c>
      <c r="R14" s="6"/>
      <c r="S14" s="6"/>
      <c r="T14" s="156"/>
      <c r="U14" s="6"/>
    </row>
    <row r="15" spans="1:21" customFormat="1">
      <c r="A15" s="163" t="s">
        <v>1974</v>
      </c>
      <c r="B15" s="100">
        <v>2.72</v>
      </c>
      <c r="C15" s="100">
        <v>4.28</v>
      </c>
      <c r="D15" s="100">
        <v>2.0299999999999998</v>
      </c>
      <c r="E15" s="100">
        <v>4.2300000000000004</v>
      </c>
      <c r="F15" s="100">
        <v>2.09</v>
      </c>
      <c r="G15" s="100">
        <v>34.03</v>
      </c>
      <c r="H15" s="100">
        <v>11.8</v>
      </c>
      <c r="I15" s="100">
        <v>6.15</v>
      </c>
      <c r="J15" s="100">
        <v>0.1</v>
      </c>
      <c r="K15" s="100">
        <v>143.59</v>
      </c>
      <c r="L15" s="100">
        <v>26.49</v>
      </c>
      <c r="M15" s="100">
        <v>92.85</v>
      </c>
      <c r="N15" s="100">
        <v>2.2000000000000002</v>
      </c>
      <c r="O15" s="100">
        <v>0</v>
      </c>
      <c r="P15" s="100">
        <v>0.27</v>
      </c>
      <c r="Q15" s="100">
        <v>10</v>
      </c>
      <c r="R15" s="6"/>
      <c r="S15" s="6"/>
      <c r="T15" s="156"/>
      <c r="U15" s="6"/>
    </row>
    <row r="16" spans="1:21" customFormat="1">
      <c r="A16" s="163" t="s">
        <v>1975</v>
      </c>
      <c r="B16" s="100">
        <v>3.58</v>
      </c>
      <c r="C16" s="100">
        <v>5.5</v>
      </c>
      <c r="D16" s="100">
        <v>3.05</v>
      </c>
      <c r="E16" s="100">
        <v>4.63</v>
      </c>
      <c r="F16" s="100">
        <v>2.46</v>
      </c>
      <c r="G16" s="100">
        <v>33.54</v>
      </c>
      <c r="H16" s="100">
        <v>11.91</v>
      </c>
      <c r="I16" s="100">
        <v>6.72</v>
      </c>
      <c r="J16" s="100">
        <v>0.14000000000000001</v>
      </c>
      <c r="K16" s="100">
        <v>160.86000000000001</v>
      </c>
      <c r="L16" s="100">
        <v>26.4</v>
      </c>
      <c r="M16" s="100">
        <v>93.67</v>
      </c>
      <c r="N16" s="100">
        <v>1.9</v>
      </c>
      <c r="O16" s="100">
        <v>0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163" t="s">
        <v>1976</v>
      </c>
      <c r="B17" s="100">
        <v>3.08</v>
      </c>
      <c r="C17" s="100">
        <v>4.8899999999999997</v>
      </c>
      <c r="D17" s="100">
        <v>2.64</v>
      </c>
      <c r="E17" s="100">
        <v>4.18</v>
      </c>
      <c r="F17" s="100">
        <v>1.49</v>
      </c>
      <c r="G17" s="100">
        <v>31.25</v>
      </c>
      <c r="H17" s="100">
        <v>12.3</v>
      </c>
      <c r="I17" s="100">
        <v>7.04</v>
      </c>
      <c r="J17" s="100">
        <v>0.11</v>
      </c>
      <c r="K17" s="100">
        <v>151.97999999999999</v>
      </c>
      <c r="L17" s="100">
        <v>26.42</v>
      </c>
      <c r="M17" s="100">
        <v>94.04</v>
      </c>
      <c r="N17" s="100">
        <v>1.7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 customFormat="1">
      <c r="A18" s="163" t="s">
        <v>1977</v>
      </c>
      <c r="B18" s="100">
        <v>3.48</v>
      </c>
      <c r="C18" s="100">
        <v>5.51</v>
      </c>
      <c r="D18" s="100">
        <v>3.23</v>
      </c>
      <c r="E18" s="100">
        <v>5.7</v>
      </c>
      <c r="F18" s="100">
        <v>1.4</v>
      </c>
      <c r="G18" s="100">
        <v>31.25</v>
      </c>
      <c r="H18" s="100">
        <v>12.3</v>
      </c>
      <c r="I18" s="100">
        <v>6.68</v>
      </c>
      <c r="J18" s="100">
        <v>0.09</v>
      </c>
      <c r="K18" s="100">
        <v>123.93</v>
      </c>
      <c r="L18" s="100">
        <v>26.52</v>
      </c>
      <c r="M18" s="100">
        <v>93.63</v>
      </c>
      <c r="N18" s="100">
        <v>1.6</v>
      </c>
      <c r="O18" s="100">
        <v>0</v>
      </c>
      <c r="P18" s="100">
        <v>0.3</v>
      </c>
      <c r="Q18" s="100">
        <v>10</v>
      </c>
      <c r="R18" s="6"/>
      <c r="S18" s="6"/>
      <c r="T18" s="156"/>
      <c r="U18" s="6"/>
    </row>
    <row r="19" spans="1:21" customFormat="1">
      <c r="A19" s="163" t="s">
        <v>1978</v>
      </c>
      <c r="B19" s="100">
        <v>3.24</v>
      </c>
      <c r="C19" s="100">
        <v>5.23</v>
      </c>
      <c r="D19" s="100">
        <v>3.05</v>
      </c>
      <c r="E19" s="100">
        <v>5.86</v>
      </c>
      <c r="F19" s="100">
        <v>1.85</v>
      </c>
      <c r="G19" s="100">
        <v>31.25</v>
      </c>
      <c r="H19" s="100">
        <v>12.3</v>
      </c>
      <c r="I19" s="100">
        <v>6.89</v>
      </c>
      <c r="J19" s="100">
        <v>0.18</v>
      </c>
      <c r="K19" s="100">
        <v>208.68</v>
      </c>
      <c r="L19" s="100">
        <v>26.64</v>
      </c>
      <c r="M19" s="100">
        <v>92.26</v>
      </c>
      <c r="N19" s="100">
        <v>1.7</v>
      </c>
      <c r="O19" s="100">
        <v>0</v>
      </c>
      <c r="P19" s="100">
        <v>0.3</v>
      </c>
      <c r="Q19" s="100">
        <v>10</v>
      </c>
      <c r="R19" s="6"/>
      <c r="S19" s="6"/>
      <c r="T19" s="156"/>
      <c r="U19" s="6"/>
    </row>
    <row r="20" spans="1:21" customFormat="1">
      <c r="A20" s="163" t="s">
        <v>1979</v>
      </c>
      <c r="B20" s="100">
        <v>2.74</v>
      </c>
      <c r="C20" s="100">
        <v>4.3499999999999996</v>
      </c>
      <c r="D20" s="100">
        <v>2.15</v>
      </c>
      <c r="E20" s="100">
        <v>5.94</v>
      </c>
      <c r="F20" s="100">
        <v>2.29</v>
      </c>
      <c r="G20" s="100">
        <v>31.57</v>
      </c>
      <c r="H20" s="100">
        <v>12.39</v>
      </c>
      <c r="I20" s="100">
        <v>6.94</v>
      </c>
      <c r="J20" s="100">
        <v>0.14000000000000001</v>
      </c>
      <c r="K20" s="100">
        <v>137.02000000000001</v>
      </c>
      <c r="L20" s="100">
        <v>26.65</v>
      </c>
      <c r="M20" s="100">
        <v>92.85</v>
      </c>
      <c r="N20" s="100">
        <v>1.7</v>
      </c>
      <c r="O20" s="100">
        <v>0</v>
      </c>
      <c r="P20" s="100">
        <v>0.3</v>
      </c>
      <c r="Q20" s="100">
        <v>10</v>
      </c>
      <c r="R20" s="6"/>
      <c r="S20" s="6"/>
      <c r="T20" s="156"/>
      <c r="U20" s="6"/>
    </row>
    <row r="21" spans="1:21" customFormat="1">
      <c r="A21" s="163" t="s">
        <v>1980</v>
      </c>
      <c r="B21" s="100">
        <v>3.05</v>
      </c>
      <c r="C21" s="100">
        <v>4.82</v>
      </c>
      <c r="D21" s="100">
        <v>2.57</v>
      </c>
      <c r="E21" s="100">
        <v>5.96</v>
      </c>
      <c r="F21" s="100">
        <v>1.33</v>
      </c>
      <c r="G21" s="100">
        <v>33.049999999999997</v>
      </c>
      <c r="H21" s="100">
        <v>12.83</v>
      </c>
      <c r="I21" s="100">
        <v>6.85</v>
      </c>
      <c r="J21" s="100">
        <v>0.12</v>
      </c>
      <c r="K21" s="100">
        <v>130.52000000000001</v>
      </c>
      <c r="L21" s="100">
        <v>26.72</v>
      </c>
      <c r="M21" s="100">
        <v>92.51</v>
      </c>
      <c r="N21" s="100">
        <v>1.9</v>
      </c>
      <c r="O21" s="100">
        <v>0</v>
      </c>
      <c r="P21" s="100">
        <v>0.28999999999999998</v>
      </c>
      <c r="Q21" s="100">
        <v>10</v>
      </c>
      <c r="R21" s="6"/>
      <c r="S21" s="6"/>
      <c r="T21" s="156"/>
      <c r="U21" s="6"/>
    </row>
    <row r="22" spans="1:21" customFormat="1">
      <c r="A22" s="163" t="s">
        <v>1981</v>
      </c>
      <c r="B22" s="100">
        <v>2.37</v>
      </c>
      <c r="C22" s="100">
        <v>3.85</v>
      </c>
      <c r="D22" s="100">
        <v>1.75</v>
      </c>
      <c r="E22" s="100">
        <v>5.87</v>
      </c>
      <c r="F22" s="100">
        <v>1.55</v>
      </c>
      <c r="G22" s="100">
        <v>33.049999999999997</v>
      </c>
      <c r="H22" s="100">
        <v>12.83</v>
      </c>
      <c r="I22" s="100">
        <v>6.82</v>
      </c>
      <c r="J22" s="100">
        <v>0.11</v>
      </c>
      <c r="K22" s="100">
        <v>174.65</v>
      </c>
      <c r="L22" s="100">
        <v>26.61</v>
      </c>
      <c r="M22" s="100">
        <v>92.92</v>
      </c>
      <c r="N22" s="100">
        <v>2</v>
      </c>
      <c r="O22" s="100">
        <v>0</v>
      </c>
      <c r="P22" s="100">
        <v>0.28999999999999998</v>
      </c>
      <c r="Q22" s="100">
        <v>10</v>
      </c>
      <c r="R22" s="6"/>
      <c r="S22" s="6"/>
      <c r="T22" s="156"/>
      <c r="U22" s="6"/>
    </row>
    <row r="23" spans="1:21" customFormat="1">
      <c r="A23" s="163" t="s">
        <v>1982</v>
      </c>
      <c r="B23" s="100">
        <v>2.41</v>
      </c>
      <c r="C23" s="100">
        <v>3.86</v>
      </c>
      <c r="D23" s="100">
        <v>1.71</v>
      </c>
      <c r="E23" s="100">
        <v>6.04</v>
      </c>
      <c r="F23" s="100">
        <v>1.3</v>
      </c>
      <c r="G23" s="100">
        <v>33.049999999999997</v>
      </c>
      <c r="H23" s="100">
        <v>12.83</v>
      </c>
      <c r="I23" s="100">
        <v>6.76</v>
      </c>
      <c r="J23" s="100">
        <v>0.1</v>
      </c>
      <c r="K23" s="100">
        <v>173.25</v>
      </c>
      <c r="L23" s="100">
        <v>26.6</v>
      </c>
      <c r="M23" s="100">
        <v>93.27</v>
      </c>
      <c r="N23" s="100">
        <v>2.1</v>
      </c>
      <c r="O23" s="100">
        <v>0</v>
      </c>
      <c r="P23" s="100">
        <v>0.28000000000000003</v>
      </c>
      <c r="Q23" s="100">
        <v>10</v>
      </c>
      <c r="R23" s="6"/>
      <c r="S23" s="6"/>
      <c r="T23" s="156"/>
      <c r="U23" s="6"/>
    </row>
    <row r="24" spans="1:21" customFormat="1">
      <c r="A24" s="163" t="s">
        <v>1983</v>
      </c>
      <c r="B24" s="100">
        <v>2.06</v>
      </c>
      <c r="C24" s="100">
        <v>3.37</v>
      </c>
      <c r="D24" s="100">
        <v>1.32</v>
      </c>
      <c r="E24" s="100">
        <v>5.76</v>
      </c>
      <c r="F24" s="100">
        <v>1.72</v>
      </c>
      <c r="G24" s="100">
        <v>32.5</v>
      </c>
      <c r="H24" s="100">
        <v>12.55</v>
      </c>
      <c r="I24" s="100">
        <v>6.73</v>
      </c>
      <c r="J24" s="100">
        <v>0.14000000000000001</v>
      </c>
      <c r="K24" s="100">
        <v>133.82</v>
      </c>
      <c r="L24" s="100">
        <v>26.79</v>
      </c>
      <c r="M24" s="100">
        <v>93.29</v>
      </c>
      <c r="N24" s="100">
        <v>2</v>
      </c>
      <c r="O24" s="100">
        <v>0</v>
      </c>
      <c r="P24" s="100">
        <v>0.27</v>
      </c>
      <c r="Q24" s="100">
        <v>10</v>
      </c>
      <c r="R24" s="6"/>
      <c r="S24" s="6"/>
      <c r="T24" s="156"/>
      <c r="U24" s="6"/>
    </row>
    <row r="25" spans="1:21" customFormat="1">
      <c r="A25" s="163" t="s">
        <v>1984</v>
      </c>
      <c r="B25" s="100">
        <v>2.92</v>
      </c>
      <c r="C25" s="100">
        <v>4.9400000000000004</v>
      </c>
      <c r="D25" s="100">
        <v>2.99</v>
      </c>
      <c r="E25" s="100">
        <v>5.74</v>
      </c>
      <c r="F25" s="100">
        <v>2.13</v>
      </c>
      <c r="G25" s="100">
        <v>29.99</v>
      </c>
      <c r="H25" s="100">
        <v>11.59</v>
      </c>
      <c r="I25" s="100">
        <v>6.63</v>
      </c>
      <c r="J25" s="100">
        <v>0.15</v>
      </c>
      <c r="K25" s="100">
        <v>132.32</v>
      </c>
      <c r="L25" s="100">
        <v>26.75</v>
      </c>
      <c r="M25" s="100">
        <v>93.24</v>
      </c>
      <c r="N25" s="100">
        <v>2.2000000000000002</v>
      </c>
      <c r="O25" s="100">
        <v>0</v>
      </c>
      <c r="P25" s="100">
        <v>0.27</v>
      </c>
      <c r="Q25" s="100">
        <v>10</v>
      </c>
      <c r="R25" s="6"/>
      <c r="S25" s="6"/>
      <c r="T25" s="156"/>
      <c r="U25" s="6"/>
    </row>
    <row r="26" spans="1:21" customFormat="1">
      <c r="A26" s="163" t="s">
        <v>1985</v>
      </c>
      <c r="B26" s="100">
        <v>2.21</v>
      </c>
      <c r="C26" s="100">
        <v>3.67</v>
      </c>
      <c r="D26" s="100">
        <v>1.65</v>
      </c>
      <c r="E26" s="100">
        <v>5.91</v>
      </c>
      <c r="F26" s="100">
        <v>2</v>
      </c>
      <c r="G26" s="100">
        <v>29.99</v>
      </c>
      <c r="H26" s="100">
        <v>11.59</v>
      </c>
      <c r="I26" s="100">
        <v>6.49</v>
      </c>
      <c r="J26" s="100">
        <v>0.12</v>
      </c>
      <c r="K26" s="100">
        <v>162.01</v>
      </c>
      <c r="L26" s="100">
        <v>26.83</v>
      </c>
      <c r="M26" s="100">
        <v>92.96</v>
      </c>
      <c r="N26" s="100">
        <v>2.2000000000000002</v>
      </c>
      <c r="O26" s="100">
        <v>0</v>
      </c>
      <c r="P26" s="100">
        <v>0.27</v>
      </c>
      <c r="Q26" s="100">
        <v>10</v>
      </c>
      <c r="R26" s="6"/>
      <c r="S26" s="6"/>
      <c r="T26" s="156"/>
      <c r="U26" s="6"/>
    </row>
    <row r="27" spans="1:21" customFormat="1">
      <c r="A27" s="163" t="s">
        <v>1986</v>
      </c>
      <c r="B27" s="100">
        <v>2.93</v>
      </c>
      <c r="C27" s="100">
        <v>4.96</v>
      </c>
      <c r="D27" s="100">
        <v>3.02</v>
      </c>
      <c r="E27" s="100">
        <v>5.72</v>
      </c>
      <c r="F27" s="100">
        <v>1.2</v>
      </c>
      <c r="G27" s="100">
        <v>29.99</v>
      </c>
      <c r="H27" s="100">
        <v>11.59</v>
      </c>
      <c r="I27" s="100">
        <v>6.36</v>
      </c>
      <c r="J27" s="100">
        <v>0.11</v>
      </c>
      <c r="K27" s="100">
        <v>189.67</v>
      </c>
      <c r="L27" s="100">
        <v>26.47</v>
      </c>
      <c r="M27" s="100">
        <v>94.37</v>
      </c>
      <c r="N27" s="100">
        <v>2.2000000000000002</v>
      </c>
      <c r="O27" s="100">
        <v>0</v>
      </c>
      <c r="P27" s="100">
        <v>0.26</v>
      </c>
      <c r="Q27" s="100">
        <v>10</v>
      </c>
      <c r="R27" s="6"/>
      <c r="S27" s="6"/>
      <c r="T27" s="156"/>
      <c r="U27" s="6"/>
    </row>
    <row r="28" spans="1:21" customFormat="1">
      <c r="A28" s="163" t="s">
        <v>1987</v>
      </c>
      <c r="B28" s="100">
        <v>2.63</v>
      </c>
      <c r="C28" s="100">
        <v>4.4000000000000004</v>
      </c>
      <c r="D28" s="100">
        <v>2.39</v>
      </c>
      <c r="E28" s="100">
        <v>6</v>
      </c>
      <c r="F28" s="100">
        <v>1.23</v>
      </c>
      <c r="G28" s="100">
        <v>29.57</v>
      </c>
      <c r="H28" s="100">
        <v>11.12</v>
      </c>
      <c r="I28" s="100">
        <v>6.31</v>
      </c>
      <c r="J28" s="100">
        <v>0.08</v>
      </c>
      <c r="K28" s="100">
        <v>199.77</v>
      </c>
      <c r="L28" s="100">
        <v>26.34</v>
      </c>
      <c r="M28" s="100">
        <v>95.64</v>
      </c>
      <c r="N28" s="100">
        <v>2.1</v>
      </c>
      <c r="O28" s="100">
        <v>0</v>
      </c>
      <c r="P28" s="100">
        <v>0.26</v>
      </c>
      <c r="Q28" s="100">
        <v>10</v>
      </c>
      <c r="R28" s="6"/>
      <c r="S28" s="6"/>
      <c r="T28" s="156"/>
      <c r="U28" s="6"/>
    </row>
    <row r="29" spans="1:21" customFormat="1">
      <c r="A29" s="163" t="s">
        <v>1988</v>
      </c>
      <c r="B29" s="100">
        <v>2.79</v>
      </c>
      <c r="C29" s="100">
        <v>4.63</v>
      </c>
      <c r="D29" s="100">
        <v>2.59</v>
      </c>
      <c r="E29" s="100">
        <v>5.93</v>
      </c>
      <c r="F29" s="100">
        <v>1.42</v>
      </c>
      <c r="G29" s="100">
        <v>27.66</v>
      </c>
      <c r="H29" s="100">
        <v>9.6199999999999992</v>
      </c>
      <c r="I29" s="100">
        <v>6.29</v>
      </c>
      <c r="J29" s="100">
        <v>0.14000000000000001</v>
      </c>
      <c r="K29" s="100">
        <v>157.24</v>
      </c>
      <c r="L29" s="100">
        <v>26.32</v>
      </c>
      <c r="M29" s="100">
        <v>96.51</v>
      </c>
      <c r="N29" s="100">
        <v>2.1</v>
      </c>
      <c r="O29" s="100">
        <v>0</v>
      </c>
      <c r="P29" s="100">
        <v>0.26</v>
      </c>
      <c r="Q29" s="100">
        <v>10</v>
      </c>
      <c r="R29" s="6"/>
      <c r="S29" s="6"/>
      <c r="T29" s="156"/>
      <c r="U29" s="6"/>
    </row>
    <row r="30" spans="1:21" customFormat="1">
      <c r="A30" s="163" t="s">
        <v>1989</v>
      </c>
      <c r="B30" s="100">
        <v>2.4</v>
      </c>
      <c r="C30" s="100">
        <v>3.92</v>
      </c>
      <c r="D30" s="100">
        <v>1.83</v>
      </c>
      <c r="E30" s="100">
        <v>6.1</v>
      </c>
      <c r="F30" s="100">
        <v>2.2200000000000002</v>
      </c>
      <c r="G30" s="100">
        <v>27.66</v>
      </c>
      <c r="H30" s="100">
        <v>9.6199999999999992</v>
      </c>
      <c r="I30" s="100">
        <v>6.34</v>
      </c>
      <c r="J30" s="100">
        <v>0.11</v>
      </c>
      <c r="K30" s="100">
        <v>143.33000000000001</v>
      </c>
      <c r="L30" s="100">
        <v>26.29</v>
      </c>
      <c r="M30" s="100">
        <v>96.92</v>
      </c>
      <c r="N30" s="100">
        <v>2.6</v>
      </c>
      <c r="O30" s="100">
        <v>0</v>
      </c>
      <c r="P30" s="100">
        <v>0.27</v>
      </c>
      <c r="Q30" s="100">
        <v>10</v>
      </c>
      <c r="R30" s="6"/>
      <c r="S30" s="6"/>
      <c r="T30" s="156"/>
      <c r="U30" s="6"/>
    </row>
    <row r="31" spans="1:21" customFormat="1">
      <c r="A31" s="163" t="s">
        <v>1990</v>
      </c>
      <c r="B31" s="100">
        <v>2.66</v>
      </c>
      <c r="C31" s="100">
        <v>4.34</v>
      </c>
      <c r="D31" s="100">
        <v>2.2400000000000002</v>
      </c>
      <c r="E31" s="100">
        <v>6.14</v>
      </c>
      <c r="F31" s="100">
        <v>2.1</v>
      </c>
      <c r="G31" s="100">
        <v>27.66</v>
      </c>
      <c r="H31" s="100">
        <v>9.6199999999999992</v>
      </c>
      <c r="I31" s="100">
        <v>6.4</v>
      </c>
      <c r="J31" s="100">
        <v>0.11</v>
      </c>
      <c r="K31" s="100">
        <v>152</v>
      </c>
      <c r="L31" s="100">
        <v>26.29</v>
      </c>
      <c r="M31" s="100">
        <v>97</v>
      </c>
      <c r="N31" s="100">
        <v>6.1</v>
      </c>
      <c r="O31" s="100">
        <v>0</v>
      </c>
      <c r="P31" s="100">
        <v>0.26</v>
      </c>
      <c r="Q31" s="100">
        <v>10</v>
      </c>
      <c r="R31" s="6"/>
      <c r="S31" s="6"/>
      <c r="T31" s="156"/>
      <c r="U31" s="6"/>
    </row>
    <row r="32" spans="1:21" customFormat="1">
      <c r="A32" s="163" t="s">
        <v>1991</v>
      </c>
      <c r="B32" s="100">
        <v>2.92</v>
      </c>
      <c r="C32" s="100">
        <v>4.78</v>
      </c>
      <c r="D32" s="100">
        <v>2.69</v>
      </c>
      <c r="E32" s="100">
        <v>6.06</v>
      </c>
      <c r="F32" s="100">
        <v>1.56</v>
      </c>
      <c r="G32" s="100">
        <v>27.13</v>
      </c>
      <c r="H32" s="100">
        <v>9.75</v>
      </c>
      <c r="I32" s="100">
        <v>6.41</v>
      </c>
      <c r="J32" s="100">
        <v>0.11</v>
      </c>
      <c r="K32" s="100">
        <v>160.88999999999999</v>
      </c>
      <c r="L32" s="100">
        <v>26.32</v>
      </c>
      <c r="M32" s="100">
        <v>97.13</v>
      </c>
      <c r="N32" s="100">
        <v>14.5</v>
      </c>
      <c r="O32" s="100">
        <v>0</v>
      </c>
      <c r="P32" s="100">
        <v>0.26</v>
      </c>
      <c r="Q32" s="100">
        <v>10</v>
      </c>
      <c r="R32" s="6"/>
      <c r="S32" s="6"/>
      <c r="T32" s="156"/>
      <c r="U32" s="6"/>
    </row>
    <row r="33" spans="1:21" customFormat="1">
      <c r="A33" s="163" t="s">
        <v>1992</v>
      </c>
      <c r="B33" s="100">
        <v>2.59</v>
      </c>
      <c r="C33" s="100">
        <v>4.13</v>
      </c>
      <c r="D33" s="100">
        <v>1.95</v>
      </c>
      <c r="E33" s="100">
        <v>5.92</v>
      </c>
      <c r="F33" s="100">
        <v>1.42</v>
      </c>
      <c r="G33" s="100">
        <v>24.7</v>
      </c>
      <c r="H33" s="100">
        <v>10.210000000000001</v>
      </c>
      <c r="I33" s="100">
        <v>6.45</v>
      </c>
      <c r="J33" s="100">
        <v>0.1</v>
      </c>
      <c r="K33" s="100">
        <v>125.42</v>
      </c>
      <c r="L33" s="100">
        <v>26.54</v>
      </c>
      <c r="M33" s="100">
        <v>97.33</v>
      </c>
      <c r="N33" s="100">
        <v>27.7</v>
      </c>
      <c r="O33" s="100">
        <v>0</v>
      </c>
      <c r="P33" s="100">
        <v>0.27</v>
      </c>
      <c r="Q33" s="100">
        <v>10</v>
      </c>
      <c r="R33" s="6"/>
      <c r="S33" s="6"/>
      <c r="T33" s="156"/>
      <c r="U33" s="6"/>
    </row>
    <row r="34" spans="1:21" customFormat="1">
      <c r="A34" s="163" t="s">
        <v>1993</v>
      </c>
      <c r="B34" s="100">
        <v>2.19</v>
      </c>
      <c r="C34" s="100">
        <v>3.63</v>
      </c>
      <c r="D34" s="100">
        <v>1.6</v>
      </c>
      <c r="E34" s="100">
        <v>6.18</v>
      </c>
      <c r="F34" s="100">
        <v>1.33</v>
      </c>
      <c r="G34" s="100">
        <v>24.7</v>
      </c>
      <c r="H34" s="100">
        <v>10.210000000000001</v>
      </c>
      <c r="I34" s="100">
        <v>6.5</v>
      </c>
      <c r="J34" s="100">
        <v>0.13</v>
      </c>
      <c r="K34" s="100">
        <v>139.26</v>
      </c>
      <c r="L34" s="100">
        <v>27.03</v>
      </c>
      <c r="M34" s="100">
        <v>95.83</v>
      </c>
      <c r="N34" s="100">
        <v>39.4</v>
      </c>
      <c r="O34" s="100">
        <v>0</v>
      </c>
      <c r="P34" s="100">
        <v>0.27</v>
      </c>
      <c r="Q34" s="100">
        <v>10</v>
      </c>
      <c r="R34" s="6"/>
      <c r="S34" s="6"/>
      <c r="T34" s="156"/>
      <c r="U34" s="6"/>
    </row>
    <row r="35" spans="1:21" customFormat="1">
      <c r="A35" s="163" t="s">
        <v>1994</v>
      </c>
      <c r="B35" s="100">
        <v>2.7</v>
      </c>
      <c r="C35" s="100">
        <v>4.33</v>
      </c>
      <c r="D35" s="100">
        <v>2.15</v>
      </c>
      <c r="E35" s="100">
        <v>6.13</v>
      </c>
      <c r="F35" s="100">
        <v>1.87</v>
      </c>
      <c r="G35" s="100">
        <v>24.7</v>
      </c>
      <c r="H35" s="100">
        <v>10.210000000000001</v>
      </c>
      <c r="I35" s="100">
        <v>6.58</v>
      </c>
      <c r="J35" s="100">
        <v>0.18</v>
      </c>
      <c r="K35" s="100">
        <v>226.75</v>
      </c>
      <c r="L35" s="100">
        <v>27.21</v>
      </c>
      <c r="M35" s="100">
        <v>94.27</v>
      </c>
      <c r="N35" s="100">
        <v>53.3</v>
      </c>
      <c r="O35" s="100">
        <v>0</v>
      </c>
      <c r="P35" s="100">
        <v>0.27</v>
      </c>
      <c r="Q35" s="100">
        <v>10</v>
      </c>
      <c r="R35" s="6"/>
      <c r="S35" s="6"/>
      <c r="T35" s="156"/>
      <c r="U35" s="6"/>
    </row>
    <row r="36" spans="1:21" customFormat="1">
      <c r="A36" s="163" t="s">
        <v>1995</v>
      </c>
      <c r="B36" s="100">
        <v>2.5499999999999998</v>
      </c>
      <c r="C36" s="100">
        <v>4.1100000000000003</v>
      </c>
      <c r="D36" s="100">
        <v>1.97</v>
      </c>
      <c r="E36" s="100">
        <v>6.14</v>
      </c>
      <c r="F36" s="100">
        <v>2.81</v>
      </c>
      <c r="G36" s="100">
        <v>24.28</v>
      </c>
      <c r="H36" s="100">
        <v>10.46</v>
      </c>
      <c r="I36" s="100">
        <v>6.61</v>
      </c>
      <c r="J36" s="100">
        <v>0.1</v>
      </c>
      <c r="K36" s="100">
        <v>210.46</v>
      </c>
      <c r="L36" s="100">
        <v>27.45</v>
      </c>
      <c r="M36" s="100">
        <v>93.78</v>
      </c>
      <c r="N36" s="100">
        <v>76</v>
      </c>
      <c r="O36" s="100">
        <v>0</v>
      </c>
      <c r="P36" s="100">
        <v>0.27</v>
      </c>
      <c r="Q36" s="100">
        <v>10</v>
      </c>
      <c r="R36" s="6"/>
      <c r="S36" s="6"/>
      <c r="T36" s="156"/>
      <c r="U36" s="6"/>
    </row>
    <row r="37" spans="1:21" customFormat="1">
      <c r="A37" s="163" t="s">
        <v>1996</v>
      </c>
      <c r="B37" s="100">
        <v>2.69</v>
      </c>
      <c r="C37" s="100">
        <v>4.45</v>
      </c>
      <c r="D37" s="100">
        <v>2.41</v>
      </c>
      <c r="E37" s="100">
        <v>6.17</v>
      </c>
      <c r="F37" s="100">
        <v>1.52</v>
      </c>
      <c r="G37" s="100">
        <v>22.33</v>
      </c>
      <c r="H37" s="100">
        <v>11.64</v>
      </c>
      <c r="I37" s="100">
        <v>6.62</v>
      </c>
      <c r="J37" s="100">
        <v>0.32</v>
      </c>
      <c r="K37" s="100">
        <v>264.95</v>
      </c>
      <c r="L37" s="100">
        <v>27.84</v>
      </c>
      <c r="M37" s="100">
        <v>91.36</v>
      </c>
      <c r="N37" s="100">
        <v>90.4</v>
      </c>
      <c r="O37" s="100">
        <v>0</v>
      </c>
      <c r="P37" s="100">
        <v>0.26</v>
      </c>
      <c r="Q37" s="100">
        <v>10</v>
      </c>
      <c r="R37" s="6"/>
      <c r="S37" s="6"/>
      <c r="T37" s="156"/>
      <c r="U37" s="6"/>
    </row>
    <row r="38" spans="1:21" customFormat="1">
      <c r="A38" s="163" t="s">
        <v>1997</v>
      </c>
      <c r="B38" s="100">
        <v>2.64</v>
      </c>
      <c r="C38" s="100">
        <v>4.32</v>
      </c>
      <c r="D38" s="100">
        <v>2.2400000000000002</v>
      </c>
      <c r="E38" s="100">
        <v>5.86</v>
      </c>
      <c r="F38" s="100">
        <v>3.24</v>
      </c>
      <c r="G38" s="100">
        <v>22.33</v>
      </c>
      <c r="H38" s="100">
        <v>11.64</v>
      </c>
      <c r="I38" s="100">
        <v>6.6</v>
      </c>
      <c r="J38" s="100">
        <v>0.34</v>
      </c>
      <c r="K38" s="100">
        <v>250.17</v>
      </c>
      <c r="L38" s="100">
        <v>28.09</v>
      </c>
      <c r="M38" s="100">
        <v>89.52</v>
      </c>
      <c r="N38" s="100">
        <v>108.3</v>
      </c>
      <c r="O38" s="100">
        <v>0</v>
      </c>
      <c r="P38" s="100">
        <v>0.23</v>
      </c>
      <c r="Q38" s="100">
        <v>10</v>
      </c>
      <c r="R38" s="6"/>
      <c r="S38" s="6"/>
      <c r="T38" s="156"/>
      <c r="U38" s="6"/>
    </row>
    <row r="39" spans="1:21" customFormat="1">
      <c r="A39" s="163" t="s">
        <v>1998</v>
      </c>
      <c r="B39" s="100">
        <v>2.61</v>
      </c>
      <c r="C39" s="100">
        <v>4.3099999999999996</v>
      </c>
      <c r="D39" s="100">
        <v>2.27</v>
      </c>
      <c r="E39" s="100">
        <v>5.4</v>
      </c>
      <c r="F39" s="100">
        <v>4.18</v>
      </c>
      <c r="G39" s="100">
        <v>22.33</v>
      </c>
      <c r="H39" s="100">
        <v>11.64</v>
      </c>
      <c r="I39" s="100">
        <v>6.63</v>
      </c>
      <c r="J39" s="100">
        <v>0.28999999999999998</v>
      </c>
      <c r="K39" s="100">
        <v>264.43</v>
      </c>
      <c r="L39" s="100">
        <v>28.54</v>
      </c>
      <c r="M39" s="100">
        <v>86.34</v>
      </c>
      <c r="N39" s="100">
        <v>137.80000000000001</v>
      </c>
      <c r="O39" s="100">
        <v>0</v>
      </c>
      <c r="P39" s="100">
        <v>0.22</v>
      </c>
      <c r="Q39" s="100">
        <v>10</v>
      </c>
      <c r="R39" s="6"/>
      <c r="S39" s="6"/>
      <c r="T39" s="156"/>
      <c r="U39" s="6"/>
    </row>
    <row r="40" spans="1:21" customFormat="1">
      <c r="A40" s="163" t="s">
        <v>1999</v>
      </c>
      <c r="B40" s="100">
        <v>3.14</v>
      </c>
      <c r="C40" s="100">
        <v>5.18</v>
      </c>
      <c r="D40" s="100">
        <v>3.12</v>
      </c>
      <c r="E40" s="100">
        <v>5.16</v>
      </c>
      <c r="F40" s="100">
        <v>4.6500000000000004</v>
      </c>
      <c r="G40" s="100">
        <v>22.54</v>
      </c>
      <c r="H40" s="100">
        <v>11.78</v>
      </c>
      <c r="I40" s="100">
        <v>6.53</v>
      </c>
      <c r="J40" s="100">
        <v>0.41</v>
      </c>
      <c r="K40" s="100">
        <v>268.64999999999998</v>
      </c>
      <c r="L40" s="100">
        <v>28.84</v>
      </c>
      <c r="M40" s="100">
        <v>83.82</v>
      </c>
      <c r="N40" s="100">
        <v>134.30000000000001</v>
      </c>
      <c r="O40" s="100">
        <v>0</v>
      </c>
      <c r="P40" s="100">
        <v>0.22</v>
      </c>
      <c r="Q40" s="100">
        <v>10</v>
      </c>
      <c r="R40" s="6"/>
      <c r="S40" s="6"/>
      <c r="T40" s="156"/>
      <c r="U40" s="6"/>
    </row>
    <row r="41" spans="1:21" customFormat="1">
      <c r="A41" s="163" t="s">
        <v>2000</v>
      </c>
      <c r="B41" s="100">
        <v>2.97</v>
      </c>
      <c r="C41" s="100">
        <v>4.92</v>
      </c>
      <c r="D41" s="100">
        <v>2.87</v>
      </c>
      <c r="E41" s="100">
        <v>5.23</v>
      </c>
      <c r="F41" s="100">
        <v>2.34</v>
      </c>
      <c r="G41" s="100">
        <v>23.5</v>
      </c>
      <c r="H41" s="100">
        <v>12.23</v>
      </c>
      <c r="I41" s="100">
        <v>6.4</v>
      </c>
      <c r="J41" s="100">
        <v>0.3</v>
      </c>
      <c r="K41" s="100">
        <v>253.98</v>
      </c>
      <c r="L41" s="100">
        <v>29.48</v>
      </c>
      <c r="M41" s="100">
        <v>81.27</v>
      </c>
      <c r="N41" s="100">
        <v>158.5</v>
      </c>
      <c r="O41" s="100">
        <v>0</v>
      </c>
      <c r="P41" s="100">
        <v>0.21</v>
      </c>
      <c r="Q41" s="100">
        <v>10</v>
      </c>
      <c r="R41" s="6"/>
      <c r="S41" s="6"/>
      <c r="T41" s="156"/>
      <c r="U41" s="6"/>
    </row>
    <row r="42" spans="1:21" customFormat="1">
      <c r="A42" s="163" t="s">
        <v>2001</v>
      </c>
      <c r="B42" s="100">
        <v>2.68</v>
      </c>
      <c r="C42" s="100">
        <v>4.38</v>
      </c>
      <c r="D42" s="100">
        <v>2.29</v>
      </c>
      <c r="E42" s="100">
        <v>5.47</v>
      </c>
      <c r="F42" s="100">
        <v>1.51</v>
      </c>
      <c r="G42" s="100">
        <v>23.5</v>
      </c>
      <c r="H42" s="100">
        <v>12.23</v>
      </c>
      <c r="I42" s="100">
        <v>6.48</v>
      </c>
      <c r="J42" s="100">
        <v>0.31</v>
      </c>
      <c r="K42" s="100">
        <v>263.04000000000002</v>
      </c>
      <c r="L42" s="100">
        <v>29.88</v>
      </c>
      <c r="M42" s="100">
        <v>78.83</v>
      </c>
      <c r="N42" s="100">
        <v>180.4</v>
      </c>
      <c r="O42" s="100">
        <v>0</v>
      </c>
      <c r="P42" s="100">
        <v>0.23</v>
      </c>
      <c r="Q42" s="100">
        <v>10</v>
      </c>
      <c r="R42" s="6"/>
      <c r="S42" s="6"/>
      <c r="T42" s="156"/>
      <c r="U42" s="6"/>
    </row>
    <row r="43" spans="1:21" customFormat="1">
      <c r="A43" s="163" t="s">
        <v>2002</v>
      </c>
      <c r="B43" s="100">
        <v>2.48</v>
      </c>
      <c r="C43" s="100">
        <v>4.13</v>
      </c>
      <c r="D43" s="100">
        <v>2.11</v>
      </c>
      <c r="E43" s="100">
        <v>5.7</v>
      </c>
      <c r="F43" s="100">
        <v>3.02</v>
      </c>
      <c r="G43" s="100">
        <v>23.5</v>
      </c>
      <c r="H43" s="100">
        <v>12.23</v>
      </c>
      <c r="I43" s="100">
        <v>6.49</v>
      </c>
      <c r="J43" s="100">
        <v>0.28999999999999998</v>
      </c>
      <c r="K43" s="100">
        <v>283.74</v>
      </c>
      <c r="L43" s="100">
        <v>30.27</v>
      </c>
      <c r="M43" s="100">
        <v>77.430000000000007</v>
      </c>
      <c r="N43" s="100">
        <v>232.7</v>
      </c>
      <c r="O43" s="100">
        <v>0</v>
      </c>
      <c r="P43" s="100">
        <v>0.22</v>
      </c>
      <c r="Q43" s="100">
        <v>10</v>
      </c>
      <c r="R43" s="6"/>
      <c r="S43" s="6"/>
      <c r="T43" s="156"/>
      <c r="U43" s="6"/>
    </row>
    <row r="44" spans="1:21" customFormat="1">
      <c r="A44" s="163" t="s">
        <v>2003</v>
      </c>
      <c r="B44" s="100">
        <v>2.71</v>
      </c>
      <c r="C44" s="100">
        <v>4.63</v>
      </c>
      <c r="D44" s="100">
        <v>2.72</v>
      </c>
      <c r="E44" s="100">
        <v>5.28</v>
      </c>
      <c r="F44" s="100">
        <v>6.07</v>
      </c>
      <c r="G44" s="100">
        <v>24.5</v>
      </c>
      <c r="H44" s="100">
        <v>12.63</v>
      </c>
      <c r="I44" s="100">
        <v>6.56</v>
      </c>
      <c r="J44" s="100">
        <v>0.18</v>
      </c>
      <c r="K44" s="100">
        <v>232.54</v>
      </c>
      <c r="L44" s="100">
        <v>30.26</v>
      </c>
      <c r="M44" s="100">
        <v>77.38</v>
      </c>
      <c r="N44" s="100">
        <v>186.3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163" t="s">
        <v>2004</v>
      </c>
      <c r="B45" s="100">
        <v>2.23</v>
      </c>
      <c r="C45" s="100">
        <v>3.72</v>
      </c>
      <c r="D45" s="100">
        <v>1.71</v>
      </c>
      <c r="E45" s="100">
        <v>5.52</v>
      </c>
      <c r="F45" s="100">
        <v>6.12</v>
      </c>
      <c r="G45" s="100">
        <v>29.09</v>
      </c>
      <c r="H45" s="100">
        <v>14.01</v>
      </c>
      <c r="I45" s="100">
        <v>6.44</v>
      </c>
      <c r="J45" s="100">
        <v>0.17</v>
      </c>
      <c r="K45" s="100">
        <v>232.87</v>
      </c>
      <c r="L45" s="100">
        <v>30.19</v>
      </c>
      <c r="M45" s="100">
        <v>76.39</v>
      </c>
      <c r="N45" s="100">
        <v>204.4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163" t="s">
        <v>2005</v>
      </c>
      <c r="B46" s="100">
        <v>2.66</v>
      </c>
      <c r="C46" s="100">
        <v>4.62</v>
      </c>
      <c r="D46" s="100">
        <v>2.78</v>
      </c>
      <c r="E46" s="100">
        <v>5.21</v>
      </c>
      <c r="F46" s="100">
        <v>5.65</v>
      </c>
      <c r="G46" s="100">
        <v>29.09</v>
      </c>
      <c r="H46" s="100">
        <v>14.01</v>
      </c>
      <c r="I46" s="100">
        <v>6.18</v>
      </c>
      <c r="J46" s="100">
        <v>0.32</v>
      </c>
      <c r="K46" s="100">
        <v>260.7</v>
      </c>
      <c r="L46" s="100">
        <v>30.29</v>
      </c>
      <c r="M46" s="100">
        <v>77.62</v>
      </c>
      <c r="N46" s="100">
        <v>208.3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163" t="s">
        <v>2006</v>
      </c>
      <c r="B47" s="100">
        <v>2.94</v>
      </c>
      <c r="C47" s="100">
        <v>5.09</v>
      </c>
      <c r="D47" s="100">
        <v>3.25</v>
      </c>
      <c r="E47" s="100">
        <v>5.15</v>
      </c>
      <c r="F47" s="100">
        <v>6.34</v>
      </c>
      <c r="G47" s="100">
        <v>29.09</v>
      </c>
      <c r="H47" s="100">
        <v>14.01</v>
      </c>
      <c r="I47" s="100">
        <v>6.09</v>
      </c>
      <c r="J47" s="100">
        <v>0.47</v>
      </c>
      <c r="K47" s="100">
        <v>268.67</v>
      </c>
      <c r="L47" s="100">
        <v>30.46</v>
      </c>
      <c r="M47" s="100">
        <v>76.94</v>
      </c>
      <c r="N47" s="100">
        <v>285.7</v>
      </c>
      <c r="O47" s="100">
        <v>0</v>
      </c>
      <c r="P47" s="100">
        <v>0.19</v>
      </c>
      <c r="Q47" s="100">
        <v>10</v>
      </c>
      <c r="R47" s="6"/>
      <c r="S47" s="6"/>
      <c r="T47" s="156"/>
      <c r="U47" s="6"/>
    </row>
    <row r="48" spans="1:21" customFormat="1">
      <c r="A48" s="163" t="s">
        <v>2007</v>
      </c>
      <c r="B48" s="100">
        <v>2.33</v>
      </c>
      <c r="C48" s="100">
        <v>3.98</v>
      </c>
      <c r="D48" s="100">
        <v>2.0499999999999998</v>
      </c>
      <c r="E48" s="100">
        <v>4.9400000000000004</v>
      </c>
      <c r="F48" s="100">
        <v>7.41</v>
      </c>
      <c r="G48" s="100">
        <v>29.66</v>
      </c>
      <c r="H48" s="100">
        <v>14.68</v>
      </c>
      <c r="I48" s="100">
        <v>6.12</v>
      </c>
      <c r="J48" s="100">
        <v>0.42</v>
      </c>
      <c r="K48" s="100">
        <v>237.29</v>
      </c>
      <c r="L48" s="100">
        <v>30.83</v>
      </c>
      <c r="M48" s="100">
        <v>75.44</v>
      </c>
      <c r="N48" s="100">
        <v>324.8</v>
      </c>
      <c r="O48" s="100">
        <v>0</v>
      </c>
      <c r="P48" s="100">
        <v>0.2</v>
      </c>
      <c r="Q48" s="100">
        <v>10</v>
      </c>
      <c r="R48" s="6"/>
      <c r="S48" s="6"/>
      <c r="T48" s="156"/>
      <c r="U48" s="6"/>
    </row>
    <row r="49" spans="1:21" customFormat="1">
      <c r="A49" s="163" t="s">
        <v>2008</v>
      </c>
      <c r="B49" s="100">
        <v>2.4300000000000002</v>
      </c>
      <c r="C49" s="100">
        <v>4.26</v>
      </c>
      <c r="D49" s="100">
        <v>2.44</v>
      </c>
      <c r="E49" s="100">
        <v>5.0599999999999996</v>
      </c>
      <c r="F49" s="100">
        <v>4.8499999999999996</v>
      </c>
      <c r="G49" s="100">
        <v>32.28</v>
      </c>
      <c r="H49" s="100">
        <v>16.809999999999999</v>
      </c>
      <c r="I49" s="100">
        <v>6.11</v>
      </c>
      <c r="J49" s="100">
        <v>0.54</v>
      </c>
      <c r="K49" s="100">
        <v>251.16</v>
      </c>
      <c r="L49" s="100">
        <v>31.17</v>
      </c>
      <c r="M49" s="100">
        <v>73.73</v>
      </c>
      <c r="N49" s="100">
        <v>278.2</v>
      </c>
      <c r="O49" s="100">
        <v>0</v>
      </c>
      <c r="P49" s="100">
        <v>0.19</v>
      </c>
      <c r="Q49" s="100">
        <v>10</v>
      </c>
      <c r="R49" s="6"/>
      <c r="S49" s="6"/>
      <c r="T49" s="156"/>
      <c r="U49" s="6"/>
    </row>
    <row r="50" spans="1:21" customFormat="1">
      <c r="A50" s="163" t="s">
        <v>2009</v>
      </c>
      <c r="B50" s="100">
        <v>2.19</v>
      </c>
      <c r="C50" s="100">
        <v>3.92</v>
      </c>
      <c r="D50" s="100">
        <v>2.16</v>
      </c>
      <c r="E50" s="100">
        <v>6.25</v>
      </c>
      <c r="F50" s="100">
        <v>4.0199999999999996</v>
      </c>
      <c r="G50" s="100">
        <v>32.28</v>
      </c>
      <c r="H50" s="100">
        <v>16.809999999999999</v>
      </c>
      <c r="I50" s="100">
        <v>6.04</v>
      </c>
      <c r="J50" s="100">
        <v>0.57999999999999996</v>
      </c>
      <c r="K50" s="100">
        <v>279.42</v>
      </c>
      <c r="L50" s="100">
        <v>31.02</v>
      </c>
      <c r="M50" s="100">
        <v>73.95</v>
      </c>
      <c r="N50" s="100">
        <v>321.2</v>
      </c>
      <c r="O50" s="100">
        <v>0</v>
      </c>
      <c r="P50" s="100">
        <v>0.23</v>
      </c>
      <c r="Q50" s="100">
        <v>10</v>
      </c>
      <c r="R50" s="6"/>
      <c r="S50" s="6"/>
      <c r="T50" s="156"/>
      <c r="U50" s="6"/>
    </row>
    <row r="51" spans="1:21" customFormat="1">
      <c r="A51" s="163" t="s">
        <v>2010</v>
      </c>
      <c r="B51" s="100">
        <v>1.99</v>
      </c>
      <c r="C51" s="100">
        <v>3.44</v>
      </c>
      <c r="D51" s="100">
        <v>1.53</v>
      </c>
      <c r="E51" s="100">
        <v>6.39</v>
      </c>
      <c r="F51" s="100">
        <v>4.03</v>
      </c>
      <c r="G51" s="100">
        <v>32.28</v>
      </c>
      <c r="H51" s="100">
        <v>16.809999999999999</v>
      </c>
      <c r="I51" s="100">
        <v>6.09</v>
      </c>
      <c r="J51" s="100">
        <v>0.52</v>
      </c>
      <c r="K51" s="100">
        <v>279.72000000000003</v>
      </c>
      <c r="L51" s="100">
        <v>32.119999999999997</v>
      </c>
      <c r="M51" s="100">
        <v>69.62</v>
      </c>
      <c r="N51" s="100">
        <v>318.60000000000002</v>
      </c>
      <c r="O51" s="100">
        <v>0</v>
      </c>
      <c r="P51" s="100">
        <v>0.21</v>
      </c>
      <c r="Q51" s="100">
        <v>10</v>
      </c>
      <c r="R51" s="6"/>
      <c r="S51" s="6"/>
      <c r="T51" s="156"/>
      <c r="U51" s="6"/>
    </row>
    <row r="52" spans="1:21" customFormat="1">
      <c r="A52" s="163" t="s">
        <v>2011</v>
      </c>
      <c r="B52" s="100">
        <v>2.09</v>
      </c>
      <c r="C52" s="100">
        <v>3.74</v>
      </c>
      <c r="D52" s="100">
        <v>1.96</v>
      </c>
      <c r="E52" s="100">
        <v>6.39</v>
      </c>
      <c r="F52" s="100">
        <v>7.08</v>
      </c>
      <c r="G52" s="100">
        <v>33.380000000000003</v>
      </c>
      <c r="H52" s="100">
        <v>17.13</v>
      </c>
      <c r="I52" s="100">
        <v>6.27</v>
      </c>
      <c r="J52" s="100">
        <v>0.61</v>
      </c>
      <c r="K52" s="100">
        <v>289.56</v>
      </c>
      <c r="L52" s="100">
        <v>32.020000000000003</v>
      </c>
      <c r="M52" s="100">
        <v>68.22</v>
      </c>
      <c r="N52" s="100">
        <v>279.3</v>
      </c>
      <c r="O52" s="100">
        <v>0</v>
      </c>
      <c r="P52" s="100">
        <v>0.23</v>
      </c>
      <c r="Q52" s="100">
        <v>10</v>
      </c>
      <c r="R52" s="6"/>
      <c r="S52" s="6"/>
      <c r="T52" s="156"/>
      <c r="U52" s="6"/>
    </row>
    <row r="53" spans="1:21" customFormat="1">
      <c r="A53" s="163" t="s">
        <v>2012</v>
      </c>
      <c r="B53" s="100">
        <v>2.42</v>
      </c>
      <c r="C53" s="100">
        <v>4.62</v>
      </c>
      <c r="D53" s="100">
        <v>3.16</v>
      </c>
      <c r="E53" s="100">
        <v>6.54</v>
      </c>
      <c r="F53" s="100">
        <v>6.27</v>
      </c>
      <c r="G53" s="100">
        <v>38.46</v>
      </c>
      <c r="H53" s="100">
        <v>18.75</v>
      </c>
      <c r="I53" s="100">
        <v>6.17</v>
      </c>
      <c r="J53" s="100">
        <v>0.3</v>
      </c>
      <c r="K53" s="100">
        <v>256.87</v>
      </c>
      <c r="L53" s="100">
        <v>32.49</v>
      </c>
      <c r="M53" s="100">
        <v>66.260000000000005</v>
      </c>
      <c r="N53" s="100">
        <v>234.8</v>
      </c>
      <c r="O53" s="100">
        <v>0</v>
      </c>
      <c r="P53" s="100">
        <v>0.22</v>
      </c>
      <c r="Q53" s="100">
        <v>10</v>
      </c>
      <c r="R53" s="6"/>
      <c r="S53" s="6"/>
      <c r="T53" s="156"/>
      <c r="U53" s="6"/>
    </row>
    <row r="54" spans="1:21" customFormat="1">
      <c r="A54" s="163" t="s">
        <v>2013</v>
      </c>
      <c r="B54" s="100">
        <v>2.12</v>
      </c>
      <c r="C54" s="100">
        <v>3.99</v>
      </c>
      <c r="D54" s="100">
        <v>2.4</v>
      </c>
      <c r="E54" s="100">
        <v>6</v>
      </c>
      <c r="F54" s="100">
        <v>7.62</v>
      </c>
      <c r="G54" s="100">
        <v>38.46</v>
      </c>
      <c r="H54" s="100">
        <v>18.75</v>
      </c>
      <c r="I54" s="100">
        <v>6.27</v>
      </c>
      <c r="J54" s="100">
        <v>0.28999999999999998</v>
      </c>
      <c r="K54" s="100">
        <v>316.08999999999997</v>
      </c>
      <c r="L54" s="100">
        <v>32.659999999999997</v>
      </c>
      <c r="M54" s="100">
        <v>63.23</v>
      </c>
      <c r="N54" s="100">
        <v>234.5</v>
      </c>
      <c r="O54" s="100">
        <v>0</v>
      </c>
      <c r="P54" s="100">
        <v>0.22</v>
      </c>
      <c r="Q54" s="100">
        <v>10</v>
      </c>
      <c r="R54" s="6"/>
      <c r="S54" s="6"/>
      <c r="T54" s="156"/>
      <c r="U54" s="6"/>
    </row>
    <row r="55" spans="1:21" customFormat="1">
      <c r="A55" s="163" t="s">
        <v>2014</v>
      </c>
      <c r="B55" s="100">
        <v>2.2000000000000002</v>
      </c>
      <c r="C55" s="100">
        <v>4.18</v>
      </c>
      <c r="D55" s="100">
        <v>2.64</v>
      </c>
      <c r="E55" s="100">
        <v>6.06</v>
      </c>
      <c r="F55" s="100">
        <v>9.0399999999999991</v>
      </c>
      <c r="G55" s="100">
        <v>38.46</v>
      </c>
      <c r="H55" s="100">
        <v>18.75</v>
      </c>
      <c r="I55" s="100">
        <v>6.33</v>
      </c>
      <c r="J55" s="100">
        <v>0.52</v>
      </c>
      <c r="K55" s="100">
        <v>21.9</v>
      </c>
      <c r="L55" s="100">
        <v>32.85</v>
      </c>
      <c r="M55" s="100">
        <v>61.96</v>
      </c>
      <c r="N55" s="100">
        <v>298.2</v>
      </c>
      <c r="O55" s="100">
        <v>0</v>
      </c>
      <c r="P55" s="100">
        <v>0.22</v>
      </c>
      <c r="Q55" s="100">
        <v>10</v>
      </c>
      <c r="R55" s="6"/>
      <c r="S55" s="6"/>
      <c r="T55" s="156"/>
      <c r="U55" s="6"/>
    </row>
    <row r="56" spans="1:21" customFormat="1">
      <c r="A56" s="163" t="s">
        <v>2015</v>
      </c>
      <c r="B56" s="100">
        <v>2.0299999999999998</v>
      </c>
      <c r="C56" s="100">
        <v>3.97</v>
      </c>
      <c r="D56" s="100">
        <v>2.5</v>
      </c>
      <c r="E56" s="100">
        <v>5.82</v>
      </c>
      <c r="F56" s="100">
        <v>5.17</v>
      </c>
      <c r="G56" s="100">
        <v>38.4</v>
      </c>
      <c r="H56" s="100">
        <v>18.97</v>
      </c>
      <c r="I56" s="100">
        <v>6.38</v>
      </c>
      <c r="J56" s="100">
        <v>0.5</v>
      </c>
      <c r="K56" s="100">
        <v>49.52</v>
      </c>
      <c r="L56" s="100">
        <v>33.24</v>
      </c>
      <c r="M56" s="100">
        <v>60.68</v>
      </c>
      <c r="N56" s="100">
        <v>372.9</v>
      </c>
      <c r="O56" s="100">
        <v>0</v>
      </c>
      <c r="P56" s="100">
        <v>0.24</v>
      </c>
      <c r="Q56" s="100">
        <v>10</v>
      </c>
      <c r="R56" s="6"/>
      <c r="S56" s="6"/>
      <c r="T56" s="156"/>
      <c r="U56" s="6"/>
    </row>
    <row r="57" spans="1:21" customFormat="1">
      <c r="A57" s="163" t="s">
        <v>2016</v>
      </c>
      <c r="B57" s="100">
        <v>1.78</v>
      </c>
      <c r="C57" s="100">
        <v>3.49</v>
      </c>
      <c r="D57" s="100">
        <v>1.96</v>
      </c>
      <c r="E57" s="100">
        <v>5.99</v>
      </c>
      <c r="F57" s="100">
        <v>4.46</v>
      </c>
      <c r="G57" s="100">
        <v>38.1</v>
      </c>
      <c r="H57" s="100">
        <v>19.72</v>
      </c>
      <c r="I57" s="100">
        <v>6.36</v>
      </c>
      <c r="J57" s="100">
        <v>0.25</v>
      </c>
      <c r="K57" s="100">
        <v>167.81</v>
      </c>
      <c r="L57" s="100">
        <v>32.56</v>
      </c>
      <c r="M57" s="100">
        <v>64.180000000000007</v>
      </c>
      <c r="N57" s="100">
        <v>221.2</v>
      </c>
      <c r="O57" s="100">
        <v>0</v>
      </c>
      <c r="P57" s="100">
        <v>0.25</v>
      </c>
      <c r="Q57" s="100">
        <v>10</v>
      </c>
      <c r="R57" s="6"/>
      <c r="S57" s="6"/>
      <c r="T57" s="156"/>
      <c r="U57" s="6"/>
    </row>
    <row r="58" spans="1:21" customFormat="1">
      <c r="A58" s="163" t="s">
        <v>2017</v>
      </c>
      <c r="B58" s="100">
        <v>1.82</v>
      </c>
      <c r="C58" s="100">
        <v>3.71</v>
      </c>
      <c r="D58" s="100">
        <v>2.34</v>
      </c>
      <c r="E58" s="100">
        <v>6.1</v>
      </c>
      <c r="F58" s="100">
        <v>4.8899999999999997</v>
      </c>
      <c r="G58" s="100">
        <v>38.1</v>
      </c>
      <c r="H58" s="100">
        <v>19.72</v>
      </c>
      <c r="I58" s="100">
        <v>6.36</v>
      </c>
      <c r="J58" s="100">
        <v>0.5</v>
      </c>
      <c r="K58" s="100">
        <v>264.31</v>
      </c>
      <c r="L58" s="100">
        <v>32.72</v>
      </c>
      <c r="M58" s="100">
        <v>65.12</v>
      </c>
      <c r="N58" s="100">
        <v>443.4</v>
      </c>
      <c r="O58" s="100">
        <v>0</v>
      </c>
      <c r="P58" s="100">
        <v>0.25</v>
      </c>
      <c r="Q58" s="100">
        <v>10</v>
      </c>
      <c r="R58" s="6"/>
      <c r="S58" s="6"/>
      <c r="T58" s="156"/>
      <c r="U58" s="6"/>
    </row>
    <row r="59" spans="1:21" customFormat="1">
      <c r="A59" s="163" t="s">
        <v>2018</v>
      </c>
      <c r="B59" s="100">
        <v>1.94</v>
      </c>
      <c r="C59" s="100">
        <v>4.0999999999999996</v>
      </c>
      <c r="D59" s="100">
        <v>2.89</v>
      </c>
      <c r="E59" s="100">
        <v>5.97</v>
      </c>
      <c r="F59" s="100">
        <v>3.67</v>
      </c>
      <c r="G59" s="100">
        <v>38.1</v>
      </c>
      <c r="H59" s="100">
        <v>19.72</v>
      </c>
      <c r="I59" s="100">
        <v>6.36</v>
      </c>
      <c r="J59" s="100">
        <v>0.34</v>
      </c>
      <c r="K59" s="100">
        <v>236.06</v>
      </c>
      <c r="L59" s="100">
        <v>32.35</v>
      </c>
      <c r="M59" s="100">
        <v>66.959999999999994</v>
      </c>
      <c r="N59" s="100">
        <v>289</v>
      </c>
      <c r="O59" s="100">
        <v>0</v>
      </c>
      <c r="P59" s="100">
        <v>0.26</v>
      </c>
      <c r="Q59" s="100">
        <v>10</v>
      </c>
      <c r="R59" s="6"/>
      <c r="S59" s="6"/>
      <c r="T59" s="156"/>
      <c r="U59" s="6"/>
    </row>
    <row r="60" spans="1:21" customFormat="1">
      <c r="A60" s="163" t="s">
        <v>2019</v>
      </c>
      <c r="B60" s="100">
        <v>1.69</v>
      </c>
      <c r="C60" s="100">
        <v>3.41</v>
      </c>
      <c r="D60" s="100">
        <v>1.96</v>
      </c>
      <c r="E60" s="100">
        <v>6.18</v>
      </c>
      <c r="F60" s="100">
        <v>4.37</v>
      </c>
      <c r="G60" s="100">
        <v>39.39</v>
      </c>
      <c r="H60" s="100">
        <v>19.59</v>
      </c>
      <c r="I60" s="100">
        <v>6.34</v>
      </c>
      <c r="J60" s="100">
        <v>0.3</v>
      </c>
      <c r="K60" s="100">
        <v>228.69</v>
      </c>
      <c r="L60" s="100">
        <v>33.380000000000003</v>
      </c>
      <c r="M60" s="100">
        <v>63.51</v>
      </c>
      <c r="N60" s="100">
        <v>530.4</v>
      </c>
      <c r="O60" s="100">
        <v>0</v>
      </c>
      <c r="P60" s="100">
        <v>0.26</v>
      </c>
      <c r="Q60" s="100">
        <v>10</v>
      </c>
      <c r="R60" s="6"/>
      <c r="S60" s="6"/>
      <c r="T60" s="156"/>
      <c r="U60" s="6"/>
    </row>
    <row r="61" spans="1:21" customFormat="1">
      <c r="A61" s="163" t="s">
        <v>2020</v>
      </c>
      <c r="B61" s="100">
        <v>1.67</v>
      </c>
      <c r="C61" s="100">
        <v>3.5</v>
      </c>
      <c r="D61" s="100">
        <v>2.15</v>
      </c>
      <c r="E61" s="100">
        <v>6.13</v>
      </c>
      <c r="F61" s="100">
        <v>3.47</v>
      </c>
      <c r="G61" s="100">
        <v>45.32</v>
      </c>
      <c r="H61" s="100">
        <v>19.149999999999999</v>
      </c>
      <c r="I61" s="100">
        <v>6.35</v>
      </c>
      <c r="J61" s="100">
        <v>0.36</v>
      </c>
      <c r="K61" s="100">
        <v>264.14</v>
      </c>
      <c r="L61" s="100">
        <v>32.79</v>
      </c>
      <c r="M61" s="100">
        <v>64.84</v>
      </c>
      <c r="N61" s="100">
        <v>209.9</v>
      </c>
      <c r="O61" s="100">
        <v>0</v>
      </c>
      <c r="P61" s="100">
        <v>0.27</v>
      </c>
      <c r="Q61" s="100">
        <v>10</v>
      </c>
      <c r="R61" s="6"/>
      <c r="S61" s="6"/>
      <c r="T61" s="156"/>
      <c r="U61" s="6"/>
    </row>
    <row r="62" spans="1:21" customFormat="1">
      <c r="A62" s="163" t="s">
        <v>2021</v>
      </c>
      <c r="B62" s="100">
        <v>1.45</v>
      </c>
      <c r="C62" s="100">
        <v>2.79</v>
      </c>
      <c r="D62" s="100">
        <v>1.1299999999999999</v>
      </c>
      <c r="E62" s="100">
        <v>6.27</v>
      </c>
      <c r="F62" s="100">
        <v>3.5</v>
      </c>
      <c r="G62" s="100">
        <v>45.32</v>
      </c>
      <c r="H62" s="100">
        <v>19.149999999999999</v>
      </c>
      <c r="I62" s="100">
        <v>6.32</v>
      </c>
      <c r="J62" s="100">
        <v>0.35</v>
      </c>
      <c r="K62" s="100">
        <v>247.98</v>
      </c>
      <c r="L62" s="100">
        <v>32.68</v>
      </c>
      <c r="M62" s="100">
        <v>64.61</v>
      </c>
      <c r="N62" s="100">
        <v>157.80000000000001</v>
      </c>
      <c r="O62" s="100">
        <v>0</v>
      </c>
      <c r="P62" s="100">
        <v>0.27</v>
      </c>
      <c r="Q62" s="100">
        <v>10</v>
      </c>
      <c r="R62" s="6"/>
      <c r="S62" s="6"/>
      <c r="T62" s="156"/>
      <c r="U62" s="6"/>
    </row>
    <row r="63" spans="1:21" customFormat="1">
      <c r="A63" s="163" t="s">
        <v>2022</v>
      </c>
      <c r="B63" s="100">
        <v>1.56</v>
      </c>
      <c r="C63" s="100">
        <v>3.21</v>
      </c>
      <c r="D63" s="100">
        <v>1.78</v>
      </c>
      <c r="E63" s="100">
        <v>6.11</v>
      </c>
      <c r="F63" s="100">
        <v>4.51</v>
      </c>
      <c r="G63" s="100">
        <v>45.32</v>
      </c>
      <c r="H63" s="100">
        <v>19.149999999999999</v>
      </c>
      <c r="I63" s="100">
        <v>6.34</v>
      </c>
      <c r="J63" s="100">
        <v>0.47</v>
      </c>
      <c r="K63" s="100">
        <v>265.35000000000002</v>
      </c>
      <c r="L63" s="100">
        <v>31.46</v>
      </c>
      <c r="M63" s="100">
        <v>68.319999999999993</v>
      </c>
      <c r="N63" s="100">
        <v>23.6</v>
      </c>
      <c r="O63" s="100">
        <v>0</v>
      </c>
      <c r="P63" s="100">
        <v>0.28000000000000003</v>
      </c>
      <c r="Q63" s="100">
        <v>10</v>
      </c>
      <c r="R63" s="6"/>
      <c r="S63" s="6"/>
      <c r="T63" s="156"/>
      <c r="U63" s="6"/>
    </row>
    <row r="64" spans="1:21" customFormat="1">
      <c r="A64" s="163" t="s">
        <v>2023</v>
      </c>
      <c r="B64" s="100">
        <v>1.6</v>
      </c>
      <c r="C64" s="100">
        <v>3.34</v>
      </c>
      <c r="D64" s="100">
        <v>1.96</v>
      </c>
      <c r="E64" s="100">
        <v>6.27</v>
      </c>
      <c r="F64" s="100">
        <v>5.56</v>
      </c>
      <c r="G64" s="100">
        <v>45.36</v>
      </c>
      <c r="H64" s="100">
        <v>20.07</v>
      </c>
      <c r="I64" s="100">
        <v>6.4</v>
      </c>
      <c r="J64" s="100">
        <v>1.37</v>
      </c>
      <c r="K64" s="100">
        <v>20.46</v>
      </c>
      <c r="L64" s="100">
        <v>29.94</v>
      </c>
      <c r="M64" s="100">
        <v>75.150000000000006</v>
      </c>
      <c r="N64" s="100">
        <v>23.8</v>
      </c>
      <c r="O64" s="100">
        <v>2.4</v>
      </c>
      <c r="P64" s="100">
        <v>0.28999999999999998</v>
      </c>
      <c r="Q64" s="100">
        <v>10</v>
      </c>
      <c r="R64" s="6"/>
      <c r="S64" s="6"/>
      <c r="T64" s="156"/>
      <c r="U64" s="6"/>
    </row>
    <row r="65" spans="1:21" customFormat="1">
      <c r="A65" s="163" t="s">
        <v>2024</v>
      </c>
      <c r="B65" s="100">
        <v>1.52</v>
      </c>
      <c r="C65" s="100">
        <v>3.01</v>
      </c>
      <c r="D65" s="100">
        <v>1.45</v>
      </c>
      <c r="E65" s="100">
        <v>6.5</v>
      </c>
      <c r="F65" s="100">
        <v>4.79</v>
      </c>
      <c r="G65" s="100">
        <v>45.53</v>
      </c>
      <c r="H65" s="100">
        <v>23.02</v>
      </c>
      <c r="I65" s="100">
        <v>6.49</v>
      </c>
      <c r="J65" s="100">
        <v>1.31</v>
      </c>
      <c r="K65" s="100">
        <v>27.49</v>
      </c>
      <c r="L65" s="100">
        <v>26.45</v>
      </c>
      <c r="M65" s="100">
        <v>95.49</v>
      </c>
      <c r="N65" s="100">
        <v>30</v>
      </c>
      <c r="O65" s="100">
        <v>6.6</v>
      </c>
      <c r="P65" s="100">
        <v>0.24</v>
      </c>
      <c r="Q65" s="100">
        <v>10</v>
      </c>
      <c r="R65" s="6"/>
      <c r="S65" s="6"/>
      <c r="T65" s="156"/>
      <c r="U65" s="6"/>
    </row>
    <row r="66" spans="1:21" customFormat="1">
      <c r="A66" s="163" t="s">
        <v>2025</v>
      </c>
      <c r="B66" s="100">
        <v>1.52</v>
      </c>
      <c r="C66" s="100">
        <v>3.22</v>
      </c>
      <c r="D66" s="100">
        <v>1.84</v>
      </c>
      <c r="E66" s="100">
        <v>6.59</v>
      </c>
      <c r="F66" s="100">
        <v>3.75</v>
      </c>
      <c r="G66" s="100">
        <v>45.53</v>
      </c>
      <c r="H66" s="100">
        <v>23.02</v>
      </c>
      <c r="I66" s="100">
        <v>6.63</v>
      </c>
      <c r="J66" s="100">
        <v>0.78</v>
      </c>
      <c r="K66" s="100">
        <v>24.84</v>
      </c>
      <c r="L66" s="100">
        <v>26.38</v>
      </c>
      <c r="M66" s="100">
        <v>98.23</v>
      </c>
      <c r="N66" s="100">
        <v>32.6</v>
      </c>
      <c r="O66" s="100">
        <v>3.2</v>
      </c>
      <c r="P66" s="100">
        <v>0.26</v>
      </c>
      <c r="Q66" s="100">
        <v>10</v>
      </c>
      <c r="R66" s="6"/>
      <c r="S66" s="6"/>
      <c r="T66" s="156"/>
      <c r="U66" s="6"/>
    </row>
    <row r="67" spans="1:21" customFormat="1">
      <c r="A67" s="163" t="s">
        <v>2026</v>
      </c>
      <c r="B67" s="100">
        <v>1.46</v>
      </c>
      <c r="C67" s="100">
        <v>2.96</v>
      </c>
      <c r="D67" s="100">
        <v>1.46</v>
      </c>
      <c r="E67" s="100">
        <v>6.35</v>
      </c>
      <c r="F67" s="100">
        <v>4.62</v>
      </c>
      <c r="G67" s="100">
        <v>45.53</v>
      </c>
      <c r="H67" s="100">
        <v>23.02</v>
      </c>
      <c r="I67" s="100">
        <v>6.62</v>
      </c>
      <c r="J67" s="100">
        <v>0.45</v>
      </c>
      <c r="K67" s="100">
        <v>354.37</v>
      </c>
      <c r="L67" s="100">
        <v>26.31</v>
      </c>
      <c r="M67" s="100">
        <v>98.38</v>
      </c>
      <c r="N67" s="100">
        <v>42.3</v>
      </c>
      <c r="O67" s="100">
        <v>0.6</v>
      </c>
      <c r="P67" s="100">
        <v>0.27</v>
      </c>
      <c r="Q67" s="100">
        <v>10</v>
      </c>
      <c r="R67" s="6"/>
      <c r="S67" s="6"/>
      <c r="T67" s="156"/>
      <c r="U67" s="6"/>
    </row>
    <row r="68" spans="1:21" customFormat="1">
      <c r="A68" s="163" t="s">
        <v>2027</v>
      </c>
      <c r="B68" s="100">
        <v>1.42</v>
      </c>
      <c r="C68" s="100">
        <v>2.77</v>
      </c>
      <c r="D68" s="100">
        <v>1.1399999999999999</v>
      </c>
      <c r="E68" s="100">
        <v>6.55</v>
      </c>
      <c r="F68" s="100">
        <v>2.66</v>
      </c>
      <c r="G68" s="100">
        <v>45.57</v>
      </c>
      <c r="H68" s="100">
        <v>23.1</v>
      </c>
      <c r="I68" s="100">
        <v>6.68</v>
      </c>
      <c r="J68" s="100">
        <v>0.57999999999999996</v>
      </c>
      <c r="K68" s="100">
        <v>38.72</v>
      </c>
      <c r="L68" s="100">
        <v>26.38</v>
      </c>
      <c r="M68" s="100">
        <v>98.16</v>
      </c>
      <c r="N68" s="100">
        <v>58.1</v>
      </c>
      <c r="O68" s="100">
        <v>0.2</v>
      </c>
      <c r="P68" s="100">
        <v>0.27</v>
      </c>
      <c r="Q68" s="100">
        <v>10</v>
      </c>
      <c r="R68" s="6"/>
      <c r="S68" s="6"/>
      <c r="T68" s="156"/>
      <c r="U68" s="6"/>
    </row>
    <row r="69" spans="1:21" customFormat="1">
      <c r="A69" s="163" t="s">
        <v>2028</v>
      </c>
      <c r="B69" s="100">
        <v>1.55</v>
      </c>
      <c r="C69" s="100">
        <v>3.07</v>
      </c>
      <c r="D69" s="100">
        <v>1.52</v>
      </c>
      <c r="E69" s="100">
        <v>6.54</v>
      </c>
      <c r="F69" s="100">
        <v>2.39</v>
      </c>
      <c r="G69" s="100">
        <v>45.79</v>
      </c>
      <c r="H69" s="100">
        <v>23.55</v>
      </c>
      <c r="I69" s="100">
        <v>6.7</v>
      </c>
      <c r="J69" s="100">
        <v>0.95</v>
      </c>
      <c r="K69" s="100">
        <v>41.18</v>
      </c>
      <c r="L69" s="100">
        <v>26.75</v>
      </c>
      <c r="M69" s="100">
        <v>94.59</v>
      </c>
      <c r="N69" s="100">
        <v>76.5</v>
      </c>
      <c r="O69" s="100">
        <v>0</v>
      </c>
      <c r="P69" s="100">
        <v>0.27</v>
      </c>
      <c r="Q69" s="100">
        <v>10</v>
      </c>
      <c r="R69" s="6"/>
      <c r="S69" s="6"/>
      <c r="T69" s="156"/>
      <c r="U69" s="6"/>
    </row>
    <row r="70" spans="1:21" customFormat="1">
      <c r="A70" s="163" t="s">
        <v>2029</v>
      </c>
      <c r="B70" s="100">
        <v>1.59</v>
      </c>
      <c r="C70" s="100">
        <v>3.25</v>
      </c>
      <c r="D70" s="100">
        <v>1.79</v>
      </c>
      <c r="E70" s="100">
        <v>6.5</v>
      </c>
      <c r="F70" s="100">
        <v>1.51</v>
      </c>
      <c r="G70" s="100">
        <v>45.79</v>
      </c>
      <c r="H70" s="100">
        <v>23.55</v>
      </c>
      <c r="I70" s="100">
        <v>6.68</v>
      </c>
      <c r="J70" s="100">
        <v>0.76</v>
      </c>
      <c r="K70" s="100">
        <v>34.9</v>
      </c>
      <c r="L70" s="100">
        <v>27.19</v>
      </c>
      <c r="M70" s="100">
        <v>90.59</v>
      </c>
      <c r="N70" s="100">
        <v>94.5</v>
      </c>
      <c r="O70" s="100">
        <v>0</v>
      </c>
      <c r="P70" s="100">
        <v>0.28000000000000003</v>
      </c>
      <c r="Q70" s="100">
        <v>10</v>
      </c>
      <c r="R70" s="6"/>
      <c r="S70" s="6"/>
      <c r="T70" s="156"/>
      <c r="U70" s="6"/>
    </row>
    <row r="71" spans="1:21" customFormat="1">
      <c r="A71" s="163" t="s">
        <v>2030</v>
      </c>
      <c r="B71" s="100">
        <v>1.66</v>
      </c>
      <c r="C71" s="100">
        <v>3.17</v>
      </c>
      <c r="D71" s="100">
        <v>1.55</v>
      </c>
      <c r="E71" s="100">
        <v>6.68</v>
      </c>
      <c r="F71" s="100">
        <v>1.94</v>
      </c>
      <c r="G71" s="100">
        <v>45.79</v>
      </c>
      <c r="H71" s="100">
        <v>23.55</v>
      </c>
      <c r="I71" s="100">
        <v>6.77</v>
      </c>
      <c r="J71" s="100">
        <v>0.94</v>
      </c>
      <c r="K71" s="100">
        <v>33.47</v>
      </c>
      <c r="L71" s="100">
        <v>27.64</v>
      </c>
      <c r="M71" s="100">
        <v>89.26</v>
      </c>
      <c r="N71" s="100">
        <v>112.8</v>
      </c>
      <c r="O71" s="100">
        <v>0</v>
      </c>
      <c r="P71" s="100">
        <v>0.28000000000000003</v>
      </c>
      <c r="Q71" s="100">
        <v>10</v>
      </c>
      <c r="R71" s="6"/>
      <c r="S71" s="6"/>
      <c r="T71" s="156"/>
      <c r="U71" s="6"/>
    </row>
    <row r="72" spans="1:21" customFormat="1">
      <c r="A72" s="163" t="s">
        <v>2031</v>
      </c>
      <c r="B72" s="100">
        <v>2.2000000000000002</v>
      </c>
      <c r="C72" s="100">
        <v>4.2</v>
      </c>
      <c r="D72" s="100">
        <v>2.68</v>
      </c>
      <c r="E72" s="100">
        <v>6.79</v>
      </c>
      <c r="F72" s="100">
        <v>2.25</v>
      </c>
      <c r="G72" s="100">
        <v>48.21</v>
      </c>
      <c r="H72" s="100">
        <v>22.59</v>
      </c>
      <c r="I72" s="100">
        <v>6.78</v>
      </c>
      <c r="J72" s="100">
        <v>0.89</v>
      </c>
      <c r="K72" s="100">
        <v>32.880000000000003</v>
      </c>
      <c r="L72" s="100">
        <v>27.7</v>
      </c>
      <c r="M72" s="100">
        <v>87.16</v>
      </c>
      <c r="N72" s="100">
        <v>90.3</v>
      </c>
      <c r="O72" s="100">
        <v>0</v>
      </c>
      <c r="P72" s="100">
        <v>0.28000000000000003</v>
      </c>
      <c r="Q72" s="100">
        <v>10</v>
      </c>
      <c r="R72" s="6"/>
      <c r="S72" s="6"/>
      <c r="T72" s="156"/>
      <c r="U72" s="6"/>
    </row>
    <row r="73" spans="1:21" customFormat="1">
      <c r="A73" s="163" t="s">
        <v>2032</v>
      </c>
      <c r="B73" s="100">
        <v>2.2599999999999998</v>
      </c>
      <c r="C73" s="100">
        <v>4.34</v>
      </c>
      <c r="D73" s="100">
        <v>2.86</v>
      </c>
      <c r="E73" s="100">
        <v>6.54</v>
      </c>
      <c r="F73" s="100">
        <v>2</v>
      </c>
      <c r="G73" s="100">
        <v>58.6</v>
      </c>
      <c r="H73" s="100">
        <v>19.54</v>
      </c>
      <c r="I73" s="100">
        <v>6.75</v>
      </c>
      <c r="J73" s="100">
        <v>0.35</v>
      </c>
      <c r="K73" s="100">
        <v>40.75</v>
      </c>
      <c r="L73" s="100">
        <v>27.78</v>
      </c>
      <c r="M73" s="100">
        <v>88.03</v>
      </c>
      <c r="N73" s="100">
        <v>58.7</v>
      </c>
      <c r="O73" s="100">
        <v>0</v>
      </c>
      <c r="P73" s="100">
        <v>0.27</v>
      </c>
      <c r="Q73" s="100">
        <v>10</v>
      </c>
      <c r="R73" s="6"/>
      <c r="S73" s="6"/>
      <c r="T73" s="156"/>
      <c r="U73" s="6"/>
    </row>
    <row r="74" spans="1:21" customFormat="1">
      <c r="A74" s="163" t="s">
        <v>2033</v>
      </c>
      <c r="B74" s="100">
        <v>2.2799999999999998</v>
      </c>
      <c r="C74" s="100">
        <v>4.2</v>
      </c>
      <c r="D74" s="100">
        <v>2.5499999999999998</v>
      </c>
      <c r="E74" s="100">
        <v>7.24</v>
      </c>
      <c r="F74" s="100">
        <v>2.11</v>
      </c>
      <c r="G74" s="100">
        <v>58.6</v>
      </c>
      <c r="H74" s="100">
        <v>19.54</v>
      </c>
      <c r="I74" s="100">
        <v>6.57</v>
      </c>
      <c r="J74" s="100">
        <v>0.44</v>
      </c>
      <c r="K74" s="100">
        <v>23.35</v>
      </c>
      <c r="L74" s="100">
        <v>27.78</v>
      </c>
      <c r="M74" s="100">
        <v>87.17</v>
      </c>
      <c r="N74" s="100">
        <v>73.099999999999994</v>
      </c>
      <c r="O74" s="100">
        <v>0</v>
      </c>
      <c r="P74" s="100">
        <v>0.28999999999999998</v>
      </c>
      <c r="Q74" s="100">
        <v>10</v>
      </c>
      <c r="R74" s="6"/>
      <c r="S74" s="6"/>
      <c r="T74" s="156"/>
      <c r="U74" s="6"/>
    </row>
    <row r="75" spans="1:21" customFormat="1">
      <c r="A75" s="163" t="s">
        <v>2034</v>
      </c>
      <c r="B75" s="100">
        <v>2.33</v>
      </c>
      <c r="C75" s="100">
        <v>4</v>
      </c>
      <c r="D75" s="100">
        <v>2.1</v>
      </c>
      <c r="E75" s="100">
        <v>7.7</v>
      </c>
      <c r="F75" s="100">
        <v>1.38</v>
      </c>
      <c r="G75" s="100">
        <v>58.6</v>
      </c>
      <c r="H75" s="100">
        <v>19.54</v>
      </c>
      <c r="I75" s="100">
        <v>6.6</v>
      </c>
      <c r="J75" s="100">
        <v>0.44</v>
      </c>
      <c r="K75" s="100">
        <v>32.75</v>
      </c>
      <c r="L75" s="100">
        <v>27.84</v>
      </c>
      <c r="M75" s="100">
        <v>86.41</v>
      </c>
      <c r="N75" s="100">
        <v>73.3</v>
      </c>
      <c r="O75" s="100">
        <v>0</v>
      </c>
      <c r="P75" s="100">
        <v>0.3</v>
      </c>
      <c r="Q75" s="100">
        <v>10</v>
      </c>
      <c r="R75" s="6"/>
      <c r="S75" s="6"/>
      <c r="T75" s="156"/>
      <c r="U75" s="6"/>
    </row>
    <row r="76" spans="1:21" customFormat="1">
      <c r="A76" s="163" t="s">
        <v>2035</v>
      </c>
      <c r="B76" s="100">
        <v>2.63</v>
      </c>
      <c r="C76" s="100">
        <v>4.51</v>
      </c>
      <c r="D76" s="100">
        <v>2.62</v>
      </c>
      <c r="E76" s="100">
        <v>7.82</v>
      </c>
      <c r="F76" s="100">
        <v>1.85</v>
      </c>
      <c r="G76" s="100">
        <v>77.73</v>
      </c>
      <c r="H76" s="100">
        <v>22.27</v>
      </c>
      <c r="I76" s="100">
        <v>6.68</v>
      </c>
      <c r="J76" s="100">
        <v>0.21</v>
      </c>
      <c r="K76" s="100">
        <v>185.8</v>
      </c>
      <c r="L76" s="100">
        <v>28.01</v>
      </c>
      <c r="M76" s="100">
        <v>88.56</v>
      </c>
      <c r="N76" s="100">
        <v>54.3</v>
      </c>
      <c r="O76" s="100">
        <v>0</v>
      </c>
      <c r="P76" s="100">
        <v>0.32</v>
      </c>
      <c r="Q76" s="100">
        <v>10</v>
      </c>
      <c r="R76" s="6"/>
      <c r="S76" s="6"/>
      <c r="T76" s="156"/>
      <c r="U76" s="6"/>
    </row>
    <row r="77" spans="1:21" customFormat="1">
      <c r="A77" s="163" t="s">
        <v>2036</v>
      </c>
      <c r="B77" s="100">
        <v>2.91</v>
      </c>
      <c r="C77" s="100">
        <v>4.95</v>
      </c>
      <c r="D77" s="100">
        <v>3.03</v>
      </c>
      <c r="E77" s="100">
        <v>10.31</v>
      </c>
      <c r="F77" s="100">
        <v>1.94</v>
      </c>
      <c r="G77" s="100">
        <v>166.23</v>
      </c>
      <c r="H77" s="100">
        <v>30.96</v>
      </c>
      <c r="I77" s="100">
        <v>6.66</v>
      </c>
      <c r="J77" s="100">
        <v>0.19</v>
      </c>
      <c r="K77" s="100">
        <v>166.02</v>
      </c>
      <c r="L77" s="100">
        <v>27.93</v>
      </c>
      <c r="M77" s="100">
        <v>90.23</v>
      </c>
      <c r="N77" s="100">
        <v>37.299999999999997</v>
      </c>
      <c r="O77" s="100">
        <v>0</v>
      </c>
      <c r="P77" s="100">
        <v>0.3</v>
      </c>
      <c r="Q77" s="100">
        <v>10</v>
      </c>
      <c r="R77" s="6"/>
      <c r="S77" s="6"/>
      <c r="T77" s="156"/>
      <c r="U77" s="6"/>
    </row>
    <row r="78" spans="1:21" customFormat="1">
      <c r="A78" s="163" t="s">
        <v>2037</v>
      </c>
      <c r="B78" s="100">
        <v>3.06</v>
      </c>
      <c r="C78" s="100">
        <v>5.39</v>
      </c>
      <c r="D78" s="100">
        <v>3.64</v>
      </c>
      <c r="E78" s="100">
        <v>10.38</v>
      </c>
      <c r="F78" s="100">
        <v>2.25</v>
      </c>
      <c r="G78" s="100">
        <v>166.23</v>
      </c>
      <c r="H78" s="100">
        <v>30.96</v>
      </c>
      <c r="I78" s="100">
        <v>6.59</v>
      </c>
      <c r="J78" s="100">
        <v>0.15</v>
      </c>
      <c r="K78" s="100">
        <v>175.39</v>
      </c>
      <c r="L78" s="100">
        <v>27.72</v>
      </c>
      <c r="M78" s="100">
        <v>91.48</v>
      </c>
      <c r="N78" s="100">
        <v>28.1</v>
      </c>
      <c r="O78" s="100">
        <v>0</v>
      </c>
      <c r="P78" s="100">
        <v>0.28999999999999998</v>
      </c>
      <c r="Q78" s="100">
        <v>10</v>
      </c>
      <c r="R78" s="6"/>
      <c r="S78" s="6"/>
      <c r="T78" s="156"/>
      <c r="U78" s="6"/>
    </row>
    <row r="79" spans="1:21" customFormat="1">
      <c r="A79" s="163" t="s">
        <v>2038</v>
      </c>
      <c r="B79" s="100">
        <v>3.08</v>
      </c>
      <c r="C79" s="100">
        <v>5.4</v>
      </c>
      <c r="D79" s="100">
        <v>3.62</v>
      </c>
      <c r="E79" s="100">
        <v>11.28</v>
      </c>
      <c r="F79" s="100">
        <v>2.86</v>
      </c>
      <c r="G79" s="100">
        <v>166.23</v>
      </c>
      <c r="H79" s="100">
        <v>30.96</v>
      </c>
      <c r="I79" s="100">
        <v>6.46</v>
      </c>
      <c r="J79" s="100">
        <v>0.11</v>
      </c>
      <c r="K79" s="100">
        <v>150.22</v>
      </c>
      <c r="L79" s="100">
        <v>27.59</v>
      </c>
      <c r="M79" s="100">
        <v>92.42</v>
      </c>
      <c r="N79" s="100">
        <v>18.5</v>
      </c>
      <c r="O79" s="100">
        <v>0</v>
      </c>
      <c r="P79" s="100">
        <v>0.28000000000000003</v>
      </c>
      <c r="Q79" s="100">
        <v>10</v>
      </c>
      <c r="R79" s="6"/>
      <c r="S79" s="6"/>
      <c r="T79" s="156"/>
      <c r="U79" s="6"/>
    </row>
    <row r="80" spans="1:21" customFormat="1">
      <c r="A80" s="163" t="s">
        <v>2039</v>
      </c>
      <c r="B80" s="100">
        <v>2.04</v>
      </c>
      <c r="C80" s="100">
        <v>3.48</v>
      </c>
      <c r="D80" s="100">
        <v>1.53</v>
      </c>
      <c r="E80" s="100">
        <v>11.35</v>
      </c>
      <c r="F80" s="100">
        <v>3.61</v>
      </c>
      <c r="G80" s="100">
        <v>145.34</v>
      </c>
      <c r="H80" s="100">
        <v>30.77</v>
      </c>
      <c r="I80" s="100">
        <v>6.33</v>
      </c>
      <c r="J80" s="100">
        <v>0.14000000000000001</v>
      </c>
      <c r="K80" s="100">
        <v>162.55000000000001</v>
      </c>
      <c r="L80" s="100">
        <v>27.55</v>
      </c>
      <c r="M80" s="100">
        <v>93.05</v>
      </c>
      <c r="N80" s="100">
        <v>12.6</v>
      </c>
      <c r="O80" s="100">
        <v>0</v>
      </c>
      <c r="P80" s="100">
        <v>0.28000000000000003</v>
      </c>
      <c r="Q80" s="100">
        <v>10</v>
      </c>
      <c r="R80" s="6"/>
      <c r="S80" s="6"/>
      <c r="T80" s="156"/>
      <c r="U80" s="6"/>
    </row>
    <row r="81" spans="1:21" customFormat="1">
      <c r="A81" s="163" t="s">
        <v>2040</v>
      </c>
      <c r="B81" s="100">
        <v>3.3</v>
      </c>
      <c r="C81" s="100">
        <v>5.4</v>
      </c>
      <c r="D81" s="100">
        <v>3.28</v>
      </c>
      <c r="E81" s="100">
        <v>6.11</v>
      </c>
      <c r="F81" s="100">
        <v>3.26</v>
      </c>
      <c r="G81" s="100">
        <v>48.75</v>
      </c>
      <c r="H81" s="100">
        <v>30.14</v>
      </c>
      <c r="I81" s="100">
        <v>6.24</v>
      </c>
      <c r="J81" s="100">
        <v>0.18</v>
      </c>
      <c r="K81" s="100">
        <v>154.74</v>
      </c>
      <c r="L81" s="100">
        <v>27.49</v>
      </c>
      <c r="M81" s="100">
        <v>93.67</v>
      </c>
      <c r="N81" s="100">
        <v>10</v>
      </c>
      <c r="O81" s="100">
        <v>0</v>
      </c>
      <c r="P81" s="100">
        <v>0.28999999999999998</v>
      </c>
      <c r="Q81" s="100">
        <v>10</v>
      </c>
      <c r="R81" s="6"/>
      <c r="S81" s="6"/>
      <c r="T81" s="156"/>
      <c r="U81" s="6"/>
    </row>
    <row r="82" spans="1:21" customFormat="1">
      <c r="A82" s="163" t="s">
        <v>2041</v>
      </c>
      <c r="B82" s="100">
        <v>3.04</v>
      </c>
      <c r="C82" s="100">
        <v>5.15</v>
      </c>
      <c r="D82" s="100">
        <v>3.22</v>
      </c>
      <c r="E82" s="100">
        <v>8.42</v>
      </c>
      <c r="F82" s="100">
        <v>2.36</v>
      </c>
      <c r="G82" s="100">
        <v>48.75</v>
      </c>
      <c r="H82" s="100">
        <v>30.14</v>
      </c>
      <c r="I82" s="100">
        <v>6.26</v>
      </c>
      <c r="J82" s="100">
        <v>0.12</v>
      </c>
      <c r="K82" s="100">
        <v>164.78</v>
      </c>
      <c r="L82" s="100">
        <v>27.56</v>
      </c>
      <c r="M82" s="100">
        <v>94.01</v>
      </c>
      <c r="N82" s="100">
        <v>10.7</v>
      </c>
      <c r="O82" s="100">
        <v>0</v>
      </c>
      <c r="P82" s="100">
        <v>0.31</v>
      </c>
      <c r="Q82" s="100">
        <v>10</v>
      </c>
      <c r="R82" s="6"/>
      <c r="S82" s="6"/>
      <c r="T82" s="156"/>
      <c r="U82" s="6"/>
    </row>
    <row r="83" spans="1:21" customFormat="1">
      <c r="A83" s="163" t="s">
        <v>2042</v>
      </c>
      <c r="B83" s="100">
        <v>3.45</v>
      </c>
      <c r="C83" s="100">
        <v>5.79</v>
      </c>
      <c r="D83" s="100">
        <v>3.82</v>
      </c>
      <c r="E83" s="100">
        <v>9.09</v>
      </c>
      <c r="F83" s="100">
        <v>2.09</v>
      </c>
      <c r="G83" s="100">
        <v>48.75</v>
      </c>
      <c r="H83" s="100">
        <v>30.14</v>
      </c>
      <c r="I83" s="100">
        <v>6.49</v>
      </c>
      <c r="J83" s="100">
        <v>0.17</v>
      </c>
      <c r="K83" s="100">
        <v>177.01</v>
      </c>
      <c r="L83" s="100">
        <v>27.47</v>
      </c>
      <c r="M83" s="100">
        <v>93.98</v>
      </c>
      <c r="N83" s="100">
        <v>5.7</v>
      </c>
      <c r="O83" s="100">
        <v>0</v>
      </c>
      <c r="P83" s="100">
        <v>0.32</v>
      </c>
      <c r="Q83" s="100">
        <v>10</v>
      </c>
      <c r="R83" s="6"/>
      <c r="S83" s="6"/>
      <c r="T83" s="156"/>
      <c r="U83" s="6"/>
    </row>
    <row r="84" spans="1:21" customFormat="1">
      <c r="A84" s="163" t="s">
        <v>2043</v>
      </c>
      <c r="B84" s="100">
        <v>2.11</v>
      </c>
      <c r="C84" s="100">
        <v>3.56</v>
      </c>
      <c r="D84" s="100">
        <v>1.59</v>
      </c>
      <c r="E84" s="100">
        <v>8.9</v>
      </c>
      <c r="F84" s="100">
        <v>2.11</v>
      </c>
      <c r="G84" s="100">
        <v>53.03</v>
      </c>
      <c r="H84" s="100">
        <v>29.55</v>
      </c>
      <c r="I84" s="100">
        <v>6.37</v>
      </c>
      <c r="J84" s="100">
        <v>0.18</v>
      </c>
      <c r="K84" s="100">
        <v>166.93</v>
      </c>
      <c r="L84" s="100">
        <v>27.4</v>
      </c>
      <c r="M84" s="100">
        <v>94.43</v>
      </c>
      <c r="N84" s="100">
        <v>2.6</v>
      </c>
      <c r="O84" s="100">
        <v>0</v>
      </c>
      <c r="P84" s="100">
        <v>0.3</v>
      </c>
      <c r="Q84" s="100">
        <v>10</v>
      </c>
      <c r="R84" s="6"/>
      <c r="S84" s="6"/>
      <c r="T84" s="156"/>
      <c r="U84" s="6"/>
    </row>
    <row r="85" spans="1:21" customFormat="1">
      <c r="A85" s="163" t="s">
        <v>2044</v>
      </c>
      <c r="B85" s="100">
        <v>2.85</v>
      </c>
      <c r="C85" s="100">
        <v>4.6100000000000003</v>
      </c>
      <c r="D85" s="100">
        <v>2.4700000000000002</v>
      </c>
      <c r="E85" s="100">
        <v>7.37</v>
      </c>
      <c r="F85" s="100">
        <v>2.4700000000000002</v>
      </c>
      <c r="G85" s="100">
        <v>71.430000000000007</v>
      </c>
      <c r="H85" s="100">
        <v>26.56</v>
      </c>
      <c r="I85" s="100">
        <v>6.4</v>
      </c>
      <c r="J85" s="100">
        <v>0.23</v>
      </c>
      <c r="K85" s="100">
        <v>157.24</v>
      </c>
      <c r="L85" s="100">
        <v>27.47</v>
      </c>
      <c r="M85" s="100">
        <v>94.64</v>
      </c>
      <c r="N85" s="100">
        <v>2.2000000000000002</v>
      </c>
      <c r="O85" s="100">
        <v>0</v>
      </c>
      <c r="P85" s="100">
        <v>0.31</v>
      </c>
      <c r="Q85" s="100">
        <v>10</v>
      </c>
      <c r="R85" s="6"/>
      <c r="S85" s="6"/>
      <c r="T85" s="156"/>
      <c r="U85" s="6"/>
    </row>
    <row r="86" spans="1:21" customFormat="1">
      <c r="A86" s="163" t="s">
        <v>2045</v>
      </c>
      <c r="B86" s="100">
        <v>3.57</v>
      </c>
      <c r="C86" s="100">
        <v>5.81</v>
      </c>
      <c r="D86" s="100">
        <v>3.66</v>
      </c>
      <c r="E86" s="100">
        <v>6.99</v>
      </c>
      <c r="F86" s="100">
        <v>1</v>
      </c>
      <c r="G86" s="100">
        <v>71.430000000000007</v>
      </c>
      <c r="H86" s="100">
        <v>26.56</v>
      </c>
      <c r="I86" s="100">
        <v>6.35</v>
      </c>
      <c r="J86" s="100">
        <v>0.19</v>
      </c>
      <c r="K86" s="100">
        <v>166.15</v>
      </c>
      <c r="L86" s="100">
        <v>27.49</v>
      </c>
      <c r="M86" s="100">
        <v>95.53</v>
      </c>
      <c r="N86" s="100">
        <v>2.1</v>
      </c>
      <c r="O86" s="100">
        <v>0</v>
      </c>
      <c r="P86" s="100">
        <v>0.32</v>
      </c>
      <c r="Q86" s="100">
        <v>10</v>
      </c>
      <c r="R86" s="6"/>
      <c r="S86" s="6"/>
      <c r="T86" s="156"/>
      <c r="U86" s="6"/>
    </row>
    <row r="87" spans="1:21" customFormat="1">
      <c r="A87" s="163" t="s">
        <v>2046</v>
      </c>
      <c r="B87" s="100">
        <v>3.3</v>
      </c>
      <c r="C87" s="100">
        <v>5.59</v>
      </c>
      <c r="D87" s="100">
        <v>3.64</v>
      </c>
      <c r="E87" s="100">
        <v>5.65</v>
      </c>
      <c r="F87" s="100">
        <v>1.84</v>
      </c>
      <c r="G87" s="100">
        <v>71.430000000000007</v>
      </c>
      <c r="H87" s="100">
        <v>26.56</v>
      </c>
      <c r="I87" s="100">
        <v>6.51</v>
      </c>
      <c r="J87" s="100">
        <v>0.11</v>
      </c>
      <c r="K87" s="100">
        <v>160.29</v>
      </c>
      <c r="L87" s="100">
        <v>27.5</v>
      </c>
      <c r="M87" s="100">
        <v>96.12</v>
      </c>
      <c r="N87" s="100">
        <v>2.1</v>
      </c>
      <c r="O87" s="100">
        <v>0</v>
      </c>
      <c r="P87" s="100">
        <v>0.34</v>
      </c>
      <c r="Q87" s="100">
        <v>10</v>
      </c>
      <c r="R87" s="6"/>
      <c r="S87" s="6"/>
      <c r="T87" s="156"/>
      <c r="U87" s="6"/>
    </row>
    <row r="88" spans="1:21" customFormat="1">
      <c r="A88" s="163" t="s">
        <v>2047</v>
      </c>
      <c r="B88" s="100">
        <v>3.35</v>
      </c>
      <c r="C88" s="100">
        <v>5.65</v>
      </c>
      <c r="D88" s="100">
        <v>3.68</v>
      </c>
      <c r="E88" s="100">
        <v>6.47</v>
      </c>
      <c r="F88" s="100">
        <v>2.89</v>
      </c>
      <c r="G88" s="100">
        <v>70.92</v>
      </c>
      <c r="H88" s="100">
        <v>25.88</v>
      </c>
      <c r="I88" s="100">
        <v>6.61</v>
      </c>
      <c r="J88" s="100">
        <v>0.13</v>
      </c>
      <c r="K88" s="100">
        <v>142.78</v>
      </c>
      <c r="L88" s="100">
        <v>27.48</v>
      </c>
      <c r="M88" s="100">
        <v>96.51</v>
      </c>
      <c r="N88" s="100">
        <v>2.1</v>
      </c>
      <c r="O88" s="100">
        <v>0</v>
      </c>
      <c r="P88" s="100">
        <v>0.33</v>
      </c>
      <c r="Q88" s="100">
        <v>10</v>
      </c>
      <c r="R88" s="6"/>
      <c r="S88" s="6"/>
      <c r="T88" s="156"/>
      <c r="U88" s="6"/>
    </row>
    <row r="89" spans="1:21" customFormat="1">
      <c r="A89" s="163" t="s">
        <v>2048</v>
      </c>
      <c r="B89" s="100">
        <v>3.12</v>
      </c>
      <c r="C89" s="100">
        <v>5.13</v>
      </c>
      <c r="D89" s="100">
        <v>3.04</v>
      </c>
      <c r="E89" s="100">
        <v>6.48</v>
      </c>
      <c r="F89" s="100">
        <v>2.17</v>
      </c>
      <c r="G89" s="100">
        <v>68.58</v>
      </c>
      <c r="H89" s="100">
        <v>23.68</v>
      </c>
      <c r="I89" s="100">
        <v>6.83</v>
      </c>
      <c r="J89" s="100">
        <v>0.06</v>
      </c>
      <c r="K89" s="100">
        <v>130.24</v>
      </c>
      <c r="L89" s="100">
        <v>27.55</v>
      </c>
      <c r="M89" s="100">
        <v>96.45</v>
      </c>
      <c r="N89" s="100">
        <v>2.1</v>
      </c>
      <c r="O89" s="100">
        <v>0</v>
      </c>
      <c r="P89" s="100">
        <v>0.35</v>
      </c>
      <c r="Q89" s="100">
        <v>10</v>
      </c>
      <c r="R89" s="6"/>
      <c r="S89" s="6"/>
      <c r="T89" s="156"/>
      <c r="U89" s="6"/>
    </row>
    <row r="90" spans="1:21" customFormat="1">
      <c r="A90" s="163" t="s">
        <v>2049</v>
      </c>
      <c r="B90" s="100">
        <v>2.6</v>
      </c>
      <c r="C90" s="100">
        <v>4.26</v>
      </c>
      <c r="D90" s="100">
        <v>2.1800000000000002</v>
      </c>
      <c r="E90" s="100">
        <v>6.2</v>
      </c>
      <c r="F90" s="100">
        <v>0.73</v>
      </c>
      <c r="G90" s="100">
        <v>68.58</v>
      </c>
      <c r="H90" s="100">
        <v>23.68</v>
      </c>
      <c r="I90" s="100">
        <v>6.96</v>
      </c>
      <c r="J90" s="100">
        <v>0.1</v>
      </c>
      <c r="K90" s="100">
        <v>109.14</v>
      </c>
      <c r="L90" s="100">
        <v>27.54</v>
      </c>
      <c r="M90" s="100">
        <v>96.51</v>
      </c>
      <c r="N90" s="100">
        <v>2.1</v>
      </c>
      <c r="O90" s="100">
        <v>0</v>
      </c>
      <c r="P90" s="100">
        <v>0.37</v>
      </c>
      <c r="Q90" s="100">
        <v>10</v>
      </c>
      <c r="R90" s="6"/>
      <c r="S90" s="6"/>
      <c r="T90" s="156"/>
      <c r="U90" s="6"/>
    </row>
    <row r="91" spans="1:21" customFormat="1">
      <c r="A91" s="163" t="s">
        <v>2050</v>
      </c>
      <c r="B91" s="100">
        <v>3.68</v>
      </c>
      <c r="C91" s="100">
        <v>6.03</v>
      </c>
      <c r="D91" s="100">
        <v>3.9</v>
      </c>
      <c r="E91" s="100">
        <v>5.95</v>
      </c>
      <c r="F91" s="100">
        <v>1.48</v>
      </c>
      <c r="G91" s="100">
        <v>68.58</v>
      </c>
      <c r="H91" s="100">
        <v>23.68</v>
      </c>
      <c r="I91" s="100">
        <v>7.03</v>
      </c>
      <c r="J91" s="100">
        <v>0.13</v>
      </c>
      <c r="K91" s="100">
        <v>89.57</v>
      </c>
      <c r="L91" s="100">
        <v>27.61</v>
      </c>
      <c r="M91" s="100">
        <v>96.39</v>
      </c>
      <c r="N91" s="100">
        <v>2.1</v>
      </c>
      <c r="O91" s="100">
        <v>0</v>
      </c>
      <c r="P91" s="100">
        <v>0.37</v>
      </c>
      <c r="Q91" s="100">
        <v>10</v>
      </c>
      <c r="R91" s="6"/>
      <c r="S91" s="6"/>
      <c r="T91" s="156"/>
      <c r="U91" s="6"/>
    </row>
    <row r="92" spans="1:21" customFormat="1">
      <c r="A92" s="163" t="s">
        <v>2051</v>
      </c>
      <c r="B92" s="100">
        <v>4.0599999999999996</v>
      </c>
      <c r="C92" s="100">
        <v>6.47</v>
      </c>
      <c r="D92" s="100">
        <v>4.16</v>
      </c>
      <c r="E92" s="100">
        <v>5.69</v>
      </c>
      <c r="F92" s="100">
        <v>2.21</v>
      </c>
      <c r="G92" s="100">
        <v>66.239999999999995</v>
      </c>
      <c r="H92" s="100">
        <v>24.2</v>
      </c>
      <c r="I92" s="100">
        <v>7.47</v>
      </c>
      <c r="J92" s="100">
        <v>0.09</v>
      </c>
      <c r="K92" s="100">
        <v>215.81</v>
      </c>
      <c r="L92" s="100">
        <v>27.47</v>
      </c>
      <c r="M92" s="100">
        <v>96.43</v>
      </c>
      <c r="N92" s="100">
        <v>2.2000000000000002</v>
      </c>
      <c r="O92" s="100">
        <v>0</v>
      </c>
      <c r="P92" s="100">
        <v>0.34</v>
      </c>
      <c r="Q92" s="100">
        <v>10</v>
      </c>
      <c r="R92" s="6"/>
      <c r="S92" s="6"/>
      <c r="T92" s="156"/>
      <c r="U92" s="6"/>
    </row>
    <row r="93" spans="1:21" customFormat="1">
      <c r="A93" s="163" t="s">
        <v>2052</v>
      </c>
      <c r="B93" s="100">
        <v>3.34</v>
      </c>
      <c r="C93" s="100">
        <v>5.5</v>
      </c>
      <c r="D93" s="100">
        <v>3.42</v>
      </c>
      <c r="E93" s="100">
        <v>5.94</v>
      </c>
      <c r="F93" s="100">
        <v>1.98</v>
      </c>
      <c r="G93" s="100">
        <v>56.21</v>
      </c>
      <c r="H93" s="100">
        <v>25.86</v>
      </c>
      <c r="I93" s="100">
        <v>7.64</v>
      </c>
      <c r="J93" s="100">
        <v>0.08</v>
      </c>
      <c r="K93" s="100">
        <v>192.72</v>
      </c>
      <c r="L93" s="100">
        <v>27.4</v>
      </c>
      <c r="M93" s="100">
        <v>96.64</v>
      </c>
      <c r="N93" s="100">
        <v>2.1</v>
      </c>
      <c r="O93" s="100">
        <v>0</v>
      </c>
      <c r="P93" s="100">
        <v>0.35</v>
      </c>
      <c r="Q93" s="100">
        <v>10</v>
      </c>
      <c r="R93" s="6"/>
      <c r="S93" s="6"/>
      <c r="T93" s="156"/>
      <c r="U93" s="6"/>
    </row>
    <row r="94" spans="1:21" customFormat="1">
      <c r="A94" s="163" t="s">
        <v>2053</v>
      </c>
      <c r="B94" s="100">
        <v>3.12</v>
      </c>
      <c r="C94" s="100">
        <v>4.96</v>
      </c>
      <c r="D94" s="100">
        <v>2.73</v>
      </c>
      <c r="E94" s="100">
        <v>5.75</v>
      </c>
      <c r="F94" s="100">
        <v>1.4</v>
      </c>
      <c r="G94" s="100">
        <v>56.21</v>
      </c>
      <c r="H94" s="100">
        <v>25.86</v>
      </c>
      <c r="I94" s="100">
        <v>7.42</v>
      </c>
      <c r="J94" s="100">
        <v>7.0000000000000007E-2</v>
      </c>
      <c r="K94" s="100">
        <v>149.87</v>
      </c>
      <c r="L94" s="100">
        <v>27.43</v>
      </c>
      <c r="M94" s="100">
        <v>96.77</v>
      </c>
      <c r="N94" s="100">
        <v>2.1</v>
      </c>
      <c r="O94" s="100">
        <v>0</v>
      </c>
      <c r="P94" s="100">
        <v>0.36</v>
      </c>
      <c r="Q94" s="100">
        <v>10</v>
      </c>
      <c r="R94" s="6"/>
      <c r="S94" s="6"/>
      <c r="T94" s="156"/>
      <c r="U94" s="6"/>
    </row>
    <row r="95" spans="1:21" customFormat="1">
      <c r="A95" s="163" t="s">
        <v>2054</v>
      </c>
      <c r="B95" s="100">
        <v>3.78</v>
      </c>
      <c r="C95" s="100">
        <v>5.74</v>
      </c>
      <c r="D95" s="100">
        <v>3.2</v>
      </c>
      <c r="E95" s="100">
        <v>5.68</v>
      </c>
      <c r="F95" s="100">
        <v>1.62</v>
      </c>
      <c r="G95" s="100">
        <v>56.21</v>
      </c>
      <c r="H95" s="100">
        <v>25.86</v>
      </c>
      <c r="I95" s="100">
        <v>7.29</v>
      </c>
      <c r="J95" s="100">
        <v>0.12</v>
      </c>
      <c r="K95" s="100">
        <v>154.66</v>
      </c>
      <c r="L95" s="100">
        <v>27.39</v>
      </c>
      <c r="M95" s="100">
        <v>96.89</v>
      </c>
      <c r="N95" s="100">
        <v>2.1</v>
      </c>
      <c r="O95" s="100">
        <v>0</v>
      </c>
      <c r="P95" s="100">
        <v>0.34</v>
      </c>
      <c r="Q95" s="100">
        <v>10</v>
      </c>
      <c r="R95" s="6"/>
      <c r="S95" s="6"/>
      <c r="T95" s="156"/>
      <c r="U95" s="6"/>
    </row>
    <row r="96" spans="1:21" customFormat="1">
      <c r="A96" s="163" t="s">
        <v>2055</v>
      </c>
      <c r="B96" s="100">
        <v>3.64</v>
      </c>
      <c r="C96" s="100">
        <v>5.56</v>
      </c>
      <c r="D96" s="100">
        <v>3.08</v>
      </c>
      <c r="E96" s="100">
        <v>5.85</v>
      </c>
      <c r="F96" s="100">
        <v>2.78</v>
      </c>
      <c r="G96" s="100">
        <v>55.82</v>
      </c>
      <c r="H96" s="100">
        <v>25.37</v>
      </c>
      <c r="I96" s="100">
        <v>7.39</v>
      </c>
      <c r="J96" s="100">
        <v>0.36</v>
      </c>
      <c r="K96" s="100">
        <v>61.21</v>
      </c>
      <c r="L96" s="100">
        <v>27.45</v>
      </c>
      <c r="M96" s="100">
        <v>97.09</v>
      </c>
      <c r="N96" s="100">
        <v>2</v>
      </c>
      <c r="O96" s="100">
        <v>0</v>
      </c>
      <c r="P96" s="100">
        <v>0.37</v>
      </c>
      <c r="Q96" s="100">
        <v>10</v>
      </c>
      <c r="R96" s="6"/>
      <c r="S96" s="6"/>
      <c r="T96" s="156"/>
      <c r="U96" s="6"/>
    </row>
    <row r="97" spans="1:28" customFormat="1">
      <c r="A97" s="163" t="s">
        <v>2056</v>
      </c>
      <c r="B97" s="100">
        <v>4.07</v>
      </c>
      <c r="C97" s="100">
        <v>6.38</v>
      </c>
      <c r="D97" s="100">
        <v>3.98</v>
      </c>
      <c r="E97" s="100">
        <v>5.78</v>
      </c>
      <c r="F97" s="100">
        <v>2.75</v>
      </c>
      <c r="G97" s="100">
        <v>54.19</v>
      </c>
      <c r="H97" s="100">
        <v>23.82</v>
      </c>
      <c r="I97" s="100">
        <v>7.26</v>
      </c>
      <c r="J97" s="100">
        <v>0.3</v>
      </c>
      <c r="K97" s="100">
        <v>82.04</v>
      </c>
      <c r="L97" s="100">
        <v>27.85</v>
      </c>
      <c r="M97" s="100">
        <v>91.8</v>
      </c>
      <c r="N97" s="100">
        <v>1.2</v>
      </c>
      <c r="O97" s="100">
        <v>0</v>
      </c>
      <c r="P97" s="100">
        <v>0.37</v>
      </c>
      <c r="Q97" s="100">
        <v>10</v>
      </c>
      <c r="R97" s="6"/>
      <c r="S97" s="6"/>
      <c r="T97" s="156"/>
      <c r="U97" s="6"/>
    </row>
    <row r="98" spans="1:28" customFormat="1">
      <c r="A98" s="163" t="s">
        <v>2057</v>
      </c>
      <c r="B98" s="100">
        <v>3.49</v>
      </c>
      <c r="C98" s="100">
        <v>5.47</v>
      </c>
      <c r="D98" s="100">
        <v>3.12</v>
      </c>
      <c r="E98" s="100">
        <v>5.67</v>
      </c>
      <c r="F98" s="100">
        <v>1.77</v>
      </c>
      <c r="G98" s="100">
        <v>54.19</v>
      </c>
      <c r="H98" s="100">
        <v>23.82</v>
      </c>
      <c r="I98" s="100">
        <v>7.25</v>
      </c>
      <c r="J98" s="100">
        <v>0.18</v>
      </c>
      <c r="K98" s="100">
        <v>127.37</v>
      </c>
      <c r="L98" s="100">
        <v>28</v>
      </c>
      <c r="M98" s="100">
        <v>90.21</v>
      </c>
      <c r="N98" s="100">
        <v>1.5</v>
      </c>
      <c r="O98" s="100">
        <v>0</v>
      </c>
      <c r="P98" s="100">
        <v>0.37</v>
      </c>
      <c r="Q98" s="100">
        <v>10</v>
      </c>
      <c r="R98" s="6"/>
      <c r="S98" s="6"/>
      <c r="T98" s="156"/>
      <c r="U98" s="6"/>
    </row>
    <row r="99" spans="1:28" customFormat="1">
      <c r="A99" s="163" t="s">
        <v>2058</v>
      </c>
      <c r="B99" s="100">
        <v>2.5</v>
      </c>
      <c r="C99" s="100">
        <v>4.09</v>
      </c>
      <c r="D99" s="100">
        <v>2.0099999999999998</v>
      </c>
      <c r="E99" s="100">
        <v>5.81</v>
      </c>
      <c r="F99" s="100">
        <v>2.2200000000000002</v>
      </c>
      <c r="G99" s="100">
        <v>54.19</v>
      </c>
      <c r="H99" s="100">
        <v>23.82</v>
      </c>
      <c r="I99" s="100">
        <v>7.21</v>
      </c>
      <c r="J99" s="100">
        <v>0.14000000000000001</v>
      </c>
      <c r="K99" s="100">
        <v>106.43</v>
      </c>
      <c r="L99" s="100">
        <v>27.98</v>
      </c>
      <c r="M99" s="100">
        <v>90.34</v>
      </c>
      <c r="N99" s="100">
        <v>1.8</v>
      </c>
      <c r="O99" s="100">
        <v>0</v>
      </c>
      <c r="P99" s="100">
        <v>0.37</v>
      </c>
      <c r="Q99" s="100">
        <v>10</v>
      </c>
      <c r="R99" s="6"/>
      <c r="S99" s="6"/>
      <c r="T99" s="156"/>
      <c r="U99" s="6"/>
    </row>
    <row r="100" spans="1:28" customFormat="1">
      <c r="A100" s="163" t="s">
        <v>2059</v>
      </c>
      <c r="B100" s="100">
        <v>2.46</v>
      </c>
      <c r="C100" s="100">
        <v>4.1399999999999997</v>
      </c>
      <c r="D100" s="100">
        <v>2.15</v>
      </c>
      <c r="E100" s="100">
        <v>5.93</v>
      </c>
      <c r="F100" s="100">
        <v>2.84</v>
      </c>
      <c r="G100" s="100">
        <v>55.97</v>
      </c>
      <c r="H100" s="100">
        <v>24.2</v>
      </c>
      <c r="I100" s="100">
        <v>7.22</v>
      </c>
      <c r="J100" s="100">
        <v>0.24</v>
      </c>
      <c r="K100" s="100">
        <v>63.7</v>
      </c>
      <c r="L100" s="100">
        <v>27.81</v>
      </c>
      <c r="M100" s="100">
        <v>91.44</v>
      </c>
      <c r="N100" s="100">
        <v>2.1</v>
      </c>
      <c r="O100" s="100">
        <v>0</v>
      </c>
      <c r="P100" s="100">
        <v>0.36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2060</v>
      </c>
      <c r="B101" s="100">
        <v>3.28</v>
      </c>
      <c r="C101" s="100">
        <v>5.4</v>
      </c>
      <c r="D101" s="100">
        <v>3.32</v>
      </c>
      <c r="E101" s="100">
        <v>5.73</v>
      </c>
      <c r="F101" s="100">
        <v>3.25</v>
      </c>
      <c r="G101" s="100">
        <v>63.62</v>
      </c>
      <c r="H101" s="100">
        <v>26.13</v>
      </c>
      <c r="I101" s="100">
        <v>7.16</v>
      </c>
      <c r="J101" s="100">
        <v>0.17</v>
      </c>
      <c r="K101" s="100">
        <v>131.09</v>
      </c>
      <c r="L101" s="100">
        <v>27.81</v>
      </c>
      <c r="M101" s="100">
        <v>91.88</v>
      </c>
      <c r="N101" s="100">
        <v>2.2000000000000002</v>
      </c>
      <c r="O101" s="100">
        <v>0</v>
      </c>
      <c r="P101" s="100">
        <v>0.34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2061</v>
      </c>
      <c r="B102" s="100">
        <v>3.06</v>
      </c>
      <c r="C102" s="100">
        <v>4.9800000000000004</v>
      </c>
      <c r="D102" s="100">
        <v>2.86</v>
      </c>
      <c r="E102" s="100">
        <v>5.97</v>
      </c>
      <c r="F102" s="100">
        <v>2.09</v>
      </c>
      <c r="G102" s="100">
        <v>63.62</v>
      </c>
      <c r="H102" s="100">
        <v>26.13</v>
      </c>
      <c r="I102" s="100">
        <v>7.11</v>
      </c>
      <c r="J102" s="100">
        <v>0.15</v>
      </c>
      <c r="K102" s="100">
        <v>107.37</v>
      </c>
      <c r="L102" s="100">
        <v>27.67</v>
      </c>
      <c r="M102" s="100">
        <v>92.97</v>
      </c>
      <c r="N102" s="100">
        <v>2.2000000000000002</v>
      </c>
      <c r="O102" s="100">
        <v>0</v>
      </c>
      <c r="P102" s="100">
        <v>0.35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2062</v>
      </c>
      <c r="B103" s="100">
        <v>3.74</v>
      </c>
      <c r="C103" s="100">
        <v>6.04</v>
      </c>
      <c r="D103" s="100">
        <v>3.83</v>
      </c>
      <c r="E103" s="100">
        <v>5.82</v>
      </c>
      <c r="F103" s="100">
        <v>2.17</v>
      </c>
      <c r="G103" s="100">
        <v>63.62</v>
      </c>
      <c r="H103" s="100">
        <v>26.13</v>
      </c>
      <c r="I103" s="100">
        <v>6.86</v>
      </c>
      <c r="J103" s="100">
        <v>0.23</v>
      </c>
      <c r="K103" s="100">
        <v>93.84</v>
      </c>
      <c r="L103" s="100">
        <v>27.72</v>
      </c>
      <c r="M103" s="100">
        <v>89.92</v>
      </c>
      <c r="N103" s="100">
        <v>2.2999999999999998</v>
      </c>
      <c r="O103" s="100">
        <v>0</v>
      </c>
      <c r="P103" s="100">
        <v>0.34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2063</v>
      </c>
      <c r="B104" s="100">
        <v>2.84</v>
      </c>
      <c r="C104" s="100">
        <v>4.6399999999999997</v>
      </c>
      <c r="D104" s="100">
        <v>2.54</v>
      </c>
      <c r="E104" s="100">
        <v>5.82</v>
      </c>
      <c r="F104" s="100">
        <v>1.63</v>
      </c>
      <c r="G104" s="100">
        <v>59.22</v>
      </c>
      <c r="H104" s="100">
        <v>25.88</v>
      </c>
      <c r="I104" s="100">
        <v>6.83</v>
      </c>
      <c r="J104" s="100">
        <v>0.17</v>
      </c>
      <c r="K104" s="100">
        <v>137.38</v>
      </c>
      <c r="L104" s="100">
        <v>27.66</v>
      </c>
      <c r="M104" s="100">
        <v>89.69</v>
      </c>
      <c r="N104" s="100">
        <v>2.2999999999999998</v>
      </c>
      <c r="O104" s="100">
        <v>0</v>
      </c>
      <c r="P104" s="100">
        <v>0.33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1.42</v>
      </c>
      <c r="C106" s="158">
        <f>MIN(C9:C104)</f>
        <v>2.77</v>
      </c>
      <c r="D106" s="158">
        <f t="shared" ref="D106:Q106" si="0">MIN(D9:D104)</f>
        <v>1.1299999999999999</v>
      </c>
      <c r="E106" s="158">
        <f t="shared" si="0"/>
        <v>4.18</v>
      </c>
      <c r="F106" s="158">
        <f t="shared" si="0"/>
        <v>0.69</v>
      </c>
      <c r="G106" s="158">
        <f t="shared" si="0"/>
        <v>22.33</v>
      </c>
      <c r="H106" s="158">
        <f t="shared" si="0"/>
        <v>9.6199999999999992</v>
      </c>
      <c r="I106" s="158">
        <f t="shared" si="0"/>
        <v>5.59</v>
      </c>
      <c r="J106" s="158">
        <f t="shared" si="0"/>
        <v>0.06</v>
      </c>
      <c r="K106" s="158">
        <f t="shared" si="0"/>
        <v>20.46</v>
      </c>
      <c r="L106" s="158">
        <f t="shared" si="0"/>
        <v>26.29</v>
      </c>
      <c r="M106" s="158">
        <f t="shared" si="0"/>
        <v>60.68</v>
      </c>
      <c r="N106" s="158">
        <f t="shared" si="0"/>
        <v>1.2</v>
      </c>
      <c r="O106" s="158">
        <f t="shared" si="0"/>
        <v>0</v>
      </c>
      <c r="P106" s="158">
        <f t="shared" si="0"/>
        <v>0.19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4.07</v>
      </c>
      <c r="C107" s="157">
        <f t="shared" ref="C107:Q107" si="1">MAX(C9:C104)</f>
        <v>6.47</v>
      </c>
      <c r="D107" s="157">
        <f t="shared" si="1"/>
        <v>4.16</v>
      </c>
      <c r="E107" s="157">
        <f t="shared" si="1"/>
        <v>11.35</v>
      </c>
      <c r="F107" s="157">
        <f t="shared" si="1"/>
        <v>9.0399999999999991</v>
      </c>
      <c r="G107" s="157">
        <f t="shared" si="1"/>
        <v>166.23</v>
      </c>
      <c r="H107" s="157">
        <f t="shared" si="1"/>
        <v>30.96</v>
      </c>
      <c r="I107" s="157">
        <f t="shared" si="1"/>
        <v>7.64</v>
      </c>
      <c r="J107" s="157">
        <f t="shared" si="1"/>
        <v>1.37</v>
      </c>
      <c r="K107" s="157">
        <f t="shared" si="1"/>
        <v>354.37</v>
      </c>
      <c r="L107" s="157">
        <f t="shared" si="1"/>
        <v>33.380000000000003</v>
      </c>
      <c r="M107" s="157">
        <f t="shared" si="1"/>
        <v>98.38</v>
      </c>
      <c r="N107" s="157">
        <f t="shared" si="1"/>
        <v>530.4</v>
      </c>
      <c r="O107" s="157">
        <f t="shared" si="1"/>
        <v>6.6</v>
      </c>
      <c r="P107" s="157">
        <f t="shared" si="1"/>
        <v>0.37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2.6310416666666669</v>
      </c>
      <c r="C108" s="158">
        <f t="shared" ref="C108:Q108" si="2">AVERAGE(C9:C104)</f>
        <v>4.4606249999999976</v>
      </c>
      <c r="D108" s="158">
        <f t="shared" si="2"/>
        <v>2.5173958333333331</v>
      </c>
      <c r="E108" s="158">
        <f t="shared" si="2"/>
        <v>6.1893750000000018</v>
      </c>
      <c r="F108" s="158">
        <f t="shared" si="2"/>
        <v>2.9097916666666657</v>
      </c>
      <c r="G108" s="158">
        <f t="shared" si="2"/>
        <v>46.736666666666657</v>
      </c>
      <c r="H108" s="158">
        <f t="shared" si="2"/>
        <v>18.664270833333337</v>
      </c>
      <c r="I108" s="158">
        <f t="shared" si="2"/>
        <v>6.5634374999999991</v>
      </c>
      <c r="J108" s="158">
        <f t="shared" si="2"/>
        <v>0.28833333333333339</v>
      </c>
      <c r="K108" s="158">
        <f t="shared" si="2"/>
        <v>164.45447916666663</v>
      </c>
      <c r="L108" s="158">
        <f t="shared" si="2"/>
        <v>28.279895833333324</v>
      </c>
      <c r="M108" s="158">
        <f t="shared" si="2"/>
        <v>87.410833333333358</v>
      </c>
      <c r="N108" s="158">
        <f t="shared" si="2"/>
        <v>80.348958333333385</v>
      </c>
      <c r="O108" s="158">
        <f t="shared" si="2"/>
        <v>0.13541666666666666</v>
      </c>
      <c r="P108" s="158">
        <f t="shared" si="2"/>
        <v>0.27687500000000004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0.63895552792559074</v>
      </c>
      <c r="C109" s="158">
        <f t="shared" ref="C109:Q109" si="3">STDEV(C9:C104)</f>
        <v>0.84530506794574944</v>
      </c>
      <c r="D109" s="158">
        <f t="shared" si="3"/>
        <v>0.70079991106654604</v>
      </c>
      <c r="E109" s="158">
        <f t="shared" si="3"/>
        <v>1.291733076957178</v>
      </c>
      <c r="F109" s="158">
        <f t="shared" si="3"/>
        <v>1.6893692246495389</v>
      </c>
      <c r="G109" s="158">
        <f t="shared" si="3"/>
        <v>28.03340145599498</v>
      </c>
      <c r="H109" s="158">
        <f t="shared" si="3"/>
        <v>6.521924279292449</v>
      </c>
      <c r="I109" s="158">
        <f t="shared" si="3"/>
        <v>0.38511468729252724</v>
      </c>
      <c r="J109" s="158">
        <f t="shared" si="3"/>
        <v>0.25172109322011504</v>
      </c>
      <c r="K109" s="158">
        <f t="shared" si="3"/>
        <v>77.716544386024054</v>
      </c>
      <c r="L109" s="158">
        <f t="shared" si="3"/>
        <v>2.0625423733021022</v>
      </c>
      <c r="M109" s="158">
        <f t="shared" si="3"/>
        <v>10.685098789451839</v>
      </c>
      <c r="N109" s="158">
        <f t="shared" si="3"/>
        <v>117.37481303817103</v>
      </c>
      <c r="O109" s="158">
        <f t="shared" si="3"/>
        <v>0.78270504852240219</v>
      </c>
      <c r="P109" s="158">
        <f t="shared" si="3"/>
        <v>4.7557444488909931E-2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87" activePane="bottomRight" state="frozen"/>
      <selection pane="topRight"/>
      <selection pane="bottomLeft"/>
      <selection pane="bottomRight" activeCell="M17" sqref="M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2064</v>
      </c>
      <c r="B9" s="100">
        <v>4.43</v>
      </c>
      <c r="C9" s="100">
        <v>7.01</v>
      </c>
      <c r="D9" s="100">
        <v>4.6399999999999997</v>
      </c>
      <c r="E9" s="100">
        <v>5.67</v>
      </c>
      <c r="F9" s="100">
        <v>1.88</v>
      </c>
      <c r="G9" s="100">
        <v>38.86</v>
      </c>
      <c r="H9" s="100">
        <v>25.09</v>
      </c>
      <c r="I9" s="100">
        <v>6.81</v>
      </c>
      <c r="J9" s="100">
        <v>0.1</v>
      </c>
      <c r="K9" s="100">
        <v>118.13</v>
      </c>
      <c r="L9" s="100">
        <v>27.48</v>
      </c>
      <c r="M9" s="100">
        <v>91.49</v>
      </c>
      <c r="N9" s="100">
        <v>2.4</v>
      </c>
      <c r="O9" s="100">
        <v>0</v>
      </c>
      <c r="P9" s="100">
        <v>0.32</v>
      </c>
      <c r="Q9" s="100">
        <v>10</v>
      </c>
      <c r="R9" s="6"/>
      <c r="S9" s="6"/>
      <c r="T9" s="156"/>
      <c r="U9" s="6"/>
    </row>
    <row r="10" spans="1:21" customFormat="1">
      <c r="A10" s="163" t="s">
        <v>2065</v>
      </c>
      <c r="B10" s="100">
        <v>2.79</v>
      </c>
      <c r="C10" s="100">
        <v>4.3099999999999996</v>
      </c>
      <c r="D10" s="100">
        <v>1.98</v>
      </c>
      <c r="E10" s="100">
        <v>5.95</v>
      </c>
      <c r="F10" s="100">
        <v>1.29</v>
      </c>
      <c r="G10" s="100">
        <v>38.86</v>
      </c>
      <c r="H10" s="100">
        <v>25.09</v>
      </c>
      <c r="I10" s="100">
        <v>6.68</v>
      </c>
      <c r="J10" s="100">
        <v>0.17</v>
      </c>
      <c r="K10" s="100">
        <v>132.5</v>
      </c>
      <c r="L10" s="100">
        <v>27.5</v>
      </c>
      <c r="M10" s="100">
        <v>91.86</v>
      </c>
      <c r="N10" s="100">
        <v>2.2999999999999998</v>
      </c>
      <c r="O10" s="100">
        <v>0</v>
      </c>
      <c r="P10" s="100">
        <v>0.31</v>
      </c>
      <c r="Q10" s="100">
        <v>10</v>
      </c>
      <c r="R10" s="6"/>
      <c r="S10" s="6"/>
      <c r="T10" s="156"/>
      <c r="U10" s="6"/>
    </row>
    <row r="11" spans="1:21" customFormat="1">
      <c r="A11" s="163" t="s">
        <v>2066</v>
      </c>
      <c r="B11" s="100">
        <v>3.91</v>
      </c>
      <c r="C11" s="100">
        <v>5.79</v>
      </c>
      <c r="D11" s="100">
        <v>3.11</v>
      </c>
      <c r="E11" s="100">
        <v>5.67</v>
      </c>
      <c r="F11" s="100">
        <v>1.54</v>
      </c>
      <c r="G11" s="100">
        <v>38.86</v>
      </c>
      <c r="H11" s="100">
        <v>25.09</v>
      </c>
      <c r="I11" s="100">
        <v>6.65</v>
      </c>
      <c r="J11" s="100">
        <v>0.23</v>
      </c>
      <c r="K11" s="100">
        <v>66.48</v>
      </c>
      <c r="L11" s="100">
        <v>27.37</v>
      </c>
      <c r="M11" s="100">
        <v>90.29</v>
      </c>
      <c r="N11" s="100">
        <v>2.4</v>
      </c>
      <c r="O11" s="100">
        <v>0</v>
      </c>
      <c r="P11" s="100">
        <v>0.3</v>
      </c>
      <c r="Q11" s="100">
        <v>10</v>
      </c>
      <c r="R11" s="6"/>
      <c r="S11" s="6"/>
      <c r="T11" s="156"/>
      <c r="U11" s="6"/>
    </row>
    <row r="12" spans="1:21" customFormat="1">
      <c r="A12" s="163" t="s">
        <v>2067</v>
      </c>
      <c r="B12" s="100">
        <v>3.09</v>
      </c>
      <c r="C12" s="100">
        <v>4.76</v>
      </c>
      <c r="D12" s="100">
        <v>2.39</v>
      </c>
      <c r="E12" s="100">
        <v>5.87</v>
      </c>
      <c r="F12" s="100">
        <v>2.17</v>
      </c>
      <c r="G12" s="100">
        <v>37.909999999999997</v>
      </c>
      <c r="H12" s="100">
        <v>24.42</v>
      </c>
      <c r="I12" s="100">
        <v>6.59</v>
      </c>
      <c r="J12" s="100">
        <v>0.15</v>
      </c>
      <c r="K12" s="100">
        <v>54.32</v>
      </c>
      <c r="L12" s="100">
        <v>27.11</v>
      </c>
      <c r="M12" s="100">
        <v>92.81</v>
      </c>
      <c r="N12" s="100">
        <v>3.2</v>
      </c>
      <c r="O12" s="100">
        <v>2</v>
      </c>
      <c r="P12" s="100">
        <v>0.28999999999999998</v>
      </c>
      <c r="Q12" s="100">
        <v>10</v>
      </c>
      <c r="R12" s="6"/>
      <c r="S12" s="6"/>
      <c r="T12" s="156"/>
      <c r="U12" s="6"/>
    </row>
    <row r="13" spans="1:21" customFormat="1">
      <c r="A13" s="163" t="s">
        <v>2068</v>
      </c>
      <c r="B13" s="100">
        <v>3.16</v>
      </c>
      <c r="C13" s="100">
        <v>4.9800000000000004</v>
      </c>
      <c r="D13" s="100">
        <v>2.7</v>
      </c>
      <c r="E13" s="100">
        <v>5.84</v>
      </c>
      <c r="F13" s="100">
        <v>2.1800000000000002</v>
      </c>
      <c r="G13" s="100">
        <v>33.53</v>
      </c>
      <c r="H13" s="100">
        <v>22.33</v>
      </c>
      <c r="I13" s="100">
        <v>6.36</v>
      </c>
      <c r="J13" s="100">
        <v>0.22</v>
      </c>
      <c r="K13" s="100">
        <v>37.799999999999997</v>
      </c>
      <c r="L13" s="100">
        <v>26.24</v>
      </c>
      <c r="M13" s="100">
        <v>96.28</v>
      </c>
      <c r="N13" s="100">
        <v>3.9</v>
      </c>
      <c r="O13" s="100">
        <v>3.8</v>
      </c>
      <c r="P13" s="100">
        <v>0.28000000000000003</v>
      </c>
      <c r="Q13" s="100">
        <v>10</v>
      </c>
      <c r="R13" s="6"/>
      <c r="S13" s="6"/>
      <c r="T13" s="156"/>
      <c r="U13" s="6"/>
    </row>
    <row r="14" spans="1:21" customFormat="1">
      <c r="A14" s="163" t="s">
        <v>2069</v>
      </c>
      <c r="B14" s="100">
        <v>2.86</v>
      </c>
      <c r="C14" s="100">
        <v>4.5199999999999996</v>
      </c>
      <c r="D14" s="100">
        <v>2.27</v>
      </c>
      <c r="E14" s="100">
        <v>6.16</v>
      </c>
      <c r="F14" s="100">
        <v>2.0699999999999998</v>
      </c>
      <c r="G14" s="100">
        <v>33.53</v>
      </c>
      <c r="H14" s="100">
        <v>22.33</v>
      </c>
      <c r="I14" s="100">
        <v>6.23</v>
      </c>
      <c r="J14" s="100">
        <v>0.2</v>
      </c>
      <c r="K14" s="100">
        <v>209.6</v>
      </c>
      <c r="L14" s="100">
        <v>24.95</v>
      </c>
      <c r="M14" s="100">
        <v>97.42</v>
      </c>
      <c r="N14" s="100">
        <v>3.8</v>
      </c>
      <c r="O14" s="100">
        <v>5.2</v>
      </c>
      <c r="P14" s="100">
        <v>0.28000000000000003</v>
      </c>
      <c r="Q14" s="100">
        <v>10</v>
      </c>
      <c r="R14" s="6"/>
      <c r="S14" s="6"/>
      <c r="T14" s="156"/>
      <c r="U14" s="6"/>
    </row>
    <row r="15" spans="1:21" customFormat="1">
      <c r="A15" s="163" t="s">
        <v>2070</v>
      </c>
      <c r="B15" s="100">
        <v>3.03</v>
      </c>
      <c r="C15" s="100">
        <v>4.76</v>
      </c>
      <c r="D15" s="100">
        <v>2.48</v>
      </c>
      <c r="E15" s="100">
        <v>5.89</v>
      </c>
      <c r="F15" s="100">
        <v>2.16</v>
      </c>
      <c r="G15" s="100">
        <v>33.53</v>
      </c>
      <c r="H15" s="100">
        <v>22.33</v>
      </c>
      <c r="I15" s="100">
        <v>6.2</v>
      </c>
      <c r="J15" s="100">
        <v>7.0000000000000007E-2</v>
      </c>
      <c r="K15" s="100">
        <v>205.01</v>
      </c>
      <c r="L15" s="100">
        <v>24.4</v>
      </c>
      <c r="M15" s="100">
        <v>98.45</v>
      </c>
      <c r="N15" s="100">
        <v>2.6</v>
      </c>
      <c r="O15" s="100">
        <v>1.8</v>
      </c>
      <c r="P15" s="100">
        <v>0.26</v>
      </c>
      <c r="Q15" s="100">
        <v>10</v>
      </c>
      <c r="R15" s="6"/>
      <c r="S15" s="6"/>
      <c r="T15" s="156"/>
      <c r="U15" s="6"/>
    </row>
    <row r="16" spans="1:21" customFormat="1">
      <c r="A16" s="163" t="s">
        <v>2071</v>
      </c>
      <c r="B16" s="100">
        <v>3.25</v>
      </c>
      <c r="C16" s="100">
        <v>5.35</v>
      </c>
      <c r="D16" s="100">
        <v>3.28</v>
      </c>
      <c r="E16" s="100">
        <v>5.83</v>
      </c>
      <c r="F16" s="100">
        <v>2.09</v>
      </c>
      <c r="G16" s="100">
        <v>31.07</v>
      </c>
      <c r="H16" s="100">
        <v>20.47</v>
      </c>
      <c r="I16" s="100">
        <v>6.06</v>
      </c>
      <c r="J16" s="100">
        <v>0.23</v>
      </c>
      <c r="K16" s="100">
        <v>149.76</v>
      </c>
      <c r="L16" s="100">
        <v>24.19</v>
      </c>
      <c r="M16" s="100">
        <v>98.45</v>
      </c>
      <c r="N16" s="100">
        <v>2.8</v>
      </c>
      <c r="O16" s="100">
        <v>4.5999999999999996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163" t="s">
        <v>2072</v>
      </c>
      <c r="B17" s="100">
        <v>2.85</v>
      </c>
      <c r="C17" s="100">
        <v>4.63</v>
      </c>
      <c r="D17" s="100">
        <v>2.52</v>
      </c>
      <c r="E17" s="100">
        <v>4.9800000000000004</v>
      </c>
      <c r="F17" s="100">
        <v>1.81</v>
      </c>
      <c r="G17" s="100">
        <v>19.73</v>
      </c>
      <c r="H17" s="100">
        <v>14.52</v>
      </c>
      <c r="I17" s="100">
        <v>5.88</v>
      </c>
      <c r="J17" s="100">
        <v>0.18</v>
      </c>
      <c r="K17" s="100">
        <v>136.08000000000001</v>
      </c>
      <c r="L17" s="100">
        <v>24.04</v>
      </c>
      <c r="M17" s="100">
        <v>98.45</v>
      </c>
      <c r="N17" s="100">
        <v>2.6</v>
      </c>
      <c r="O17" s="100">
        <v>1</v>
      </c>
      <c r="P17" s="100">
        <v>0.24</v>
      </c>
      <c r="Q17" s="100">
        <v>10</v>
      </c>
      <c r="R17" s="6"/>
      <c r="S17" s="6"/>
      <c r="T17" s="156"/>
      <c r="U17" s="6"/>
    </row>
    <row r="18" spans="1:21" customFormat="1">
      <c r="A18" s="163" t="s">
        <v>2073</v>
      </c>
      <c r="B18" s="100">
        <v>2.54</v>
      </c>
      <c r="C18" s="100">
        <v>4.1100000000000003</v>
      </c>
      <c r="D18" s="100">
        <v>1.99</v>
      </c>
      <c r="E18" s="100">
        <v>5.65</v>
      </c>
      <c r="F18" s="100">
        <v>1.68</v>
      </c>
      <c r="G18" s="100">
        <v>19.73</v>
      </c>
      <c r="H18" s="100">
        <v>14.52</v>
      </c>
      <c r="I18" s="100">
        <v>5.7</v>
      </c>
      <c r="J18" s="100">
        <v>0.05</v>
      </c>
      <c r="K18" s="100">
        <v>245.27</v>
      </c>
      <c r="L18" s="100">
        <v>24.24</v>
      </c>
      <c r="M18" s="100">
        <v>98.45</v>
      </c>
      <c r="N18" s="100">
        <v>1.9</v>
      </c>
      <c r="O18" s="100">
        <v>0.6</v>
      </c>
      <c r="P18" s="100">
        <v>0.24</v>
      </c>
      <c r="Q18" s="100">
        <v>10</v>
      </c>
      <c r="R18" s="6"/>
      <c r="S18" s="6"/>
      <c r="T18" s="156"/>
      <c r="U18" s="6"/>
    </row>
    <row r="19" spans="1:21" customFormat="1">
      <c r="A19" s="163" t="s">
        <v>2074</v>
      </c>
      <c r="B19" s="100">
        <v>2.54</v>
      </c>
      <c r="C19" s="100">
        <v>4.24</v>
      </c>
      <c r="D19" s="100">
        <v>2.23</v>
      </c>
      <c r="E19" s="100">
        <v>6.1</v>
      </c>
      <c r="F19" s="100">
        <v>1.39</v>
      </c>
      <c r="G19" s="100">
        <v>19.73</v>
      </c>
      <c r="H19" s="100">
        <v>14.52</v>
      </c>
      <c r="I19" s="100">
        <v>5.55</v>
      </c>
      <c r="J19" s="100">
        <v>0.11</v>
      </c>
      <c r="K19" s="100">
        <v>152.81</v>
      </c>
      <c r="L19" s="100">
        <v>24.36</v>
      </c>
      <c r="M19" s="100">
        <v>98.47</v>
      </c>
      <c r="N19" s="100">
        <v>2.2000000000000002</v>
      </c>
      <c r="O19" s="100">
        <v>0.8</v>
      </c>
      <c r="P19" s="100">
        <v>0.23</v>
      </c>
      <c r="Q19" s="100">
        <v>10</v>
      </c>
      <c r="R19" s="6"/>
      <c r="S19" s="6"/>
      <c r="T19" s="156"/>
      <c r="U19" s="6"/>
    </row>
    <row r="20" spans="1:21" customFormat="1">
      <c r="A20" s="163" t="s">
        <v>2075</v>
      </c>
      <c r="B20" s="100">
        <v>2.42</v>
      </c>
      <c r="C20" s="100">
        <v>3.97</v>
      </c>
      <c r="D20" s="100">
        <v>1.9</v>
      </c>
      <c r="E20" s="100">
        <v>5.96</v>
      </c>
      <c r="F20" s="100">
        <v>2.0099999999999998</v>
      </c>
      <c r="G20" s="100">
        <v>18.04</v>
      </c>
      <c r="H20" s="100">
        <v>14.25</v>
      </c>
      <c r="I20" s="100">
        <v>5.39</v>
      </c>
      <c r="J20" s="100">
        <v>0.08</v>
      </c>
      <c r="K20" s="100">
        <v>224.34</v>
      </c>
      <c r="L20" s="100">
        <v>24.42</v>
      </c>
      <c r="M20" s="100">
        <v>98.46</v>
      </c>
      <c r="N20" s="100">
        <v>2.2000000000000002</v>
      </c>
      <c r="O20" s="100">
        <v>0.4</v>
      </c>
      <c r="P20" s="100">
        <v>0.2</v>
      </c>
      <c r="Q20" s="100">
        <v>10</v>
      </c>
      <c r="R20" s="6"/>
      <c r="S20" s="6"/>
      <c r="T20" s="156"/>
      <c r="U20" s="6"/>
    </row>
    <row r="21" spans="1:21" customFormat="1">
      <c r="A21" s="163" t="s">
        <v>2076</v>
      </c>
      <c r="B21" s="100">
        <v>2.4300000000000002</v>
      </c>
      <c r="C21" s="100">
        <v>4.03</v>
      </c>
      <c r="D21" s="100">
        <v>2</v>
      </c>
      <c r="E21" s="100">
        <v>5.15</v>
      </c>
      <c r="F21" s="100">
        <v>3.16</v>
      </c>
      <c r="G21" s="100">
        <v>10.19</v>
      </c>
      <c r="H21" s="100">
        <v>13.03</v>
      </c>
      <c r="I21" s="100">
        <v>5.23</v>
      </c>
      <c r="J21" s="100">
        <v>0.13</v>
      </c>
      <c r="K21" s="100">
        <v>248.25</v>
      </c>
      <c r="L21" s="100">
        <v>24.36</v>
      </c>
      <c r="M21" s="100">
        <v>98.45</v>
      </c>
      <c r="N21" s="100">
        <v>2.5</v>
      </c>
      <c r="O21" s="100">
        <v>0.6</v>
      </c>
      <c r="P21" s="100">
        <v>0.17</v>
      </c>
      <c r="Q21" s="100">
        <v>10</v>
      </c>
      <c r="R21" s="6"/>
      <c r="S21" s="6"/>
      <c r="T21" s="156"/>
      <c r="U21" s="6"/>
    </row>
    <row r="22" spans="1:21" customFormat="1">
      <c r="A22" s="163" t="s">
        <v>2077</v>
      </c>
      <c r="B22" s="100">
        <v>2.6</v>
      </c>
      <c r="C22" s="100">
        <v>4.09</v>
      </c>
      <c r="D22" s="100">
        <v>1.86</v>
      </c>
      <c r="E22" s="100">
        <v>5.27</v>
      </c>
      <c r="F22" s="100">
        <v>2.4</v>
      </c>
      <c r="G22" s="100">
        <v>10.19</v>
      </c>
      <c r="H22" s="100">
        <v>13.03</v>
      </c>
      <c r="I22" s="100">
        <v>5.1100000000000003</v>
      </c>
      <c r="J22" s="100">
        <v>0.1</v>
      </c>
      <c r="K22" s="100">
        <v>188.87</v>
      </c>
      <c r="L22" s="100">
        <v>24.23</v>
      </c>
      <c r="M22" s="100">
        <v>98.46</v>
      </c>
      <c r="N22" s="100">
        <v>2.4</v>
      </c>
      <c r="O22" s="100">
        <v>0.2</v>
      </c>
      <c r="P22" s="100">
        <v>0.18</v>
      </c>
      <c r="Q22" s="100">
        <v>10</v>
      </c>
      <c r="R22" s="6"/>
      <c r="S22" s="6"/>
      <c r="T22" s="156"/>
      <c r="U22" s="6"/>
    </row>
    <row r="23" spans="1:21" customFormat="1">
      <c r="A23" s="163" t="s">
        <v>2078</v>
      </c>
      <c r="B23" s="100">
        <v>2.92</v>
      </c>
      <c r="C23" s="100">
        <v>4.7699999999999996</v>
      </c>
      <c r="D23" s="100">
        <v>2.68</v>
      </c>
      <c r="E23" s="100">
        <v>5.34</v>
      </c>
      <c r="F23" s="100">
        <v>1.51</v>
      </c>
      <c r="G23" s="100">
        <v>10.19</v>
      </c>
      <c r="H23" s="100">
        <v>13.03</v>
      </c>
      <c r="I23" s="100">
        <v>5.08</v>
      </c>
      <c r="J23" s="100">
        <v>0.17</v>
      </c>
      <c r="K23" s="100">
        <v>166.76</v>
      </c>
      <c r="L23" s="100">
        <v>24.28</v>
      </c>
      <c r="M23" s="100">
        <v>98.47</v>
      </c>
      <c r="N23" s="100">
        <v>2.2000000000000002</v>
      </c>
      <c r="O23" s="100">
        <v>0.2</v>
      </c>
      <c r="P23" s="100">
        <v>0.17</v>
      </c>
      <c r="Q23" s="100">
        <v>10</v>
      </c>
      <c r="R23" s="6"/>
      <c r="S23" s="6"/>
      <c r="T23" s="156"/>
      <c r="U23" s="6"/>
    </row>
    <row r="24" spans="1:21" customFormat="1">
      <c r="A24" s="163" t="s">
        <v>2079</v>
      </c>
      <c r="B24" s="100">
        <v>2.36</v>
      </c>
      <c r="C24" s="100">
        <v>3.74</v>
      </c>
      <c r="D24" s="100">
        <v>1.55</v>
      </c>
      <c r="E24" s="100">
        <v>5.36</v>
      </c>
      <c r="F24" s="100">
        <v>2.21</v>
      </c>
      <c r="G24" s="100">
        <v>12.13</v>
      </c>
      <c r="H24" s="100">
        <v>12.25</v>
      </c>
      <c r="I24" s="100">
        <v>5.09</v>
      </c>
      <c r="J24" s="100">
        <v>0.08</v>
      </c>
      <c r="K24" s="100">
        <v>205.2</v>
      </c>
      <c r="L24" s="100">
        <v>24.31</v>
      </c>
      <c r="M24" s="100">
        <v>98.48</v>
      </c>
      <c r="N24" s="100">
        <v>2.2000000000000002</v>
      </c>
      <c r="O24" s="100">
        <v>0</v>
      </c>
      <c r="P24" s="100">
        <v>0.16</v>
      </c>
      <c r="Q24" s="100">
        <v>10</v>
      </c>
      <c r="R24" s="6"/>
      <c r="S24" s="6"/>
      <c r="T24" s="156"/>
      <c r="U24" s="6"/>
    </row>
    <row r="25" spans="1:21" customFormat="1">
      <c r="A25" s="163" t="s">
        <v>2080</v>
      </c>
      <c r="B25" s="100">
        <v>2.77</v>
      </c>
      <c r="C25" s="100">
        <v>4.47</v>
      </c>
      <c r="D25" s="100">
        <v>2.3199999999999998</v>
      </c>
      <c r="E25" s="100">
        <v>5.33</v>
      </c>
      <c r="F25" s="100">
        <v>2.5499999999999998</v>
      </c>
      <c r="G25" s="100">
        <v>21.09</v>
      </c>
      <c r="H25" s="100">
        <v>9.75</v>
      </c>
      <c r="I25" s="100">
        <v>5.0999999999999996</v>
      </c>
      <c r="J25" s="100">
        <v>0.06</v>
      </c>
      <c r="K25" s="100">
        <v>215.81</v>
      </c>
      <c r="L25" s="100">
        <v>24.37</v>
      </c>
      <c r="M25" s="100">
        <v>98.48</v>
      </c>
      <c r="N25" s="100">
        <v>2.2000000000000002</v>
      </c>
      <c r="O25" s="100">
        <v>0</v>
      </c>
      <c r="P25" s="100">
        <v>0.18</v>
      </c>
      <c r="Q25" s="100">
        <v>10</v>
      </c>
      <c r="R25" s="6"/>
      <c r="S25" s="6"/>
      <c r="T25" s="156"/>
      <c r="U25" s="6"/>
    </row>
    <row r="26" spans="1:21" customFormat="1">
      <c r="A26" s="163" t="s">
        <v>2081</v>
      </c>
      <c r="B26" s="100">
        <v>3.4</v>
      </c>
      <c r="C26" s="100">
        <v>5.58</v>
      </c>
      <c r="D26" s="100">
        <v>3.48</v>
      </c>
      <c r="E26" s="100">
        <v>5.29</v>
      </c>
      <c r="F26" s="100">
        <v>1.25</v>
      </c>
      <c r="G26" s="100">
        <v>21.09</v>
      </c>
      <c r="H26" s="100">
        <v>9.75</v>
      </c>
      <c r="I26" s="100">
        <v>5.01</v>
      </c>
      <c r="J26" s="100">
        <v>0.1</v>
      </c>
      <c r="K26" s="100">
        <v>188.81</v>
      </c>
      <c r="L26" s="100">
        <v>24.47</v>
      </c>
      <c r="M26" s="100">
        <v>98.48</v>
      </c>
      <c r="N26" s="100">
        <v>2.1</v>
      </c>
      <c r="O26" s="100">
        <v>0</v>
      </c>
      <c r="P26" s="100">
        <v>0.17</v>
      </c>
      <c r="Q26" s="100">
        <v>10</v>
      </c>
      <c r="R26" s="6"/>
      <c r="S26" s="6"/>
      <c r="T26" s="156"/>
      <c r="U26" s="6"/>
    </row>
    <row r="27" spans="1:21" customFormat="1">
      <c r="A27" s="163" t="s">
        <v>2082</v>
      </c>
      <c r="B27" s="100">
        <v>3.11</v>
      </c>
      <c r="C27" s="100">
        <v>5.03</v>
      </c>
      <c r="D27" s="100">
        <v>2.87</v>
      </c>
      <c r="E27" s="100">
        <v>5.25</v>
      </c>
      <c r="F27" s="100">
        <v>2.27</v>
      </c>
      <c r="G27" s="100">
        <v>21.09</v>
      </c>
      <c r="H27" s="100">
        <v>9.75</v>
      </c>
      <c r="I27" s="100">
        <v>5.0199999999999996</v>
      </c>
      <c r="J27" s="100">
        <v>0.08</v>
      </c>
      <c r="K27" s="100">
        <v>192.83</v>
      </c>
      <c r="L27" s="100">
        <v>24.54</v>
      </c>
      <c r="M27" s="100">
        <v>98.48</v>
      </c>
      <c r="N27" s="100">
        <v>2.1</v>
      </c>
      <c r="O27" s="100">
        <v>0</v>
      </c>
      <c r="P27" s="100">
        <v>0.15</v>
      </c>
      <c r="Q27" s="100">
        <v>10</v>
      </c>
      <c r="R27" s="6"/>
      <c r="S27" s="6"/>
      <c r="T27" s="156"/>
      <c r="U27" s="6"/>
    </row>
    <row r="28" spans="1:21" customFormat="1">
      <c r="A28" s="163" t="s">
        <v>2083</v>
      </c>
      <c r="B28" s="100">
        <v>3.09</v>
      </c>
      <c r="C28" s="100">
        <v>4.99</v>
      </c>
      <c r="D28" s="100">
        <v>2.83</v>
      </c>
      <c r="E28" s="100">
        <v>4.87</v>
      </c>
      <c r="F28" s="100">
        <v>2.06</v>
      </c>
      <c r="G28" s="100">
        <v>18.34</v>
      </c>
      <c r="H28" s="100">
        <v>9.33</v>
      </c>
      <c r="I28" s="100">
        <v>4.99</v>
      </c>
      <c r="J28" s="100">
        <v>0.17</v>
      </c>
      <c r="K28" s="100">
        <v>69.599999999999994</v>
      </c>
      <c r="L28" s="100">
        <v>24.61</v>
      </c>
      <c r="M28" s="100">
        <v>98.49</v>
      </c>
      <c r="N28" s="100">
        <v>2.1</v>
      </c>
      <c r="O28" s="100">
        <v>0</v>
      </c>
      <c r="P28" s="100">
        <v>0.15</v>
      </c>
      <c r="Q28" s="100">
        <v>10</v>
      </c>
      <c r="R28" s="6"/>
      <c r="S28" s="6"/>
      <c r="T28" s="156"/>
      <c r="U28" s="6"/>
    </row>
    <row r="29" spans="1:21" customFormat="1">
      <c r="A29" s="163" t="s">
        <v>2084</v>
      </c>
      <c r="B29" s="100">
        <v>3.05</v>
      </c>
      <c r="C29" s="100">
        <v>4.68</v>
      </c>
      <c r="D29" s="100">
        <v>2.2999999999999998</v>
      </c>
      <c r="E29" s="100">
        <v>5.16</v>
      </c>
      <c r="F29" s="100">
        <v>1.49</v>
      </c>
      <c r="G29" s="100">
        <v>5.65</v>
      </c>
      <c r="H29" s="100">
        <v>7.98</v>
      </c>
      <c r="I29" s="100">
        <v>4.91</v>
      </c>
      <c r="J29" s="100">
        <v>0.31</v>
      </c>
      <c r="K29" s="100">
        <v>58.99</v>
      </c>
      <c r="L29" s="100">
        <v>24.73</v>
      </c>
      <c r="M29" s="100">
        <v>98.53</v>
      </c>
      <c r="N29" s="100">
        <v>2.4</v>
      </c>
      <c r="O29" s="100">
        <v>0</v>
      </c>
      <c r="P29" s="100">
        <v>0.17</v>
      </c>
      <c r="Q29" s="100">
        <v>10</v>
      </c>
      <c r="R29" s="6"/>
      <c r="S29" s="6"/>
      <c r="T29" s="156"/>
      <c r="U29" s="6"/>
    </row>
    <row r="30" spans="1:21" customFormat="1">
      <c r="A30" s="163" t="s">
        <v>2085</v>
      </c>
      <c r="B30" s="100">
        <v>2.52</v>
      </c>
      <c r="C30" s="100">
        <v>3.8</v>
      </c>
      <c r="D30" s="100">
        <v>1.42</v>
      </c>
      <c r="E30" s="100">
        <v>5.35</v>
      </c>
      <c r="F30" s="100">
        <v>1.65</v>
      </c>
      <c r="G30" s="100">
        <v>5.65</v>
      </c>
      <c r="H30" s="100">
        <v>7.98</v>
      </c>
      <c r="I30" s="100">
        <v>4.79</v>
      </c>
      <c r="J30" s="100">
        <v>0.64</v>
      </c>
      <c r="K30" s="100">
        <v>40.43</v>
      </c>
      <c r="L30" s="100">
        <v>24.51</v>
      </c>
      <c r="M30" s="100">
        <v>98.53</v>
      </c>
      <c r="N30" s="100">
        <v>3</v>
      </c>
      <c r="O30" s="100">
        <v>0</v>
      </c>
      <c r="P30" s="100">
        <v>0.15</v>
      </c>
      <c r="Q30" s="100">
        <v>10</v>
      </c>
      <c r="R30" s="6"/>
      <c r="S30" s="6"/>
      <c r="T30" s="156"/>
      <c r="U30" s="6"/>
    </row>
    <row r="31" spans="1:21" customFormat="1">
      <c r="A31" s="163" t="s">
        <v>2086</v>
      </c>
      <c r="B31" s="100">
        <v>3.91</v>
      </c>
      <c r="C31" s="100">
        <v>6.16</v>
      </c>
      <c r="D31" s="100">
        <v>3.81</v>
      </c>
      <c r="E31" s="100">
        <v>4.92</v>
      </c>
      <c r="F31" s="100">
        <v>2.7</v>
      </c>
      <c r="G31" s="100">
        <v>5.65</v>
      </c>
      <c r="H31" s="100">
        <v>7.98</v>
      </c>
      <c r="I31" s="100">
        <v>4.88</v>
      </c>
      <c r="J31" s="100">
        <v>0.45</v>
      </c>
      <c r="K31" s="100">
        <v>49.85</v>
      </c>
      <c r="L31" s="100">
        <v>24.59</v>
      </c>
      <c r="M31" s="100">
        <v>98.53</v>
      </c>
      <c r="N31" s="100">
        <v>4</v>
      </c>
      <c r="O31" s="100">
        <v>0</v>
      </c>
      <c r="P31" s="100">
        <v>0.14000000000000001</v>
      </c>
      <c r="Q31" s="100">
        <v>10</v>
      </c>
      <c r="R31" s="6"/>
      <c r="S31" s="6"/>
      <c r="T31" s="156"/>
      <c r="U31" s="6"/>
    </row>
    <row r="32" spans="1:21" customFormat="1">
      <c r="A32" s="163" t="s">
        <v>2087</v>
      </c>
      <c r="B32" s="100">
        <v>3.66</v>
      </c>
      <c r="C32" s="100">
        <v>5.6</v>
      </c>
      <c r="D32" s="100">
        <v>3.11</v>
      </c>
      <c r="E32" s="100">
        <v>4.93</v>
      </c>
      <c r="F32" s="100">
        <v>2.57</v>
      </c>
      <c r="G32" s="100">
        <v>9.5500000000000007</v>
      </c>
      <c r="H32" s="100">
        <v>8.35</v>
      </c>
      <c r="I32" s="100">
        <v>4.7699999999999996</v>
      </c>
      <c r="J32" s="100">
        <v>0.18</v>
      </c>
      <c r="K32" s="100">
        <v>86.13</v>
      </c>
      <c r="L32" s="100">
        <v>24.76</v>
      </c>
      <c r="M32" s="100">
        <v>98.53</v>
      </c>
      <c r="N32" s="100">
        <v>7.3</v>
      </c>
      <c r="O32" s="100">
        <v>0</v>
      </c>
      <c r="P32" s="100">
        <v>0.16</v>
      </c>
      <c r="Q32" s="100">
        <v>10</v>
      </c>
      <c r="R32" s="6"/>
      <c r="S32" s="6"/>
      <c r="T32" s="156"/>
      <c r="U32" s="6"/>
    </row>
    <row r="33" spans="1:21" customFormat="1">
      <c r="A33" s="163" t="s">
        <v>2088</v>
      </c>
      <c r="B33" s="100">
        <v>3.66</v>
      </c>
      <c r="C33" s="100">
        <v>5.7</v>
      </c>
      <c r="D33" s="100">
        <v>3.32</v>
      </c>
      <c r="E33" s="100">
        <v>5.23</v>
      </c>
      <c r="F33" s="100">
        <v>0.49</v>
      </c>
      <c r="G33" s="100">
        <v>27.59</v>
      </c>
      <c r="H33" s="100">
        <v>9.51</v>
      </c>
      <c r="I33" s="100">
        <v>4.76</v>
      </c>
      <c r="J33" s="100">
        <v>0.13</v>
      </c>
      <c r="K33" s="100">
        <v>171.94</v>
      </c>
      <c r="L33" s="100">
        <v>24.86</v>
      </c>
      <c r="M33" s="100">
        <v>98.53</v>
      </c>
      <c r="N33" s="100">
        <v>11.5</v>
      </c>
      <c r="O33" s="100">
        <v>0</v>
      </c>
      <c r="P33" s="100">
        <v>0.16</v>
      </c>
      <c r="Q33" s="100">
        <v>10</v>
      </c>
      <c r="R33" s="6"/>
      <c r="S33" s="6"/>
      <c r="T33" s="156"/>
      <c r="U33" s="6"/>
    </row>
    <row r="34" spans="1:21" customFormat="1">
      <c r="A34" s="163" t="s">
        <v>2089</v>
      </c>
      <c r="B34" s="100">
        <v>3.73</v>
      </c>
      <c r="C34" s="100">
        <v>5.84</v>
      </c>
      <c r="D34" s="100">
        <v>3.47</v>
      </c>
      <c r="E34" s="100">
        <v>4.91</v>
      </c>
      <c r="F34" s="100">
        <v>2.25</v>
      </c>
      <c r="G34" s="100">
        <v>27.59</v>
      </c>
      <c r="H34" s="100">
        <v>9.51</v>
      </c>
      <c r="I34" s="100">
        <v>4.8099999999999996</v>
      </c>
      <c r="J34" s="100">
        <v>0.09</v>
      </c>
      <c r="K34" s="100">
        <v>203.59</v>
      </c>
      <c r="L34" s="100">
        <v>24.92</v>
      </c>
      <c r="M34" s="100">
        <v>98.53</v>
      </c>
      <c r="N34" s="100">
        <v>9.9</v>
      </c>
      <c r="O34" s="100">
        <v>0</v>
      </c>
      <c r="P34" s="100">
        <v>0.14000000000000001</v>
      </c>
      <c r="Q34" s="100">
        <v>10</v>
      </c>
      <c r="R34" s="6"/>
      <c r="S34" s="6"/>
      <c r="T34" s="156"/>
      <c r="U34" s="6"/>
    </row>
    <row r="35" spans="1:21" customFormat="1">
      <c r="A35" s="163" t="s">
        <v>2090</v>
      </c>
      <c r="B35" s="100">
        <v>3.01</v>
      </c>
      <c r="C35" s="100">
        <v>4.76</v>
      </c>
      <c r="D35" s="100">
        <v>2.5099999999999998</v>
      </c>
      <c r="E35" s="100">
        <v>5.34</v>
      </c>
      <c r="F35" s="100">
        <v>2.69</v>
      </c>
      <c r="G35" s="100">
        <v>27.59</v>
      </c>
      <c r="H35" s="100">
        <v>9.51</v>
      </c>
      <c r="I35" s="100">
        <v>4.82</v>
      </c>
      <c r="J35" s="100">
        <v>0.46</v>
      </c>
      <c r="K35" s="100">
        <v>266.92</v>
      </c>
      <c r="L35" s="100">
        <v>25.01</v>
      </c>
      <c r="M35" s="100">
        <v>98.53</v>
      </c>
      <c r="N35" s="100">
        <v>12.3</v>
      </c>
      <c r="O35" s="100">
        <v>0.4</v>
      </c>
      <c r="P35" s="100">
        <v>0.15</v>
      </c>
      <c r="Q35" s="100">
        <v>10</v>
      </c>
      <c r="R35" s="6"/>
      <c r="S35" s="6"/>
      <c r="T35" s="156"/>
      <c r="U35" s="6"/>
    </row>
    <row r="36" spans="1:21" customFormat="1">
      <c r="A36" s="163" t="s">
        <v>2091</v>
      </c>
      <c r="B36" s="100">
        <v>3.37</v>
      </c>
      <c r="C36" s="100">
        <v>5.27</v>
      </c>
      <c r="D36" s="100">
        <v>2.92</v>
      </c>
      <c r="E36" s="100">
        <v>5.29</v>
      </c>
      <c r="F36" s="100">
        <v>1.48</v>
      </c>
      <c r="G36" s="100">
        <v>25.99</v>
      </c>
      <c r="H36" s="100">
        <v>9.56</v>
      </c>
      <c r="I36" s="100">
        <v>4.8099999999999996</v>
      </c>
      <c r="J36" s="100">
        <v>1.54</v>
      </c>
      <c r="K36" s="100">
        <v>295.25</v>
      </c>
      <c r="L36" s="100">
        <v>23.89</v>
      </c>
      <c r="M36" s="100">
        <v>98.53</v>
      </c>
      <c r="N36" s="100">
        <v>7.5</v>
      </c>
      <c r="O36" s="100">
        <v>0.2</v>
      </c>
      <c r="P36" s="100">
        <v>0.15</v>
      </c>
      <c r="Q36" s="100">
        <v>10</v>
      </c>
      <c r="R36" s="6"/>
      <c r="S36" s="6"/>
      <c r="T36" s="156"/>
      <c r="U36" s="6"/>
    </row>
    <row r="37" spans="1:21" customFormat="1">
      <c r="A37" s="163" t="s">
        <v>2092</v>
      </c>
      <c r="B37" s="100">
        <v>3.33</v>
      </c>
      <c r="C37" s="100">
        <v>5.27</v>
      </c>
      <c r="D37" s="100">
        <v>2.99</v>
      </c>
      <c r="E37" s="100">
        <v>5.01</v>
      </c>
      <c r="F37" s="100">
        <v>2.66</v>
      </c>
      <c r="G37" s="100">
        <v>18.59</v>
      </c>
      <c r="H37" s="100">
        <v>9.82</v>
      </c>
      <c r="I37" s="100">
        <v>4.83</v>
      </c>
      <c r="J37" s="100">
        <v>1.1599999999999999</v>
      </c>
      <c r="K37" s="100">
        <v>296.99</v>
      </c>
      <c r="L37" s="100">
        <v>23.53</v>
      </c>
      <c r="M37" s="100">
        <v>98.53</v>
      </c>
      <c r="N37" s="100">
        <v>7.1</v>
      </c>
      <c r="O37" s="100">
        <v>0.2</v>
      </c>
      <c r="P37" s="100">
        <v>0.14000000000000001</v>
      </c>
      <c r="Q37" s="100">
        <v>10</v>
      </c>
      <c r="R37" s="6"/>
      <c r="S37" s="6"/>
      <c r="T37" s="156"/>
      <c r="U37" s="6"/>
    </row>
    <row r="38" spans="1:21" customFormat="1">
      <c r="A38" s="163" t="s">
        <v>2093</v>
      </c>
      <c r="B38" s="100">
        <v>2.94</v>
      </c>
      <c r="C38" s="100">
        <v>4.5599999999999996</v>
      </c>
      <c r="D38" s="100">
        <v>2.23</v>
      </c>
      <c r="E38" s="100">
        <v>5.27</v>
      </c>
      <c r="F38" s="100">
        <v>2.04</v>
      </c>
      <c r="G38" s="100">
        <v>18.59</v>
      </c>
      <c r="H38" s="100">
        <v>9.82</v>
      </c>
      <c r="I38" s="100">
        <v>4.75</v>
      </c>
      <c r="J38" s="100">
        <v>1.6</v>
      </c>
      <c r="K38" s="100">
        <v>291.43</v>
      </c>
      <c r="L38" s="100">
        <v>23.51</v>
      </c>
      <c r="M38" s="100">
        <v>98.55</v>
      </c>
      <c r="N38" s="100">
        <v>16.399999999999999</v>
      </c>
      <c r="O38" s="100">
        <v>0.4</v>
      </c>
      <c r="P38" s="100">
        <v>0.16</v>
      </c>
      <c r="Q38" s="100">
        <v>10</v>
      </c>
      <c r="R38" s="6"/>
      <c r="S38" s="6"/>
      <c r="T38" s="156"/>
      <c r="U38" s="6"/>
    </row>
    <row r="39" spans="1:21" customFormat="1">
      <c r="A39" s="163" t="s">
        <v>2094</v>
      </c>
      <c r="B39" s="100">
        <v>3.8</v>
      </c>
      <c r="C39" s="100">
        <v>5.9</v>
      </c>
      <c r="D39" s="100">
        <v>3.49</v>
      </c>
      <c r="E39" s="100">
        <v>5.17</v>
      </c>
      <c r="F39" s="100">
        <v>1.95</v>
      </c>
      <c r="G39" s="100">
        <v>18.59</v>
      </c>
      <c r="H39" s="100">
        <v>9.82</v>
      </c>
      <c r="I39" s="100">
        <v>4.5599999999999996</v>
      </c>
      <c r="J39" s="100">
        <v>1.41</v>
      </c>
      <c r="K39" s="100">
        <v>309.29000000000002</v>
      </c>
      <c r="L39" s="100">
        <v>23.35</v>
      </c>
      <c r="M39" s="100">
        <v>98.55</v>
      </c>
      <c r="N39" s="100">
        <v>21.3</v>
      </c>
      <c r="O39" s="100">
        <v>1.4</v>
      </c>
      <c r="P39" s="100">
        <v>0.17</v>
      </c>
      <c r="Q39" s="100">
        <v>10</v>
      </c>
      <c r="R39" s="6"/>
      <c r="S39" s="6"/>
      <c r="T39" s="156"/>
      <c r="U39" s="6"/>
    </row>
    <row r="40" spans="1:21" customFormat="1">
      <c r="A40" s="163" t="s">
        <v>2095</v>
      </c>
      <c r="B40" s="100">
        <v>3.03</v>
      </c>
      <c r="C40" s="100">
        <v>5</v>
      </c>
      <c r="D40" s="100">
        <v>2.93</v>
      </c>
      <c r="E40" s="100">
        <v>4.92</v>
      </c>
      <c r="F40" s="100">
        <v>1.99</v>
      </c>
      <c r="G40" s="100">
        <v>17.940000000000001</v>
      </c>
      <c r="H40" s="100">
        <v>9.2100000000000009</v>
      </c>
      <c r="I40" s="100">
        <v>4.7300000000000004</v>
      </c>
      <c r="J40" s="100">
        <v>0.69</v>
      </c>
      <c r="K40" s="100">
        <v>316.26</v>
      </c>
      <c r="L40" s="100">
        <v>23.13</v>
      </c>
      <c r="M40" s="100">
        <v>98.55</v>
      </c>
      <c r="N40" s="100">
        <v>24.4</v>
      </c>
      <c r="O40" s="100">
        <v>1.6</v>
      </c>
      <c r="P40" s="100">
        <v>0.18</v>
      </c>
      <c r="Q40" s="100">
        <v>10</v>
      </c>
      <c r="R40" s="6"/>
      <c r="S40" s="6"/>
      <c r="T40" s="156"/>
      <c r="U40" s="6"/>
    </row>
    <row r="41" spans="1:21" customFormat="1">
      <c r="A41" s="163" t="s">
        <v>2096</v>
      </c>
      <c r="B41" s="100">
        <v>3.05</v>
      </c>
      <c r="C41" s="100">
        <v>5.08</v>
      </c>
      <c r="D41" s="100">
        <v>3.05</v>
      </c>
      <c r="E41" s="100">
        <v>5.17</v>
      </c>
      <c r="F41" s="100">
        <v>1.69</v>
      </c>
      <c r="G41" s="100">
        <v>14.93</v>
      </c>
      <c r="H41" s="100">
        <v>7.15</v>
      </c>
      <c r="I41" s="100">
        <v>4.6100000000000003</v>
      </c>
      <c r="J41" s="100">
        <v>0.56000000000000005</v>
      </c>
      <c r="K41" s="100">
        <v>290.52999999999997</v>
      </c>
      <c r="L41" s="100">
        <v>23.25</v>
      </c>
      <c r="M41" s="100">
        <v>98.57</v>
      </c>
      <c r="N41" s="100">
        <v>68.400000000000006</v>
      </c>
      <c r="O41" s="100">
        <v>0.8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163" t="s">
        <v>2097</v>
      </c>
      <c r="B42" s="100">
        <v>2.93</v>
      </c>
      <c r="C42" s="100">
        <v>4.8899999999999997</v>
      </c>
      <c r="D42" s="100">
        <v>2.88</v>
      </c>
      <c r="E42" s="100">
        <v>5.3</v>
      </c>
      <c r="F42" s="100">
        <v>1.81</v>
      </c>
      <c r="G42" s="100">
        <v>14.93</v>
      </c>
      <c r="H42" s="100">
        <v>7.15</v>
      </c>
      <c r="I42" s="100">
        <v>4.51</v>
      </c>
      <c r="J42" s="100">
        <v>0.51</v>
      </c>
      <c r="K42" s="100">
        <v>283.91000000000003</v>
      </c>
      <c r="L42" s="100">
        <v>23.65</v>
      </c>
      <c r="M42" s="100">
        <v>98.58</v>
      </c>
      <c r="N42" s="100">
        <v>86.8</v>
      </c>
      <c r="O42" s="100">
        <v>0</v>
      </c>
      <c r="P42" s="100">
        <v>0.19</v>
      </c>
      <c r="Q42" s="100">
        <v>10</v>
      </c>
      <c r="R42" s="6"/>
      <c r="S42" s="6"/>
      <c r="T42" s="156"/>
      <c r="U42" s="6"/>
    </row>
    <row r="43" spans="1:21" customFormat="1">
      <c r="A43" s="163" t="s">
        <v>2098</v>
      </c>
      <c r="B43" s="100">
        <v>2.94</v>
      </c>
      <c r="C43" s="100">
        <v>4.8899999999999997</v>
      </c>
      <c r="D43" s="100">
        <v>2.86</v>
      </c>
      <c r="E43" s="100">
        <v>5.29</v>
      </c>
      <c r="F43" s="100">
        <v>1.98</v>
      </c>
      <c r="G43" s="100">
        <v>14.93</v>
      </c>
      <c r="H43" s="100">
        <v>7.15</v>
      </c>
      <c r="I43" s="100">
        <v>4.45</v>
      </c>
      <c r="J43" s="100">
        <v>0.68</v>
      </c>
      <c r="K43" s="100">
        <v>299.31</v>
      </c>
      <c r="L43" s="100">
        <v>23.87</v>
      </c>
      <c r="M43" s="100">
        <v>98.58</v>
      </c>
      <c r="N43" s="100">
        <v>68.2</v>
      </c>
      <c r="O43" s="100">
        <v>0</v>
      </c>
      <c r="P43" s="100">
        <v>0.19</v>
      </c>
      <c r="Q43" s="100">
        <v>10</v>
      </c>
      <c r="R43" s="6"/>
      <c r="S43" s="6"/>
      <c r="T43" s="156"/>
      <c r="U43" s="6"/>
    </row>
    <row r="44" spans="1:21" customFormat="1">
      <c r="A44" s="163" t="s">
        <v>2099</v>
      </c>
      <c r="B44" s="100">
        <v>3.13</v>
      </c>
      <c r="C44" s="100">
        <v>5.0599999999999996</v>
      </c>
      <c r="D44" s="100">
        <v>2.89</v>
      </c>
      <c r="E44" s="100">
        <v>4.8600000000000003</v>
      </c>
      <c r="F44" s="100">
        <v>1.47</v>
      </c>
      <c r="G44" s="100">
        <v>15.97</v>
      </c>
      <c r="H44" s="100">
        <v>7.38</v>
      </c>
      <c r="I44" s="100">
        <v>4.45</v>
      </c>
      <c r="J44" s="100">
        <v>0.64</v>
      </c>
      <c r="K44" s="100">
        <v>289.64999999999998</v>
      </c>
      <c r="L44" s="100">
        <v>24.03</v>
      </c>
      <c r="M44" s="100">
        <v>98.58</v>
      </c>
      <c r="N44" s="100">
        <v>85.5</v>
      </c>
      <c r="O44" s="100">
        <v>0</v>
      </c>
      <c r="P44" s="100">
        <v>0.19</v>
      </c>
      <c r="Q44" s="100">
        <v>10</v>
      </c>
      <c r="R44" s="6"/>
      <c r="S44" s="6"/>
      <c r="T44" s="156"/>
      <c r="U44" s="6"/>
    </row>
    <row r="45" spans="1:21" customFormat="1">
      <c r="A45" s="163" t="s">
        <v>2100</v>
      </c>
      <c r="B45" s="100">
        <v>3.29</v>
      </c>
      <c r="C45" s="100">
        <v>5.68</v>
      </c>
      <c r="D45" s="100">
        <v>3.84</v>
      </c>
      <c r="E45" s="100">
        <v>5.14</v>
      </c>
      <c r="F45" s="100">
        <v>1.69</v>
      </c>
      <c r="G45" s="100">
        <v>20.76</v>
      </c>
      <c r="H45" s="100">
        <v>8.18</v>
      </c>
      <c r="I45" s="100">
        <v>4.43</v>
      </c>
      <c r="J45" s="100">
        <v>0.6</v>
      </c>
      <c r="K45" s="100">
        <v>292.7</v>
      </c>
      <c r="L45" s="100">
        <v>24.2</v>
      </c>
      <c r="M45" s="100">
        <v>98.57</v>
      </c>
      <c r="N45" s="100">
        <v>122.6</v>
      </c>
      <c r="O45" s="100">
        <v>0</v>
      </c>
      <c r="P45" s="100">
        <v>0.19</v>
      </c>
      <c r="Q45" s="100">
        <v>10</v>
      </c>
      <c r="R45" s="6"/>
      <c r="S45" s="6"/>
      <c r="T45" s="156"/>
      <c r="U45" s="6"/>
    </row>
    <row r="46" spans="1:21" customFormat="1">
      <c r="A46" s="163" t="s">
        <v>2101</v>
      </c>
      <c r="B46" s="100">
        <v>2.71</v>
      </c>
      <c r="C46" s="100">
        <v>4.47</v>
      </c>
      <c r="D46" s="100">
        <v>2.42</v>
      </c>
      <c r="E46" s="100">
        <v>5.34</v>
      </c>
      <c r="F46" s="100">
        <v>1.91</v>
      </c>
      <c r="G46" s="100">
        <v>20.76</v>
      </c>
      <c r="H46" s="100">
        <v>8.18</v>
      </c>
      <c r="I46" s="100">
        <v>4.42</v>
      </c>
      <c r="J46" s="100">
        <v>0.63</v>
      </c>
      <c r="K46" s="100">
        <v>291.35000000000002</v>
      </c>
      <c r="L46" s="100">
        <v>24.84</v>
      </c>
      <c r="M46" s="100">
        <v>98.55</v>
      </c>
      <c r="N46" s="100">
        <v>223.5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163" t="s">
        <v>2102</v>
      </c>
      <c r="B47" s="100">
        <v>2.81</v>
      </c>
      <c r="C47" s="100">
        <v>4.72</v>
      </c>
      <c r="D47" s="100">
        <v>2.73</v>
      </c>
      <c r="E47" s="100">
        <v>5.34</v>
      </c>
      <c r="F47" s="100">
        <v>1.81</v>
      </c>
      <c r="G47" s="100">
        <v>20.76</v>
      </c>
      <c r="H47" s="100">
        <v>8.18</v>
      </c>
      <c r="I47" s="100">
        <v>4.42</v>
      </c>
      <c r="J47" s="100">
        <v>0.39</v>
      </c>
      <c r="K47" s="100">
        <v>269.8</v>
      </c>
      <c r="L47" s="100">
        <v>26.11</v>
      </c>
      <c r="M47" s="100">
        <v>94.14</v>
      </c>
      <c r="N47" s="100">
        <v>264.2</v>
      </c>
      <c r="O47" s="100">
        <v>0</v>
      </c>
      <c r="P47" s="100">
        <v>0.19</v>
      </c>
      <c r="Q47" s="100">
        <v>10</v>
      </c>
      <c r="R47" s="6"/>
      <c r="S47" s="6"/>
      <c r="T47" s="156"/>
      <c r="U47" s="6"/>
    </row>
    <row r="48" spans="1:21" customFormat="1">
      <c r="A48" s="163" t="s">
        <v>2103</v>
      </c>
      <c r="B48" s="100">
        <v>2.81</v>
      </c>
      <c r="C48" s="100">
        <v>5.01</v>
      </c>
      <c r="D48" s="100">
        <v>3.28</v>
      </c>
      <c r="E48" s="100">
        <v>5.52</v>
      </c>
      <c r="F48" s="100">
        <v>1.81</v>
      </c>
      <c r="G48" s="100">
        <v>22.51</v>
      </c>
      <c r="H48" s="100">
        <v>8.68</v>
      </c>
      <c r="I48" s="100">
        <v>4.3899999999999997</v>
      </c>
      <c r="J48" s="100">
        <v>0.39</v>
      </c>
      <c r="K48" s="100">
        <v>308.5</v>
      </c>
      <c r="L48" s="100">
        <v>26.56</v>
      </c>
      <c r="M48" s="100">
        <v>88.88</v>
      </c>
      <c r="N48" s="100">
        <v>194.5</v>
      </c>
      <c r="O48" s="100">
        <v>0</v>
      </c>
      <c r="P48" s="100">
        <v>0.19</v>
      </c>
      <c r="Q48" s="100">
        <v>10</v>
      </c>
      <c r="R48" s="6"/>
      <c r="S48" s="6"/>
      <c r="T48" s="156"/>
      <c r="U48" s="6"/>
    </row>
    <row r="49" spans="1:21" customFormat="1">
      <c r="A49" s="163" t="s">
        <v>2104</v>
      </c>
      <c r="B49" s="100">
        <v>2.69</v>
      </c>
      <c r="C49" s="100">
        <v>4.5999999999999996</v>
      </c>
      <c r="D49" s="100">
        <v>2.69</v>
      </c>
      <c r="E49" s="100">
        <v>3.6</v>
      </c>
      <c r="F49" s="100">
        <v>1.54</v>
      </c>
      <c r="G49" s="100">
        <v>30.59</v>
      </c>
      <c r="H49" s="100">
        <v>10.27</v>
      </c>
      <c r="I49" s="100">
        <v>4.32</v>
      </c>
      <c r="J49" s="100">
        <v>0.46</v>
      </c>
      <c r="K49" s="100">
        <v>304.95</v>
      </c>
      <c r="L49" s="100">
        <v>26.51</v>
      </c>
      <c r="M49" s="100">
        <v>87.13</v>
      </c>
      <c r="N49" s="100">
        <v>183</v>
      </c>
      <c r="O49" s="100">
        <v>0</v>
      </c>
      <c r="P49" s="100">
        <v>0.19</v>
      </c>
      <c r="Q49" s="100">
        <v>10</v>
      </c>
      <c r="R49" s="6"/>
      <c r="S49" s="6"/>
      <c r="T49" s="156"/>
      <c r="U49" s="6"/>
    </row>
    <row r="50" spans="1:21" customFormat="1">
      <c r="A50" s="163" t="s">
        <v>2105</v>
      </c>
      <c r="B50" s="100">
        <v>3.05</v>
      </c>
      <c r="C50" s="100">
        <v>5.03</v>
      </c>
      <c r="D50" s="100">
        <v>2.97</v>
      </c>
      <c r="E50" s="100">
        <v>4.38</v>
      </c>
      <c r="F50" s="100">
        <v>1.9</v>
      </c>
      <c r="G50" s="100">
        <v>30.59</v>
      </c>
      <c r="H50" s="100">
        <v>10.27</v>
      </c>
      <c r="I50" s="100">
        <v>4.2699999999999996</v>
      </c>
      <c r="J50" s="100">
        <v>0.21</v>
      </c>
      <c r="K50" s="100">
        <v>2.48</v>
      </c>
      <c r="L50" s="100">
        <v>26.91</v>
      </c>
      <c r="M50" s="100">
        <v>86.11</v>
      </c>
      <c r="N50" s="100">
        <v>155.6</v>
      </c>
      <c r="O50" s="100">
        <v>0</v>
      </c>
      <c r="P50" s="100">
        <v>0.2</v>
      </c>
      <c r="Q50" s="100">
        <v>10</v>
      </c>
      <c r="R50" s="6"/>
      <c r="S50" s="6"/>
      <c r="T50" s="156"/>
      <c r="U50" s="6"/>
    </row>
    <row r="51" spans="1:21" customFormat="1">
      <c r="A51" s="163" t="s">
        <v>2106</v>
      </c>
      <c r="B51" s="100">
        <v>2.42</v>
      </c>
      <c r="C51" s="100">
        <v>4.0599999999999996</v>
      </c>
      <c r="D51" s="100">
        <v>2.06</v>
      </c>
      <c r="E51" s="100">
        <v>4.5199999999999996</v>
      </c>
      <c r="F51" s="100">
        <v>2.1</v>
      </c>
      <c r="G51" s="100">
        <v>30.59</v>
      </c>
      <c r="H51" s="100">
        <v>10.27</v>
      </c>
      <c r="I51" s="100">
        <v>4.25</v>
      </c>
      <c r="J51" s="100">
        <v>0.14000000000000001</v>
      </c>
      <c r="K51" s="100">
        <v>308.14999999999998</v>
      </c>
      <c r="L51" s="100">
        <v>27.11</v>
      </c>
      <c r="M51" s="100">
        <v>86.78</v>
      </c>
      <c r="N51" s="100">
        <v>124.3</v>
      </c>
      <c r="O51" s="100">
        <v>0</v>
      </c>
      <c r="P51" s="100">
        <v>0.2</v>
      </c>
      <c r="Q51" s="100">
        <v>10</v>
      </c>
      <c r="R51" s="6"/>
      <c r="S51" s="6"/>
      <c r="T51" s="156"/>
      <c r="U51" s="6"/>
    </row>
    <row r="52" spans="1:21" customFormat="1">
      <c r="A52" s="163" t="s">
        <v>2107</v>
      </c>
      <c r="B52" s="100">
        <v>2.58</v>
      </c>
      <c r="C52" s="100">
        <v>4.3499999999999996</v>
      </c>
      <c r="D52" s="100">
        <v>2.38</v>
      </c>
      <c r="E52" s="100">
        <v>4.6399999999999997</v>
      </c>
      <c r="F52" s="100">
        <v>1.71</v>
      </c>
      <c r="G52" s="100">
        <v>33.909999999999997</v>
      </c>
      <c r="H52" s="100">
        <v>11.16</v>
      </c>
      <c r="I52" s="100">
        <v>4.22</v>
      </c>
      <c r="J52" s="100">
        <v>0.15</v>
      </c>
      <c r="K52" s="100">
        <v>277.41000000000003</v>
      </c>
      <c r="L52" s="100">
        <v>27.15</v>
      </c>
      <c r="M52" s="100">
        <v>86.29</v>
      </c>
      <c r="N52" s="100">
        <v>127.6</v>
      </c>
      <c r="O52" s="100">
        <v>0</v>
      </c>
      <c r="P52" s="100">
        <v>0.21</v>
      </c>
      <c r="Q52" s="100">
        <v>10</v>
      </c>
      <c r="R52" s="6"/>
      <c r="S52" s="6"/>
      <c r="T52" s="156"/>
      <c r="U52" s="6"/>
    </row>
    <row r="53" spans="1:21" customFormat="1">
      <c r="A53" s="163" t="s">
        <v>2108</v>
      </c>
      <c r="B53" s="100">
        <v>3.14</v>
      </c>
      <c r="C53" s="100">
        <v>5.25</v>
      </c>
      <c r="D53" s="100">
        <v>3.25</v>
      </c>
      <c r="E53" s="100">
        <v>4.63</v>
      </c>
      <c r="F53" s="100">
        <v>1.54</v>
      </c>
      <c r="G53" s="100">
        <v>49.31</v>
      </c>
      <c r="H53" s="100">
        <v>15.29</v>
      </c>
      <c r="I53" s="100">
        <v>4.28</v>
      </c>
      <c r="J53" s="100">
        <v>0.36</v>
      </c>
      <c r="K53" s="100">
        <v>292.87</v>
      </c>
      <c r="L53" s="100">
        <v>27.3</v>
      </c>
      <c r="M53" s="100">
        <v>84.57</v>
      </c>
      <c r="N53" s="100">
        <v>194.1</v>
      </c>
      <c r="O53" s="100">
        <v>0</v>
      </c>
      <c r="P53" s="100">
        <v>0.21</v>
      </c>
      <c r="Q53" s="100">
        <v>10</v>
      </c>
      <c r="R53" s="6"/>
      <c r="S53" s="6"/>
      <c r="T53" s="156"/>
      <c r="U53" s="6"/>
    </row>
    <row r="54" spans="1:21" customFormat="1">
      <c r="A54" s="163" t="s">
        <v>2109</v>
      </c>
      <c r="B54" s="100">
        <v>2.29</v>
      </c>
      <c r="C54" s="100">
        <v>3.61</v>
      </c>
      <c r="D54" s="100">
        <v>1.41</v>
      </c>
      <c r="E54" s="100">
        <v>4.4000000000000004</v>
      </c>
      <c r="F54" s="100">
        <v>1.41</v>
      </c>
      <c r="G54" s="100">
        <v>49.31</v>
      </c>
      <c r="H54" s="100">
        <v>15.29</v>
      </c>
      <c r="I54" s="100">
        <v>4.34</v>
      </c>
      <c r="J54" s="100">
        <v>0.4</v>
      </c>
      <c r="K54" s="100">
        <v>271.58999999999997</v>
      </c>
      <c r="L54" s="100">
        <v>27.18</v>
      </c>
      <c r="M54" s="100">
        <v>84.83</v>
      </c>
      <c r="N54" s="100">
        <v>103.6</v>
      </c>
      <c r="O54" s="100">
        <v>0</v>
      </c>
      <c r="P54" s="100">
        <v>0.22</v>
      </c>
      <c r="Q54" s="100">
        <v>10</v>
      </c>
      <c r="R54" s="6"/>
      <c r="S54" s="6"/>
      <c r="T54" s="156"/>
      <c r="U54" s="6"/>
    </row>
    <row r="55" spans="1:21" customFormat="1">
      <c r="A55" s="163" t="s">
        <v>2110</v>
      </c>
      <c r="B55" s="100">
        <v>3.24</v>
      </c>
      <c r="C55" s="100">
        <v>5.44</v>
      </c>
      <c r="D55" s="100">
        <v>3.46</v>
      </c>
      <c r="E55" s="100">
        <v>4.55</v>
      </c>
      <c r="F55" s="100">
        <v>1.92</v>
      </c>
      <c r="G55" s="100">
        <v>49.31</v>
      </c>
      <c r="H55" s="100">
        <v>15.29</v>
      </c>
      <c r="I55" s="100">
        <v>4.4800000000000004</v>
      </c>
      <c r="J55" s="100">
        <v>0.35</v>
      </c>
      <c r="K55" s="100">
        <v>242.71</v>
      </c>
      <c r="L55" s="100">
        <v>27.03</v>
      </c>
      <c r="M55" s="100">
        <v>86.3</v>
      </c>
      <c r="N55" s="100">
        <v>96.6</v>
      </c>
      <c r="O55" s="100">
        <v>0</v>
      </c>
      <c r="P55" s="100">
        <v>0.23</v>
      </c>
      <c r="Q55" s="100">
        <v>10</v>
      </c>
      <c r="R55" s="6"/>
      <c r="S55" s="6"/>
      <c r="T55" s="156"/>
      <c r="U55" s="6"/>
    </row>
    <row r="56" spans="1:21" customFormat="1">
      <c r="A56" s="163" t="s">
        <v>2111</v>
      </c>
      <c r="B56" s="100">
        <v>3.09</v>
      </c>
      <c r="C56" s="100">
        <v>5.21</v>
      </c>
      <c r="D56" s="100">
        <v>3.24</v>
      </c>
      <c r="E56" s="100">
        <v>4.54</v>
      </c>
      <c r="F56" s="100">
        <v>1.99</v>
      </c>
      <c r="G56" s="100">
        <v>50.4</v>
      </c>
      <c r="H56" s="100">
        <v>15.88</v>
      </c>
      <c r="I56" s="100">
        <v>4.63</v>
      </c>
      <c r="J56" s="100">
        <v>0.32</v>
      </c>
      <c r="K56" s="100">
        <v>272.64999999999998</v>
      </c>
      <c r="L56" s="100">
        <v>27.38</v>
      </c>
      <c r="M56" s="100">
        <v>85.79</v>
      </c>
      <c r="N56" s="100">
        <v>186.2</v>
      </c>
      <c r="O56" s="100">
        <v>0</v>
      </c>
      <c r="P56" s="100">
        <v>0.22</v>
      </c>
      <c r="Q56" s="100">
        <v>10</v>
      </c>
      <c r="R56" s="6"/>
      <c r="S56" s="6"/>
      <c r="T56" s="156"/>
      <c r="U56" s="6"/>
    </row>
    <row r="57" spans="1:21" customFormat="1">
      <c r="A57" s="163" t="s">
        <v>2112</v>
      </c>
      <c r="B57" s="100">
        <v>2.21</v>
      </c>
      <c r="C57" s="100">
        <v>3.6</v>
      </c>
      <c r="D57" s="100">
        <v>1.51</v>
      </c>
      <c r="E57" s="100">
        <v>4.46</v>
      </c>
      <c r="F57" s="100">
        <v>2.0299999999999998</v>
      </c>
      <c r="G57" s="100">
        <v>55.1</v>
      </c>
      <c r="H57" s="100">
        <v>17.78</v>
      </c>
      <c r="I57" s="100">
        <v>4.66</v>
      </c>
      <c r="J57" s="100">
        <v>0.43</v>
      </c>
      <c r="K57" s="100">
        <v>254.86</v>
      </c>
      <c r="L57" s="100">
        <v>27.84</v>
      </c>
      <c r="M57" s="100">
        <v>82.6</v>
      </c>
      <c r="N57" s="100">
        <v>231.7</v>
      </c>
      <c r="O57" s="100">
        <v>0</v>
      </c>
      <c r="P57" s="100">
        <v>0.22</v>
      </c>
      <c r="Q57" s="100">
        <v>10</v>
      </c>
      <c r="R57" s="6"/>
      <c r="S57" s="6"/>
      <c r="T57" s="156"/>
      <c r="U57" s="6"/>
    </row>
    <row r="58" spans="1:21" customFormat="1">
      <c r="A58" s="163" t="s">
        <v>2113</v>
      </c>
      <c r="B58" s="100">
        <v>2.56</v>
      </c>
      <c r="C58" s="100">
        <v>4.2</v>
      </c>
      <c r="D58" s="100">
        <v>2.12</v>
      </c>
      <c r="E58" s="100">
        <v>4.5199999999999996</v>
      </c>
      <c r="F58" s="100">
        <v>1.1200000000000001</v>
      </c>
      <c r="G58" s="100">
        <v>55.1</v>
      </c>
      <c r="H58" s="100">
        <v>17.78</v>
      </c>
      <c r="I58" s="100">
        <v>4.57</v>
      </c>
      <c r="J58" s="100">
        <v>0.26</v>
      </c>
      <c r="K58" s="100">
        <v>240.32</v>
      </c>
      <c r="L58" s="100">
        <v>28.12</v>
      </c>
      <c r="M58" s="100">
        <v>82.59</v>
      </c>
      <c r="N58" s="100">
        <v>173.2</v>
      </c>
      <c r="O58" s="100">
        <v>0</v>
      </c>
      <c r="P58" s="100">
        <v>0.22</v>
      </c>
      <c r="Q58" s="100">
        <v>10</v>
      </c>
      <c r="R58" s="6"/>
      <c r="S58" s="6"/>
      <c r="T58" s="156"/>
      <c r="U58" s="6"/>
    </row>
    <row r="59" spans="1:21" customFormat="1">
      <c r="A59" s="163" t="s">
        <v>2114</v>
      </c>
      <c r="B59" s="100">
        <v>2.64</v>
      </c>
      <c r="C59" s="100">
        <v>4.49</v>
      </c>
      <c r="D59" s="100">
        <v>2.57</v>
      </c>
      <c r="E59" s="100">
        <v>4.5199999999999996</v>
      </c>
      <c r="F59" s="100">
        <v>2.16</v>
      </c>
      <c r="G59" s="100">
        <v>55.1</v>
      </c>
      <c r="H59" s="100">
        <v>17.78</v>
      </c>
      <c r="I59" s="100">
        <v>4.57</v>
      </c>
      <c r="J59" s="100">
        <v>0.51</v>
      </c>
      <c r="K59" s="100">
        <v>251.99</v>
      </c>
      <c r="L59" s="100">
        <v>27.73</v>
      </c>
      <c r="M59" s="100">
        <v>84.88</v>
      </c>
      <c r="N59" s="100">
        <v>189.5</v>
      </c>
      <c r="O59" s="100">
        <v>0</v>
      </c>
      <c r="P59" s="100">
        <v>0.2</v>
      </c>
      <c r="Q59" s="100">
        <v>10</v>
      </c>
      <c r="R59" s="6"/>
      <c r="S59" s="6"/>
      <c r="T59" s="156"/>
      <c r="U59" s="6"/>
    </row>
    <row r="60" spans="1:21" customFormat="1">
      <c r="A60" s="163" t="s">
        <v>2115</v>
      </c>
      <c r="B60" s="100">
        <v>2.81</v>
      </c>
      <c r="C60" s="100">
        <v>4.96</v>
      </c>
      <c r="D60" s="100">
        <v>3.18</v>
      </c>
      <c r="E60" s="100">
        <v>4.22</v>
      </c>
      <c r="F60" s="100">
        <v>2.69</v>
      </c>
      <c r="G60" s="100">
        <v>51.48</v>
      </c>
      <c r="H60" s="100">
        <v>17.12</v>
      </c>
      <c r="I60" s="100">
        <v>4.5999999999999996</v>
      </c>
      <c r="J60" s="100">
        <v>0.34</v>
      </c>
      <c r="K60" s="100">
        <v>244.78</v>
      </c>
      <c r="L60" s="100">
        <v>27.88</v>
      </c>
      <c r="M60" s="100">
        <v>84.22</v>
      </c>
      <c r="N60" s="100">
        <v>236.9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163" t="s">
        <v>2116</v>
      </c>
      <c r="B61" s="100">
        <v>2.4700000000000002</v>
      </c>
      <c r="C61" s="100">
        <v>4.25</v>
      </c>
      <c r="D61" s="100">
        <v>2.37</v>
      </c>
      <c r="E61" s="100">
        <v>3.64</v>
      </c>
      <c r="F61" s="100">
        <v>3.43</v>
      </c>
      <c r="G61" s="100">
        <v>34.729999999999997</v>
      </c>
      <c r="H61" s="100">
        <v>15.03</v>
      </c>
      <c r="I61" s="100">
        <v>4.6100000000000003</v>
      </c>
      <c r="J61" s="100">
        <v>0.38</v>
      </c>
      <c r="K61" s="100">
        <v>247.73</v>
      </c>
      <c r="L61" s="100">
        <v>27.84</v>
      </c>
      <c r="M61" s="100">
        <v>85.04</v>
      </c>
      <c r="N61" s="100">
        <v>186.5</v>
      </c>
      <c r="O61" s="100">
        <v>0</v>
      </c>
      <c r="P61" s="100">
        <v>0.2</v>
      </c>
      <c r="Q61" s="100">
        <v>10</v>
      </c>
      <c r="R61" s="6"/>
      <c r="S61" s="6"/>
      <c r="T61" s="156"/>
      <c r="U61" s="6"/>
    </row>
    <row r="62" spans="1:21" customFormat="1">
      <c r="A62" s="163" t="s">
        <v>2117</v>
      </c>
      <c r="B62" s="100">
        <v>2</v>
      </c>
      <c r="C62" s="100">
        <v>3.27</v>
      </c>
      <c r="D62" s="100">
        <v>1.21</v>
      </c>
      <c r="E62" s="100">
        <v>3.49</v>
      </c>
      <c r="F62" s="100">
        <v>2.99</v>
      </c>
      <c r="G62" s="100">
        <v>34.729999999999997</v>
      </c>
      <c r="H62" s="100">
        <v>15.03</v>
      </c>
      <c r="I62" s="100">
        <v>4.88</v>
      </c>
      <c r="J62" s="100">
        <v>0.35</v>
      </c>
      <c r="K62" s="100">
        <v>248.31</v>
      </c>
      <c r="L62" s="100">
        <v>27.95</v>
      </c>
      <c r="M62" s="100">
        <v>84.88</v>
      </c>
      <c r="N62" s="100">
        <v>188</v>
      </c>
      <c r="O62" s="100">
        <v>0</v>
      </c>
      <c r="P62" s="100">
        <v>0.2</v>
      </c>
      <c r="Q62" s="100">
        <v>10</v>
      </c>
      <c r="R62" s="6"/>
      <c r="S62" s="6"/>
      <c r="T62" s="156"/>
      <c r="U62" s="6"/>
    </row>
    <row r="63" spans="1:21" customFormat="1">
      <c r="A63" s="163" t="s">
        <v>2118</v>
      </c>
      <c r="B63" s="100">
        <v>2.1800000000000002</v>
      </c>
      <c r="C63" s="100">
        <v>3.69</v>
      </c>
      <c r="D63" s="100">
        <v>1.73</v>
      </c>
      <c r="E63" s="100">
        <v>3.55</v>
      </c>
      <c r="F63" s="100">
        <v>3.76</v>
      </c>
      <c r="G63" s="100">
        <v>34.729999999999997</v>
      </c>
      <c r="H63" s="100">
        <v>15.03</v>
      </c>
      <c r="I63" s="100">
        <v>5.27</v>
      </c>
      <c r="J63" s="100">
        <v>0.43</v>
      </c>
      <c r="K63" s="100">
        <v>263.82</v>
      </c>
      <c r="L63" s="100">
        <v>28.11</v>
      </c>
      <c r="M63" s="100">
        <v>83.46</v>
      </c>
      <c r="N63" s="100">
        <v>220</v>
      </c>
      <c r="O63" s="100">
        <v>0</v>
      </c>
      <c r="P63" s="100">
        <v>0.21</v>
      </c>
      <c r="Q63" s="100">
        <v>10</v>
      </c>
      <c r="R63" s="6"/>
      <c r="S63" s="6"/>
      <c r="T63" s="156"/>
      <c r="U63" s="6"/>
    </row>
    <row r="64" spans="1:21" customFormat="1">
      <c r="A64" s="163" t="s">
        <v>2119</v>
      </c>
      <c r="B64" s="100">
        <v>2.2999999999999998</v>
      </c>
      <c r="C64" s="100">
        <v>3.98</v>
      </c>
      <c r="D64" s="100">
        <v>2.1</v>
      </c>
      <c r="E64" s="100">
        <v>3.51</v>
      </c>
      <c r="F64" s="100">
        <v>4.1900000000000004</v>
      </c>
      <c r="G64" s="100">
        <v>34.25</v>
      </c>
      <c r="H64" s="100">
        <v>15.16</v>
      </c>
      <c r="I64" s="100">
        <v>5.61</v>
      </c>
      <c r="J64" s="100">
        <v>0.37</v>
      </c>
      <c r="K64" s="100">
        <v>255.77</v>
      </c>
      <c r="L64" s="100">
        <v>28.44</v>
      </c>
      <c r="M64" s="100">
        <v>81.77</v>
      </c>
      <c r="N64" s="100">
        <v>259.39999999999998</v>
      </c>
      <c r="O64" s="100">
        <v>0</v>
      </c>
      <c r="P64" s="100">
        <v>0.26</v>
      </c>
      <c r="Q64" s="100">
        <v>10</v>
      </c>
      <c r="R64" s="6"/>
      <c r="S64" s="6"/>
      <c r="T64" s="156"/>
      <c r="U64" s="6"/>
    </row>
    <row r="65" spans="1:21" customFormat="1">
      <c r="A65" s="163" t="s">
        <v>2120</v>
      </c>
      <c r="B65" s="100">
        <v>2.2599999999999998</v>
      </c>
      <c r="C65" s="100">
        <v>3.69</v>
      </c>
      <c r="D65" s="100">
        <v>1.62</v>
      </c>
      <c r="E65" s="100">
        <v>3.78</v>
      </c>
      <c r="F65" s="100">
        <v>3.11</v>
      </c>
      <c r="G65" s="100">
        <v>32.03</v>
      </c>
      <c r="H65" s="100">
        <v>15.6</v>
      </c>
      <c r="I65" s="100">
        <v>5.89</v>
      </c>
      <c r="J65" s="100">
        <v>0.36</v>
      </c>
      <c r="K65" s="100">
        <v>265.2</v>
      </c>
      <c r="L65" s="100">
        <v>28.94</v>
      </c>
      <c r="M65" s="100">
        <v>80.89</v>
      </c>
      <c r="N65" s="100">
        <v>252.3</v>
      </c>
      <c r="O65" s="100">
        <v>0.2</v>
      </c>
      <c r="P65" s="100">
        <v>0.24</v>
      </c>
      <c r="Q65" s="100">
        <v>10</v>
      </c>
      <c r="R65" s="6"/>
      <c r="S65" s="6"/>
      <c r="T65" s="156"/>
      <c r="U65" s="6"/>
    </row>
    <row r="66" spans="1:21" customFormat="1">
      <c r="A66" s="163" t="s">
        <v>2121</v>
      </c>
      <c r="B66" s="100">
        <v>2.78</v>
      </c>
      <c r="C66" s="100">
        <v>4.7300000000000004</v>
      </c>
      <c r="D66" s="100">
        <v>2.81</v>
      </c>
      <c r="E66" s="100">
        <v>3.74</v>
      </c>
      <c r="F66" s="100">
        <v>4.43</v>
      </c>
      <c r="G66" s="100">
        <v>32.03</v>
      </c>
      <c r="H66" s="100">
        <v>15.6</v>
      </c>
      <c r="I66" s="100">
        <v>6.08</v>
      </c>
      <c r="J66" s="100">
        <v>0.45</v>
      </c>
      <c r="K66" s="100">
        <v>257.89999999999998</v>
      </c>
      <c r="L66" s="100">
        <v>28.75</v>
      </c>
      <c r="M66" s="100">
        <v>79.709999999999994</v>
      </c>
      <c r="N66" s="100">
        <v>189</v>
      </c>
      <c r="O66" s="100">
        <v>0</v>
      </c>
      <c r="P66" s="100">
        <v>0.25</v>
      </c>
      <c r="Q66" s="100">
        <v>10</v>
      </c>
      <c r="R66" s="6"/>
      <c r="S66" s="6"/>
      <c r="T66" s="156"/>
      <c r="U66" s="6"/>
    </row>
    <row r="67" spans="1:21" customFormat="1">
      <c r="A67" s="163" t="s">
        <v>2122</v>
      </c>
      <c r="B67" s="100">
        <v>2.38</v>
      </c>
      <c r="C67" s="100">
        <v>4.0199999999999996</v>
      </c>
      <c r="D67" s="100">
        <v>2.06</v>
      </c>
      <c r="E67" s="100">
        <v>2.44</v>
      </c>
      <c r="F67" s="100">
        <v>4.6100000000000003</v>
      </c>
      <c r="G67" s="100">
        <v>32.03</v>
      </c>
      <c r="H67" s="100">
        <v>15.6</v>
      </c>
      <c r="I67" s="100">
        <v>6.33</v>
      </c>
      <c r="J67" s="100">
        <v>0.16</v>
      </c>
      <c r="K67" s="100">
        <v>228.76</v>
      </c>
      <c r="L67" s="100">
        <v>28.93</v>
      </c>
      <c r="M67" s="100">
        <v>80.819999999999993</v>
      </c>
      <c r="N67" s="100">
        <v>170.5</v>
      </c>
      <c r="O67" s="100">
        <v>0</v>
      </c>
      <c r="P67" s="100">
        <v>0.26</v>
      </c>
      <c r="Q67" s="100">
        <v>10</v>
      </c>
      <c r="R67" s="6"/>
      <c r="S67" s="6"/>
      <c r="T67" s="156"/>
      <c r="U67" s="6"/>
    </row>
    <row r="68" spans="1:21" customFormat="1">
      <c r="A68" s="163" t="s">
        <v>2123</v>
      </c>
      <c r="B68" s="100">
        <v>2.31</v>
      </c>
      <c r="C68" s="100">
        <v>3.89</v>
      </c>
      <c r="D68" s="100">
        <v>1.91</v>
      </c>
      <c r="E68" s="100">
        <v>3.07</v>
      </c>
      <c r="F68" s="100">
        <v>4.71</v>
      </c>
      <c r="G68" s="100">
        <v>32.700000000000003</v>
      </c>
      <c r="H68" s="100">
        <v>15.92</v>
      </c>
      <c r="I68" s="100">
        <v>6.53</v>
      </c>
      <c r="J68" s="100">
        <v>0.36</v>
      </c>
      <c r="K68" s="100">
        <v>245.98</v>
      </c>
      <c r="L68" s="100">
        <v>28.88</v>
      </c>
      <c r="M68" s="100">
        <v>80.58</v>
      </c>
      <c r="N68" s="100">
        <v>162</v>
      </c>
      <c r="O68" s="100">
        <v>0</v>
      </c>
      <c r="P68" s="100">
        <v>0.26</v>
      </c>
      <c r="Q68" s="100">
        <v>10</v>
      </c>
      <c r="R68" s="6"/>
      <c r="S68" s="6"/>
      <c r="T68" s="156"/>
      <c r="U68" s="6"/>
    </row>
    <row r="69" spans="1:21" customFormat="1">
      <c r="A69" s="163" t="s">
        <v>2124</v>
      </c>
      <c r="B69" s="100">
        <v>2.2799999999999998</v>
      </c>
      <c r="C69" s="100">
        <v>3.87</v>
      </c>
      <c r="D69" s="100">
        <v>1.92</v>
      </c>
      <c r="E69" s="100">
        <v>3.09</v>
      </c>
      <c r="F69" s="100">
        <v>2.83</v>
      </c>
      <c r="G69" s="100">
        <v>35.549999999999997</v>
      </c>
      <c r="H69" s="100">
        <v>17.54</v>
      </c>
      <c r="I69" s="100">
        <v>6.67</v>
      </c>
      <c r="J69" s="100">
        <v>0.34</v>
      </c>
      <c r="K69" s="100">
        <v>252.03</v>
      </c>
      <c r="L69" s="100">
        <v>28.75</v>
      </c>
      <c r="M69" s="100">
        <v>81.44</v>
      </c>
      <c r="N69" s="100">
        <v>136.9</v>
      </c>
      <c r="O69" s="100">
        <v>0</v>
      </c>
      <c r="P69" s="100">
        <v>0.28000000000000003</v>
      </c>
      <c r="Q69" s="100">
        <v>10</v>
      </c>
      <c r="R69" s="6"/>
      <c r="S69" s="6"/>
      <c r="T69" s="156"/>
      <c r="U69" s="6"/>
    </row>
    <row r="70" spans="1:21" customFormat="1">
      <c r="A70" s="163" t="s">
        <v>2125</v>
      </c>
      <c r="B70" s="100">
        <v>2.4500000000000002</v>
      </c>
      <c r="C70" s="100">
        <v>4.1500000000000004</v>
      </c>
      <c r="D70" s="100">
        <v>2.2000000000000002</v>
      </c>
      <c r="E70" s="100">
        <v>3.68</v>
      </c>
      <c r="F70" s="100">
        <v>3.62</v>
      </c>
      <c r="G70" s="100">
        <v>35.549999999999997</v>
      </c>
      <c r="H70" s="100">
        <v>17.54</v>
      </c>
      <c r="I70" s="100">
        <v>6.82</v>
      </c>
      <c r="J70" s="100">
        <v>0.2</v>
      </c>
      <c r="K70" s="100">
        <v>225.51</v>
      </c>
      <c r="L70" s="100">
        <v>28.87</v>
      </c>
      <c r="M70" s="100">
        <v>80.77</v>
      </c>
      <c r="N70" s="100">
        <v>156.19999999999999</v>
      </c>
      <c r="O70" s="100">
        <v>0</v>
      </c>
      <c r="P70" s="100">
        <v>0.28999999999999998</v>
      </c>
      <c r="Q70" s="100">
        <v>10</v>
      </c>
      <c r="R70" s="6"/>
      <c r="S70" s="6"/>
      <c r="T70" s="156"/>
      <c r="U70" s="6"/>
    </row>
    <row r="71" spans="1:21" customFormat="1">
      <c r="A71" s="163" t="s">
        <v>2126</v>
      </c>
      <c r="B71" s="100">
        <v>2.34</v>
      </c>
      <c r="C71" s="100">
        <v>4.05</v>
      </c>
      <c r="D71" s="100">
        <v>2.17</v>
      </c>
      <c r="E71" s="100">
        <v>3.46</v>
      </c>
      <c r="F71" s="100">
        <v>6.09</v>
      </c>
      <c r="G71" s="100">
        <v>35.549999999999997</v>
      </c>
      <c r="H71" s="100">
        <v>17.54</v>
      </c>
      <c r="I71" s="100">
        <v>6.81</v>
      </c>
      <c r="J71" s="100">
        <v>0.35</v>
      </c>
      <c r="K71" s="100">
        <v>240.98</v>
      </c>
      <c r="L71" s="100">
        <v>29.01</v>
      </c>
      <c r="M71" s="100">
        <v>80.010000000000005</v>
      </c>
      <c r="N71" s="100">
        <v>195.9</v>
      </c>
      <c r="O71" s="100">
        <v>0</v>
      </c>
      <c r="P71" s="100">
        <v>0.28999999999999998</v>
      </c>
      <c r="Q71" s="100">
        <v>10</v>
      </c>
      <c r="R71" s="6"/>
      <c r="S71" s="6"/>
      <c r="T71" s="156"/>
      <c r="U71" s="6"/>
    </row>
    <row r="72" spans="1:21" customFormat="1">
      <c r="A72" s="163" t="s">
        <v>2127</v>
      </c>
      <c r="B72" s="100">
        <v>2.17</v>
      </c>
      <c r="C72" s="100">
        <v>3.74</v>
      </c>
      <c r="D72" s="100">
        <v>1.85</v>
      </c>
      <c r="E72" s="100">
        <v>3.23</v>
      </c>
      <c r="F72" s="100">
        <v>10.25</v>
      </c>
      <c r="G72" s="100">
        <v>33.33</v>
      </c>
      <c r="H72" s="100">
        <v>16.329999999999998</v>
      </c>
      <c r="I72" s="100">
        <v>6.85</v>
      </c>
      <c r="J72" s="100">
        <v>0.24</v>
      </c>
      <c r="K72" s="100">
        <v>246.79</v>
      </c>
      <c r="L72" s="100">
        <v>29.18</v>
      </c>
      <c r="M72" s="100">
        <v>80.31</v>
      </c>
      <c r="N72" s="100">
        <v>148.30000000000001</v>
      </c>
      <c r="O72" s="100">
        <v>0</v>
      </c>
      <c r="P72" s="100">
        <v>0.28999999999999998</v>
      </c>
      <c r="Q72" s="100">
        <v>10</v>
      </c>
      <c r="R72" s="6"/>
      <c r="S72" s="6"/>
      <c r="T72" s="156"/>
      <c r="U72" s="6"/>
    </row>
    <row r="73" spans="1:21" customFormat="1">
      <c r="A73" s="163" t="s">
        <v>2128</v>
      </c>
      <c r="B73" s="100">
        <v>2.2599999999999998</v>
      </c>
      <c r="C73" s="100">
        <v>4.0599999999999996</v>
      </c>
      <c r="D73" s="100">
        <v>2.33</v>
      </c>
      <c r="E73" s="100">
        <v>3.36</v>
      </c>
      <c r="F73" s="100">
        <v>9.14</v>
      </c>
      <c r="G73" s="100">
        <v>23.76</v>
      </c>
      <c r="H73" s="100">
        <v>12.47</v>
      </c>
      <c r="I73" s="100">
        <v>6.82</v>
      </c>
      <c r="J73" s="100">
        <v>0.21</v>
      </c>
      <c r="K73" s="100">
        <v>258.56</v>
      </c>
      <c r="L73" s="100">
        <v>29.07</v>
      </c>
      <c r="M73" s="100">
        <v>80.86</v>
      </c>
      <c r="N73" s="100">
        <v>117.3</v>
      </c>
      <c r="O73" s="100">
        <v>0</v>
      </c>
      <c r="P73" s="100">
        <v>0.28999999999999998</v>
      </c>
      <c r="Q73" s="100">
        <v>10</v>
      </c>
      <c r="R73" s="6"/>
      <c r="S73" s="6"/>
      <c r="T73" s="156"/>
      <c r="U73" s="6"/>
    </row>
    <row r="74" spans="1:21" customFormat="1">
      <c r="A74" s="163" t="s">
        <v>2129</v>
      </c>
      <c r="B74" s="100">
        <v>2.19</v>
      </c>
      <c r="C74" s="100">
        <v>4.07</v>
      </c>
      <c r="D74" s="100">
        <v>2.44</v>
      </c>
      <c r="E74" s="100">
        <v>3.4</v>
      </c>
      <c r="F74" s="100">
        <v>3.59</v>
      </c>
      <c r="G74" s="100">
        <v>23.76</v>
      </c>
      <c r="H74" s="100">
        <v>12.47</v>
      </c>
      <c r="I74" s="100">
        <v>6.95</v>
      </c>
      <c r="J74" s="100">
        <v>0.19</v>
      </c>
      <c r="K74" s="100">
        <v>263.81</v>
      </c>
      <c r="L74" s="100">
        <v>28.93</v>
      </c>
      <c r="M74" s="100">
        <v>81.790000000000006</v>
      </c>
      <c r="N74" s="100">
        <v>97.2</v>
      </c>
      <c r="O74" s="100">
        <v>0</v>
      </c>
      <c r="P74" s="100">
        <v>0.3</v>
      </c>
      <c r="Q74" s="100">
        <v>10</v>
      </c>
      <c r="R74" s="6"/>
      <c r="S74" s="6"/>
      <c r="T74" s="156"/>
      <c r="U74" s="6"/>
    </row>
    <row r="75" spans="1:21" customFormat="1">
      <c r="A75" s="163" t="s">
        <v>2130</v>
      </c>
      <c r="B75" s="100">
        <v>2.2799999999999998</v>
      </c>
      <c r="C75" s="100">
        <v>4.03</v>
      </c>
      <c r="D75" s="100">
        <v>2.23</v>
      </c>
      <c r="E75" s="100">
        <v>3.55</v>
      </c>
      <c r="F75" s="100">
        <v>7.7</v>
      </c>
      <c r="G75" s="100">
        <v>23.76</v>
      </c>
      <c r="H75" s="100">
        <v>12.47</v>
      </c>
      <c r="I75" s="100">
        <v>7.09</v>
      </c>
      <c r="J75" s="100">
        <v>0.24</v>
      </c>
      <c r="K75" s="100">
        <v>306.31</v>
      </c>
      <c r="L75" s="100">
        <v>29</v>
      </c>
      <c r="M75" s="100">
        <v>81.05</v>
      </c>
      <c r="N75" s="100">
        <v>83.1</v>
      </c>
      <c r="O75" s="100">
        <v>0</v>
      </c>
      <c r="P75" s="100">
        <v>0.33</v>
      </c>
      <c r="Q75" s="100">
        <v>10</v>
      </c>
      <c r="R75" s="6"/>
      <c r="S75" s="6"/>
      <c r="T75" s="156"/>
      <c r="U75" s="6"/>
    </row>
    <row r="76" spans="1:21" customFormat="1">
      <c r="A76" s="163" t="s">
        <v>2131</v>
      </c>
      <c r="B76" s="100">
        <v>2.5</v>
      </c>
      <c r="C76" s="100">
        <v>4.5999999999999996</v>
      </c>
      <c r="D76" s="100">
        <v>2.99</v>
      </c>
      <c r="E76" s="100">
        <v>3.52</v>
      </c>
      <c r="F76" s="100">
        <v>13.61</v>
      </c>
      <c r="G76" s="100">
        <v>26.22</v>
      </c>
      <c r="H76" s="100">
        <v>13</v>
      </c>
      <c r="I76" s="100">
        <v>7.21</v>
      </c>
      <c r="J76" s="100">
        <v>0.33</v>
      </c>
      <c r="K76" s="100">
        <v>282.66000000000003</v>
      </c>
      <c r="L76" s="100">
        <v>29.1</v>
      </c>
      <c r="M76" s="100">
        <v>80.959999999999994</v>
      </c>
      <c r="N76" s="100">
        <v>80.599999999999994</v>
      </c>
      <c r="O76" s="100">
        <v>0</v>
      </c>
      <c r="P76" s="100">
        <v>0.37</v>
      </c>
      <c r="Q76" s="100">
        <v>10</v>
      </c>
      <c r="R76" s="6"/>
      <c r="S76" s="6"/>
      <c r="T76" s="156"/>
      <c r="U76" s="6"/>
    </row>
    <row r="77" spans="1:21" customFormat="1">
      <c r="A77" s="163" t="s">
        <v>2132</v>
      </c>
      <c r="B77" s="100">
        <v>2.09</v>
      </c>
      <c r="C77" s="100">
        <v>3.57</v>
      </c>
      <c r="D77" s="100">
        <v>1.66</v>
      </c>
      <c r="E77" s="100">
        <v>3.84</v>
      </c>
      <c r="F77" s="100">
        <v>12.43</v>
      </c>
      <c r="G77" s="100">
        <v>37.630000000000003</v>
      </c>
      <c r="H77" s="100">
        <v>14.69</v>
      </c>
      <c r="I77" s="100">
        <v>7.52</v>
      </c>
      <c r="J77" s="100">
        <v>0.34</v>
      </c>
      <c r="K77" s="100">
        <v>291.81</v>
      </c>
      <c r="L77" s="100">
        <v>29</v>
      </c>
      <c r="M77" s="100">
        <v>82.08</v>
      </c>
      <c r="N77" s="100">
        <v>67.7</v>
      </c>
      <c r="O77" s="100">
        <v>0</v>
      </c>
      <c r="P77" s="100">
        <v>0.36</v>
      </c>
      <c r="Q77" s="100">
        <v>10</v>
      </c>
      <c r="R77" s="6"/>
      <c r="S77" s="6"/>
      <c r="T77" s="156"/>
      <c r="U77" s="6"/>
    </row>
    <row r="78" spans="1:21" customFormat="1">
      <c r="A78" s="163" t="s">
        <v>2133</v>
      </c>
      <c r="B78" s="100">
        <v>2.12</v>
      </c>
      <c r="C78" s="100">
        <v>3.91</v>
      </c>
      <c r="D78" s="100">
        <v>2.2400000000000002</v>
      </c>
      <c r="E78" s="100">
        <v>4.03</v>
      </c>
      <c r="F78" s="100">
        <v>3.32</v>
      </c>
      <c r="G78" s="100">
        <v>37.630000000000003</v>
      </c>
      <c r="H78" s="100">
        <v>14.69</v>
      </c>
      <c r="I78" s="100">
        <v>7.89</v>
      </c>
      <c r="J78" s="100">
        <v>0.34</v>
      </c>
      <c r="K78" s="100">
        <v>313.7</v>
      </c>
      <c r="L78" s="100">
        <v>29</v>
      </c>
      <c r="M78" s="100">
        <v>82</v>
      </c>
      <c r="N78" s="100">
        <v>45.1</v>
      </c>
      <c r="O78" s="100">
        <v>0</v>
      </c>
      <c r="P78" s="100">
        <v>0.36</v>
      </c>
      <c r="Q78" s="100">
        <v>10</v>
      </c>
      <c r="R78" s="6"/>
      <c r="S78" s="6"/>
      <c r="T78" s="156"/>
      <c r="U78" s="6"/>
    </row>
    <row r="79" spans="1:21" customFormat="1">
      <c r="A79" s="163" t="s">
        <v>2134</v>
      </c>
      <c r="B79" s="100">
        <v>1.96</v>
      </c>
      <c r="C79" s="100">
        <v>3.65</v>
      </c>
      <c r="D79" s="100">
        <v>2.0099999999999998</v>
      </c>
      <c r="E79" s="100">
        <v>3.74</v>
      </c>
      <c r="F79" s="100">
        <v>3.19</v>
      </c>
      <c r="G79" s="100">
        <v>37.630000000000003</v>
      </c>
      <c r="H79" s="100">
        <v>14.69</v>
      </c>
      <c r="I79" s="100">
        <v>8</v>
      </c>
      <c r="J79" s="100">
        <v>0.26</v>
      </c>
      <c r="K79" s="100">
        <v>306.49</v>
      </c>
      <c r="L79" s="100">
        <v>28.97</v>
      </c>
      <c r="M79" s="100">
        <v>81.760000000000005</v>
      </c>
      <c r="N79" s="100">
        <v>28</v>
      </c>
      <c r="O79" s="100">
        <v>0</v>
      </c>
      <c r="P79" s="100">
        <v>0.41</v>
      </c>
      <c r="Q79" s="100">
        <v>10</v>
      </c>
      <c r="R79" s="6"/>
      <c r="S79" s="6"/>
      <c r="T79" s="156"/>
      <c r="U79" s="6"/>
    </row>
    <row r="80" spans="1:21" customFormat="1">
      <c r="A80" s="163" t="s">
        <v>2135</v>
      </c>
      <c r="B80" s="100">
        <v>1.65</v>
      </c>
      <c r="C80" s="100">
        <v>2.5499999999999998</v>
      </c>
      <c r="D80" s="100">
        <v>0.36</v>
      </c>
      <c r="E80" s="100">
        <v>3.91</v>
      </c>
      <c r="F80" s="100">
        <v>4.24</v>
      </c>
      <c r="G80" s="100">
        <v>39.5</v>
      </c>
      <c r="H80" s="100">
        <v>15.97</v>
      </c>
      <c r="I80" s="100">
        <v>7.75</v>
      </c>
      <c r="J80" s="100">
        <v>0.3</v>
      </c>
      <c r="K80" s="100">
        <v>13.44</v>
      </c>
      <c r="L80" s="100">
        <v>28.82</v>
      </c>
      <c r="M80" s="100">
        <v>83.2</v>
      </c>
      <c r="N80" s="100">
        <v>14.9</v>
      </c>
      <c r="O80" s="100">
        <v>0</v>
      </c>
      <c r="P80" s="100">
        <v>0.44</v>
      </c>
      <c r="Q80" s="100">
        <v>10</v>
      </c>
      <c r="R80" s="6"/>
      <c r="S80" s="6"/>
      <c r="T80" s="156"/>
      <c r="U80" s="6"/>
    </row>
    <row r="81" spans="1:21" customFormat="1">
      <c r="A81" s="163" t="s">
        <v>2136</v>
      </c>
      <c r="B81" s="100">
        <v>2.61</v>
      </c>
      <c r="C81" s="100">
        <v>4.95</v>
      </c>
      <c r="D81" s="100">
        <v>3.47</v>
      </c>
      <c r="E81" s="100">
        <v>5.0999999999999996</v>
      </c>
      <c r="F81" s="100">
        <v>3.31</v>
      </c>
      <c r="G81" s="100">
        <v>47.55</v>
      </c>
      <c r="H81" s="100">
        <v>20.05</v>
      </c>
      <c r="I81" s="100">
        <v>8.16</v>
      </c>
      <c r="J81" s="100">
        <v>0.72</v>
      </c>
      <c r="K81" s="100">
        <v>39.42</v>
      </c>
      <c r="L81" s="100">
        <v>28.65</v>
      </c>
      <c r="M81" s="100">
        <v>82.37</v>
      </c>
      <c r="N81" s="100">
        <v>9.5</v>
      </c>
      <c r="O81" s="100">
        <v>0</v>
      </c>
      <c r="P81" s="100">
        <v>0.43</v>
      </c>
      <c r="Q81" s="100">
        <v>10</v>
      </c>
      <c r="R81" s="6"/>
      <c r="S81" s="6"/>
      <c r="T81" s="156"/>
      <c r="U81" s="6"/>
    </row>
    <row r="82" spans="1:21" customFormat="1">
      <c r="A82" s="163" t="s">
        <v>2137</v>
      </c>
      <c r="B82" s="100">
        <v>2.27</v>
      </c>
      <c r="C82" s="100">
        <v>4.01</v>
      </c>
      <c r="D82" s="100">
        <v>2.21</v>
      </c>
      <c r="E82" s="100">
        <v>5.94</v>
      </c>
      <c r="F82" s="100">
        <v>2.85</v>
      </c>
      <c r="G82" s="100">
        <v>47.55</v>
      </c>
      <c r="H82" s="100">
        <v>20.05</v>
      </c>
      <c r="I82" s="100">
        <v>8.36</v>
      </c>
      <c r="J82" s="100">
        <v>0.81</v>
      </c>
      <c r="K82" s="100">
        <v>35.94</v>
      </c>
      <c r="L82" s="100">
        <v>28.29</v>
      </c>
      <c r="M82" s="100">
        <v>82.32</v>
      </c>
      <c r="N82" s="100">
        <v>9.1</v>
      </c>
      <c r="O82" s="100">
        <v>0</v>
      </c>
      <c r="P82" s="100">
        <v>0.42</v>
      </c>
      <c r="Q82" s="100">
        <v>10</v>
      </c>
      <c r="R82" s="6"/>
      <c r="S82" s="6"/>
      <c r="T82" s="156"/>
      <c r="U82" s="6"/>
    </row>
    <row r="83" spans="1:21" customFormat="1">
      <c r="A83" s="163" t="s">
        <v>2138</v>
      </c>
      <c r="B83" s="100">
        <v>2.11</v>
      </c>
      <c r="C83" s="100">
        <v>3.68</v>
      </c>
      <c r="D83" s="100">
        <v>1.81</v>
      </c>
      <c r="E83" s="100">
        <v>6.04</v>
      </c>
      <c r="F83" s="100">
        <v>2.06</v>
      </c>
      <c r="G83" s="100">
        <v>47.55</v>
      </c>
      <c r="H83" s="100">
        <v>20.05</v>
      </c>
      <c r="I83" s="100">
        <v>8.15</v>
      </c>
      <c r="J83" s="100">
        <v>0.19</v>
      </c>
      <c r="K83" s="100">
        <v>4.6900000000000004</v>
      </c>
      <c r="L83" s="100">
        <v>28</v>
      </c>
      <c r="M83" s="100">
        <v>83.43</v>
      </c>
      <c r="N83" s="100">
        <v>4.8</v>
      </c>
      <c r="O83" s="100">
        <v>0</v>
      </c>
      <c r="P83" s="100">
        <v>0.41</v>
      </c>
      <c r="Q83" s="100">
        <v>10</v>
      </c>
      <c r="R83" s="6"/>
      <c r="S83" s="6"/>
      <c r="T83" s="156"/>
      <c r="U83" s="6"/>
    </row>
    <row r="84" spans="1:21" customFormat="1">
      <c r="A84" s="163" t="s">
        <v>2139</v>
      </c>
      <c r="B84" s="100">
        <v>2.4500000000000002</v>
      </c>
      <c r="C84" s="100">
        <v>4.47</v>
      </c>
      <c r="D84" s="100">
        <v>2.82</v>
      </c>
      <c r="E84" s="100">
        <v>6</v>
      </c>
      <c r="F84" s="100">
        <v>1.1299999999999999</v>
      </c>
      <c r="G84" s="100">
        <v>47.79</v>
      </c>
      <c r="H84" s="100">
        <v>19.45</v>
      </c>
      <c r="I84" s="100">
        <v>7.94</v>
      </c>
      <c r="J84" s="100">
        <v>0.13</v>
      </c>
      <c r="K84" s="100">
        <v>359.41</v>
      </c>
      <c r="L84" s="100">
        <v>27.85</v>
      </c>
      <c r="M84" s="100">
        <v>85.33</v>
      </c>
      <c r="N84" s="100">
        <v>2.6</v>
      </c>
      <c r="O84" s="100">
        <v>0</v>
      </c>
      <c r="P84" s="100">
        <v>0.4</v>
      </c>
      <c r="Q84" s="100">
        <v>10</v>
      </c>
      <c r="R84" s="6"/>
      <c r="S84" s="6"/>
      <c r="T84" s="156"/>
      <c r="U84" s="6"/>
    </row>
    <row r="85" spans="1:21" customFormat="1">
      <c r="A85" s="163" t="s">
        <v>2140</v>
      </c>
      <c r="B85" s="100">
        <v>2.42</v>
      </c>
      <c r="C85" s="100">
        <v>4.3499999999999996</v>
      </c>
      <c r="D85" s="100">
        <v>2.64</v>
      </c>
      <c r="E85" s="100">
        <v>5.76</v>
      </c>
      <c r="F85" s="100">
        <v>1.41</v>
      </c>
      <c r="G85" s="100">
        <v>48.89</v>
      </c>
      <c r="H85" s="100">
        <v>16.420000000000002</v>
      </c>
      <c r="I85" s="100">
        <v>7.77</v>
      </c>
      <c r="J85" s="100">
        <v>0.19</v>
      </c>
      <c r="K85" s="100">
        <v>75.11</v>
      </c>
      <c r="L85" s="100">
        <v>27.83</v>
      </c>
      <c r="M85" s="100">
        <v>86.49</v>
      </c>
      <c r="N85" s="100">
        <v>2.2000000000000002</v>
      </c>
      <c r="O85" s="100">
        <v>0</v>
      </c>
      <c r="P85" s="100">
        <v>0.4</v>
      </c>
      <c r="Q85" s="100">
        <v>10</v>
      </c>
      <c r="R85" s="6"/>
      <c r="S85" s="6"/>
      <c r="T85" s="156"/>
      <c r="U85" s="6"/>
    </row>
    <row r="86" spans="1:21" customFormat="1">
      <c r="A86" s="163" t="s">
        <v>2141</v>
      </c>
      <c r="B86" s="100">
        <v>2.2000000000000002</v>
      </c>
      <c r="C86" s="100">
        <v>3.67</v>
      </c>
      <c r="D86" s="100">
        <v>1.67</v>
      </c>
      <c r="E86" s="100">
        <v>6.14</v>
      </c>
      <c r="F86" s="100">
        <v>1.5</v>
      </c>
      <c r="G86" s="100">
        <v>48.89</v>
      </c>
      <c r="H86" s="100">
        <v>16.420000000000002</v>
      </c>
      <c r="I86" s="100">
        <v>7.55</v>
      </c>
      <c r="J86" s="100">
        <v>0.36</v>
      </c>
      <c r="K86" s="100">
        <v>54.93</v>
      </c>
      <c r="L86" s="100">
        <v>27.71</v>
      </c>
      <c r="M86" s="100">
        <v>87.08</v>
      </c>
      <c r="N86" s="100">
        <v>2.1</v>
      </c>
      <c r="O86" s="100">
        <v>0</v>
      </c>
      <c r="P86" s="100">
        <v>0.41</v>
      </c>
      <c r="Q86" s="100">
        <v>10</v>
      </c>
      <c r="R86" s="6"/>
      <c r="S86" s="6"/>
      <c r="T86" s="156"/>
      <c r="U86" s="6"/>
    </row>
    <row r="87" spans="1:21" customFormat="1">
      <c r="A87" s="163" t="s">
        <v>2142</v>
      </c>
      <c r="B87" s="100">
        <v>2.76</v>
      </c>
      <c r="C87" s="100">
        <v>4.8</v>
      </c>
      <c r="D87" s="100">
        <v>2.96</v>
      </c>
      <c r="E87" s="100">
        <v>6.4</v>
      </c>
      <c r="F87" s="100">
        <v>1.81</v>
      </c>
      <c r="G87" s="100">
        <v>48.89</v>
      </c>
      <c r="H87" s="100">
        <v>16.420000000000002</v>
      </c>
      <c r="I87" s="100">
        <v>7.58</v>
      </c>
      <c r="J87" s="100">
        <v>0.31</v>
      </c>
      <c r="K87" s="100">
        <v>50.03</v>
      </c>
      <c r="L87" s="100">
        <v>27.6</v>
      </c>
      <c r="M87" s="100">
        <v>86.44</v>
      </c>
      <c r="N87" s="100">
        <v>2.1</v>
      </c>
      <c r="O87" s="100">
        <v>0</v>
      </c>
      <c r="P87" s="100">
        <v>0.4</v>
      </c>
      <c r="Q87" s="100">
        <v>10</v>
      </c>
      <c r="R87" s="6"/>
      <c r="S87" s="6"/>
      <c r="T87" s="156"/>
      <c r="U87" s="6"/>
    </row>
    <row r="88" spans="1:21" customFormat="1">
      <c r="A88" s="163" t="s">
        <v>2143</v>
      </c>
      <c r="B88" s="100">
        <v>2.37</v>
      </c>
      <c r="C88" s="100">
        <v>3.88</v>
      </c>
      <c r="D88" s="100">
        <v>1.81</v>
      </c>
      <c r="E88" s="100">
        <v>6.07</v>
      </c>
      <c r="F88" s="100">
        <v>2.4500000000000002</v>
      </c>
      <c r="G88" s="100">
        <v>49.61</v>
      </c>
      <c r="H88" s="100">
        <v>16.43</v>
      </c>
      <c r="I88" s="100">
        <v>7.67</v>
      </c>
      <c r="J88" s="100">
        <v>7.0000000000000007E-2</v>
      </c>
      <c r="K88" s="100">
        <v>166.07</v>
      </c>
      <c r="L88" s="100">
        <v>27.43</v>
      </c>
      <c r="M88" s="100">
        <v>86.31</v>
      </c>
      <c r="N88" s="100">
        <v>2.4</v>
      </c>
      <c r="O88" s="100">
        <v>0</v>
      </c>
      <c r="P88" s="100">
        <v>0.41</v>
      </c>
      <c r="Q88" s="100">
        <v>10</v>
      </c>
      <c r="R88" s="6"/>
      <c r="S88" s="6"/>
      <c r="T88" s="156"/>
      <c r="U88" s="6"/>
    </row>
    <row r="89" spans="1:21" customFormat="1">
      <c r="A89" s="163" t="s">
        <v>2144</v>
      </c>
      <c r="B89" s="100">
        <v>2.25</v>
      </c>
      <c r="C89" s="100">
        <v>3.62</v>
      </c>
      <c r="D89" s="100">
        <v>1.5</v>
      </c>
      <c r="E89" s="100">
        <v>5.94</v>
      </c>
      <c r="F89" s="100">
        <v>2.23</v>
      </c>
      <c r="G89" s="100">
        <v>52.96</v>
      </c>
      <c r="H89" s="100">
        <v>16.440000000000001</v>
      </c>
      <c r="I89" s="100">
        <v>7.59</v>
      </c>
      <c r="J89" s="100">
        <v>0.09</v>
      </c>
      <c r="K89" s="100">
        <v>154.13999999999999</v>
      </c>
      <c r="L89" s="100">
        <v>27.02</v>
      </c>
      <c r="M89" s="100">
        <v>89.04</v>
      </c>
      <c r="N89" s="100">
        <v>2.4</v>
      </c>
      <c r="O89" s="100">
        <v>0</v>
      </c>
      <c r="P89" s="100">
        <v>0.39</v>
      </c>
      <c r="Q89" s="100">
        <v>10</v>
      </c>
      <c r="R89" s="6"/>
      <c r="S89" s="6"/>
      <c r="T89" s="156"/>
      <c r="U89" s="6"/>
    </row>
    <row r="90" spans="1:21" customFormat="1">
      <c r="A90" s="163" t="s">
        <v>2145</v>
      </c>
      <c r="B90" s="100">
        <v>2.35</v>
      </c>
      <c r="C90" s="100">
        <v>3.91</v>
      </c>
      <c r="D90" s="100">
        <v>1.89</v>
      </c>
      <c r="E90" s="100">
        <v>6.37</v>
      </c>
      <c r="F90" s="100">
        <v>2.61</v>
      </c>
      <c r="G90" s="100">
        <v>52.96</v>
      </c>
      <c r="H90" s="100">
        <v>16.440000000000001</v>
      </c>
      <c r="I90" s="100">
        <v>7.45</v>
      </c>
      <c r="J90" s="100">
        <v>0.2</v>
      </c>
      <c r="K90" s="100">
        <v>71</v>
      </c>
      <c r="L90" s="100">
        <v>27.16</v>
      </c>
      <c r="M90" s="100">
        <v>86.83</v>
      </c>
      <c r="N90" s="100">
        <v>2.1</v>
      </c>
      <c r="O90" s="100">
        <v>0</v>
      </c>
      <c r="P90" s="100">
        <v>0.38</v>
      </c>
      <c r="Q90" s="100">
        <v>10</v>
      </c>
      <c r="R90" s="6"/>
      <c r="S90" s="6"/>
      <c r="T90" s="156"/>
      <c r="U90" s="6"/>
    </row>
    <row r="91" spans="1:21" customFormat="1">
      <c r="A91" s="163" t="s">
        <v>2146</v>
      </c>
      <c r="B91" s="100">
        <v>2.4</v>
      </c>
      <c r="C91" s="100">
        <v>3.85</v>
      </c>
      <c r="D91" s="100">
        <v>1.71</v>
      </c>
      <c r="E91" s="100">
        <v>6.12</v>
      </c>
      <c r="F91" s="100">
        <v>1.44</v>
      </c>
      <c r="G91" s="100">
        <v>52.96</v>
      </c>
      <c r="H91" s="100">
        <v>16.440000000000001</v>
      </c>
      <c r="I91" s="100">
        <v>7.29</v>
      </c>
      <c r="J91" s="100">
        <v>0.12</v>
      </c>
      <c r="K91" s="100">
        <v>96.82</v>
      </c>
      <c r="L91" s="100">
        <v>27.19</v>
      </c>
      <c r="M91" s="100">
        <v>86.29</v>
      </c>
      <c r="N91" s="100">
        <v>2.2000000000000002</v>
      </c>
      <c r="O91" s="100">
        <v>0</v>
      </c>
      <c r="P91" s="100">
        <v>0.38</v>
      </c>
      <c r="Q91" s="100">
        <v>10</v>
      </c>
      <c r="R91" s="6"/>
      <c r="S91" s="6"/>
      <c r="T91" s="156"/>
      <c r="U91" s="6"/>
    </row>
    <row r="92" spans="1:21" customFormat="1">
      <c r="A92" s="163" t="s">
        <v>2147</v>
      </c>
      <c r="B92" s="100">
        <v>2.48</v>
      </c>
      <c r="C92" s="100">
        <v>4.07</v>
      </c>
      <c r="D92" s="100">
        <v>2</v>
      </c>
      <c r="E92" s="100">
        <v>6.3</v>
      </c>
      <c r="F92" s="100">
        <v>1.69</v>
      </c>
      <c r="G92" s="100">
        <v>53.05</v>
      </c>
      <c r="H92" s="100">
        <v>15.69</v>
      </c>
      <c r="I92" s="100">
        <v>7.18</v>
      </c>
      <c r="J92" s="100">
        <v>0.12</v>
      </c>
      <c r="K92" s="100">
        <v>168.91</v>
      </c>
      <c r="L92" s="100">
        <v>27</v>
      </c>
      <c r="M92" s="100">
        <v>87.86</v>
      </c>
      <c r="N92" s="100">
        <v>2.4</v>
      </c>
      <c r="O92" s="100">
        <v>0</v>
      </c>
      <c r="P92" s="100">
        <v>0.37</v>
      </c>
      <c r="Q92" s="100">
        <v>10</v>
      </c>
      <c r="R92" s="6"/>
      <c r="S92" s="6"/>
      <c r="T92" s="156"/>
      <c r="U92" s="6"/>
    </row>
    <row r="93" spans="1:21" customFormat="1">
      <c r="A93" s="163" t="s">
        <v>2148</v>
      </c>
      <c r="B93" s="100">
        <v>2.04</v>
      </c>
      <c r="C93" s="100">
        <v>3.21</v>
      </c>
      <c r="D93" s="100">
        <v>1.04</v>
      </c>
      <c r="E93" s="100">
        <v>6.36</v>
      </c>
      <c r="F93" s="100">
        <v>1.7</v>
      </c>
      <c r="G93" s="100">
        <v>53.44</v>
      </c>
      <c r="H93" s="100">
        <v>13.29</v>
      </c>
      <c r="I93" s="100">
        <v>7.12</v>
      </c>
      <c r="J93" s="100">
        <v>0.13</v>
      </c>
      <c r="K93" s="100">
        <v>197.46</v>
      </c>
      <c r="L93" s="100">
        <v>26.68</v>
      </c>
      <c r="M93" s="100">
        <v>89.61</v>
      </c>
      <c r="N93" s="100">
        <v>2.4</v>
      </c>
      <c r="O93" s="100">
        <v>0</v>
      </c>
      <c r="P93" s="100">
        <v>0.37</v>
      </c>
      <c r="Q93" s="100">
        <v>10</v>
      </c>
      <c r="R93" s="6"/>
      <c r="S93" s="6"/>
      <c r="T93" s="156"/>
      <c r="U93" s="6"/>
    </row>
    <row r="94" spans="1:21" customFormat="1">
      <c r="A94" s="163" t="s">
        <v>2149</v>
      </c>
      <c r="B94" s="100">
        <v>2.82</v>
      </c>
      <c r="C94" s="100">
        <v>4.6500000000000004</v>
      </c>
      <c r="D94" s="100">
        <v>2.58</v>
      </c>
      <c r="E94" s="100">
        <v>6.47</v>
      </c>
      <c r="F94" s="100">
        <v>1.92</v>
      </c>
      <c r="G94" s="100">
        <v>53.44</v>
      </c>
      <c r="H94" s="100">
        <v>13.29</v>
      </c>
      <c r="I94" s="100">
        <v>7.07</v>
      </c>
      <c r="J94" s="100">
        <v>0.2</v>
      </c>
      <c r="K94" s="100">
        <v>155.01</v>
      </c>
      <c r="L94" s="100">
        <v>26.63</v>
      </c>
      <c r="M94" s="100">
        <v>89.25</v>
      </c>
      <c r="N94" s="100">
        <v>2.2000000000000002</v>
      </c>
      <c r="O94" s="100">
        <v>0</v>
      </c>
      <c r="P94" s="100">
        <v>0.36</v>
      </c>
      <c r="Q94" s="100">
        <v>10</v>
      </c>
      <c r="R94" s="6"/>
      <c r="S94" s="6"/>
      <c r="T94" s="156"/>
      <c r="U94" s="6"/>
    </row>
    <row r="95" spans="1:21" customFormat="1">
      <c r="A95" s="163" t="s">
        <v>2150</v>
      </c>
      <c r="B95" s="100">
        <v>2.33</v>
      </c>
      <c r="C95" s="100">
        <v>3.75</v>
      </c>
      <c r="D95" s="100">
        <v>1.63</v>
      </c>
      <c r="E95" s="100">
        <v>6.46</v>
      </c>
      <c r="F95" s="100">
        <v>1.8</v>
      </c>
      <c r="G95" s="100">
        <v>53.44</v>
      </c>
      <c r="H95" s="100">
        <v>13.29</v>
      </c>
      <c r="I95" s="100">
        <v>7.03</v>
      </c>
      <c r="J95" s="100">
        <v>0.16</v>
      </c>
      <c r="K95" s="100">
        <v>187.71</v>
      </c>
      <c r="L95" s="100">
        <v>26.54</v>
      </c>
      <c r="M95" s="100">
        <v>89.53</v>
      </c>
      <c r="N95" s="100">
        <v>2.1</v>
      </c>
      <c r="O95" s="100">
        <v>0</v>
      </c>
      <c r="P95" s="100">
        <v>0.35</v>
      </c>
      <c r="Q95" s="100">
        <v>10</v>
      </c>
      <c r="R95" s="6"/>
      <c r="S95" s="6"/>
      <c r="T95" s="156"/>
      <c r="U95" s="6"/>
    </row>
    <row r="96" spans="1:21" customFormat="1">
      <c r="A96" s="163" t="s">
        <v>2151</v>
      </c>
      <c r="B96" s="100">
        <v>3.02</v>
      </c>
      <c r="C96" s="100">
        <v>5</v>
      </c>
      <c r="D96" s="100">
        <v>2.95</v>
      </c>
      <c r="E96" s="100">
        <v>6.59</v>
      </c>
      <c r="F96" s="100">
        <v>2.54</v>
      </c>
      <c r="G96" s="100">
        <v>52.31</v>
      </c>
      <c r="H96" s="100">
        <v>13.85</v>
      </c>
      <c r="I96" s="100">
        <v>6.89</v>
      </c>
      <c r="J96" s="100">
        <v>0.13</v>
      </c>
      <c r="K96" s="100">
        <v>194.96</v>
      </c>
      <c r="L96" s="100">
        <v>26.33</v>
      </c>
      <c r="M96" s="100">
        <v>91.35</v>
      </c>
      <c r="N96" s="100">
        <v>2.2000000000000002</v>
      </c>
      <c r="O96" s="100">
        <v>0</v>
      </c>
      <c r="P96" s="100">
        <v>0.35</v>
      </c>
      <c r="Q96" s="100">
        <v>10</v>
      </c>
      <c r="R96" s="6"/>
      <c r="S96" s="6"/>
      <c r="T96" s="156"/>
      <c r="U96" s="6"/>
    </row>
    <row r="97" spans="1:28" customFormat="1">
      <c r="A97" s="163" t="s">
        <v>2152</v>
      </c>
      <c r="B97" s="100">
        <v>2.65</v>
      </c>
      <c r="C97" s="100">
        <v>4.3499999999999996</v>
      </c>
      <c r="D97" s="100">
        <v>2.2799999999999998</v>
      </c>
      <c r="E97" s="100">
        <v>6.35</v>
      </c>
      <c r="F97" s="100">
        <v>1.62</v>
      </c>
      <c r="G97" s="100">
        <v>47.04</v>
      </c>
      <c r="H97" s="100">
        <v>15.63</v>
      </c>
      <c r="I97" s="100">
        <v>6.78</v>
      </c>
      <c r="J97" s="100">
        <v>0.14000000000000001</v>
      </c>
      <c r="K97" s="100">
        <v>151.32</v>
      </c>
      <c r="L97" s="100">
        <v>26.34</v>
      </c>
      <c r="M97" s="100">
        <v>93.62</v>
      </c>
      <c r="N97" s="100">
        <v>2.1</v>
      </c>
      <c r="O97" s="100">
        <v>0</v>
      </c>
      <c r="P97" s="100">
        <v>0.34</v>
      </c>
      <c r="Q97" s="100">
        <v>10</v>
      </c>
      <c r="R97" s="6"/>
      <c r="S97" s="6"/>
      <c r="T97" s="156"/>
      <c r="U97" s="6"/>
    </row>
    <row r="98" spans="1:28" customFormat="1">
      <c r="A98" s="163" t="s">
        <v>2153</v>
      </c>
      <c r="B98" s="100">
        <v>2.27</v>
      </c>
      <c r="C98" s="100">
        <v>3.64</v>
      </c>
      <c r="D98" s="100">
        <v>1.49</v>
      </c>
      <c r="E98" s="100">
        <v>6.35</v>
      </c>
      <c r="F98" s="100">
        <v>0.96</v>
      </c>
      <c r="G98" s="100">
        <v>47.04</v>
      </c>
      <c r="H98" s="100">
        <v>15.63</v>
      </c>
      <c r="I98" s="100">
        <v>6.71</v>
      </c>
      <c r="J98" s="100">
        <v>0.08</v>
      </c>
      <c r="K98" s="100">
        <v>159.93</v>
      </c>
      <c r="L98" s="100">
        <v>26.48</v>
      </c>
      <c r="M98" s="100">
        <v>93.68</v>
      </c>
      <c r="N98" s="100">
        <v>2</v>
      </c>
      <c r="O98" s="100">
        <v>0</v>
      </c>
      <c r="P98" s="100">
        <v>0.33</v>
      </c>
      <c r="Q98" s="100">
        <v>10</v>
      </c>
      <c r="R98" s="6"/>
      <c r="S98" s="6"/>
      <c r="T98" s="156"/>
      <c r="U98" s="6"/>
    </row>
    <row r="99" spans="1:28" customFormat="1">
      <c r="A99" s="163" t="s">
        <v>2154</v>
      </c>
      <c r="B99" s="100">
        <v>3.14</v>
      </c>
      <c r="C99" s="100">
        <v>5.21</v>
      </c>
      <c r="D99" s="100">
        <v>3.17</v>
      </c>
      <c r="E99" s="100">
        <v>6.27</v>
      </c>
      <c r="F99" s="100">
        <v>1.38</v>
      </c>
      <c r="G99" s="100">
        <v>47.04</v>
      </c>
      <c r="H99" s="100">
        <v>15.63</v>
      </c>
      <c r="I99" s="100">
        <v>6.63</v>
      </c>
      <c r="J99" s="100">
        <v>0.17</v>
      </c>
      <c r="K99" s="100">
        <v>61.69</v>
      </c>
      <c r="L99" s="100">
        <v>26.6</v>
      </c>
      <c r="M99" s="100">
        <v>91.82</v>
      </c>
      <c r="N99" s="100">
        <v>2.1</v>
      </c>
      <c r="O99" s="100">
        <v>0</v>
      </c>
      <c r="P99" s="100">
        <v>0.31</v>
      </c>
      <c r="Q99" s="100">
        <v>10</v>
      </c>
      <c r="R99" s="6"/>
      <c r="S99" s="6"/>
      <c r="T99" s="156"/>
      <c r="U99" s="6"/>
    </row>
    <row r="100" spans="1:28" customFormat="1">
      <c r="A100" s="163" t="s">
        <v>2155</v>
      </c>
      <c r="B100" s="100">
        <v>3.08</v>
      </c>
      <c r="C100" s="100">
        <v>4.93</v>
      </c>
      <c r="D100" s="100">
        <v>2.74</v>
      </c>
      <c r="E100" s="100">
        <v>6.03</v>
      </c>
      <c r="F100" s="100">
        <v>2.13</v>
      </c>
      <c r="G100" s="100">
        <v>47.33</v>
      </c>
      <c r="H100" s="100">
        <v>15.72</v>
      </c>
      <c r="I100" s="100">
        <v>6.52</v>
      </c>
      <c r="J100" s="100">
        <v>0.25</v>
      </c>
      <c r="K100" s="100">
        <v>42.26</v>
      </c>
      <c r="L100" s="100">
        <v>26.75</v>
      </c>
      <c r="M100" s="100">
        <v>90.75</v>
      </c>
      <c r="N100" s="100">
        <v>2</v>
      </c>
      <c r="O100" s="100">
        <v>0</v>
      </c>
      <c r="P100" s="100">
        <v>0.3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2156</v>
      </c>
      <c r="B101" s="100">
        <v>2.81</v>
      </c>
      <c r="C101" s="100">
        <v>4.3499999999999996</v>
      </c>
      <c r="D101" s="100">
        <v>2.0299999999999998</v>
      </c>
      <c r="E101" s="100">
        <v>5.92</v>
      </c>
      <c r="F101" s="100">
        <v>1.92</v>
      </c>
      <c r="G101" s="100">
        <v>48.55</v>
      </c>
      <c r="H101" s="100">
        <v>16.190000000000001</v>
      </c>
      <c r="I101" s="100">
        <v>6.58</v>
      </c>
      <c r="J101" s="100">
        <v>0.09</v>
      </c>
      <c r="K101" s="100">
        <v>76.52</v>
      </c>
      <c r="L101" s="100">
        <v>26.83</v>
      </c>
      <c r="M101" s="100">
        <v>90.44</v>
      </c>
      <c r="N101" s="100">
        <v>2.2000000000000002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2157</v>
      </c>
      <c r="B102" s="100">
        <v>2.72</v>
      </c>
      <c r="C102" s="100">
        <v>4.1500000000000004</v>
      </c>
      <c r="D102" s="100">
        <v>1.79</v>
      </c>
      <c r="E102" s="100">
        <v>6.15</v>
      </c>
      <c r="F102" s="100">
        <v>1.51</v>
      </c>
      <c r="G102" s="100">
        <v>48.55</v>
      </c>
      <c r="H102" s="100">
        <v>16.190000000000001</v>
      </c>
      <c r="I102" s="100">
        <v>7.17</v>
      </c>
      <c r="J102" s="100">
        <v>0.23</v>
      </c>
      <c r="K102" s="100">
        <v>168.42</v>
      </c>
      <c r="L102" s="100">
        <v>26.77</v>
      </c>
      <c r="M102" s="100">
        <v>92.33</v>
      </c>
      <c r="N102" s="100">
        <v>2.4</v>
      </c>
      <c r="O102" s="100">
        <v>0</v>
      </c>
      <c r="P102" s="100">
        <v>0.3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2158</v>
      </c>
      <c r="B103" s="100">
        <v>2.4300000000000002</v>
      </c>
      <c r="C103" s="100">
        <v>3.71</v>
      </c>
      <c r="D103" s="100">
        <v>1.38</v>
      </c>
      <c r="E103" s="100">
        <v>5.75</v>
      </c>
      <c r="F103" s="100">
        <v>1.57</v>
      </c>
      <c r="G103" s="100">
        <v>48.55</v>
      </c>
      <c r="H103" s="100">
        <v>16.190000000000001</v>
      </c>
      <c r="I103" s="100">
        <v>6.7</v>
      </c>
      <c r="J103" s="100">
        <v>0.17</v>
      </c>
      <c r="K103" s="100">
        <v>182.45</v>
      </c>
      <c r="L103" s="100">
        <v>26.41</v>
      </c>
      <c r="M103" s="100">
        <v>94.83</v>
      </c>
      <c r="N103" s="100">
        <v>2.4</v>
      </c>
      <c r="O103" s="100">
        <v>0</v>
      </c>
      <c r="P103" s="100">
        <v>0.28000000000000003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2159</v>
      </c>
      <c r="B104" s="100">
        <v>3.26</v>
      </c>
      <c r="C104" s="100">
        <v>5.0199999999999996</v>
      </c>
      <c r="D104" s="100">
        <v>2.63</v>
      </c>
      <c r="E104" s="100">
        <v>5.77</v>
      </c>
      <c r="F104" s="100">
        <v>1.48</v>
      </c>
      <c r="G104" s="100">
        <v>47.44</v>
      </c>
      <c r="H104" s="100">
        <v>15.87</v>
      </c>
      <c r="I104" s="100">
        <v>6.81</v>
      </c>
      <c r="J104" s="100">
        <v>0.11</v>
      </c>
      <c r="K104" s="100">
        <v>139.09</v>
      </c>
      <c r="L104" s="100">
        <v>26.46</v>
      </c>
      <c r="M104" s="100">
        <v>94.72</v>
      </c>
      <c r="N104" s="100">
        <v>2.1</v>
      </c>
      <c r="O104" s="100">
        <v>0</v>
      </c>
      <c r="P104" s="100">
        <v>0.28000000000000003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1.65</v>
      </c>
      <c r="C106" s="158">
        <f>MIN(C9:C104)</f>
        <v>2.5499999999999998</v>
      </c>
      <c r="D106" s="158">
        <f t="shared" ref="D106:Q106" si="0">MIN(D9:D104)</f>
        <v>0.36</v>
      </c>
      <c r="E106" s="158">
        <f t="shared" si="0"/>
        <v>2.44</v>
      </c>
      <c r="F106" s="158">
        <f t="shared" si="0"/>
        <v>0.49</v>
      </c>
      <c r="G106" s="158">
        <f t="shared" si="0"/>
        <v>5.65</v>
      </c>
      <c r="H106" s="158">
        <f t="shared" si="0"/>
        <v>7.15</v>
      </c>
      <c r="I106" s="158">
        <f t="shared" si="0"/>
        <v>4.22</v>
      </c>
      <c r="J106" s="158">
        <f t="shared" si="0"/>
        <v>0.05</v>
      </c>
      <c r="K106" s="158">
        <f t="shared" si="0"/>
        <v>2.48</v>
      </c>
      <c r="L106" s="158">
        <f t="shared" si="0"/>
        <v>23.13</v>
      </c>
      <c r="M106" s="158">
        <f t="shared" si="0"/>
        <v>79.709999999999994</v>
      </c>
      <c r="N106" s="158">
        <f t="shared" si="0"/>
        <v>1.9</v>
      </c>
      <c r="O106" s="158">
        <f t="shared" si="0"/>
        <v>0</v>
      </c>
      <c r="P106" s="158">
        <f t="shared" si="0"/>
        <v>0.14000000000000001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4.43</v>
      </c>
      <c r="C107" s="157">
        <f t="shared" ref="C107:Q107" si="1">MAX(C9:C104)</f>
        <v>7.01</v>
      </c>
      <c r="D107" s="157">
        <f t="shared" si="1"/>
        <v>4.6399999999999997</v>
      </c>
      <c r="E107" s="157">
        <f t="shared" si="1"/>
        <v>6.59</v>
      </c>
      <c r="F107" s="157">
        <f t="shared" si="1"/>
        <v>13.61</v>
      </c>
      <c r="G107" s="157">
        <f t="shared" si="1"/>
        <v>55.1</v>
      </c>
      <c r="H107" s="157">
        <f t="shared" si="1"/>
        <v>25.09</v>
      </c>
      <c r="I107" s="157">
        <f t="shared" si="1"/>
        <v>8.36</v>
      </c>
      <c r="J107" s="157">
        <f t="shared" si="1"/>
        <v>1.6</v>
      </c>
      <c r="K107" s="157">
        <f t="shared" si="1"/>
        <v>359.41</v>
      </c>
      <c r="L107" s="157">
        <f t="shared" si="1"/>
        <v>29.18</v>
      </c>
      <c r="M107" s="157">
        <f t="shared" si="1"/>
        <v>98.58</v>
      </c>
      <c r="N107" s="157">
        <f t="shared" si="1"/>
        <v>264.2</v>
      </c>
      <c r="O107" s="157">
        <f t="shared" si="1"/>
        <v>5.2</v>
      </c>
      <c r="P107" s="157">
        <f t="shared" si="1"/>
        <v>0.44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2.7308333333333334</v>
      </c>
      <c r="C108" s="158">
        <f t="shared" ref="C108:Q108" si="2">AVERAGE(C9:C104)</f>
        <v>4.4923958333333331</v>
      </c>
      <c r="D108" s="158">
        <f t="shared" si="2"/>
        <v>2.4247916666666658</v>
      </c>
      <c r="E108" s="158">
        <f t="shared" si="2"/>
        <v>5.047395833333332</v>
      </c>
      <c r="F108" s="158">
        <f t="shared" si="2"/>
        <v>2.6685416666666661</v>
      </c>
      <c r="G108" s="158">
        <f t="shared" si="2"/>
        <v>33.67625000000001</v>
      </c>
      <c r="H108" s="158">
        <f t="shared" si="2"/>
        <v>14.308333333333337</v>
      </c>
      <c r="I108" s="158">
        <f t="shared" si="2"/>
        <v>5.909374999999998</v>
      </c>
      <c r="J108" s="158">
        <f t="shared" si="2"/>
        <v>0.32333333333333336</v>
      </c>
      <c r="K108" s="158">
        <f t="shared" si="2"/>
        <v>196.81937499999989</v>
      </c>
      <c r="L108" s="158">
        <f t="shared" si="2"/>
        <v>26.489583333333325</v>
      </c>
      <c r="M108" s="158">
        <f t="shared" si="2"/>
        <v>90.445104166666695</v>
      </c>
      <c r="N108" s="158">
        <f t="shared" si="2"/>
        <v>64.189583333333331</v>
      </c>
      <c r="O108" s="158">
        <f t="shared" si="2"/>
        <v>0.27499999999999997</v>
      </c>
      <c r="P108" s="158">
        <f t="shared" si="2"/>
        <v>0.26010416666666664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0.49782826602769736</v>
      </c>
      <c r="C109" s="158">
        <f t="shared" ref="C109:Q109" si="3">STDEV(C9:C104)</f>
        <v>0.73282258180511328</v>
      </c>
      <c r="D109" s="158">
        <f t="shared" si="3"/>
        <v>0.70042991184237224</v>
      </c>
      <c r="E109" s="158">
        <f t="shared" si="3"/>
        <v>0.99774297374959764</v>
      </c>
      <c r="F109" s="158">
        <f t="shared" si="3"/>
        <v>2.1382097672520195</v>
      </c>
      <c r="G109" s="158">
        <f t="shared" si="3"/>
        <v>14.25164103200968</v>
      </c>
      <c r="H109" s="158">
        <f t="shared" si="3"/>
        <v>4.3638929184283022</v>
      </c>
      <c r="I109" s="158">
        <f t="shared" si="3"/>
        <v>1.2371434095485818</v>
      </c>
      <c r="J109" s="158">
        <f t="shared" si="3"/>
        <v>0.29004052953325304</v>
      </c>
      <c r="K109" s="158">
        <f t="shared" si="3"/>
        <v>92.417029289861986</v>
      </c>
      <c r="L109" s="158">
        <f t="shared" si="3"/>
        <v>1.8188810421833628</v>
      </c>
      <c r="M109" s="158">
        <f t="shared" si="3"/>
        <v>6.8843369125775062</v>
      </c>
      <c r="N109" s="158">
        <f t="shared" si="3"/>
        <v>82.676712789752969</v>
      </c>
      <c r="O109" s="158">
        <f t="shared" si="3"/>
        <v>0.86340817937434811</v>
      </c>
      <c r="P109" s="158">
        <f t="shared" si="3"/>
        <v>8.5538477542862951E-2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1" sqref="H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2160</v>
      </c>
      <c r="B9" s="100">
        <v>1.81</v>
      </c>
      <c r="C9" s="100">
        <v>3.04</v>
      </c>
      <c r="D9" s="100">
        <v>1.06</v>
      </c>
      <c r="E9" s="100">
        <v>6.12</v>
      </c>
      <c r="F9" s="100">
        <v>1.18</v>
      </c>
      <c r="G9" s="100">
        <v>42.64</v>
      </c>
      <c r="H9" s="100">
        <v>14.87</v>
      </c>
      <c r="I9" s="100">
        <v>6.67</v>
      </c>
      <c r="J9" s="100">
        <v>0.12</v>
      </c>
      <c r="K9" s="100">
        <v>149.72</v>
      </c>
      <c r="L9" s="100">
        <v>26.43</v>
      </c>
      <c r="M9" s="100">
        <v>94.95</v>
      </c>
      <c r="N9" s="100">
        <v>2.2000000000000002</v>
      </c>
      <c r="O9" s="100">
        <v>0</v>
      </c>
      <c r="P9" s="100">
        <v>0.3</v>
      </c>
      <c r="Q9" s="100">
        <v>10</v>
      </c>
      <c r="R9" s="6"/>
      <c r="S9" s="6"/>
      <c r="T9" s="156"/>
      <c r="U9" s="6"/>
    </row>
    <row r="10" spans="1:21" customFormat="1">
      <c r="A10" s="163" t="s">
        <v>2161</v>
      </c>
      <c r="B10" s="100">
        <v>2.4</v>
      </c>
      <c r="C10" s="100">
        <v>4.1100000000000003</v>
      </c>
      <c r="D10" s="100">
        <v>2.2000000000000002</v>
      </c>
      <c r="E10" s="100">
        <v>5.95</v>
      </c>
      <c r="F10" s="100">
        <v>1.95</v>
      </c>
      <c r="G10" s="100">
        <v>42.64</v>
      </c>
      <c r="H10" s="100">
        <v>14.87</v>
      </c>
      <c r="I10" s="100">
        <v>6.7</v>
      </c>
      <c r="J10" s="100">
        <v>0.09</v>
      </c>
      <c r="K10" s="100">
        <v>205.52</v>
      </c>
      <c r="L10" s="100">
        <v>26.36</v>
      </c>
      <c r="M10" s="100">
        <v>95.5</v>
      </c>
      <c r="N10" s="100">
        <v>2.2000000000000002</v>
      </c>
      <c r="O10" s="100">
        <v>0</v>
      </c>
      <c r="P10" s="100">
        <v>0.28000000000000003</v>
      </c>
      <c r="Q10" s="100">
        <v>10</v>
      </c>
      <c r="R10" s="6"/>
      <c r="S10" s="6"/>
      <c r="T10" s="156"/>
      <c r="U10" s="6"/>
    </row>
    <row r="11" spans="1:21" customFormat="1">
      <c r="A11" s="163" t="s">
        <v>2162</v>
      </c>
      <c r="B11" s="100">
        <v>2.56</v>
      </c>
      <c r="C11" s="100">
        <v>4.33</v>
      </c>
      <c r="D11" s="100">
        <v>2.38</v>
      </c>
      <c r="E11" s="100">
        <v>5.45</v>
      </c>
      <c r="F11" s="100">
        <v>2.85</v>
      </c>
      <c r="G11" s="100">
        <v>42.64</v>
      </c>
      <c r="H11" s="100">
        <v>14.87</v>
      </c>
      <c r="I11" s="100">
        <v>6.75</v>
      </c>
      <c r="J11" s="100">
        <v>0.04</v>
      </c>
      <c r="K11" s="100">
        <v>268.67</v>
      </c>
      <c r="L11" s="100">
        <v>26.32</v>
      </c>
      <c r="M11" s="100">
        <v>96.2</v>
      </c>
      <c r="N11" s="100">
        <v>2.1</v>
      </c>
      <c r="O11" s="100">
        <v>0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163" t="s">
        <v>2163</v>
      </c>
      <c r="B12" s="100">
        <v>3.06</v>
      </c>
      <c r="C12" s="100">
        <v>5.0199999999999996</v>
      </c>
      <c r="D12" s="100">
        <v>2.93</v>
      </c>
      <c r="E12" s="100">
        <v>6.26</v>
      </c>
      <c r="F12" s="100">
        <v>2.75</v>
      </c>
      <c r="G12" s="100">
        <v>41.58</v>
      </c>
      <c r="H12" s="100">
        <v>14.44</v>
      </c>
      <c r="I12" s="100">
        <v>6.48</v>
      </c>
      <c r="J12" s="100">
        <v>0.06</v>
      </c>
      <c r="K12" s="100">
        <v>164.98</v>
      </c>
      <c r="L12" s="100">
        <v>26.43</v>
      </c>
      <c r="M12" s="100">
        <v>95.74</v>
      </c>
      <c r="N12" s="100">
        <v>2.1</v>
      </c>
      <c r="O12" s="100">
        <v>0</v>
      </c>
      <c r="P12" s="100">
        <v>0.28999999999999998</v>
      </c>
      <c r="Q12" s="100">
        <v>10</v>
      </c>
      <c r="R12" s="6"/>
      <c r="S12" s="6"/>
      <c r="T12" s="156"/>
      <c r="U12" s="6"/>
    </row>
    <row r="13" spans="1:21" customFormat="1">
      <c r="A13" s="163" t="s">
        <v>2164</v>
      </c>
      <c r="B13" s="100">
        <v>1.96</v>
      </c>
      <c r="C13" s="100">
        <v>3.49</v>
      </c>
      <c r="D13" s="100">
        <v>1.69</v>
      </c>
      <c r="E13" s="100">
        <v>5.66</v>
      </c>
      <c r="F13" s="100">
        <v>1.22</v>
      </c>
      <c r="G13" s="100">
        <v>36.659999999999997</v>
      </c>
      <c r="H13" s="100">
        <v>13.1</v>
      </c>
      <c r="I13" s="100">
        <v>6.38</v>
      </c>
      <c r="J13" s="100">
        <v>0.11</v>
      </c>
      <c r="K13" s="100">
        <v>228.03</v>
      </c>
      <c r="L13" s="100">
        <v>26.34</v>
      </c>
      <c r="M13" s="100">
        <v>96.48</v>
      </c>
      <c r="N13" s="100">
        <v>2.1</v>
      </c>
      <c r="O13" s="100">
        <v>0</v>
      </c>
      <c r="P13" s="100">
        <v>0.28000000000000003</v>
      </c>
      <c r="Q13" s="100">
        <v>10</v>
      </c>
      <c r="R13" s="6"/>
      <c r="S13" s="6"/>
      <c r="T13" s="156"/>
      <c r="U13" s="6"/>
    </row>
    <row r="14" spans="1:21" customFormat="1">
      <c r="A14" s="163" t="s">
        <v>2165</v>
      </c>
      <c r="B14" s="100">
        <v>2.02</v>
      </c>
      <c r="C14" s="100">
        <v>3.6</v>
      </c>
      <c r="D14" s="100">
        <v>1.82</v>
      </c>
      <c r="E14" s="100">
        <v>5.7</v>
      </c>
      <c r="F14" s="100">
        <v>2.96</v>
      </c>
      <c r="G14" s="100">
        <v>36.659999999999997</v>
      </c>
      <c r="H14" s="100">
        <v>13.1</v>
      </c>
      <c r="I14" s="100">
        <v>6.64</v>
      </c>
      <c r="J14" s="100">
        <v>0.1</v>
      </c>
      <c r="K14" s="100">
        <v>216.13</v>
      </c>
      <c r="L14" s="100">
        <v>26.38</v>
      </c>
      <c r="M14" s="100">
        <v>96.25</v>
      </c>
      <c r="N14" s="100">
        <v>2.1</v>
      </c>
      <c r="O14" s="100">
        <v>0</v>
      </c>
      <c r="P14" s="100">
        <v>0.26</v>
      </c>
      <c r="Q14" s="100">
        <v>10</v>
      </c>
      <c r="R14" s="6"/>
      <c r="S14" s="6"/>
      <c r="T14" s="156"/>
      <c r="U14" s="6"/>
    </row>
    <row r="15" spans="1:21" customFormat="1">
      <c r="A15" s="163" t="s">
        <v>2166</v>
      </c>
      <c r="B15" s="100">
        <v>1.87</v>
      </c>
      <c r="C15" s="100">
        <v>3.17</v>
      </c>
      <c r="D15" s="100">
        <v>1.21</v>
      </c>
      <c r="E15" s="100">
        <v>5.8</v>
      </c>
      <c r="F15" s="100">
        <v>2.3199999999999998</v>
      </c>
      <c r="G15" s="100">
        <v>36.659999999999997</v>
      </c>
      <c r="H15" s="100">
        <v>13.1</v>
      </c>
      <c r="I15" s="100">
        <v>6.34</v>
      </c>
      <c r="J15" s="100">
        <v>0.1</v>
      </c>
      <c r="K15" s="100">
        <v>197.63</v>
      </c>
      <c r="L15" s="100">
        <v>26.35</v>
      </c>
      <c r="M15" s="100">
        <v>95.23</v>
      </c>
      <c r="N15" s="100">
        <v>2.1</v>
      </c>
      <c r="O15" s="100">
        <v>0</v>
      </c>
      <c r="P15" s="100">
        <v>0.28000000000000003</v>
      </c>
      <c r="Q15" s="100">
        <v>10</v>
      </c>
      <c r="R15" s="6"/>
      <c r="S15" s="6"/>
      <c r="T15" s="156"/>
      <c r="U15" s="6"/>
    </row>
    <row r="16" spans="1:21" customFormat="1">
      <c r="A16" s="163" t="s">
        <v>2167</v>
      </c>
      <c r="B16" s="100">
        <v>2.44</v>
      </c>
      <c r="C16" s="100">
        <v>4.0199999999999996</v>
      </c>
      <c r="D16" s="100">
        <v>1.96</v>
      </c>
      <c r="E16" s="100">
        <v>5.74</v>
      </c>
      <c r="F16" s="100">
        <v>0.9</v>
      </c>
      <c r="G16" s="100">
        <v>36.82</v>
      </c>
      <c r="H16" s="100">
        <v>13.38</v>
      </c>
      <c r="I16" s="100">
        <v>6.35</v>
      </c>
      <c r="J16" s="100">
        <v>0.12</v>
      </c>
      <c r="K16" s="100">
        <v>185.56</v>
      </c>
      <c r="L16" s="100">
        <v>26.38</v>
      </c>
      <c r="M16" s="100">
        <v>94.77</v>
      </c>
      <c r="N16" s="100">
        <v>2.1</v>
      </c>
      <c r="O16" s="100">
        <v>0</v>
      </c>
      <c r="P16" s="100">
        <v>0.28999999999999998</v>
      </c>
      <c r="Q16" s="100">
        <v>10</v>
      </c>
      <c r="R16" s="6"/>
      <c r="S16" s="6"/>
      <c r="T16" s="156"/>
      <c r="U16" s="6"/>
    </row>
    <row r="17" spans="1:21" customFormat="1">
      <c r="A17" s="163" t="s">
        <v>2168</v>
      </c>
      <c r="B17" s="100">
        <v>3.58</v>
      </c>
      <c r="C17" s="100">
        <v>5.83</v>
      </c>
      <c r="D17" s="100">
        <v>3.67</v>
      </c>
      <c r="E17" s="100">
        <v>3.9</v>
      </c>
      <c r="F17" s="100">
        <v>1.43</v>
      </c>
      <c r="G17" s="100">
        <v>37.56</v>
      </c>
      <c r="H17" s="100">
        <v>14.31</v>
      </c>
      <c r="I17" s="100">
        <v>6.52</v>
      </c>
      <c r="J17" s="100">
        <v>0.04</v>
      </c>
      <c r="K17" s="100">
        <v>16.36</v>
      </c>
      <c r="L17" s="100">
        <v>26.42</v>
      </c>
      <c r="M17" s="100">
        <v>94.04</v>
      </c>
      <c r="N17" s="100">
        <v>2.1</v>
      </c>
      <c r="O17" s="100">
        <v>0</v>
      </c>
      <c r="P17" s="100">
        <v>0.27</v>
      </c>
      <c r="Q17" s="100">
        <v>10</v>
      </c>
      <c r="R17" s="6"/>
      <c r="S17" s="6"/>
      <c r="T17" s="156"/>
      <c r="U17" s="6"/>
    </row>
    <row r="18" spans="1:21" customFormat="1">
      <c r="A18" s="163" t="s">
        <v>2169</v>
      </c>
      <c r="B18" s="100">
        <v>3.42</v>
      </c>
      <c r="C18" s="100">
        <v>5.49</v>
      </c>
      <c r="D18" s="100">
        <v>3.28</v>
      </c>
      <c r="E18" s="100">
        <v>4.99</v>
      </c>
      <c r="F18" s="100">
        <v>1.91</v>
      </c>
      <c r="G18" s="100">
        <v>37.56</v>
      </c>
      <c r="H18" s="100">
        <v>14.31</v>
      </c>
      <c r="I18" s="100">
        <v>6.44</v>
      </c>
      <c r="J18" s="100">
        <v>0.08</v>
      </c>
      <c r="K18" s="100">
        <v>55.26</v>
      </c>
      <c r="L18" s="100">
        <v>26.29</v>
      </c>
      <c r="M18" s="100">
        <v>94.29</v>
      </c>
      <c r="N18" s="100">
        <v>2.1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 customFormat="1">
      <c r="A19" s="163" t="s">
        <v>2170</v>
      </c>
      <c r="B19" s="100">
        <v>2.37</v>
      </c>
      <c r="C19" s="100">
        <v>3.96</v>
      </c>
      <c r="D19" s="100">
        <v>1.96</v>
      </c>
      <c r="E19" s="100">
        <v>5.07</v>
      </c>
      <c r="F19" s="100">
        <v>1</v>
      </c>
      <c r="G19" s="100">
        <v>37.56</v>
      </c>
      <c r="H19" s="100">
        <v>14.31</v>
      </c>
      <c r="I19" s="100">
        <v>6.39</v>
      </c>
      <c r="J19" s="100">
        <v>0.2</v>
      </c>
      <c r="K19" s="100">
        <v>306.39</v>
      </c>
      <c r="L19" s="100">
        <v>26.31</v>
      </c>
      <c r="M19" s="100">
        <v>95</v>
      </c>
      <c r="N19" s="100">
        <v>2.1</v>
      </c>
      <c r="O19" s="100">
        <v>0</v>
      </c>
      <c r="P19" s="100">
        <v>0.28000000000000003</v>
      </c>
      <c r="Q19" s="100">
        <v>10</v>
      </c>
      <c r="R19" s="6"/>
      <c r="S19" s="6"/>
      <c r="T19" s="156"/>
      <c r="U19" s="6"/>
    </row>
    <row r="20" spans="1:21" customFormat="1">
      <c r="A20" s="163" t="s">
        <v>2171</v>
      </c>
      <c r="B20" s="100">
        <v>3.73</v>
      </c>
      <c r="C20" s="100">
        <v>5.85</v>
      </c>
      <c r="D20" s="100">
        <v>3.48</v>
      </c>
      <c r="E20" s="100">
        <v>4.45</v>
      </c>
      <c r="F20" s="100">
        <v>2.1800000000000002</v>
      </c>
      <c r="G20" s="100">
        <v>37.74</v>
      </c>
      <c r="H20" s="100">
        <v>14.44</v>
      </c>
      <c r="I20" s="100">
        <v>6.46</v>
      </c>
      <c r="J20" s="100">
        <v>0.25</v>
      </c>
      <c r="K20" s="100">
        <v>296.7</v>
      </c>
      <c r="L20" s="100">
        <v>26.29</v>
      </c>
      <c r="M20" s="100">
        <v>95.21</v>
      </c>
      <c r="N20" s="100">
        <v>2.1</v>
      </c>
      <c r="O20" s="100">
        <v>0</v>
      </c>
      <c r="P20" s="100">
        <v>0.26</v>
      </c>
      <c r="Q20" s="100">
        <v>10</v>
      </c>
      <c r="R20" s="6"/>
      <c r="S20" s="6"/>
      <c r="T20" s="156"/>
      <c r="U20" s="6"/>
    </row>
    <row r="21" spans="1:21" customFormat="1">
      <c r="A21" s="163" t="s">
        <v>2172</v>
      </c>
      <c r="B21" s="100">
        <v>3.5</v>
      </c>
      <c r="C21" s="100">
        <v>5.52</v>
      </c>
      <c r="D21" s="100">
        <v>3.2</v>
      </c>
      <c r="E21" s="100">
        <v>4.88</v>
      </c>
      <c r="F21" s="100">
        <v>2.41</v>
      </c>
      <c r="G21" s="100">
        <v>38.54</v>
      </c>
      <c r="H21" s="100">
        <v>15.04</v>
      </c>
      <c r="I21" s="100">
        <v>6.42</v>
      </c>
      <c r="J21" s="100">
        <v>0.32</v>
      </c>
      <c r="K21" s="100">
        <v>315.75</v>
      </c>
      <c r="L21" s="100">
        <v>26.28</v>
      </c>
      <c r="M21" s="100">
        <v>94.82</v>
      </c>
      <c r="N21" s="100">
        <v>2</v>
      </c>
      <c r="O21" s="100">
        <v>0</v>
      </c>
      <c r="P21" s="100">
        <v>0.28000000000000003</v>
      </c>
      <c r="Q21" s="100">
        <v>10</v>
      </c>
      <c r="R21" s="6"/>
      <c r="S21" s="6"/>
      <c r="T21" s="156"/>
      <c r="U21" s="6"/>
    </row>
    <row r="22" spans="1:21" customFormat="1">
      <c r="A22" s="163" t="s">
        <v>2173</v>
      </c>
      <c r="B22" s="100">
        <v>3.36</v>
      </c>
      <c r="C22" s="100">
        <v>5.51</v>
      </c>
      <c r="D22" s="100">
        <v>3.41</v>
      </c>
      <c r="E22" s="100">
        <v>4.87</v>
      </c>
      <c r="F22" s="100">
        <v>1.92</v>
      </c>
      <c r="G22" s="100">
        <v>38.54</v>
      </c>
      <c r="H22" s="100">
        <v>15.04</v>
      </c>
      <c r="I22" s="100">
        <v>6.42</v>
      </c>
      <c r="J22" s="100">
        <v>0.16</v>
      </c>
      <c r="K22" s="100">
        <v>314.26</v>
      </c>
      <c r="L22" s="100">
        <v>26.33</v>
      </c>
      <c r="M22" s="100">
        <v>93.89</v>
      </c>
      <c r="N22" s="100">
        <v>2.1</v>
      </c>
      <c r="O22" s="100">
        <v>0</v>
      </c>
      <c r="P22" s="100">
        <v>0.28999999999999998</v>
      </c>
      <c r="Q22" s="100">
        <v>10</v>
      </c>
      <c r="R22" s="6"/>
      <c r="S22" s="6"/>
      <c r="T22" s="156"/>
      <c r="U22" s="6"/>
    </row>
    <row r="23" spans="1:21" customFormat="1">
      <c r="A23" s="163" t="s">
        <v>2174</v>
      </c>
      <c r="B23" s="100">
        <v>3.59</v>
      </c>
      <c r="C23" s="100">
        <v>5.89</v>
      </c>
      <c r="D23" s="100">
        <v>3.79</v>
      </c>
      <c r="E23" s="100">
        <v>4.9800000000000004</v>
      </c>
      <c r="F23" s="100">
        <v>2.12</v>
      </c>
      <c r="G23" s="100">
        <v>38.54</v>
      </c>
      <c r="H23" s="100">
        <v>15.04</v>
      </c>
      <c r="I23" s="100">
        <v>6.6</v>
      </c>
      <c r="J23" s="100">
        <v>0.19</v>
      </c>
      <c r="K23" s="100">
        <v>308.10000000000002</v>
      </c>
      <c r="L23" s="100">
        <v>26.42</v>
      </c>
      <c r="M23" s="100">
        <v>93.21</v>
      </c>
      <c r="N23" s="100">
        <v>2.1</v>
      </c>
      <c r="O23" s="100">
        <v>0</v>
      </c>
      <c r="P23" s="100">
        <v>0.3</v>
      </c>
      <c r="Q23" s="100">
        <v>10</v>
      </c>
      <c r="R23" s="6"/>
      <c r="S23" s="6"/>
      <c r="T23" s="156"/>
      <c r="U23" s="6"/>
    </row>
    <row r="24" spans="1:21" customFormat="1">
      <c r="A24" s="163" t="s">
        <v>2175</v>
      </c>
      <c r="B24" s="100">
        <v>3.31</v>
      </c>
      <c r="C24" s="100">
        <v>5.3</v>
      </c>
      <c r="D24" s="100">
        <v>3.08</v>
      </c>
      <c r="E24" s="100">
        <v>5.28</v>
      </c>
      <c r="F24" s="100">
        <v>2.0699999999999998</v>
      </c>
      <c r="G24" s="100">
        <v>38.520000000000003</v>
      </c>
      <c r="H24" s="100">
        <v>15.04</v>
      </c>
      <c r="I24" s="100">
        <v>6.55</v>
      </c>
      <c r="J24" s="100">
        <v>0.08</v>
      </c>
      <c r="K24" s="100">
        <v>107.04</v>
      </c>
      <c r="L24" s="100">
        <v>26.47</v>
      </c>
      <c r="M24" s="100">
        <v>92.97</v>
      </c>
      <c r="N24" s="100">
        <v>2.1</v>
      </c>
      <c r="O24" s="100">
        <v>0</v>
      </c>
      <c r="P24" s="100">
        <v>0.3</v>
      </c>
      <c r="Q24" s="100">
        <v>10</v>
      </c>
      <c r="R24" s="6"/>
      <c r="S24" s="6"/>
      <c r="T24" s="156"/>
      <c r="U24" s="6"/>
    </row>
    <row r="25" spans="1:21" customFormat="1">
      <c r="A25" s="163" t="s">
        <v>2176</v>
      </c>
      <c r="B25" s="100">
        <v>3.16</v>
      </c>
      <c r="C25" s="100">
        <v>5.07</v>
      </c>
      <c r="D25" s="100">
        <v>2.88</v>
      </c>
      <c r="E25" s="100">
        <v>5.04</v>
      </c>
      <c r="F25" s="100">
        <v>1.64</v>
      </c>
      <c r="G25" s="100">
        <v>38.43</v>
      </c>
      <c r="H25" s="100">
        <v>15.03</v>
      </c>
      <c r="I25" s="100">
        <v>6.46</v>
      </c>
      <c r="J25" s="100">
        <v>0.04</v>
      </c>
      <c r="K25" s="100">
        <v>134.07</v>
      </c>
      <c r="L25" s="100">
        <v>26.49</v>
      </c>
      <c r="M25" s="100">
        <v>92.67</v>
      </c>
      <c r="N25" s="100">
        <v>2.1</v>
      </c>
      <c r="O25" s="100">
        <v>0</v>
      </c>
      <c r="P25" s="100">
        <v>0.28999999999999998</v>
      </c>
      <c r="Q25" s="100">
        <v>10</v>
      </c>
      <c r="R25" s="6"/>
      <c r="S25" s="6"/>
      <c r="T25" s="156"/>
      <c r="U25" s="6"/>
    </row>
    <row r="26" spans="1:21" customFormat="1">
      <c r="A26" s="163" t="s">
        <v>2177</v>
      </c>
      <c r="B26" s="100">
        <v>2.93</v>
      </c>
      <c r="C26" s="100">
        <v>4.7699999999999996</v>
      </c>
      <c r="D26" s="100">
        <v>2.65</v>
      </c>
      <c r="E26" s="100">
        <v>5.19</v>
      </c>
      <c r="F26" s="100">
        <v>1.57</v>
      </c>
      <c r="G26" s="100">
        <v>38.43</v>
      </c>
      <c r="H26" s="100">
        <v>15.03</v>
      </c>
      <c r="I26" s="100">
        <v>6.32</v>
      </c>
      <c r="J26" s="100">
        <v>0.14000000000000001</v>
      </c>
      <c r="K26" s="100">
        <v>78.33</v>
      </c>
      <c r="L26" s="100">
        <v>26.47</v>
      </c>
      <c r="M26" s="100">
        <v>93.41</v>
      </c>
      <c r="N26" s="100">
        <v>2.1</v>
      </c>
      <c r="O26" s="100">
        <v>0</v>
      </c>
      <c r="P26" s="100">
        <v>0.28999999999999998</v>
      </c>
      <c r="Q26" s="100">
        <v>10</v>
      </c>
      <c r="R26" s="6"/>
      <c r="S26" s="6"/>
      <c r="T26" s="156"/>
      <c r="U26" s="6"/>
    </row>
    <row r="27" spans="1:21" customFormat="1">
      <c r="A27" s="163" t="s">
        <v>2178</v>
      </c>
      <c r="B27" s="100">
        <v>2.72</v>
      </c>
      <c r="C27" s="100">
        <v>4.38</v>
      </c>
      <c r="D27" s="100">
        <v>2.2200000000000002</v>
      </c>
      <c r="E27" s="100">
        <v>5.36</v>
      </c>
      <c r="F27" s="100">
        <v>1.67</v>
      </c>
      <c r="G27" s="100">
        <v>38.43</v>
      </c>
      <c r="H27" s="100">
        <v>15.03</v>
      </c>
      <c r="I27" s="100">
        <v>6.31</v>
      </c>
      <c r="J27" s="100">
        <v>0.1</v>
      </c>
      <c r="K27" s="100">
        <v>70.3</v>
      </c>
      <c r="L27" s="100">
        <v>26.37</v>
      </c>
      <c r="M27" s="100">
        <v>94.42</v>
      </c>
      <c r="N27" s="100">
        <v>2.1</v>
      </c>
      <c r="O27" s="100">
        <v>0</v>
      </c>
      <c r="P27" s="100">
        <v>0.28000000000000003</v>
      </c>
      <c r="Q27" s="100">
        <v>10</v>
      </c>
      <c r="R27" s="6"/>
      <c r="S27" s="6"/>
      <c r="T27" s="156"/>
      <c r="U27" s="6"/>
    </row>
    <row r="28" spans="1:21" customFormat="1">
      <c r="A28" s="163" t="s">
        <v>2179</v>
      </c>
      <c r="B28" s="100">
        <v>2.02</v>
      </c>
      <c r="C28" s="100">
        <v>3.38</v>
      </c>
      <c r="D28" s="100">
        <v>1.39</v>
      </c>
      <c r="E28" s="100">
        <v>5.22</v>
      </c>
      <c r="F28" s="100">
        <v>1.77</v>
      </c>
      <c r="G28" s="100">
        <v>40.39</v>
      </c>
      <c r="H28" s="100">
        <v>16.440000000000001</v>
      </c>
      <c r="I28" s="100">
        <v>6.33</v>
      </c>
      <c r="J28" s="100">
        <v>0.1</v>
      </c>
      <c r="K28" s="100">
        <v>205.33</v>
      </c>
      <c r="L28" s="100">
        <v>26.34</v>
      </c>
      <c r="M28" s="100">
        <v>95.14</v>
      </c>
      <c r="N28" s="100">
        <v>2.2000000000000002</v>
      </c>
      <c r="O28" s="100">
        <v>0</v>
      </c>
      <c r="P28" s="100">
        <v>0.28000000000000003</v>
      </c>
      <c r="Q28" s="100">
        <v>10</v>
      </c>
      <c r="R28" s="6"/>
      <c r="S28" s="6"/>
      <c r="T28" s="156"/>
      <c r="U28" s="6"/>
    </row>
    <row r="29" spans="1:21" customFormat="1">
      <c r="A29" s="163" t="s">
        <v>2180</v>
      </c>
      <c r="B29" s="100">
        <v>3.02</v>
      </c>
      <c r="C29" s="100">
        <v>4.95</v>
      </c>
      <c r="D29" s="100">
        <v>2.86</v>
      </c>
      <c r="E29" s="100">
        <v>5.44</v>
      </c>
      <c r="F29" s="100">
        <v>1.7</v>
      </c>
      <c r="G29" s="100">
        <v>49.41</v>
      </c>
      <c r="H29" s="100">
        <v>20.92</v>
      </c>
      <c r="I29" s="100">
        <v>6.26</v>
      </c>
      <c r="J29" s="100">
        <v>0.09</v>
      </c>
      <c r="K29" s="100">
        <v>289.45</v>
      </c>
      <c r="L29" s="100">
        <v>26.34</v>
      </c>
      <c r="M29" s="100">
        <v>94.65</v>
      </c>
      <c r="N29" s="100">
        <v>2.1</v>
      </c>
      <c r="O29" s="100">
        <v>0</v>
      </c>
      <c r="P29" s="100">
        <v>0.28000000000000003</v>
      </c>
      <c r="Q29" s="100">
        <v>10</v>
      </c>
      <c r="R29" s="6"/>
      <c r="S29" s="6"/>
      <c r="T29" s="156"/>
      <c r="U29" s="6"/>
    </row>
    <row r="30" spans="1:21" customFormat="1">
      <c r="A30" s="163" t="s">
        <v>2181</v>
      </c>
      <c r="B30" s="100">
        <v>2.79</v>
      </c>
      <c r="C30" s="100">
        <v>4.4000000000000004</v>
      </c>
      <c r="D30" s="100">
        <v>2.16</v>
      </c>
      <c r="E30" s="100">
        <v>5.71</v>
      </c>
      <c r="F30" s="100">
        <v>1.78</v>
      </c>
      <c r="G30" s="100">
        <v>49.41</v>
      </c>
      <c r="H30" s="100">
        <v>20.92</v>
      </c>
      <c r="I30" s="100">
        <v>6.28</v>
      </c>
      <c r="J30" s="100">
        <v>0.17</v>
      </c>
      <c r="K30" s="100">
        <v>233.78</v>
      </c>
      <c r="L30" s="100">
        <v>26.27</v>
      </c>
      <c r="M30" s="100">
        <v>94.45</v>
      </c>
      <c r="N30" s="100">
        <v>2.2999999999999998</v>
      </c>
      <c r="O30" s="100">
        <v>0</v>
      </c>
      <c r="P30" s="100">
        <v>0.27</v>
      </c>
      <c r="Q30" s="100">
        <v>10</v>
      </c>
      <c r="R30" s="6"/>
      <c r="S30" s="6"/>
      <c r="T30" s="156"/>
      <c r="U30" s="6"/>
    </row>
    <row r="31" spans="1:21" customFormat="1">
      <c r="A31" s="163" t="s">
        <v>2182</v>
      </c>
      <c r="B31" s="100">
        <v>2.48</v>
      </c>
      <c r="C31" s="100">
        <v>3.99</v>
      </c>
      <c r="D31" s="100">
        <v>1.84</v>
      </c>
      <c r="E31" s="100">
        <v>5.64</v>
      </c>
      <c r="F31" s="100">
        <v>1.75</v>
      </c>
      <c r="G31" s="100">
        <v>49.41</v>
      </c>
      <c r="H31" s="100">
        <v>20.92</v>
      </c>
      <c r="I31" s="100">
        <v>6.29</v>
      </c>
      <c r="J31" s="100">
        <v>0.1</v>
      </c>
      <c r="K31" s="100">
        <v>310.02</v>
      </c>
      <c r="L31" s="100">
        <v>26.3</v>
      </c>
      <c r="M31" s="100">
        <v>94.2</v>
      </c>
      <c r="N31" s="100">
        <v>3.4</v>
      </c>
      <c r="O31" s="100">
        <v>0</v>
      </c>
      <c r="P31" s="100">
        <v>0.27</v>
      </c>
      <c r="Q31" s="100">
        <v>10</v>
      </c>
      <c r="R31" s="6"/>
      <c r="S31" s="6"/>
      <c r="T31" s="156"/>
      <c r="U31" s="6"/>
    </row>
    <row r="32" spans="1:21" customFormat="1">
      <c r="A32" s="163" t="s">
        <v>2183</v>
      </c>
      <c r="B32" s="100">
        <v>3.13</v>
      </c>
      <c r="C32" s="100">
        <v>5.22</v>
      </c>
      <c r="D32" s="100">
        <v>3.21</v>
      </c>
      <c r="E32" s="100">
        <v>5.56</v>
      </c>
      <c r="F32" s="100">
        <v>1.87</v>
      </c>
      <c r="G32" s="100">
        <v>48.95</v>
      </c>
      <c r="H32" s="100">
        <v>20.76</v>
      </c>
      <c r="I32" s="100">
        <v>6.3</v>
      </c>
      <c r="J32" s="100">
        <v>0.1</v>
      </c>
      <c r="K32" s="100">
        <v>100.65</v>
      </c>
      <c r="L32" s="100">
        <v>26.43</v>
      </c>
      <c r="M32" s="100">
        <v>93.22</v>
      </c>
      <c r="N32" s="100">
        <v>5.7</v>
      </c>
      <c r="O32" s="100">
        <v>0</v>
      </c>
      <c r="P32" s="100">
        <v>0.27</v>
      </c>
      <c r="Q32" s="100">
        <v>10</v>
      </c>
      <c r="R32" s="6"/>
      <c r="S32" s="6"/>
      <c r="T32" s="156"/>
      <c r="U32" s="6"/>
    </row>
    <row r="33" spans="1:21" customFormat="1">
      <c r="A33" s="163" t="s">
        <v>2184</v>
      </c>
      <c r="B33" s="100">
        <v>3.08</v>
      </c>
      <c r="C33" s="100">
        <v>5.0199999999999996</v>
      </c>
      <c r="D33" s="100">
        <v>2.91</v>
      </c>
      <c r="E33" s="100">
        <v>5.64</v>
      </c>
      <c r="F33" s="100">
        <v>2.04</v>
      </c>
      <c r="G33" s="100">
        <v>46.78</v>
      </c>
      <c r="H33" s="100">
        <v>20.190000000000001</v>
      </c>
      <c r="I33" s="100">
        <v>6.27</v>
      </c>
      <c r="J33" s="100">
        <v>0.17</v>
      </c>
      <c r="K33" s="100">
        <v>70.36</v>
      </c>
      <c r="L33" s="100">
        <v>26.52</v>
      </c>
      <c r="M33" s="100">
        <v>93.12</v>
      </c>
      <c r="N33" s="100">
        <v>5.7</v>
      </c>
      <c r="O33" s="100">
        <v>0</v>
      </c>
      <c r="P33" s="100">
        <v>0.27</v>
      </c>
      <c r="Q33" s="100">
        <v>10</v>
      </c>
      <c r="R33" s="6"/>
      <c r="S33" s="6"/>
      <c r="T33" s="156"/>
      <c r="U33" s="6"/>
    </row>
    <row r="34" spans="1:21" customFormat="1">
      <c r="A34" s="163" t="s">
        <v>2185</v>
      </c>
      <c r="B34" s="100">
        <v>3.42</v>
      </c>
      <c r="C34" s="100">
        <v>5.61</v>
      </c>
      <c r="D34" s="100">
        <v>3.51</v>
      </c>
      <c r="E34" s="100">
        <v>5.97</v>
      </c>
      <c r="F34" s="100">
        <v>1.71</v>
      </c>
      <c r="G34" s="100">
        <v>46.78</v>
      </c>
      <c r="H34" s="100">
        <v>20.190000000000001</v>
      </c>
      <c r="I34" s="100">
        <v>6.25</v>
      </c>
      <c r="J34" s="100">
        <v>0.12</v>
      </c>
      <c r="K34" s="100">
        <v>137.15</v>
      </c>
      <c r="L34" s="100">
        <v>26.47</v>
      </c>
      <c r="M34" s="100">
        <v>94.13</v>
      </c>
      <c r="N34" s="100">
        <v>8.6</v>
      </c>
      <c r="O34" s="100">
        <v>0</v>
      </c>
      <c r="P34" s="100">
        <v>0.27</v>
      </c>
      <c r="Q34" s="100">
        <v>10</v>
      </c>
      <c r="R34" s="6"/>
      <c r="S34" s="6"/>
      <c r="T34" s="156"/>
      <c r="U34" s="6"/>
    </row>
    <row r="35" spans="1:21" customFormat="1">
      <c r="A35" s="163" t="s">
        <v>2186</v>
      </c>
      <c r="B35" s="100">
        <v>2.99</v>
      </c>
      <c r="C35" s="100">
        <v>4.96</v>
      </c>
      <c r="D35" s="100">
        <v>2.93</v>
      </c>
      <c r="E35" s="100">
        <v>5.75</v>
      </c>
      <c r="F35" s="100">
        <v>2.13</v>
      </c>
      <c r="G35" s="100">
        <v>46.78</v>
      </c>
      <c r="H35" s="100">
        <v>20.190000000000001</v>
      </c>
      <c r="I35" s="100">
        <v>6.32</v>
      </c>
      <c r="J35" s="100">
        <v>0.23</v>
      </c>
      <c r="K35" s="100">
        <v>81.03</v>
      </c>
      <c r="L35" s="100">
        <v>26.53</v>
      </c>
      <c r="M35" s="100">
        <v>94.94</v>
      </c>
      <c r="N35" s="100">
        <v>9.9</v>
      </c>
      <c r="O35" s="100">
        <v>0</v>
      </c>
      <c r="P35" s="100">
        <v>0.27</v>
      </c>
      <c r="Q35" s="100">
        <v>10</v>
      </c>
      <c r="R35" s="6"/>
      <c r="S35" s="6"/>
      <c r="T35" s="156"/>
      <c r="U35" s="6"/>
    </row>
    <row r="36" spans="1:21" customFormat="1">
      <c r="A36" s="163" t="s">
        <v>2187</v>
      </c>
      <c r="B36" s="100">
        <v>3.59</v>
      </c>
      <c r="C36" s="100">
        <v>5.53</v>
      </c>
      <c r="D36" s="100">
        <v>3.1</v>
      </c>
      <c r="E36" s="100">
        <v>5.4</v>
      </c>
      <c r="F36" s="100">
        <v>2.63</v>
      </c>
      <c r="G36" s="100">
        <v>47.23</v>
      </c>
      <c r="H36" s="100">
        <v>20.23</v>
      </c>
      <c r="I36" s="100">
        <v>6.31</v>
      </c>
      <c r="J36" s="100">
        <v>0.17</v>
      </c>
      <c r="K36" s="100">
        <v>73.98</v>
      </c>
      <c r="L36" s="100">
        <v>26.62</v>
      </c>
      <c r="M36" s="100">
        <v>94.41</v>
      </c>
      <c r="N36" s="100">
        <v>14.7</v>
      </c>
      <c r="O36" s="100">
        <v>0.4</v>
      </c>
      <c r="P36" s="100">
        <v>0.28000000000000003</v>
      </c>
      <c r="Q36" s="100">
        <v>10</v>
      </c>
      <c r="R36" s="6"/>
      <c r="S36" s="6"/>
      <c r="T36" s="156"/>
      <c r="U36" s="6"/>
    </row>
    <row r="37" spans="1:21" customFormat="1">
      <c r="A37" s="163" t="s">
        <v>2188</v>
      </c>
      <c r="B37" s="100">
        <v>3.02</v>
      </c>
      <c r="C37" s="100">
        <v>4.6500000000000004</v>
      </c>
      <c r="D37" s="100">
        <v>2.2799999999999998</v>
      </c>
      <c r="E37" s="100">
        <v>5.57</v>
      </c>
      <c r="F37" s="100">
        <v>1.62</v>
      </c>
      <c r="G37" s="100">
        <v>49.29</v>
      </c>
      <c r="H37" s="100">
        <v>20.39</v>
      </c>
      <c r="I37" s="100">
        <v>6.33</v>
      </c>
      <c r="J37" s="100">
        <v>0.28000000000000003</v>
      </c>
      <c r="K37" s="100">
        <v>50.05</v>
      </c>
      <c r="L37" s="100">
        <v>26.31</v>
      </c>
      <c r="M37" s="100">
        <v>97.27</v>
      </c>
      <c r="N37" s="100">
        <v>34.200000000000003</v>
      </c>
      <c r="O37" s="100">
        <v>0.6</v>
      </c>
      <c r="P37" s="100">
        <v>0.28000000000000003</v>
      </c>
      <c r="Q37" s="100">
        <v>10</v>
      </c>
      <c r="R37" s="6"/>
      <c r="S37" s="6"/>
      <c r="T37" s="156"/>
      <c r="U37" s="6"/>
    </row>
    <row r="38" spans="1:21" customFormat="1">
      <c r="A38" s="163" t="s">
        <v>2189</v>
      </c>
      <c r="B38" s="100">
        <v>3.75</v>
      </c>
      <c r="C38" s="100">
        <v>5.69</v>
      </c>
      <c r="D38" s="100">
        <v>3.14</v>
      </c>
      <c r="E38" s="100">
        <v>5.71</v>
      </c>
      <c r="F38" s="100">
        <v>1.71</v>
      </c>
      <c r="G38" s="100">
        <v>49.29</v>
      </c>
      <c r="H38" s="100">
        <v>20.39</v>
      </c>
      <c r="I38" s="100">
        <v>6.39</v>
      </c>
      <c r="J38" s="100">
        <v>0.38</v>
      </c>
      <c r="K38" s="100">
        <v>43.51</v>
      </c>
      <c r="L38" s="100">
        <v>26.23</v>
      </c>
      <c r="M38" s="100">
        <v>98.07</v>
      </c>
      <c r="N38" s="100">
        <v>29.3</v>
      </c>
      <c r="O38" s="100">
        <v>0</v>
      </c>
      <c r="P38" s="100">
        <v>0.28999999999999998</v>
      </c>
      <c r="Q38" s="100">
        <v>10</v>
      </c>
      <c r="R38" s="6"/>
      <c r="S38" s="6"/>
      <c r="T38" s="156"/>
      <c r="U38" s="6"/>
    </row>
    <row r="39" spans="1:21" customFormat="1">
      <c r="A39" s="163" t="s">
        <v>2190</v>
      </c>
      <c r="B39" s="100">
        <v>2.61</v>
      </c>
      <c r="C39" s="100">
        <v>4.1399999999999997</v>
      </c>
      <c r="D39" s="100">
        <v>1.93</v>
      </c>
      <c r="E39" s="100">
        <v>5.87</v>
      </c>
      <c r="F39" s="100">
        <v>1.29</v>
      </c>
      <c r="G39" s="100">
        <v>49.29</v>
      </c>
      <c r="H39" s="100">
        <v>20.39</v>
      </c>
      <c r="I39" s="100">
        <v>6.62</v>
      </c>
      <c r="J39" s="100">
        <v>0.2</v>
      </c>
      <c r="K39" s="100">
        <v>57.5</v>
      </c>
      <c r="L39" s="100">
        <v>26.27</v>
      </c>
      <c r="M39" s="100">
        <v>98.28</v>
      </c>
      <c r="N39" s="100">
        <v>48.2</v>
      </c>
      <c r="O39" s="100">
        <v>0.6</v>
      </c>
      <c r="P39" s="100">
        <v>0.28999999999999998</v>
      </c>
      <c r="Q39" s="100">
        <v>10</v>
      </c>
      <c r="R39" s="6"/>
      <c r="S39" s="6"/>
      <c r="T39" s="156"/>
      <c r="U39" s="6"/>
    </row>
    <row r="40" spans="1:21" customFormat="1">
      <c r="A40" s="163" t="s">
        <v>2191</v>
      </c>
      <c r="B40" s="100">
        <v>3.86</v>
      </c>
      <c r="C40" s="100">
        <v>5.35</v>
      </c>
      <c r="D40" s="100">
        <v>2.34</v>
      </c>
      <c r="E40" s="100">
        <v>5.84</v>
      </c>
      <c r="F40" s="100">
        <v>1.39</v>
      </c>
      <c r="G40" s="100">
        <v>48.14</v>
      </c>
      <c r="H40" s="100">
        <v>20.36</v>
      </c>
      <c r="I40" s="100">
        <v>6.71</v>
      </c>
      <c r="J40" s="100">
        <v>0.49</v>
      </c>
      <c r="K40" s="100">
        <v>25.57</v>
      </c>
      <c r="L40" s="100">
        <v>26.54</v>
      </c>
      <c r="M40" s="100">
        <v>98.85</v>
      </c>
      <c r="N40" s="100">
        <v>94.5</v>
      </c>
      <c r="O40" s="100">
        <v>0</v>
      </c>
      <c r="P40" s="100">
        <v>0.28999999999999998</v>
      </c>
      <c r="Q40" s="100">
        <v>10</v>
      </c>
      <c r="R40" s="6"/>
      <c r="S40" s="6"/>
      <c r="T40" s="156"/>
      <c r="U40" s="6"/>
    </row>
    <row r="41" spans="1:21" customFormat="1">
      <c r="A41" s="163" t="s">
        <v>2192</v>
      </c>
      <c r="B41" s="100">
        <v>3.72</v>
      </c>
      <c r="C41" s="100">
        <v>5.55</v>
      </c>
      <c r="D41" s="100">
        <v>2.93</v>
      </c>
      <c r="E41" s="100">
        <v>5.75</v>
      </c>
      <c r="F41" s="100">
        <v>1.29</v>
      </c>
      <c r="G41" s="100">
        <v>42.83</v>
      </c>
      <c r="H41" s="100">
        <v>20.239999999999998</v>
      </c>
      <c r="I41" s="100">
        <v>6.76</v>
      </c>
      <c r="J41" s="100">
        <v>0.56999999999999995</v>
      </c>
      <c r="K41" s="100">
        <v>30.4</v>
      </c>
      <c r="L41" s="100">
        <v>26.6</v>
      </c>
      <c r="M41" s="100">
        <v>97.49</v>
      </c>
      <c r="N41" s="100">
        <v>121.8</v>
      </c>
      <c r="O41" s="100">
        <v>0</v>
      </c>
      <c r="P41" s="100">
        <v>0.28999999999999998</v>
      </c>
      <c r="Q41" s="100">
        <v>10</v>
      </c>
      <c r="R41" s="6"/>
      <c r="S41" s="6"/>
      <c r="T41" s="156"/>
      <c r="U41" s="6"/>
    </row>
    <row r="42" spans="1:21" customFormat="1">
      <c r="A42" s="163" t="s">
        <v>2193</v>
      </c>
      <c r="B42" s="100">
        <v>3.03</v>
      </c>
      <c r="C42" s="100">
        <v>4.6500000000000004</v>
      </c>
      <c r="D42" s="100">
        <v>2.2799999999999998</v>
      </c>
      <c r="E42" s="100">
        <v>6.04</v>
      </c>
      <c r="F42" s="100">
        <v>1.35</v>
      </c>
      <c r="G42" s="100">
        <v>42.83</v>
      </c>
      <c r="H42" s="100">
        <v>20.239999999999998</v>
      </c>
      <c r="I42" s="100">
        <v>6.79</v>
      </c>
      <c r="J42" s="100">
        <v>0.3</v>
      </c>
      <c r="K42" s="100">
        <v>0.4</v>
      </c>
      <c r="L42" s="100">
        <v>26.8</v>
      </c>
      <c r="M42" s="100">
        <v>93.89</v>
      </c>
      <c r="N42" s="100">
        <v>115.2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163" t="s">
        <v>2194</v>
      </c>
      <c r="B43" s="100">
        <v>4.54</v>
      </c>
      <c r="C43" s="100">
        <v>6.67</v>
      </c>
      <c r="D43" s="100">
        <v>3.81</v>
      </c>
      <c r="E43" s="100">
        <v>6.08</v>
      </c>
      <c r="F43" s="100">
        <v>2.4300000000000002</v>
      </c>
      <c r="G43" s="100">
        <v>42.83</v>
      </c>
      <c r="H43" s="100">
        <v>20.239999999999998</v>
      </c>
      <c r="I43" s="100">
        <v>6.7</v>
      </c>
      <c r="J43" s="100">
        <v>0.42</v>
      </c>
      <c r="K43" s="100">
        <v>32.49</v>
      </c>
      <c r="L43" s="100">
        <v>27.54</v>
      </c>
      <c r="M43" s="100">
        <v>91.99</v>
      </c>
      <c r="N43" s="100">
        <v>182.6</v>
      </c>
      <c r="O43" s="100">
        <v>0</v>
      </c>
      <c r="P43" s="100">
        <v>0.25</v>
      </c>
      <c r="Q43" s="100">
        <v>10</v>
      </c>
      <c r="R43" s="6"/>
      <c r="S43" s="6"/>
      <c r="T43" s="156"/>
      <c r="U43" s="6"/>
    </row>
    <row r="44" spans="1:21" customFormat="1">
      <c r="A44" s="163" t="s">
        <v>2195</v>
      </c>
      <c r="B44" s="100">
        <v>3.61</v>
      </c>
      <c r="C44" s="100">
        <v>5.47</v>
      </c>
      <c r="D44" s="100">
        <v>2.96</v>
      </c>
      <c r="E44" s="100">
        <v>6.49</v>
      </c>
      <c r="F44" s="100">
        <v>4.55</v>
      </c>
      <c r="G44" s="100">
        <v>42.68</v>
      </c>
      <c r="H44" s="100">
        <v>19.55</v>
      </c>
      <c r="I44" s="100">
        <v>6.59</v>
      </c>
      <c r="J44" s="100">
        <v>0.32</v>
      </c>
      <c r="K44" s="100">
        <v>358.46</v>
      </c>
      <c r="L44" s="100">
        <v>28.36</v>
      </c>
      <c r="M44" s="100">
        <v>87.89</v>
      </c>
      <c r="N44" s="100">
        <v>207.9</v>
      </c>
      <c r="O44" s="100">
        <v>0</v>
      </c>
      <c r="P44" s="100">
        <v>0.24</v>
      </c>
      <c r="Q44" s="100">
        <v>10</v>
      </c>
      <c r="R44" s="6"/>
      <c r="S44" s="6"/>
      <c r="T44" s="156"/>
      <c r="U44" s="6"/>
    </row>
    <row r="45" spans="1:21" customFormat="1">
      <c r="A45" s="163" t="s">
        <v>2196</v>
      </c>
      <c r="B45" s="100">
        <v>3.5</v>
      </c>
      <c r="C45" s="100">
        <v>5.27</v>
      </c>
      <c r="D45" s="100">
        <v>2.73</v>
      </c>
      <c r="E45" s="100">
        <v>6.75</v>
      </c>
      <c r="F45" s="100">
        <v>3.27</v>
      </c>
      <c r="G45" s="100">
        <v>41.98</v>
      </c>
      <c r="H45" s="100">
        <v>17.350000000000001</v>
      </c>
      <c r="I45" s="100">
        <v>6.43</v>
      </c>
      <c r="J45" s="100">
        <v>0.3</v>
      </c>
      <c r="K45" s="100">
        <v>19.77</v>
      </c>
      <c r="L45" s="100">
        <v>28.45</v>
      </c>
      <c r="M45" s="100">
        <v>86.13</v>
      </c>
      <c r="N45" s="100">
        <v>179.9</v>
      </c>
      <c r="O45" s="100">
        <v>0</v>
      </c>
      <c r="P45" s="100">
        <v>0.23</v>
      </c>
      <c r="Q45" s="100">
        <v>10</v>
      </c>
      <c r="R45" s="6"/>
      <c r="S45" s="6"/>
      <c r="T45" s="156"/>
      <c r="U45" s="6"/>
    </row>
    <row r="46" spans="1:21" customFormat="1">
      <c r="A46" s="163" t="s">
        <v>2197</v>
      </c>
      <c r="B46" s="100">
        <v>3.95</v>
      </c>
      <c r="C46" s="100">
        <v>5.97</v>
      </c>
      <c r="D46" s="100">
        <v>3.38</v>
      </c>
      <c r="E46" s="100">
        <v>6.09</v>
      </c>
      <c r="F46" s="100">
        <v>1.78</v>
      </c>
      <c r="G46" s="100">
        <v>41.98</v>
      </c>
      <c r="H46" s="100">
        <v>17.350000000000001</v>
      </c>
      <c r="I46" s="100">
        <v>6.35</v>
      </c>
      <c r="J46" s="100">
        <v>0.43</v>
      </c>
      <c r="K46" s="100">
        <v>35.83</v>
      </c>
      <c r="L46" s="100">
        <v>28.34</v>
      </c>
      <c r="M46" s="100">
        <v>86.4</v>
      </c>
      <c r="N46" s="100">
        <v>151.30000000000001</v>
      </c>
      <c r="O46" s="100">
        <v>0</v>
      </c>
      <c r="P46" s="100">
        <v>0.26</v>
      </c>
      <c r="Q46" s="100">
        <v>10</v>
      </c>
      <c r="R46" s="6"/>
      <c r="S46" s="6"/>
      <c r="T46" s="156"/>
      <c r="U46" s="6"/>
    </row>
    <row r="47" spans="1:21" customFormat="1">
      <c r="A47" s="163" t="s">
        <v>2198</v>
      </c>
      <c r="B47" s="100">
        <v>4.0999999999999996</v>
      </c>
      <c r="C47" s="100">
        <v>6.16</v>
      </c>
      <c r="D47" s="100">
        <v>3.52</v>
      </c>
      <c r="E47" s="100">
        <v>6</v>
      </c>
      <c r="F47" s="100">
        <v>3.06</v>
      </c>
      <c r="G47" s="100">
        <v>41.98</v>
      </c>
      <c r="H47" s="100">
        <v>17.350000000000001</v>
      </c>
      <c r="I47" s="100">
        <v>6.41</v>
      </c>
      <c r="J47" s="100">
        <v>0.19</v>
      </c>
      <c r="K47" s="100">
        <v>50.23</v>
      </c>
      <c r="L47" s="100">
        <v>28.56</v>
      </c>
      <c r="M47" s="100">
        <v>85.56</v>
      </c>
      <c r="N47" s="100">
        <v>136.30000000000001</v>
      </c>
      <c r="O47" s="100">
        <v>0</v>
      </c>
      <c r="P47" s="100">
        <v>0.26</v>
      </c>
      <c r="Q47" s="100">
        <v>10</v>
      </c>
      <c r="R47" s="6"/>
      <c r="S47" s="6"/>
      <c r="T47" s="156"/>
      <c r="U47" s="6"/>
    </row>
    <row r="48" spans="1:21" customFormat="1">
      <c r="A48" s="163" t="s">
        <v>2199</v>
      </c>
      <c r="B48" s="100">
        <v>3.13</v>
      </c>
      <c r="C48" s="100">
        <v>4.82</v>
      </c>
      <c r="D48" s="100">
        <v>2.4300000000000002</v>
      </c>
      <c r="E48" s="100">
        <v>9.35</v>
      </c>
      <c r="F48" s="100">
        <v>5.33</v>
      </c>
      <c r="G48" s="100">
        <v>42.86</v>
      </c>
      <c r="H48" s="100">
        <v>17.71</v>
      </c>
      <c r="I48" s="100">
        <v>6.58</v>
      </c>
      <c r="J48" s="100">
        <v>0.52</v>
      </c>
      <c r="K48" s="100">
        <v>33.24</v>
      </c>
      <c r="L48" s="100">
        <v>28.89</v>
      </c>
      <c r="M48" s="100">
        <v>84.31</v>
      </c>
      <c r="N48" s="100">
        <v>270.7</v>
      </c>
      <c r="O48" s="100">
        <v>0</v>
      </c>
      <c r="P48" s="100">
        <v>0.26</v>
      </c>
      <c r="Q48" s="100">
        <v>10</v>
      </c>
      <c r="R48" s="6"/>
      <c r="S48" s="6"/>
      <c r="T48" s="156"/>
      <c r="U48" s="6"/>
    </row>
    <row r="49" spans="1:21" customFormat="1">
      <c r="A49" s="163" t="s">
        <v>2200</v>
      </c>
      <c r="B49" s="100">
        <v>4.3499999999999996</v>
      </c>
      <c r="C49" s="100">
        <v>6.29</v>
      </c>
      <c r="D49" s="100">
        <v>3.38</v>
      </c>
      <c r="E49" s="100">
        <v>6.86</v>
      </c>
      <c r="F49" s="100">
        <v>4.26</v>
      </c>
      <c r="G49" s="100">
        <v>46.94</v>
      </c>
      <c r="H49" s="100">
        <v>18.88</v>
      </c>
      <c r="I49" s="100">
        <v>6.42</v>
      </c>
      <c r="J49" s="100">
        <v>0.49</v>
      </c>
      <c r="K49" s="100">
        <v>31.16</v>
      </c>
      <c r="L49" s="100">
        <v>29.95</v>
      </c>
      <c r="M49" s="100">
        <v>81.31</v>
      </c>
      <c r="N49" s="100">
        <v>261.39999999999998</v>
      </c>
      <c r="O49" s="100">
        <v>0</v>
      </c>
      <c r="P49" s="100">
        <v>0.24</v>
      </c>
      <c r="Q49" s="100">
        <v>10</v>
      </c>
      <c r="R49" s="6"/>
      <c r="S49" s="6"/>
      <c r="T49" s="156"/>
      <c r="U49" s="6"/>
    </row>
    <row r="50" spans="1:21" customFormat="1">
      <c r="A50" s="163" t="s">
        <v>2201</v>
      </c>
      <c r="B50" s="100">
        <v>3.96</v>
      </c>
      <c r="C50" s="100">
        <v>5.85</v>
      </c>
      <c r="D50" s="100">
        <v>3.14</v>
      </c>
      <c r="E50" s="100">
        <v>8.6999999999999993</v>
      </c>
      <c r="F50" s="100">
        <v>4.83</v>
      </c>
      <c r="G50" s="100">
        <v>46.94</v>
      </c>
      <c r="H50" s="100">
        <v>18.88</v>
      </c>
      <c r="I50" s="100">
        <v>6.28</v>
      </c>
      <c r="J50" s="100">
        <v>0.75</v>
      </c>
      <c r="K50" s="100">
        <v>20.29</v>
      </c>
      <c r="L50" s="100">
        <v>30.34</v>
      </c>
      <c r="M50" s="100">
        <v>78.44</v>
      </c>
      <c r="N50" s="100">
        <v>279.10000000000002</v>
      </c>
      <c r="O50" s="100">
        <v>0</v>
      </c>
      <c r="P50" s="100">
        <v>0.25</v>
      </c>
      <c r="Q50" s="100">
        <v>10</v>
      </c>
      <c r="R50" s="6"/>
      <c r="S50" s="6"/>
      <c r="T50" s="156"/>
      <c r="U50" s="6"/>
    </row>
    <row r="51" spans="1:21" customFormat="1">
      <c r="A51" s="163" t="s">
        <v>2202</v>
      </c>
      <c r="B51" s="100">
        <v>4.76</v>
      </c>
      <c r="C51" s="100">
        <v>7.08</v>
      </c>
      <c r="D51" s="100">
        <v>4.26</v>
      </c>
      <c r="E51" s="100">
        <v>6.57</v>
      </c>
      <c r="F51" s="100">
        <v>3.81</v>
      </c>
      <c r="G51" s="100">
        <v>46.94</v>
      </c>
      <c r="H51" s="100">
        <v>18.88</v>
      </c>
      <c r="I51" s="100">
        <v>6.4</v>
      </c>
      <c r="J51" s="100">
        <v>0.95</v>
      </c>
      <c r="K51" s="100">
        <v>27.93</v>
      </c>
      <c r="L51" s="100">
        <v>30.33</v>
      </c>
      <c r="M51" s="100">
        <v>74.75</v>
      </c>
      <c r="N51" s="100">
        <v>239.5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163" t="s">
        <v>2203</v>
      </c>
      <c r="B52" s="100">
        <v>3.56</v>
      </c>
      <c r="C52" s="100">
        <v>5.47</v>
      </c>
      <c r="D52" s="100">
        <v>3.01</v>
      </c>
      <c r="E52" s="100">
        <v>6.64</v>
      </c>
      <c r="F52" s="100">
        <v>8</v>
      </c>
      <c r="G52" s="100">
        <v>46.68</v>
      </c>
      <c r="H52" s="100">
        <v>19.07</v>
      </c>
      <c r="I52" s="100">
        <v>6.27</v>
      </c>
      <c r="J52" s="100">
        <v>0.93</v>
      </c>
      <c r="K52" s="100">
        <v>22.23</v>
      </c>
      <c r="L52" s="100">
        <v>30.75</v>
      </c>
      <c r="M52" s="100">
        <v>71.849999999999994</v>
      </c>
      <c r="N52" s="100">
        <v>261.10000000000002</v>
      </c>
      <c r="O52" s="100">
        <v>0</v>
      </c>
      <c r="P52" s="100">
        <v>0.26</v>
      </c>
      <c r="Q52" s="100">
        <v>10</v>
      </c>
      <c r="R52" s="6"/>
      <c r="S52" s="6"/>
      <c r="T52" s="156"/>
      <c r="U52" s="6"/>
    </row>
    <row r="53" spans="1:21" customFormat="1">
      <c r="A53" s="163" t="s">
        <v>2204</v>
      </c>
      <c r="B53" s="100">
        <v>3.23</v>
      </c>
      <c r="C53" s="100">
        <v>5.07</v>
      </c>
      <c r="D53" s="100">
        <v>2.77</v>
      </c>
      <c r="E53" s="100">
        <v>6.75</v>
      </c>
      <c r="F53" s="100">
        <v>8.24</v>
      </c>
      <c r="G53" s="100">
        <v>45.48</v>
      </c>
      <c r="H53" s="100">
        <v>20.02</v>
      </c>
      <c r="I53" s="100">
        <v>6.37</v>
      </c>
      <c r="J53" s="100">
        <v>0.64</v>
      </c>
      <c r="K53" s="100">
        <v>26.63</v>
      </c>
      <c r="L53" s="100">
        <v>31.26</v>
      </c>
      <c r="M53" s="100">
        <v>71.3</v>
      </c>
      <c r="N53" s="100">
        <v>290.10000000000002</v>
      </c>
      <c r="O53" s="100">
        <v>0</v>
      </c>
      <c r="P53" s="100">
        <v>0.25</v>
      </c>
      <c r="Q53" s="100">
        <v>10</v>
      </c>
      <c r="R53" s="6"/>
      <c r="S53" s="6"/>
      <c r="T53" s="156"/>
      <c r="U53" s="6"/>
    </row>
    <row r="54" spans="1:21" customFormat="1">
      <c r="A54" s="163" t="s">
        <v>2205</v>
      </c>
      <c r="B54" s="100">
        <v>3.54</v>
      </c>
      <c r="C54" s="100">
        <v>5.63</v>
      </c>
      <c r="D54" s="100">
        <v>3.37</v>
      </c>
      <c r="E54" s="100">
        <v>6.17</v>
      </c>
      <c r="F54" s="100">
        <v>8.44</v>
      </c>
      <c r="G54" s="100">
        <v>45.48</v>
      </c>
      <c r="H54" s="100">
        <v>20.02</v>
      </c>
      <c r="I54" s="100">
        <v>6</v>
      </c>
      <c r="J54" s="100">
        <v>0.66</v>
      </c>
      <c r="K54" s="100">
        <v>34.85</v>
      </c>
      <c r="L54" s="100">
        <v>30.99</v>
      </c>
      <c r="M54" s="100">
        <v>73.540000000000006</v>
      </c>
      <c r="N54" s="100">
        <v>242.4</v>
      </c>
      <c r="O54" s="100">
        <v>0</v>
      </c>
      <c r="P54" s="100">
        <v>0.25</v>
      </c>
      <c r="Q54" s="100">
        <v>10</v>
      </c>
      <c r="R54" s="6"/>
      <c r="S54" s="6"/>
      <c r="T54" s="156"/>
      <c r="U54" s="6"/>
    </row>
    <row r="55" spans="1:21" customFormat="1">
      <c r="A55" s="163" t="s">
        <v>2206</v>
      </c>
      <c r="B55" s="100">
        <v>3.42</v>
      </c>
      <c r="C55" s="100">
        <v>5.61</v>
      </c>
      <c r="D55" s="100">
        <v>3.5</v>
      </c>
      <c r="E55" s="100">
        <v>6.95</v>
      </c>
      <c r="F55" s="100">
        <v>7.62</v>
      </c>
      <c r="G55" s="100">
        <v>45.48</v>
      </c>
      <c r="H55" s="100">
        <v>20.02</v>
      </c>
      <c r="I55" s="100">
        <v>5.9</v>
      </c>
      <c r="J55" s="100">
        <v>0.71</v>
      </c>
      <c r="K55" s="100">
        <v>42.85</v>
      </c>
      <c r="L55" s="100">
        <v>31.08</v>
      </c>
      <c r="M55" s="100">
        <v>72.83</v>
      </c>
      <c r="N55" s="100">
        <v>259.39999999999998</v>
      </c>
      <c r="O55" s="100">
        <v>0</v>
      </c>
      <c r="P55" s="100">
        <v>0.24</v>
      </c>
      <c r="Q55" s="100">
        <v>10</v>
      </c>
      <c r="R55" s="6"/>
      <c r="S55" s="6"/>
      <c r="T55" s="156"/>
      <c r="U55" s="6"/>
    </row>
    <row r="56" spans="1:21" customFormat="1">
      <c r="A56" s="163" t="s">
        <v>2207</v>
      </c>
      <c r="B56" s="100">
        <v>3.38</v>
      </c>
      <c r="C56" s="100">
        <v>5.59</v>
      </c>
      <c r="D56" s="100">
        <v>3.54</v>
      </c>
      <c r="E56" s="100">
        <v>6.72</v>
      </c>
      <c r="F56" s="100">
        <v>8.15</v>
      </c>
      <c r="G56" s="100">
        <v>45.34</v>
      </c>
      <c r="H56" s="100">
        <v>20.21</v>
      </c>
      <c r="I56" s="100">
        <v>6.07</v>
      </c>
      <c r="J56" s="100">
        <v>0.67</v>
      </c>
      <c r="K56" s="100">
        <v>42.94</v>
      </c>
      <c r="L56" s="100">
        <v>30.52</v>
      </c>
      <c r="M56" s="100">
        <v>74.12</v>
      </c>
      <c r="N56" s="100">
        <v>142.1</v>
      </c>
      <c r="O56" s="100">
        <v>0</v>
      </c>
      <c r="P56" s="100">
        <v>0.24</v>
      </c>
      <c r="Q56" s="100">
        <v>10</v>
      </c>
      <c r="R56" s="6"/>
      <c r="S56" s="6"/>
      <c r="T56" s="156"/>
      <c r="U56" s="6"/>
    </row>
    <row r="57" spans="1:21" customFormat="1">
      <c r="A57" s="163" t="s">
        <v>2208</v>
      </c>
      <c r="B57" s="100">
        <v>3.31</v>
      </c>
      <c r="C57" s="100">
        <v>5.64</v>
      </c>
      <c r="D57" s="100">
        <v>3.73</v>
      </c>
      <c r="E57" s="100">
        <v>7.49</v>
      </c>
      <c r="F57" s="100">
        <v>6.7</v>
      </c>
      <c r="G57" s="100">
        <v>44.67</v>
      </c>
      <c r="H57" s="100">
        <v>20.82</v>
      </c>
      <c r="I57" s="100">
        <v>6.02</v>
      </c>
      <c r="J57" s="100">
        <v>0.6</v>
      </c>
      <c r="K57" s="100">
        <v>46.25</v>
      </c>
      <c r="L57" s="100">
        <v>30.53</v>
      </c>
      <c r="M57" s="100">
        <v>74.48</v>
      </c>
      <c r="N57" s="100">
        <v>243.7</v>
      </c>
      <c r="O57" s="100">
        <v>0</v>
      </c>
      <c r="P57" s="100">
        <v>0.24</v>
      </c>
      <c r="Q57" s="100">
        <v>10</v>
      </c>
      <c r="R57" s="6"/>
      <c r="S57" s="6"/>
      <c r="T57" s="156"/>
      <c r="U57" s="6"/>
    </row>
    <row r="58" spans="1:21" customFormat="1">
      <c r="A58" s="163" t="s">
        <v>2209</v>
      </c>
      <c r="B58" s="100">
        <v>2.62</v>
      </c>
      <c r="C58" s="100">
        <v>4.75</v>
      </c>
      <c r="D58" s="100">
        <v>3.08</v>
      </c>
      <c r="E58" s="100">
        <v>7.72</v>
      </c>
      <c r="F58" s="100">
        <v>9.6</v>
      </c>
      <c r="G58" s="100">
        <v>44.67</v>
      </c>
      <c r="H58" s="100">
        <v>20.82</v>
      </c>
      <c r="I58" s="100">
        <v>6.12</v>
      </c>
      <c r="J58" s="100">
        <v>0.47</v>
      </c>
      <c r="K58" s="100">
        <v>47.43</v>
      </c>
      <c r="L58" s="100">
        <v>30.86</v>
      </c>
      <c r="M58" s="100">
        <v>73.16</v>
      </c>
      <c r="N58" s="100">
        <v>206.3</v>
      </c>
      <c r="O58" s="100">
        <v>0</v>
      </c>
      <c r="P58" s="100">
        <v>0.23</v>
      </c>
      <c r="Q58" s="100">
        <v>10</v>
      </c>
      <c r="R58" s="6"/>
      <c r="S58" s="6"/>
      <c r="T58" s="156"/>
      <c r="U58" s="6"/>
    </row>
    <row r="59" spans="1:21" customFormat="1">
      <c r="A59" s="163" t="s">
        <v>2210</v>
      </c>
      <c r="B59" s="100">
        <v>2.88</v>
      </c>
      <c r="C59" s="100">
        <v>5.2</v>
      </c>
      <c r="D59" s="100">
        <v>3.55</v>
      </c>
      <c r="E59" s="100">
        <v>7.82</v>
      </c>
      <c r="F59" s="100">
        <v>9.74</v>
      </c>
      <c r="G59" s="100">
        <v>44.67</v>
      </c>
      <c r="H59" s="100">
        <v>20.82</v>
      </c>
      <c r="I59" s="100">
        <v>6.08</v>
      </c>
      <c r="J59" s="100">
        <v>0.51</v>
      </c>
      <c r="K59" s="100">
        <v>59.48</v>
      </c>
      <c r="L59" s="100">
        <v>30.46</v>
      </c>
      <c r="M59" s="100">
        <v>73.989999999999995</v>
      </c>
      <c r="N59" s="100">
        <v>106.5</v>
      </c>
      <c r="O59" s="100">
        <v>0</v>
      </c>
      <c r="P59" s="100">
        <v>0.23</v>
      </c>
      <c r="Q59" s="100">
        <v>10</v>
      </c>
      <c r="R59" s="6"/>
      <c r="S59" s="6"/>
      <c r="T59" s="156"/>
      <c r="U59" s="6"/>
    </row>
    <row r="60" spans="1:21" customFormat="1">
      <c r="A60" s="163" t="s">
        <v>2211</v>
      </c>
      <c r="B60" s="100">
        <v>2.66</v>
      </c>
      <c r="C60" s="100">
        <v>4.7</v>
      </c>
      <c r="D60" s="100">
        <v>2.93</v>
      </c>
      <c r="E60" s="100">
        <v>6.84</v>
      </c>
      <c r="F60" s="100">
        <v>8.94</v>
      </c>
      <c r="G60" s="100">
        <v>44.83</v>
      </c>
      <c r="H60" s="100">
        <v>21.33</v>
      </c>
      <c r="I60" s="100">
        <v>5.87</v>
      </c>
      <c r="J60" s="100">
        <v>0.61</v>
      </c>
      <c r="K60" s="100">
        <v>44.33</v>
      </c>
      <c r="L60" s="100">
        <v>30.19</v>
      </c>
      <c r="M60" s="100">
        <v>79.3</v>
      </c>
      <c r="N60" s="100">
        <v>341.6</v>
      </c>
      <c r="O60" s="100">
        <v>0.2</v>
      </c>
      <c r="P60" s="100">
        <v>0.23</v>
      </c>
      <c r="Q60" s="100">
        <v>10</v>
      </c>
      <c r="R60" s="6"/>
      <c r="S60" s="6"/>
      <c r="T60" s="156"/>
      <c r="U60" s="6"/>
    </row>
    <row r="61" spans="1:21" customFormat="1">
      <c r="A61" s="163" t="s">
        <v>2212</v>
      </c>
      <c r="B61" s="100">
        <v>2.3199999999999998</v>
      </c>
      <c r="C61" s="100">
        <v>4.21</v>
      </c>
      <c r="D61" s="100">
        <v>2.5099999999999998</v>
      </c>
      <c r="E61" s="100">
        <v>6.4</v>
      </c>
      <c r="F61" s="100">
        <v>5.57</v>
      </c>
      <c r="G61" s="100">
        <v>45.55</v>
      </c>
      <c r="H61" s="100">
        <v>22.92</v>
      </c>
      <c r="I61" s="100">
        <v>5.9</v>
      </c>
      <c r="J61" s="100">
        <v>0.49</v>
      </c>
      <c r="K61" s="100">
        <v>43.96</v>
      </c>
      <c r="L61" s="100">
        <v>31.27</v>
      </c>
      <c r="M61" s="100">
        <v>74.099999999999994</v>
      </c>
      <c r="N61" s="100">
        <v>346</v>
      </c>
      <c r="O61" s="100">
        <v>0</v>
      </c>
      <c r="P61" s="100">
        <v>0.27</v>
      </c>
      <c r="Q61" s="100">
        <v>10</v>
      </c>
      <c r="R61" s="6"/>
      <c r="S61" s="6"/>
      <c r="T61" s="156"/>
      <c r="U61" s="6"/>
    </row>
    <row r="62" spans="1:21" customFormat="1">
      <c r="A62" s="163" t="s">
        <v>2213</v>
      </c>
      <c r="B62" s="100">
        <v>2.35</v>
      </c>
      <c r="C62" s="100">
        <v>4.59</v>
      </c>
      <c r="D62" s="100">
        <v>3.19</v>
      </c>
      <c r="E62" s="100">
        <v>6.39</v>
      </c>
      <c r="F62" s="100">
        <v>7.53</v>
      </c>
      <c r="G62" s="100">
        <v>45.55</v>
      </c>
      <c r="H62" s="100">
        <v>22.92</v>
      </c>
      <c r="I62" s="100">
        <v>5.94</v>
      </c>
      <c r="J62" s="100">
        <v>0.62</v>
      </c>
      <c r="K62" s="100">
        <v>44.1</v>
      </c>
      <c r="L62" s="100">
        <v>31.21</v>
      </c>
      <c r="M62" s="100">
        <v>71.91</v>
      </c>
      <c r="N62" s="100">
        <v>299.5</v>
      </c>
      <c r="O62" s="100">
        <v>0</v>
      </c>
      <c r="P62" s="100">
        <v>0.27</v>
      </c>
      <c r="Q62" s="100">
        <v>10</v>
      </c>
      <c r="R62" s="6"/>
      <c r="S62" s="6"/>
      <c r="T62" s="156"/>
      <c r="U62" s="6"/>
    </row>
    <row r="63" spans="1:21" customFormat="1">
      <c r="A63" s="163" t="s">
        <v>2214</v>
      </c>
      <c r="B63" s="100">
        <v>2.11</v>
      </c>
      <c r="C63" s="100">
        <v>4.33</v>
      </c>
      <c r="D63" s="100">
        <v>3.06</v>
      </c>
      <c r="E63" s="100">
        <v>6.18</v>
      </c>
      <c r="F63" s="100">
        <v>5.35</v>
      </c>
      <c r="G63" s="100">
        <v>45.55</v>
      </c>
      <c r="H63" s="100">
        <v>22.92</v>
      </c>
      <c r="I63" s="100">
        <v>5.95</v>
      </c>
      <c r="J63" s="100">
        <v>0.79</v>
      </c>
      <c r="K63" s="100">
        <v>39.78</v>
      </c>
      <c r="L63" s="100">
        <v>31.45</v>
      </c>
      <c r="M63" s="100">
        <v>71.349999999999994</v>
      </c>
      <c r="N63" s="100">
        <v>324.39999999999998</v>
      </c>
      <c r="O63" s="100">
        <v>0</v>
      </c>
      <c r="P63" s="100">
        <v>0.27</v>
      </c>
      <c r="Q63" s="100">
        <v>10</v>
      </c>
      <c r="R63" s="6"/>
      <c r="S63" s="6"/>
      <c r="T63" s="156"/>
      <c r="U63" s="6"/>
    </row>
    <row r="64" spans="1:21" customFormat="1">
      <c r="A64" s="163" t="s">
        <v>2215</v>
      </c>
      <c r="B64" s="100">
        <v>2.04</v>
      </c>
      <c r="C64" s="100">
        <v>4.2</v>
      </c>
      <c r="D64" s="100">
        <v>2.93</v>
      </c>
      <c r="E64" s="100">
        <v>6.46</v>
      </c>
      <c r="F64" s="100">
        <v>6.39</v>
      </c>
      <c r="G64" s="100">
        <v>47.93</v>
      </c>
      <c r="H64" s="100">
        <v>23.48</v>
      </c>
      <c r="I64" s="100">
        <v>5.82</v>
      </c>
      <c r="J64" s="100">
        <v>0.48</v>
      </c>
      <c r="K64" s="100">
        <v>29.14</v>
      </c>
      <c r="L64" s="100">
        <v>30.85</v>
      </c>
      <c r="M64" s="100">
        <v>71.59</v>
      </c>
      <c r="N64" s="100">
        <v>97.4</v>
      </c>
      <c r="O64" s="100">
        <v>0</v>
      </c>
      <c r="P64" s="100">
        <v>0.27</v>
      </c>
      <c r="Q64" s="100">
        <v>10</v>
      </c>
      <c r="R64" s="6"/>
      <c r="S64" s="6"/>
      <c r="T64" s="156"/>
      <c r="U64" s="6"/>
    </row>
    <row r="65" spans="1:21" customFormat="1">
      <c r="A65" s="163" t="s">
        <v>2216</v>
      </c>
      <c r="B65" s="100">
        <v>2.0699999999999998</v>
      </c>
      <c r="C65" s="100">
        <v>4.24</v>
      </c>
      <c r="D65" s="100">
        <v>2.96</v>
      </c>
      <c r="E65" s="100">
        <v>7.48</v>
      </c>
      <c r="F65" s="100">
        <v>4.17</v>
      </c>
      <c r="G65" s="100">
        <v>58.95</v>
      </c>
      <c r="H65" s="100">
        <v>25.24</v>
      </c>
      <c r="I65" s="100">
        <v>5.75</v>
      </c>
      <c r="J65" s="100">
        <v>0.39</v>
      </c>
      <c r="K65" s="100">
        <v>36.17</v>
      </c>
      <c r="L65" s="100">
        <v>30.53</v>
      </c>
      <c r="M65" s="100">
        <v>74.61</v>
      </c>
      <c r="N65" s="100">
        <v>50.5</v>
      </c>
      <c r="O65" s="100">
        <v>0</v>
      </c>
      <c r="P65" s="100">
        <v>0.26</v>
      </c>
      <c r="Q65" s="100">
        <v>10</v>
      </c>
      <c r="R65" s="6"/>
      <c r="S65" s="6"/>
      <c r="T65" s="156"/>
      <c r="U65" s="6"/>
    </row>
    <row r="66" spans="1:21" customFormat="1">
      <c r="A66" s="163" t="s">
        <v>2217</v>
      </c>
      <c r="B66" s="100">
        <v>2.17</v>
      </c>
      <c r="C66" s="100">
        <v>4.54</v>
      </c>
      <c r="D66" s="100">
        <v>3.39</v>
      </c>
      <c r="E66" s="100">
        <v>6.69</v>
      </c>
      <c r="F66" s="100">
        <v>3.52</v>
      </c>
      <c r="G66" s="100">
        <v>58.95</v>
      </c>
      <c r="H66" s="100">
        <v>25.24</v>
      </c>
      <c r="I66" s="100">
        <v>5.68</v>
      </c>
      <c r="J66" s="100">
        <v>0.74</v>
      </c>
      <c r="K66" s="100">
        <v>37.44</v>
      </c>
      <c r="L66" s="100">
        <v>30.54</v>
      </c>
      <c r="M66" s="100">
        <v>75.34</v>
      </c>
      <c r="N66" s="100">
        <v>113.2</v>
      </c>
      <c r="O66" s="100">
        <v>0</v>
      </c>
      <c r="P66" s="100">
        <v>0.28999999999999998</v>
      </c>
      <c r="Q66" s="100">
        <v>10</v>
      </c>
      <c r="R66" s="6"/>
      <c r="S66" s="6"/>
      <c r="T66" s="156"/>
      <c r="U66" s="6"/>
    </row>
    <row r="67" spans="1:21" customFormat="1">
      <c r="A67" s="163" t="s">
        <v>2218</v>
      </c>
      <c r="B67" s="100">
        <v>2.12</v>
      </c>
      <c r="C67" s="100">
        <v>4.33</v>
      </c>
      <c r="D67" s="100">
        <v>3.06</v>
      </c>
      <c r="E67" s="100">
        <v>6.54</v>
      </c>
      <c r="F67" s="100">
        <v>3.86</v>
      </c>
      <c r="G67" s="100">
        <v>58.95</v>
      </c>
      <c r="H67" s="100">
        <v>25.24</v>
      </c>
      <c r="I67" s="100">
        <v>5.68</v>
      </c>
      <c r="J67" s="100">
        <v>0.72</v>
      </c>
      <c r="K67" s="100">
        <v>20.37</v>
      </c>
      <c r="L67" s="100">
        <v>30.68</v>
      </c>
      <c r="M67" s="100">
        <v>73.760000000000005</v>
      </c>
      <c r="N67" s="100">
        <v>136.6</v>
      </c>
      <c r="O67" s="100">
        <v>0</v>
      </c>
      <c r="P67" s="100">
        <v>0.28999999999999998</v>
      </c>
      <c r="Q67" s="100">
        <v>10</v>
      </c>
      <c r="R67" s="6"/>
      <c r="S67" s="6"/>
      <c r="T67" s="156"/>
      <c r="U67" s="6"/>
    </row>
    <row r="68" spans="1:21" customFormat="1">
      <c r="A68" s="163" t="s">
        <v>2219</v>
      </c>
      <c r="B68" s="100">
        <v>2.1</v>
      </c>
      <c r="C68" s="100">
        <v>4.47</v>
      </c>
      <c r="D68" s="100">
        <v>3.34</v>
      </c>
      <c r="E68" s="100">
        <v>6.16</v>
      </c>
      <c r="F68" s="100">
        <v>5.64</v>
      </c>
      <c r="G68" s="100">
        <v>58.96</v>
      </c>
      <c r="H68" s="100">
        <v>25.7</v>
      </c>
      <c r="I68" s="100">
        <v>5.67</v>
      </c>
      <c r="J68" s="100">
        <v>0.53</v>
      </c>
      <c r="K68" s="100">
        <v>40.950000000000003</v>
      </c>
      <c r="L68" s="100">
        <v>30.53</v>
      </c>
      <c r="M68" s="100">
        <v>73.98</v>
      </c>
      <c r="N68" s="100">
        <v>105.9</v>
      </c>
      <c r="O68" s="100">
        <v>0</v>
      </c>
      <c r="P68" s="100">
        <v>0.28999999999999998</v>
      </c>
      <c r="Q68" s="100">
        <v>10</v>
      </c>
      <c r="R68" s="6"/>
      <c r="S68" s="6"/>
      <c r="T68" s="156"/>
      <c r="U68" s="6"/>
    </row>
    <row r="69" spans="1:21" customFormat="1">
      <c r="A69" s="163" t="s">
        <v>2220</v>
      </c>
      <c r="B69" s="100">
        <v>1.93</v>
      </c>
      <c r="C69" s="100">
        <v>4.1100000000000003</v>
      </c>
      <c r="D69" s="100">
        <v>2.93</v>
      </c>
      <c r="E69" s="100">
        <v>6.37</v>
      </c>
      <c r="F69" s="100">
        <v>5.1100000000000003</v>
      </c>
      <c r="G69" s="100">
        <v>59.05</v>
      </c>
      <c r="H69" s="100">
        <v>28.05</v>
      </c>
      <c r="I69" s="100">
        <v>5.64</v>
      </c>
      <c r="J69" s="100">
        <v>0.38</v>
      </c>
      <c r="K69" s="100">
        <v>43.72</v>
      </c>
      <c r="L69" s="100">
        <v>30.51</v>
      </c>
      <c r="M69" s="100">
        <v>75.11</v>
      </c>
      <c r="N69" s="100">
        <v>81.599999999999994</v>
      </c>
      <c r="O69" s="100">
        <v>0</v>
      </c>
      <c r="P69" s="100">
        <v>0.3</v>
      </c>
      <c r="Q69" s="100">
        <v>10</v>
      </c>
      <c r="R69" s="6"/>
      <c r="S69" s="6"/>
      <c r="T69" s="156"/>
      <c r="U69" s="6"/>
    </row>
    <row r="70" spans="1:21" customFormat="1">
      <c r="A70" s="163" t="s">
        <v>2221</v>
      </c>
      <c r="B70" s="100">
        <v>2</v>
      </c>
      <c r="C70" s="100">
        <v>4.3499999999999996</v>
      </c>
      <c r="D70" s="100">
        <v>3.27</v>
      </c>
      <c r="E70" s="100">
        <v>6.15</v>
      </c>
      <c r="F70" s="100">
        <v>4.68</v>
      </c>
      <c r="G70" s="100">
        <v>59.05</v>
      </c>
      <c r="H70" s="100">
        <v>28.05</v>
      </c>
      <c r="I70" s="100">
        <v>5.56</v>
      </c>
      <c r="J70" s="100">
        <v>0.44</v>
      </c>
      <c r="K70" s="100">
        <v>55.63</v>
      </c>
      <c r="L70" s="100">
        <v>30.23</v>
      </c>
      <c r="M70" s="100">
        <v>76.3</v>
      </c>
      <c r="N70" s="100">
        <v>62.7</v>
      </c>
      <c r="O70" s="100">
        <v>0</v>
      </c>
      <c r="P70" s="100">
        <v>0.3</v>
      </c>
      <c r="Q70" s="100">
        <v>10</v>
      </c>
      <c r="R70" s="6"/>
      <c r="S70" s="6"/>
      <c r="T70" s="156"/>
      <c r="U70" s="6"/>
    </row>
    <row r="71" spans="1:21" customFormat="1">
      <c r="A71" s="163" t="s">
        <v>2222</v>
      </c>
      <c r="B71" s="100">
        <v>1.41</v>
      </c>
      <c r="C71" s="100">
        <v>3.06</v>
      </c>
      <c r="D71" s="100">
        <v>1.72</v>
      </c>
      <c r="E71" s="100">
        <v>5.7</v>
      </c>
      <c r="F71" s="100">
        <v>4.2699999999999996</v>
      </c>
      <c r="G71" s="100">
        <v>59.05</v>
      </c>
      <c r="H71" s="100">
        <v>28.05</v>
      </c>
      <c r="I71" s="100">
        <v>5.52</v>
      </c>
      <c r="J71" s="100">
        <v>0.19</v>
      </c>
      <c r="K71" s="100">
        <v>124.31</v>
      </c>
      <c r="L71" s="100">
        <v>30.15</v>
      </c>
      <c r="M71" s="100">
        <v>79.13</v>
      </c>
      <c r="N71" s="100">
        <v>43.3</v>
      </c>
      <c r="O71" s="100">
        <v>0</v>
      </c>
      <c r="P71" s="100">
        <v>0.28999999999999998</v>
      </c>
      <c r="Q71" s="100">
        <v>10</v>
      </c>
      <c r="R71" s="6"/>
      <c r="S71" s="6"/>
      <c r="T71" s="156"/>
      <c r="U71" s="6"/>
    </row>
    <row r="72" spans="1:21" customFormat="1">
      <c r="A72" s="163" t="s">
        <v>2223</v>
      </c>
      <c r="B72" s="100">
        <v>1.48</v>
      </c>
      <c r="C72" s="100">
        <v>3.31</v>
      </c>
      <c r="D72" s="100">
        <v>2.08</v>
      </c>
      <c r="E72" s="100">
        <v>5.37</v>
      </c>
      <c r="F72" s="100">
        <v>2.9</v>
      </c>
      <c r="G72" s="100">
        <v>58.89</v>
      </c>
      <c r="H72" s="100">
        <v>27.99</v>
      </c>
      <c r="I72" s="100">
        <v>5.41</v>
      </c>
      <c r="J72" s="100">
        <v>0.33</v>
      </c>
      <c r="K72" s="100">
        <v>154.38</v>
      </c>
      <c r="L72" s="100">
        <v>29.17</v>
      </c>
      <c r="M72" s="100">
        <v>86.11</v>
      </c>
      <c r="N72" s="100">
        <v>41.4</v>
      </c>
      <c r="O72" s="100">
        <v>0.4</v>
      </c>
      <c r="P72" s="100">
        <v>0.28999999999999998</v>
      </c>
      <c r="Q72" s="100">
        <v>10</v>
      </c>
      <c r="R72" s="6"/>
      <c r="S72" s="6"/>
      <c r="T72" s="156"/>
      <c r="U72" s="6"/>
    </row>
    <row r="73" spans="1:21" customFormat="1">
      <c r="A73" s="163" t="s">
        <v>2224</v>
      </c>
      <c r="B73" s="100">
        <v>1.45</v>
      </c>
      <c r="C73" s="100">
        <v>3.24</v>
      </c>
      <c r="D73" s="100">
        <v>1.99</v>
      </c>
      <c r="E73" s="100">
        <v>5.29</v>
      </c>
      <c r="F73" s="100">
        <v>3.16</v>
      </c>
      <c r="G73" s="100">
        <v>58.18</v>
      </c>
      <c r="H73" s="100">
        <v>27.78</v>
      </c>
      <c r="I73" s="100">
        <v>5.38</v>
      </c>
      <c r="J73" s="100">
        <v>0.15</v>
      </c>
      <c r="K73" s="100">
        <v>152.22</v>
      </c>
      <c r="L73" s="100">
        <v>28.31</v>
      </c>
      <c r="M73" s="100">
        <v>92.44</v>
      </c>
      <c r="N73" s="100">
        <v>66</v>
      </c>
      <c r="O73" s="100">
        <v>0.2</v>
      </c>
      <c r="P73" s="100">
        <v>0.28000000000000003</v>
      </c>
      <c r="Q73" s="100">
        <v>10</v>
      </c>
      <c r="R73" s="6"/>
      <c r="S73" s="6"/>
      <c r="T73" s="156"/>
      <c r="U73" s="6"/>
    </row>
    <row r="74" spans="1:21" customFormat="1">
      <c r="A74" s="163" t="s">
        <v>2225</v>
      </c>
      <c r="B74" s="100">
        <v>1.37</v>
      </c>
      <c r="C74" s="100">
        <v>3.1</v>
      </c>
      <c r="D74" s="100">
        <v>1.84</v>
      </c>
      <c r="E74" s="100">
        <v>5.2</v>
      </c>
      <c r="F74" s="100">
        <v>2.58</v>
      </c>
      <c r="G74" s="100">
        <v>58.18</v>
      </c>
      <c r="H74" s="100">
        <v>27.78</v>
      </c>
      <c r="I74" s="100">
        <v>5.39</v>
      </c>
      <c r="J74" s="100">
        <v>0.19</v>
      </c>
      <c r="K74" s="100">
        <v>171.49</v>
      </c>
      <c r="L74" s="100">
        <v>28.33</v>
      </c>
      <c r="M74" s="100">
        <v>93.79</v>
      </c>
      <c r="N74" s="100">
        <v>81.2</v>
      </c>
      <c r="O74" s="100">
        <v>0</v>
      </c>
      <c r="P74" s="100">
        <v>0.28000000000000003</v>
      </c>
      <c r="Q74" s="100">
        <v>10</v>
      </c>
      <c r="R74" s="6"/>
      <c r="S74" s="6"/>
      <c r="T74" s="156"/>
      <c r="U74" s="6"/>
    </row>
    <row r="75" spans="1:21" customFormat="1">
      <c r="A75" s="163" t="s">
        <v>2226</v>
      </c>
      <c r="B75" s="100">
        <v>1.35</v>
      </c>
      <c r="C75" s="100">
        <v>2.96</v>
      </c>
      <c r="D75" s="100">
        <v>1.62</v>
      </c>
      <c r="E75" s="100">
        <v>5.52</v>
      </c>
      <c r="F75" s="100">
        <v>2.5499999999999998</v>
      </c>
      <c r="G75" s="100">
        <v>58.18</v>
      </c>
      <c r="H75" s="100">
        <v>27.78</v>
      </c>
      <c r="I75" s="100">
        <v>5.4</v>
      </c>
      <c r="J75" s="100">
        <v>0.2</v>
      </c>
      <c r="K75" s="100">
        <v>159.47999999999999</v>
      </c>
      <c r="L75" s="100">
        <v>28.51</v>
      </c>
      <c r="M75" s="100">
        <v>91.12</v>
      </c>
      <c r="N75" s="100">
        <v>81.3</v>
      </c>
      <c r="O75" s="100">
        <v>0</v>
      </c>
      <c r="P75" s="100">
        <v>0.28000000000000003</v>
      </c>
      <c r="Q75" s="100">
        <v>10</v>
      </c>
      <c r="R75" s="6"/>
      <c r="S75" s="6"/>
      <c r="T75" s="156"/>
      <c r="U75" s="6"/>
    </row>
    <row r="76" spans="1:21" customFormat="1">
      <c r="A76" s="163" t="s">
        <v>2227</v>
      </c>
      <c r="B76" s="100">
        <v>1.46</v>
      </c>
      <c r="C76" s="100">
        <v>2.93</v>
      </c>
      <c r="D76" s="100">
        <v>1.4</v>
      </c>
      <c r="E76" s="100">
        <v>5.57</v>
      </c>
      <c r="F76" s="100">
        <v>2.81</v>
      </c>
      <c r="G76" s="100">
        <v>57.9</v>
      </c>
      <c r="H76" s="100">
        <v>27.99</v>
      </c>
      <c r="I76" s="100">
        <v>5.42</v>
      </c>
      <c r="J76" s="100">
        <v>0.12</v>
      </c>
      <c r="K76" s="100">
        <v>167.38</v>
      </c>
      <c r="L76" s="100">
        <v>28.91</v>
      </c>
      <c r="M76" s="100">
        <v>88.02</v>
      </c>
      <c r="N76" s="100">
        <v>81.3</v>
      </c>
      <c r="O76" s="100">
        <v>0</v>
      </c>
      <c r="P76" s="100">
        <v>0.27</v>
      </c>
      <c r="Q76" s="100">
        <v>10</v>
      </c>
      <c r="R76" s="6"/>
      <c r="S76" s="6"/>
      <c r="T76" s="156"/>
      <c r="U76" s="6"/>
    </row>
    <row r="77" spans="1:21" customFormat="1">
      <c r="A77" s="163" t="s">
        <v>2228</v>
      </c>
      <c r="B77" s="100">
        <v>1.44</v>
      </c>
      <c r="C77" s="100">
        <v>3.24</v>
      </c>
      <c r="D77" s="100">
        <v>2.0099999999999998</v>
      </c>
      <c r="E77" s="100">
        <v>5.33</v>
      </c>
      <c r="F77" s="100">
        <v>1.23</v>
      </c>
      <c r="G77" s="100">
        <v>56.7</v>
      </c>
      <c r="H77" s="100">
        <v>28.65</v>
      </c>
      <c r="I77" s="100">
        <v>5.34</v>
      </c>
      <c r="J77" s="100">
        <v>0.1</v>
      </c>
      <c r="K77" s="100">
        <v>212.87</v>
      </c>
      <c r="L77" s="100">
        <v>28.43</v>
      </c>
      <c r="M77" s="100">
        <v>88.79</v>
      </c>
      <c r="N77" s="100">
        <v>44.2</v>
      </c>
      <c r="O77" s="100">
        <v>0</v>
      </c>
      <c r="P77" s="100">
        <v>0.26</v>
      </c>
      <c r="Q77" s="100">
        <v>10</v>
      </c>
      <c r="R77" s="6"/>
      <c r="S77" s="6"/>
      <c r="T77" s="156"/>
      <c r="U77" s="6"/>
    </row>
    <row r="78" spans="1:21" customFormat="1">
      <c r="A78" s="163" t="s">
        <v>2229</v>
      </c>
      <c r="B78" s="100">
        <v>1.29</v>
      </c>
      <c r="C78" s="100">
        <v>2.84</v>
      </c>
      <c r="D78" s="100">
        <v>1.46</v>
      </c>
      <c r="E78" s="100">
        <v>5.13</v>
      </c>
      <c r="F78" s="100">
        <v>1.49</v>
      </c>
      <c r="G78" s="100">
        <v>56.7</v>
      </c>
      <c r="H78" s="100">
        <v>28.65</v>
      </c>
      <c r="I78" s="100">
        <v>5.2</v>
      </c>
      <c r="J78" s="100">
        <v>0.4</v>
      </c>
      <c r="K78" s="100">
        <v>323.8</v>
      </c>
      <c r="L78" s="100">
        <v>28.42</v>
      </c>
      <c r="M78" s="100">
        <v>86.41</v>
      </c>
      <c r="N78" s="100">
        <v>34.799999999999997</v>
      </c>
      <c r="O78" s="100">
        <v>0</v>
      </c>
      <c r="P78" s="100">
        <v>0.27</v>
      </c>
      <c r="Q78" s="100">
        <v>10</v>
      </c>
      <c r="R78" s="6"/>
      <c r="S78" s="6"/>
      <c r="T78" s="156"/>
      <c r="U78" s="6"/>
    </row>
    <row r="79" spans="1:21" customFormat="1">
      <c r="A79" s="163" t="s">
        <v>2230</v>
      </c>
      <c r="B79" s="100">
        <v>1.24</v>
      </c>
      <c r="C79" s="100">
        <v>2.09</v>
      </c>
      <c r="D79" s="100">
        <v>0.12</v>
      </c>
      <c r="E79" s="100">
        <v>5.2</v>
      </c>
      <c r="F79" s="100">
        <v>1.66</v>
      </c>
      <c r="G79" s="100">
        <v>56.7</v>
      </c>
      <c r="H79" s="100">
        <v>28.65</v>
      </c>
      <c r="I79" s="100">
        <v>5.12</v>
      </c>
      <c r="J79" s="100">
        <v>0.13</v>
      </c>
      <c r="K79" s="100">
        <v>0.82</v>
      </c>
      <c r="L79" s="100">
        <v>28.34</v>
      </c>
      <c r="M79" s="100">
        <v>85.24</v>
      </c>
      <c r="N79" s="100">
        <v>19.5</v>
      </c>
      <c r="O79" s="100">
        <v>0</v>
      </c>
      <c r="P79" s="100">
        <v>0.28000000000000003</v>
      </c>
      <c r="Q79" s="100">
        <v>10</v>
      </c>
      <c r="R79" s="6"/>
      <c r="S79" s="6"/>
      <c r="T79" s="156"/>
      <c r="U79" s="6"/>
    </row>
    <row r="80" spans="1:21" customFormat="1">
      <c r="A80" s="163" t="s">
        <v>2231</v>
      </c>
      <c r="B80" s="100">
        <v>2.08</v>
      </c>
      <c r="C80" s="100">
        <v>4.78</v>
      </c>
      <c r="D80" s="100">
        <v>3.99</v>
      </c>
      <c r="E80" s="100">
        <v>5.21</v>
      </c>
      <c r="F80" s="100">
        <v>3.41</v>
      </c>
      <c r="G80" s="100">
        <v>58.98</v>
      </c>
      <c r="H80" s="100">
        <v>29.43</v>
      </c>
      <c r="I80" s="100">
        <v>5.27</v>
      </c>
      <c r="J80" s="100">
        <v>0.36</v>
      </c>
      <c r="K80" s="100">
        <v>304.24</v>
      </c>
      <c r="L80" s="100">
        <v>28.15</v>
      </c>
      <c r="M80" s="100">
        <v>85.44</v>
      </c>
      <c r="N80" s="100">
        <v>12.4</v>
      </c>
      <c r="O80" s="100">
        <v>0</v>
      </c>
      <c r="P80" s="100">
        <v>0.28999999999999998</v>
      </c>
      <c r="Q80" s="100">
        <v>10</v>
      </c>
      <c r="R80" s="6"/>
      <c r="S80" s="6"/>
      <c r="T80" s="156"/>
      <c r="U80" s="6"/>
    </row>
    <row r="81" spans="1:21" customFormat="1">
      <c r="A81" s="163" t="s">
        <v>2232</v>
      </c>
      <c r="B81" s="100">
        <v>1.94</v>
      </c>
      <c r="C81" s="100">
        <v>4.21</v>
      </c>
      <c r="D81" s="100">
        <v>3.09</v>
      </c>
      <c r="E81" s="100">
        <v>5.4</v>
      </c>
      <c r="F81" s="100">
        <v>3.08</v>
      </c>
      <c r="G81" s="100">
        <v>69.55</v>
      </c>
      <c r="H81" s="100">
        <v>31.92</v>
      </c>
      <c r="I81" s="100">
        <v>5.37</v>
      </c>
      <c r="J81" s="100">
        <v>0.55000000000000004</v>
      </c>
      <c r="K81" s="100">
        <v>19.239999999999998</v>
      </c>
      <c r="L81" s="100">
        <v>27.82</v>
      </c>
      <c r="M81" s="100">
        <v>84.54</v>
      </c>
      <c r="N81" s="100">
        <v>6.6</v>
      </c>
      <c r="O81" s="100">
        <v>0</v>
      </c>
      <c r="P81" s="100">
        <v>0.31</v>
      </c>
      <c r="Q81" s="100">
        <v>10</v>
      </c>
      <c r="R81" s="6"/>
      <c r="S81" s="6"/>
      <c r="T81" s="156"/>
      <c r="U81" s="6"/>
    </row>
    <row r="82" spans="1:21" customFormat="1">
      <c r="A82" s="163" t="s">
        <v>2233</v>
      </c>
      <c r="B82" s="100">
        <v>1.93</v>
      </c>
      <c r="C82" s="100">
        <v>4.17</v>
      </c>
      <c r="D82" s="100">
        <v>3.03</v>
      </c>
      <c r="E82" s="100">
        <v>8.42</v>
      </c>
      <c r="F82" s="100">
        <v>8.51</v>
      </c>
      <c r="G82" s="100">
        <v>69.55</v>
      </c>
      <c r="H82" s="100">
        <v>31.92</v>
      </c>
      <c r="I82" s="100">
        <v>5.49</v>
      </c>
      <c r="J82" s="100">
        <v>0.74</v>
      </c>
      <c r="K82" s="100">
        <v>22.34</v>
      </c>
      <c r="L82" s="100">
        <v>27.49</v>
      </c>
      <c r="M82" s="100">
        <v>84.45</v>
      </c>
      <c r="N82" s="100">
        <v>5.5</v>
      </c>
      <c r="O82" s="100">
        <v>0</v>
      </c>
      <c r="P82" s="100">
        <v>0.3</v>
      </c>
      <c r="Q82" s="100">
        <v>10</v>
      </c>
      <c r="R82" s="6"/>
      <c r="S82" s="6"/>
      <c r="T82" s="156"/>
      <c r="U82" s="6"/>
    </row>
    <row r="83" spans="1:21" customFormat="1">
      <c r="A83" s="163" t="s">
        <v>2234</v>
      </c>
      <c r="B83" s="100">
        <v>1.6</v>
      </c>
      <c r="C83" s="100">
        <v>3.56</v>
      </c>
      <c r="D83" s="100">
        <v>2.37</v>
      </c>
      <c r="E83" s="100">
        <v>5.78</v>
      </c>
      <c r="F83" s="100">
        <v>10.28</v>
      </c>
      <c r="G83" s="100">
        <v>69.55</v>
      </c>
      <c r="H83" s="100">
        <v>31.92</v>
      </c>
      <c r="I83" s="100">
        <v>5.68</v>
      </c>
      <c r="J83" s="100">
        <v>0.68</v>
      </c>
      <c r="K83" s="100">
        <v>22.28</v>
      </c>
      <c r="L83" s="100">
        <v>27.12</v>
      </c>
      <c r="M83" s="100">
        <v>82.33</v>
      </c>
      <c r="N83" s="100">
        <v>4.8</v>
      </c>
      <c r="O83" s="100">
        <v>0.2</v>
      </c>
      <c r="P83" s="100">
        <v>0.26</v>
      </c>
      <c r="Q83" s="100">
        <v>10</v>
      </c>
      <c r="R83" s="6"/>
      <c r="S83" s="6"/>
      <c r="T83" s="156"/>
      <c r="U83" s="6"/>
    </row>
    <row r="84" spans="1:21" customFormat="1">
      <c r="A84" s="163" t="s">
        <v>2235</v>
      </c>
      <c r="B84" s="100">
        <v>1.73</v>
      </c>
      <c r="C84" s="100">
        <v>3.36</v>
      </c>
      <c r="D84" s="100">
        <v>1.81</v>
      </c>
      <c r="E84" s="100">
        <v>4.42</v>
      </c>
      <c r="F84" s="100">
        <v>5.54</v>
      </c>
      <c r="G84" s="100">
        <v>69.55</v>
      </c>
      <c r="H84" s="100">
        <v>31.16</v>
      </c>
      <c r="I84" s="100">
        <v>5.59</v>
      </c>
      <c r="J84" s="100">
        <v>0.17</v>
      </c>
      <c r="K84" s="100">
        <v>317.99</v>
      </c>
      <c r="L84" s="100">
        <v>25.98</v>
      </c>
      <c r="M84" s="100">
        <v>89.98</v>
      </c>
      <c r="N84" s="100">
        <v>3.7</v>
      </c>
      <c r="O84" s="100">
        <v>1</v>
      </c>
      <c r="P84" s="100">
        <v>0.25</v>
      </c>
      <c r="Q84" s="100">
        <v>10</v>
      </c>
      <c r="R84" s="6"/>
      <c r="S84" s="6"/>
      <c r="T84" s="156"/>
      <c r="U84" s="6"/>
    </row>
    <row r="85" spans="1:21" customFormat="1">
      <c r="A85" s="163" t="s">
        <v>2236</v>
      </c>
      <c r="B85" s="100">
        <v>1.24</v>
      </c>
      <c r="C85" s="100">
        <v>2.16</v>
      </c>
      <c r="D85" s="100">
        <v>0.25</v>
      </c>
      <c r="E85" s="100">
        <v>4.6500000000000004</v>
      </c>
      <c r="F85" s="100">
        <v>2.68</v>
      </c>
      <c r="G85" s="100">
        <v>69.569999999999993</v>
      </c>
      <c r="H85" s="100">
        <v>27.29</v>
      </c>
      <c r="I85" s="100">
        <v>5.38</v>
      </c>
      <c r="J85" s="100">
        <v>0.14000000000000001</v>
      </c>
      <c r="K85" s="100">
        <v>205</v>
      </c>
      <c r="L85" s="100">
        <v>25.34</v>
      </c>
      <c r="M85" s="100">
        <v>96.17</v>
      </c>
      <c r="N85" s="100">
        <v>2.2999999999999998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163" t="s">
        <v>2237</v>
      </c>
      <c r="B86" s="100">
        <v>2.3199999999999998</v>
      </c>
      <c r="C86" s="100">
        <v>4.63</v>
      </c>
      <c r="D86" s="100">
        <v>3.31</v>
      </c>
      <c r="E86" s="100">
        <v>4.58</v>
      </c>
      <c r="F86" s="100">
        <v>1.98</v>
      </c>
      <c r="G86" s="100">
        <v>69.569999999999993</v>
      </c>
      <c r="H86" s="100">
        <v>27.29</v>
      </c>
      <c r="I86" s="100">
        <v>5.51</v>
      </c>
      <c r="J86" s="100">
        <v>0.13</v>
      </c>
      <c r="K86" s="100">
        <v>151.96</v>
      </c>
      <c r="L86" s="100">
        <v>25.49</v>
      </c>
      <c r="M86" s="100">
        <v>97.33</v>
      </c>
      <c r="N86" s="100">
        <v>1.9</v>
      </c>
      <c r="O86" s="100">
        <v>0</v>
      </c>
      <c r="P86" s="100">
        <v>0.27</v>
      </c>
      <c r="Q86" s="100">
        <v>10</v>
      </c>
      <c r="R86" s="6"/>
      <c r="S86" s="6"/>
      <c r="T86" s="156"/>
      <c r="U86" s="6"/>
    </row>
    <row r="87" spans="1:21" customFormat="1">
      <c r="A87" s="163" t="s">
        <v>2238</v>
      </c>
      <c r="B87" s="100">
        <v>1.6</v>
      </c>
      <c r="C87" s="100">
        <v>3.16</v>
      </c>
      <c r="D87" s="100">
        <v>1.61</v>
      </c>
      <c r="E87" s="100">
        <v>4.1100000000000003</v>
      </c>
      <c r="F87" s="100">
        <v>3.12</v>
      </c>
      <c r="G87" s="100">
        <v>69.569999999999993</v>
      </c>
      <c r="H87" s="100">
        <v>27.29</v>
      </c>
      <c r="I87" s="100">
        <v>5.69</v>
      </c>
      <c r="J87" s="100">
        <v>0.03</v>
      </c>
      <c r="K87" s="100">
        <v>177.62</v>
      </c>
      <c r="L87" s="100">
        <v>25.55</v>
      </c>
      <c r="M87" s="100">
        <v>97.6</v>
      </c>
      <c r="N87" s="100">
        <v>2.2000000000000002</v>
      </c>
      <c r="O87" s="100">
        <v>0</v>
      </c>
      <c r="P87" s="100">
        <v>0.27</v>
      </c>
      <c r="Q87" s="100">
        <v>10</v>
      </c>
      <c r="R87" s="6"/>
      <c r="S87" s="6"/>
      <c r="T87" s="156"/>
      <c r="U87" s="6"/>
    </row>
    <row r="88" spans="1:21" customFormat="1">
      <c r="A88" s="163" t="s">
        <v>2239</v>
      </c>
      <c r="B88" s="100">
        <v>2.41</v>
      </c>
      <c r="C88" s="100">
        <v>4.51</v>
      </c>
      <c r="D88" s="100">
        <v>2.95</v>
      </c>
      <c r="E88" s="100">
        <v>4.0599999999999996</v>
      </c>
      <c r="F88" s="100">
        <v>1.54</v>
      </c>
      <c r="G88" s="100">
        <v>66.89</v>
      </c>
      <c r="H88" s="100">
        <v>26.51</v>
      </c>
      <c r="I88" s="100">
        <v>5.68</v>
      </c>
      <c r="J88" s="100">
        <v>0.1</v>
      </c>
      <c r="K88" s="100">
        <v>180.26</v>
      </c>
      <c r="L88" s="100">
        <v>25.66</v>
      </c>
      <c r="M88" s="100">
        <v>97.98</v>
      </c>
      <c r="N88" s="100">
        <v>2</v>
      </c>
      <c r="O88" s="100">
        <v>0</v>
      </c>
      <c r="P88" s="100">
        <v>0.27</v>
      </c>
      <c r="Q88" s="100">
        <v>10</v>
      </c>
      <c r="R88" s="6"/>
      <c r="S88" s="6"/>
      <c r="T88" s="156"/>
      <c r="U88" s="6"/>
    </row>
    <row r="89" spans="1:21" customFormat="1">
      <c r="A89" s="163" t="s">
        <v>2240</v>
      </c>
      <c r="B89" s="100">
        <v>2.54</v>
      </c>
      <c r="C89" s="100">
        <v>4.6399999999999997</v>
      </c>
      <c r="D89" s="100">
        <v>3</v>
      </c>
      <c r="E89" s="100">
        <v>4.2699999999999996</v>
      </c>
      <c r="F89" s="100">
        <v>1.01</v>
      </c>
      <c r="G89" s="100">
        <v>54.47</v>
      </c>
      <c r="H89" s="100">
        <v>24.01</v>
      </c>
      <c r="I89" s="100">
        <v>5.63</v>
      </c>
      <c r="J89" s="100">
        <v>7.0000000000000007E-2</v>
      </c>
      <c r="K89" s="100">
        <v>344.62</v>
      </c>
      <c r="L89" s="100">
        <v>25.75</v>
      </c>
      <c r="M89" s="100">
        <v>98.71</v>
      </c>
      <c r="N89" s="100">
        <v>2</v>
      </c>
      <c r="O89" s="100">
        <v>0</v>
      </c>
      <c r="P89" s="100">
        <v>0.31</v>
      </c>
      <c r="Q89" s="100">
        <v>10</v>
      </c>
      <c r="R89" s="6"/>
      <c r="S89" s="6"/>
      <c r="T89" s="156"/>
      <c r="U89" s="6"/>
    </row>
    <row r="90" spans="1:21" customFormat="1">
      <c r="A90" s="163" t="s">
        <v>2241</v>
      </c>
      <c r="B90" s="100">
        <v>1.86</v>
      </c>
      <c r="C90" s="100">
        <v>3.61</v>
      </c>
      <c r="D90" s="100">
        <v>2.08</v>
      </c>
      <c r="E90" s="100">
        <v>4</v>
      </c>
      <c r="F90" s="100">
        <v>2.0299999999999998</v>
      </c>
      <c r="G90" s="100">
        <v>54.47</v>
      </c>
      <c r="H90" s="100">
        <v>24.01</v>
      </c>
      <c r="I90" s="100">
        <v>5.73</v>
      </c>
      <c r="J90" s="100">
        <v>0.06</v>
      </c>
      <c r="K90" s="100">
        <v>261.77999999999997</v>
      </c>
      <c r="L90" s="100">
        <v>25.89</v>
      </c>
      <c r="M90" s="100">
        <v>98.1</v>
      </c>
      <c r="N90" s="100">
        <v>2</v>
      </c>
      <c r="O90" s="100">
        <v>0</v>
      </c>
      <c r="P90" s="100">
        <v>0.31</v>
      </c>
      <c r="Q90" s="100">
        <v>10</v>
      </c>
      <c r="R90" s="6"/>
      <c r="S90" s="6"/>
      <c r="T90" s="156"/>
      <c r="U90" s="6"/>
    </row>
    <row r="91" spans="1:21" customFormat="1">
      <c r="A91" s="163" t="s">
        <v>2242</v>
      </c>
      <c r="B91" s="100">
        <v>2.2599999999999998</v>
      </c>
      <c r="C91" s="100">
        <v>4.1399999999999997</v>
      </c>
      <c r="D91" s="100">
        <v>2.4700000000000002</v>
      </c>
      <c r="E91" s="100">
        <v>4.05</v>
      </c>
      <c r="F91" s="100">
        <v>2.57</v>
      </c>
      <c r="G91" s="100">
        <v>54.47</v>
      </c>
      <c r="H91" s="100">
        <v>24.01</v>
      </c>
      <c r="I91" s="100">
        <v>6.09</v>
      </c>
      <c r="J91" s="100">
        <v>0.15</v>
      </c>
      <c r="K91" s="100">
        <v>176.67</v>
      </c>
      <c r="L91" s="100">
        <v>25.98</v>
      </c>
      <c r="M91" s="100">
        <v>98.28</v>
      </c>
      <c r="N91" s="100">
        <v>2.1</v>
      </c>
      <c r="O91" s="100">
        <v>0</v>
      </c>
      <c r="P91" s="100">
        <v>0.28999999999999998</v>
      </c>
      <c r="Q91" s="100">
        <v>10</v>
      </c>
      <c r="R91" s="6"/>
      <c r="S91" s="6"/>
      <c r="T91" s="156"/>
      <c r="U91" s="6"/>
    </row>
    <row r="92" spans="1:21" customFormat="1">
      <c r="A92" s="163" t="s">
        <v>2243</v>
      </c>
      <c r="B92" s="100">
        <v>2.2799999999999998</v>
      </c>
      <c r="C92" s="100">
        <v>3.97</v>
      </c>
      <c r="D92" s="100">
        <v>2.12</v>
      </c>
      <c r="E92" s="100">
        <v>4.0199999999999996</v>
      </c>
      <c r="F92" s="100">
        <v>1.82</v>
      </c>
      <c r="G92" s="100">
        <v>55.69</v>
      </c>
      <c r="H92" s="100">
        <v>24.01</v>
      </c>
      <c r="I92" s="100">
        <v>6.18</v>
      </c>
      <c r="J92" s="100">
        <v>7.0000000000000007E-2</v>
      </c>
      <c r="K92" s="100">
        <v>104.26</v>
      </c>
      <c r="L92" s="100">
        <v>25.79</v>
      </c>
      <c r="M92" s="100">
        <v>98.66</v>
      </c>
      <c r="N92" s="100">
        <v>2.2000000000000002</v>
      </c>
      <c r="O92" s="100">
        <v>0</v>
      </c>
      <c r="P92" s="100">
        <v>0.31</v>
      </c>
      <c r="Q92" s="100">
        <v>10</v>
      </c>
      <c r="R92" s="6"/>
      <c r="S92" s="6"/>
      <c r="T92" s="156"/>
      <c r="U92" s="6"/>
    </row>
    <row r="93" spans="1:21" customFormat="1">
      <c r="A93" s="163" t="s">
        <v>2244</v>
      </c>
      <c r="B93" s="100">
        <v>2.3199999999999998</v>
      </c>
      <c r="C93" s="100">
        <v>4.0999999999999996</v>
      </c>
      <c r="D93" s="100">
        <v>2.31</v>
      </c>
      <c r="E93" s="100">
        <v>3.88</v>
      </c>
      <c r="F93" s="100">
        <v>1.66</v>
      </c>
      <c r="G93" s="100">
        <v>60.93</v>
      </c>
      <c r="H93" s="100">
        <v>24.02</v>
      </c>
      <c r="I93" s="100">
        <v>6.01</v>
      </c>
      <c r="J93" s="100">
        <v>0.14000000000000001</v>
      </c>
      <c r="K93" s="100">
        <v>173.16</v>
      </c>
      <c r="L93" s="100">
        <v>25.83</v>
      </c>
      <c r="M93" s="100">
        <v>98.7</v>
      </c>
      <c r="N93" s="100">
        <v>2.1</v>
      </c>
      <c r="O93" s="100">
        <v>0</v>
      </c>
      <c r="P93" s="100">
        <v>0.31</v>
      </c>
      <c r="Q93" s="100">
        <v>10</v>
      </c>
      <c r="R93" s="6"/>
      <c r="S93" s="6"/>
      <c r="T93" s="156"/>
      <c r="U93" s="6"/>
    </row>
    <row r="94" spans="1:21" customFormat="1">
      <c r="A94" s="163" t="s">
        <v>2245</v>
      </c>
      <c r="B94" s="100">
        <v>2.21</v>
      </c>
      <c r="C94" s="100">
        <v>3.92</v>
      </c>
      <c r="D94" s="100">
        <v>2.11</v>
      </c>
      <c r="E94" s="100">
        <v>4.03</v>
      </c>
      <c r="F94" s="100">
        <v>2.25</v>
      </c>
      <c r="G94" s="100">
        <v>60.93</v>
      </c>
      <c r="H94" s="100">
        <v>24.02</v>
      </c>
      <c r="I94" s="100">
        <v>6.3</v>
      </c>
      <c r="J94" s="100">
        <v>0.09</v>
      </c>
      <c r="K94" s="100">
        <v>174.24</v>
      </c>
      <c r="L94" s="100">
        <v>25.83</v>
      </c>
      <c r="M94" s="100">
        <v>98.39</v>
      </c>
      <c r="N94" s="100">
        <v>2.1</v>
      </c>
      <c r="O94" s="100">
        <v>0</v>
      </c>
      <c r="P94" s="100">
        <v>0.3</v>
      </c>
      <c r="Q94" s="100">
        <v>10</v>
      </c>
      <c r="R94" s="6"/>
      <c r="S94" s="6"/>
      <c r="T94" s="156"/>
      <c r="U94" s="6"/>
    </row>
    <row r="95" spans="1:21" customFormat="1">
      <c r="A95" s="163" t="s">
        <v>2246</v>
      </c>
      <c r="B95" s="100">
        <v>2.68</v>
      </c>
      <c r="C95" s="100">
        <v>4.34</v>
      </c>
      <c r="D95" s="100">
        <v>2.21</v>
      </c>
      <c r="E95" s="100">
        <v>4.55</v>
      </c>
      <c r="F95" s="100">
        <v>1.1499999999999999</v>
      </c>
      <c r="G95" s="100">
        <v>60.93</v>
      </c>
      <c r="H95" s="100">
        <v>24.02</v>
      </c>
      <c r="I95" s="100">
        <v>6.49</v>
      </c>
      <c r="J95" s="100">
        <v>0.13</v>
      </c>
      <c r="K95" s="100">
        <v>79.62</v>
      </c>
      <c r="L95" s="100">
        <v>25.98</v>
      </c>
      <c r="M95" s="100">
        <v>98.41</v>
      </c>
      <c r="N95" s="100">
        <v>2.1</v>
      </c>
      <c r="O95" s="100">
        <v>0</v>
      </c>
      <c r="P95" s="100">
        <v>0.34</v>
      </c>
      <c r="Q95" s="100">
        <v>10</v>
      </c>
      <c r="R95" s="6"/>
      <c r="S95" s="6"/>
      <c r="T95" s="156"/>
      <c r="U95" s="6"/>
    </row>
    <row r="96" spans="1:21" customFormat="1">
      <c r="A96" s="163" t="s">
        <v>2247</v>
      </c>
      <c r="B96" s="100">
        <v>3.45</v>
      </c>
      <c r="C96" s="100">
        <v>5.56</v>
      </c>
      <c r="D96" s="100">
        <v>3.36</v>
      </c>
      <c r="E96" s="100">
        <v>4.05</v>
      </c>
      <c r="F96" s="100">
        <v>1.45</v>
      </c>
      <c r="G96" s="100">
        <v>61.93</v>
      </c>
      <c r="H96" s="100">
        <v>24.06</v>
      </c>
      <c r="I96" s="100">
        <v>6.52</v>
      </c>
      <c r="J96" s="100">
        <v>0.02</v>
      </c>
      <c r="K96" s="100">
        <v>159.91</v>
      </c>
      <c r="L96" s="100">
        <v>25.94</v>
      </c>
      <c r="M96" s="100">
        <v>99.05</v>
      </c>
      <c r="N96" s="100">
        <v>2.1</v>
      </c>
      <c r="O96" s="100">
        <v>0</v>
      </c>
      <c r="P96" s="100">
        <v>0.37</v>
      </c>
      <c r="Q96" s="100">
        <v>10</v>
      </c>
      <c r="R96" s="6"/>
      <c r="S96" s="6"/>
      <c r="T96" s="156"/>
      <c r="U96" s="6"/>
    </row>
    <row r="97" spans="1:28" customFormat="1">
      <c r="A97" s="163" t="s">
        <v>2248</v>
      </c>
      <c r="B97" s="100">
        <v>3.72</v>
      </c>
      <c r="C97" s="100">
        <v>6.25</v>
      </c>
      <c r="D97" s="100">
        <v>4.28</v>
      </c>
      <c r="E97" s="100">
        <v>4.3</v>
      </c>
      <c r="F97" s="100">
        <v>1.8</v>
      </c>
      <c r="G97" s="100">
        <v>66.25</v>
      </c>
      <c r="H97" s="100">
        <v>24.19</v>
      </c>
      <c r="I97" s="100">
        <v>6.91</v>
      </c>
      <c r="J97" s="100">
        <v>0.21</v>
      </c>
      <c r="K97" s="100">
        <v>182.99</v>
      </c>
      <c r="L97" s="100">
        <v>25.99</v>
      </c>
      <c r="M97" s="100">
        <v>98.53</v>
      </c>
      <c r="N97" s="100">
        <v>2.2000000000000002</v>
      </c>
      <c r="O97" s="100">
        <v>0</v>
      </c>
      <c r="P97" s="100">
        <v>0.32</v>
      </c>
      <c r="Q97" s="100">
        <v>10</v>
      </c>
      <c r="R97" s="6"/>
      <c r="S97" s="6"/>
      <c r="T97" s="156"/>
      <c r="U97" s="6"/>
    </row>
    <row r="98" spans="1:28" customFormat="1">
      <c r="A98" s="163" t="s">
        <v>2249</v>
      </c>
      <c r="B98" s="100">
        <v>2.2400000000000002</v>
      </c>
      <c r="C98" s="100">
        <v>3.85</v>
      </c>
      <c r="D98" s="100">
        <v>1.94</v>
      </c>
      <c r="E98" s="100">
        <v>4.6100000000000003</v>
      </c>
      <c r="F98" s="100">
        <v>1.2</v>
      </c>
      <c r="G98" s="100">
        <v>66.25</v>
      </c>
      <c r="H98" s="100">
        <v>24.19</v>
      </c>
      <c r="I98" s="100">
        <v>7.1</v>
      </c>
      <c r="J98" s="100">
        <v>0.09</v>
      </c>
      <c r="K98" s="100">
        <v>187.23</v>
      </c>
      <c r="L98" s="100">
        <v>25.91</v>
      </c>
      <c r="M98" s="100">
        <v>99.08</v>
      </c>
      <c r="N98" s="100">
        <v>2.1</v>
      </c>
      <c r="O98" s="100">
        <v>0</v>
      </c>
      <c r="P98" s="100">
        <v>0.34</v>
      </c>
      <c r="Q98" s="100">
        <v>10</v>
      </c>
      <c r="R98" s="6"/>
      <c r="S98" s="6"/>
      <c r="T98" s="156"/>
      <c r="U98" s="6"/>
    </row>
    <row r="99" spans="1:28" customFormat="1">
      <c r="A99" s="163" t="s">
        <v>2250</v>
      </c>
      <c r="B99" s="100">
        <v>3.7</v>
      </c>
      <c r="C99" s="100">
        <v>5.93</v>
      </c>
      <c r="D99" s="100">
        <v>3.7</v>
      </c>
      <c r="E99" s="100">
        <v>4.42</v>
      </c>
      <c r="F99" s="100">
        <v>1.82</v>
      </c>
      <c r="G99" s="100">
        <v>66.25</v>
      </c>
      <c r="H99" s="100">
        <v>24.19</v>
      </c>
      <c r="I99" s="100">
        <v>6.9</v>
      </c>
      <c r="J99" s="100">
        <v>0.11</v>
      </c>
      <c r="K99" s="100">
        <v>172.15</v>
      </c>
      <c r="L99" s="100">
        <v>25.91</v>
      </c>
      <c r="M99" s="100">
        <v>99.12</v>
      </c>
      <c r="N99" s="100">
        <v>2.2999999999999998</v>
      </c>
      <c r="O99" s="100">
        <v>0</v>
      </c>
      <c r="P99" s="100">
        <v>0.33</v>
      </c>
      <c r="Q99" s="100">
        <v>10</v>
      </c>
      <c r="R99" s="6"/>
      <c r="S99" s="6"/>
      <c r="T99" s="156"/>
      <c r="U99" s="6"/>
    </row>
    <row r="100" spans="1:28" customFormat="1">
      <c r="A100" s="163" t="s">
        <v>2251</v>
      </c>
      <c r="B100" s="100">
        <v>2.83</v>
      </c>
      <c r="C100" s="100">
        <v>4.5199999999999996</v>
      </c>
      <c r="D100" s="100">
        <v>2.33</v>
      </c>
      <c r="E100" s="100">
        <v>4.7</v>
      </c>
      <c r="F100" s="100">
        <v>2.19</v>
      </c>
      <c r="G100" s="100">
        <v>64</v>
      </c>
      <c r="H100" s="100">
        <v>23.93</v>
      </c>
      <c r="I100" s="100">
        <v>6.92</v>
      </c>
      <c r="J100" s="100">
        <v>0.13</v>
      </c>
      <c r="K100" s="100">
        <v>142.93</v>
      </c>
      <c r="L100" s="100">
        <v>25.91</v>
      </c>
      <c r="M100" s="100">
        <v>99.14</v>
      </c>
      <c r="N100" s="100">
        <v>2.1</v>
      </c>
      <c r="O100" s="100">
        <v>0</v>
      </c>
      <c r="P100" s="100">
        <v>0.35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2252</v>
      </c>
      <c r="B101" s="100">
        <v>3.26</v>
      </c>
      <c r="C101" s="100">
        <v>5.21</v>
      </c>
      <c r="D101" s="100">
        <v>2.98</v>
      </c>
      <c r="E101" s="100">
        <v>4.33</v>
      </c>
      <c r="F101" s="100">
        <v>2.08</v>
      </c>
      <c r="G101" s="100">
        <v>53.6</v>
      </c>
      <c r="H101" s="100">
        <v>22.63</v>
      </c>
      <c r="I101" s="100">
        <v>6.91</v>
      </c>
      <c r="J101" s="100">
        <v>0.1</v>
      </c>
      <c r="K101" s="100">
        <v>87.64</v>
      </c>
      <c r="L101" s="100">
        <v>26.08</v>
      </c>
      <c r="M101" s="100">
        <v>99.1</v>
      </c>
      <c r="N101" s="100">
        <v>2.1</v>
      </c>
      <c r="O101" s="100">
        <v>0</v>
      </c>
      <c r="P101" s="100">
        <v>0.35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2253</v>
      </c>
      <c r="B102" s="100">
        <v>2.09</v>
      </c>
      <c r="C102" s="100">
        <v>3.7</v>
      </c>
      <c r="D102" s="100">
        <v>1.9</v>
      </c>
      <c r="E102" s="100">
        <v>4.68</v>
      </c>
      <c r="F102" s="100">
        <v>1.61</v>
      </c>
      <c r="G102" s="100">
        <v>53.6</v>
      </c>
      <c r="H102" s="100">
        <v>22.63</v>
      </c>
      <c r="I102" s="100">
        <v>6.84</v>
      </c>
      <c r="J102" s="100">
        <v>0.11</v>
      </c>
      <c r="K102" s="100">
        <v>236.26</v>
      </c>
      <c r="L102" s="100">
        <v>26.17</v>
      </c>
      <c r="M102" s="100">
        <v>98.65</v>
      </c>
      <c r="N102" s="100">
        <v>2</v>
      </c>
      <c r="O102" s="100">
        <v>0</v>
      </c>
      <c r="P102" s="100">
        <v>0.36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2254</v>
      </c>
      <c r="B103" s="100">
        <v>3.34</v>
      </c>
      <c r="C103" s="100">
        <v>5.4</v>
      </c>
      <c r="D103" s="100">
        <v>3.23</v>
      </c>
      <c r="E103" s="100">
        <v>4.1500000000000004</v>
      </c>
      <c r="F103" s="100">
        <v>1.76</v>
      </c>
      <c r="G103" s="100">
        <v>53.6</v>
      </c>
      <c r="H103" s="100">
        <v>22.63</v>
      </c>
      <c r="I103" s="100">
        <v>6.78</v>
      </c>
      <c r="J103" s="100">
        <v>0.19</v>
      </c>
      <c r="K103" s="100">
        <v>177.85</v>
      </c>
      <c r="L103" s="100">
        <v>26.23</v>
      </c>
      <c r="M103" s="100">
        <v>98.64</v>
      </c>
      <c r="N103" s="100">
        <v>2.2999999999999998</v>
      </c>
      <c r="O103" s="100">
        <v>0</v>
      </c>
      <c r="P103" s="100">
        <v>0.36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2255</v>
      </c>
      <c r="B104" s="100">
        <v>3.48</v>
      </c>
      <c r="C104" s="100">
        <v>5.81</v>
      </c>
      <c r="D104" s="100">
        <v>3.79</v>
      </c>
      <c r="E104" s="100">
        <v>4.49</v>
      </c>
      <c r="F104" s="100">
        <v>1.99</v>
      </c>
      <c r="G104" s="100">
        <v>54.34</v>
      </c>
      <c r="H104" s="100">
        <v>23.57</v>
      </c>
      <c r="I104" s="100">
        <v>6.76</v>
      </c>
      <c r="J104" s="100">
        <v>0.15</v>
      </c>
      <c r="K104" s="100">
        <v>179.01</v>
      </c>
      <c r="L104" s="100">
        <v>26.1</v>
      </c>
      <c r="M104" s="100">
        <v>98.92</v>
      </c>
      <c r="N104" s="100">
        <v>2.2000000000000002</v>
      </c>
      <c r="O104" s="100">
        <v>0</v>
      </c>
      <c r="P104" s="100">
        <v>0.37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2.09</v>
      </c>
      <c r="D106" s="158">
        <f t="shared" ref="D106:Q106" si="0">MIN(D9:D104)</f>
        <v>0.12</v>
      </c>
      <c r="E106" s="158">
        <f t="shared" si="0"/>
        <v>3.88</v>
      </c>
      <c r="F106" s="158">
        <f t="shared" si="0"/>
        <v>0.9</v>
      </c>
      <c r="G106" s="158">
        <f t="shared" si="0"/>
        <v>36.659999999999997</v>
      </c>
      <c r="H106" s="158">
        <f t="shared" si="0"/>
        <v>13.1</v>
      </c>
      <c r="I106" s="158">
        <f t="shared" si="0"/>
        <v>5.12</v>
      </c>
      <c r="J106" s="158">
        <f t="shared" si="0"/>
        <v>0.02</v>
      </c>
      <c r="K106" s="158">
        <f t="shared" si="0"/>
        <v>0.4</v>
      </c>
      <c r="L106" s="158">
        <f t="shared" si="0"/>
        <v>25.34</v>
      </c>
      <c r="M106" s="158">
        <f t="shared" si="0"/>
        <v>71.3</v>
      </c>
      <c r="N106" s="158">
        <f t="shared" si="0"/>
        <v>1.9</v>
      </c>
      <c r="O106" s="158">
        <f t="shared" si="0"/>
        <v>0</v>
      </c>
      <c r="P106" s="158">
        <f t="shared" si="0"/>
        <v>0.23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4.76</v>
      </c>
      <c r="C107" s="157">
        <f t="shared" ref="C107:Q107" si="1">MAX(C9:C104)</f>
        <v>7.08</v>
      </c>
      <c r="D107" s="157">
        <f t="shared" si="1"/>
        <v>4.28</v>
      </c>
      <c r="E107" s="157">
        <f t="shared" si="1"/>
        <v>9.35</v>
      </c>
      <c r="F107" s="157">
        <f t="shared" si="1"/>
        <v>10.28</v>
      </c>
      <c r="G107" s="157">
        <f t="shared" si="1"/>
        <v>69.569999999999993</v>
      </c>
      <c r="H107" s="157">
        <f t="shared" si="1"/>
        <v>31.92</v>
      </c>
      <c r="I107" s="157">
        <f t="shared" si="1"/>
        <v>7.1</v>
      </c>
      <c r="J107" s="157">
        <f t="shared" si="1"/>
        <v>0.95</v>
      </c>
      <c r="K107" s="157">
        <f t="shared" si="1"/>
        <v>358.46</v>
      </c>
      <c r="L107" s="157">
        <f t="shared" si="1"/>
        <v>31.45</v>
      </c>
      <c r="M107" s="157">
        <f t="shared" si="1"/>
        <v>99.14</v>
      </c>
      <c r="N107" s="157">
        <f t="shared" si="1"/>
        <v>346</v>
      </c>
      <c r="O107" s="157">
        <f t="shared" si="1"/>
        <v>1</v>
      </c>
      <c r="P107" s="157">
        <f t="shared" si="1"/>
        <v>0.37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2.7042708333333323</v>
      </c>
      <c r="C108" s="158">
        <f t="shared" ref="C108:Q108" si="2">AVERAGE(C9:C104)</f>
        <v>4.6073958333333325</v>
      </c>
      <c r="D108" s="158">
        <f t="shared" si="2"/>
        <v>2.686145833333335</v>
      </c>
      <c r="E108" s="158">
        <f t="shared" si="2"/>
        <v>5.6258333333333317</v>
      </c>
      <c r="F108" s="158">
        <f t="shared" si="2"/>
        <v>3.2690625</v>
      </c>
      <c r="G108" s="158">
        <f t="shared" si="2"/>
        <v>50.613020833333358</v>
      </c>
      <c r="H108" s="158">
        <f t="shared" si="2"/>
        <v>21.608020833333342</v>
      </c>
      <c r="I108" s="158">
        <f t="shared" si="2"/>
        <v>6.1642708333333296</v>
      </c>
      <c r="J108" s="158">
        <f t="shared" si="2"/>
        <v>0.29260416666666661</v>
      </c>
      <c r="K108" s="158">
        <f t="shared" si="2"/>
        <v>129.20447916666666</v>
      </c>
      <c r="L108" s="158">
        <f t="shared" si="2"/>
        <v>27.659999999999986</v>
      </c>
      <c r="M108" s="158">
        <f t="shared" si="2"/>
        <v>89.342812499999965</v>
      </c>
      <c r="N108" s="158">
        <f t="shared" si="2"/>
        <v>70.061458333333363</v>
      </c>
      <c r="O108" s="158">
        <f t="shared" si="2"/>
        <v>3.7500000000000006E-2</v>
      </c>
      <c r="P108" s="158">
        <f t="shared" si="2"/>
        <v>0.28177083333333325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0.83607320856951794</v>
      </c>
      <c r="C109" s="158">
        <f t="shared" ref="C109:Q109" si="3">STDEV(C9:C104)</f>
        <v>1.0144723749621756</v>
      </c>
      <c r="D109" s="158">
        <f t="shared" si="3"/>
        <v>0.80843887220229083</v>
      </c>
      <c r="E109" s="158">
        <f t="shared" si="3"/>
        <v>1.0891577302684521</v>
      </c>
      <c r="F109" s="158">
        <f t="shared" si="3"/>
        <v>2.3434221840920459</v>
      </c>
      <c r="G109" s="158">
        <f t="shared" si="3"/>
        <v>9.7658846711440237</v>
      </c>
      <c r="H109" s="158">
        <f t="shared" si="3"/>
        <v>4.9774780381849801</v>
      </c>
      <c r="I109" s="158">
        <f t="shared" si="3"/>
        <v>0.4790994727867704</v>
      </c>
      <c r="J109" s="158">
        <f t="shared" si="3"/>
        <v>0.2348717221744521</v>
      </c>
      <c r="K109" s="158">
        <f t="shared" si="3"/>
        <v>99.520019280648356</v>
      </c>
      <c r="L109" s="158">
        <f t="shared" si="3"/>
        <v>1.9046480542416009</v>
      </c>
      <c r="M109" s="158">
        <f t="shared" si="3"/>
        <v>9.3125012416110788</v>
      </c>
      <c r="N109" s="158">
        <f t="shared" si="3"/>
        <v>99.375154545835869</v>
      </c>
      <c r="O109" s="158">
        <f t="shared" si="3"/>
        <v>0.14599927901768628</v>
      </c>
      <c r="P109" s="158">
        <f t="shared" si="3"/>
        <v>3.0400650674015574E-2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6" sqref="G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2256</v>
      </c>
      <c r="B9" s="100">
        <v>2.56</v>
      </c>
      <c r="C9" s="100">
        <v>4.07</v>
      </c>
      <c r="D9" s="100">
        <v>1.87</v>
      </c>
      <c r="E9" s="100">
        <v>4.67</v>
      </c>
      <c r="F9" s="100">
        <v>1.64</v>
      </c>
      <c r="G9" s="100">
        <v>57.52</v>
      </c>
      <c r="H9" s="100">
        <v>26.48</v>
      </c>
      <c r="I9" s="100">
        <v>6.76</v>
      </c>
      <c r="J9" s="100">
        <v>0.08</v>
      </c>
      <c r="K9" s="100">
        <v>244.36</v>
      </c>
      <c r="L9" s="100">
        <v>25.98</v>
      </c>
      <c r="M9" s="100">
        <v>99.21</v>
      </c>
      <c r="N9" s="100">
        <v>2.2000000000000002</v>
      </c>
      <c r="O9" s="100">
        <v>0</v>
      </c>
      <c r="P9" s="100">
        <v>0.37</v>
      </c>
      <c r="Q9" s="100">
        <v>10</v>
      </c>
      <c r="R9" s="6"/>
      <c r="S9" s="6"/>
      <c r="T9" s="156"/>
      <c r="U9" s="6"/>
    </row>
    <row r="10" spans="1:21" customFormat="1">
      <c r="A10" s="163" t="s">
        <v>2257</v>
      </c>
      <c r="B10" s="100">
        <v>1.78</v>
      </c>
      <c r="C10" s="100">
        <v>2.98</v>
      </c>
      <c r="D10" s="100">
        <v>0.98</v>
      </c>
      <c r="E10" s="100">
        <v>4.58</v>
      </c>
      <c r="F10" s="100">
        <v>1.71</v>
      </c>
      <c r="G10" s="100">
        <v>57.52</v>
      </c>
      <c r="H10" s="100">
        <v>26.48</v>
      </c>
      <c r="I10" s="100">
        <v>6.75</v>
      </c>
      <c r="J10" s="100">
        <v>0.08</v>
      </c>
      <c r="K10" s="100">
        <v>253.68</v>
      </c>
      <c r="L10" s="100">
        <v>25.98</v>
      </c>
      <c r="M10" s="100">
        <v>99.32</v>
      </c>
      <c r="N10" s="100">
        <v>2.1</v>
      </c>
      <c r="O10" s="100">
        <v>0</v>
      </c>
      <c r="P10" s="100">
        <v>0.37</v>
      </c>
      <c r="Q10" s="100">
        <v>10</v>
      </c>
      <c r="R10" s="6"/>
      <c r="S10" s="6"/>
      <c r="T10" s="156"/>
      <c r="U10" s="6"/>
    </row>
    <row r="11" spans="1:21" customFormat="1">
      <c r="A11" s="163" t="s">
        <v>2258</v>
      </c>
      <c r="B11" s="100">
        <v>3.91</v>
      </c>
      <c r="C11" s="100">
        <v>5.73</v>
      </c>
      <c r="D11" s="100">
        <v>2.97</v>
      </c>
      <c r="E11" s="100">
        <v>4.9400000000000004</v>
      </c>
      <c r="F11" s="100">
        <v>1.22</v>
      </c>
      <c r="G11" s="100">
        <v>57.52</v>
      </c>
      <c r="H11" s="100">
        <v>26.48</v>
      </c>
      <c r="I11" s="100">
        <v>6.69</v>
      </c>
      <c r="J11" s="100">
        <v>0.09</v>
      </c>
      <c r="K11" s="100">
        <v>196.35</v>
      </c>
      <c r="L11" s="100">
        <v>26.05</v>
      </c>
      <c r="M11" s="100">
        <v>99.41</v>
      </c>
      <c r="N11" s="100">
        <v>2.1</v>
      </c>
      <c r="O11" s="100">
        <v>0</v>
      </c>
      <c r="P11" s="100">
        <v>0.37</v>
      </c>
      <c r="Q11" s="100">
        <v>10</v>
      </c>
      <c r="R11" s="6"/>
      <c r="S11" s="6"/>
      <c r="T11" s="156"/>
      <c r="U11" s="6"/>
    </row>
    <row r="12" spans="1:21" customFormat="1">
      <c r="A12" s="163" t="s">
        <v>2259</v>
      </c>
      <c r="B12" s="100">
        <v>3.56</v>
      </c>
      <c r="C12" s="100">
        <v>5.6</v>
      </c>
      <c r="D12" s="100">
        <v>3.26</v>
      </c>
      <c r="E12" s="100">
        <v>4.8499999999999996</v>
      </c>
      <c r="F12" s="100">
        <v>1.96</v>
      </c>
      <c r="G12" s="100">
        <v>57.41</v>
      </c>
      <c r="H12" s="100">
        <v>26.21</v>
      </c>
      <c r="I12" s="100">
        <v>6.62</v>
      </c>
      <c r="J12" s="100">
        <v>0.09</v>
      </c>
      <c r="K12" s="100">
        <v>178.99</v>
      </c>
      <c r="L12" s="100">
        <v>26.14</v>
      </c>
      <c r="M12" s="100">
        <v>99.48</v>
      </c>
      <c r="N12" s="100">
        <v>2.2000000000000002</v>
      </c>
      <c r="O12" s="100">
        <v>0</v>
      </c>
      <c r="P12" s="100">
        <v>0.39</v>
      </c>
      <c r="Q12" s="100">
        <v>10</v>
      </c>
      <c r="R12" s="6"/>
      <c r="S12" s="6"/>
      <c r="T12" s="156"/>
      <c r="U12" s="6"/>
    </row>
    <row r="13" spans="1:21" customFormat="1">
      <c r="A13" s="163" t="s">
        <v>2260</v>
      </c>
      <c r="B13" s="100">
        <v>3.73</v>
      </c>
      <c r="C13" s="100">
        <v>5.71</v>
      </c>
      <c r="D13" s="100">
        <v>3.23</v>
      </c>
      <c r="E13" s="100">
        <v>4.88</v>
      </c>
      <c r="F13" s="100">
        <v>1.49</v>
      </c>
      <c r="G13" s="100">
        <v>56.95</v>
      </c>
      <c r="H13" s="100">
        <v>25.34</v>
      </c>
      <c r="I13" s="100">
        <v>6.66</v>
      </c>
      <c r="J13" s="100">
        <v>0.12</v>
      </c>
      <c r="K13" s="100">
        <v>170.2</v>
      </c>
      <c r="L13" s="100">
        <v>26.06</v>
      </c>
      <c r="M13" s="100">
        <v>99.15</v>
      </c>
      <c r="N13" s="100">
        <v>2.2999999999999998</v>
      </c>
      <c r="O13" s="100">
        <v>0</v>
      </c>
      <c r="P13" s="100">
        <v>0.39</v>
      </c>
      <c r="Q13" s="100">
        <v>10</v>
      </c>
      <c r="R13" s="6"/>
      <c r="S13" s="6"/>
      <c r="T13" s="156"/>
      <c r="U13" s="6"/>
    </row>
    <row r="14" spans="1:21" customFormat="1">
      <c r="A14" s="163" t="s">
        <v>2261</v>
      </c>
      <c r="B14" s="100">
        <v>4.67</v>
      </c>
      <c r="C14" s="100">
        <v>7</v>
      </c>
      <c r="D14" s="100">
        <v>4.25</v>
      </c>
      <c r="E14" s="100">
        <v>4.88</v>
      </c>
      <c r="F14" s="100">
        <v>1.31</v>
      </c>
      <c r="G14" s="100">
        <v>56.95</v>
      </c>
      <c r="H14" s="100">
        <v>25.34</v>
      </c>
      <c r="I14" s="100">
        <v>6.71</v>
      </c>
      <c r="J14" s="100">
        <v>7.0000000000000007E-2</v>
      </c>
      <c r="K14" s="100">
        <v>50.99</v>
      </c>
      <c r="L14" s="100">
        <v>26.12</v>
      </c>
      <c r="M14" s="100">
        <v>98.85</v>
      </c>
      <c r="N14" s="100">
        <v>2.1</v>
      </c>
      <c r="O14" s="100">
        <v>0</v>
      </c>
      <c r="P14" s="100">
        <v>0.39</v>
      </c>
      <c r="Q14" s="100">
        <v>10</v>
      </c>
      <c r="R14" s="6"/>
      <c r="S14" s="6"/>
      <c r="T14" s="156"/>
      <c r="U14" s="6"/>
    </row>
    <row r="15" spans="1:21" customFormat="1">
      <c r="A15" s="163" t="s">
        <v>2262</v>
      </c>
      <c r="B15" s="100">
        <v>3.09</v>
      </c>
      <c r="C15" s="100">
        <v>4.82</v>
      </c>
      <c r="D15" s="100">
        <v>2.4900000000000002</v>
      </c>
      <c r="E15" s="100">
        <v>5.16</v>
      </c>
      <c r="F15" s="100">
        <v>1.73</v>
      </c>
      <c r="G15" s="100">
        <v>56.95</v>
      </c>
      <c r="H15" s="100">
        <v>25.34</v>
      </c>
      <c r="I15" s="100">
        <v>6.86</v>
      </c>
      <c r="J15" s="100">
        <v>0.11</v>
      </c>
      <c r="K15" s="100">
        <v>108.95</v>
      </c>
      <c r="L15" s="100">
        <v>26.25</v>
      </c>
      <c r="M15" s="100">
        <v>98.75</v>
      </c>
      <c r="N15" s="100">
        <v>2.2000000000000002</v>
      </c>
      <c r="O15" s="100">
        <v>0</v>
      </c>
      <c r="P15" s="100">
        <v>0.41</v>
      </c>
      <c r="Q15" s="100">
        <v>10</v>
      </c>
      <c r="R15" s="6"/>
      <c r="S15" s="6"/>
      <c r="T15" s="156"/>
      <c r="U15" s="6"/>
    </row>
    <row r="16" spans="1:21" customFormat="1">
      <c r="A16" s="163" t="s">
        <v>2263</v>
      </c>
      <c r="B16" s="100">
        <v>4.97</v>
      </c>
      <c r="C16" s="100">
        <v>6.93</v>
      </c>
      <c r="D16" s="100">
        <v>3.65</v>
      </c>
      <c r="E16" s="100">
        <v>4.8600000000000003</v>
      </c>
      <c r="F16" s="100">
        <v>1.75</v>
      </c>
      <c r="G16" s="100">
        <v>59.31</v>
      </c>
      <c r="H16" s="100">
        <v>25.98</v>
      </c>
      <c r="I16" s="100">
        <v>7</v>
      </c>
      <c r="J16" s="100">
        <v>0.15</v>
      </c>
      <c r="K16" s="100">
        <v>157.08000000000001</v>
      </c>
      <c r="L16" s="100">
        <v>26.35</v>
      </c>
      <c r="M16" s="100">
        <v>96.87</v>
      </c>
      <c r="N16" s="100">
        <v>2.2000000000000002</v>
      </c>
      <c r="O16" s="100">
        <v>0</v>
      </c>
      <c r="P16" s="100">
        <v>0.43</v>
      </c>
      <c r="Q16" s="100">
        <v>10</v>
      </c>
      <c r="R16" s="6"/>
      <c r="S16" s="6"/>
      <c r="T16" s="156"/>
      <c r="U16" s="6"/>
    </row>
    <row r="17" spans="1:21" customFormat="1">
      <c r="A17" s="163" t="s">
        <v>2264</v>
      </c>
      <c r="B17" s="100">
        <v>3.02</v>
      </c>
      <c r="C17" s="100">
        <v>4.42</v>
      </c>
      <c r="D17" s="100">
        <v>1.85</v>
      </c>
      <c r="E17" s="100">
        <v>4.2300000000000004</v>
      </c>
      <c r="F17" s="100">
        <v>1.72</v>
      </c>
      <c r="G17" s="100">
        <v>70.2</v>
      </c>
      <c r="H17" s="100">
        <v>28.17</v>
      </c>
      <c r="I17" s="100">
        <v>7.28</v>
      </c>
      <c r="J17" s="100">
        <v>0.15</v>
      </c>
      <c r="K17" s="100">
        <v>158.08000000000001</v>
      </c>
      <c r="L17" s="100">
        <v>26.24</v>
      </c>
      <c r="M17" s="100">
        <v>97.04</v>
      </c>
      <c r="N17" s="100">
        <v>2.2000000000000002</v>
      </c>
      <c r="O17" s="100">
        <v>0</v>
      </c>
      <c r="P17" s="100">
        <v>0.45</v>
      </c>
      <c r="Q17" s="100">
        <v>10</v>
      </c>
      <c r="R17" s="6"/>
      <c r="S17" s="6"/>
      <c r="T17" s="156"/>
      <c r="U17" s="6"/>
    </row>
    <row r="18" spans="1:21" customFormat="1">
      <c r="A18" s="163" t="s">
        <v>2265</v>
      </c>
      <c r="B18" s="100">
        <v>3.2</v>
      </c>
      <c r="C18" s="100">
        <v>4.55</v>
      </c>
      <c r="D18" s="100">
        <v>1.8</v>
      </c>
      <c r="E18" s="100">
        <v>5.19</v>
      </c>
      <c r="F18" s="100">
        <v>1.54</v>
      </c>
      <c r="G18" s="100">
        <v>70.2</v>
      </c>
      <c r="H18" s="100">
        <v>28.17</v>
      </c>
      <c r="I18" s="100">
        <v>7.64</v>
      </c>
      <c r="J18" s="100">
        <v>0.13</v>
      </c>
      <c r="K18" s="100">
        <v>157.80000000000001</v>
      </c>
      <c r="L18" s="100">
        <v>26.2</v>
      </c>
      <c r="M18" s="100">
        <v>97.53</v>
      </c>
      <c r="N18" s="100">
        <v>2.1</v>
      </c>
      <c r="O18" s="100">
        <v>0</v>
      </c>
      <c r="P18" s="100">
        <v>0.47</v>
      </c>
      <c r="Q18" s="100">
        <v>10</v>
      </c>
      <c r="R18" s="6"/>
      <c r="S18" s="6"/>
      <c r="T18" s="156"/>
      <c r="U18" s="6"/>
    </row>
    <row r="19" spans="1:21" customFormat="1">
      <c r="A19" s="163" t="s">
        <v>2266</v>
      </c>
      <c r="B19" s="100">
        <v>3.64</v>
      </c>
      <c r="C19" s="100">
        <v>5.19</v>
      </c>
      <c r="D19" s="100">
        <v>2.36</v>
      </c>
      <c r="E19" s="100">
        <v>5.43</v>
      </c>
      <c r="F19" s="100">
        <v>1.41</v>
      </c>
      <c r="G19" s="100">
        <v>70.2</v>
      </c>
      <c r="H19" s="100">
        <v>28.17</v>
      </c>
      <c r="I19" s="100">
        <v>7.97</v>
      </c>
      <c r="J19" s="100">
        <v>0.09</v>
      </c>
      <c r="K19" s="100">
        <v>197.06</v>
      </c>
      <c r="L19" s="100">
        <v>26.15</v>
      </c>
      <c r="M19" s="100">
        <v>97.98</v>
      </c>
      <c r="N19" s="100">
        <v>2.1</v>
      </c>
      <c r="O19" s="100">
        <v>0</v>
      </c>
      <c r="P19" s="100">
        <v>0.48</v>
      </c>
      <c r="Q19" s="100">
        <v>10</v>
      </c>
      <c r="R19" s="6"/>
      <c r="S19" s="6"/>
      <c r="T19" s="156"/>
      <c r="U19" s="6"/>
    </row>
    <row r="20" spans="1:21" customFormat="1">
      <c r="A20" s="163" t="s">
        <v>2267</v>
      </c>
      <c r="B20" s="100">
        <v>5.5</v>
      </c>
      <c r="C20" s="100">
        <v>7.44</v>
      </c>
      <c r="D20" s="100">
        <v>3.81</v>
      </c>
      <c r="E20" s="100">
        <v>5.05</v>
      </c>
      <c r="F20" s="100">
        <v>2.38</v>
      </c>
      <c r="G20" s="100">
        <v>69.510000000000005</v>
      </c>
      <c r="H20" s="100">
        <v>28.65</v>
      </c>
      <c r="I20" s="100">
        <v>8.34</v>
      </c>
      <c r="J20" s="100">
        <v>0.1</v>
      </c>
      <c r="K20" s="100">
        <v>181.71</v>
      </c>
      <c r="L20" s="100">
        <v>26.08</v>
      </c>
      <c r="M20" s="100">
        <v>98.29</v>
      </c>
      <c r="N20" s="100">
        <v>2.2000000000000002</v>
      </c>
      <c r="O20" s="100">
        <v>0</v>
      </c>
      <c r="P20" s="100">
        <v>0.51</v>
      </c>
      <c r="Q20" s="100">
        <v>10</v>
      </c>
      <c r="R20" s="6"/>
      <c r="S20" s="6"/>
      <c r="T20" s="156"/>
      <c r="U20" s="6"/>
    </row>
    <row r="21" spans="1:21" customFormat="1">
      <c r="A21" s="163" t="s">
        <v>2268</v>
      </c>
      <c r="B21" s="100">
        <v>5.12</v>
      </c>
      <c r="C21" s="100">
        <v>6.77</v>
      </c>
      <c r="D21" s="100">
        <v>3.12</v>
      </c>
      <c r="E21" s="100">
        <v>5.37</v>
      </c>
      <c r="F21" s="100">
        <v>1.5</v>
      </c>
      <c r="G21" s="100">
        <v>66.290000000000006</v>
      </c>
      <c r="H21" s="100">
        <v>31.1</v>
      </c>
      <c r="I21" s="100">
        <v>8.66</v>
      </c>
      <c r="J21" s="100">
        <v>0.13</v>
      </c>
      <c r="K21" s="100">
        <v>159.97</v>
      </c>
      <c r="L21" s="100">
        <v>26.06</v>
      </c>
      <c r="M21" s="100">
        <v>98.33</v>
      </c>
      <c r="N21" s="100">
        <v>2.1</v>
      </c>
      <c r="O21" s="100">
        <v>0</v>
      </c>
      <c r="P21" s="100">
        <v>0.51</v>
      </c>
      <c r="Q21" s="100">
        <v>10</v>
      </c>
      <c r="R21" s="6"/>
      <c r="S21" s="6"/>
      <c r="T21" s="156"/>
      <c r="U21" s="6"/>
    </row>
    <row r="22" spans="1:21" customFormat="1">
      <c r="A22" s="163" t="s">
        <v>2269</v>
      </c>
      <c r="B22" s="100">
        <v>4.22</v>
      </c>
      <c r="C22" s="100">
        <v>5.55</v>
      </c>
      <c r="D22" s="100">
        <v>2.15</v>
      </c>
      <c r="E22" s="100">
        <v>5.63</v>
      </c>
      <c r="F22" s="100">
        <v>1.41</v>
      </c>
      <c r="G22" s="100">
        <v>66.290000000000006</v>
      </c>
      <c r="H22" s="100">
        <v>31.1</v>
      </c>
      <c r="I22" s="100">
        <v>8.93</v>
      </c>
      <c r="J22" s="100">
        <v>0.15</v>
      </c>
      <c r="K22" s="100">
        <v>143.93</v>
      </c>
      <c r="L22" s="100">
        <v>26.15</v>
      </c>
      <c r="M22" s="100">
        <v>98.37</v>
      </c>
      <c r="N22" s="100">
        <v>2.1</v>
      </c>
      <c r="O22" s="100">
        <v>0</v>
      </c>
      <c r="P22" s="100">
        <v>0.52</v>
      </c>
      <c r="Q22" s="100">
        <v>10</v>
      </c>
      <c r="R22" s="6"/>
      <c r="S22" s="6"/>
      <c r="T22" s="156"/>
      <c r="U22" s="6"/>
    </row>
    <row r="23" spans="1:21" customFormat="1">
      <c r="A23" s="163" t="s">
        <v>2270</v>
      </c>
      <c r="B23" s="100">
        <v>2.4700000000000002</v>
      </c>
      <c r="C23" s="100">
        <v>3.56</v>
      </c>
      <c r="D23" s="100">
        <v>1.04</v>
      </c>
      <c r="E23" s="100">
        <v>5.58</v>
      </c>
      <c r="F23" s="100">
        <v>1.56</v>
      </c>
      <c r="G23" s="100">
        <v>66.290000000000006</v>
      </c>
      <c r="H23" s="100">
        <v>31.1</v>
      </c>
      <c r="I23" s="100">
        <v>9.16</v>
      </c>
      <c r="J23" s="100">
        <v>0.28999999999999998</v>
      </c>
      <c r="K23" s="100">
        <v>162.38</v>
      </c>
      <c r="L23" s="100">
        <v>26.13</v>
      </c>
      <c r="M23" s="100">
        <v>98.36</v>
      </c>
      <c r="N23" s="100">
        <v>2.2000000000000002</v>
      </c>
      <c r="O23" s="100">
        <v>0</v>
      </c>
      <c r="P23" s="100">
        <v>0.53</v>
      </c>
      <c r="Q23" s="100">
        <v>10</v>
      </c>
      <c r="R23" s="6"/>
      <c r="S23" s="6"/>
      <c r="T23" s="156"/>
      <c r="U23" s="6"/>
    </row>
    <row r="24" spans="1:21" customFormat="1">
      <c r="A24" s="163" t="s">
        <v>2271</v>
      </c>
      <c r="B24" s="100">
        <v>2.6</v>
      </c>
      <c r="C24" s="100">
        <v>3.77</v>
      </c>
      <c r="D24" s="100">
        <v>1.24</v>
      </c>
      <c r="E24" s="100">
        <v>5.54</v>
      </c>
      <c r="F24" s="100">
        <v>0.67</v>
      </c>
      <c r="G24" s="100">
        <v>67.150000000000006</v>
      </c>
      <c r="H24" s="100">
        <v>30.42</v>
      </c>
      <c r="I24" s="100">
        <v>9.32</v>
      </c>
      <c r="J24" s="100">
        <v>0.18</v>
      </c>
      <c r="K24" s="100">
        <v>147.72</v>
      </c>
      <c r="L24" s="100">
        <v>25.99</v>
      </c>
      <c r="M24" s="100">
        <v>98.37</v>
      </c>
      <c r="N24" s="100">
        <v>2.1</v>
      </c>
      <c r="O24" s="100">
        <v>0</v>
      </c>
      <c r="P24" s="100">
        <v>0.53</v>
      </c>
      <c r="Q24" s="100">
        <v>10</v>
      </c>
      <c r="R24" s="6"/>
      <c r="S24" s="6"/>
      <c r="T24" s="156"/>
      <c r="U24" s="6"/>
    </row>
    <row r="25" spans="1:21" customFormat="1">
      <c r="A25" s="163" t="s">
        <v>2272</v>
      </c>
      <c r="B25" s="100">
        <v>4.2300000000000004</v>
      </c>
      <c r="C25" s="100">
        <v>5.59</v>
      </c>
      <c r="D25" s="100">
        <v>2.2200000000000002</v>
      </c>
      <c r="E25" s="100">
        <v>5.22</v>
      </c>
      <c r="F25" s="100">
        <v>1</v>
      </c>
      <c r="G25" s="100">
        <v>71.13</v>
      </c>
      <c r="H25" s="100">
        <v>28.22</v>
      </c>
      <c r="I25" s="100">
        <v>9.52</v>
      </c>
      <c r="J25" s="100">
        <v>0.1</v>
      </c>
      <c r="K25" s="100">
        <v>178.87</v>
      </c>
      <c r="L25" s="100">
        <v>25.84</v>
      </c>
      <c r="M25" s="100">
        <v>98.42</v>
      </c>
      <c r="N25" s="100">
        <v>2.1</v>
      </c>
      <c r="O25" s="100">
        <v>0</v>
      </c>
      <c r="P25" s="100">
        <v>0.51</v>
      </c>
      <c r="Q25" s="100">
        <v>10</v>
      </c>
      <c r="R25" s="6"/>
      <c r="S25" s="6"/>
      <c r="T25" s="156"/>
      <c r="U25" s="6"/>
    </row>
    <row r="26" spans="1:21" customFormat="1">
      <c r="A26" s="163" t="s">
        <v>2273</v>
      </c>
      <c r="B26" s="100">
        <v>4.57</v>
      </c>
      <c r="C26" s="100">
        <v>6.04</v>
      </c>
      <c r="D26" s="100">
        <v>2.57</v>
      </c>
      <c r="E26" s="100">
        <v>4.68</v>
      </c>
      <c r="F26" s="100">
        <v>1.43</v>
      </c>
      <c r="G26" s="100">
        <v>71.13</v>
      </c>
      <c r="H26" s="100">
        <v>28.22</v>
      </c>
      <c r="I26" s="100">
        <v>9.7200000000000006</v>
      </c>
      <c r="J26" s="100">
        <v>7.0000000000000007E-2</v>
      </c>
      <c r="K26" s="100">
        <v>192.56</v>
      </c>
      <c r="L26" s="100">
        <v>25.72</v>
      </c>
      <c r="M26" s="100">
        <v>98.45</v>
      </c>
      <c r="N26" s="100">
        <v>2.1</v>
      </c>
      <c r="O26" s="100">
        <v>0</v>
      </c>
      <c r="P26" s="100">
        <v>0.5</v>
      </c>
      <c r="Q26" s="100">
        <v>10</v>
      </c>
      <c r="R26" s="6"/>
      <c r="S26" s="6"/>
      <c r="T26" s="156"/>
      <c r="U26" s="6"/>
    </row>
    <row r="27" spans="1:21" customFormat="1">
      <c r="A27" s="163" t="s">
        <v>2274</v>
      </c>
      <c r="B27" s="100">
        <v>3.96</v>
      </c>
      <c r="C27" s="100">
        <v>5.34</v>
      </c>
      <c r="D27" s="100">
        <v>2.1800000000000002</v>
      </c>
      <c r="E27" s="100">
        <v>4.1900000000000004</v>
      </c>
      <c r="F27" s="100">
        <v>1.79</v>
      </c>
      <c r="G27" s="100">
        <v>71.13</v>
      </c>
      <c r="H27" s="100">
        <v>28.22</v>
      </c>
      <c r="I27" s="100">
        <v>9.7799999999999994</v>
      </c>
      <c r="J27" s="100">
        <v>0.06</v>
      </c>
      <c r="K27" s="100">
        <v>197.73</v>
      </c>
      <c r="L27" s="100">
        <v>25.76</v>
      </c>
      <c r="M27" s="100">
        <v>98.51</v>
      </c>
      <c r="N27" s="100">
        <v>2.1</v>
      </c>
      <c r="O27" s="100">
        <v>0</v>
      </c>
      <c r="P27" s="100">
        <v>0.49</v>
      </c>
      <c r="Q27" s="100">
        <v>10</v>
      </c>
      <c r="R27" s="6"/>
      <c r="S27" s="6"/>
      <c r="T27" s="156"/>
      <c r="U27" s="6"/>
    </row>
    <row r="28" spans="1:21" customFormat="1">
      <c r="A28" s="163" t="s">
        <v>2275</v>
      </c>
      <c r="B28" s="100">
        <v>5.62</v>
      </c>
      <c r="C28" s="100">
        <v>7.24</v>
      </c>
      <c r="D28" s="100">
        <v>3.24</v>
      </c>
      <c r="E28" s="100">
        <v>4.42</v>
      </c>
      <c r="F28" s="100">
        <v>2.2000000000000002</v>
      </c>
      <c r="G28" s="100">
        <v>69.81</v>
      </c>
      <c r="H28" s="100">
        <v>28</v>
      </c>
      <c r="I28" s="100">
        <v>9.89</v>
      </c>
      <c r="J28" s="100">
        <v>0.17</v>
      </c>
      <c r="K28" s="100">
        <v>142.80000000000001</v>
      </c>
      <c r="L28" s="100">
        <v>25.76</v>
      </c>
      <c r="M28" s="100">
        <v>98.54</v>
      </c>
      <c r="N28" s="100">
        <v>2.1</v>
      </c>
      <c r="O28" s="100">
        <v>0</v>
      </c>
      <c r="P28" s="100">
        <v>0.51</v>
      </c>
      <c r="Q28" s="100">
        <v>10</v>
      </c>
      <c r="R28" s="6"/>
      <c r="S28" s="6"/>
      <c r="T28" s="156"/>
      <c r="U28" s="6"/>
    </row>
    <row r="29" spans="1:21" customFormat="1">
      <c r="A29" s="163" t="s">
        <v>2276</v>
      </c>
      <c r="B29" s="100">
        <v>4.59</v>
      </c>
      <c r="C29" s="100">
        <v>6.08</v>
      </c>
      <c r="D29" s="100">
        <v>2.62</v>
      </c>
      <c r="E29" s="100">
        <v>4.84</v>
      </c>
      <c r="F29" s="100">
        <v>1.02</v>
      </c>
      <c r="G29" s="100">
        <v>63.66</v>
      </c>
      <c r="H29" s="100">
        <v>27.29</v>
      </c>
      <c r="I29" s="100">
        <v>9.82</v>
      </c>
      <c r="J29" s="100">
        <v>0.08</v>
      </c>
      <c r="K29" s="100">
        <v>149.35</v>
      </c>
      <c r="L29" s="100">
        <v>25.76</v>
      </c>
      <c r="M29" s="100">
        <v>98.59</v>
      </c>
      <c r="N29" s="100">
        <v>2.1</v>
      </c>
      <c r="O29" s="100">
        <v>0</v>
      </c>
      <c r="P29" s="100">
        <v>0.5</v>
      </c>
      <c r="Q29" s="100">
        <v>10</v>
      </c>
      <c r="R29" s="6"/>
      <c r="S29" s="6"/>
      <c r="T29" s="156"/>
      <c r="U29" s="6"/>
    </row>
    <row r="30" spans="1:21" customFormat="1">
      <c r="A30" s="163" t="s">
        <v>2277</v>
      </c>
      <c r="B30" s="100">
        <v>5.49</v>
      </c>
      <c r="C30" s="100">
        <v>7.09</v>
      </c>
      <c r="D30" s="100">
        <v>3.17</v>
      </c>
      <c r="E30" s="100">
        <v>4.53</v>
      </c>
      <c r="F30" s="100">
        <v>1.45</v>
      </c>
      <c r="G30" s="100">
        <v>63.66</v>
      </c>
      <c r="H30" s="100">
        <v>27.29</v>
      </c>
      <c r="I30" s="100">
        <v>9.89</v>
      </c>
      <c r="J30" s="100">
        <v>0.1</v>
      </c>
      <c r="K30" s="100">
        <v>213.96</v>
      </c>
      <c r="L30" s="100">
        <v>25.66</v>
      </c>
      <c r="M30" s="100">
        <v>98.63</v>
      </c>
      <c r="N30" s="100">
        <v>2.4</v>
      </c>
      <c r="O30" s="100">
        <v>0</v>
      </c>
      <c r="P30" s="100">
        <v>0.48</v>
      </c>
      <c r="Q30" s="100">
        <v>10</v>
      </c>
      <c r="R30" s="6"/>
      <c r="S30" s="6"/>
      <c r="T30" s="156"/>
      <c r="U30" s="6"/>
    </row>
    <row r="31" spans="1:21" customFormat="1">
      <c r="A31" s="163" t="s">
        <v>2278</v>
      </c>
      <c r="B31" s="100">
        <v>4.74</v>
      </c>
      <c r="C31" s="100">
        <v>6.24</v>
      </c>
      <c r="D31" s="100">
        <v>2.7</v>
      </c>
      <c r="E31" s="100">
        <v>5.01</v>
      </c>
      <c r="F31" s="100">
        <v>2.14</v>
      </c>
      <c r="G31" s="100">
        <v>63.66</v>
      </c>
      <c r="H31" s="100">
        <v>27.29</v>
      </c>
      <c r="I31" s="100">
        <v>9.9</v>
      </c>
      <c r="J31" s="100">
        <v>0.09</v>
      </c>
      <c r="K31" s="100">
        <v>185.99</v>
      </c>
      <c r="L31" s="100">
        <v>25.62</v>
      </c>
      <c r="M31" s="100">
        <v>98.67</v>
      </c>
      <c r="N31" s="100">
        <v>4</v>
      </c>
      <c r="O31" s="100">
        <v>0</v>
      </c>
      <c r="P31" s="100">
        <v>0.5</v>
      </c>
      <c r="Q31" s="100">
        <v>10</v>
      </c>
      <c r="R31" s="6"/>
      <c r="S31" s="6"/>
      <c r="T31" s="156"/>
      <c r="U31" s="6"/>
    </row>
    <row r="32" spans="1:21" customFormat="1">
      <c r="A32" s="163" t="s">
        <v>2279</v>
      </c>
      <c r="B32" s="100">
        <v>3.63</v>
      </c>
      <c r="C32" s="100">
        <v>4.95</v>
      </c>
      <c r="D32" s="100">
        <v>1.93</v>
      </c>
      <c r="E32" s="100">
        <v>4.9800000000000004</v>
      </c>
      <c r="F32" s="100">
        <v>1.29</v>
      </c>
      <c r="G32" s="100">
        <v>61.71</v>
      </c>
      <c r="H32" s="100">
        <v>26.94</v>
      </c>
      <c r="I32" s="100">
        <v>9.89</v>
      </c>
      <c r="J32" s="100">
        <v>0.05</v>
      </c>
      <c r="K32" s="100">
        <v>144.35</v>
      </c>
      <c r="L32" s="100">
        <v>25.73</v>
      </c>
      <c r="M32" s="100">
        <v>98.71</v>
      </c>
      <c r="N32" s="100">
        <v>8.5</v>
      </c>
      <c r="O32" s="100">
        <v>0</v>
      </c>
      <c r="P32" s="100">
        <v>0.5</v>
      </c>
      <c r="Q32" s="100">
        <v>10</v>
      </c>
      <c r="R32" s="6"/>
      <c r="S32" s="6"/>
      <c r="T32" s="156"/>
      <c r="U32" s="6"/>
    </row>
    <row r="33" spans="1:21" customFormat="1">
      <c r="A33" s="163" t="s">
        <v>2280</v>
      </c>
      <c r="B33" s="100">
        <v>3.97</v>
      </c>
      <c r="C33" s="100">
        <v>5.37</v>
      </c>
      <c r="D33" s="100">
        <v>2.21</v>
      </c>
      <c r="E33" s="100">
        <v>4.72</v>
      </c>
      <c r="F33" s="100">
        <v>1.87</v>
      </c>
      <c r="G33" s="100">
        <v>52.66</v>
      </c>
      <c r="H33" s="100">
        <v>25.82</v>
      </c>
      <c r="I33" s="100">
        <v>9.86</v>
      </c>
      <c r="J33" s="100">
        <v>0.06</v>
      </c>
      <c r="K33" s="100">
        <v>246.82</v>
      </c>
      <c r="L33" s="100">
        <v>25.85</v>
      </c>
      <c r="M33" s="100">
        <v>98.74</v>
      </c>
      <c r="N33" s="100">
        <v>15.7</v>
      </c>
      <c r="O33" s="100">
        <v>0</v>
      </c>
      <c r="P33" s="100">
        <v>0.49</v>
      </c>
      <c r="Q33" s="100">
        <v>10</v>
      </c>
      <c r="R33" s="6"/>
      <c r="S33" s="6"/>
      <c r="T33" s="156"/>
      <c r="U33" s="6"/>
    </row>
    <row r="34" spans="1:21" customFormat="1">
      <c r="A34" s="163" t="s">
        <v>2281</v>
      </c>
      <c r="B34" s="100">
        <v>5.7</v>
      </c>
      <c r="C34" s="100">
        <v>7.67</v>
      </c>
      <c r="D34" s="100">
        <v>3.95</v>
      </c>
      <c r="E34" s="100">
        <v>5.45</v>
      </c>
      <c r="F34" s="100">
        <v>1.86</v>
      </c>
      <c r="G34" s="100">
        <v>52.66</v>
      </c>
      <c r="H34" s="100">
        <v>25.82</v>
      </c>
      <c r="I34" s="100">
        <v>9.7899999999999991</v>
      </c>
      <c r="J34" s="100">
        <v>0.05</v>
      </c>
      <c r="K34" s="100">
        <v>355.85</v>
      </c>
      <c r="L34" s="100">
        <v>26.04</v>
      </c>
      <c r="M34" s="100">
        <v>98.78</v>
      </c>
      <c r="N34" s="100">
        <v>31.1</v>
      </c>
      <c r="O34" s="100">
        <v>0</v>
      </c>
      <c r="P34" s="100">
        <v>0.51</v>
      </c>
      <c r="Q34" s="100">
        <v>10</v>
      </c>
      <c r="R34" s="6"/>
      <c r="S34" s="6"/>
      <c r="T34" s="156"/>
      <c r="U34" s="6"/>
    </row>
    <row r="35" spans="1:21" customFormat="1">
      <c r="A35" s="163" t="s">
        <v>2282</v>
      </c>
      <c r="B35" s="100">
        <v>2.5</v>
      </c>
      <c r="C35" s="100">
        <v>3.58</v>
      </c>
      <c r="D35" s="100">
        <v>1.04</v>
      </c>
      <c r="E35" s="100">
        <v>5.31</v>
      </c>
      <c r="F35" s="100">
        <v>0.67</v>
      </c>
      <c r="G35" s="100">
        <v>52.66</v>
      </c>
      <c r="H35" s="100">
        <v>25.82</v>
      </c>
      <c r="I35" s="100">
        <v>9.84</v>
      </c>
      <c r="J35" s="100">
        <v>0.09</v>
      </c>
      <c r="K35" s="100">
        <v>218.64</v>
      </c>
      <c r="L35" s="100">
        <v>26.33</v>
      </c>
      <c r="M35" s="100">
        <v>98.82</v>
      </c>
      <c r="N35" s="100">
        <v>45.1</v>
      </c>
      <c r="O35" s="100">
        <v>0</v>
      </c>
      <c r="P35" s="100">
        <v>0.51</v>
      </c>
      <c r="Q35" s="100">
        <v>10</v>
      </c>
      <c r="R35" s="6"/>
      <c r="S35" s="6"/>
      <c r="T35" s="156"/>
      <c r="U35" s="6"/>
    </row>
    <row r="36" spans="1:21" customFormat="1">
      <c r="A36" s="163" t="s">
        <v>2283</v>
      </c>
      <c r="B36" s="100">
        <v>5.84</v>
      </c>
      <c r="C36" s="100">
        <v>7.57</v>
      </c>
      <c r="D36" s="100">
        <v>3.53</v>
      </c>
      <c r="E36" s="100">
        <v>4.4800000000000004</v>
      </c>
      <c r="F36" s="100">
        <v>1.96</v>
      </c>
      <c r="G36" s="100">
        <v>53.19</v>
      </c>
      <c r="H36" s="100">
        <v>26.55</v>
      </c>
      <c r="I36" s="100">
        <v>9.9499999999999993</v>
      </c>
      <c r="J36" s="100">
        <v>0.16</v>
      </c>
      <c r="K36" s="100">
        <v>239.31</v>
      </c>
      <c r="L36" s="100">
        <v>26.71</v>
      </c>
      <c r="M36" s="100">
        <v>98.87</v>
      </c>
      <c r="N36" s="100">
        <v>69.8</v>
      </c>
      <c r="O36" s="100">
        <v>0</v>
      </c>
      <c r="P36" s="100">
        <v>0.48</v>
      </c>
      <c r="Q36" s="100">
        <v>10</v>
      </c>
      <c r="R36" s="6"/>
      <c r="S36" s="6"/>
      <c r="T36" s="156"/>
      <c r="U36" s="6"/>
    </row>
    <row r="37" spans="1:21" customFormat="1">
      <c r="A37" s="163" t="s">
        <v>2284</v>
      </c>
      <c r="B37" s="100">
        <v>2.85</v>
      </c>
      <c r="C37" s="100">
        <v>3.96</v>
      </c>
      <c r="D37" s="100">
        <v>1.24</v>
      </c>
      <c r="E37" s="100">
        <v>4.92</v>
      </c>
      <c r="F37" s="100">
        <v>2.61</v>
      </c>
      <c r="G37" s="100">
        <v>55.63</v>
      </c>
      <c r="H37" s="100">
        <v>29.92</v>
      </c>
      <c r="I37" s="100">
        <v>9.94</v>
      </c>
      <c r="J37" s="100">
        <v>0.28000000000000003</v>
      </c>
      <c r="K37" s="100">
        <v>331.45</v>
      </c>
      <c r="L37" s="100">
        <v>27.15</v>
      </c>
      <c r="M37" s="100">
        <v>97.86</v>
      </c>
      <c r="N37" s="100">
        <v>91</v>
      </c>
      <c r="O37" s="100">
        <v>0</v>
      </c>
      <c r="P37" s="100">
        <v>0.5</v>
      </c>
      <c r="Q37" s="100">
        <v>10</v>
      </c>
      <c r="R37" s="6"/>
      <c r="S37" s="6"/>
      <c r="T37" s="156"/>
      <c r="U37" s="6"/>
    </row>
    <row r="38" spans="1:21" customFormat="1">
      <c r="A38" s="163" t="s">
        <v>2285</v>
      </c>
      <c r="B38" s="100">
        <v>1.72</v>
      </c>
      <c r="C38" s="100">
        <v>2.68</v>
      </c>
      <c r="D38" s="100">
        <v>0.51</v>
      </c>
      <c r="E38" s="100">
        <v>5.37</v>
      </c>
      <c r="F38" s="100">
        <v>1.69</v>
      </c>
      <c r="G38" s="100">
        <v>55.63</v>
      </c>
      <c r="H38" s="100">
        <v>29.92</v>
      </c>
      <c r="I38" s="100">
        <v>10.029999999999999</v>
      </c>
      <c r="J38" s="100">
        <v>0.2</v>
      </c>
      <c r="K38" s="100">
        <v>30.78</v>
      </c>
      <c r="L38" s="100">
        <v>27.61</v>
      </c>
      <c r="M38" s="100">
        <v>93.56</v>
      </c>
      <c r="N38" s="100">
        <v>94.8</v>
      </c>
      <c r="O38" s="100">
        <v>0</v>
      </c>
      <c r="P38" s="100">
        <v>0.52</v>
      </c>
      <c r="Q38" s="100">
        <v>10</v>
      </c>
      <c r="R38" s="6"/>
      <c r="S38" s="6"/>
      <c r="T38" s="156"/>
      <c r="U38" s="6"/>
    </row>
    <row r="39" spans="1:21" customFormat="1">
      <c r="A39" s="163" t="s">
        <v>2286</v>
      </c>
      <c r="B39" s="100">
        <v>3.18</v>
      </c>
      <c r="C39" s="100">
        <v>4.41</v>
      </c>
      <c r="D39" s="100">
        <v>1.58</v>
      </c>
      <c r="E39" s="100">
        <v>5.65</v>
      </c>
      <c r="F39" s="100">
        <v>4.53</v>
      </c>
      <c r="G39" s="100">
        <v>55.63</v>
      </c>
      <c r="H39" s="100">
        <v>29.92</v>
      </c>
      <c r="I39" s="100">
        <v>10.09</v>
      </c>
      <c r="J39" s="100">
        <v>0.18</v>
      </c>
      <c r="K39" s="100">
        <v>107</v>
      </c>
      <c r="L39" s="100">
        <v>28.24</v>
      </c>
      <c r="M39" s="100">
        <v>89.47</v>
      </c>
      <c r="N39" s="100">
        <v>114.7</v>
      </c>
      <c r="O39" s="100">
        <v>0</v>
      </c>
      <c r="P39" s="100">
        <v>0.49</v>
      </c>
      <c r="Q39" s="100">
        <v>10</v>
      </c>
      <c r="R39" s="6"/>
      <c r="S39" s="6"/>
      <c r="T39" s="156"/>
      <c r="U39" s="6"/>
    </row>
    <row r="40" spans="1:21" customFormat="1">
      <c r="A40" s="163" t="s">
        <v>2287</v>
      </c>
      <c r="B40" s="100">
        <v>4.8</v>
      </c>
      <c r="C40" s="100">
        <v>6.21</v>
      </c>
      <c r="D40" s="100">
        <v>2.54</v>
      </c>
      <c r="E40" s="100">
        <v>5.6</v>
      </c>
      <c r="F40" s="100">
        <v>2.63</v>
      </c>
      <c r="G40" s="100">
        <v>56.7</v>
      </c>
      <c r="H40" s="100">
        <v>30.06</v>
      </c>
      <c r="I40" s="100">
        <v>10.35</v>
      </c>
      <c r="J40" s="100">
        <v>0.1</v>
      </c>
      <c r="K40" s="100">
        <v>6.2</v>
      </c>
      <c r="L40" s="100">
        <v>28.77</v>
      </c>
      <c r="M40" s="100">
        <v>85.18</v>
      </c>
      <c r="N40" s="100">
        <v>128.69999999999999</v>
      </c>
      <c r="O40" s="100">
        <v>0</v>
      </c>
      <c r="P40" s="100">
        <v>0.49</v>
      </c>
      <c r="Q40" s="100">
        <v>10</v>
      </c>
      <c r="R40" s="6"/>
      <c r="S40" s="6"/>
      <c r="T40" s="156"/>
      <c r="U40" s="6"/>
    </row>
    <row r="41" spans="1:21" customFormat="1">
      <c r="A41" s="163" t="s">
        <v>2288</v>
      </c>
      <c r="B41" s="100">
        <v>3.99</v>
      </c>
      <c r="C41" s="100">
        <v>5.37</v>
      </c>
      <c r="D41" s="100">
        <v>2.17</v>
      </c>
      <c r="E41" s="100">
        <v>5.69</v>
      </c>
      <c r="F41" s="100">
        <v>4</v>
      </c>
      <c r="G41" s="100">
        <v>61.63</v>
      </c>
      <c r="H41" s="100">
        <v>30.48</v>
      </c>
      <c r="I41" s="100">
        <v>10.199999999999999</v>
      </c>
      <c r="J41" s="100">
        <v>0.03</v>
      </c>
      <c r="K41" s="100">
        <v>49.71</v>
      </c>
      <c r="L41" s="100">
        <v>29.06</v>
      </c>
      <c r="M41" s="100">
        <v>83.14</v>
      </c>
      <c r="N41" s="100">
        <v>159.30000000000001</v>
      </c>
      <c r="O41" s="100">
        <v>0</v>
      </c>
      <c r="P41" s="100">
        <v>0.48</v>
      </c>
      <c r="Q41" s="100">
        <v>10</v>
      </c>
      <c r="R41" s="6"/>
      <c r="S41" s="6"/>
      <c r="T41" s="156"/>
      <c r="U41" s="6"/>
    </row>
    <row r="42" spans="1:21" customFormat="1">
      <c r="A42" s="163" t="s">
        <v>2289</v>
      </c>
      <c r="B42" s="100">
        <v>3.9</v>
      </c>
      <c r="C42" s="100">
        <v>5.38</v>
      </c>
      <c r="D42" s="100">
        <v>2.3199999999999998</v>
      </c>
      <c r="E42" s="100">
        <v>6</v>
      </c>
      <c r="F42" s="100">
        <v>5.17</v>
      </c>
      <c r="G42" s="100">
        <v>61.63</v>
      </c>
      <c r="H42" s="100">
        <v>30.48</v>
      </c>
      <c r="I42" s="100">
        <v>10</v>
      </c>
      <c r="J42" s="100">
        <v>0.2</v>
      </c>
      <c r="K42" s="100">
        <v>4.21</v>
      </c>
      <c r="L42" s="100">
        <v>29.54</v>
      </c>
      <c r="M42" s="100">
        <v>80.58</v>
      </c>
      <c r="N42" s="100">
        <v>202.2</v>
      </c>
      <c r="O42" s="100">
        <v>0</v>
      </c>
      <c r="P42" s="100">
        <v>0.46</v>
      </c>
      <c r="Q42" s="100">
        <v>10</v>
      </c>
      <c r="R42" s="6"/>
      <c r="S42" s="6"/>
      <c r="T42" s="156"/>
      <c r="U42" s="6"/>
    </row>
    <row r="43" spans="1:21" customFormat="1">
      <c r="A43" s="163" t="s">
        <v>2290</v>
      </c>
      <c r="B43" s="100">
        <v>5.33</v>
      </c>
      <c r="C43" s="100">
        <v>7.17</v>
      </c>
      <c r="D43" s="100">
        <v>3.57</v>
      </c>
      <c r="E43" s="100">
        <v>5.58</v>
      </c>
      <c r="F43" s="100">
        <v>3.11</v>
      </c>
      <c r="G43" s="100">
        <v>61.63</v>
      </c>
      <c r="H43" s="100">
        <v>30.48</v>
      </c>
      <c r="I43" s="100">
        <v>9.64</v>
      </c>
      <c r="J43" s="100">
        <v>0.1</v>
      </c>
      <c r="K43" s="100">
        <v>143.18</v>
      </c>
      <c r="L43" s="100">
        <v>29.76</v>
      </c>
      <c r="M43" s="100">
        <v>80.48</v>
      </c>
      <c r="N43" s="100">
        <v>186</v>
      </c>
      <c r="O43" s="100">
        <v>0</v>
      </c>
      <c r="P43" s="100">
        <v>0.48</v>
      </c>
      <c r="Q43" s="100">
        <v>10</v>
      </c>
      <c r="R43" s="6"/>
      <c r="S43" s="6"/>
      <c r="T43" s="156"/>
      <c r="U43" s="6"/>
    </row>
    <row r="44" spans="1:21" customFormat="1">
      <c r="A44" s="163" t="s">
        <v>2291</v>
      </c>
      <c r="B44" s="100">
        <v>2.2000000000000002</v>
      </c>
      <c r="C44" s="100">
        <v>3.34</v>
      </c>
      <c r="D44" s="100">
        <v>1.04</v>
      </c>
      <c r="E44" s="100">
        <v>5.45</v>
      </c>
      <c r="F44" s="100">
        <v>4.3499999999999996</v>
      </c>
      <c r="G44" s="100">
        <v>61.95</v>
      </c>
      <c r="H44" s="100">
        <v>30.51</v>
      </c>
      <c r="I44" s="100">
        <v>9.42</v>
      </c>
      <c r="J44" s="100">
        <v>0.14000000000000001</v>
      </c>
      <c r="K44" s="100">
        <v>108.32</v>
      </c>
      <c r="L44" s="100">
        <v>30</v>
      </c>
      <c r="M44" s="100">
        <v>79.930000000000007</v>
      </c>
      <c r="N44" s="100">
        <v>202.7</v>
      </c>
      <c r="O44" s="100">
        <v>0</v>
      </c>
      <c r="P44" s="100">
        <v>0.48</v>
      </c>
      <c r="Q44" s="100">
        <v>10</v>
      </c>
      <c r="R44" s="6"/>
      <c r="S44" s="6"/>
      <c r="T44" s="156"/>
      <c r="U44" s="6"/>
    </row>
    <row r="45" spans="1:21" customFormat="1">
      <c r="A45" s="163" t="s">
        <v>2292</v>
      </c>
      <c r="B45" s="100">
        <v>4.51</v>
      </c>
      <c r="C45" s="100">
        <v>6.65</v>
      </c>
      <c r="D45" s="100">
        <v>3.82</v>
      </c>
      <c r="E45" s="100">
        <v>5.49</v>
      </c>
      <c r="F45" s="100">
        <v>1.84</v>
      </c>
      <c r="G45" s="100">
        <v>63.44</v>
      </c>
      <c r="H45" s="100">
        <v>30.61</v>
      </c>
      <c r="I45" s="100">
        <v>9.5</v>
      </c>
      <c r="J45" s="100">
        <v>0.32</v>
      </c>
      <c r="K45" s="100">
        <v>148.74</v>
      </c>
      <c r="L45" s="100">
        <v>30.42</v>
      </c>
      <c r="M45" s="100">
        <v>77.17</v>
      </c>
      <c r="N45" s="100">
        <v>193.2</v>
      </c>
      <c r="O45" s="100">
        <v>0</v>
      </c>
      <c r="P45" s="100">
        <v>0.47</v>
      </c>
      <c r="Q45" s="100">
        <v>10</v>
      </c>
      <c r="R45" s="6"/>
      <c r="S45" s="6"/>
      <c r="T45" s="156"/>
      <c r="U45" s="6"/>
    </row>
    <row r="46" spans="1:21" customFormat="1">
      <c r="A46" s="163" t="s">
        <v>2293</v>
      </c>
      <c r="B46" s="100">
        <v>2.75</v>
      </c>
      <c r="C46" s="100">
        <v>4.18</v>
      </c>
      <c r="D46" s="100">
        <v>1.8</v>
      </c>
      <c r="E46" s="100">
        <v>5.0599999999999996</v>
      </c>
      <c r="F46" s="100">
        <v>2.12</v>
      </c>
      <c r="G46" s="100">
        <v>63.44</v>
      </c>
      <c r="H46" s="100">
        <v>30.61</v>
      </c>
      <c r="I46" s="100">
        <v>9.2200000000000006</v>
      </c>
      <c r="J46" s="100">
        <v>0.13</v>
      </c>
      <c r="K46" s="100">
        <v>170.99</v>
      </c>
      <c r="L46" s="100">
        <v>30.3</v>
      </c>
      <c r="M46" s="100">
        <v>78.88</v>
      </c>
      <c r="N46" s="100">
        <v>207.3</v>
      </c>
      <c r="O46" s="100">
        <v>0</v>
      </c>
      <c r="P46" s="100">
        <v>0.46</v>
      </c>
      <c r="Q46" s="100">
        <v>10</v>
      </c>
      <c r="R46" s="6"/>
      <c r="S46" s="6"/>
      <c r="T46" s="156"/>
      <c r="U46" s="6"/>
    </row>
    <row r="47" spans="1:21" customFormat="1">
      <c r="A47" s="163" t="s">
        <v>2294</v>
      </c>
      <c r="B47" s="100">
        <v>3.1</v>
      </c>
      <c r="C47" s="100">
        <v>4.79</v>
      </c>
      <c r="D47" s="100">
        <v>2.44</v>
      </c>
      <c r="E47" s="100">
        <v>5.29</v>
      </c>
      <c r="F47" s="100">
        <v>2.5499999999999998</v>
      </c>
      <c r="G47" s="100">
        <v>63.44</v>
      </c>
      <c r="H47" s="100">
        <v>30.61</v>
      </c>
      <c r="I47" s="100">
        <v>9.18</v>
      </c>
      <c r="J47" s="100">
        <v>0.23</v>
      </c>
      <c r="K47" s="100">
        <v>342.29</v>
      </c>
      <c r="L47" s="100">
        <v>30.38</v>
      </c>
      <c r="M47" s="100">
        <v>77.11</v>
      </c>
      <c r="N47" s="100">
        <v>270.89999999999998</v>
      </c>
      <c r="O47" s="100">
        <v>0</v>
      </c>
      <c r="P47" s="100">
        <v>0.45</v>
      </c>
      <c r="Q47" s="100">
        <v>10</v>
      </c>
      <c r="R47" s="6"/>
      <c r="S47" s="6"/>
      <c r="T47" s="156"/>
      <c r="U47" s="6"/>
    </row>
    <row r="48" spans="1:21" customFormat="1">
      <c r="A48" s="163" t="s">
        <v>2295</v>
      </c>
      <c r="B48" s="100">
        <v>4.26</v>
      </c>
      <c r="C48" s="100">
        <v>6.82</v>
      </c>
      <c r="D48" s="100">
        <v>4.53</v>
      </c>
      <c r="E48" s="100">
        <v>5.24</v>
      </c>
      <c r="F48" s="100">
        <v>2.79</v>
      </c>
      <c r="G48" s="100">
        <v>62.59</v>
      </c>
      <c r="H48" s="100">
        <v>30.67</v>
      </c>
      <c r="I48" s="100">
        <v>8.8699999999999992</v>
      </c>
      <c r="J48" s="100">
        <v>0.22</v>
      </c>
      <c r="K48" s="100">
        <v>133.24</v>
      </c>
      <c r="L48" s="100">
        <v>31.1</v>
      </c>
      <c r="M48" s="100">
        <v>74.45</v>
      </c>
      <c r="N48" s="100">
        <v>246.3</v>
      </c>
      <c r="O48" s="100">
        <v>0</v>
      </c>
      <c r="P48" s="100">
        <v>0.44</v>
      </c>
      <c r="Q48" s="100">
        <v>10</v>
      </c>
      <c r="R48" s="6"/>
      <c r="S48" s="6"/>
      <c r="T48" s="156"/>
      <c r="U48" s="6"/>
    </row>
    <row r="49" spans="1:21" customFormat="1">
      <c r="A49" s="163" t="s">
        <v>2296</v>
      </c>
      <c r="B49" s="100">
        <v>2</v>
      </c>
      <c r="C49" s="100">
        <v>3.35</v>
      </c>
      <c r="D49" s="100">
        <v>1.36</v>
      </c>
      <c r="E49" s="100">
        <v>4.22</v>
      </c>
      <c r="F49" s="100">
        <v>2.4</v>
      </c>
      <c r="G49" s="100">
        <v>58.63</v>
      </c>
      <c r="H49" s="100">
        <v>30.85</v>
      </c>
      <c r="I49" s="100">
        <v>8.6999999999999993</v>
      </c>
      <c r="J49" s="100">
        <v>0.08</v>
      </c>
      <c r="K49" s="100">
        <v>125.19</v>
      </c>
      <c r="L49" s="100">
        <v>31.21</v>
      </c>
      <c r="M49" s="100">
        <v>77.06</v>
      </c>
      <c r="N49" s="100">
        <v>171.9</v>
      </c>
      <c r="O49" s="100">
        <v>0</v>
      </c>
      <c r="P49" s="100">
        <v>0.43</v>
      </c>
      <c r="Q49" s="100">
        <v>10</v>
      </c>
      <c r="R49" s="6"/>
      <c r="S49" s="6"/>
      <c r="T49" s="156"/>
      <c r="U49" s="6"/>
    </row>
    <row r="50" spans="1:21" customFormat="1">
      <c r="A50" s="163" t="s">
        <v>2297</v>
      </c>
      <c r="B50" s="100">
        <v>3.67</v>
      </c>
      <c r="C50" s="100">
        <v>6.17</v>
      </c>
      <c r="D50" s="100">
        <v>4.1900000000000004</v>
      </c>
      <c r="E50" s="100">
        <v>4.76</v>
      </c>
      <c r="F50" s="100">
        <v>2.11</v>
      </c>
      <c r="G50" s="100">
        <v>58.63</v>
      </c>
      <c r="H50" s="100">
        <v>30.85</v>
      </c>
      <c r="I50" s="100">
        <v>8.5</v>
      </c>
      <c r="J50" s="100">
        <v>0.08</v>
      </c>
      <c r="K50" s="100">
        <v>144.65</v>
      </c>
      <c r="L50" s="100">
        <v>30.37</v>
      </c>
      <c r="M50" s="100">
        <v>80.72</v>
      </c>
      <c r="N50" s="100">
        <v>78.3</v>
      </c>
      <c r="O50" s="100">
        <v>0</v>
      </c>
      <c r="P50" s="100">
        <v>0.43</v>
      </c>
      <c r="Q50" s="100">
        <v>10</v>
      </c>
      <c r="R50" s="6"/>
      <c r="S50" s="6"/>
      <c r="T50" s="156"/>
      <c r="U50" s="6"/>
    </row>
    <row r="51" spans="1:21" customFormat="1">
      <c r="A51" s="163" t="s">
        <v>2298</v>
      </c>
      <c r="B51" s="100">
        <v>2.31</v>
      </c>
      <c r="C51" s="100">
        <v>3.86</v>
      </c>
      <c r="D51" s="100">
        <v>1.86</v>
      </c>
      <c r="E51" s="100">
        <v>4.7300000000000004</v>
      </c>
      <c r="F51" s="100">
        <v>1.81</v>
      </c>
      <c r="G51" s="100">
        <v>58.63</v>
      </c>
      <c r="H51" s="100">
        <v>30.85</v>
      </c>
      <c r="I51" s="100">
        <v>8.41</v>
      </c>
      <c r="J51" s="100">
        <v>0.22</v>
      </c>
      <c r="K51" s="100">
        <v>272.35000000000002</v>
      </c>
      <c r="L51" s="100">
        <v>29.85</v>
      </c>
      <c r="M51" s="100">
        <v>82.61</v>
      </c>
      <c r="N51" s="100">
        <v>50</v>
      </c>
      <c r="O51" s="100">
        <v>0</v>
      </c>
      <c r="P51" s="100">
        <v>0.42</v>
      </c>
      <c r="Q51" s="100">
        <v>10</v>
      </c>
      <c r="R51" s="6"/>
      <c r="S51" s="6"/>
      <c r="T51" s="156"/>
      <c r="U51" s="6"/>
    </row>
    <row r="52" spans="1:21" customFormat="1">
      <c r="A52" s="163" t="s">
        <v>2299</v>
      </c>
      <c r="B52" s="100">
        <v>2.57</v>
      </c>
      <c r="C52" s="100">
        <v>4.53</v>
      </c>
      <c r="D52" s="100">
        <v>2.74</v>
      </c>
      <c r="E52" s="100">
        <v>5.01</v>
      </c>
      <c r="F52" s="100">
        <v>2.15</v>
      </c>
      <c r="G52" s="100">
        <v>58.75</v>
      </c>
      <c r="H52" s="100">
        <v>31.1</v>
      </c>
      <c r="I52" s="100">
        <v>8.26</v>
      </c>
      <c r="J52" s="100">
        <v>0.72</v>
      </c>
      <c r="K52" s="100">
        <v>283.19</v>
      </c>
      <c r="L52" s="100">
        <v>28.07</v>
      </c>
      <c r="M52" s="100">
        <v>81.28</v>
      </c>
      <c r="N52" s="100">
        <v>35.799999999999997</v>
      </c>
      <c r="O52" s="100">
        <v>0</v>
      </c>
      <c r="P52" s="100">
        <v>0.41</v>
      </c>
      <c r="Q52" s="100">
        <v>10</v>
      </c>
      <c r="R52" s="6"/>
      <c r="S52" s="6"/>
      <c r="T52" s="156"/>
      <c r="U52" s="6"/>
    </row>
    <row r="53" spans="1:21" customFormat="1">
      <c r="A53" s="163" t="s">
        <v>2300</v>
      </c>
      <c r="B53" s="100">
        <v>2.04</v>
      </c>
      <c r="C53" s="100">
        <v>3.66</v>
      </c>
      <c r="D53" s="100">
        <v>1.89</v>
      </c>
      <c r="E53" s="100">
        <v>5.07</v>
      </c>
      <c r="F53" s="100">
        <v>1.57</v>
      </c>
      <c r="G53" s="100">
        <v>59.31</v>
      </c>
      <c r="H53" s="100">
        <v>32.4</v>
      </c>
      <c r="I53" s="100">
        <v>8.15</v>
      </c>
      <c r="J53" s="100">
        <v>0.59</v>
      </c>
      <c r="K53" s="100">
        <v>273.72000000000003</v>
      </c>
      <c r="L53" s="100">
        <v>27.32</v>
      </c>
      <c r="M53" s="100">
        <v>81.78</v>
      </c>
      <c r="N53" s="100">
        <v>106.9</v>
      </c>
      <c r="O53" s="100">
        <v>0</v>
      </c>
      <c r="P53" s="100">
        <v>0.4</v>
      </c>
      <c r="Q53" s="100">
        <v>10</v>
      </c>
      <c r="R53" s="6"/>
      <c r="S53" s="6"/>
      <c r="T53" s="156"/>
      <c r="U53" s="6"/>
    </row>
    <row r="54" spans="1:21" customFormat="1">
      <c r="A54" s="163" t="s">
        <v>2301</v>
      </c>
      <c r="B54" s="100">
        <v>2.5299999999999998</v>
      </c>
      <c r="C54" s="100">
        <v>4.51</v>
      </c>
      <c r="D54" s="100">
        <v>2.77</v>
      </c>
      <c r="E54" s="100">
        <v>4.76</v>
      </c>
      <c r="F54" s="100">
        <v>1.68</v>
      </c>
      <c r="G54" s="100">
        <v>59.31</v>
      </c>
      <c r="H54" s="100">
        <v>32.4</v>
      </c>
      <c r="I54" s="100">
        <v>8.0299999999999994</v>
      </c>
      <c r="J54" s="100">
        <v>0.65</v>
      </c>
      <c r="K54" s="100">
        <v>281.08999999999997</v>
      </c>
      <c r="L54" s="100">
        <v>27.87</v>
      </c>
      <c r="M54" s="100">
        <v>80.540000000000006</v>
      </c>
      <c r="N54" s="100">
        <v>287.60000000000002</v>
      </c>
      <c r="O54" s="100">
        <v>0</v>
      </c>
      <c r="P54" s="100">
        <v>0.4</v>
      </c>
      <c r="Q54" s="100">
        <v>10</v>
      </c>
      <c r="R54" s="6"/>
      <c r="S54" s="6"/>
      <c r="T54" s="156"/>
      <c r="U54" s="6"/>
    </row>
    <row r="55" spans="1:21" customFormat="1">
      <c r="A55" s="163" t="s">
        <v>2302</v>
      </c>
      <c r="B55" s="100">
        <v>2.59</v>
      </c>
      <c r="C55" s="100">
        <v>4.6399999999999997</v>
      </c>
      <c r="D55" s="100">
        <v>2.93</v>
      </c>
      <c r="E55" s="100">
        <v>4.8099999999999996</v>
      </c>
      <c r="F55" s="100">
        <v>1.87</v>
      </c>
      <c r="G55" s="100">
        <v>59.31</v>
      </c>
      <c r="H55" s="100">
        <v>32.4</v>
      </c>
      <c r="I55" s="100">
        <v>7.85</v>
      </c>
      <c r="J55" s="100">
        <v>0.41</v>
      </c>
      <c r="K55" s="100">
        <v>262.56</v>
      </c>
      <c r="L55" s="100">
        <v>29.34</v>
      </c>
      <c r="M55" s="100">
        <v>77.63</v>
      </c>
      <c r="N55" s="100">
        <v>277.89999999999998</v>
      </c>
      <c r="O55" s="100">
        <v>0</v>
      </c>
      <c r="P55" s="100">
        <v>0.38</v>
      </c>
      <c r="Q55" s="100">
        <v>10</v>
      </c>
      <c r="R55" s="6"/>
      <c r="S55" s="6"/>
      <c r="T55" s="156"/>
      <c r="U55" s="6"/>
    </row>
    <row r="56" spans="1:21" customFormat="1">
      <c r="A56" s="163" t="s">
        <v>2303</v>
      </c>
      <c r="B56" s="100">
        <v>1.69</v>
      </c>
      <c r="C56" s="100">
        <v>3.07</v>
      </c>
      <c r="D56" s="100">
        <v>1.3</v>
      </c>
      <c r="E56" s="100">
        <v>4.71</v>
      </c>
      <c r="F56" s="100">
        <v>1.29</v>
      </c>
      <c r="G56" s="100">
        <v>57.4</v>
      </c>
      <c r="H56" s="100">
        <v>30.11</v>
      </c>
      <c r="I56" s="100">
        <v>7.69</v>
      </c>
      <c r="J56" s="100">
        <v>0.51</v>
      </c>
      <c r="K56" s="100">
        <v>261.39</v>
      </c>
      <c r="L56" s="100">
        <v>29.17</v>
      </c>
      <c r="M56" s="100">
        <v>80.25</v>
      </c>
      <c r="N56" s="100">
        <v>167.9</v>
      </c>
      <c r="O56" s="100">
        <v>0</v>
      </c>
      <c r="P56" s="100">
        <v>0.37</v>
      </c>
      <c r="Q56" s="100">
        <v>10</v>
      </c>
      <c r="R56" s="6"/>
      <c r="S56" s="6"/>
      <c r="T56" s="156"/>
      <c r="U56" s="6"/>
    </row>
    <row r="57" spans="1:21" customFormat="1">
      <c r="A57" s="163" t="s">
        <v>2304</v>
      </c>
      <c r="B57" s="100">
        <v>1.95</v>
      </c>
      <c r="C57" s="100">
        <v>3.82</v>
      </c>
      <c r="D57" s="100">
        <v>2.34</v>
      </c>
      <c r="E57" s="100">
        <v>4.5599999999999996</v>
      </c>
      <c r="F57" s="100">
        <v>1.23</v>
      </c>
      <c r="G57" s="100">
        <v>48.54</v>
      </c>
      <c r="H57" s="100">
        <v>22.82</v>
      </c>
      <c r="I57" s="100">
        <v>7.48</v>
      </c>
      <c r="J57" s="100">
        <v>0.54</v>
      </c>
      <c r="K57" s="100">
        <v>257.37</v>
      </c>
      <c r="L57" s="100">
        <v>28.8</v>
      </c>
      <c r="M57" s="100">
        <v>80.69</v>
      </c>
      <c r="N57" s="100">
        <v>231.6</v>
      </c>
      <c r="O57" s="100">
        <v>0</v>
      </c>
      <c r="P57" s="100">
        <v>0.36</v>
      </c>
      <c r="Q57" s="100">
        <v>10</v>
      </c>
      <c r="R57" s="6"/>
      <c r="S57" s="6"/>
      <c r="T57" s="156"/>
      <c r="U57" s="6"/>
    </row>
    <row r="58" spans="1:21" customFormat="1">
      <c r="A58" s="163" t="s">
        <v>2305</v>
      </c>
      <c r="B58" s="100">
        <v>2.15</v>
      </c>
      <c r="C58" s="100">
        <v>4.21</v>
      </c>
      <c r="D58" s="100">
        <v>2.79</v>
      </c>
      <c r="E58" s="100">
        <v>4.5199999999999996</v>
      </c>
      <c r="F58" s="100">
        <v>1.92</v>
      </c>
      <c r="G58" s="100">
        <v>48.54</v>
      </c>
      <c r="H58" s="100">
        <v>22.82</v>
      </c>
      <c r="I58" s="100">
        <v>7.24</v>
      </c>
      <c r="J58" s="100">
        <v>0.47</v>
      </c>
      <c r="K58" s="100">
        <v>286.73</v>
      </c>
      <c r="L58" s="100">
        <v>28.78</v>
      </c>
      <c r="M58" s="100">
        <v>79.44</v>
      </c>
      <c r="N58" s="100">
        <v>236.5</v>
      </c>
      <c r="O58" s="100">
        <v>0</v>
      </c>
      <c r="P58" s="100">
        <v>0.35</v>
      </c>
      <c r="Q58" s="100">
        <v>10</v>
      </c>
      <c r="R58" s="6"/>
      <c r="S58" s="6"/>
      <c r="T58" s="156"/>
      <c r="U58" s="6"/>
    </row>
    <row r="59" spans="1:21" customFormat="1">
      <c r="A59" s="163" t="s">
        <v>2306</v>
      </c>
      <c r="B59" s="100">
        <v>1.82</v>
      </c>
      <c r="C59" s="100">
        <v>3.49</v>
      </c>
      <c r="D59" s="100">
        <v>1.9</v>
      </c>
      <c r="E59" s="100">
        <v>4.7</v>
      </c>
      <c r="F59" s="100">
        <v>2.46</v>
      </c>
      <c r="G59" s="100">
        <v>48.54</v>
      </c>
      <c r="H59" s="100">
        <v>22.82</v>
      </c>
      <c r="I59" s="100">
        <v>7.14</v>
      </c>
      <c r="J59" s="100">
        <v>0.52</v>
      </c>
      <c r="K59" s="100">
        <v>263.33999999999997</v>
      </c>
      <c r="L59" s="100">
        <v>29.58</v>
      </c>
      <c r="M59" s="100">
        <v>75.88</v>
      </c>
      <c r="N59" s="100">
        <v>491</v>
      </c>
      <c r="O59" s="100">
        <v>0</v>
      </c>
      <c r="P59" s="100">
        <v>0.32</v>
      </c>
      <c r="Q59" s="100">
        <v>10</v>
      </c>
      <c r="R59" s="6"/>
      <c r="S59" s="6"/>
      <c r="T59" s="156"/>
      <c r="U59" s="6"/>
    </row>
    <row r="60" spans="1:21" customFormat="1">
      <c r="A60" s="163" t="s">
        <v>2307</v>
      </c>
      <c r="B60" s="100">
        <v>1.56</v>
      </c>
      <c r="C60" s="100">
        <v>3.1</v>
      </c>
      <c r="D60" s="100">
        <v>1.56</v>
      </c>
      <c r="E60" s="100">
        <v>4.7699999999999996</v>
      </c>
      <c r="F60" s="100">
        <v>2.61</v>
      </c>
      <c r="G60" s="100">
        <v>47.12</v>
      </c>
      <c r="H60" s="100">
        <v>22.65</v>
      </c>
      <c r="I60" s="100">
        <v>6.88</v>
      </c>
      <c r="J60" s="100">
        <v>0.7</v>
      </c>
      <c r="K60" s="100">
        <v>257.01</v>
      </c>
      <c r="L60" s="100">
        <v>30.17</v>
      </c>
      <c r="M60" s="100">
        <v>76.17</v>
      </c>
      <c r="N60" s="100">
        <v>585.6</v>
      </c>
      <c r="O60" s="100">
        <v>0</v>
      </c>
      <c r="P60" s="100">
        <v>0.32</v>
      </c>
      <c r="Q60" s="100">
        <v>10</v>
      </c>
      <c r="R60" s="6"/>
      <c r="S60" s="6"/>
      <c r="T60" s="156"/>
      <c r="U60" s="6"/>
    </row>
    <row r="61" spans="1:21" customFormat="1">
      <c r="A61" s="163" t="s">
        <v>2308</v>
      </c>
      <c r="B61" s="100">
        <v>1.87</v>
      </c>
      <c r="C61" s="100">
        <v>4.1100000000000003</v>
      </c>
      <c r="D61" s="100">
        <v>3.03</v>
      </c>
      <c r="E61" s="100">
        <v>4.8600000000000003</v>
      </c>
      <c r="F61" s="100">
        <v>2.2999999999999998</v>
      </c>
      <c r="G61" s="100">
        <v>40.54</v>
      </c>
      <c r="H61" s="100">
        <v>22.07</v>
      </c>
      <c r="I61" s="100">
        <v>6.65</v>
      </c>
      <c r="J61" s="100">
        <v>0.52</v>
      </c>
      <c r="K61" s="100">
        <v>251.21</v>
      </c>
      <c r="L61" s="100">
        <v>30.42</v>
      </c>
      <c r="M61" s="100">
        <v>76.61</v>
      </c>
      <c r="N61" s="100">
        <v>446.1</v>
      </c>
      <c r="O61" s="100">
        <v>0</v>
      </c>
      <c r="P61" s="100">
        <v>0.31</v>
      </c>
      <c r="Q61" s="100">
        <v>10</v>
      </c>
      <c r="R61" s="6"/>
      <c r="S61" s="6"/>
      <c r="T61" s="156"/>
      <c r="U61" s="6"/>
    </row>
    <row r="62" spans="1:21" customFormat="1">
      <c r="A62" s="163" t="s">
        <v>2309</v>
      </c>
      <c r="B62" s="100">
        <v>1.33</v>
      </c>
      <c r="C62" s="100">
        <v>2.63</v>
      </c>
      <c r="D62" s="100">
        <v>1.01</v>
      </c>
      <c r="E62" s="100">
        <v>4.62</v>
      </c>
      <c r="F62" s="100">
        <v>2.93</v>
      </c>
      <c r="G62" s="100">
        <v>40.54</v>
      </c>
      <c r="H62" s="100">
        <v>22.07</v>
      </c>
      <c r="I62" s="100">
        <v>6.54</v>
      </c>
      <c r="J62" s="100">
        <v>0.57999999999999996</v>
      </c>
      <c r="K62" s="100">
        <v>250.17</v>
      </c>
      <c r="L62" s="100">
        <v>30.8</v>
      </c>
      <c r="M62" s="100">
        <v>73.42</v>
      </c>
      <c r="N62" s="100">
        <v>487.8</v>
      </c>
      <c r="O62" s="100">
        <v>0</v>
      </c>
      <c r="P62" s="100">
        <v>0.31</v>
      </c>
      <c r="Q62" s="100">
        <v>10</v>
      </c>
      <c r="R62" s="6"/>
      <c r="S62" s="6"/>
      <c r="T62" s="156"/>
      <c r="U62" s="6"/>
    </row>
    <row r="63" spans="1:21" customFormat="1">
      <c r="A63" s="163" t="s">
        <v>2310</v>
      </c>
      <c r="B63" s="100">
        <v>1.47</v>
      </c>
      <c r="C63" s="100">
        <v>2.69</v>
      </c>
      <c r="D63" s="100">
        <v>0.91</v>
      </c>
      <c r="E63" s="100">
        <v>4.71</v>
      </c>
      <c r="F63" s="100">
        <v>2.96</v>
      </c>
      <c r="G63" s="100">
        <v>40.54</v>
      </c>
      <c r="H63" s="100">
        <v>22.07</v>
      </c>
      <c r="I63" s="100">
        <v>6.45</v>
      </c>
      <c r="J63" s="100">
        <v>0.32</v>
      </c>
      <c r="K63" s="100">
        <v>246.81</v>
      </c>
      <c r="L63" s="100">
        <v>31.39</v>
      </c>
      <c r="M63" s="100">
        <v>72.2</v>
      </c>
      <c r="N63" s="100">
        <v>545.1</v>
      </c>
      <c r="O63" s="100">
        <v>0</v>
      </c>
      <c r="P63" s="100">
        <v>0.28999999999999998</v>
      </c>
      <c r="Q63" s="100">
        <v>10</v>
      </c>
      <c r="R63" s="6"/>
      <c r="S63" s="6"/>
      <c r="T63" s="156"/>
      <c r="U63" s="6"/>
    </row>
    <row r="64" spans="1:21" customFormat="1">
      <c r="A64" s="163" t="s">
        <v>2311</v>
      </c>
      <c r="B64" s="100">
        <v>1.36</v>
      </c>
      <c r="C64" s="100">
        <v>2.63</v>
      </c>
      <c r="D64" s="100">
        <v>0.96</v>
      </c>
      <c r="E64" s="100">
        <v>4.92</v>
      </c>
      <c r="F64" s="100">
        <v>3.74</v>
      </c>
      <c r="G64" s="100">
        <v>39.409999999999997</v>
      </c>
      <c r="H64" s="100">
        <v>22.23</v>
      </c>
      <c r="I64" s="100">
        <v>6.31</v>
      </c>
      <c r="J64" s="100">
        <v>0.37</v>
      </c>
      <c r="K64" s="100">
        <v>244.73</v>
      </c>
      <c r="L64" s="100">
        <v>31.47</v>
      </c>
      <c r="M64" s="100">
        <v>70.8</v>
      </c>
      <c r="N64" s="100">
        <v>490.2</v>
      </c>
      <c r="O64" s="100">
        <v>0</v>
      </c>
      <c r="P64" s="100">
        <v>0.27</v>
      </c>
      <c r="Q64" s="100">
        <v>10</v>
      </c>
      <c r="R64" s="6"/>
      <c r="S64" s="6"/>
      <c r="T64" s="156"/>
      <c r="U64" s="6"/>
    </row>
    <row r="65" spans="1:21" customFormat="1">
      <c r="A65" s="163" t="s">
        <v>2312</v>
      </c>
      <c r="B65" s="100">
        <v>1.55</v>
      </c>
      <c r="C65" s="100">
        <v>3.13</v>
      </c>
      <c r="D65" s="100">
        <v>1.62</v>
      </c>
      <c r="E65" s="100">
        <v>4.68</v>
      </c>
      <c r="F65" s="100">
        <v>4.2300000000000004</v>
      </c>
      <c r="G65" s="100">
        <v>34.590000000000003</v>
      </c>
      <c r="H65" s="100">
        <v>22.73</v>
      </c>
      <c r="I65" s="100">
        <v>6.08</v>
      </c>
      <c r="J65" s="100">
        <v>0.41</v>
      </c>
      <c r="K65" s="100">
        <v>261.08</v>
      </c>
      <c r="L65" s="100">
        <v>31.45</v>
      </c>
      <c r="M65" s="100">
        <v>69.55</v>
      </c>
      <c r="N65" s="100">
        <v>361.5</v>
      </c>
      <c r="O65" s="100">
        <v>0</v>
      </c>
      <c r="P65" s="100">
        <v>0.24</v>
      </c>
      <c r="Q65" s="100">
        <v>10</v>
      </c>
      <c r="R65" s="6"/>
      <c r="S65" s="6"/>
      <c r="T65" s="156"/>
      <c r="U65" s="6"/>
    </row>
    <row r="66" spans="1:21" customFormat="1">
      <c r="A66" s="163" t="s">
        <v>2313</v>
      </c>
      <c r="B66" s="100">
        <v>1.32</v>
      </c>
      <c r="C66" s="100">
        <v>2.5</v>
      </c>
      <c r="D66" s="100">
        <v>0.77</v>
      </c>
      <c r="E66" s="100">
        <v>4.51</v>
      </c>
      <c r="F66" s="100">
        <v>5.28</v>
      </c>
      <c r="G66" s="100">
        <v>34.590000000000003</v>
      </c>
      <c r="H66" s="100">
        <v>22.73</v>
      </c>
      <c r="I66" s="100">
        <v>6.05</v>
      </c>
      <c r="J66" s="100">
        <v>0.46</v>
      </c>
      <c r="K66" s="100">
        <v>267.02</v>
      </c>
      <c r="L66" s="100">
        <v>31.69</v>
      </c>
      <c r="M66" s="100">
        <v>68.56</v>
      </c>
      <c r="N66" s="100">
        <v>234.4</v>
      </c>
      <c r="O66" s="100">
        <v>0</v>
      </c>
      <c r="P66" s="100">
        <v>0.25</v>
      </c>
      <c r="Q66" s="100">
        <v>10</v>
      </c>
      <c r="R66" s="6"/>
      <c r="S66" s="6"/>
      <c r="T66" s="156"/>
      <c r="U66" s="6"/>
    </row>
    <row r="67" spans="1:21" customFormat="1">
      <c r="A67" s="163" t="s">
        <v>2314</v>
      </c>
      <c r="B67" s="100">
        <v>1.56</v>
      </c>
      <c r="C67" s="100">
        <v>3.18</v>
      </c>
      <c r="D67" s="100">
        <v>1.72</v>
      </c>
      <c r="E67" s="100">
        <v>4.18</v>
      </c>
      <c r="F67" s="100">
        <v>6.07</v>
      </c>
      <c r="G67" s="100">
        <v>34.590000000000003</v>
      </c>
      <c r="H67" s="100">
        <v>22.73</v>
      </c>
      <c r="I67" s="100">
        <v>6.04</v>
      </c>
      <c r="J67" s="100">
        <v>0.5</v>
      </c>
      <c r="K67" s="100">
        <v>266.32</v>
      </c>
      <c r="L67" s="100">
        <v>31.77</v>
      </c>
      <c r="M67" s="100">
        <v>68.239999999999995</v>
      </c>
      <c r="N67" s="100">
        <v>225.1</v>
      </c>
      <c r="O67" s="100">
        <v>0</v>
      </c>
      <c r="P67" s="100">
        <v>0.24</v>
      </c>
      <c r="Q67" s="100">
        <v>10</v>
      </c>
      <c r="R67" s="6"/>
      <c r="S67" s="6"/>
      <c r="T67" s="156"/>
      <c r="U67" s="6"/>
    </row>
    <row r="68" spans="1:21" customFormat="1">
      <c r="A68" s="163" t="s">
        <v>2315</v>
      </c>
      <c r="B68" s="100">
        <v>1.29</v>
      </c>
      <c r="C68" s="100">
        <v>2.46</v>
      </c>
      <c r="D68" s="100">
        <v>0.73</v>
      </c>
      <c r="E68" s="100">
        <v>4.05</v>
      </c>
      <c r="F68" s="100">
        <v>8.41</v>
      </c>
      <c r="G68" s="100">
        <v>33.979999999999997</v>
      </c>
      <c r="H68" s="100">
        <v>22.53</v>
      </c>
      <c r="I68" s="100">
        <v>6.02</v>
      </c>
      <c r="J68" s="100">
        <v>0.39</v>
      </c>
      <c r="K68" s="100">
        <v>239.48</v>
      </c>
      <c r="L68" s="100">
        <v>31.83</v>
      </c>
      <c r="M68" s="100">
        <v>68.53</v>
      </c>
      <c r="N68" s="100">
        <v>224.4</v>
      </c>
      <c r="O68" s="100">
        <v>0</v>
      </c>
      <c r="P68" s="100">
        <v>0.25</v>
      </c>
      <c r="Q68" s="100">
        <v>10</v>
      </c>
      <c r="R68" s="6"/>
      <c r="S68" s="6"/>
      <c r="T68" s="156"/>
      <c r="U68" s="6"/>
    </row>
    <row r="69" spans="1:21" customFormat="1">
      <c r="A69" s="163" t="s">
        <v>2316</v>
      </c>
      <c r="B69" s="100">
        <v>1.49</v>
      </c>
      <c r="C69" s="100">
        <v>2.64</v>
      </c>
      <c r="D69" s="100">
        <v>0.77</v>
      </c>
      <c r="E69" s="100">
        <v>4.32</v>
      </c>
      <c r="F69" s="100">
        <v>10.45</v>
      </c>
      <c r="G69" s="100">
        <v>31.18</v>
      </c>
      <c r="H69" s="100">
        <v>21.38</v>
      </c>
      <c r="I69" s="100">
        <v>5.89</v>
      </c>
      <c r="J69" s="100">
        <v>0.41</v>
      </c>
      <c r="K69" s="100">
        <v>311.11</v>
      </c>
      <c r="L69" s="100">
        <v>31.94</v>
      </c>
      <c r="M69" s="100">
        <v>65.62</v>
      </c>
      <c r="N69" s="100">
        <v>185.3</v>
      </c>
      <c r="O69" s="100">
        <v>0</v>
      </c>
      <c r="P69" s="100">
        <v>0.23</v>
      </c>
      <c r="Q69" s="100">
        <v>10</v>
      </c>
      <c r="R69" s="6"/>
      <c r="S69" s="6"/>
      <c r="T69" s="156"/>
      <c r="U69" s="6"/>
    </row>
    <row r="70" spans="1:21" customFormat="1">
      <c r="A70" s="163" t="s">
        <v>2317</v>
      </c>
      <c r="B70" s="100">
        <v>1.24</v>
      </c>
      <c r="C70" s="100">
        <v>2.11</v>
      </c>
      <c r="D70" s="100">
        <v>0.14000000000000001</v>
      </c>
      <c r="E70" s="100">
        <v>4.34</v>
      </c>
      <c r="F70" s="100">
        <v>14.15</v>
      </c>
      <c r="G70" s="100">
        <v>31.18</v>
      </c>
      <c r="H70" s="100">
        <v>21.38</v>
      </c>
      <c r="I70" s="100">
        <v>5.81</v>
      </c>
      <c r="J70" s="100">
        <v>0.51</v>
      </c>
      <c r="K70" s="100">
        <v>16.739999999999998</v>
      </c>
      <c r="L70" s="100">
        <v>32.21</v>
      </c>
      <c r="M70" s="100">
        <v>64.66</v>
      </c>
      <c r="N70" s="100">
        <v>330.4</v>
      </c>
      <c r="O70" s="100">
        <v>0</v>
      </c>
      <c r="P70" s="100">
        <v>0.24</v>
      </c>
      <c r="Q70" s="100">
        <v>10</v>
      </c>
      <c r="R70" s="6"/>
      <c r="S70" s="6"/>
      <c r="T70" s="156"/>
      <c r="U70" s="6"/>
    </row>
    <row r="71" spans="1:21" customFormat="1">
      <c r="A71" s="163" t="s">
        <v>2318</v>
      </c>
      <c r="B71" s="100">
        <v>1.56</v>
      </c>
      <c r="C71" s="100">
        <v>2.64</v>
      </c>
      <c r="D71" s="100">
        <v>0.68</v>
      </c>
      <c r="E71" s="100">
        <v>4.1500000000000004</v>
      </c>
      <c r="F71" s="100">
        <v>14.23</v>
      </c>
      <c r="G71" s="100">
        <v>31.18</v>
      </c>
      <c r="H71" s="100">
        <v>21.38</v>
      </c>
      <c r="I71" s="100">
        <v>5.69</v>
      </c>
      <c r="J71" s="100">
        <v>0.32</v>
      </c>
      <c r="K71" s="100">
        <v>341.9</v>
      </c>
      <c r="L71" s="100">
        <v>32.409999999999997</v>
      </c>
      <c r="M71" s="100">
        <v>63.93</v>
      </c>
      <c r="N71" s="100">
        <v>308.2</v>
      </c>
      <c r="O71" s="100">
        <v>0</v>
      </c>
      <c r="P71" s="100">
        <v>0.24</v>
      </c>
      <c r="Q71" s="100">
        <v>10</v>
      </c>
      <c r="R71" s="6"/>
      <c r="S71" s="6"/>
      <c r="T71" s="156"/>
      <c r="U71" s="6"/>
    </row>
    <row r="72" spans="1:21" customFormat="1">
      <c r="A72" s="163" t="s">
        <v>2319</v>
      </c>
      <c r="B72" s="100">
        <v>1.56</v>
      </c>
      <c r="C72" s="100">
        <v>2.88</v>
      </c>
      <c r="D72" s="100">
        <v>1.1299999999999999</v>
      </c>
      <c r="E72" s="100">
        <v>4.1900000000000004</v>
      </c>
      <c r="F72" s="100">
        <v>17.75</v>
      </c>
      <c r="G72" s="100">
        <v>31.83</v>
      </c>
      <c r="H72" s="100">
        <v>21.74</v>
      </c>
      <c r="I72" s="100">
        <v>5.67</v>
      </c>
      <c r="J72" s="100">
        <v>0.39</v>
      </c>
      <c r="K72" s="100">
        <v>317.47000000000003</v>
      </c>
      <c r="L72" s="100">
        <v>32.15</v>
      </c>
      <c r="M72" s="100">
        <v>64.08</v>
      </c>
      <c r="N72" s="100">
        <v>115.6</v>
      </c>
      <c r="O72" s="100">
        <v>0</v>
      </c>
      <c r="P72" s="100">
        <v>0.24</v>
      </c>
      <c r="Q72" s="100">
        <v>10</v>
      </c>
      <c r="R72" s="6"/>
      <c r="S72" s="6"/>
      <c r="T72" s="156"/>
      <c r="U72" s="6"/>
    </row>
    <row r="73" spans="1:21" customFormat="1">
      <c r="A73" s="163" t="s">
        <v>2320</v>
      </c>
      <c r="B73" s="100">
        <v>1.32</v>
      </c>
      <c r="C73" s="100">
        <v>2.4700000000000002</v>
      </c>
      <c r="D73" s="100">
        <v>0.71</v>
      </c>
      <c r="E73" s="100">
        <v>4.6399999999999997</v>
      </c>
      <c r="F73" s="100">
        <v>19.7</v>
      </c>
      <c r="G73" s="100">
        <v>34.83</v>
      </c>
      <c r="H73" s="100">
        <v>22.87</v>
      </c>
      <c r="I73" s="100">
        <v>5.63</v>
      </c>
      <c r="J73" s="100">
        <v>0.39</v>
      </c>
      <c r="K73" s="100">
        <v>352.58</v>
      </c>
      <c r="L73" s="100">
        <v>31.6</v>
      </c>
      <c r="M73" s="100">
        <v>65.64</v>
      </c>
      <c r="N73" s="100">
        <v>58.7</v>
      </c>
      <c r="O73" s="100">
        <v>0</v>
      </c>
      <c r="P73" s="100">
        <v>0.24</v>
      </c>
      <c r="Q73" s="100">
        <v>10</v>
      </c>
      <c r="R73" s="6"/>
      <c r="S73" s="6"/>
      <c r="T73" s="156"/>
      <c r="U73" s="6"/>
    </row>
    <row r="74" spans="1:21" customFormat="1">
      <c r="A74" s="163" t="s">
        <v>2321</v>
      </c>
      <c r="B74" s="100">
        <v>1.38</v>
      </c>
      <c r="C74" s="100">
        <v>2.74</v>
      </c>
      <c r="D74" s="100">
        <v>1.1399999999999999</v>
      </c>
      <c r="E74" s="100">
        <v>5.04</v>
      </c>
      <c r="F74" s="100">
        <v>20.88</v>
      </c>
      <c r="G74" s="100">
        <v>34.83</v>
      </c>
      <c r="H74" s="100">
        <v>22.87</v>
      </c>
      <c r="I74" s="100">
        <v>5.56</v>
      </c>
      <c r="J74" s="100">
        <v>0.26</v>
      </c>
      <c r="K74" s="100">
        <v>323.14999999999998</v>
      </c>
      <c r="L74" s="100">
        <v>31.27</v>
      </c>
      <c r="M74" s="100">
        <v>67.23</v>
      </c>
      <c r="N74" s="100">
        <v>52.3</v>
      </c>
      <c r="O74" s="100">
        <v>0</v>
      </c>
      <c r="P74" s="100">
        <v>0.24</v>
      </c>
      <c r="Q74" s="100">
        <v>10</v>
      </c>
      <c r="R74" s="6"/>
      <c r="S74" s="6"/>
      <c r="T74" s="156"/>
      <c r="U74" s="6"/>
    </row>
    <row r="75" spans="1:21" customFormat="1">
      <c r="A75" s="163" t="s">
        <v>2322</v>
      </c>
      <c r="B75" s="100">
        <v>1.3</v>
      </c>
      <c r="C75" s="100">
        <v>2.33</v>
      </c>
      <c r="D75" s="100">
        <v>0.49</v>
      </c>
      <c r="E75" s="100">
        <v>6.18</v>
      </c>
      <c r="F75" s="100">
        <v>23.35</v>
      </c>
      <c r="G75" s="100">
        <v>34.83</v>
      </c>
      <c r="H75" s="100">
        <v>22.87</v>
      </c>
      <c r="I75" s="100">
        <v>5.54</v>
      </c>
      <c r="J75" s="100">
        <v>0.53</v>
      </c>
      <c r="K75" s="100">
        <v>312.81</v>
      </c>
      <c r="L75" s="100">
        <v>31.15</v>
      </c>
      <c r="M75" s="100">
        <v>68.61</v>
      </c>
      <c r="N75" s="100">
        <v>50.5</v>
      </c>
      <c r="O75" s="100">
        <v>0</v>
      </c>
      <c r="P75" s="100">
        <v>0.26</v>
      </c>
      <c r="Q75" s="100">
        <v>10</v>
      </c>
      <c r="R75" s="6"/>
      <c r="S75" s="6"/>
      <c r="T75" s="156"/>
      <c r="U75" s="6"/>
    </row>
    <row r="76" spans="1:21" customFormat="1">
      <c r="A76" s="163" t="s">
        <v>2323</v>
      </c>
      <c r="B76" s="100">
        <v>1.46</v>
      </c>
      <c r="C76" s="100">
        <v>3.21</v>
      </c>
      <c r="D76" s="100">
        <v>1.92</v>
      </c>
      <c r="E76" s="100">
        <v>7.05</v>
      </c>
      <c r="F76" s="100">
        <v>24.56</v>
      </c>
      <c r="G76" s="100">
        <v>37.44</v>
      </c>
      <c r="H76" s="100">
        <v>23.59</v>
      </c>
      <c r="I76" s="100">
        <v>5.43</v>
      </c>
      <c r="J76" s="100">
        <v>0.27</v>
      </c>
      <c r="K76" s="100">
        <v>321.36</v>
      </c>
      <c r="L76" s="100">
        <v>30.95</v>
      </c>
      <c r="M76" s="100">
        <v>72.88</v>
      </c>
      <c r="N76" s="100">
        <v>36.4</v>
      </c>
      <c r="O76" s="100">
        <v>0</v>
      </c>
      <c r="P76" s="100">
        <v>0.28000000000000003</v>
      </c>
      <c r="Q76" s="100">
        <v>10</v>
      </c>
      <c r="R76" s="6"/>
      <c r="S76" s="6"/>
      <c r="T76" s="156"/>
      <c r="U76" s="6"/>
    </row>
    <row r="77" spans="1:21" customFormat="1">
      <c r="A77" s="163" t="s">
        <v>2324</v>
      </c>
      <c r="B77" s="100">
        <v>1.35</v>
      </c>
      <c r="C77" s="100">
        <v>2.87</v>
      </c>
      <c r="D77" s="100">
        <v>1.43</v>
      </c>
      <c r="E77" s="100">
        <v>5.99</v>
      </c>
      <c r="F77" s="100">
        <v>23.21</v>
      </c>
      <c r="G77" s="100">
        <v>49.48</v>
      </c>
      <c r="H77" s="100">
        <v>25.88</v>
      </c>
      <c r="I77" s="100">
        <v>5.62</v>
      </c>
      <c r="J77" s="100">
        <v>0.45</v>
      </c>
      <c r="K77" s="100">
        <v>25.48</v>
      </c>
      <c r="L77" s="100">
        <v>30.72</v>
      </c>
      <c r="M77" s="100">
        <v>74.83</v>
      </c>
      <c r="N77" s="100">
        <v>32.4</v>
      </c>
      <c r="O77" s="100">
        <v>0</v>
      </c>
      <c r="P77" s="100">
        <v>0.3</v>
      </c>
      <c r="Q77" s="100">
        <v>10</v>
      </c>
      <c r="R77" s="6"/>
      <c r="S77" s="6"/>
      <c r="T77" s="156"/>
      <c r="U77" s="6"/>
    </row>
    <row r="78" spans="1:21" customFormat="1">
      <c r="A78" s="163" t="s">
        <v>2325</v>
      </c>
      <c r="B78" s="100">
        <v>1.24</v>
      </c>
      <c r="C78" s="100">
        <v>2.16</v>
      </c>
      <c r="D78" s="100">
        <v>0.24</v>
      </c>
      <c r="E78" s="100">
        <v>5.68</v>
      </c>
      <c r="F78" s="100">
        <v>20.010000000000002</v>
      </c>
      <c r="G78" s="100">
        <v>49.48</v>
      </c>
      <c r="H78" s="100">
        <v>25.88</v>
      </c>
      <c r="I78" s="100">
        <v>5.95</v>
      </c>
      <c r="J78" s="100">
        <v>0.49</v>
      </c>
      <c r="K78" s="100">
        <v>11.67</v>
      </c>
      <c r="L78" s="100">
        <v>30.27</v>
      </c>
      <c r="M78" s="100">
        <v>77.260000000000005</v>
      </c>
      <c r="N78" s="100">
        <v>41.8</v>
      </c>
      <c r="O78" s="100">
        <v>0</v>
      </c>
      <c r="P78" s="100">
        <v>0.3</v>
      </c>
      <c r="Q78" s="100">
        <v>10</v>
      </c>
      <c r="R78" s="6"/>
      <c r="S78" s="6"/>
      <c r="T78" s="156"/>
      <c r="U78" s="6"/>
    </row>
    <row r="79" spans="1:21" customFormat="1">
      <c r="A79" s="163" t="s">
        <v>2326</v>
      </c>
      <c r="B79" s="100">
        <v>1.62</v>
      </c>
      <c r="C79" s="100">
        <v>3.14</v>
      </c>
      <c r="D79" s="100">
        <v>1.54</v>
      </c>
      <c r="E79" s="100">
        <v>5.73</v>
      </c>
      <c r="F79" s="100">
        <v>17.149999999999999</v>
      </c>
      <c r="G79" s="100">
        <v>49.48</v>
      </c>
      <c r="H79" s="100">
        <v>25.88</v>
      </c>
      <c r="I79" s="100">
        <v>6.31</v>
      </c>
      <c r="J79" s="100">
        <v>0.53</v>
      </c>
      <c r="K79" s="100">
        <v>17.03</v>
      </c>
      <c r="L79" s="100">
        <v>30.1</v>
      </c>
      <c r="M79" s="100">
        <v>77.75</v>
      </c>
      <c r="N79" s="100">
        <v>36.799999999999997</v>
      </c>
      <c r="O79" s="100">
        <v>0</v>
      </c>
      <c r="P79" s="100">
        <v>0.31</v>
      </c>
      <c r="Q79" s="100">
        <v>10</v>
      </c>
      <c r="R79" s="6"/>
      <c r="S79" s="6"/>
      <c r="T79" s="156"/>
      <c r="U79" s="6"/>
    </row>
    <row r="80" spans="1:21" customFormat="1">
      <c r="A80" s="163" t="s">
        <v>2327</v>
      </c>
      <c r="B80" s="100">
        <v>1.61</v>
      </c>
      <c r="C80" s="100">
        <v>3.36</v>
      </c>
      <c r="D80" s="100">
        <v>1.98</v>
      </c>
      <c r="E80" s="100">
        <v>5.51</v>
      </c>
      <c r="F80" s="100">
        <v>10.71</v>
      </c>
      <c r="G80" s="100">
        <v>50.66</v>
      </c>
      <c r="H80" s="100">
        <v>25.95</v>
      </c>
      <c r="I80" s="100">
        <v>6.76</v>
      </c>
      <c r="J80" s="100">
        <v>0.51</v>
      </c>
      <c r="K80" s="100">
        <v>16.89</v>
      </c>
      <c r="L80" s="100">
        <v>29.78</v>
      </c>
      <c r="M80" s="100">
        <v>78.66</v>
      </c>
      <c r="N80" s="100">
        <v>24.8</v>
      </c>
      <c r="O80" s="100">
        <v>0</v>
      </c>
      <c r="P80" s="100">
        <v>0.28999999999999998</v>
      </c>
      <c r="Q80" s="100">
        <v>10</v>
      </c>
      <c r="R80" s="6"/>
      <c r="S80" s="6"/>
      <c r="T80" s="156"/>
      <c r="U80" s="6"/>
    </row>
    <row r="81" spans="1:21" customFormat="1">
      <c r="A81" s="163" t="s">
        <v>2328</v>
      </c>
      <c r="B81" s="100">
        <v>1.35</v>
      </c>
      <c r="C81" s="100">
        <v>2.63</v>
      </c>
      <c r="D81" s="100">
        <v>0.98</v>
      </c>
      <c r="E81" s="100">
        <v>5.36</v>
      </c>
      <c r="F81" s="100">
        <v>9.99</v>
      </c>
      <c r="G81" s="100">
        <v>55.74</v>
      </c>
      <c r="H81" s="100">
        <v>26.16</v>
      </c>
      <c r="I81" s="100">
        <v>7.12</v>
      </c>
      <c r="J81" s="100">
        <v>0.75</v>
      </c>
      <c r="K81" s="100">
        <v>309.87</v>
      </c>
      <c r="L81" s="100">
        <v>29.46</v>
      </c>
      <c r="M81" s="100">
        <v>76.58</v>
      </c>
      <c r="N81" s="100">
        <v>19.7</v>
      </c>
      <c r="O81" s="100">
        <v>0</v>
      </c>
      <c r="P81" s="100">
        <v>0.28999999999999998</v>
      </c>
      <c r="Q81" s="100">
        <v>10</v>
      </c>
      <c r="R81" s="6"/>
      <c r="S81" s="6"/>
      <c r="T81" s="156"/>
      <c r="U81" s="6"/>
    </row>
    <row r="82" spans="1:21" customFormat="1">
      <c r="A82" s="163" t="s">
        <v>2329</v>
      </c>
      <c r="B82" s="100">
        <v>1.69</v>
      </c>
      <c r="C82" s="100">
        <v>3.52</v>
      </c>
      <c r="D82" s="100">
        <v>2.16</v>
      </c>
      <c r="E82" s="100">
        <v>6.24</v>
      </c>
      <c r="F82" s="100">
        <v>4.58</v>
      </c>
      <c r="G82" s="100">
        <v>55.74</v>
      </c>
      <c r="H82" s="100">
        <v>26.16</v>
      </c>
      <c r="I82" s="100">
        <v>6.43</v>
      </c>
      <c r="J82" s="100">
        <v>0.28000000000000003</v>
      </c>
      <c r="K82" s="100">
        <v>33.65</v>
      </c>
      <c r="L82" s="100">
        <v>29.25</v>
      </c>
      <c r="M82" s="100">
        <v>75.89</v>
      </c>
      <c r="N82" s="100">
        <v>8.9</v>
      </c>
      <c r="O82" s="100">
        <v>0</v>
      </c>
      <c r="P82" s="100">
        <v>0.28999999999999998</v>
      </c>
      <c r="Q82" s="100">
        <v>10</v>
      </c>
      <c r="R82" s="6"/>
      <c r="S82" s="6"/>
      <c r="T82" s="156"/>
      <c r="U82" s="6"/>
    </row>
    <row r="83" spans="1:21" customFormat="1">
      <c r="A83" s="163" t="s">
        <v>2330</v>
      </c>
      <c r="B83" s="100">
        <v>1.39</v>
      </c>
      <c r="C83" s="100">
        <v>2.79</v>
      </c>
      <c r="D83" s="100">
        <v>1.21</v>
      </c>
      <c r="E83" s="100">
        <v>6.11</v>
      </c>
      <c r="F83" s="100">
        <v>4.58</v>
      </c>
      <c r="G83" s="100">
        <v>55.74</v>
      </c>
      <c r="H83" s="100">
        <v>26.16</v>
      </c>
      <c r="I83" s="100">
        <v>6.18</v>
      </c>
      <c r="J83" s="100">
        <v>0.27</v>
      </c>
      <c r="K83" s="100">
        <v>26.87</v>
      </c>
      <c r="L83" s="100">
        <v>29.08</v>
      </c>
      <c r="M83" s="100">
        <v>77.44</v>
      </c>
      <c r="N83" s="100">
        <v>4.4000000000000004</v>
      </c>
      <c r="O83" s="100">
        <v>0</v>
      </c>
      <c r="P83" s="100">
        <v>0.32</v>
      </c>
      <c r="Q83" s="100">
        <v>10</v>
      </c>
      <c r="R83" s="6"/>
      <c r="S83" s="6"/>
      <c r="T83" s="156"/>
      <c r="U83" s="6"/>
    </row>
    <row r="84" spans="1:21" customFormat="1">
      <c r="A84" s="163" t="s">
        <v>2331</v>
      </c>
      <c r="B84" s="100">
        <v>1.91</v>
      </c>
      <c r="C84" s="100">
        <v>3.96</v>
      </c>
      <c r="D84" s="100">
        <v>2.68</v>
      </c>
      <c r="E84" s="100">
        <v>5.89</v>
      </c>
      <c r="F84" s="100">
        <v>4.75</v>
      </c>
      <c r="G84" s="100">
        <v>55.33</v>
      </c>
      <c r="H84" s="100">
        <v>26.24</v>
      </c>
      <c r="I84" s="100">
        <v>6.17</v>
      </c>
      <c r="J84" s="100">
        <v>0.31</v>
      </c>
      <c r="K84" s="100">
        <v>25.03</v>
      </c>
      <c r="L84" s="100">
        <v>29.02</v>
      </c>
      <c r="M84" s="100">
        <v>78.489999999999995</v>
      </c>
      <c r="N84" s="100">
        <v>2.5</v>
      </c>
      <c r="O84" s="100">
        <v>0</v>
      </c>
      <c r="P84" s="100">
        <v>0.34</v>
      </c>
      <c r="Q84" s="100">
        <v>10</v>
      </c>
      <c r="R84" s="6"/>
      <c r="S84" s="6"/>
      <c r="T84" s="156"/>
      <c r="U84" s="6"/>
    </row>
    <row r="85" spans="1:21" customFormat="1">
      <c r="A85" s="163" t="s">
        <v>2332</v>
      </c>
      <c r="B85" s="100">
        <v>1.34</v>
      </c>
      <c r="C85" s="100">
        <v>2.59</v>
      </c>
      <c r="D85" s="100">
        <v>0.91</v>
      </c>
      <c r="E85" s="100">
        <v>6.28</v>
      </c>
      <c r="F85" s="100">
        <v>3.62</v>
      </c>
      <c r="G85" s="100">
        <v>53.58</v>
      </c>
      <c r="H85" s="100">
        <v>26.66</v>
      </c>
      <c r="I85" s="100">
        <v>6.24</v>
      </c>
      <c r="J85" s="100">
        <v>0.17</v>
      </c>
      <c r="K85" s="100">
        <v>16.28</v>
      </c>
      <c r="L85" s="100">
        <v>28.93</v>
      </c>
      <c r="M85" s="100">
        <v>79.930000000000007</v>
      </c>
      <c r="N85" s="100">
        <v>2.4</v>
      </c>
      <c r="O85" s="100">
        <v>0</v>
      </c>
      <c r="P85" s="100">
        <v>0.33</v>
      </c>
      <c r="Q85" s="100">
        <v>10</v>
      </c>
      <c r="R85" s="6"/>
      <c r="S85" s="6"/>
      <c r="T85" s="156"/>
      <c r="U85" s="6"/>
    </row>
    <row r="86" spans="1:21" customFormat="1">
      <c r="A86" s="163" t="s">
        <v>2333</v>
      </c>
      <c r="B86" s="100">
        <v>2.2599999999999998</v>
      </c>
      <c r="C86" s="100">
        <v>4.66</v>
      </c>
      <c r="D86" s="100">
        <v>3.48</v>
      </c>
      <c r="E86" s="100">
        <v>6.35</v>
      </c>
      <c r="F86" s="100">
        <v>3.24</v>
      </c>
      <c r="G86" s="100">
        <v>53.58</v>
      </c>
      <c r="H86" s="100">
        <v>26.66</v>
      </c>
      <c r="I86" s="100">
        <v>6.27</v>
      </c>
      <c r="J86" s="100">
        <v>0.2</v>
      </c>
      <c r="K86" s="100">
        <v>312.37</v>
      </c>
      <c r="L86" s="100">
        <v>28.9</v>
      </c>
      <c r="M86" s="100">
        <v>80.69</v>
      </c>
      <c r="N86" s="100">
        <v>2.2999999999999998</v>
      </c>
      <c r="O86" s="100">
        <v>0</v>
      </c>
      <c r="P86" s="100">
        <v>0.33</v>
      </c>
      <c r="Q86" s="100">
        <v>10</v>
      </c>
      <c r="R86" s="6"/>
      <c r="S86" s="6"/>
      <c r="T86" s="156"/>
      <c r="U86" s="6"/>
    </row>
    <row r="87" spans="1:21" customFormat="1">
      <c r="A87" s="163" t="s">
        <v>2334</v>
      </c>
      <c r="B87" s="100">
        <v>1.36</v>
      </c>
      <c r="C87" s="100">
        <v>2.62</v>
      </c>
      <c r="D87" s="100">
        <v>0.94</v>
      </c>
      <c r="E87" s="100">
        <v>6.52</v>
      </c>
      <c r="F87" s="100">
        <v>2.17</v>
      </c>
      <c r="G87" s="100">
        <v>53.58</v>
      </c>
      <c r="H87" s="100">
        <v>26.66</v>
      </c>
      <c r="I87" s="100">
        <v>6.3</v>
      </c>
      <c r="J87" s="100">
        <v>0.04</v>
      </c>
      <c r="K87" s="100">
        <v>59.9</v>
      </c>
      <c r="L87" s="100">
        <v>28.79</v>
      </c>
      <c r="M87" s="100">
        <v>81.7</v>
      </c>
      <c r="N87" s="100">
        <v>2.2999999999999998</v>
      </c>
      <c r="O87" s="100">
        <v>0</v>
      </c>
      <c r="P87" s="100">
        <v>0.34</v>
      </c>
      <c r="Q87" s="100">
        <v>10</v>
      </c>
      <c r="R87" s="6"/>
      <c r="S87" s="6"/>
      <c r="T87" s="156"/>
      <c r="U87" s="6"/>
    </row>
    <row r="88" spans="1:21" customFormat="1">
      <c r="A88" s="163" t="s">
        <v>2335</v>
      </c>
      <c r="B88" s="100">
        <v>1.82</v>
      </c>
      <c r="C88" s="100">
        <v>3.61</v>
      </c>
      <c r="D88" s="100">
        <v>2.13</v>
      </c>
      <c r="E88" s="100">
        <v>6.36</v>
      </c>
      <c r="F88" s="100">
        <v>2.15</v>
      </c>
      <c r="G88" s="100">
        <v>53.72</v>
      </c>
      <c r="H88" s="100">
        <v>26.42</v>
      </c>
      <c r="I88" s="100">
        <v>6.3</v>
      </c>
      <c r="J88" s="100">
        <v>0.17</v>
      </c>
      <c r="K88" s="100">
        <v>209.09</v>
      </c>
      <c r="L88" s="100">
        <v>28.45</v>
      </c>
      <c r="M88" s="100">
        <v>84.11</v>
      </c>
      <c r="N88" s="100">
        <v>2.5</v>
      </c>
      <c r="O88" s="100">
        <v>0</v>
      </c>
      <c r="P88" s="100">
        <v>0.34</v>
      </c>
      <c r="Q88" s="100">
        <v>10</v>
      </c>
      <c r="R88" s="6"/>
      <c r="S88" s="6"/>
      <c r="T88" s="156"/>
      <c r="U88" s="6"/>
    </row>
    <row r="89" spans="1:21" customFormat="1">
      <c r="A89" s="163" t="s">
        <v>2336</v>
      </c>
      <c r="B89" s="100">
        <v>1.6</v>
      </c>
      <c r="C89" s="100">
        <v>3.06</v>
      </c>
      <c r="D89" s="100">
        <v>1.42</v>
      </c>
      <c r="E89" s="100">
        <v>6.48</v>
      </c>
      <c r="F89" s="100">
        <v>2.93</v>
      </c>
      <c r="G89" s="100">
        <v>54.35</v>
      </c>
      <c r="H89" s="100">
        <v>25.65</v>
      </c>
      <c r="I89" s="100">
        <v>6.32</v>
      </c>
      <c r="J89" s="100">
        <v>0.14000000000000001</v>
      </c>
      <c r="K89" s="100">
        <v>174.56</v>
      </c>
      <c r="L89" s="100">
        <v>28.14</v>
      </c>
      <c r="M89" s="100">
        <v>86.2</v>
      </c>
      <c r="N89" s="100">
        <v>2.2999999999999998</v>
      </c>
      <c r="O89" s="100">
        <v>0</v>
      </c>
      <c r="P89" s="100">
        <v>0.33</v>
      </c>
      <c r="Q89" s="100">
        <v>10</v>
      </c>
      <c r="R89" s="6"/>
      <c r="S89" s="6"/>
      <c r="T89" s="156"/>
      <c r="U89" s="6"/>
    </row>
    <row r="90" spans="1:21" customFormat="1">
      <c r="A90" s="163" t="s">
        <v>2337</v>
      </c>
      <c r="B90" s="100">
        <v>1.24</v>
      </c>
      <c r="C90" s="100">
        <v>2.13</v>
      </c>
      <c r="D90" s="100">
        <v>0.19</v>
      </c>
      <c r="E90" s="100">
        <v>6.3</v>
      </c>
      <c r="F90" s="100">
        <v>1.58</v>
      </c>
      <c r="G90" s="100">
        <v>54.35</v>
      </c>
      <c r="H90" s="100">
        <v>25.65</v>
      </c>
      <c r="I90" s="100">
        <v>6.32</v>
      </c>
      <c r="J90" s="100">
        <v>0.2</v>
      </c>
      <c r="K90" s="100">
        <v>225.12</v>
      </c>
      <c r="L90" s="100">
        <v>28.05</v>
      </c>
      <c r="M90" s="100">
        <v>86.98</v>
      </c>
      <c r="N90" s="100">
        <v>2.2000000000000002</v>
      </c>
      <c r="O90" s="100">
        <v>0</v>
      </c>
      <c r="P90" s="100">
        <v>0.33</v>
      </c>
      <c r="Q90" s="100">
        <v>10</v>
      </c>
      <c r="R90" s="6"/>
      <c r="S90" s="6"/>
      <c r="T90" s="156"/>
      <c r="U90" s="6"/>
    </row>
    <row r="91" spans="1:21" customFormat="1">
      <c r="A91" s="163" t="s">
        <v>2338</v>
      </c>
      <c r="B91" s="100">
        <v>1.63</v>
      </c>
      <c r="C91" s="100">
        <v>2.86</v>
      </c>
      <c r="D91" s="100">
        <v>1</v>
      </c>
      <c r="E91" s="100">
        <v>6.48</v>
      </c>
      <c r="F91" s="100">
        <v>1.31</v>
      </c>
      <c r="G91" s="100">
        <v>54.35</v>
      </c>
      <c r="H91" s="100">
        <v>25.65</v>
      </c>
      <c r="I91" s="100">
        <v>6.33</v>
      </c>
      <c r="J91" s="100">
        <v>0.13</v>
      </c>
      <c r="K91" s="100">
        <v>173.23</v>
      </c>
      <c r="L91" s="100">
        <v>27.91</v>
      </c>
      <c r="M91" s="100">
        <v>89.42</v>
      </c>
      <c r="N91" s="100">
        <v>2.2000000000000002</v>
      </c>
      <c r="O91" s="100">
        <v>0</v>
      </c>
      <c r="P91" s="100">
        <v>0.33</v>
      </c>
      <c r="Q91" s="100">
        <v>10</v>
      </c>
      <c r="R91" s="6"/>
      <c r="S91" s="6"/>
      <c r="T91" s="156"/>
      <c r="U91" s="6"/>
    </row>
    <row r="92" spans="1:21" customFormat="1">
      <c r="A92" s="163" t="s">
        <v>2339</v>
      </c>
      <c r="B92" s="100">
        <v>1.32</v>
      </c>
      <c r="C92" s="100">
        <v>2.38</v>
      </c>
      <c r="D92" s="100">
        <v>0.54</v>
      </c>
      <c r="E92" s="100">
        <v>6.45</v>
      </c>
      <c r="F92" s="100">
        <v>2.23</v>
      </c>
      <c r="G92" s="100">
        <v>53.69</v>
      </c>
      <c r="H92" s="100">
        <v>25.8</v>
      </c>
      <c r="I92" s="100">
        <v>6.38</v>
      </c>
      <c r="J92" s="100">
        <v>0.19</v>
      </c>
      <c r="K92" s="100">
        <v>230.14</v>
      </c>
      <c r="L92" s="100">
        <v>27.85</v>
      </c>
      <c r="M92" s="100">
        <v>89.19</v>
      </c>
      <c r="N92" s="100">
        <v>2.1</v>
      </c>
      <c r="O92" s="100">
        <v>0</v>
      </c>
      <c r="P92" s="100">
        <v>0.35</v>
      </c>
      <c r="Q92" s="100">
        <v>10</v>
      </c>
      <c r="R92" s="6"/>
      <c r="S92" s="6"/>
      <c r="T92" s="156"/>
      <c r="U92" s="6"/>
    </row>
    <row r="93" spans="1:21" customFormat="1">
      <c r="A93" s="163" t="s">
        <v>2340</v>
      </c>
      <c r="B93" s="100">
        <v>1.43</v>
      </c>
      <c r="C93" s="100">
        <v>2.5</v>
      </c>
      <c r="D93" s="100">
        <v>0.61</v>
      </c>
      <c r="E93" s="100">
        <v>6.48</v>
      </c>
      <c r="F93" s="100">
        <v>2.0699999999999998</v>
      </c>
      <c r="G93" s="100">
        <v>50.69</v>
      </c>
      <c r="H93" s="100">
        <v>26.26</v>
      </c>
      <c r="I93" s="100">
        <v>6.41</v>
      </c>
      <c r="J93" s="100">
        <v>0.18</v>
      </c>
      <c r="K93" s="100">
        <v>237.95</v>
      </c>
      <c r="L93" s="100">
        <v>27.8</v>
      </c>
      <c r="M93" s="100">
        <v>89.82</v>
      </c>
      <c r="N93" s="100">
        <v>2.1</v>
      </c>
      <c r="O93" s="100">
        <v>0</v>
      </c>
      <c r="P93" s="100">
        <v>0.34</v>
      </c>
      <c r="Q93" s="100">
        <v>10</v>
      </c>
      <c r="R93" s="6"/>
      <c r="S93" s="6"/>
      <c r="T93" s="156"/>
      <c r="U93" s="6"/>
    </row>
    <row r="94" spans="1:21" customFormat="1">
      <c r="A94" s="163" t="s">
        <v>2341</v>
      </c>
      <c r="B94" s="100">
        <v>1.56</v>
      </c>
      <c r="C94" s="100">
        <v>2.97</v>
      </c>
      <c r="D94" s="100">
        <v>1.31</v>
      </c>
      <c r="E94" s="100">
        <v>6.68</v>
      </c>
      <c r="F94" s="100">
        <v>2.2200000000000002</v>
      </c>
      <c r="G94" s="100">
        <v>50.69</v>
      </c>
      <c r="H94" s="100">
        <v>26.26</v>
      </c>
      <c r="I94" s="100">
        <v>6.5</v>
      </c>
      <c r="J94" s="100">
        <v>0.17</v>
      </c>
      <c r="K94" s="100">
        <v>230.39</v>
      </c>
      <c r="L94" s="100">
        <v>27.74</v>
      </c>
      <c r="M94" s="100">
        <v>90.98</v>
      </c>
      <c r="N94" s="100">
        <v>2.1</v>
      </c>
      <c r="O94" s="100">
        <v>0</v>
      </c>
      <c r="P94" s="100">
        <v>0.34</v>
      </c>
      <c r="Q94" s="100">
        <v>10</v>
      </c>
      <c r="R94" s="6"/>
      <c r="S94" s="6"/>
      <c r="T94" s="156"/>
      <c r="U94" s="6"/>
    </row>
    <row r="95" spans="1:21" customFormat="1">
      <c r="A95" s="163" t="s">
        <v>2342</v>
      </c>
      <c r="B95" s="100">
        <v>1.59</v>
      </c>
      <c r="C95" s="100">
        <v>3.05</v>
      </c>
      <c r="D95" s="100">
        <v>1.41</v>
      </c>
      <c r="E95" s="100">
        <v>6.59</v>
      </c>
      <c r="F95" s="100">
        <v>1.64</v>
      </c>
      <c r="G95" s="100">
        <v>50.69</v>
      </c>
      <c r="H95" s="100">
        <v>26.26</v>
      </c>
      <c r="I95" s="100">
        <v>6.52</v>
      </c>
      <c r="J95" s="100">
        <v>0.26</v>
      </c>
      <c r="K95" s="100">
        <v>245.73</v>
      </c>
      <c r="L95" s="100">
        <v>27.67</v>
      </c>
      <c r="M95" s="100">
        <v>90.22</v>
      </c>
      <c r="N95" s="100">
        <v>2.1</v>
      </c>
      <c r="O95" s="100">
        <v>0</v>
      </c>
      <c r="P95" s="100">
        <v>0.33</v>
      </c>
      <c r="Q95" s="100">
        <v>10</v>
      </c>
      <c r="R95" s="6"/>
      <c r="S95" s="6"/>
      <c r="T95" s="156"/>
      <c r="U95" s="6"/>
    </row>
    <row r="96" spans="1:21" customFormat="1">
      <c r="A96" s="163" t="s">
        <v>2343</v>
      </c>
      <c r="B96" s="100">
        <v>1.32</v>
      </c>
      <c r="C96" s="100">
        <v>2.4500000000000002</v>
      </c>
      <c r="D96" s="100">
        <v>0.69</v>
      </c>
      <c r="E96" s="100">
        <v>6.31</v>
      </c>
      <c r="F96" s="100">
        <v>1.99</v>
      </c>
      <c r="G96" s="100">
        <v>49.3</v>
      </c>
      <c r="H96" s="100">
        <v>25.13</v>
      </c>
      <c r="I96" s="100">
        <v>6.44</v>
      </c>
      <c r="J96" s="100">
        <v>0.39</v>
      </c>
      <c r="K96" s="100">
        <v>247.44</v>
      </c>
      <c r="L96" s="100">
        <v>27.78</v>
      </c>
      <c r="M96" s="100">
        <v>87.58</v>
      </c>
      <c r="N96" s="100">
        <v>2</v>
      </c>
      <c r="O96" s="100">
        <v>0</v>
      </c>
      <c r="P96" s="100">
        <v>0.33</v>
      </c>
      <c r="Q96" s="100">
        <v>10</v>
      </c>
      <c r="R96" s="6"/>
      <c r="S96" s="6"/>
      <c r="T96" s="156"/>
      <c r="U96" s="6"/>
    </row>
    <row r="97" spans="1:28" customFormat="1">
      <c r="A97" s="163" t="s">
        <v>2344</v>
      </c>
      <c r="B97" s="100">
        <v>1.24</v>
      </c>
      <c r="C97" s="100">
        <v>2.04</v>
      </c>
      <c r="D97" s="100">
        <v>0.02</v>
      </c>
      <c r="E97" s="100">
        <v>6.46</v>
      </c>
      <c r="F97" s="100">
        <v>1.53</v>
      </c>
      <c r="G97" s="100">
        <v>43.33</v>
      </c>
      <c r="H97" s="100">
        <v>21.53</v>
      </c>
      <c r="I97" s="100">
        <v>6.37</v>
      </c>
      <c r="J97" s="100">
        <v>0.25</v>
      </c>
      <c r="K97" s="100">
        <v>232.68</v>
      </c>
      <c r="L97" s="100">
        <v>27.65</v>
      </c>
      <c r="M97" s="100">
        <v>87.5</v>
      </c>
      <c r="N97" s="100">
        <v>2.1</v>
      </c>
      <c r="O97" s="100">
        <v>0</v>
      </c>
      <c r="P97" s="100">
        <v>0.32</v>
      </c>
      <c r="Q97" s="100">
        <v>10</v>
      </c>
      <c r="R97" s="6"/>
      <c r="S97" s="6"/>
      <c r="T97" s="156"/>
      <c r="U97" s="6"/>
    </row>
    <row r="98" spans="1:28" customFormat="1">
      <c r="A98" s="163" t="s">
        <v>2345</v>
      </c>
      <c r="B98" s="100">
        <v>1.61</v>
      </c>
      <c r="C98" s="100">
        <v>3.09</v>
      </c>
      <c r="D98" s="100">
        <v>1.46</v>
      </c>
      <c r="E98" s="100">
        <v>6.77</v>
      </c>
      <c r="F98" s="100">
        <v>1.56</v>
      </c>
      <c r="G98" s="100">
        <v>43.33</v>
      </c>
      <c r="H98" s="100">
        <v>21.53</v>
      </c>
      <c r="I98" s="100">
        <v>6.32</v>
      </c>
      <c r="J98" s="100">
        <v>0.12</v>
      </c>
      <c r="K98" s="100">
        <v>167.82</v>
      </c>
      <c r="L98" s="100">
        <v>27.6</v>
      </c>
      <c r="M98" s="100">
        <v>88.1</v>
      </c>
      <c r="N98" s="100">
        <v>2.1</v>
      </c>
      <c r="O98" s="100">
        <v>0</v>
      </c>
      <c r="P98" s="100">
        <v>0.32</v>
      </c>
      <c r="Q98" s="100">
        <v>10</v>
      </c>
      <c r="R98" s="6"/>
      <c r="S98" s="6"/>
      <c r="T98" s="156"/>
      <c r="U98" s="6"/>
    </row>
    <row r="99" spans="1:28" customFormat="1">
      <c r="A99" s="163" t="s">
        <v>2346</v>
      </c>
      <c r="B99" s="100">
        <v>1.46</v>
      </c>
      <c r="C99" s="100">
        <v>2.73</v>
      </c>
      <c r="D99" s="100">
        <v>1</v>
      </c>
      <c r="E99" s="100">
        <v>6.57</v>
      </c>
      <c r="F99" s="100">
        <v>2.17</v>
      </c>
      <c r="G99" s="100">
        <v>43.33</v>
      </c>
      <c r="H99" s="100">
        <v>21.53</v>
      </c>
      <c r="I99" s="100">
        <v>6.39</v>
      </c>
      <c r="J99" s="100">
        <v>0.11</v>
      </c>
      <c r="K99" s="100">
        <v>102.14</v>
      </c>
      <c r="L99" s="100">
        <v>27.61</v>
      </c>
      <c r="M99" s="100">
        <v>87.74</v>
      </c>
      <c r="N99" s="100">
        <v>2.1</v>
      </c>
      <c r="O99" s="100">
        <v>0</v>
      </c>
      <c r="P99" s="100">
        <v>0.32</v>
      </c>
      <c r="Q99" s="100">
        <v>10</v>
      </c>
      <c r="R99" s="6"/>
      <c r="S99" s="6"/>
      <c r="T99" s="156"/>
      <c r="U99" s="6"/>
    </row>
    <row r="100" spans="1:28" customFormat="1">
      <c r="A100" s="163" t="s">
        <v>2347</v>
      </c>
      <c r="B100" s="100">
        <v>1.64</v>
      </c>
      <c r="C100" s="100">
        <v>3.12</v>
      </c>
      <c r="D100" s="100">
        <v>1.47</v>
      </c>
      <c r="E100" s="100">
        <v>6.62</v>
      </c>
      <c r="F100" s="100">
        <v>1.78</v>
      </c>
      <c r="G100" s="100">
        <v>42.99</v>
      </c>
      <c r="H100" s="100">
        <v>21.49</v>
      </c>
      <c r="I100" s="100">
        <v>6.35</v>
      </c>
      <c r="J100" s="100">
        <v>0.19</v>
      </c>
      <c r="K100" s="100">
        <v>168.99</v>
      </c>
      <c r="L100" s="100">
        <v>27.45</v>
      </c>
      <c r="M100" s="100">
        <v>89.21</v>
      </c>
      <c r="N100" s="100">
        <v>2.2000000000000002</v>
      </c>
      <c r="O100" s="100">
        <v>0</v>
      </c>
      <c r="P100" s="100">
        <v>0.32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2348</v>
      </c>
      <c r="B101" s="100">
        <v>1.62</v>
      </c>
      <c r="C101" s="100">
        <v>3.03</v>
      </c>
      <c r="D101" s="100">
        <v>1.33</v>
      </c>
      <c r="E101" s="100">
        <v>6.75</v>
      </c>
      <c r="F101" s="100">
        <v>1.69</v>
      </c>
      <c r="G101" s="100">
        <v>41.53</v>
      </c>
      <c r="H101" s="100">
        <v>21.28</v>
      </c>
      <c r="I101" s="100">
        <v>6.45</v>
      </c>
      <c r="J101" s="100">
        <v>0.13</v>
      </c>
      <c r="K101" s="100">
        <v>185.55</v>
      </c>
      <c r="L101" s="100">
        <v>27.18</v>
      </c>
      <c r="M101" s="100">
        <v>91.2</v>
      </c>
      <c r="N101" s="100">
        <v>2.1</v>
      </c>
      <c r="O101" s="100">
        <v>0</v>
      </c>
      <c r="P101" s="100">
        <v>0.33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2349</v>
      </c>
      <c r="B102" s="100">
        <v>1.52</v>
      </c>
      <c r="C102" s="100">
        <v>2.82</v>
      </c>
      <c r="D102" s="100">
        <v>1.08</v>
      </c>
      <c r="E102" s="100">
        <v>6.66</v>
      </c>
      <c r="F102" s="100">
        <v>1.74</v>
      </c>
      <c r="G102" s="100">
        <v>41.53</v>
      </c>
      <c r="H102" s="100">
        <v>21.28</v>
      </c>
      <c r="I102" s="100">
        <v>6.62</v>
      </c>
      <c r="J102" s="100">
        <v>0.12</v>
      </c>
      <c r="K102" s="100">
        <v>186.81</v>
      </c>
      <c r="L102" s="100">
        <v>27.06</v>
      </c>
      <c r="M102" s="100">
        <v>93.55</v>
      </c>
      <c r="N102" s="100">
        <v>2.1</v>
      </c>
      <c r="O102" s="100">
        <v>0</v>
      </c>
      <c r="P102" s="100">
        <v>0.33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2350</v>
      </c>
      <c r="B103" s="100">
        <v>1.49</v>
      </c>
      <c r="C103" s="100">
        <v>2.65</v>
      </c>
      <c r="D103" s="100">
        <v>0.8</v>
      </c>
      <c r="E103" s="100">
        <v>5.94</v>
      </c>
      <c r="F103" s="100">
        <v>1.94</v>
      </c>
      <c r="G103" s="100">
        <v>41.53</v>
      </c>
      <c r="H103" s="100">
        <v>21.28</v>
      </c>
      <c r="I103" s="100">
        <v>6.79</v>
      </c>
      <c r="J103" s="100">
        <v>0.1</v>
      </c>
      <c r="K103" s="100">
        <v>165.17</v>
      </c>
      <c r="L103" s="100">
        <v>26.93</v>
      </c>
      <c r="M103" s="100">
        <v>94.26</v>
      </c>
      <c r="N103" s="100">
        <v>2.1</v>
      </c>
      <c r="O103" s="100">
        <v>0</v>
      </c>
      <c r="P103" s="100">
        <v>0.31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2351</v>
      </c>
      <c r="B104" s="100">
        <v>1.47</v>
      </c>
      <c r="C104" s="100">
        <v>2.56</v>
      </c>
      <c r="D104" s="100">
        <v>0.65</v>
      </c>
      <c r="E104" s="100">
        <v>6.02</v>
      </c>
      <c r="F104" s="100">
        <v>4.79</v>
      </c>
      <c r="G104" s="100">
        <v>40.69</v>
      </c>
      <c r="H104" s="100">
        <v>20.87</v>
      </c>
      <c r="I104" s="100">
        <v>6.88</v>
      </c>
      <c r="J104" s="100">
        <v>0.13</v>
      </c>
      <c r="K104" s="100">
        <v>228.5</v>
      </c>
      <c r="L104" s="100">
        <v>26.91</v>
      </c>
      <c r="M104" s="100">
        <v>94.7</v>
      </c>
      <c r="N104" s="100">
        <v>2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2.04</v>
      </c>
      <c r="D106" s="158">
        <f t="shared" ref="D106:Q106" si="0">MIN(D9:D104)</f>
        <v>0.02</v>
      </c>
      <c r="E106" s="158">
        <f t="shared" si="0"/>
        <v>4.05</v>
      </c>
      <c r="F106" s="158">
        <f t="shared" si="0"/>
        <v>0.67</v>
      </c>
      <c r="G106" s="158">
        <f t="shared" si="0"/>
        <v>31.18</v>
      </c>
      <c r="H106" s="158">
        <f t="shared" si="0"/>
        <v>20.87</v>
      </c>
      <c r="I106" s="158">
        <f t="shared" si="0"/>
        <v>5.43</v>
      </c>
      <c r="J106" s="158">
        <f t="shared" si="0"/>
        <v>0.03</v>
      </c>
      <c r="K106" s="158">
        <f t="shared" si="0"/>
        <v>4.21</v>
      </c>
      <c r="L106" s="158">
        <f t="shared" si="0"/>
        <v>25.62</v>
      </c>
      <c r="M106" s="158">
        <f t="shared" si="0"/>
        <v>63.93</v>
      </c>
      <c r="N106" s="158">
        <f t="shared" si="0"/>
        <v>2</v>
      </c>
      <c r="O106" s="158">
        <f t="shared" si="0"/>
        <v>0</v>
      </c>
      <c r="P106" s="158">
        <f t="shared" si="0"/>
        <v>0.23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5.84</v>
      </c>
      <c r="C107" s="157">
        <f t="shared" ref="C107:Q107" si="1">MAX(C9:C104)</f>
        <v>7.67</v>
      </c>
      <c r="D107" s="157">
        <f t="shared" si="1"/>
        <v>4.53</v>
      </c>
      <c r="E107" s="157">
        <f t="shared" si="1"/>
        <v>7.05</v>
      </c>
      <c r="F107" s="157">
        <f t="shared" si="1"/>
        <v>24.56</v>
      </c>
      <c r="G107" s="157">
        <f t="shared" si="1"/>
        <v>71.13</v>
      </c>
      <c r="H107" s="157">
        <f t="shared" si="1"/>
        <v>32.4</v>
      </c>
      <c r="I107" s="157">
        <f t="shared" si="1"/>
        <v>10.35</v>
      </c>
      <c r="J107" s="157">
        <f t="shared" si="1"/>
        <v>0.75</v>
      </c>
      <c r="K107" s="157">
        <f t="shared" si="1"/>
        <v>355.85</v>
      </c>
      <c r="L107" s="157">
        <f t="shared" si="1"/>
        <v>32.409999999999997</v>
      </c>
      <c r="M107" s="157">
        <f t="shared" si="1"/>
        <v>99.48</v>
      </c>
      <c r="N107" s="157">
        <f t="shared" si="1"/>
        <v>585.6</v>
      </c>
      <c r="O107" s="157">
        <f t="shared" si="1"/>
        <v>0</v>
      </c>
      <c r="P107" s="157">
        <f t="shared" si="1"/>
        <v>0.53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2.5842708333333335</v>
      </c>
      <c r="C108" s="158">
        <f t="shared" ref="C108:Q108" si="2">AVERAGE(C9:C104)</f>
        <v>4.0824999999999996</v>
      </c>
      <c r="D108" s="158">
        <f t="shared" si="2"/>
        <v>1.8646875000000003</v>
      </c>
      <c r="E108" s="158">
        <f t="shared" si="2"/>
        <v>5.3401041666666664</v>
      </c>
      <c r="F108" s="158">
        <f t="shared" si="2"/>
        <v>4.4217708333333325</v>
      </c>
      <c r="G108" s="158">
        <f t="shared" si="2"/>
        <v>53.103437499999984</v>
      </c>
      <c r="H108" s="158">
        <f t="shared" si="2"/>
        <v>26.309895833333353</v>
      </c>
      <c r="I108" s="158">
        <f t="shared" si="2"/>
        <v>7.545520833333331</v>
      </c>
      <c r="J108" s="158">
        <f t="shared" si="2"/>
        <v>0.25333333333333347</v>
      </c>
      <c r="K108" s="158">
        <f t="shared" si="2"/>
        <v>190.31739583333331</v>
      </c>
      <c r="L108" s="158">
        <f t="shared" si="2"/>
        <v>28.439062499999988</v>
      </c>
      <c r="M108" s="158">
        <f t="shared" si="2"/>
        <v>85.327499999999972</v>
      </c>
      <c r="N108" s="158">
        <f t="shared" si="2"/>
        <v>97.983333333333348</v>
      </c>
      <c r="O108" s="158">
        <f t="shared" si="2"/>
        <v>0</v>
      </c>
      <c r="P108" s="158">
        <f t="shared" si="2"/>
        <v>0.38062499999999982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1.3602435887053581</v>
      </c>
      <c r="C109" s="158">
        <f t="shared" ref="C109:Q109" si="3">STDEV(C9:C104)</f>
        <v>1.5647942524918663</v>
      </c>
      <c r="D109" s="158">
        <f t="shared" si="3"/>
        <v>1.0548733554567722</v>
      </c>
      <c r="E109" s="158">
        <f t="shared" si="3"/>
        <v>0.77704093882757808</v>
      </c>
      <c r="F109" s="158">
        <f t="shared" si="3"/>
        <v>5.6068257263693484</v>
      </c>
      <c r="G109" s="158">
        <f t="shared" si="3"/>
        <v>10.776803727707401</v>
      </c>
      <c r="H109" s="158">
        <f t="shared" si="3"/>
        <v>3.3114161368120056</v>
      </c>
      <c r="I109" s="158">
        <f t="shared" si="3"/>
        <v>1.5283812350200616</v>
      </c>
      <c r="J109" s="158">
        <f t="shared" si="3"/>
        <v>0.18083238337530394</v>
      </c>
      <c r="K109" s="158">
        <f t="shared" si="3"/>
        <v>93.202302741428184</v>
      </c>
      <c r="L109" s="158">
        <f t="shared" si="3"/>
        <v>2.0508848299030142</v>
      </c>
      <c r="M109" s="158">
        <f t="shared" si="3"/>
        <v>11.045919560967915</v>
      </c>
      <c r="N109" s="158">
        <f t="shared" si="3"/>
        <v>143.3001859672402</v>
      </c>
      <c r="O109" s="158">
        <f t="shared" si="3"/>
        <v>0</v>
      </c>
      <c r="P109" s="158">
        <f t="shared" si="3"/>
        <v>9.0702666356677245E-2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2" sqref="J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2352</v>
      </c>
      <c r="B9" s="100">
        <v>1.32</v>
      </c>
      <c r="C9" s="100">
        <v>2.23</v>
      </c>
      <c r="D9" s="100">
        <v>0.26</v>
      </c>
      <c r="E9" s="100">
        <v>5.69</v>
      </c>
      <c r="F9" s="100">
        <v>7.36</v>
      </c>
      <c r="G9" s="100">
        <v>37.090000000000003</v>
      </c>
      <c r="H9" s="100">
        <v>19.55</v>
      </c>
      <c r="I9" s="100">
        <v>6.93</v>
      </c>
      <c r="J9" s="100">
        <v>0.18</v>
      </c>
      <c r="K9" s="100">
        <v>240.23</v>
      </c>
      <c r="L9" s="100">
        <v>26.97</v>
      </c>
      <c r="M9" s="100">
        <v>93.52</v>
      </c>
      <c r="N9" s="100">
        <v>2.1</v>
      </c>
      <c r="O9" s="100">
        <v>0</v>
      </c>
      <c r="P9" s="100">
        <v>0.25</v>
      </c>
      <c r="Q9" s="100">
        <v>10</v>
      </c>
      <c r="R9" s="6"/>
      <c r="S9" s="6"/>
      <c r="T9" s="156"/>
      <c r="U9" s="6"/>
    </row>
    <row r="10" spans="1:21" customFormat="1">
      <c r="A10" s="163" t="s">
        <v>2353</v>
      </c>
      <c r="B10" s="100">
        <v>1.34</v>
      </c>
      <c r="C10" s="100">
        <v>2.23</v>
      </c>
      <c r="D10" s="100">
        <v>0.23</v>
      </c>
      <c r="E10" s="100">
        <v>5.95</v>
      </c>
      <c r="F10" s="100">
        <v>4.1399999999999997</v>
      </c>
      <c r="G10" s="100">
        <v>37.090000000000003</v>
      </c>
      <c r="H10" s="100">
        <v>19.55</v>
      </c>
      <c r="I10" s="100">
        <v>6.79</v>
      </c>
      <c r="J10" s="100">
        <v>0.1</v>
      </c>
      <c r="K10" s="100">
        <v>184.69</v>
      </c>
      <c r="L10" s="100">
        <v>26.98</v>
      </c>
      <c r="M10" s="100">
        <v>92</v>
      </c>
      <c r="N10" s="100">
        <v>2.1</v>
      </c>
      <c r="O10" s="100">
        <v>0</v>
      </c>
      <c r="P10" s="100">
        <v>0.27</v>
      </c>
      <c r="Q10" s="100">
        <v>10</v>
      </c>
      <c r="R10" s="6"/>
      <c r="S10" s="6"/>
      <c r="T10" s="156"/>
      <c r="U10" s="6"/>
    </row>
    <row r="11" spans="1:21" customFormat="1">
      <c r="A11" s="163" t="s">
        <v>2354</v>
      </c>
      <c r="B11" s="100">
        <v>2.12</v>
      </c>
      <c r="C11" s="100">
        <v>3.83</v>
      </c>
      <c r="D11" s="100">
        <v>2.11</v>
      </c>
      <c r="E11" s="100">
        <v>6.12</v>
      </c>
      <c r="F11" s="100">
        <v>3.77</v>
      </c>
      <c r="G11" s="100">
        <v>37.090000000000003</v>
      </c>
      <c r="H11" s="100">
        <v>19.55</v>
      </c>
      <c r="I11" s="100">
        <v>6.53</v>
      </c>
      <c r="J11" s="100">
        <v>0.14000000000000001</v>
      </c>
      <c r="K11" s="100">
        <v>211.13</v>
      </c>
      <c r="L11" s="100">
        <v>26.81</v>
      </c>
      <c r="M11" s="100">
        <v>92.85</v>
      </c>
      <c r="N11" s="100">
        <v>2.2000000000000002</v>
      </c>
      <c r="O11" s="100">
        <v>0</v>
      </c>
      <c r="P11" s="100">
        <v>0.28000000000000003</v>
      </c>
      <c r="Q11" s="100">
        <v>10</v>
      </c>
      <c r="R11" s="6"/>
      <c r="S11" s="6"/>
      <c r="T11" s="156"/>
      <c r="U11" s="6"/>
    </row>
    <row r="12" spans="1:21" customFormat="1">
      <c r="A12" s="163" t="s">
        <v>2355</v>
      </c>
      <c r="B12" s="100">
        <v>1.54</v>
      </c>
      <c r="C12" s="100">
        <v>2.73</v>
      </c>
      <c r="D12" s="100">
        <v>0.88</v>
      </c>
      <c r="E12" s="100">
        <v>5.89</v>
      </c>
      <c r="F12" s="100">
        <v>7.33</v>
      </c>
      <c r="G12" s="100">
        <v>35.9</v>
      </c>
      <c r="H12" s="100">
        <v>19.239999999999998</v>
      </c>
      <c r="I12" s="100">
        <v>6.57</v>
      </c>
      <c r="J12" s="100">
        <v>0.18</v>
      </c>
      <c r="K12" s="100">
        <v>233.8</v>
      </c>
      <c r="L12" s="100">
        <v>26.69</v>
      </c>
      <c r="M12" s="100">
        <v>93.33</v>
      </c>
      <c r="N12" s="100">
        <v>2.1</v>
      </c>
      <c r="O12" s="100">
        <v>0</v>
      </c>
      <c r="P12" s="100">
        <v>0.25</v>
      </c>
      <c r="Q12" s="100">
        <v>10</v>
      </c>
      <c r="R12" s="6"/>
      <c r="S12" s="6"/>
      <c r="T12" s="156"/>
      <c r="U12" s="6"/>
    </row>
    <row r="13" spans="1:21" customFormat="1">
      <c r="A13" s="163" t="s">
        <v>2356</v>
      </c>
      <c r="B13" s="100">
        <v>1.83</v>
      </c>
      <c r="C13" s="100">
        <v>2.9</v>
      </c>
      <c r="D13" s="100">
        <v>0.77</v>
      </c>
      <c r="E13" s="100">
        <v>5.74</v>
      </c>
      <c r="F13" s="100">
        <v>4.0599999999999996</v>
      </c>
      <c r="G13" s="100">
        <v>30.81</v>
      </c>
      <c r="H13" s="100">
        <v>18.23</v>
      </c>
      <c r="I13" s="100">
        <v>6.45</v>
      </c>
      <c r="J13" s="100">
        <v>0.21</v>
      </c>
      <c r="K13" s="100">
        <v>238.45</v>
      </c>
      <c r="L13" s="100">
        <v>26.69</v>
      </c>
      <c r="M13" s="100">
        <v>92.22</v>
      </c>
      <c r="N13" s="100">
        <v>2.1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163" t="s">
        <v>2357</v>
      </c>
      <c r="B14" s="100">
        <v>1.99</v>
      </c>
      <c r="C14" s="100">
        <v>3.39</v>
      </c>
      <c r="D14" s="100">
        <v>1.46</v>
      </c>
      <c r="E14" s="100">
        <v>6</v>
      </c>
      <c r="F14" s="100">
        <v>2.63</v>
      </c>
      <c r="G14" s="100">
        <v>30.81</v>
      </c>
      <c r="H14" s="100">
        <v>18.23</v>
      </c>
      <c r="I14" s="100">
        <v>6.13</v>
      </c>
      <c r="J14" s="100">
        <v>0.25</v>
      </c>
      <c r="K14" s="100">
        <v>247.61</v>
      </c>
      <c r="L14" s="100">
        <v>26.62</v>
      </c>
      <c r="M14" s="100">
        <v>92.08</v>
      </c>
      <c r="N14" s="100">
        <v>2.1</v>
      </c>
      <c r="O14" s="100">
        <v>0</v>
      </c>
      <c r="P14" s="100">
        <v>0.27</v>
      </c>
      <c r="Q14" s="100">
        <v>10</v>
      </c>
      <c r="R14" s="6"/>
      <c r="S14" s="6"/>
      <c r="T14" s="156"/>
      <c r="U14" s="6"/>
    </row>
    <row r="15" spans="1:21" customFormat="1">
      <c r="A15" s="163" t="s">
        <v>2358</v>
      </c>
      <c r="B15" s="100">
        <v>1.82</v>
      </c>
      <c r="C15" s="100">
        <v>3.16</v>
      </c>
      <c r="D15" s="100">
        <v>1.27</v>
      </c>
      <c r="E15" s="100">
        <v>6.15</v>
      </c>
      <c r="F15" s="100">
        <v>4.51</v>
      </c>
      <c r="G15" s="100">
        <v>30.81</v>
      </c>
      <c r="H15" s="100">
        <v>18.23</v>
      </c>
      <c r="I15" s="100">
        <v>6.22</v>
      </c>
      <c r="J15" s="100">
        <v>0.4</v>
      </c>
      <c r="K15" s="100">
        <v>252.32</v>
      </c>
      <c r="L15" s="100">
        <v>26.55</v>
      </c>
      <c r="M15" s="100">
        <v>92.55</v>
      </c>
      <c r="N15" s="100">
        <v>2.1</v>
      </c>
      <c r="O15" s="100">
        <v>0</v>
      </c>
      <c r="P15" s="100">
        <v>0.26</v>
      </c>
      <c r="Q15" s="100">
        <v>10</v>
      </c>
      <c r="R15" s="6"/>
      <c r="S15" s="6"/>
      <c r="T15" s="156"/>
      <c r="U15" s="6"/>
    </row>
    <row r="16" spans="1:21" customFormat="1">
      <c r="A16" s="163" t="s">
        <v>2359</v>
      </c>
      <c r="B16" s="100">
        <v>1.66</v>
      </c>
      <c r="C16" s="100">
        <v>2.94</v>
      </c>
      <c r="D16" s="100">
        <v>1.0900000000000001</v>
      </c>
      <c r="E16" s="100">
        <v>5.74</v>
      </c>
      <c r="F16" s="100">
        <v>4.38</v>
      </c>
      <c r="G16" s="100">
        <v>30.12</v>
      </c>
      <c r="H16" s="100">
        <v>17.649999999999999</v>
      </c>
      <c r="I16" s="100">
        <v>6.46</v>
      </c>
      <c r="J16" s="100">
        <v>0.4</v>
      </c>
      <c r="K16" s="100">
        <v>254.04</v>
      </c>
      <c r="L16" s="100">
        <v>26.54</v>
      </c>
      <c r="M16" s="100">
        <v>92.16</v>
      </c>
      <c r="N16" s="100">
        <v>2.1</v>
      </c>
      <c r="O16" s="100">
        <v>0</v>
      </c>
      <c r="P16" s="100">
        <v>0.23</v>
      </c>
      <c r="Q16" s="100">
        <v>10</v>
      </c>
      <c r="R16" s="6"/>
      <c r="S16" s="6"/>
      <c r="T16" s="156"/>
      <c r="U16" s="6"/>
    </row>
    <row r="17" spans="1:21" customFormat="1">
      <c r="A17" s="163" t="s">
        <v>2360</v>
      </c>
      <c r="B17" s="100">
        <v>1.4</v>
      </c>
      <c r="C17" s="100">
        <v>2.38</v>
      </c>
      <c r="D17" s="100">
        <v>0.43</v>
      </c>
      <c r="E17" s="100">
        <v>5.37</v>
      </c>
      <c r="F17" s="100">
        <v>2.89</v>
      </c>
      <c r="G17" s="100">
        <v>26.96</v>
      </c>
      <c r="H17" s="100">
        <v>15.8</v>
      </c>
      <c r="I17" s="100">
        <v>6.09</v>
      </c>
      <c r="J17" s="100">
        <v>0.45</v>
      </c>
      <c r="K17" s="100">
        <v>253.09</v>
      </c>
      <c r="L17" s="100">
        <v>26.56</v>
      </c>
      <c r="M17" s="100">
        <v>91.89</v>
      </c>
      <c r="N17" s="100">
        <v>2.1</v>
      </c>
      <c r="O17" s="100">
        <v>0</v>
      </c>
      <c r="P17" s="100">
        <v>0.26</v>
      </c>
      <c r="Q17" s="100">
        <v>10</v>
      </c>
      <c r="R17" s="6"/>
      <c r="S17" s="6"/>
      <c r="T17" s="156"/>
      <c r="U17" s="6"/>
    </row>
    <row r="18" spans="1:21" customFormat="1">
      <c r="A18" s="163" t="s">
        <v>2361</v>
      </c>
      <c r="B18" s="100">
        <v>2.0299999999999998</v>
      </c>
      <c r="C18" s="100">
        <v>3.49</v>
      </c>
      <c r="D18" s="100">
        <v>1.58</v>
      </c>
      <c r="E18" s="100">
        <v>6.36</v>
      </c>
      <c r="F18" s="100">
        <v>3.01</v>
      </c>
      <c r="G18" s="100">
        <v>26.96</v>
      </c>
      <c r="H18" s="100">
        <v>15.8</v>
      </c>
      <c r="I18" s="100">
        <v>6.07</v>
      </c>
      <c r="J18" s="100">
        <v>0.34</v>
      </c>
      <c r="K18" s="100">
        <v>256.45999999999998</v>
      </c>
      <c r="L18" s="100">
        <v>26.45</v>
      </c>
      <c r="M18" s="100">
        <v>92.56</v>
      </c>
      <c r="N18" s="100">
        <v>2.1</v>
      </c>
      <c r="O18" s="100">
        <v>0</v>
      </c>
      <c r="P18" s="100">
        <v>0.24</v>
      </c>
      <c r="Q18" s="100">
        <v>10</v>
      </c>
      <c r="R18" s="6"/>
      <c r="S18" s="6"/>
      <c r="T18" s="156"/>
      <c r="U18" s="6"/>
    </row>
    <row r="19" spans="1:21" customFormat="1">
      <c r="A19" s="163" t="s">
        <v>2362</v>
      </c>
      <c r="B19" s="100">
        <v>1.58</v>
      </c>
      <c r="C19" s="100">
        <v>2.7</v>
      </c>
      <c r="D19" s="100">
        <v>0.77</v>
      </c>
      <c r="E19" s="100">
        <v>6.28</v>
      </c>
      <c r="F19" s="100">
        <v>5.61</v>
      </c>
      <c r="G19" s="100">
        <v>26.96</v>
      </c>
      <c r="H19" s="100">
        <v>15.8</v>
      </c>
      <c r="I19" s="100">
        <v>6.26</v>
      </c>
      <c r="J19" s="100">
        <v>0.27</v>
      </c>
      <c r="K19" s="100">
        <v>253.57</v>
      </c>
      <c r="L19" s="100">
        <v>26.36</v>
      </c>
      <c r="M19" s="100">
        <v>92.94</v>
      </c>
      <c r="N19" s="100">
        <v>2.1</v>
      </c>
      <c r="O19" s="100">
        <v>0</v>
      </c>
      <c r="P19" s="100">
        <v>0.22</v>
      </c>
      <c r="Q19" s="100">
        <v>10</v>
      </c>
      <c r="R19" s="6"/>
      <c r="S19" s="6"/>
      <c r="T19" s="156"/>
      <c r="U19" s="6"/>
    </row>
    <row r="20" spans="1:21" customFormat="1">
      <c r="A20" s="163" t="s">
        <v>2363</v>
      </c>
      <c r="B20" s="100">
        <v>2.0499999999999998</v>
      </c>
      <c r="C20" s="100">
        <v>3.4</v>
      </c>
      <c r="D20" s="100">
        <v>1.38</v>
      </c>
      <c r="E20" s="100">
        <v>6.32</v>
      </c>
      <c r="F20" s="100">
        <v>3.3</v>
      </c>
      <c r="G20" s="100">
        <v>26.55</v>
      </c>
      <c r="H20" s="100">
        <v>15.17</v>
      </c>
      <c r="I20" s="100">
        <v>5.91</v>
      </c>
      <c r="J20" s="100">
        <v>0.4</v>
      </c>
      <c r="K20" s="100">
        <v>258.45999999999998</v>
      </c>
      <c r="L20" s="100">
        <v>26.28</v>
      </c>
      <c r="M20" s="100">
        <v>93.57</v>
      </c>
      <c r="N20" s="100">
        <v>2.1</v>
      </c>
      <c r="O20" s="100">
        <v>0</v>
      </c>
      <c r="P20" s="100">
        <v>0.23</v>
      </c>
      <c r="Q20" s="100">
        <v>10</v>
      </c>
      <c r="R20" s="6"/>
      <c r="S20" s="6"/>
      <c r="T20" s="156"/>
      <c r="U20" s="6"/>
    </row>
    <row r="21" spans="1:21" customFormat="1">
      <c r="A21" s="163" t="s">
        <v>2364</v>
      </c>
      <c r="B21" s="100">
        <v>1.92</v>
      </c>
      <c r="C21" s="100">
        <v>3.38</v>
      </c>
      <c r="D21" s="100">
        <v>1.55</v>
      </c>
      <c r="E21" s="100">
        <v>6.51</v>
      </c>
      <c r="F21" s="100">
        <v>2.36</v>
      </c>
      <c r="G21" s="100">
        <v>24.67</v>
      </c>
      <c r="H21" s="100">
        <v>11.97</v>
      </c>
      <c r="I21" s="100">
        <v>5.73</v>
      </c>
      <c r="J21" s="100">
        <v>0.4</v>
      </c>
      <c r="K21" s="100">
        <v>257.35000000000002</v>
      </c>
      <c r="L21" s="100">
        <v>26.19</v>
      </c>
      <c r="M21" s="100">
        <v>93.99</v>
      </c>
      <c r="N21" s="100">
        <v>2.1</v>
      </c>
      <c r="O21" s="100">
        <v>0</v>
      </c>
      <c r="P21" s="100">
        <v>0.24</v>
      </c>
      <c r="Q21" s="100">
        <v>10</v>
      </c>
      <c r="R21" s="6"/>
      <c r="S21" s="6"/>
      <c r="T21" s="156"/>
      <c r="U21" s="6"/>
    </row>
    <row r="22" spans="1:21" customFormat="1">
      <c r="A22" s="163" t="s">
        <v>2365</v>
      </c>
      <c r="B22" s="100">
        <v>1.72</v>
      </c>
      <c r="C22" s="100">
        <v>2.98</v>
      </c>
      <c r="D22" s="100">
        <v>1.0900000000000001</v>
      </c>
      <c r="E22" s="100">
        <v>6.58</v>
      </c>
      <c r="F22" s="100">
        <v>3.45</v>
      </c>
      <c r="G22" s="100">
        <v>24.67</v>
      </c>
      <c r="H22" s="100">
        <v>11.97</v>
      </c>
      <c r="I22" s="100">
        <v>5.9</v>
      </c>
      <c r="J22" s="100">
        <v>0.46</v>
      </c>
      <c r="K22" s="100">
        <v>252.92</v>
      </c>
      <c r="L22" s="100">
        <v>26.16</v>
      </c>
      <c r="M22" s="100">
        <v>94.08</v>
      </c>
      <c r="N22" s="100">
        <v>2.1</v>
      </c>
      <c r="O22" s="100">
        <v>0</v>
      </c>
      <c r="P22" s="100">
        <v>0.22</v>
      </c>
      <c r="Q22" s="100">
        <v>10</v>
      </c>
      <c r="R22" s="6"/>
      <c r="S22" s="6"/>
      <c r="T22" s="156"/>
      <c r="U22" s="6"/>
    </row>
    <row r="23" spans="1:21" customFormat="1">
      <c r="A23" s="163" t="s">
        <v>2366</v>
      </c>
      <c r="B23" s="100">
        <v>2</v>
      </c>
      <c r="C23" s="100">
        <v>3.58</v>
      </c>
      <c r="D23" s="100">
        <v>1.79</v>
      </c>
      <c r="E23" s="100">
        <v>6.29</v>
      </c>
      <c r="F23" s="100">
        <v>3.16</v>
      </c>
      <c r="G23" s="100">
        <v>24.67</v>
      </c>
      <c r="H23" s="100">
        <v>11.97</v>
      </c>
      <c r="I23" s="100">
        <v>5.89</v>
      </c>
      <c r="J23" s="100">
        <v>0.39</v>
      </c>
      <c r="K23" s="100">
        <v>255.62</v>
      </c>
      <c r="L23" s="100">
        <v>26.12</v>
      </c>
      <c r="M23" s="100">
        <v>94.51</v>
      </c>
      <c r="N23" s="100">
        <v>2.1</v>
      </c>
      <c r="O23" s="100">
        <v>0</v>
      </c>
      <c r="P23" s="100">
        <v>0.21</v>
      </c>
      <c r="Q23" s="100">
        <v>10</v>
      </c>
      <c r="R23" s="6"/>
      <c r="S23" s="6"/>
      <c r="T23" s="156"/>
      <c r="U23" s="6"/>
    </row>
    <row r="24" spans="1:21" customFormat="1">
      <c r="A24" s="163" t="s">
        <v>2367</v>
      </c>
      <c r="B24" s="100">
        <v>1.61</v>
      </c>
      <c r="C24" s="100">
        <v>2.97</v>
      </c>
      <c r="D24" s="100">
        <v>1.24</v>
      </c>
      <c r="E24" s="100">
        <v>6.49</v>
      </c>
      <c r="F24" s="100">
        <v>3.82</v>
      </c>
      <c r="G24" s="100">
        <v>23.41</v>
      </c>
      <c r="H24" s="100">
        <v>11.78</v>
      </c>
      <c r="I24" s="100">
        <v>5.74</v>
      </c>
      <c r="J24" s="100">
        <v>0.39</v>
      </c>
      <c r="K24" s="100">
        <v>264.06</v>
      </c>
      <c r="L24" s="100">
        <v>26.03</v>
      </c>
      <c r="M24" s="100">
        <v>95.01</v>
      </c>
      <c r="N24" s="100">
        <v>2.1</v>
      </c>
      <c r="O24" s="100">
        <v>0</v>
      </c>
      <c r="P24" s="100">
        <v>0.22</v>
      </c>
      <c r="Q24" s="100">
        <v>10</v>
      </c>
      <c r="R24" s="6"/>
      <c r="S24" s="6"/>
      <c r="T24" s="156"/>
      <c r="U24" s="6"/>
    </row>
    <row r="25" spans="1:21" customFormat="1">
      <c r="A25" s="163" t="s">
        <v>2368</v>
      </c>
      <c r="B25" s="100">
        <v>1.72</v>
      </c>
      <c r="C25" s="100">
        <v>3.43</v>
      </c>
      <c r="D25" s="100">
        <v>1.95</v>
      </c>
      <c r="E25" s="100">
        <v>6.62</v>
      </c>
      <c r="F25" s="100">
        <v>3.08</v>
      </c>
      <c r="G25" s="100">
        <v>17.59</v>
      </c>
      <c r="H25" s="100">
        <v>11.18</v>
      </c>
      <c r="I25" s="100">
        <v>5.55</v>
      </c>
      <c r="J25" s="100">
        <v>0.51</v>
      </c>
      <c r="K25" s="100">
        <v>249.72</v>
      </c>
      <c r="L25" s="100">
        <v>26.08</v>
      </c>
      <c r="M25" s="100">
        <v>94.73</v>
      </c>
      <c r="N25" s="100">
        <v>2.1</v>
      </c>
      <c r="O25" s="100">
        <v>0</v>
      </c>
      <c r="P25" s="100">
        <v>0.22</v>
      </c>
      <c r="Q25" s="100">
        <v>10</v>
      </c>
      <c r="R25" s="6"/>
      <c r="S25" s="6"/>
      <c r="T25" s="156"/>
      <c r="U25" s="6"/>
    </row>
    <row r="26" spans="1:21" customFormat="1">
      <c r="A26" s="163" t="s">
        <v>2369</v>
      </c>
      <c r="B26" s="100">
        <v>1.59</v>
      </c>
      <c r="C26" s="100">
        <v>2.86</v>
      </c>
      <c r="D26" s="100">
        <v>1.04</v>
      </c>
      <c r="E26" s="100">
        <v>6.88</v>
      </c>
      <c r="F26" s="100">
        <v>2.77</v>
      </c>
      <c r="G26" s="100">
        <v>17.59</v>
      </c>
      <c r="H26" s="100">
        <v>11.18</v>
      </c>
      <c r="I26" s="100">
        <v>5.62</v>
      </c>
      <c r="J26" s="100">
        <v>0.46</v>
      </c>
      <c r="K26" s="100">
        <v>251.63</v>
      </c>
      <c r="L26" s="100">
        <v>26.16</v>
      </c>
      <c r="M26" s="100">
        <v>94.17</v>
      </c>
      <c r="N26" s="100">
        <v>2</v>
      </c>
      <c r="O26" s="100">
        <v>0</v>
      </c>
      <c r="P26" s="100">
        <v>0.23</v>
      </c>
      <c r="Q26" s="100">
        <v>10</v>
      </c>
      <c r="R26" s="6"/>
      <c r="S26" s="6"/>
      <c r="T26" s="156"/>
      <c r="U26" s="6"/>
    </row>
    <row r="27" spans="1:21" customFormat="1">
      <c r="A27" s="163" t="s">
        <v>2370</v>
      </c>
      <c r="B27" s="100">
        <v>1.66</v>
      </c>
      <c r="C27" s="100">
        <v>3.04</v>
      </c>
      <c r="D27" s="100">
        <v>1.29</v>
      </c>
      <c r="E27" s="100">
        <v>6.69</v>
      </c>
      <c r="F27" s="100">
        <v>2.2799999999999998</v>
      </c>
      <c r="G27" s="100">
        <v>17.59</v>
      </c>
      <c r="H27" s="100">
        <v>11.18</v>
      </c>
      <c r="I27" s="100">
        <v>5.47</v>
      </c>
      <c r="J27" s="100">
        <v>0.39</v>
      </c>
      <c r="K27" s="100">
        <v>252.72</v>
      </c>
      <c r="L27" s="100">
        <v>26.11</v>
      </c>
      <c r="M27" s="100">
        <v>94.01</v>
      </c>
      <c r="N27" s="100">
        <v>2.1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163" t="s">
        <v>2371</v>
      </c>
      <c r="B28" s="100">
        <v>1.81</v>
      </c>
      <c r="C28" s="100">
        <v>3.24</v>
      </c>
      <c r="D28" s="100">
        <v>1.44</v>
      </c>
      <c r="E28" s="100">
        <v>6.62</v>
      </c>
      <c r="F28" s="100">
        <v>2.0499999999999998</v>
      </c>
      <c r="G28" s="100">
        <v>17.489999999999998</v>
      </c>
      <c r="H28" s="100">
        <v>10.98</v>
      </c>
      <c r="I28" s="100">
        <v>5.55</v>
      </c>
      <c r="J28" s="100">
        <v>0.45</v>
      </c>
      <c r="K28" s="100">
        <v>252.65</v>
      </c>
      <c r="L28" s="100">
        <v>26.1</v>
      </c>
      <c r="M28" s="100">
        <v>94.24</v>
      </c>
      <c r="N28" s="100">
        <v>2.1</v>
      </c>
      <c r="O28" s="100">
        <v>0</v>
      </c>
      <c r="P28" s="100">
        <v>0.23</v>
      </c>
      <c r="Q28" s="100">
        <v>10</v>
      </c>
      <c r="R28" s="6"/>
      <c r="S28" s="6"/>
      <c r="T28" s="156"/>
      <c r="U28" s="6"/>
    </row>
    <row r="29" spans="1:21" customFormat="1">
      <c r="A29" s="163" t="s">
        <v>2372</v>
      </c>
      <c r="B29" s="100">
        <v>1.64</v>
      </c>
      <c r="C29" s="100">
        <v>2.95</v>
      </c>
      <c r="D29" s="100">
        <v>1.1399999999999999</v>
      </c>
      <c r="E29" s="100">
        <v>6.7</v>
      </c>
      <c r="F29" s="100">
        <v>1.36</v>
      </c>
      <c r="G29" s="100">
        <v>17.03</v>
      </c>
      <c r="H29" s="100">
        <v>10.35</v>
      </c>
      <c r="I29" s="100">
        <v>5.4</v>
      </c>
      <c r="J29" s="100">
        <v>0.45</v>
      </c>
      <c r="K29" s="100">
        <v>252.41</v>
      </c>
      <c r="L29" s="100">
        <v>26.08</v>
      </c>
      <c r="M29" s="100">
        <v>94.33</v>
      </c>
      <c r="N29" s="100">
        <v>2.1</v>
      </c>
      <c r="O29" s="100">
        <v>0</v>
      </c>
      <c r="P29" s="100">
        <v>0.23</v>
      </c>
      <c r="Q29" s="100">
        <v>10</v>
      </c>
      <c r="R29" s="6"/>
      <c r="S29" s="6"/>
      <c r="T29" s="156"/>
      <c r="U29" s="6"/>
    </row>
    <row r="30" spans="1:21" customFormat="1">
      <c r="A30" s="163" t="s">
        <v>2373</v>
      </c>
      <c r="B30" s="100">
        <v>1.52</v>
      </c>
      <c r="C30" s="100">
        <v>2.78</v>
      </c>
      <c r="D30" s="100">
        <v>1.01</v>
      </c>
      <c r="E30" s="100">
        <v>6.62</v>
      </c>
      <c r="F30" s="100">
        <v>1.97</v>
      </c>
      <c r="G30" s="100">
        <v>17.03</v>
      </c>
      <c r="H30" s="100">
        <v>10.35</v>
      </c>
      <c r="I30" s="100">
        <v>5.25</v>
      </c>
      <c r="J30" s="100">
        <v>0.44</v>
      </c>
      <c r="K30" s="100">
        <v>257.64999999999998</v>
      </c>
      <c r="L30" s="100">
        <v>26.13</v>
      </c>
      <c r="M30" s="100">
        <v>94.26</v>
      </c>
      <c r="N30" s="100">
        <v>2.6</v>
      </c>
      <c r="O30" s="100">
        <v>0</v>
      </c>
      <c r="P30" s="100">
        <v>0.23</v>
      </c>
      <c r="Q30" s="100">
        <v>10</v>
      </c>
      <c r="R30" s="6"/>
      <c r="S30" s="6"/>
      <c r="T30" s="156"/>
      <c r="U30" s="6"/>
    </row>
    <row r="31" spans="1:21" customFormat="1">
      <c r="A31" s="163" t="s">
        <v>2374</v>
      </c>
      <c r="B31" s="100">
        <v>1.27</v>
      </c>
      <c r="C31" s="100">
        <v>2.2200000000000002</v>
      </c>
      <c r="D31" s="100">
        <v>0.32</v>
      </c>
      <c r="E31" s="100">
        <v>6.75</v>
      </c>
      <c r="F31" s="100">
        <v>2.15</v>
      </c>
      <c r="G31" s="100">
        <v>17.03</v>
      </c>
      <c r="H31" s="100">
        <v>10.35</v>
      </c>
      <c r="I31" s="100">
        <v>5.2</v>
      </c>
      <c r="J31" s="100">
        <v>0.55000000000000004</v>
      </c>
      <c r="K31" s="100">
        <v>253.88</v>
      </c>
      <c r="L31" s="100">
        <v>26.1</v>
      </c>
      <c r="M31" s="100">
        <v>94.06</v>
      </c>
      <c r="N31" s="100">
        <v>5.5</v>
      </c>
      <c r="O31" s="100">
        <v>0</v>
      </c>
      <c r="P31" s="100">
        <v>0.22</v>
      </c>
      <c r="Q31" s="100">
        <v>10</v>
      </c>
      <c r="R31" s="6"/>
      <c r="S31" s="6"/>
      <c r="T31" s="156"/>
      <c r="U31" s="6"/>
    </row>
    <row r="32" spans="1:21" customFormat="1">
      <c r="A32" s="163" t="s">
        <v>2375</v>
      </c>
      <c r="B32" s="100">
        <v>1.33</v>
      </c>
      <c r="C32" s="100">
        <v>2.1800000000000002</v>
      </c>
      <c r="D32" s="100">
        <v>0.14000000000000001</v>
      </c>
      <c r="E32" s="100">
        <v>6.82</v>
      </c>
      <c r="F32" s="100">
        <v>2.35</v>
      </c>
      <c r="G32" s="100">
        <v>16.18</v>
      </c>
      <c r="H32" s="100">
        <v>10.26</v>
      </c>
      <c r="I32" s="100">
        <v>5.0599999999999996</v>
      </c>
      <c r="J32" s="100">
        <v>0.3</v>
      </c>
      <c r="K32" s="100">
        <v>262.89999999999998</v>
      </c>
      <c r="L32" s="100">
        <v>26.11</v>
      </c>
      <c r="M32" s="100">
        <v>94.13</v>
      </c>
      <c r="N32" s="100">
        <v>9.3000000000000007</v>
      </c>
      <c r="O32" s="100">
        <v>0</v>
      </c>
      <c r="P32" s="100">
        <v>0.23</v>
      </c>
      <c r="Q32" s="100">
        <v>10</v>
      </c>
      <c r="R32" s="6"/>
      <c r="S32" s="6"/>
      <c r="T32" s="156"/>
      <c r="U32" s="6"/>
    </row>
    <row r="33" spans="1:21" customFormat="1">
      <c r="A33" s="163" t="s">
        <v>2376</v>
      </c>
      <c r="B33" s="100">
        <v>1.84</v>
      </c>
      <c r="C33" s="100">
        <v>3.28</v>
      </c>
      <c r="D33" s="100">
        <v>1.47</v>
      </c>
      <c r="E33" s="100">
        <v>6.49</v>
      </c>
      <c r="F33" s="100">
        <v>1.72</v>
      </c>
      <c r="G33" s="100">
        <v>12.29</v>
      </c>
      <c r="H33" s="100">
        <v>9.9499999999999993</v>
      </c>
      <c r="I33" s="100">
        <v>4.96</v>
      </c>
      <c r="J33" s="100">
        <v>0.4</v>
      </c>
      <c r="K33" s="100">
        <v>255.15</v>
      </c>
      <c r="L33" s="100">
        <v>26.09</v>
      </c>
      <c r="M33" s="100">
        <v>93.99</v>
      </c>
      <c r="N33" s="100">
        <v>21.4</v>
      </c>
      <c r="O33" s="100">
        <v>0</v>
      </c>
      <c r="P33" s="100">
        <v>0.22</v>
      </c>
      <c r="Q33" s="100">
        <v>10</v>
      </c>
      <c r="R33" s="6"/>
      <c r="S33" s="6"/>
      <c r="T33" s="156"/>
      <c r="U33" s="6"/>
    </row>
    <row r="34" spans="1:21" customFormat="1">
      <c r="A34" s="163" t="s">
        <v>2377</v>
      </c>
      <c r="B34" s="100">
        <v>1.65</v>
      </c>
      <c r="C34" s="100">
        <v>2.94</v>
      </c>
      <c r="D34" s="100">
        <v>1.1000000000000001</v>
      </c>
      <c r="E34" s="100">
        <v>7.06</v>
      </c>
      <c r="F34" s="100">
        <v>1.65</v>
      </c>
      <c r="G34" s="100">
        <v>12.29</v>
      </c>
      <c r="H34" s="100">
        <v>9.9499999999999993</v>
      </c>
      <c r="I34" s="100">
        <v>4.8899999999999997</v>
      </c>
      <c r="J34" s="100">
        <v>0.27</v>
      </c>
      <c r="K34" s="100">
        <v>258.02999999999997</v>
      </c>
      <c r="L34" s="100">
        <v>26.2</v>
      </c>
      <c r="M34" s="100">
        <v>93.7</v>
      </c>
      <c r="N34" s="100">
        <v>37.299999999999997</v>
      </c>
      <c r="O34" s="100">
        <v>0</v>
      </c>
      <c r="P34" s="100">
        <v>0.22</v>
      </c>
      <c r="Q34" s="100">
        <v>10</v>
      </c>
      <c r="R34" s="6"/>
      <c r="S34" s="6"/>
      <c r="T34" s="156"/>
      <c r="U34" s="6"/>
    </row>
    <row r="35" spans="1:21" customFormat="1">
      <c r="A35" s="163" t="s">
        <v>2378</v>
      </c>
      <c r="B35" s="100">
        <v>1.83</v>
      </c>
      <c r="C35" s="100">
        <v>3.47</v>
      </c>
      <c r="D35" s="100">
        <v>1.85</v>
      </c>
      <c r="E35" s="100">
        <v>6.99</v>
      </c>
      <c r="F35" s="100">
        <v>1.79</v>
      </c>
      <c r="G35" s="100">
        <v>12.29</v>
      </c>
      <c r="H35" s="100">
        <v>9.9499999999999993</v>
      </c>
      <c r="I35" s="100">
        <v>4.92</v>
      </c>
      <c r="J35" s="100">
        <v>0.39</v>
      </c>
      <c r="K35" s="100">
        <v>252.59</v>
      </c>
      <c r="L35" s="100">
        <v>26.33</v>
      </c>
      <c r="M35" s="100">
        <v>92.86</v>
      </c>
      <c r="N35" s="100">
        <v>50.3</v>
      </c>
      <c r="O35" s="100">
        <v>0</v>
      </c>
      <c r="P35" s="100">
        <v>0.23</v>
      </c>
      <c r="Q35" s="100">
        <v>10</v>
      </c>
      <c r="R35" s="6"/>
      <c r="S35" s="6"/>
      <c r="T35" s="156"/>
      <c r="U35" s="6"/>
    </row>
    <row r="36" spans="1:21" customFormat="1">
      <c r="A36" s="163" t="s">
        <v>2379</v>
      </c>
      <c r="B36" s="100">
        <v>1.53</v>
      </c>
      <c r="C36" s="100">
        <v>2.73</v>
      </c>
      <c r="D36" s="100">
        <v>0.9</v>
      </c>
      <c r="E36" s="100">
        <v>6.66</v>
      </c>
      <c r="F36" s="100">
        <v>1.23</v>
      </c>
      <c r="G36" s="100">
        <v>12.79</v>
      </c>
      <c r="H36" s="100">
        <v>9.83</v>
      </c>
      <c r="I36" s="100">
        <v>4.9000000000000004</v>
      </c>
      <c r="J36" s="100">
        <v>0.36</v>
      </c>
      <c r="K36" s="100">
        <v>261.52999999999997</v>
      </c>
      <c r="L36" s="100">
        <v>26.65</v>
      </c>
      <c r="M36" s="100">
        <v>91.84</v>
      </c>
      <c r="N36" s="100">
        <v>63.9</v>
      </c>
      <c r="O36" s="100">
        <v>0</v>
      </c>
      <c r="P36" s="100">
        <v>0.24</v>
      </c>
      <c r="Q36" s="100">
        <v>10</v>
      </c>
      <c r="R36" s="6"/>
      <c r="S36" s="6"/>
      <c r="T36" s="156"/>
      <c r="U36" s="6"/>
    </row>
    <row r="37" spans="1:21" customFormat="1">
      <c r="A37" s="163" t="s">
        <v>2380</v>
      </c>
      <c r="B37" s="100">
        <v>1.62</v>
      </c>
      <c r="C37" s="100">
        <v>2.96</v>
      </c>
      <c r="D37" s="100">
        <v>1.18</v>
      </c>
      <c r="E37" s="100">
        <v>6.98</v>
      </c>
      <c r="F37" s="100">
        <v>1.28</v>
      </c>
      <c r="G37" s="100">
        <v>15.08</v>
      </c>
      <c r="H37" s="100">
        <v>9.1999999999999993</v>
      </c>
      <c r="I37" s="100">
        <v>5.04</v>
      </c>
      <c r="J37" s="100">
        <v>0.27</v>
      </c>
      <c r="K37" s="100">
        <v>264.45</v>
      </c>
      <c r="L37" s="100">
        <v>27.05</v>
      </c>
      <c r="M37" s="100">
        <v>90.37</v>
      </c>
      <c r="N37" s="100">
        <v>85.6</v>
      </c>
      <c r="O37" s="100">
        <v>0</v>
      </c>
      <c r="P37" s="100">
        <v>0.25</v>
      </c>
      <c r="Q37" s="100">
        <v>10</v>
      </c>
      <c r="R37" s="6"/>
      <c r="S37" s="6"/>
      <c r="T37" s="156"/>
      <c r="U37" s="6"/>
    </row>
    <row r="38" spans="1:21" customFormat="1">
      <c r="A38" s="163" t="s">
        <v>2381</v>
      </c>
      <c r="B38" s="100">
        <v>1.36</v>
      </c>
      <c r="C38" s="100">
        <v>2.35</v>
      </c>
      <c r="D38" s="100">
        <v>0.43</v>
      </c>
      <c r="E38" s="100">
        <v>7.25</v>
      </c>
      <c r="F38" s="100">
        <v>2.12</v>
      </c>
      <c r="G38" s="100">
        <v>15.08</v>
      </c>
      <c r="H38" s="100">
        <v>9.1999999999999993</v>
      </c>
      <c r="I38" s="100">
        <v>5.36</v>
      </c>
      <c r="J38" s="100">
        <v>0.35</v>
      </c>
      <c r="K38" s="100">
        <v>253.97</v>
      </c>
      <c r="L38" s="100">
        <v>27.46</v>
      </c>
      <c r="M38" s="100">
        <v>88.52</v>
      </c>
      <c r="N38" s="100">
        <v>101.2</v>
      </c>
      <c r="O38" s="100">
        <v>0</v>
      </c>
      <c r="P38" s="100">
        <v>0.27</v>
      </c>
      <c r="Q38" s="100">
        <v>10</v>
      </c>
      <c r="R38" s="6"/>
      <c r="S38" s="6"/>
      <c r="T38" s="156"/>
      <c r="U38" s="6"/>
    </row>
    <row r="39" spans="1:21" customFormat="1">
      <c r="A39" s="163" t="s">
        <v>2382</v>
      </c>
      <c r="B39" s="100">
        <v>1.53</v>
      </c>
      <c r="C39" s="100">
        <v>2.8</v>
      </c>
      <c r="D39" s="100">
        <v>1.03</v>
      </c>
      <c r="E39" s="100">
        <v>7.03</v>
      </c>
      <c r="F39" s="100">
        <v>2.5299999999999998</v>
      </c>
      <c r="G39" s="100">
        <v>15.08</v>
      </c>
      <c r="H39" s="100">
        <v>9.1999999999999993</v>
      </c>
      <c r="I39" s="100">
        <v>5.81</v>
      </c>
      <c r="J39" s="100">
        <v>0.41</v>
      </c>
      <c r="K39" s="100">
        <v>263.10000000000002</v>
      </c>
      <c r="L39" s="100">
        <v>27.53</v>
      </c>
      <c r="M39" s="100">
        <v>87.55</v>
      </c>
      <c r="N39" s="100">
        <v>104.5</v>
      </c>
      <c r="O39" s="100">
        <v>0</v>
      </c>
      <c r="P39" s="100">
        <v>0.27</v>
      </c>
      <c r="Q39" s="100">
        <v>10</v>
      </c>
      <c r="R39" s="6"/>
      <c r="S39" s="6"/>
      <c r="T39" s="156"/>
      <c r="U39" s="6"/>
    </row>
    <row r="40" spans="1:21" customFormat="1">
      <c r="A40" s="163" t="s">
        <v>2383</v>
      </c>
      <c r="B40" s="100">
        <v>1.47</v>
      </c>
      <c r="C40" s="100">
        <v>2.64</v>
      </c>
      <c r="D40" s="100">
        <v>0.82</v>
      </c>
      <c r="E40" s="100">
        <v>7.14</v>
      </c>
      <c r="F40" s="100">
        <v>1.72</v>
      </c>
      <c r="G40" s="100">
        <v>15.65</v>
      </c>
      <c r="H40" s="100">
        <v>9.25</v>
      </c>
      <c r="I40" s="100">
        <v>6.18</v>
      </c>
      <c r="J40" s="100">
        <v>0.4</v>
      </c>
      <c r="K40" s="100">
        <v>264.55</v>
      </c>
      <c r="L40" s="100">
        <v>27.67</v>
      </c>
      <c r="M40" s="100">
        <v>87.23</v>
      </c>
      <c r="N40" s="100">
        <v>100.8</v>
      </c>
      <c r="O40" s="100">
        <v>0</v>
      </c>
      <c r="P40" s="100">
        <v>0.28000000000000003</v>
      </c>
      <c r="Q40" s="100">
        <v>10</v>
      </c>
      <c r="R40" s="6"/>
      <c r="S40" s="6"/>
      <c r="T40" s="156"/>
      <c r="U40" s="6"/>
    </row>
    <row r="41" spans="1:21" customFormat="1">
      <c r="A41" s="163" t="s">
        <v>2384</v>
      </c>
      <c r="B41" s="100">
        <v>1.51</v>
      </c>
      <c r="C41" s="100">
        <v>2.81</v>
      </c>
      <c r="D41" s="100">
        <v>1.0900000000000001</v>
      </c>
      <c r="E41" s="100">
        <v>7.22</v>
      </c>
      <c r="F41" s="100">
        <v>1.05</v>
      </c>
      <c r="G41" s="100">
        <v>18.260000000000002</v>
      </c>
      <c r="H41" s="100">
        <v>9.4</v>
      </c>
      <c r="I41" s="100">
        <v>6.53</v>
      </c>
      <c r="J41" s="100">
        <v>0.38</v>
      </c>
      <c r="K41" s="100">
        <v>263.38</v>
      </c>
      <c r="L41" s="100">
        <v>27.85</v>
      </c>
      <c r="M41" s="100">
        <v>86.89</v>
      </c>
      <c r="N41" s="100">
        <v>126.5</v>
      </c>
      <c r="O41" s="100">
        <v>0</v>
      </c>
      <c r="P41" s="100">
        <v>0.28999999999999998</v>
      </c>
      <c r="Q41" s="100">
        <v>10</v>
      </c>
      <c r="R41" s="6"/>
      <c r="S41" s="6"/>
      <c r="T41" s="156"/>
      <c r="U41" s="6"/>
    </row>
    <row r="42" spans="1:21" customFormat="1">
      <c r="A42" s="163" t="s">
        <v>2385</v>
      </c>
      <c r="B42" s="100">
        <v>1.52</v>
      </c>
      <c r="C42" s="100">
        <v>2.8</v>
      </c>
      <c r="D42" s="100">
        <v>1.04</v>
      </c>
      <c r="E42" s="100">
        <v>7.02</v>
      </c>
      <c r="F42" s="100">
        <v>1.47</v>
      </c>
      <c r="G42" s="100">
        <v>18.260000000000002</v>
      </c>
      <c r="H42" s="100">
        <v>9.4</v>
      </c>
      <c r="I42" s="100">
        <v>6.84</v>
      </c>
      <c r="J42" s="100">
        <v>0.53</v>
      </c>
      <c r="K42" s="100">
        <v>252.47</v>
      </c>
      <c r="L42" s="100">
        <v>28.11</v>
      </c>
      <c r="M42" s="100">
        <v>85.41</v>
      </c>
      <c r="N42" s="100">
        <v>154.1</v>
      </c>
      <c r="O42" s="100">
        <v>0</v>
      </c>
      <c r="P42" s="100">
        <v>0.3</v>
      </c>
      <c r="Q42" s="100">
        <v>10</v>
      </c>
      <c r="R42" s="6"/>
      <c r="S42" s="6"/>
      <c r="T42" s="156"/>
      <c r="U42" s="6"/>
    </row>
    <row r="43" spans="1:21" customFormat="1">
      <c r="A43" s="163" t="s">
        <v>2386</v>
      </c>
      <c r="B43" s="100">
        <v>1.37</v>
      </c>
      <c r="C43" s="100">
        <v>2.4300000000000002</v>
      </c>
      <c r="D43" s="100">
        <v>0.56999999999999995</v>
      </c>
      <c r="E43" s="100">
        <v>7.27</v>
      </c>
      <c r="F43" s="100">
        <v>2.35</v>
      </c>
      <c r="G43" s="100">
        <v>18.260000000000002</v>
      </c>
      <c r="H43" s="100">
        <v>9.4</v>
      </c>
      <c r="I43" s="100">
        <v>7.19</v>
      </c>
      <c r="J43" s="100">
        <v>0.37</v>
      </c>
      <c r="K43" s="100">
        <v>256.97000000000003</v>
      </c>
      <c r="L43" s="100">
        <v>28.48</v>
      </c>
      <c r="M43" s="100">
        <v>84.17</v>
      </c>
      <c r="N43" s="100">
        <v>145.9</v>
      </c>
      <c r="O43" s="100">
        <v>0</v>
      </c>
      <c r="P43" s="100">
        <v>0.3</v>
      </c>
      <c r="Q43" s="100">
        <v>10</v>
      </c>
      <c r="R43" s="6"/>
      <c r="S43" s="6"/>
      <c r="T43" s="156"/>
      <c r="U43" s="6"/>
    </row>
    <row r="44" spans="1:21" customFormat="1">
      <c r="A44" s="163" t="s">
        <v>2387</v>
      </c>
      <c r="B44" s="100">
        <v>1.57</v>
      </c>
      <c r="C44" s="100">
        <v>2.88</v>
      </c>
      <c r="D44" s="100">
        <v>1.1200000000000001</v>
      </c>
      <c r="E44" s="100">
        <v>6.93</v>
      </c>
      <c r="F44" s="100">
        <v>1.8</v>
      </c>
      <c r="G44" s="100">
        <v>19.170000000000002</v>
      </c>
      <c r="H44" s="100">
        <v>9.99</v>
      </c>
      <c r="I44" s="100">
        <v>7.38</v>
      </c>
      <c r="J44" s="100">
        <v>0.6</v>
      </c>
      <c r="K44" s="100">
        <v>289.7</v>
      </c>
      <c r="L44" s="100">
        <v>28.81</v>
      </c>
      <c r="M44" s="100">
        <v>82.5</v>
      </c>
      <c r="N44" s="100">
        <v>211.4</v>
      </c>
      <c r="O44" s="100">
        <v>0</v>
      </c>
      <c r="P44" s="100">
        <v>0.28999999999999998</v>
      </c>
      <c r="Q44" s="100">
        <v>10</v>
      </c>
      <c r="R44" s="6"/>
      <c r="S44" s="6"/>
      <c r="T44" s="156"/>
      <c r="U44" s="6"/>
    </row>
    <row r="45" spans="1:21" customFormat="1">
      <c r="A45" s="163" t="s">
        <v>2388</v>
      </c>
      <c r="B45" s="100">
        <v>1.9</v>
      </c>
      <c r="C45" s="100">
        <v>3.74</v>
      </c>
      <c r="D45" s="100">
        <v>2.2599999999999998</v>
      </c>
      <c r="E45" s="100">
        <v>6.9</v>
      </c>
      <c r="F45" s="100">
        <v>0.76</v>
      </c>
      <c r="G45" s="100">
        <v>23.38</v>
      </c>
      <c r="H45" s="100">
        <v>11.85</v>
      </c>
      <c r="I45" s="100">
        <v>7.49</v>
      </c>
      <c r="J45" s="100">
        <v>0.57999999999999996</v>
      </c>
      <c r="K45" s="100">
        <v>315.72000000000003</v>
      </c>
      <c r="L45" s="100">
        <v>29.34</v>
      </c>
      <c r="M45" s="100">
        <v>79.97</v>
      </c>
      <c r="N45" s="100">
        <v>227.7</v>
      </c>
      <c r="O45" s="100">
        <v>0</v>
      </c>
      <c r="P45" s="100">
        <v>0.3</v>
      </c>
      <c r="Q45" s="100">
        <v>10</v>
      </c>
      <c r="R45" s="6"/>
      <c r="S45" s="6"/>
      <c r="T45" s="156"/>
      <c r="U45" s="6"/>
    </row>
    <row r="46" spans="1:21" customFormat="1">
      <c r="A46" s="163" t="s">
        <v>2389</v>
      </c>
      <c r="B46" s="100">
        <v>1.65</v>
      </c>
      <c r="C46" s="100">
        <v>3.2</v>
      </c>
      <c r="D46" s="100">
        <v>1.61</v>
      </c>
      <c r="E46" s="100">
        <v>7.03</v>
      </c>
      <c r="F46" s="100">
        <v>2.42</v>
      </c>
      <c r="G46" s="100">
        <v>23.38</v>
      </c>
      <c r="H46" s="100">
        <v>11.85</v>
      </c>
      <c r="I46" s="100">
        <v>7.54</v>
      </c>
      <c r="J46" s="100">
        <v>0.5</v>
      </c>
      <c r="K46" s="100">
        <v>313.49</v>
      </c>
      <c r="L46" s="100">
        <v>30.05</v>
      </c>
      <c r="M46" s="100">
        <v>77.16</v>
      </c>
      <c r="N46" s="100">
        <v>243.8</v>
      </c>
      <c r="O46" s="100">
        <v>0</v>
      </c>
      <c r="P46" s="100">
        <v>0.28999999999999998</v>
      </c>
      <c r="Q46" s="100">
        <v>10</v>
      </c>
      <c r="R46" s="6"/>
      <c r="S46" s="6"/>
      <c r="T46" s="156"/>
      <c r="U46" s="6"/>
    </row>
    <row r="47" spans="1:21" customFormat="1">
      <c r="A47" s="163" t="s">
        <v>2390</v>
      </c>
      <c r="B47" s="100">
        <v>1.51</v>
      </c>
      <c r="C47" s="100">
        <v>2.76</v>
      </c>
      <c r="D47" s="100">
        <v>0.98</v>
      </c>
      <c r="E47" s="100">
        <v>6.88</v>
      </c>
      <c r="F47" s="100">
        <v>3.28</v>
      </c>
      <c r="G47" s="100">
        <v>23.38</v>
      </c>
      <c r="H47" s="100">
        <v>11.85</v>
      </c>
      <c r="I47" s="100">
        <v>7.57</v>
      </c>
      <c r="J47" s="100">
        <v>0.74</v>
      </c>
      <c r="K47" s="100">
        <v>305.68</v>
      </c>
      <c r="L47" s="100">
        <v>30.05</v>
      </c>
      <c r="M47" s="100">
        <v>76.34</v>
      </c>
      <c r="N47" s="100">
        <v>235.6</v>
      </c>
      <c r="O47" s="100">
        <v>0</v>
      </c>
      <c r="P47" s="100">
        <v>0.28000000000000003</v>
      </c>
      <c r="Q47" s="100">
        <v>10</v>
      </c>
      <c r="R47" s="6"/>
      <c r="S47" s="6"/>
      <c r="T47" s="156"/>
      <c r="U47" s="6"/>
    </row>
    <row r="48" spans="1:21" customFormat="1">
      <c r="A48" s="163" t="s">
        <v>2391</v>
      </c>
      <c r="B48" s="100">
        <v>1.41</v>
      </c>
      <c r="C48" s="100">
        <v>2.48</v>
      </c>
      <c r="D48" s="100">
        <v>0.59</v>
      </c>
      <c r="E48" s="100">
        <v>7.17</v>
      </c>
      <c r="F48" s="100">
        <v>5.87</v>
      </c>
      <c r="G48" s="100">
        <v>25.8</v>
      </c>
      <c r="H48" s="100">
        <v>11.91</v>
      </c>
      <c r="I48" s="100">
        <v>7.47</v>
      </c>
      <c r="J48" s="100">
        <v>0.47</v>
      </c>
      <c r="K48" s="100">
        <v>319.61</v>
      </c>
      <c r="L48" s="100">
        <v>30.52</v>
      </c>
      <c r="M48" s="100">
        <v>74.709999999999994</v>
      </c>
      <c r="N48" s="100">
        <v>256</v>
      </c>
      <c r="O48" s="100">
        <v>0</v>
      </c>
      <c r="P48" s="100">
        <v>0.27</v>
      </c>
      <c r="Q48" s="100">
        <v>10</v>
      </c>
      <c r="R48" s="6"/>
      <c r="S48" s="6"/>
      <c r="T48" s="156"/>
      <c r="U48" s="6"/>
    </row>
    <row r="49" spans="1:21" customFormat="1">
      <c r="A49" s="163" t="s">
        <v>2392</v>
      </c>
      <c r="B49" s="100">
        <v>1.77</v>
      </c>
      <c r="C49" s="100">
        <v>3.3</v>
      </c>
      <c r="D49" s="100">
        <v>1.61</v>
      </c>
      <c r="E49" s="100">
        <v>5.15</v>
      </c>
      <c r="F49" s="100">
        <v>5.04</v>
      </c>
      <c r="G49" s="100">
        <v>36.979999999999997</v>
      </c>
      <c r="H49" s="100">
        <v>12.09</v>
      </c>
      <c r="I49" s="100">
        <v>7.32</v>
      </c>
      <c r="J49" s="100">
        <v>0.52</v>
      </c>
      <c r="K49" s="100">
        <v>317.83</v>
      </c>
      <c r="L49" s="100">
        <v>30.7</v>
      </c>
      <c r="M49" s="100">
        <v>74.17</v>
      </c>
      <c r="N49" s="100">
        <v>269</v>
      </c>
      <c r="O49" s="100">
        <v>0</v>
      </c>
      <c r="P49" s="100">
        <v>0.27</v>
      </c>
      <c r="Q49" s="100">
        <v>10</v>
      </c>
      <c r="R49" s="6"/>
      <c r="S49" s="6"/>
      <c r="T49" s="156"/>
      <c r="U49" s="6"/>
    </row>
    <row r="50" spans="1:21" customFormat="1">
      <c r="A50" s="163" t="s">
        <v>2393</v>
      </c>
      <c r="B50" s="100">
        <v>1.76</v>
      </c>
      <c r="C50" s="100">
        <v>3.13</v>
      </c>
      <c r="D50" s="100">
        <v>1.3</v>
      </c>
      <c r="E50" s="100">
        <v>5.93</v>
      </c>
      <c r="F50" s="100">
        <v>3.97</v>
      </c>
      <c r="G50" s="100">
        <v>36.979999999999997</v>
      </c>
      <c r="H50" s="100">
        <v>12.09</v>
      </c>
      <c r="I50" s="100">
        <v>7.1</v>
      </c>
      <c r="J50" s="100">
        <v>0.56000000000000005</v>
      </c>
      <c r="K50" s="100">
        <v>319.52999999999997</v>
      </c>
      <c r="L50" s="100">
        <v>30.56</v>
      </c>
      <c r="M50" s="100">
        <v>74.069999999999993</v>
      </c>
      <c r="N50" s="100">
        <v>154.5</v>
      </c>
      <c r="O50" s="100">
        <v>0</v>
      </c>
      <c r="P50" s="100">
        <v>0.26</v>
      </c>
      <c r="Q50" s="100">
        <v>10</v>
      </c>
      <c r="R50" s="6"/>
      <c r="S50" s="6"/>
      <c r="T50" s="156"/>
      <c r="U50" s="6"/>
    </row>
    <row r="51" spans="1:21" customFormat="1">
      <c r="A51" s="163" t="s">
        <v>2394</v>
      </c>
      <c r="B51" s="100">
        <v>1.65</v>
      </c>
      <c r="C51" s="100">
        <v>2.88</v>
      </c>
      <c r="D51" s="100">
        <v>1</v>
      </c>
      <c r="E51" s="100">
        <v>6.04</v>
      </c>
      <c r="F51" s="100">
        <v>6.5</v>
      </c>
      <c r="G51" s="100">
        <v>36.979999999999997</v>
      </c>
      <c r="H51" s="100">
        <v>12.09</v>
      </c>
      <c r="I51" s="100">
        <v>7.15</v>
      </c>
      <c r="J51" s="100">
        <v>0.48</v>
      </c>
      <c r="K51" s="100">
        <v>311.58999999999997</v>
      </c>
      <c r="L51" s="100">
        <v>30.14</v>
      </c>
      <c r="M51" s="100">
        <v>76.010000000000005</v>
      </c>
      <c r="N51" s="100">
        <v>185.2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163" t="s">
        <v>2395</v>
      </c>
      <c r="B52" s="100">
        <v>1.99</v>
      </c>
      <c r="C52" s="100">
        <v>3.39</v>
      </c>
      <c r="D52" s="100">
        <v>1.45</v>
      </c>
      <c r="E52" s="100">
        <v>5.95</v>
      </c>
      <c r="F52" s="100">
        <v>13.42</v>
      </c>
      <c r="G52" s="100">
        <v>37.53</v>
      </c>
      <c r="H52" s="100">
        <v>13.05</v>
      </c>
      <c r="I52" s="100">
        <v>7.11</v>
      </c>
      <c r="J52" s="100">
        <v>0.52</v>
      </c>
      <c r="K52" s="100">
        <v>315.60000000000002</v>
      </c>
      <c r="L52" s="100">
        <v>30.66</v>
      </c>
      <c r="M52" s="100">
        <v>75.11</v>
      </c>
      <c r="N52" s="100">
        <v>292.39999999999998</v>
      </c>
      <c r="O52" s="100">
        <v>0</v>
      </c>
      <c r="P52" s="100">
        <v>0.25</v>
      </c>
      <c r="Q52" s="100">
        <v>10</v>
      </c>
      <c r="R52" s="6"/>
      <c r="S52" s="6"/>
      <c r="T52" s="156"/>
      <c r="U52" s="6"/>
    </row>
    <row r="53" spans="1:21" customFormat="1">
      <c r="A53" s="163" t="s">
        <v>2396</v>
      </c>
      <c r="B53" s="100">
        <v>2.39</v>
      </c>
      <c r="C53" s="100">
        <v>4.3099999999999996</v>
      </c>
      <c r="D53" s="100">
        <v>2.6</v>
      </c>
      <c r="E53" s="100">
        <v>6.72</v>
      </c>
      <c r="F53" s="100">
        <v>9.06</v>
      </c>
      <c r="G53" s="100">
        <v>39.9</v>
      </c>
      <c r="H53" s="100">
        <v>17.95</v>
      </c>
      <c r="I53" s="100">
        <v>6.95</v>
      </c>
      <c r="J53" s="100">
        <v>0.88</v>
      </c>
      <c r="K53" s="100">
        <v>311.93</v>
      </c>
      <c r="L53" s="100">
        <v>31.41</v>
      </c>
      <c r="M53" s="100">
        <v>70.59</v>
      </c>
      <c r="N53" s="100">
        <v>353.9</v>
      </c>
      <c r="O53" s="100">
        <v>0</v>
      </c>
      <c r="P53" s="100">
        <v>0.25</v>
      </c>
      <c r="Q53" s="100">
        <v>10</v>
      </c>
      <c r="R53" s="6"/>
      <c r="S53" s="6"/>
      <c r="T53" s="156"/>
      <c r="U53" s="6"/>
    </row>
    <row r="54" spans="1:21" customFormat="1">
      <c r="A54" s="163" t="s">
        <v>2397</v>
      </c>
      <c r="B54" s="100">
        <v>1.62</v>
      </c>
      <c r="C54" s="100">
        <v>2.91</v>
      </c>
      <c r="D54" s="100">
        <v>1.1000000000000001</v>
      </c>
      <c r="E54" s="100">
        <v>6.05</v>
      </c>
      <c r="F54" s="100">
        <v>7.93</v>
      </c>
      <c r="G54" s="100">
        <v>39.9</v>
      </c>
      <c r="H54" s="100">
        <v>17.95</v>
      </c>
      <c r="I54" s="100">
        <v>6.81</v>
      </c>
      <c r="J54" s="100">
        <v>0.41</v>
      </c>
      <c r="K54" s="100">
        <v>300.08999999999997</v>
      </c>
      <c r="L54" s="100">
        <v>31.89</v>
      </c>
      <c r="M54" s="100">
        <v>69.75</v>
      </c>
      <c r="N54" s="100">
        <v>342.8</v>
      </c>
      <c r="O54" s="100">
        <v>0</v>
      </c>
      <c r="P54" s="100">
        <v>0.24</v>
      </c>
      <c r="Q54" s="100">
        <v>10</v>
      </c>
      <c r="R54" s="6"/>
      <c r="S54" s="6"/>
      <c r="T54" s="156"/>
      <c r="U54" s="6"/>
    </row>
    <row r="55" spans="1:21" customFormat="1">
      <c r="A55" s="163" t="s">
        <v>2398</v>
      </c>
      <c r="B55" s="100">
        <v>1.87</v>
      </c>
      <c r="C55" s="100">
        <v>3.36</v>
      </c>
      <c r="D55" s="100">
        <v>1.59</v>
      </c>
      <c r="E55" s="100">
        <v>5.64</v>
      </c>
      <c r="F55" s="100">
        <v>8.2899999999999991</v>
      </c>
      <c r="G55" s="100">
        <v>39.9</v>
      </c>
      <c r="H55" s="100">
        <v>17.95</v>
      </c>
      <c r="I55" s="100">
        <v>6.77</v>
      </c>
      <c r="J55" s="100">
        <v>0.54</v>
      </c>
      <c r="K55" s="100">
        <v>312.47000000000003</v>
      </c>
      <c r="L55" s="100">
        <v>32.4</v>
      </c>
      <c r="M55" s="100">
        <v>67.489999999999995</v>
      </c>
      <c r="N55" s="100">
        <v>374.8</v>
      </c>
      <c r="O55" s="100">
        <v>0</v>
      </c>
      <c r="P55" s="100">
        <v>0.25</v>
      </c>
      <c r="Q55" s="100">
        <v>10</v>
      </c>
      <c r="R55" s="6"/>
      <c r="S55" s="6"/>
      <c r="T55" s="156"/>
      <c r="U55" s="6"/>
    </row>
    <row r="56" spans="1:21" customFormat="1">
      <c r="A56" s="163" t="s">
        <v>2399</v>
      </c>
      <c r="B56" s="100">
        <v>1.64</v>
      </c>
      <c r="C56" s="100">
        <v>2.99</v>
      </c>
      <c r="D56" s="100">
        <v>1.24</v>
      </c>
      <c r="E56" s="100">
        <v>5.21</v>
      </c>
      <c r="F56" s="100">
        <v>8.9499999999999993</v>
      </c>
      <c r="G56" s="100">
        <v>40.64</v>
      </c>
      <c r="H56" s="100">
        <v>18.149999999999999</v>
      </c>
      <c r="I56" s="100">
        <v>6.79</v>
      </c>
      <c r="J56" s="100">
        <v>0.21</v>
      </c>
      <c r="K56" s="100">
        <v>317.51</v>
      </c>
      <c r="L56" s="100">
        <v>32.25</v>
      </c>
      <c r="M56" s="100">
        <v>68.7</v>
      </c>
      <c r="N56" s="100">
        <v>345.7</v>
      </c>
      <c r="O56" s="100">
        <v>0</v>
      </c>
      <c r="P56" s="100">
        <v>0.25</v>
      </c>
      <c r="Q56" s="100">
        <v>10</v>
      </c>
      <c r="R56" s="6"/>
      <c r="S56" s="6"/>
      <c r="T56" s="156"/>
      <c r="U56" s="6"/>
    </row>
    <row r="57" spans="1:21" customFormat="1">
      <c r="A57" s="163" t="s">
        <v>2400</v>
      </c>
      <c r="B57" s="100">
        <v>1.57</v>
      </c>
      <c r="C57" s="100">
        <v>2.78</v>
      </c>
      <c r="D57" s="100">
        <v>0.93</v>
      </c>
      <c r="E57" s="100">
        <v>4.71</v>
      </c>
      <c r="F57" s="100">
        <v>6.65</v>
      </c>
      <c r="G57" s="100">
        <v>44.06</v>
      </c>
      <c r="H57" s="100">
        <v>18.829999999999998</v>
      </c>
      <c r="I57" s="100">
        <v>6.69</v>
      </c>
      <c r="J57" s="100">
        <v>0.21</v>
      </c>
      <c r="K57" s="100">
        <v>243.04</v>
      </c>
      <c r="L57" s="100">
        <v>32.68</v>
      </c>
      <c r="M57" s="100">
        <v>68.55</v>
      </c>
      <c r="N57" s="100">
        <v>476.5</v>
      </c>
      <c r="O57" s="100">
        <v>0</v>
      </c>
      <c r="P57" s="100">
        <v>0.26</v>
      </c>
      <c r="Q57" s="100">
        <v>10</v>
      </c>
      <c r="R57" s="6"/>
      <c r="S57" s="6"/>
      <c r="T57" s="156"/>
      <c r="U57" s="6"/>
    </row>
    <row r="58" spans="1:21" customFormat="1">
      <c r="A58" s="163" t="s">
        <v>2401</v>
      </c>
      <c r="B58" s="100">
        <v>1.67</v>
      </c>
      <c r="C58" s="100">
        <v>3.13</v>
      </c>
      <c r="D58" s="100">
        <v>1.44</v>
      </c>
      <c r="E58" s="100">
        <v>4.83</v>
      </c>
      <c r="F58" s="100">
        <v>7.79</v>
      </c>
      <c r="G58" s="100">
        <v>44.06</v>
      </c>
      <c r="H58" s="100">
        <v>18.829999999999998</v>
      </c>
      <c r="I58" s="100">
        <v>6.62</v>
      </c>
      <c r="J58" s="100">
        <v>0.37</v>
      </c>
      <c r="K58" s="100">
        <v>269.33</v>
      </c>
      <c r="L58" s="100">
        <v>32.21</v>
      </c>
      <c r="M58" s="100">
        <v>68.760000000000005</v>
      </c>
      <c r="N58" s="100">
        <v>223.5</v>
      </c>
      <c r="O58" s="100">
        <v>0</v>
      </c>
      <c r="P58" s="100">
        <v>0.26</v>
      </c>
      <c r="Q58" s="100">
        <v>10</v>
      </c>
      <c r="R58" s="6"/>
      <c r="S58" s="6"/>
      <c r="T58" s="156"/>
      <c r="U58" s="6"/>
    </row>
    <row r="59" spans="1:21" customFormat="1">
      <c r="A59" s="163" t="s">
        <v>2402</v>
      </c>
      <c r="B59" s="100">
        <v>1.85</v>
      </c>
      <c r="C59" s="100">
        <v>3.48</v>
      </c>
      <c r="D59" s="100">
        <v>1.84</v>
      </c>
      <c r="E59" s="100">
        <v>4.8099999999999996</v>
      </c>
      <c r="F59" s="100">
        <v>9.39</v>
      </c>
      <c r="G59" s="100">
        <v>44.06</v>
      </c>
      <c r="H59" s="100">
        <v>18.829999999999998</v>
      </c>
      <c r="I59" s="100">
        <v>6.72</v>
      </c>
      <c r="J59" s="100">
        <v>0.37</v>
      </c>
      <c r="K59" s="100">
        <v>278.57</v>
      </c>
      <c r="L59" s="100">
        <v>32.46</v>
      </c>
      <c r="M59" s="100">
        <v>68.44</v>
      </c>
      <c r="N59" s="100">
        <v>521.6</v>
      </c>
      <c r="O59" s="100">
        <v>0</v>
      </c>
      <c r="P59" s="100">
        <v>0.25</v>
      </c>
      <c r="Q59" s="100">
        <v>10</v>
      </c>
      <c r="R59" s="6"/>
      <c r="S59" s="6"/>
      <c r="T59" s="156"/>
      <c r="U59" s="6"/>
    </row>
    <row r="60" spans="1:21" customFormat="1">
      <c r="A60" s="163" t="s">
        <v>2403</v>
      </c>
      <c r="B60" s="100">
        <v>1.52</v>
      </c>
      <c r="C60" s="100">
        <v>2.73</v>
      </c>
      <c r="D60" s="100">
        <v>0.91</v>
      </c>
      <c r="E60" s="100">
        <v>4.59</v>
      </c>
      <c r="F60" s="100">
        <v>10.11</v>
      </c>
      <c r="G60" s="100">
        <v>43.11</v>
      </c>
      <c r="H60" s="100">
        <v>18.52</v>
      </c>
      <c r="I60" s="100">
        <v>6.6</v>
      </c>
      <c r="J60" s="100">
        <v>0.27</v>
      </c>
      <c r="K60" s="100">
        <v>235.91</v>
      </c>
      <c r="L60" s="100">
        <v>32.28</v>
      </c>
      <c r="M60" s="100">
        <v>72.14</v>
      </c>
      <c r="N60" s="100">
        <v>173.3</v>
      </c>
      <c r="O60" s="100">
        <v>0</v>
      </c>
      <c r="P60" s="100">
        <v>0.25</v>
      </c>
      <c r="Q60" s="100">
        <v>10</v>
      </c>
      <c r="R60" s="6"/>
      <c r="S60" s="6"/>
      <c r="T60" s="156"/>
      <c r="U60" s="6"/>
    </row>
    <row r="61" spans="1:21" customFormat="1">
      <c r="A61" s="163" t="s">
        <v>2404</v>
      </c>
      <c r="B61" s="100">
        <v>1.59</v>
      </c>
      <c r="C61" s="100">
        <v>2.86</v>
      </c>
      <c r="D61" s="100">
        <v>1.05</v>
      </c>
      <c r="E61" s="100">
        <v>4.42</v>
      </c>
      <c r="F61" s="100">
        <v>8.76</v>
      </c>
      <c r="G61" s="100">
        <v>39.020000000000003</v>
      </c>
      <c r="H61" s="100">
        <v>17.55</v>
      </c>
      <c r="I61" s="100">
        <v>6.38</v>
      </c>
      <c r="J61" s="100">
        <v>0.28999999999999998</v>
      </c>
      <c r="K61" s="100">
        <v>246.48</v>
      </c>
      <c r="L61" s="100">
        <v>31.07</v>
      </c>
      <c r="M61" s="100">
        <v>76.66</v>
      </c>
      <c r="N61" s="100">
        <v>50.7</v>
      </c>
      <c r="O61" s="100">
        <v>0</v>
      </c>
      <c r="P61" s="100">
        <v>0.24</v>
      </c>
      <c r="Q61" s="100">
        <v>10</v>
      </c>
      <c r="R61" s="6"/>
      <c r="S61" s="6"/>
      <c r="T61" s="156"/>
      <c r="U61" s="6"/>
    </row>
    <row r="62" spans="1:21" customFormat="1">
      <c r="A62" s="163" t="s">
        <v>2405</v>
      </c>
      <c r="B62" s="100">
        <v>1.64</v>
      </c>
      <c r="C62" s="100">
        <v>3.08</v>
      </c>
      <c r="D62" s="100">
        <v>1.4</v>
      </c>
      <c r="E62" s="100">
        <v>4.51</v>
      </c>
      <c r="F62" s="100">
        <v>5.92</v>
      </c>
      <c r="G62" s="100">
        <v>39.020000000000003</v>
      </c>
      <c r="H62" s="100">
        <v>17.55</v>
      </c>
      <c r="I62" s="100">
        <v>6.3</v>
      </c>
      <c r="J62" s="100">
        <v>0.75</v>
      </c>
      <c r="K62" s="100">
        <v>286.32</v>
      </c>
      <c r="L62" s="100">
        <v>29.73</v>
      </c>
      <c r="M62" s="100">
        <v>75.92</v>
      </c>
      <c r="N62" s="100">
        <v>44</v>
      </c>
      <c r="O62" s="100">
        <v>0</v>
      </c>
      <c r="P62" s="100">
        <v>0.24</v>
      </c>
      <c r="Q62" s="100">
        <v>10</v>
      </c>
      <c r="R62" s="6"/>
      <c r="S62" s="6"/>
      <c r="T62" s="156"/>
      <c r="U62" s="6"/>
    </row>
    <row r="63" spans="1:21" customFormat="1">
      <c r="A63" s="163" t="s">
        <v>2406</v>
      </c>
      <c r="B63" s="100">
        <v>1.57</v>
      </c>
      <c r="C63" s="100">
        <v>3.02</v>
      </c>
      <c r="D63" s="100">
        <v>1.39</v>
      </c>
      <c r="E63" s="100">
        <v>4.4800000000000004</v>
      </c>
      <c r="F63" s="100">
        <v>6.32</v>
      </c>
      <c r="G63" s="100">
        <v>39.020000000000003</v>
      </c>
      <c r="H63" s="100">
        <v>17.55</v>
      </c>
      <c r="I63" s="100">
        <v>6.33</v>
      </c>
      <c r="J63" s="100">
        <v>0.71</v>
      </c>
      <c r="K63" s="100">
        <v>250.84</v>
      </c>
      <c r="L63" s="100">
        <v>28.65</v>
      </c>
      <c r="M63" s="100">
        <v>81.47</v>
      </c>
      <c r="N63" s="100">
        <v>62.5</v>
      </c>
      <c r="O63" s="100">
        <v>0.4</v>
      </c>
      <c r="P63" s="100">
        <v>0.23</v>
      </c>
      <c r="Q63" s="100">
        <v>10</v>
      </c>
      <c r="R63" s="6"/>
      <c r="S63" s="6"/>
      <c r="T63" s="156"/>
      <c r="U63" s="6"/>
    </row>
    <row r="64" spans="1:21" customFormat="1">
      <c r="A64" s="163" t="s">
        <v>2407</v>
      </c>
      <c r="B64" s="100">
        <v>1.47</v>
      </c>
      <c r="C64" s="100">
        <v>2.94</v>
      </c>
      <c r="D64" s="100">
        <v>1.39</v>
      </c>
      <c r="E64" s="100">
        <v>4.1500000000000004</v>
      </c>
      <c r="F64" s="100">
        <v>7.49</v>
      </c>
      <c r="G64" s="100">
        <v>38.450000000000003</v>
      </c>
      <c r="H64" s="100">
        <v>17.02</v>
      </c>
      <c r="I64" s="100">
        <v>6.32</v>
      </c>
      <c r="J64" s="100">
        <v>0.52</v>
      </c>
      <c r="K64" s="100">
        <v>254.49</v>
      </c>
      <c r="L64" s="100">
        <v>27.65</v>
      </c>
      <c r="M64" s="100">
        <v>90.71</v>
      </c>
      <c r="N64" s="100">
        <v>97.1</v>
      </c>
      <c r="O64" s="100">
        <v>0.2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163" t="s">
        <v>2408</v>
      </c>
      <c r="B65" s="100">
        <v>1.55</v>
      </c>
      <c r="C65" s="100">
        <v>3</v>
      </c>
      <c r="D65" s="100">
        <v>1.38</v>
      </c>
      <c r="E65" s="100">
        <v>4.28</v>
      </c>
      <c r="F65" s="100">
        <v>4.04</v>
      </c>
      <c r="G65" s="100">
        <v>35.78</v>
      </c>
      <c r="H65" s="100">
        <v>15.22</v>
      </c>
      <c r="I65" s="100">
        <v>6.15</v>
      </c>
      <c r="J65" s="100">
        <v>0.55000000000000004</v>
      </c>
      <c r="K65" s="100">
        <v>256.89</v>
      </c>
      <c r="L65" s="100">
        <v>28.31</v>
      </c>
      <c r="M65" s="100">
        <v>88.45</v>
      </c>
      <c r="N65" s="100">
        <v>388</v>
      </c>
      <c r="O65" s="100">
        <v>0</v>
      </c>
      <c r="P65" s="100">
        <v>0.22</v>
      </c>
      <c r="Q65" s="100">
        <v>10</v>
      </c>
      <c r="R65" s="6"/>
      <c r="S65" s="6"/>
      <c r="T65" s="156"/>
      <c r="U65" s="6"/>
    </row>
    <row r="66" spans="1:21" customFormat="1">
      <c r="A66" s="163" t="s">
        <v>2409</v>
      </c>
      <c r="B66" s="100">
        <v>1.64</v>
      </c>
      <c r="C66" s="100">
        <v>3.29</v>
      </c>
      <c r="D66" s="100">
        <v>1.8</v>
      </c>
      <c r="E66" s="100">
        <v>4.33</v>
      </c>
      <c r="F66" s="100">
        <v>4.62</v>
      </c>
      <c r="G66" s="100">
        <v>35.78</v>
      </c>
      <c r="H66" s="100">
        <v>15.22</v>
      </c>
      <c r="I66" s="100">
        <v>6</v>
      </c>
      <c r="J66" s="100">
        <v>0.53</v>
      </c>
      <c r="K66" s="100">
        <v>257.60000000000002</v>
      </c>
      <c r="L66" s="100">
        <v>30.06</v>
      </c>
      <c r="M66" s="100">
        <v>79.349999999999994</v>
      </c>
      <c r="N66" s="100">
        <v>289.10000000000002</v>
      </c>
      <c r="O66" s="100">
        <v>0</v>
      </c>
      <c r="P66" s="100">
        <v>0.25</v>
      </c>
      <c r="Q66" s="100">
        <v>10</v>
      </c>
      <c r="R66" s="6"/>
      <c r="S66" s="6"/>
      <c r="T66" s="156"/>
      <c r="U66" s="6"/>
    </row>
    <row r="67" spans="1:21" customFormat="1">
      <c r="A67" s="163" t="s">
        <v>2410</v>
      </c>
      <c r="B67" s="100">
        <v>1.35</v>
      </c>
      <c r="C67" s="100">
        <v>2.56</v>
      </c>
      <c r="D67" s="100">
        <v>0.84</v>
      </c>
      <c r="E67" s="100">
        <v>4.58</v>
      </c>
      <c r="F67" s="100">
        <v>3.27</v>
      </c>
      <c r="G67" s="100">
        <v>35.78</v>
      </c>
      <c r="H67" s="100">
        <v>15.22</v>
      </c>
      <c r="I67" s="100">
        <v>5.98</v>
      </c>
      <c r="J67" s="100">
        <v>0.47</v>
      </c>
      <c r="K67" s="100">
        <v>277.13</v>
      </c>
      <c r="L67" s="100">
        <v>30.66</v>
      </c>
      <c r="M67" s="100">
        <v>75.489999999999995</v>
      </c>
      <c r="N67" s="100">
        <v>244.2</v>
      </c>
      <c r="O67" s="100">
        <v>0</v>
      </c>
      <c r="P67" s="100">
        <v>0.25</v>
      </c>
      <c r="Q67" s="100">
        <v>10</v>
      </c>
      <c r="R67" s="6"/>
      <c r="S67" s="6"/>
      <c r="T67" s="156"/>
      <c r="U67" s="6"/>
    </row>
    <row r="68" spans="1:21" customFormat="1">
      <c r="A68" s="163" t="s">
        <v>2411</v>
      </c>
      <c r="B68" s="100">
        <v>1.49</v>
      </c>
      <c r="C68" s="100">
        <v>2.83</v>
      </c>
      <c r="D68" s="100">
        <v>1.1399999999999999</v>
      </c>
      <c r="E68" s="100">
        <v>4.7</v>
      </c>
      <c r="F68" s="100">
        <v>3.53</v>
      </c>
      <c r="G68" s="100">
        <v>34.99</v>
      </c>
      <c r="H68" s="100">
        <v>15.51</v>
      </c>
      <c r="I68" s="100">
        <v>5.85</v>
      </c>
      <c r="J68" s="100">
        <v>0.82</v>
      </c>
      <c r="K68" s="100">
        <v>251.88</v>
      </c>
      <c r="L68" s="100">
        <v>30.68</v>
      </c>
      <c r="M68" s="100">
        <v>75.38</v>
      </c>
      <c r="N68" s="100">
        <v>266.3</v>
      </c>
      <c r="O68" s="100">
        <v>0</v>
      </c>
      <c r="P68" s="100">
        <v>0.24</v>
      </c>
      <c r="Q68" s="100">
        <v>10</v>
      </c>
      <c r="R68" s="6"/>
      <c r="S68" s="6"/>
      <c r="T68" s="156"/>
      <c r="U68" s="6"/>
    </row>
    <row r="69" spans="1:21" customFormat="1">
      <c r="A69" s="163" t="s">
        <v>2412</v>
      </c>
      <c r="B69" s="100">
        <v>1.28</v>
      </c>
      <c r="C69" s="100">
        <v>2.36</v>
      </c>
      <c r="D69" s="100">
        <v>0.56000000000000005</v>
      </c>
      <c r="E69" s="100">
        <v>4.5999999999999996</v>
      </c>
      <c r="F69" s="100">
        <v>3.91</v>
      </c>
      <c r="G69" s="100">
        <v>31.37</v>
      </c>
      <c r="H69" s="100">
        <v>17.14</v>
      </c>
      <c r="I69" s="100">
        <v>5.69</v>
      </c>
      <c r="J69" s="100">
        <v>0.55000000000000004</v>
      </c>
      <c r="K69" s="100">
        <v>242.65</v>
      </c>
      <c r="L69" s="100">
        <v>30.93</v>
      </c>
      <c r="M69" s="100">
        <v>74.38</v>
      </c>
      <c r="N69" s="100">
        <v>229.7</v>
      </c>
      <c r="O69" s="100">
        <v>0</v>
      </c>
      <c r="P69" s="100">
        <v>0.23</v>
      </c>
      <c r="Q69" s="100">
        <v>10</v>
      </c>
      <c r="R69" s="6"/>
      <c r="S69" s="6"/>
      <c r="T69" s="156"/>
      <c r="U69" s="6"/>
    </row>
    <row r="70" spans="1:21" customFormat="1">
      <c r="A70" s="163" t="s">
        <v>2413</v>
      </c>
      <c r="B70" s="100">
        <v>1.42</v>
      </c>
      <c r="C70" s="100">
        <v>2.62</v>
      </c>
      <c r="D70" s="100">
        <v>0.85</v>
      </c>
      <c r="E70" s="100">
        <v>4.95</v>
      </c>
      <c r="F70" s="100">
        <v>2.92</v>
      </c>
      <c r="G70" s="100">
        <v>31.37</v>
      </c>
      <c r="H70" s="100">
        <v>17.14</v>
      </c>
      <c r="I70" s="100">
        <v>5.53</v>
      </c>
      <c r="J70" s="100">
        <v>0.31</v>
      </c>
      <c r="K70" s="100">
        <v>234.14</v>
      </c>
      <c r="L70" s="100">
        <v>31.8</v>
      </c>
      <c r="M70" s="100">
        <v>72.459999999999994</v>
      </c>
      <c r="N70" s="100">
        <v>378.6</v>
      </c>
      <c r="O70" s="100">
        <v>0</v>
      </c>
      <c r="P70" s="100">
        <v>0.24</v>
      </c>
      <c r="Q70" s="100">
        <v>10</v>
      </c>
      <c r="R70" s="6"/>
      <c r="S70" s="6"/>
      <c r="T70" s="156"/>
      <c r="U70" s="6"/>
    </row>
    <row r="71" spans="1:21" customFormat="1">
      <c r="A71" s="163" t="s">
        <v>2414</v>
      </c>
      <c r="B71" s="100">
        <v>1.39</v>
      </c>
      <c r="C71" s="100">
        <v>2.66</v>
      </c>
      <c r="D71" s="100">
        <v>0.97</v>
      </c>
      <c r="E71" s="100">
        <v>4.9800000000000004</v>
      </c>
      <c r="F71" s="100">
        <v>3.61</v>
      </c>
      <c r="G71" s="100">
        <v>31.37</v>
      </c>
      <c r="H71" s="100">
        <v>17.14</v>
      </c>
      <c r="I71" s="100">
        <v>5.41</v>
      </c>
      <c r="J71" s="100">
        <v>0.36</v>
      </c>
      <c r="K71" s="100">
        <v>234.54</v>
      </c>
      <c r="L71" s="100">
        <v>31.71</v>
      </c>
      <c r="M71" s="100">
        <v>72.55</v>
      </c>
      <c r="N71" s="100">
        <v>271.8</v>
      </c>
      <c r="O71" s="100">
        <v>0</v>
      </c>
      <c r="P71" s="100">
        <v>0.23</v>
      </c>
      <c r="Q71" s="100">
        <v>10</v>
      </c>
      <c r="R71" s="6"/>
      <c r="S71" s="6"/>
      <c r="T71" s="156"/>
      <c r="U71" s="6"/>
    </row>
    <row r="72" spans="1:21" customFormat="1">
      <c r="A72" s="163" t="s">
        <v>2415</v>
      </c>
      <c r="B72" s="100">
        <v>1.29</v>
      </c>
      <c r="C72" s="100">
        <v>2.3199999999999998</v>
      </c>
      <c r="D72" s="100">
        <v>0.47</v>
      </c>
      <c r="E72" s="100">
        <v>5.0199999999999996</v>
      </c>
      <c r="F72" s="100">
        <v>4.22</v>
      </c>
      <c r="G72" s="100">
        <v>30.34</v>
      </c>
      <c r="H72" s="100">
        <v>16.32</v>
      </c>
      <c r="I72" s="100">
        <v>5.27</v>
      </c>
      <c r="J72" s="100">
        <v>0.33</v>
      </c>
      <c r="K72" s="100">
        <v>225.66</v>
      </c>
      <c r="L72" s="100">
        <v>31.49</v>
      </c>
      <c r="M72" s="100">
        <v>74</v>
      </c>
      <c r="N72" s="100">
        <v>172.4</v>
      </c>
      <c r="O72" s="100">
        <v>0</v>
      </c>
      <c r="P72" s="100">
        <v>0.22</v>
      </c>
      <c r="Q72" s="100">
        <v>10</v>
      </c>
      <c r="R72" s="6"/>
      <c r="S72" s="6"/>
      <c r="T72" s="156"/>
      <c r="U72" s="6"/>
    </row>
    <row r="73" spans="1:21" customFormat="1">
      <c r="A73" s="163" t="s">
        <v>2416</v>
      </c>
      <c r="B73" s="100">
        <v>1.25</v>
      </c>
      <c r="C73" s="100">
        <v>2.2400000000000002</v>
      </c>
      <c r="D73" s="100">
        <v>0.39</v>
      </c>
      <c r="E73" s="100">
        <v>5.15</v>
      </c>
      <c r="F73" s="100">
        <v>4.38</v>
      </c>
      <c r="G73" s="100">
        <v>25.59</v>
      </c>
      <c r="H73" s="100">
        <v>13.71</v>
      </c>
      <c r="I73" s="100">
        <v>5.1100000000000003</v>
      </c>
      <c r="J73" s="100">
        <v>0.4</v>
      </c>
      <c r="K73" s="100">
        <v>242.62</v>
      </c>
      <c r="L73" s="100">
        <v>31.41</v>
      </c>
      <c r="M73" s="100">
        <v>73.09</v>
      </c>
      <c r="N73" s="100">
        <v>156.1</v>
      </c>
      <c r="O73" s="100">
        <v>0</v>
      </c>
      <c r="P73" s="100">
        <v>0.22</v>
      </c>
      <c r="Q73" s="100">
        <v>10</v>
      </c>
      <c r="R73" s="6"/>
      <c r="S73" s="6"/>
      <c r="T73" s="156"/>
      <c r="U73" s="6"/>
    </row>
    <row r="74" spans="1:21" customFormat="1">
      <c r="A74" s="163" t="s">
        <v>2417</v>
      </c>
      <c r="B74" s="100">
        <v>1.42</v>
      </c>
      <c r="C74" s="100">
        <v>2.88</v>
      </c>
      <c r="D74" s="100">
        <v>1.35</v>
      </c>
      <c r="E74" s="100">
        <v>4.8899999999999997</v>
      </c>
      <c r="F74" s="100">
        <v>4.37</v>
      </c>
      <c r="G74" s="100">
        <v>25.59</v>
      </c>
      <c r="H74" s="100">
        <v>13.71</v>
      </c>
      <c r="I74" s="100">
        <v>5.03</v>
      </c>
      <c r="J74" s="100">
        <v>0.42</v>
      </c>
      <c r="K74" s="100">
        <v>240.98</v>
      </c>
      <c r="L74" s="100">
        <v>31.28</v>
      </c>
      <c r="M74" s="100">
        <v>72.86</v>
      </c>
      <c r="N74" s="100">
        <v>133.1</v>
      </c>
      <c r="O74" s="100">
        <v>0</v>
      </c>
      <c r="P74" s="100">
        <v>0.22</v>
      </c>
      <c r="Q74" s="100">
        <v>10</v>
      </c>
      <c r="R74" s="6"/>
      <c r="S74" s="6"/>
      <c r="T74" s="156"/>
      <c r="U74" s="6"/>
    </row>
    <row r="75" spans="1:21" customFormat="1">
      <c r="A75" s="163" t="s">
        <v>2418</v>
      </c>
      <c r="B75" s="100">
        <v>1.27</v>
      </c>
      <c r="C75" s="100">
        <v>2.39</v>
      </c>
      <c r="D75" s="100">
        <v>0.65</v>
      </c>
      <c r="E75" s="100">
        <v>4.99</v>
      </c>
      <c r="F75" s="100">
        <v>4.46</v>
      </c>
      <c r="G75" s="100">
        <v>25.59</v>
      </c>
      <c r="H75" s="100">
        <v>13.71</v>
      </c>
      <c r="I75" s="100">
        <v>5</v>
      </c>
      <c r="J75" s="100">
        <v>0.46</v>
      </c>
      <c r="K75" s="100">
        <v>238.67</v>
      </c>
      <c r="L75" s="100">
        <v>31.32</v>
      </c>
      <c r="M75" s="100">
        <v>73.66</v>
      </c>
      <c r="N75" s="100">
        <v>101.9</v>
      </c>
      <c r="O75" s="100">
        <v>0</v>
      </c>
      <c r="P75" s="100">
        <v>0.22</v>
      </c>
      <c r="Q75" s="100">
        <v>10</v>
      </c>
      <c r="R75" s="6"/>
      <c r="S75" s="6"/>
      <c r="T75" s="156"/>
      <c r="U75" s="6"/>
    </row>
    <row r="76" spans="1:21" customFormat="1">
      <c r="A76" s="163" t="s">
        <v>2419</v>
      </c>
      <c r="B76" s="100">
        <v>1.35</v>
      </c>
      <c r="C76" s="100">
        <v>2.85</v>
      </c>
      <c r="D76" s="100">
        <v>1.39</v>
      </c>
      <c r="E76" s="100">
        <v>5.14</v>
      </c>
      <c r="F76" s="100">
        <v>5.55</v>
      </c>
      <c r="G76" s="100">
        <v>26.03</v>
      </c>
      <c r="H76" s="100">
        <v>14.25</v>
      </c>
      <c r="I76" s="100">
        <v>4.95</v>
      </c>
      <c r="J76" s="100">
        <v>0.27</v>
      </c>
      <c r="K76" s="100">
        <v>222.12</v>
      </c>
      <c r="L76" s="100">
        <v>31.11</v>
      </c>
      <c r="M76" s="100">
        <v>74.680000000000007</v>
      </c>
      <c r="N76" s="100">
        <v>61.2</v>
      </c>
      <c r="O76" s="100">
        <v>0</v>
      </c>
      <c r="P76" s="100">
        <v>0.23</v>
      </c>
      <c r="Q76" s="100">
        <v>10</v>
      </c>
      <c r="R76" s="6"/>
      <c r="S76" s="6"/>
      <c r="T76" s="156"/>
      <c r="U76" s="6"/>
    </row>
    <row r="77" spans="1:21" customFormat="1">
      <c r="A77" s="163" t="s">
        <v>2420</v>
      </c>
      <c r="B77" s="100">
        <v>1.24</v>
      </c>
      <c r="C77" s="100">
        <v>2.21</v>
      </c>
      <c r="D77" s="100">
        <v>0.34</v>
      </c>
      <c r="E77" s="100">
        <v>5.15</v>
      </c>
      <c r="F77" s="100">
        <v>4.32</v>
      </c>
      <c r="G77" s="100">
        <v>28.09</v>
      </c>
      <c r="H77" s="100">
        <v>15.96</v>
      </c>
      <c r="I77" s="100">
        <v>4.9000000000000004</v>
      </c>
      <c r="J77" s="100">
        <v>0.34</v>
      </c>
      <c r="K77" s="100">
        <v>304.3</v>
      </c>
      <c r="L77" s="100">
        <v>30.53</v>
      </c>
      <c r="M77" s="100">
        <v>76.62</v>
      </c>
      <c r="N77" s="100">
        <v>33.9</v>
      </c>
      <c r="O77" s="100">
        <v>0</v>
      </c>
      <c r="P77" s="100">
        <v>0.22</v>
      </c>
      <c r="Q77" s="100">
        <v>10</v>
      </c>
      <c r="R77" s="6"/>
      <c r="S77" s="6"/>
      <c r="T77" s="156"/>
      <c r="U77" s="6"/>
    </row>
    <row r="78" spans="1:21" customFormat="1">
      <c r="A78" s="163" t="s">
        <v>2421</v>
      </c>
      <c r="B78" s="100">
        <v>1.36</v>
      </c>
      <c r="C78" s="100">
        <v>2.5299999999999998</v>
      </c>
      <c r="D78" s="100">
        <v>0.77</v>
      </c>
      <c r="E78" s="100">
        <v>5.27</v>
      </c>
      <c r="F78" s="100">
        <v>5.03</v>
      </c>
      <c r="G78" s="100">
        <v>28.09</v>
      </c>
      <c r="H78" s="100">
        <v>15.96</v>
      </c>
      <c r="I78" s="100">
        <v>4.92</v>
      </c>
      <c r="J78" s="100">
        <v>0.51</v>
      </c>
      <c r="K78" s="100">
        <v>14.39</v>
      </c>
      <c r="L78" s="100">
        <v>30.09</v>
      </c>
      <c r="M78" s="100">
        <v>74.59</v>
      </c>
      <c r="N78" s="100">
        <v>24.5</v>
      </c>
      <c r="O78" s="100">
        <v>0</v>
      </c>
      <c r="P78" s="100">
        <v>0.23</v>
      </c>
      <c r="Q78" s="100">
        <v>10</v>
      </c>
      <c r="R78" s="6"/>
      <c r="S78" s="6"/>
      <c r="T78" s="156"/>
      <c r="U78" s="6"/>
    </row>
    <row r="79" spans="1:21" customFormat="1">
      <c r="A79" s="163" t="s">
        <v>2422</v>
      </c>
      <c r="B79" s="100">
        <v>1.27</v>
      </c>
      <c r="C79" s="100">
        <v>2.2799999999999998</v>
      </c>
      <c r="D79" s="100">
        <v>0.44</v>
      </c>
      <c r="E79" s="100">
        <v>5.51</v>
      </c>
      <c r="F79" s="100">
        <v>4.6500000000000004</v>
      </c>
      <c r="G79" s="100">
        <v>28.09</v>
      </c>
      <c r="H79" s="100">
        <v>15.96</v>
      </c>
      <c r="I79" s="100">
        <v>4.96</v>
      </c>
      <c r="J79" s="100">
        <v>0.39</v>
      </c>
      <c r="K79" s="100">
        <v>13.32</v>
      </c>
      <c r="L79" s="100">
        <v>29.62</v>
      </c>
      <c r="M79" s="100">
        <v>74.03</v>
      </c>
      <c r="N79" s="100">
        <v>19.399999999999999</v>
      </c>
      <c r="O79" s="100">
        <v>0</v>
      </c>
      <c r="P79" s="100">
        <v>0.23</v>
      </c>
      <c r="Q79" s="100">
        <v>10</v>
      </c>
      <c r="R79" s="6"/>
      <c r="S79" s="6"/>
      <c r="T79" s="156"/>
      <c r="U79" s="6"/>
    </row>
    <row r="80" spans="1:21" customFormat="1">
      <c r="A80" s="163" t="s">
        <v>2423</v>
      </c>
      <c r="B80" s="100">
        <v>1.49</v>
      </c>
      <c r="C80" s="100">
        <v>2.96</v>
      </c>
      <c r="D80" s="100">
        <v>1.39</v>
      </c>
      <c r="E80" s="100">
        <v>5.39</v>
      </c>
      <c r="F80" s="100">
        <v>2.97</v>
      </c>
      <c r="G80" s="100">
        <v>27.74</v>
      </c>
      <c r="H80" s="100">
        <v>16.03</v>
      </c>
      <c r="I80" s="100">
        <v>4.99</v>
      </c>
      <c r="J80" s="100">
        <v>0.31</v>
      </c>
      <c r="K80" s="100">
        <v>26.26</v>
      </c>
      <c r="L80" s="100">
        <v>29.44</v>
      </c>
      <c r="M80" s="100">
        <v>74.47</v>
      </c>
      <c r="N80" s="100">
        <v>18.399999999999999</v>
      </c>
      <c r="O80" s="100">
        <v>0</v>
      </c>
      <c r="P80" s="100">
        <v>0.25</v>
      </c>
      <c r="Q80" s="100">
        <v>10</v>
      </c>
      <c r="R80" s="6"/>
      <c r="S80" s="6"/>
      <c r="T80" s="156"/>
      <c r="U80" s="6"/>
    </row>
    <row r="81" spans="1:21" customFormat="1">
      <c r="A81" s="163" t="s">
        <v>2424</v>
      </c>
      <c r="B81" s="100">
        <v>1.56</v>
      </c>
      <c r="C81" s="100">
        <v>2.91</v>
      </c>
      <c r="D81" s="100">
        <v>1.19</v>
      </c>
      <c r="E81" s="100">
        <v>4.5199999999999996</v>
      </c>
      <c r="F81" s="100">
        <v>4.37</v>
      </c>
      <c r="G81" s="100">
        <v>26.23</v>
      </c>
      <c r="H81" s="100">
        <v>16.23</v>
      </c>
      <c r="I81" s="100">
        <v>4.97</v>
      </c>
      <c r="J81" s="100">
        <v>0.93</v>
      </c>
      <c r="K81" s="100">
        <v>43.1</v>
      </c>
      <c r="L81" s="100">
        <v>29.07</v>
      </c>
      <c r="M81" s="100">
        <v>79</v>
      </c>
      <c r="N81" s="100">
        <v>11.2</v>
      </c>
      <c r="O81" s="100">
        <v>0</v>
      </c>
      <c r="P81" s="100">
        <v>0.25</v>
      </c>
      <c r="Q81" s="100">
        <v>10</v>
      </c>
      <c r="R81" s="6"/>
      <c r="S81" s="6"/>
      <c r="T81" s="156"/>
      <c r="U81" s="6"/>
    </row>
    <row r="82" spans="1:21" customFormat="1">
      <c r="A82" s="163" t="s">
        <v>2425</v>
      </c>
      <c r="B82" s="100">
        <v>1.45</v>
      </c>
      <c r="C82" s="100">
        <v>2.57</v>
      </c>
      <c r="D82" s="100">
        <v>0.71</v>
      </c>
      <c r="E82" s="100">
        <v>4.83</v>
      </c>
      <c r="F82" s="100">
        <v>3.08</v>
      </c>
      <c r="G82" s="100">
        <v>26.23</v>
      </c>
      <c r="H82" s="100">
        <v>16.23</v>
      </c>
      <c r="I82" s="100">
        <v>5.04</v>
      </c>
      <c r="J82" s="100">
        <v>0.36</v>
      </c>
      <c r="K82" s="100">
        <v>58.09</v>
      </c>
      <c r="L82" s="100">
        <v>28.43</v>
      </c>
      <c r="M82" s="100">
        <v>81.349999999999994</v>
      </c>
      <c r="N82" s="100">
        <v>6.7</v>
      </c>
      <c r="O82" s="100">
        <v>0</v>
      </c>
      <c r="P82" s="100">
        <v>0.25</v>
      </c>
      <c r="Q82" s="100">
        <v>10</v>
      </c>
      <c r="R82" s="6"/>
      <c r="S82" s="6"/>
      <c r="T82" s="156"/>
      <c r="U82" s="6"/>
    </row>
    <row r="83" spans="1:21" customFormat="1">
      <c r="A83" s="163" t="s">
        <v>2426</v>
      </c>
      <c r="B83" s="100">
        <v>1.53</v>
      </c>
      <c r="C83" s="100">
        <v>2.92</v>
      </c>
      <c r="D83" s="100">
        <v>1.27</v>
      </c>
      <c r="E83" s="100">
        <v>4.29</v>
      </c>
      <c r="F83" s="100">
        <v>2.44</v>
      </c>
      <c r="G83" s="100">
        <v>26.23</v>
      </c>
      <c r="H83" s="100">
        <v>16.23</v>
      </c>
      <c r="I83" s="100">
        <v>5.07</v>
      </c>
      <c r="J83" s="100">
        <v>0.28999999999999998</v>
      </c>
      <c r="K83" s="100">
        <v>61.66</v>
      </c>
      <c r="L83" s="100">
        <v>28.18</v>
      </c>
      <c r="M83" s="100">
        <v>84.18</v>
      </c>
      <c r="N83" s="100">
        <v>3.1</v>
      </c>
      <c r="O83" s="100">
        <v>0.2</v>
      </c>
      <c r="P83" s="100">
        <v>0.25</v>
      </c>
      <c r="Q83" s="100">
        <v>10</v>
      </c>
      <c r="R83" s="6"/>
      <c r="S83" s="6"/>
      <c r="T83" s="156"/>
      <c r="U83" s="6"/>
    </row>
    <row r="84" spans="1:21" customFormat="1">
      <c r="A84" s="163" t="s">
        <v>2427</v>
      </c>
      <c r="B84" s="100">
        <v>1.46</v>
      </c>
      <c r="C84" s="100">
        <v>2.82</v>
      </c>
      <c r="D84" s="100">
        <v>1.17</v>
      </c>
      <c r="E84" s="100">
        <v>5.1100000000000003</v>
      </c>
      <c r="F84" s="100">
        <v>1.96</v>
      </c>
      <c r="G84" s="100">
        <v>28.44</v>
      </c>
      <c r="H84" s="100">
        <v>16.100000000000001</v>
      </c>
      <c r="I84" s="100">
        <v>5.0199999999999996</v>
      </c>
      <c r="J84" s="100">
        <v>0.09</v>
      </c>
      <c r="K84" s="100">
        <v>77.37</v>
      </c>
      <c r="L84" s="100">
        <v>27.72</v>
      </c>
      <c r="M84" s="100">
        <v>88.72</v>
      </c>
      <c r="N84" s="100">
        <v>2.1</v>
      </c>
      <c r="O84" s="100">
        <v>0</v>
      </c>
      <c r="P84" s="100">
        <v>0.26</v>
      </c>
      <c r="Q84" s="100">
        <v>10</v>
      </c>
      <c r="R84" s="6"/>
      <c r="S84" s="6"/>
      <c r="T84" s="156"/>
      <c r="U84" s="6"/>
    </row>
    <row r="85" spans="1:21" customFormat="1">
      <c r="A85" s="163" t="s">
        <v>2428</v>
      </c>
      <c r="B85" s="100">
        <v>1.48</v>
      </c>
      <c r="C85" s="100">
        <v>2.78</v>
      </c>
      <c r="D85" s="100">
        <v>1.08</v>
      </c>
      <c r="E85" s="100">
        <v>5.13</v>
      </c>
      <c r="F85" s="100">
        <v>1.87</v>
      </c>
      <c r="G85" s="100">
        <v>38.65</v>
      </c>
      <c r="H85" s="100">
        <v>15.48</v>
      </c>
      <c r="I85" s="100">
        <v>4.9800000000000004</v>
      </c>
      <c r="J85" s="100">
        <v>0.11</v>
      </c>
      <c r="K85" s="100">
        <v>109.36</v>
      </c>
      <c r="L85" s="100">
        <v>27.42</v>
      </c>
      <c r="M85" s="100">
        <v>90.74</v>
      </c>
      <c r="N85" s="100">
        <v>1.9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163" t="s">
        <v>2429</v>
      </c>
      <c r="B86" s="100">
        <v>1.37</v>
      </c>
      <c r="C86" s="100">
        <v>2.4900000000000002</v>
      </c>
      <c r="D86" s="100">
        <v>0.68</v>
      </c>
      <c r="E86" s="100">
        <v>5.05</v>
      </c>
      <c r="F86" s="100">
        <v>3.5</v>
      </c>
      <c r="G86" s="100">
        <v>38.65</v>
      </c>
      <c r="H86" s="100">
        <v>15.48</v>
      </c>
      <c r="I86" s="100">
        <v>5.0999999999999996</v>
      </c>
      <c r="J86" s="100">
        <v>0.14000000000000001</v>
      </c>
      <c r="K86" s="100">
        <v>202.86</v>
      </c>
      <c r="L86" s="100">
        <v>27.05</v>
      </c>
      <c r="M86" s="100">
        <v>93.09</v>
      </c>
      <c r="N86" s="100">
        <v>2.2000000000000002</v>
      </c>
      <c r="O86" s="100">
        <v>0</v>
      </c>
      <c r="P86" s="100">
        <v>0.25</v>
      </c>
      <c r="Q86" s="100">
        <v>10</v>
      </c>
      <c r="R86" s="6"/>
      <c r="S86" s="6"/>
      <c r="T86" s="156"/>
      <c r="U86" s="6"/>
    </row>
    <row r="87" spans="1:21" customFormat="1">
      <c r="A87" s="163" t="s">
        <v>2430</v>
      </c>
      <c r="B87" s="100">
        <v>1.93</v>
      </c>
      <c r="C87" s="100">
        <v>3.44</v>
      </c>
      <c r="D87" s="100">
        <v>1.64</v>
      </c>
      <c r="E87" s="100">
        <v>5.33</v>
      </c>
      <c r="F87" s="100">
        <v>4.0599999999999996</v>
      </c>
      <c r="G87" s="100">
        <v>38.65</v>
      </c>
      <c r="H87" s="100">
        <v>15.48</v>
      </c>
      <c r="I87" s="100">
        <v>5.14</v>
      </c>
      <c r="J87" s="100">
        <v>0.14000000000000001</v>
      </c>
      <c r="K87" s="100">
        <v>87.43</v>
      </c>
      <c r="L87" s="100">
        <v>27.34</v>
      </c>
      <c r="M87" s="100">
        <v>92.14</v>
      </c>
      <c r="N87" s="100">
        <v>2</v>
      </c>
      <c r="O87" s="100">
        <v>0</v>
      </c>
      <c r="P87" s="100">
        <v>0.28000000000000003</v>
      </c>
      <c r="Q87" s="100">
        <v>10</v>
      </c>
      <c r="R87" s="6"/>
      <c r="S87" s="6"/>
      <c r="T87" s="156"/>
      <c r="U87" s="6"/>
    </row>
    <row r="88" spans="1:21" customFormat="1">
      <c r="A88" s="163" t="s">
        <v>2431</v>
      </c>
      <c r="B88" s="100">
        <v>1.95</v>
      </c>
      <c r="C88" s="100">
        <v>3.35</v>
      </c>
      <c r="D88" s="100">
        <v>1.45</v>
      </c>
      <c r="E88" s="100">
        <v>5.92</v>
      </c>
      <c r="F88" s="100">
        <v>6.54</v>
      </c>
      <c r="G88" s="100">
        <v>40.479999999999997</v>
      </c>
      <c r="H88" s="100">
        <v>16.190000000000001</v>
      </c>
      <c r="I88" s="100">
        <v>5.1100000000000003</v>
      </c>
      <c r="J88" s="100">
        <v>0.32</v>
      </c>
      <c r="K88" s="100">
        <v>33.020000000000003</v>
      </c>
      <c r="L88" s="100">
        <v>27.46</v>
      </c>
      <c r="M88" s="100">
        <v>91.08</v>
      </c>
      <c r="N88" s="100">
        <v>2.2000000000000002</v>
      </c>
      <c r="O88" s="100">
        <v>0</v>
      </c>
      <c r="P88" s="100">
        <v>0.27</v>
      </c>
      <c r="Q88" s="100">
        <v>10</v>
      </c>
      <c r="R88" s="6"/>
      <c r="S88" s="6"/>
      <c r="T88" s="156"/>
      <c r="U88" s="6"/>
    </row>
    <row r="89" spans="1:21" customFormat="1">
      <c r="A89" s="163" t="s">
        <v>2432</v>
      </c>
      <c r="B89" s="100">
        <v>1.68</v>
      </c>
      <c r="C89" s="100">
        <v>2.8</v>
      </c>
      <c r="D89" s="100">
        <v>0.79</v>
      </c>
      <c r="E89" s="100">
        <v>7.47</v>
      </c>
      <c r="F89" s="100">
        <v>4.3600000000000003</v>
      </c>
      <c r="G89" s="100">
        <v>48.92</v>
      </c>
      <c r="H89" s="100">
        <v>18.43</v>
      </c>
      <c r="I89" s="100">
        <v>5.38</v>
      </c>
      <c r="J89" s="100">
        <v>1.05</v>
      </c>
      <c r="K89" s="100">
        <v>39.090000000000003</v>
      </c>
      <c r="L89" s="100">
        <v>27.62</v>
      </c>
      <c r="M89" s="100">
        <v>86.23</v>
      </c>
      <c r="N89" s="100">
        <v>2.8</v>
      </c>
      <c r="O89" s="100">
        <v>0</v>
      </c>
      <c r="P89" s="100">
        <v>0.24</v>
      </c>
      <c r="Q89" s="100">
        <v>10</v>
      </c>
      <c r="R89" s="6"/>
      <c r="S89" s="6"/>
      <c r="T89" s="156"/>
      <c r="U89" s="6"/>
    </row>
    <row r="90" spans="1:21" customFormat="1">
      <c r="A90" s="163" t="s">
        <v>2433</v>
      </c>
      <c r="B90" s="100">
        <v>1.49</v>
      </c>
      <c r="C90" s="100">
        <v>2.56</v>
      </c>
      <c r="D90" s="100">
        <v>0.63</v>
      </c>
      <c r="E90" s="100">
        <v>6.05</v>
      </c>
      <c r="F90" s="100">
        <v>4.4800000000000004</v>
      </c>
      <c r="G90" s="100">
        <v>48.92</v>
      </c>
      <c r="H90" s="100">
        <v>18.43</v>
      </c>
      <c r="I90" s="100">
        <v>5.43</v>
      </c>
      <c r="J90" s="100">
        <v>1.17</v>
      </c>
      <c r="K90" s="100">
        <v>40.869999999999997</v>
      </c>
      <c r="L90" s="100">
        <v>26.54</v>
      </c>
      <c r="M90" s="100">
        <v>87.43</v>
      </c>
      <c r="N90" s="100">
        <v>4.5</v>
      </c>
      <c r="O90" s="100">
        <v>0.6</v>
      </c>
      <c r="P90" s="100">
        <v>0.25</v>
      </c>
      <c r="Q90" s="100">
        <v>10</v>
      </c>
      <c r="R90" s="6"/>
      <c r="S90" s="6"/>
      <c r="T90" s="156"/>
      <c r="U90" s="6"/>
    </row>
    <row r="91" spans="1:21" customFormat="1">
      <c r="A91" s="163" t="s">
        <v>2434</v>
      </c>
      <c r="B91" s="100">
        <v>1.69</v>
      </c>
      <c r="C91" s="100">
        <v>3.03</v>
      </c>
      <c r="D91" s="100">
        <v>1.23</v>
      </c>
      <c r="E91" s="100">
        <v>5.24</v>
      </c>
      <c r="F91" s="100">
        <v>5.95</v>
      </c>
      <c r="G91" s="100">
        <v>48.92</v>
      </c>
      <c r="H91" s="100">
        <v>18.43</v>
      </c>
      <c r="I91" s="100">
        <v>5.47</v>
      </c>
      <c r="J91" s="100">
        <v>0.45</v>
      </c>
      <c r="K91" s="100">
        <v>41.85</v>
      </c>
      <c r="L91" s="100">
        <v>25.87</v>
      </c>
      <c r="M91" s="100">
        <v>93.29</v>
      </c>
      <c r="N91" s="100">
        <v>2.5</v>
      </c>
      <c r="O91" s="100">
        <v>1.2</v>
      </c>
      <c r="P91" s="100">
        <v>0.23</v>
      </c>
      <c r="Q91" s="100">
        <v>10</v>
      </c>
      <c r="R91" s="6"/>
      <c r="S91" s="6"/>
      <c r="T91" s="156"/>
      <c r="U91" s="6"/>
    </row>
    <row r="92" spans="1:21" customFormat="1">
      <c r="A92" s="163" t="s">
        <v>2435</v>
      </c>
      <c r="B92" s="100">
        <v>1.91</v>
      </c>
      <c r="C92" s="100">
        <v>3.44</v>
      </c>
      <c r="D92" s="100">
        <v>1.67</v>
      </c>
      <c r="E92" s="100">
        <v>4.3600000000000003</v>
      </c>
      <c r="F92" s="100">
        <v>6.91</v>
      </c>
      <c r="G92" s="100">
        <v>45.56</v>
      </c>
      <c r="H92" s="100">
        <v>18.329999999999998</v>
      </c>
      <c r="I92" s="100">
        <v>5.3</v>
      </c>
      <c r="J92" s="100">
        <v>0.27</v>
      </c>
      <c r="K92" s="100">
        <v>113.55</v>
      </c>
      <c r="L92" s="100">
        <v>26.01</v>
      </c>
      <c r="M92" s="100">
        <v>93.98</v>
      </c>
      <c r="N92" s="100">
        <v>2.2000000000000002</v>
      </c>
      <c r="O92" s="100">
        <v>0.4</v>
      </c>
      <c r="P92" s="100">
        <v>0.22</v>
      </c>
      <c r="Q92" s="100">
        <v>10</v>
      </c>
      <c r="R92" s="6"/>
      <c r="S92" s="6"/>
      <c r="T92" s="156"/>
      <c r="U92" s="6"/>
    </row>
    <row r="93" spans="1:21" customFormat="1">
      <c r="A93" s="163" t="s">
        <v>2436</v>
      </c>
      <c r="B93" s="100">
        <v>1.69</v>
      </c>
      <c r="C93" s="100">
        <v>3.16</v>
      </c>
      <c r="D93" s="100">
        <v>1.48</v>
      </c>
      <c r="E93" s="100">
        <v>4.8099999999999996</v>
      </c>
      <c r="F93" s="100">
        <v>3.08</v>
      </c>
      <c r="G93" s="100">
        <v>31.14</v>
      </c>
      <c r="H93" s="100">
        <v>18.010000000000002</v>
      </c>
      <c r="I93" s="100">
        <v>5.0199999999999996</v>
      </c>
      <c r="J93" s="100">
        <v>0.23</v>
      </c>
      <c r="K93" s="100">
        <v>158.16</v>
      </c>
      <c r="L93" s="100">
        <v>25.69</v>
      </c>
      <c r="M93" s="100">
        <v>94.75</v>
      </c>
      <c r="N93" s="100">
        <v>2.4</v>
      </c>
      <c r="O93" s="100">
        <v>0.6</v>
      </c>
      <c r="P93" s="100">
        <v>0.24</v>
      </c>
      <c r="Q93" s="100">
        <v>10</v>
      </c>
      <c r="R93" s="6"/>
      <c r="S93" s="6"/>
      <c r="T93" s="156"/>
      <c r="U93" s="6"/>
    </row>
    <row r="94" spans="1:21" customFormat="1">
      <c r="A94" s="163" t="s">
        <v>2437</v>
      </c>
      <c r="B94" s="100">
        <v>1.98</v>
      </c>
      <c r="C94" s="100">
        <v>3.43</v>
      </c>
      <c r="D94" s="100">
        <v>1.54</v>
      </c>
      <c r="E94" s="100">
        <v>4.93</v>
      </c>
      <c r="F94" s="100">
        <v>2.69</v>
      </c>
      <c r="G94" s="100">
        <v>31.14</v>
      </c>
      <c r="H94" s="100">
        <v>18.010000000000002</v>
      </c>
      <c r="I94" s="100">
        <v>4.91</v>
      </c>
      <c r="J94" s="100">
        <v>0.31</v>
      </c>
      <c r="K94" s="100">
        <v>242.43</v>
      </c>
      <c r="L94" s="100">
        <v>25.56</v>
      </c>
      <c r="M94" s="100">
        <v>96.98</v>
      </c>
      <c r="N94" s="100">
        <v>2.2000000000000002</v>
      </c>
      <c r="O94" s="100">
        <v>0</v>
      </c>
      <c r="P94" s="100">
        <v>0.23</v>
      </c>
      <c r="Q94" s="100">
        <v>10</v>
      </c>
      <c r="R94" s="6"/>
      <c r="S94" s="6"/>
      <c r="T94" s="156"/>
      <c r="U94" s="6"/>
    </row>
    <row r="95" spans="1:21" customFormat="1">
      <c r="A95" s="163" t="s">
        <v>2438</v>
      </c>
      <c r="B95" s="100">
        <v>2.0699999999999998</v>
      </c>
      <c r="C95" s="100">
        <v>3.71</v>
      </c>
      <c r="D95" s="100">
        <v>1.95</v>
      </c>
      <c r="E95" s="100">
        <v>4.68</v>
      </c>
      <c r="F95" s="100">
        <v>5.46</v>
      </c>
      <c r="G95" s="100">
        <v>31.14</v>
      </c>
      <c r="H95" s="100">
        <v>18.010000000000002</v>
      </c>
      <c r="I95" s="100">
        <v>5.18</v>
      </c>
      <c r="J95" s="100">
        <v>0.54</v>
      </c>
      <c r="K95" s="100">
        <v>253.43</v>
      </c>
      <c r="L95" s="100">
        <v>26.05</v>
      </c>
      <c r="M95" s="100">
        <v>97.43</v>
      </c>
      <c r="N95" s="100">
        <v>1.7</v>
      </c>
      <c r="O95" s="100">
        <v>0</v>
      </c>
      <c r="P95" s="100">
        <v>0.21</v>
      </c>
      <c r="Q95" s="100">
        <v>10</v>
      </c>
      <c r="R95" s="6"/>
      <c r="S95" s="6"/>
      <c r="T95" s="156"/>
      <c r="U95" s="6"/>
    </row>
    <row r="96" spans="1:21" customFormat="1">
      <c r="A96" s="163" t="s">
        <v>2439</v>
      </c>
      <c r="B96" s="100">
        <v>1.63</v>
      </c>
      <c r="C96" s="100">
        <v>2.86</v>
      </c>
      <c r="D96" s="100">
        <v>0.99</v>
      </c>
      <c r="E96" s="100">
        <v>4.7</v>
      </c>
      <c r="F96" s="100">
        <v>3.38</v>
      </c>
      <c r="G96" s="100">
        <v>31.05</v>
      </c>
      <c r="H96" s="100">
        <v>18</v>
      </c>
      <c r="I96" s="100">
        <v>5.12</v>
      </c>
      <c r="J96" s="100">
        <v>0.62</v>
      </c>
      <c r="K96" s="100">
        <v>255.24</v>
      </c>
      <c r="L96" s="100">
        <v>26.33</v>
      </c>
      <c r="M96" s="100">
        <v>96.63</v>
      </c>
      <c r="N96" s="100">
        <v>2.7</v>
      </c>
      <c r="O96" s="100">
        <v>0</v>
      </c>
      <c r="P96" s="100">
        <v>0.22</v>
      </c>
      <c r="Q96" s="100">
        <v>10</v>
      </c>
      <c r="R96" s="6"/>
      <c r="S96" s="6"/>
      <c r="T96" s="156"/>
      <c r="U96" s="6"/>
    </row>
    <row r="97" spans="1:28" customFormat="1">
      <c r="A97" s="163" t="s">
        <v>2440</v>
      </c>
      <c r="B97" s="100">
        <v>1.59</v>
      </c>
      <c r="C97" s="100">
        <v>2.83</v>
      </c>
      <c r="D97" s="100">
        <v>0.99</v>
      </c>
      <c r="E97" s="100">
        <v>4.82</v>
      </c>
      <c r="F97" s="100">
        <v>3.8</v>
      </c>
      <c r="G97" s="100">
        <v>30.62</v>
      </c>
      <c r="H97" s="100">
        <v>17.95</v>
      </c>
      <c r="I97" s="100">
        <v>5.0199999999999996</v>
      </c>
      <c r="J97" s="100">
        <v>0.89</v>
      </c>
      <c r="K97" s="100">
        <v>252.29</v>
      </c>
      <c r="L97" s="100">
        <v>26.07</v>
      </c>
      <c r="M97" s="100">
        <v>93.81</v>
      </c>
      <c r="N97" s="100">
        <v>4.2</v>
      </c>
      <c r="O97" s="100">
        <v>0</v>
      </c>
      <c r="P97" s="100">
        <v>0.22</v>
      </c>
      <c r="Q97" s="100">
        <v>10</v>
      </c>
      <c r="R97" s="6"/>
      <c r="S97" s="6"/>
      <c r="T97" s="156"/>
      <c r="U97" s="6"/>
    </row>
    <row r="98" spans="1:28" customFormat="1">
      <c r="A98" s="163" t="s">
        <v>2441</v>
      </c>
      <c r="B98" s="100">
        <v>1.89</v>
      </c>
      <c r="C98" s="100">
        <v>3.3</v>
      </c>
      <c r="D98" s="100">
        <v>1.43</v>
      </c>
      <c r="E98" s="100">
        <v>4.46</v>
      </c>
      <c r="F98" s="100">
        <v>5</v>
      </c>
      <c r="G98" s="100">
        <v>30.62</v>
      </c>
      <c r="H98" s="100">
        <v>17.95</v>
      </c>
      <c r="I98" s="100">
        <v>4.9400000000000004</v>
      </c>
      <c r="J98" s="100">
        <v>0.82</v>
      </c>
      <c r="K98" s="100">
        <v>255.74</v>
      </c>
      <c r="L98" s="100">
        <v>25.87</v>
      </c>
      <c r="M98" s="100">
        <v>93.47</v>
      </c>
      <c r="N98" s="100">
        <v>2.9</v>
      </c>
      <c r="O98" s="100">
        <v>0.2</v>
      </c>
      <c r="P98" s="100">
        <v>0.2</v>
      </c>
      <c r="Q98" s="100">
        <v>10</v>
      </c>
      <c r="R98" s="6"/>
      <c r="S98" s="6"/>
      <c r="T98" s="156"/>
      <c r="U98" s="6"/>
    </row>
    <row r="99" spans="1:28" customFormat="1">
      <c r="A99" s="163" t="s">
        <v>2442</v>
      </c>
      <c r="B99" s="100">
        <v>1.75</v>
      </c>
      <c r="C99" s="100">
        <v>3.22</v>
      </c>
      <c r="D99" s="100">
        <v>1.49</v>
      </c>
      <c r="E99" s="100">
        <v>4.3600000000000003</v>
      </c>
      <c r="F99" s="100">
        <v>4.17</v>
      </c>
      <c r="G99" s="100">
        <v>30.62</v>
      </c>
      <c r="H99" s="100">
        <v>17.95</v>
      </c>
      <c r="I99" s="100">
        <v>4.87</v>
      </c>
      <c r="J99" s="100">
        <v>0.46</v>
      </c>
      <c r="K99" s="100">
        <v>257.17</v>
      </c>
      <c r="L99" s="100">
        <v>25.73</v>
      </c>
      <c r="M99" s="100">
        <v>95.28</v>
      </c>
      <c r="N99" s="100">
        <v>2.2000000000000002</v>
      </c>
      <c r="O99" s="100">
        <v>0.4</v>
      </c>
      <c r="P99" s="100">
        <v>0.2</v>
      </c>
      <c r="Q99" s="100">
        <v>10</v>
      </c>
      <c r="R99" s="6"/>
      <c r="S99" s="6"/>
      <c r="T99" s="156"/>
      <c r="U99" s="6"/>
    </row>
    <row r="100" spans="1:28" customFormat="1">
      <c r="A100" s="163" t="s">
        <v>2443</v>
      </c>
      <c r="B100" s="100">
        <v>1.56</v>
      </c>
      <c r="C100" s="100">
        <v>2.83</v>
      </c>
      <c r="D100" s="100">
        <v>1.04</v>
      </c>
      <c r="E100" s="100">
        <v>4.6500000000000004</v>
      </c>
      <c r="F100" s="100">
        <v>3.03</v>
      </c>
      <c r="G100" s="100">
        <v>28.53</v>
      </c>
      <c r="H100" s="100">
        <v>17.11</v>
      </c>
      <c r="I100" s="100">
        <v>4.74</v>
      </c>
      <c r="J100" s="100">
        <v>0.57999999999999996</v>
      </c>
      <c r="K100" s="100">
        <v>252.09</v>
      </c>
      <c r="L100" s="100">
        <v>25.33</v>
      </c>
      <c r="M100" s="100">
        <v>97.37</v>
      </c>
      <c r="N100" s="100">
        <v>2.5</v>
      </c>
      <c r="O100" s="100">
        <v>1.8</v>
      </c>
      <c r="P100" s="100">
        <v>0.21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2444</v>
      </c>
      <c r="B101" s="100">
        <v>1.48</v>
      </c>
      <c r="C101" s="100">
        <v>2.64</v>
      </c>
      <c r="D101" s="100">
        <v>0.81</v>
      </c>
      <c r="E101" s="100">
        <v>4.6399999999999997</v>
      </c>
      <c r="F101" s="100">
        <v>4.7300000000000004</v>
      </c>
      <c r="G101" s="100">
        <v>18.88</v>
      </c>
      <c r="H101" s="100">
        <v>12.81</v>
      </c>
      <c r="I101" s="100">
        <v>4.72</v>
      </c>
      <c r="J101" s="100">
        <v>0.6</v>
      </c>
      <c r="K101" s="100">
        <v>251.58</v>
      </c>
      <c r="L101" s="100">
        <v>25.26</v>
      </c>
      <c r="M101" s="100">
        <v>98.67</v>
      </c>
      <c r="N101" s="100">
        <v>2.2999999999999998</v>
      </c>
      <c r="O101" s="100">
        <v>0.8</v>
      </c>
      <c r="P101" s="100">
        <v>0.2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2445</v>
      </c>
      <c r="B102" s="100">
        <v>1.42</v>
      </c>
      <c r="C102" s="100">
        <v>2.59</v>
      </c>
      <c r="D102" s="100">
        <v>0.81</v>
      </c>
      <c r="E102" s="100">
        <v>4.75</v>
      </c>
      <c r="F102" s="100">
        <v>3.12</v>
      </c>
      <c r="G102" s="100">
        <v>18.88</v>
      </c>
      <c r="H102" s="100">
        <v>12.81</v>
      </c>
      <c r="I102" s="100">
        <v>4.83</v>
      </c>
      <c r="J102" s="100">
        <v>0.56999999999999995</v>
      </c>
      <c r="K102" s="100">
        <v>253.85</v>
      </c>
      <c r="L102" s="100">
        <v>25.29</v>
      </c>
      <c r="M102" s="100">
        <v>98.73</v>
      </c>
      <c r="N102" s="100">
        <v>2.4</v>
      </c>
      <c r="O102" s="100">
        <v>0</v>
      </c>
      <c r="P102" s="100">
        <v>0.2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2446</v>
      </c>
      <c r="B103" s="100">
        <v>1.49</v>
      </c>
      <c r="C103" s="100">
        <v>2.58</v>
      </c>
      <c r="D103" s="100">
        <v>0.68</v>
      </c>
      <c r="E103" s="100">
        <v>4.78</v>
      </c>
      <c r="F103" s="100">
        <v>1.94</v>
      </c>
      <c r="G103" s="100">
        <v>18.88</v>
      </c>
      <c r="H103" s="100">
        <v>12.81</v>
      </c>
      <c r="I103" s="100">
        <v>4.63</v>
      </c>
      <c r="J103" s="100">
        <v>0.56000000000000005</v>
      </c>
      <c r="K103" s="100">
        <v>253.47</v>
      </c>
      <c r="L103" s="100">
        <v>25.35</v>
      </c>
      <c r="M103" s="100">
        <v>98.73</v>
      </c>
      <c r="N103" s="100">
        <v>2.4</v>
      </c>
      <c r="O103" s="100">
        <v>0.2</v>
      </c>
      <c r="P103" s="100">
        <v>0.2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2447</v>
      </c>
      <c r="B104" s="100">
        <v>1.47</v>
      </c>
      <c r="C104" s="100">
        <v>2.69</v>
      </c>
      <c r="D104" s="100">
        <v>0.91</v>
      </c>
      <c r="E104" s="100">
        <v>4.41</v>
      </c>
      <c r="F104" s="100">
        <v>2.7</v>
      </c>
      <c r="G104" s="100">
        <v>17.59</v>
      </c>
      <c r="H104" s="100">
        <v>11.88</v>
      </c>
      <c r="I104" s="100">
        <v>4.75</v>
      </c>
      <c r="J104" s="100">
        <v>0.57999999999999996</v>
      </c>
      <c r="K104" s="100">
        <v>254.26</v>
      </c>
      <c r="L104" s="100">
        <v>25.35</v>
      </c>
      <c r="M104" s="100">
        <v>98.72</v>
      </c>
      <c r="N104" s="100">
        <v>2.2999999999999998</v>
      </c>
      <c r="O104" s="100">
        <v>0</v>
      </c>
      <c r="P104" s="100">
        <v>0.19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1.24</v>
      </c>
      <c r="C106" s="158">
        <f>MIN(C9:C104)</f>
        <v>2.1800000000000002</v>
      </c>
      <c r="D106" s="158">
        <f t="shared" ref="D106:Q106" si="0">MIN(D9:D104)</f>
        <v>0.14000000000000001</v>
      </c>
      <c r="E106" s="158">
        <f t="shared" si="0"/>
        <v>4.1500000000000004</v>
      </c>
      <c r="F106" s="158">
        <f t="shared" si="0"/>
        <v>0.76</v>
      </c>
      <c r="G106" s="158">
        <f t="shared" si="0"/>
        <v>12.29</v>
      </c>
      <c r="H106" s="158">
        <f t="shared" si="0"/>
        <v>9.1999999999999993</v>
      </c>
      <c r="I106" s="158">
        <f t="shared" si="0"/>
        <v>4.63</v>
      </c>
      <c r="J106" s="158">
        <f t="shared" si="0"/>
        <v>0.09</v>
      </c>
      <c r="K106" s="158">
        <f t="shared" si="0"/>
        <v>13.32</v>
      </c>
      <c r="L106" s="158">
        <f t="shared" si="0"/>
        <v>25.26</v>
      </c>
      <c r="M106" s="158">
        <f t="shared" si="0"/>
        <v>67.489999999999995</v>
      </c>
      <c r="N106" s="158">
        <f t="shared" si="0"/>
        <v>1.7</v>
      </c>
      <c r="O106" s="158">
        <f t="shared" si="0"/>
        <v>0</v>
      </c>
      <c r="P106" s="158">
        <f t="shared" si="0"/>
        <v>0.19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2.39</v>
      </c>
      <c r="C107" s="157">
        <f t="shared" ref="C107:Q107" si="1">MAX(C9:C104)</f>
        <v>4.3099999999999996</v>
      </c>
      <c r="D107" s="157">
        <f t="shared" si="1"/>
        <v>2.6</v>
      </c>
      <c r="E107" s="157">
        <f t="shared" si="1"/>
        <v>7.47</v>
      </c>
      <c r="F107" s="157">
        <f t="shared" si="1"/>
        <v>13.42</v>
      </c>
      <c r="G107" s="157">
        <f t="shared" si="1"/>
        <v>48.92</v>
      </c>
      <c r="H107" s="157">
        <f t="shared" si="1"/>
        <v>19.55</v>
      </c>
      <c r="I107" s="157">
        <f t="shared" si="1"/>
        <v>7.57</v>
      </c>
      <c r="J107" s="157">
        <f t="shared" si="1"/>
        <v>1.17</v>
      </c>
      <c r="K107" s="157">
        <f t="shared" si="1"/>
        <v>319.61</v>
      </c>
      <c r="L107" s="157">
        <f t="shared" si="1"/>
        <v>32.68</v>
      </c>
      <c r="M107" s="157">
        <f t="shared" si="1"/>
        <v>98.73</v>
      </c>
      <c r="N107" s="157">
        <f t="shared" si="1"/>
        <v>521.6</v>
      </c>
      <c r="O107" s="157">
        <f t="shared" si="1"/>
        <v>1.8</v>
      </c>
      <c r="P107" s="157">
        <f t="shared" si="1"/>
        <v>0.3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1.6134374999999992</v>
      </c>
      <c r="C108" s="158">
        <f t="shared" ref="C108:Q108" si="2">AVERAGE(C9:C104)</f>
        <v>2.9216666666666664</v>
      </c>
      <c r="D108" s="158">
        <f t="shared" si="2"/>
        <v>1.1340625000000002</v>
      </c>
      <c r="E108" s="158">
        <f t="shared" si="2"/>
        <v>5.6730208333333323</v>
      </c>
      <c r="F108" s="158">
        <f t="shared" si="2"/>
        <v>4.1759375000000007</v>
      </c>
      <c r="G108" s="158">
        <f t="shared" si="2"/>
        <v>29.049062499999994</v>
      </c>
      <c r="H108" s="158">
        <f t="shared" si="2"/>
        <v>14.760833333333338</v>
      </c>
      <c r="I108" s="158">
        <f t="shared" si="2"/>
        <v>5.8050000000000024</v>
      </c>
      <c r="J108" s="158">
        <f t="shared" si="2"/>
        <v>0.44</v>
      </c>
      <c r="K108" s="158">
        <f t="shared" si="2"/>
        <v>229.5873958333332</v>
      </c>
      <c r="L108" s="158">
        <f t="shared" si="2"/>
        <v>28.175312500000008</v>
      </c>
      <c r="M108" s="158">
        <f t="shared" si="2"/>
        <v>85.654166666666683</v>
      </c>
      <c r="N108" s="158">
        <f t="shared" si="2"/>
        <v>94.345833333333374</v>
      </c>
      <c r="O108" s="158">
        <f t="shared" si="2"/>
        <v>7.2916666666666671E-2</v>
      </c>
      <c r="P108" s="158">
        <f t="shared" si="2"/>
        <v>0.2421875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0.23028507790403208</v>
      </c>
      <c r="C109" s="158">
        <f t="shared" ref="C109:Q109" si="3">STDEV(C9:C104)</f>
        <v>0.40915231153579973</v>
      </c>
      <c r="D109" s="158">
        <f t="shared" si="3"/>
        <v>0.46659478221415429</v>
      </c>
      <c r="E109" s="158">
        <f t="shared" si="3"/>
        <v>0.96228688116729222</v>
      </c>
      <c r="F109" s="158">
        <f t="shared" si="3"/>
        <v>2.3031518806900921</v>
      </c>
      <c r="G109" s="158">
        <f t="shared" si="3"/>
        <v>9.4669492755336559</v>
      </c>
      <c r="H109" s="158">
        <f t="shared" si="3"/>
        <v>3.26279398083964</v>
      </c>
      <c r="I109" s="158">
        <f t="shared" si="3"/>
        <v>0.83193243652796545</v>
      </c>
      <c r="J109" s="158">
        <f t="shared" si="3"/>
        <v>0.19961541971870256</v>
      </c>
      <c r="K109" s="158">
        <f t="shared" si="3"/>
        <v>78.664689734605233</v>
      </c>
      <c r="L109" s="158">
        <f t="shared" si="3"/>
        <v>2.2514332058187203</v>
      </c>
      <c r="M109" s="158">
        <f t="shared" si="3"/>
        <v>9.5686473406548771</v>
      </c>
      <c r="N109" s="158">
        <f t="shared" si="3"/>
        <v>128.55284468728397</v>
      </c>
      <c r="O109" s="158">
        <f t="shared" si="3"/>
        <v>0.25483913054344765</v>
      </c>
      <c r="P109" s="158">
        <f t="shared" si="3"/>
        <v>2.4632162330023629E-2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2448</v>
      </c>
      <c r="B9" s="100">
        <v>1.39</v>
      </c>
      <c r="C9" s="100">
        <v>2.4</v>
      </c>
      <c r="D9" s="100">
        <v>0.47</v>
      </c>
      <c r="E9" s="100">
        <v>4.41</v>
      </c>
      <c r="F9" s="100">
        <v>2.5499999999999998</v>
      </c>
      <c r="G9" s="100">
        <v>12.08</v>
      </c>
      <c r="H9" s="100">
        <v>8.99</v>
      </c>
      <c r="I9" s="100">
        <v>4.6900000000000004</v>
      </c>
      <c r="J9" s="100">
        <v>0.5</v>
      </c>
      <c r="K9" s="100">
        <v>252.65</v>
      </c>
      <c r="L9" s="100">
        <v>25.4</v>
      </c>
      <c r="M9" s="100">
        <v>98.72</v>
      </c>
      <c r="N9" s="100">
        <v>2.2999999999999998</v>
      </c>
      <c r="O9" s="100">
        <v>0</v>
      </c>
      <c r="P9" s="100">
        <v>0.22</v>
      </c>
      <c r="Q9" s="100">
        <v>10</v>
      </c>
      <c r="R9" s="6"/>
      <c r="S9" s="6"/>
      <c r="T9" s="156"/>
      <c r="U9" s="6"/>
    </row>
    <row r="10" spans="1:21" customFormat="1">
      <c r="A10" s="163" t="s">
        <v>2449</v>
      </c>
      <c r="B10" s="100">
        <v>1.68</v>
      </c>
      <c r="C10" s="100">
        <v>3.14</v>
      </c>
      <c r="D10" s="100">
        <v>1.45</v>
      </c>
      <c r="E10" s="100">
        <v>4.5</v>
      </c>
      <c r="F10" s="100">
        <v>2.52</v>
      </c>
      <c r="G10" s="100">
        <v>12.08</v>
      </c>
      <c r="H10" s="100">
        <v>8.99</v>
      </c>
      <c r="I10" s="100">
        <v>4.59</v>
      </c>
      <c r="J10" s="100">
        <v>0.52</v>
      </c>
      <c r="K10" s="100">
        <v>255.55</v>
      </c>
      <c r="L10" s="100">
        <v>25.42</v>
      </c>
      <c r="M10" s="100">
        <v>98.69</v>
      </c>
      <c r="N10" s="100">
        <v>2.4</v>
      </c>
      <c r="O10" s="100">
        <v>0.2</v>
      </c>
      <c r="P10" s="100">
        <v>0.25</v>
      </c>
      <c r="Q10" s="100">
        <v>10</v>
      </c>
      <c r="R10" s="6"/>
      <c r="S10" s="6"/>
      <c r="T10" s="156"/>
      <c r="U10" s="6"/>
    </row>
    <row r="11" spans="1:21" customFormat="1">
      <c r="A11" s="163" t="s">
        <v>2450</v>
      </c>
      <c r="B11" s="100">
        <v>1.52</v>
      </c>
      <c r="C11" s="100">
        <v>2.79</v>
      </c>
      <c r="D11" s="100">
        <v>1.02</v>
      </c>
      <c r="E11" s="100">
        <v>4.92</v>
      </c>
      <c r="F11" s="100">
        <v>2.11</v>
      </c>
      <c r="G11" s="100">
        <v>12.08</v>
      </c>
      <c r="H11" s="100">
        <v>8.99</v>
      </c>
      <c r="I11" s="100">
        <v>4.83</v>
      </c>
      <c r="J11" s="100">
        <v>0.69</v>
      </c>
      <c r="K11" s="100">
        <v>258.14</v>
      </c>
      <c r="L11" s="100">
        <v>25.29</v>
      </c>
      <c r="M11" s="100">
        <v>98.54</v>
      </c>
      <c r="N11" s="100">
        <v>2.6</v>
      </c>
      <c r="O11" s="100">
        <v>0.2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163" t="s">
        <v>2451</v>
      </c>
      <c r="B12" s="100">
        <v>1.3</v>
      </c>
      <c r="C12" s="100">
        <v>2.2799999999999998</v>
      </c>
      <c r="D12" s="100">
        <v>0.39</v>
      </c>
      <c r="E12" s="100">
        <v>4.8099999999999996</v>
      </c>
      <c r="F12" s="100">
        <v>2.25</v>
      </c>
      <c r="G12" s="100">
        <v>12.12</v>
      </c>
      <c r="H12" s="100">
        <v>8.7100000000000009</v>
      </c>
      <c r="I12" s="100">
        <v>4.96</v>
      </c>
      <c r="J12" s="100">
        <v>0.67</v>
      </c>
      <c r="K12" s="100">
        <v>256.08999999999997</v>
      </c>
      <c r="L12" s="100">
        <v>25.19</v>
      </c>
      <c r="M12" s="100">
        <v>98.27</v>
      </c>
      <c r="N12" s="100">
        <v>2.5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163" t="s">
        <v>2452</v>
      </c>
      <c r="B13" s="100">
        <v>1.51</v>
      </c>
      <c r="C13" s="100">
        <v>2.72</v>
      </c>
      <c r="D13" s="100">
        <v>0.91</v>
      </c>
      <c r="E13" s="100">
        <v>5.0599999999999996</v>
      </c>
      <c r="F13" s="100">
        <v>2.44</v>
      </c>
      <c r="G13" s="100">
        <v>12.31</v>
      </c>
      <c r="H13" s="100">
        <v>7.84</v>
      </c>
      <c r="I13" s="100">
        <v>5.19</v>
      </c>
      <c r="J13" s="100">
        <v>0.7</v>
      </c>
      <c r="K13" s="100">
        <v>246.6</v>
      </c>
      <c r="L13" s="100">
        <v>25.21</v>
      </c>
      <c r="M13" s="100">
        <v>97.97</v>
      </c>
      <c r="N13" s="100">
        <v>2.4</v>
      </c>
      <c r="O13" s="100">
        <v>0.2</v>
      </c>
      <c r="P13" s="100">
        <v>0.26</v>
      </c>
      <c r="Q13" s="100">
        <v>10</v>
      </c>
      <c r="R13" s="6"/>
      <c r="S13" s="6"/>
      <c r="T13" s="156"/>
      <c r="U13" s="6"/>
    </row>
    <row r="14" spans="1:21" customFormat="1">
      <c r="A14" s="163" t="s">
        <v>2453</v>
      </c>
      <c r="B14" s="100">
        <v>1.66</v>
      </c>
      <c r="C14" s="100">
        <v>3.15</v>
      </c>
      <c r="D14" s="100">
        <v>1.51</v>
      </c>
      <c r="E14" s="100">
        <v>5.27</v>
      </c>
      <c r="F14" s="100">
        <v>2.08</v>
      </c>
      <c r="G14" s="100">
        <v>12.31</v>
      </c>
      <c r="H14" s="100">
        <v>7.84</v>
      </c>
      <c r="I14" s="100">
        <v>5.38</v>
      </c>
      <c r="J14" s="100">
        <v>0.46</v>
      </c>
      <c r="K14" s="100">
        <v>253.67</v>
      </c>
      <c r="L14" s="100">
        <v>25.16</v>
      </c>
      <c r="M14" s="100">
        <v>97.8</v>
      </c>
      <c r="N14" s="100">
        <v>2.2999999999999998</v>
      </c>
      <c r="O14" s="100">
        <v>0</v>
      </c>
      <c r="P14" s="100">
        <v>0.26</v>
      </c>
      <c r="Q14" s="100">
        <v>10</v>
      </c>
      <c r="R14" s="6"/>
      <c r="S14" s="6"/>
      <c r="T14" s="156"/>
      <c r="U14" s="6"/>
    </row>
    <row r="15" spans="1:21" customFormat="1">
      <c r="A15" s="163" t="s">
        <v>2454</v>
      </c>
      <c r="B15" s="100">
        <v>1.29</v>
      </c>
      <c r="C15" s="100">
        <v>2.2400000000000002</v>
      </c>
      <c r="D15" s="100">
        <v>0.31</v>
      </c>
      <c r="E15" s="100">
        <v>5.15</v>
      </c>
      <c r="F15" s="100">
        <v>2.06</v>
      </c>
      <c r="G15" s="100">
        <v>12.31</v>
      </c>
      <c r="H15" s="100">
        <v>7.84</v>
      </c>
      <c r="I15" s="100">
        <v>5.5</v>
      </c>
      <c r="J15" s="100">
        <v>0.54</v>
      </c>
      <c r="K15" s="100">
        <v>253</v>
      </c>
      <c r="L15" s="100">
        <v>25.06</v>
      </c>
      <c r="M15" s="100">
        <v>97.7</v>
      </c>
      <c r="N15" s="100">
        <v>2.5</v>
      </c>
      <c r="O15" s="100">
        <v>0</v>
      </c>
      <c r="P15" s="100">
        <v>0.25</v>
      </c>
      <c r="Q15" s="100">
        <v>10</v>
      </c>
      <c r="R15" s="6"/>
      <c r="S15" s="6"/>
      <c r="T15" s="156"/>
      <c r="U15" s="6"/>
    </row>
    <row r="16" spans="1:21" customFormat="1">
      <c r="A16" s="163" t="s">
        <v>2455</v>
      </c>
      <c r="B16" s="100">
        <v>1.57</v>
      </c>
      <c r="C16" s="100">
        <v>3.02</v>
      </c>
      <c r="D16" s="100">
        <v>1.39</v>
      </c>
      <c r="E16" s="100">
        <v>4.92</v>
      </c>
      <c r="F16" s="100">
        <v>1.99</v>
      </c>
      <c r="G16" s="100">
        <v>11.58</v>
      </c>
      <c r="H16" s="100">
        <v>7.69</v>
      </c>
      <c r="I16" s="100">
        <v>5.59</v>
      </c>
      <c r="J16" s="100">
        <v>0.5</v>
      </c>
      <c r="K16" s="100">
        <v>251.43</v>
      </c>
      <c r="L16" s="100">
        <v>24.99</v>
      </c>
      <c r="M16" s="100">
        <v>97.49</v>
      </c>
      <c r="N16" s="100">
        <v>2.5</v>
      </c>
      <c r="O16" s="100">
        <v>0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163" t="s">
        <v>2456</v>
      </c>
      <c r="B17" s="100">
        <v>1.38</v>
      </c>
      <c r="C17" s="100">
        <v>2.4900000000000002</v>
      </c>
      <c r="D17" s="100">
        <v>0.66</v>
      </c>
      <c r="E17" s="100">
        <v>4.25</v>
      </c>
      <c r="F17" s="100">
        <v>2.11</v>
      </c>
      <c r="G17" s="100">
        <v>8.18</v>
      </c>
      <c r="H17" s="100">
        <v>7.19</v>
      </c>
      <c r="I17" s="100">
        <v>5.63</v>
      </c>
      <c r="J17" s="100">
        <v>0.38</v>
      </c>
      <c r="K17" s="100">
        <v>242.72</v>
      </c>
      <c r="L17" s="100">
        <v>25.05</v>
      </c>
      <c r="M17" s="100">
        <v>97.4</v>
      </c>
      <c r="N17" s="100">
        <v>2.6</v>
      </c>
      <c r="O17" s="100">
        <v>0</v>
      </c>
      <c r="P17" s="100">
        <v>0.24</v>
      </c>
      <c r="Q17" s="100">
        <v>10</v>
      </c>
      <c r="R17" s="6"/>
      <c r="S17" s="6"/>
      <c r="T17" s="156"/>
      <c r="U17" s="6"/>
    </row>
    <row r="18" spans="1:21" customFormat="1">
      <c r="A18" s="163" t="s">
        <v>2457</v>
      </c>
      <c r="B18" s="100">
        <v>1.41</v>
      </c>
      <c r="C18" s="100">
        <v>2.5499999999999998</v>
      </c>
      <c r="D18" s="100">
        <v>0.74</v>
      </c>
      <c r="E18" s="100">
        <v>5.13</v>
      </c>
      <c r="F18" s="100">
        <v>1.92</v>
      </c>
      <c r="G18" s="100">
        <v>8.18</v>
      </c>
      <c r="H18" s="100">
        <v>7.19</v>
      </c>
      <c r="I18" s="100">
        <v>5.61</v>
      </c>
      <c r="J18" s="100">
        <v>0.16</v>
      </c>
      <c r="K18" s="100">
        <v>252.67</v>
      </c>
      <c r="L18" s="100">
        <v>24.97</v>
      </c>
      <c r="M18" s="100">
        <v>97.33</v>
      </c>
      <c r="N18" s="100">
        <v>2.6</v>
      </c>
      <c r="O18" s="100">
        <v>0</v>
      </c>
      <c r="P18" s="100">
        <v>0.24</v>
      </c>
      <c r="Q18" s="100">
        <v>10</v>
      </c>
      <c r="R18" s="6"/>
      <c r="S18" s="6"/>
      <c r="T18" s="156"/>
      <c r="U18" s="6"/>
    </row>
    <row r="19" spans="1:21" customFormat="1">
      <c r="A19" s="163" t="s">
        <v>2458</v>
      </c>
      <c r="B19" s="100">
        <v>1.39</v>
      </c>
      <c r="C19" s="100">
        <v>2.37</v>
      </c>
      <c r="D19" s="100">
        <v>0.41</v>
      </c>
      <c r="E19" s="100">
        <v>5.1100000000000003</v>
      </c>
      <c r="F19" s="100">
        <v>2.0299999999999998</v>
      </c>
      <c r="G19" s="100">
        <v>8.18</v>
      </c>
      <c r="H19" s="100">
        <v>7.19</v>
      </c>
      <c r="I19" s="100">
        <v>5.59</v>
      </c>
      <c r="J19" s="100">
        <v>0.13</v>
      </c>
      <c r="K19" s="100">
        <v>253.72</v>
      </c>
      <c r="L19" s="100">
        <v>25.04</v>
      </c>
      <c r="M19" s="100">
        <v>97.66</v>
      </c>
      <c r="N19" s="100">
        <v>2.4</v>
      </c>
      <c r="O19" s="100">
        <v>0.2</v>
      </c>
      <c r="P19" s="100">
        <v>0.24</v>
      </c>
      <c r="Q19" s="100">
        <v>10</v>
      </c>
      <c r="R19" s="6"/>
      <c r="S19" s="6"/>
      <c r="T19" s="156"/>
      <c r="U19" s="6"/>
    </row>
    <row r="20" spans="1:21" customFormat="1">
      <c r="A20" s="163" t="s">
        <v>2459</v>
      </c>
      <c r="B20" s="100">
        <v>1.41</v>
      </c>
      <c r="C20" s="100">
        <v>2.42</v>
      </c>
      <c r="D20" s="100">
        <v>0.5</v>
      </c>
      <c r="E20" s="100">
        <v>5.04</v>
      </c>
      <c r="F20" s="100">
        <v>2.37</v>
      </c>
      <c r="G20" s="100">
        <v>8.1</v>
      </c>
      <c r="H20" s="100">
        <v>6.99</v>
      </c>
      <c r="I20" s="100">
        <v>5.56</v>
      </c>
      <c r="J20" s="100">
        <v>0.73</v>
      </c>
      <c r="K20" s="100">
        <v>305.17</v>
      </c>
      <c r="L20" s="100">
        <v>24.87</v>
      </c>
      <c r="M20" s="100">
        <v>97.28</v>
      </c>
      <c r="N20" s="100">
        <v>2.8</v>
      </c>
      <c r="O20" s="100">
        <v>0.2</v>
      </c>
      <c r="P20" s="100">
        <v>0.25</v>
      </c>
      <c r="Q20" s="100">
        <v>10</v>
      </c>
      <c r="R20" s="6"/>
      <c r="S20" s="6"/>
      <c r="T20" s="156"/>
      <c r="U20" s="6"/>
    </row>
    <row r="21" spans="1:21" customFormat="1">
      <c r="A21" s="163" t="s">
        <v>2460</v>
      </c>
      <c r="B21" s="100">
        <v>1.24</v>
      </c>
      <c r="C21" s="100">
        <v>2.08</v>
      </c>
      <c r="D21" s="100">
        <v>0.1</v>
      </c>
      <c r="E21" s="100">
        <v>4.99</v>
      </c>
      <c r="F21" s="100">
        <v>2.2999999999999998</v>
      </c>
      <c r="G21" s="100">
        <v>7.73</v>
      </c>
      <c r="H21" s="100">
        <v>6.05</v>
      </c>
      <c r="I21" s="100">
        <v>5.56</v>
      </c>
      <c r="J21" s="100">
        <v>1.43</v>
      </c>
      <c r="K21" s="100">
        <v>309.70999999999998</v>
      </c>
      <c r="L21" s="100">
        <v>24.75</v>
      </c>
      <c r="M21" s="100">
        <v>96.56</v>
      </c>
      <c r="N21" s="100">
        <v>2.5</v>
      </c>
      <c r="O21" s="100">
        <v>0.6</v>
      </c>
      <c r="P21" s="100">
        <v>0.25</v>
      </c>
      <c r="Q21" s="100">
        <v>10</v>
      </c>
      <c r="R21" s="6"/>
      <c r="S21" s="6"/>
      <c r="T21" s="156"/>
      <c r="U21" s="6"/>
    </row>
    <row r="22" spans="1:21" customFormat="1">
      <c r="A22" s="163" t="s">
        <v>2461</v>
      </c>
      <c r="B22" s="100">
        <v>1.62</v>
      </c>
      <c r="C22" s="100">
        <v>3.04</v>
      </c>
      <c r="D22" s="100">
        <v>1.35</v>
      </c>
      <c r="E22" s="100">
        <v>5.28</v>
      </c>
      <c r="F22" s="100">
        <v>2.91</v>
      </c>
      <c r="G22" s="100">
        <v>7.73</v>
      </c>
      <c r="H22" s="100">
        <v>6.05</v>
      </c>
      <c r="I22" s="100">
        <v>5.52</v>
      </c>
      <c r="J22" s="100">
        <v>0.78</v>
      </c>
      <c r="K22" s="100">
        <v>309.79000000000002</v>
      </c>
      <c r="L22" s="100">
        <v>24.65</v>
      </c>
      <c r="M22" s="100">
        <v>97.29</v>
      </c>
      <c r="N22" s="100">
        <v>2.2000000000000002</v>
      </c>
      <c r="O22" s="100">
        <v>0.6</v>
      </c>
      <c r="P22" s="100">
        <v>0.24</v>
      </c>
      <c r="Q22" s="100">
        <v>10</v>
      </c>
      <c r="R22" s="6"/>
      <c r="S22" s="6"/>
      <c r="T22" s="156"/>
      <c r="U22" s="6"/>
    </row>
    <row r="23" spans="1:21" customFormat="1">
      <c r="A23" s="163" t="s">
        <v>2462</v>
      </c>
      <c r="B23" s="100">
        <v>1.32</v>
      </c>
      <c r="C23" s="100">
        <v>2.2799999999999998</v>
      </c>
      <c r="D23" s="100">
        <v>0.34</v>
      </c>
      <c r="E23" s="100">
        <v>5.25</v>
      </c>
      <c r="F23" s="100">
        <v>2.5</v>
      </c>
      <c r="G23" s="100">
        <v>7.73</v>
      </c>
      <c r="H23" s="100">
        <v>6.05</v>
      </c>
      <c r="I23" s="100">
        <v>5.45</v>
      </c>
      <c r="J23" s="100">
        <v>1.0900000000000001</v>
      </c>
      <c r="K23" s="100">
        <v>308.39</v>
      </c>
      <c r="L23" s="100">
        <v>24.67</v>
      </c>
      <c r="M23" s="100">
        <v>98.07</v>
      </c>
      <c r="N23" s="100">
        <v>2.2999999999999998</v>
      </c>
      <c r="O23" s="100">
        <v>0.4</v>
      </c>
      <c r="P23" s="100">
        <v>0.23</v>
      </c>
      <c r="Q23" s="100">
        <v>10</v>
      </c>
      <c r="R23" s="6"/>
      <c r="S23" s="6"/>
      <c r="T23" s="156"/>
      <c r="U23" s="6"/>
    </row>
    <row r="24" spans="1:21" customFormat="1">
      <c r="A24" s="163" t="s">
        <v>2463</v>
      </c>
      <c r="B24" s="100">
        <v>1.67</v>
      </c>
      <c r="C24" s="100">
        <v>2.88</v>
      </c>
      <c r="D24" s="100">
        <v>0.97</v>
      </c>
      <c r="E24" s="100">
        <v>5.18</v>
      </c>
      <c r="F24" s="100">
        <v>3</v>
      </c>
      <c r="G24" s="100">
        <v>8.02</v>
      </c>
      <c r="H24" s="100">
        <v>5.68</v>
      </c>
      <c r="I24" s="100">
        <v>5.32</v>
      </c>
      <c r="J24" s="100">
        <v>1.03</v>
      </c>
      <c r="K24" s="100">
        <v>312.19</v>
      </c>
      <c r="L24" s="100">
        <v>24.73</v>
      </c>
      <c r="M24" s="100">
        <v>98.24</v>
      </c>
      <c r="N24" s="100">
        <v>2.2999999999999998</v>
      </c>
      <c r="O24" s="100">
        <v>0.2</v>
      </c>
      <c r="P24" s="100">
        <v>0.23</v>
      </c>
      <c r="Q24" s="100">
        <v>10</v>
      </c>
      <c r="R24" s="6"/>
      <c r="S24" s="6"/>
      <c r="T24" s="156"/>
      <c r="U24" s="6"/>
    </row>
    <row r="25" spans="1:21" customFormat="1">
      <c r="A25" s="163" t="s">
        <v>2464</v>
      </c>
      <c r="B25" s="100">
        <v>1.52</v>
      </c>
      <c r="C25" s="100">
        <v>2.69</v>
      </c>
      <c r="D25" s="100">
        <v>0.84</v>
      </c>
      <c r="E25" s="100">
        <v>5.29</v>
      </c>
      <c r="F25" s="100">
        <v>2.02</v>
      </c>
      <c r="G25" s="100">
        <v>9.36</v>
      </c>
      <c r="H25" s="100">
        <v>4.5</v>
      </c>
      <c r="I25" s="100">
        <v>5.2</v>
      </c>
      <c r="J25" s="100">
        <v>0.92</v>
      </c>
      <c r="K25" s="100">
        <v>314.58</v>
      </c>
      <c r="L25" s="100">
        <v>24.76</v>
      </c>
      <c r="M25" s="100">
        <v>98.15</v>
      </c>
      <c r="N25" s="100">
        <v>2.4</v>
      </c>
      <c r="O25" s="100">
        <v>0.2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163" t="s">
        <v>2465</v>
      </c>
      <c r="B26" s="100">
        <v>1.36</v>
      </c>
      <c r="C26" s="100">
        <v>2.41</v>
      </c>
      <c r="D26" s="100">
        <v>0.54</v>
      </c>
      <c r="E26" s="100">
        <v>5.34</v>
      </c>
      <c r="F26" s="100">
        <v>2.13</v>
      </c>
      <c r="G26" s="100">
        <v>9.36</v>
      </c>
      <c r="H26" s="100">
        <v>4.5</v>
      </c>
      <c r="I26" s="100">
        <v>5.12</v>
      </c>
      <c r="J26" s="100">
        <v>0.77</v>
      </c>
      <c r="K26" s="100">
        <v>301.24</v>
      </c>
      <c r="L26" s="100">
        <v>24.74</v>
      </c>
      <c r="M26" s="100">
        <v>98.02</v>
      </c>
      <c r="N26" s="100">
        <v>2.2999999999999998</v>
      </c>
      <c r="O26" s="100">
        <v>0.4</v>
      </c>
      <c r="P26" s="100">
        <v>0.23</v>
      </c>
      <c r="Q26" s="100">
        <v>10</v>
      </c>
      <c r="R26" s="6"/>
      <c r="S26" s="6"/>
      <c r="T26" s="156"/>
      <c r="U26" s="6"/>
    </row>
    <row r="27" spans="1:21" customFormat="1">
      <c r="A27" s="163" t="s">
        <v>2466</v>
      </c>
      <c r="B27" s="100">
        <v>1.85</v>
      </c>
      <c r="C27" s="100">
        <v>3.23</v>
      </c>
      <c r="D27" s="100">
        <v>1.37</v>
      </c>
      <c r="E27" s="100">
        <v>5.27</v>
      </c>
      <c r="F27" s="100">
        <v>2.25</v>
      </c>
      <c r="G27" s="100">
        <v>9.36</v>
      </c>
      <c r="H27" s="100">
        <v>4.5</v>
      </c>
      <c r="I27" s="100">
        <v>5.1100000000000003</v>
      </c>
      <c r="J27" s="100">
        <v>0.69</v>
      </c>
      <c r="K27" s="100">
        <v>305.68</v>
      </c>
      <c r="L27" s="100">
        <v>24.75</v>
      </c>
      <c r="M27" s="100">
        <v>98.34</v>
      </c>
      <c r="N27" s="100">
        <v>2.2999999999999998</v>
      </c>
      <c r="O27" s="100">
        <v>0.4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163" t="s">
        <v>2467</v>
      </c>
      <c r="B28" s="100">
        <v>1.43</v>
      </c>
      <c r="C28" s="100">
        <v>2.4500000000000002</v>
      </c>
      <c r="D28" s="100">
        <v>0.51</v>
      </c>
      <c r="E28" s="100">
        <v>5.47</v>
      </c>
      <c r="F28" s="100">
        <v>1.84</v>
      </c>
      <c r="G28" s="100">
        <v>9.7100000000000009</v>
      </c>
      <c r="H28" s="100">
        <v>4.45</v>
      </c>
      <c r="I28" s="100">
        <v>5.0199999999999996</v>
      </c>
      <c r="J28" s="100">
        <v>0.63</v>
      </c>
      <c r="K28" s="100">
        <v>320.81</v>
      </c>
      <c r="L28" s="100">
        <v>24.79</v>
      </c>
      <c r="M28" s="100">
        <v>98.51</v>
      </c>
      <c r="N28" s="100">
        <v>2.2000000000000002</v>
      </c>
      <c r="O28" s="100">
        <v>0.2</v>
      </c>
      <c r="P28" s="100">
        <v>0.24</v>
      </c>
      <c r="Q28" s="100">
        <v>10</v>
      </c>
      <c r="R28" s="6"/>
      <c r="S28" s="6"/>
      <c r="T28" s="156"/>
      <c r="U28" s="6"/>
    </row>
    <row r="29" spans="1:21" customFormat="1">
      <c r="A29" s="163" t="s">
        <v>2468</v>
      </c>
      <c r="B29" s="100">
        <v>1.83</v>
      </c>
      <c r="C29" s="100">
        <v>3.22</v>
      </c>
      <c r="D29" s="100">
        <v>1.36</v>
      </c>
      <c r="E29" s="100">
        <v>5.3</v>
      </c>
      <c r="F29" s="100">
        <v>2.13</v>
      </c>
      <c r="G29" s="100">
        <v>11.31</v>
      </c>
      <c r="H29" s="100">
        <v>4.2699999999999996</v>
      </c>
      <c r="I29" s="100">
        <v>4.95</v>
      </c>
      <c r="J29" s="100">
        <v>0.53</v>
      </c>
      <c r="K29" s="100">
        <v>351.49</v>
      </c>
      <c r="L29" s="100">
        <v>24.84</v>
      </c>
      <c r="M29" s="100">
        <v>98.64</v>
      </c>
      <c r="N29" s="100">
        <v>2.2999999999999998</v>
      </c>
      <c r="O29" s="100">
        <v>0.4</v>
      </c>
      <c r="P29" s="100">
        <v>0.21</v>
      </c>
      <c r="Q29" s="100">
        <v>10</v>
      </c>
      <c r="R29" s="6"/>
      <c r="S29" s="6"/>
      <c r="T29" s="156"/>
      <c r="U29" s="6"/>
    </row>
    <row r="30" spans="1:21" customFormat="1">
      <c r="A30" s="163" t="s">
        <v>2469</v>
      </c>
      <c r="B30" s="100">
        <v>1.56</v>
      </c>
      <c r="C30" s="100">
        <v>2.68</v>
      </c>
      <c r="D30" s="100">
        <v>0.76</v>
      </c>
      <c r="E30" s="100">
        <v>5.19</v>
      </c>
      <c r="F30" s="100">
        <v>3.66</v>
      </c>
      <c r="G30" s="100">
        <v>11.31</v>
      </c>
      <c r="H30" s="100">
        <v>4.2699999999999996</v>
      </c>
      <c r="I30" s="100">
        <v>4.88</v>
      </c>
      <c r="J30" s="100">
        <v>0.63</v>
      </c>
      <c r="K30" s="100">
        <v>1.72</v>
      </c>
      <c r="L30" s="100">
        <v>24.8</v>
      </c>
      <c r="M30" s="100">
        <v>98.64</v>
      </c>
      <c r="N30" s="100">
        <v>2.6</v>
      </c>
      <c r="O30" s="100">
        <v>0.4</v>
      </c>
      <c r="P30" s="100">
        <v>0.18</v>
      </c>
      <c r="Q30" s="100">
        <v>10</v>
      </c>
      <c r="R30" s="6"/>
      <c r="S30" s="6"/>
      <c r="T30" s="156"/>
      <c r="U30" s="6"/>
    </row>
    <row r="31" spans="1:21" customFormat="1">
      <c r="A31" s="163" t="s">
        <v>2470</v>
      </c>
      <c r="B31" s="100">
        <v>1.56</v>
      </c>
      <c r="C31" s="100">
        <v>2.73</v>
      </c>
      <c r="D31" s="100">
        <v>0.85</v>
      </c>
      <c r="E31" s="100">
        <v>4.62</v>
      </c>
      <c r="F31" s="100">
        <v>3.16</v>
      </c>
      <c r="G31" s="100">
        <v>11.31</v>
      </c>
      <c r="H31" s="100">
        <v>4.2699999999999996</v>
      </c>
      <c r="I31" s="100">
        <v>4.84</v>
      </c>
      <c r="J31" s="100">
        <v>0.41</v>
      </c>
      <c r="K31" s="100">
        <v>339.99</v>
      </c>
      <c r="L31" s="100">
        <v>24.77</v>
      </c>
      <c r="M31" s="100">
        <v>98.41</v>
      </c>
      <c r="N31" s="100">
        <v>2.5</v>
      </c>
      <c r="O31" s="100">
        <v>0.2</v>
      </c>
      <c r="P31" s="100">
        <v>0.17</v>
      </c>
      <c r="Q31" s="100">
        <v>10</v>
      </c>
      <c r="R31" s="6"/>
      <c r="S31" s="6"/>
      <c r="T31" s="156"/>
      <c r="U31" s="6"/>
    </row>
    <row r="32" spans="1:21" customFormat="1">
      <c r="A32" s="163" t="s">
        <v>2471</v>
      </c>
      <c r="B32" s="100">
        <v>1.82</v>
      </c>
      <c r="C32" s="100">
        <v>3.32</v>
      </c>
      <c r="D32" s="100">
        <v>1.59</v>
      </c>
      <c r="E32" s="100">
        <v>4.78</v>
      </c>
      <c r="F32" s="100">
        <v>2.8</v>
      </c>
      <c r="G32" s="100">
        <v>10.76</v>
      </c>
      <c r="H32" s="100">
        <v>4.59</v>
      </c>
      <c r="I32" s="100">
        <v>4.71</v>
      </c>
      <c r="J32" s="100">
        <v>0.46</v>
      </c>
      <c r="K32" s="100">
        <v>30.86</v>
      </c>
      <c r="L32" s="100">
        <v>24.75</v>
      </c>
      <c r="M32" s="100">
        <v>98.44</v>
      </c>
      <c r="N32" s="100">
        <v>3.4</v>
      </c>
      <c r="O32" s="100">
        <v>0.2</v>
      </c>
      <c r="P32" s="100">
        <v>0.19</v>
      </c>
      <c r="Q32" s="100">
        <v>10</v>
      </c>
      <c r="R32" s="6"/>
      <c r="S32" s="6"/>
      <c r="T32" s="156"/>
      <c r="U32" s="6"/>
    </row>
    <row r="33" spans="1:21" customFormat="1">
      <c r="A33" s="163" t="s">
        <v>2472</v>
      </c>
      <c r="B33" s="100">
        <v>1.62</v>
      </c>
      <c r="C33" s="100">
        <v>2.78</v>
      </c>
      <c r="D33" s="100">
        <v>0.86</v>
      </c>
      <c r="E33" s="100">
        <v>4.79</v>
      </c>
      <c r="F33" s="100">
        <v>3.32</v>
      </c>
      <c r="G33" s="100">
        <v>8.24</v>
      </c>
      <c r="H33" s="100">
        <v>5.69</v>
      </c>
      <c r="I33" s="100">
        <v>4.6100000000000003</v>
      </c>
      <c r="J33" s="100">
        <v>0.6</v>
      </c>
      <c r="K33" s="100">
        <v>352.41</v>
      </c>
      <c r="L33" s="100">
        <v>24.8</v>
      </c>
      <c r="M33" s="100">
        <v>98.47</v>
      </c>
      <c r="N33" s="100">
        <v>4.7</v>
      </c>
      <c r="O33" s="100">
        <v>0</v>
      </c>
      <c r="P33" s="100">
        <v>0.17</v>
      </c>
      <c r="Q33" s="100">
        <v>10</v>
      </c>
      <c r="R33" s="6"/>
      <c r="S33" s="6"/>
      <c r="T33" s="156"/>
      <c r="U33" s="6"/>
    </row>
    <row r="34" spans="1:21" customFormat="1">
      <c r="A34" s="163" t="s">
        <v>2473</v>
      </c>
      <c r="B34" s="100">
        <v>1.58</v>
      </c>
      <c r="C34" s="100">
        <v>2.75</v>
      </c>
      <c r="D34" s="100">
        <v>0.86</v>
      </c>
      <c r="E34" s="100">
        <v>4.7699999999999996</v>
      </c>
      <c r="F34" s="100">
        <v>3.76</v>
      </c>
      <c r="G34" s="100">
        <v>8.24</v>
      </c>
      <c r="H34" s="100">
        <v>5.69</v>
      </c>
      <c r="I34" s="100">
        <v>4.57</v>
      </c>
      <c r="J34" s="100">
        <v>0.48</v>
      </c>
      <c r="K34" s="100">
        <v>347.97</v>
      </c>
      <c r="L34" s="100">
        <v>24.88</v>
      </c>
      <c r="M34" s="100">
        <v>98.37</v>
      </c>
      <c r="N34" s="100">
        <v>7.3</v>
      </c>
      <c r="O34" s="100">
        <v>0</v>
      </c>
      <c r="P34" s="100">
        <v>0.17</v>
      </c>
      <c r="Q34" s="100">
        <v>10</v>
      </c>
      <c r="R34" s="6"/>
      <c r="S34" s="6"/>
      <c r="T34" s="156"/>
      <c r="U34" s="6"/>
    </row>
    <row r="35" spans="1:21" customFormat="1">
      <c r="A35" s="163" t="s">
        <v>2474</v>
      </c>
      <c r="B35" s="100">
        <v>1.84</v>
      </c>
      <c r="C35" s="100">
        <v>3.38</v>
      </c>
      <c r="D35" s="100">
        <v>1.66</v>
      </c>
      <c r="E35" s="100">
        <v>4.8499999999999996</v>
      </c>
      <c r="F35" s="100">
        <v>2.0499999999999998</v>
      </c>
      <c r="G35" s="100">
        <v>8.24</v>
      </c>
      <c r="H35" s="100">
        <v>5.69</v>
      </c>
      <c r="I35" s="100">
        <v>4.4400000000000004</v>
      </c>
      <c r="J35" s="100">
        <v>0.36</v>
      </c>
      <c r="K35" s="100">
        <v>20.04</v>
      </c>
      <c r="L35" s="100">
        <v>24.94</v>
      </c>
      <c r="M35" s="100">
        <v>98.47</v>
      </c>
      <c r="N35" s="100">
        <v>9.6</v>
      </c>
      <c r="O35" s="100">
        <v>0</v>
      </c>
      <c r="P35" s="100">
        <v>0.18</v>
      </c>
      <c r="Q35" s="100">
        <v>10</v>
      </c>
      <c r="R35" s="6"/>
      <c r="S35" s="6"/>
      <c r="T35" s="156"/>
      <c r="U35" s="6"/>
    </row>
    <row r="36" spans="1:21" customFormat="1">
      <c r="A36" s="163" t="s">
        <v>2475</v>
      </c>
      <c r="B36" s="100">
        <v>2</v>
      </c>
      <c r="C36" s="100">
        <v>3.44</v>
      </c>
      <c r="D36" s="100">
        <v>1.53</v>
      </c>
      <c r="E36" s="100">
        <v>5.07</v>
      </c>
      <c r="F36" s="100">
        <v>3.23</v>
      </c>
      <c r="G36" s="100">
        <v>8.19</v>
      </c>
      <c r="H36" s="100">
        <v>5.56</v>
      </c>
      <c r="I36" s="100">
        <v>4.4400000000000004</v>
      </c>
      <c r="J36" s="100">
        <v>0.4</v>
      </c>
      <c r="K36" s="100">
        <v>31.72</v>
      </c>
      <c r="L36" s="100">
        <v>25.04</v>
      </c>
      <c r="M36" s="100">
        <v>98.59</v>
      </c>
      <c r="N36" s="100">
        <v>10.6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 customFormat="1">
      <c r="A37" s="163" t="s">
        <v>2476</v>
      </c>
      <c r="B37" s="100">
        <v>1.88</v>
      </c>
      <c r="C37" s="100">
        <v>3.29</v>
      </c>
      <c r="D37" s="100">
        <v>1.42</v>
      </c>
      <c r="E37" s="100">
        <v>5.18</v>
      </c>
      <c r="F37" s="100">
        <v>2.88</v>
      </c>
      <c r="G37" s="100">
        <v>7.94</v>
      </c>
      <c r="H37" s="100">
        <v>4.91</v>
      </c>
      <c r="I37" s="100">
        <v>4.54</v>
      </c>
      <c r="J37" s="100">
        <v>0.84</v>
      </c>
      <c r="K37" s="100">
        <v>36.119999999999997</v>
      </c>
      <c r="L37" s="100">
        <v>24.89</v>
      </c>
      <c r="M37" s="100">
        <v>97.71</v>
      </c>
      <c r="N37" s="100">
        <v>12.8</v>
      </c>
      <c r="O37" s="100">
        <v>0</v>
      </c>
      <c r="P37" s="100">
        <v>0.17</v>
      </c>
      <c r="Q37" s="100">
        <v>10</v>
      </c>
      <c r="R37" s="6"/>
      <c r="S37" s="6"/>
      <c r="T37" s="156"/>
      <c r="U37" s="6"/>
    </row>
    <row r="38" spans="1:21" customFormat="1">
      <c r="A38" s="163" t="s">
        <v>2477</v>
      </c>
      <c r="B38" s="100">
        <v>1.91</v>
      </c>
      <c r="C38" s="100">
        <v>3.33</v>
      </c>
      <c r="D38" s="100">
        <v>1.47</v>
      </c>
      <c r="E38" s="100">
        <v>4.84</v>
      </c>
      <c r="F38" s="100">
        <v>1.9</v>
      </c>
      <c r="G38" s="100">
        <v>7.94</v>
      </c>
      <c r="H38" s="100">
        <v>4.91</v>
      </c>
      <c r="I38" s="100">
        <v>4.5199999999999996</v>
      </c>
      <c r="J38" s="100">
        <v>0.63</v>
      </c>
      <c r="K38" s="100">
        <v>37.19</v>
      </c>
      <c r="L38" s="100">
        <v>24.71</v>
      </c>
      <c r="M38" s="100">
        <v>96.51</v>
      </c>
      <c r="N38" s="100">
        <v>12.5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163" t="s">
        <v>2478</v>
      </c>
      <c r="B39" s="100">
        <v>1.78</v>
      </c>
      <c r="C39" s="100">
        <v>3.03</v>
      </c>
      <c r="D39" s="100">
        <v>1.0900000000000001</v>
      </c>
      <c r="E39" s="100">
        <v>4.84</v>
      </c>
      <c r="F39" s="100">
        <v>3.62</v>
      </c>
      <c r="G39" s="100">
        <v>7.94</v>
      </c>
      <c r="H39" s="100">
        <v>4.91</v>
      </c>
      <c r="I39" s="100">
        <v>4.53</v>
      </c>
      <c r="J39" s="100">
        <v>0.5</v>
      </c>
      <c r="K39" s="100">
        <v>0.95</v>
      </c>
      <c r="L39" s="100">
        <v>24.74</v>
      </c>
      <c r="M39" s="100">
        <v>96.84</v>
      </c>
      <c r="N39" s="100">
        <v>42.4</v>
      </c>
      <c r="O39" s="100">
        <v>0</v>
      </c>
      <c r="P39" s="100">
        <v>0.16</v>
      </c>
      <c r="Q39" s="100">
        <v>10</v>
      </c>
      <c r="R39" s="6"/>
      <c r="S39" s="6"/>
      <c r="T39" s="156"/>
      <c r="U39" s="6"/>
    </row>
    <row r="40" spans="1:21" customFormat="1">
      <c r="A40" s="163" t="s">
        <v>2479</v>
      </c>
      <c r="B40" s="100">
        <v>2.36</v>
      </c>
      <c r="C40" s="100">
        <v>3.97</v>
      </c>
      <c r="D40" s="100">
        <v>1.99</v>
      </c>
      <c r="E40" s="100">
        <v>4.76</v>
      </c>
      <c r="F40" s="100">
        <v>3.45</v>
      </c>
      <c r="G40" s="100">
        <v>7.93</v>
      </c>
      <c r="H40" s="100">
        <v>4.63</v>
      </c>
      <c r="I40" s="100">
        <v>4.54</v>
      </c>
      <c r="J40" s="100">
        <v>0.6</v>
      </c>
      <c r="K40" s="100">
        <v>31.82</v>
      </c>
      <c r="L40" s="100">
        <v>24.9</v>
      </c>
      <c r="M40" s="100">
        <v>96.98</v>
      </c>
      <c r="N40" s="100">
        <v>64.099999999999994</v>
      </c>
      <c r="O40" s="100">
        <v>0</v>
      </c>
      <c r="P40" s="100">
        <v>0.17</v>
      </c>
      <c r="Q40" s="100">
        <v>10</v>
      </c>
      <c r="R40" s="6"/>
      <c r="S40" s="6"/>
      <c r="T40" s="156"/>
      <c r="U40" s="6"/>
    </row>
    <row r="41" spans="1:21" customFormat="1">
      <c r="A41" s="163" t="s">
        <v>2480</v>
      </c>
      <c r="B41" s="100">
        <v>1.9</v>
      </c>
      <c r="C41" s="100">
        <v>3.19</v>
      </c>
      <c r="D41" s="100">
        <v>1.2</v>
      </c>
      <c r="E41" s="100">
        <v>5.17</v>
      </c>
      <c r="F41" s="100">
        <v>1.84</v>
      </c>
      <c r="G41" s="100">
        <v>7.86</v>
      </c>
      <c r="H41" s="100">
        <v>3.68</v>
      </c>
      <c r="I41" s="100">
        <v>4.46</v>
      </c>
      <c r="J41" s="100">
        <v>0.45</v>
      </c>
      <c r="K41" s="100">
        <v>10.51</v>
      </c>
      <c r="L41" s="100">
        <v>25.01</v>
      </c>
      <c r="M41" s="100">
        <v>95.86</v>
      </c>
      <c r="N41" s="100">
        <v>78.400000000000006</v>
      </c>
      <c r="O41" s="100">
        <v>0</v>
      </c>
      <c r="P41" s="100">
        <v>0.19</v>
      </c>
      <c r="Q41" s="100">
        <v>10</v>
      </c>
      <c r="R41" s="6"/>
      <c r="S41" s="6"/>
      <c r="T41" s="156"/>
      <c r="U41" s="6"/>
    </row>
    <row r="42" spans="1:21" customFormat="1">
      <c r="A42" s="163" t="s">
        <v>2481</v>
      </c>
      <c r="B42" s="100">
        <v>2.1800000000000002</v>
      </c>
      <c r="C42" s="100">
        <v>3.73</v>
      </c>
      <c r="D42" s="100">
        <v>1.82</v>
      </c>
      <c r="E42" s="100">
        <v>5.66</v>
      </c>
      <c r="F42" s="100">
        <v>2.62</v>
      </c>
      <c r="G42" s="100">
        <v>7.86</v>
      </c>
      <c r="H42" s="100">
        <v>3.68</v>
      </c>
      <c r="I42" s="100">
        <v>4.49</v>
      </c>
      <c r="J42" s="100">
        <v>0.47</v>
      </c>
      <c r="K42" s="100">
        <v>315.57</v>
      </c>
      <c r="L42" s="100">
        <v>25.33</v>
      </c>
      <c r="M42" s="100">
        <v>95.75</v>
      </c>
      <c r="N42" s="100">
        <v>95.6</v>
      </c>
      <c r="O42" s="100">
        <v>0</v>
      </c>
      <c r="P42" s="100">
        <v>0.17</v>
      </c>
      <c r="Q42" s="100">
        <v>10</v>
      </c>
      <c r="R42" s="6"/>
      <c r="S42" s="6"/>
      <c r="T42" s="156"/>
      <c r="U42" s="6"/>
    </row>
    <row r="43" spans="1:21" customFormat="1">
      <c r="A43" s="163" t="s">
        <v>2482</v>
      </c>
      <c r="B43" s="100">
        <v>2.27</v>
      </c>
      <c r="C43" s="100">
        <v>3.85</v>
      </c>
      <c r="D43" s="100">
        <v>1.89</v>
      </c>
      <c r="E43" s="100">
        <v>6.24</v>
      </c>
      <c r="F43" s="100">
        <v>2.66</v>
      </c>
      <c r="G43" s="100">
        <v>7.86</v>
      </c>
      <c r="H43" s="100">
        <v>3.68</v>
      </c>
      <c r="I43" s="100">
        <v>4.57</v>
      </c>
      <c r="J43" s="100">
        <v>0.28000000000000003</v>
      </c>
      <c r="K43" s="100">
        <v>317.27</v>
      </c>
      <c r="L43" s="100">
        <v>25.76</v>
      </c>
      <c r="M43" s="100">
        <v>95.17</v>
      </c>
      <c r="N43" s="100">
        <v>113.7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163" t="s">
        <v>2483</v>
      </c>
      <c r="B44" s="100">
        <v>2.2200000000000002</v>
      </c>
      <c r="C44" s="100">
        <v>3.77</v>
      </c>
      <c r="D44" s="100">
        <v>1.82</v>
      </c>
      <c r="E44" s="100">
        <v>5.17</v>
      </c>
      <c r="F44" s="100">
        <v>1.86</v>
      </c>
      <c r="G44" s="100">
        <v>11.08</v>
      </c>
      <c r="H44" s="100">
        <v>4.59</v>
      </c>
      <c r="I44" s="100">
        <v>4.6399999999999997</v>
      </c>
      <c r="J44" s="100">
        <v>0.65</v>
      </c>
      <c r="K44" s="100">
        <v>307.26</v>
      </c>
      <c r="L44" s="100">
        <v>26.08</v>
      </c>
      <c r="M44" s="100">
        <v>92.59</v>
      </c>
      <c r="N44" s="100">
        <v>150.19999999999999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163" t="s">
        <v>2484</v>
      </c>
      <c r="B45" s="100">
        <v>2.09</v>
      </c>
      <c r="C45" s="100">
        <v>3.41</v>
      </c>
      <c r="D45" s="100">
        <v>1.34</v>
      </c>
      <c r="E45" s="100">
        <v>4.91</v>
      </c>
      <c r="F45" s="100">
        <v>2.48</v>
      </c>
      <c r="G45" s="100">
        <v>25.98</v>
      </c>
      <c r="H45" s="100">
        <v>7.48</v>
      </c>
      <c r="I45" s="100">
        <v>4.57</v>
      </c>
      <c r="J45" s="100">
        <v>0.75</v>
      </c>
      <c r="K45" s="100">
        <v>296.99</v>
      </c>
      <c r="L45" s="100">
        <v>26.48</v>
      </c>
      <c r="M45" s="100">
        <v>90.11</v>
      </c>
      <c r="N45" s="100">
        <v>200.6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163" t="s">
        <v>2485</v>
      </c>
      <c r="B46" s="100">
        <v>2.0099999999999998</v>
      </c>
      <c r="C46" s="100">
        <v>3.28</v>
      </c>
      <c r="D46" s="100">
        <v>1.2</v>
      </c>
      <c r="E46" s="100">
        <v>4.5999999999999996</v>
      </c>
      <c r="F46" s="100">
        <v>2.79</v>
      </c>
      <c r="G46" s="100">
        <v>25.98</v>
      </c>
      <c r="H46" s="100">
        <v>7.48</v>
      </c>
      <c r="I46" s="100">
        <v>4.7300000000000004</v>
      </c>
      <c r="J46" s="100">
        <v>0.89</v>
      </c>
      <c r="K46" s="100">
        <v>321.99</v>
      </c>
      <c r="L46" s="100">
        <v>27.17</v>
      </c>
      <c r="M46" s="100">
        <v>86.59</v>
      </c>
      <c r="N46" s="100">
        <v>219.8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163" t="s">
        <v>2486</v>
      </c>
      <c r="B47" s="100">
        <v>2.65</v>
      </c>
      <c r="C47" s="100">
        <v>4.34</v>
      </c>
      <c r="D47" s="100">
        <v>2.25</v>
      </c>
      <c r="E47" s="100">
        <v>4.95</v>
      </c>
      <c r="F47" s="100">
        <v>1.98</v>
      </c>
      <c r="G47" s="100">
        <v>25.98</v>
      </c>
      <c r="H47" s="100">
        <v>7.48</v>
      </c>
      <c r="I47" s="100">
        <v>4.6900000000000004</v>
      </c>
      <c r="J47" s="100">
        <v>0.87</v>
      </c>
      <c r="K47" s="100">
        <v>311.47000000000003</v>
      </c>
      <c r="L47" s="100">
        <v>27.62</v>
      </c>
      <c r="M47" s="100">
        <v>84.32</v>
      </c>
      <c r="N47" s="100">
        <v>223.1</v>
      </c>
      <c r="O47" s="100">
        <v>0</v>
      </c>
      <c r="P47" s="100">
        <v>0.21</v>
      </c>
      <c r="Q47" s="100">
        <v>10</v>
      </c>
      <c r="R47" s="6"/>
      <c r="S47" s="6"/>
      <c r="T47" s="156"/>
      <c r="U47" s="6"/>
    </row>
    <row r="48" spans="1:21" customFormat="1">
      <c r="A48" s="163" t="s">
        <v>2487</v>
      </c>
      <c r="B48" s="100">
        <v>2.64</v>
      </c>
      <c r="C48" s="100">
        <v>4.58</v>
      </c>
      <c r="D48" s="100">
        <v>2.74</v>
      </c>
      <c r="E48" s="100">
        <v>4.8600000000000003</v>
      </c>
      <c r="F48" s="100">
        <v>1.95</v>
      </c>
      <c r="G48" s="100">
        <v>26.84</v>
      </c>
      <c r="H48" s="100">
        <v>7.51</v>
      </c>
      <c r="I48" s="100">
        <v>4.6500000000000004</v>
      </c>
      <c r="J48" s="100">
        <v>0.82</v>
      </c>
      <c r="K48" s="100">
        <v>297.27</v>
      </c>
      <c r="L48" s="100">
        <v>28.07</v>
      </c>
      <c r="M48" s="100">
        <v>83.5</v>
      </c>
      <c r="N48" s="100">
        <v>246.8</v>
      </c>
      <c r="O48" s="100">
        <v>0</v>
      </c>
      <c r="P48" s="100">
        <v>0.24</v>
      </c>
      <c r="Q48" s="100">
        <v>10</v>
      </c>
      <c r="R48" s="6"/>
      <c r="S48" s="6"/>
      <c r="T48" s="156"/>
      <c r="U48" s="6"/>
    </row>
    <row r="49" spans="1:21" customFormat="1">
      <c r="A49" s="163" t="s">
        <v>2488</v>
      </c>
      <c r="B49" s="100">
        <v>2.11</v>
      </c>
      <c r="C49" s="100">
        <v>3.58</v>
      </c>
      <c r="D49" s="100">
        <v>1.63</v>
      </c>
      <c r="E49" s="100">
        <v>4.7699999999999996</v>
      </c>
      <c r="F49" s="100">
        <v>1.51</v>
      </c>
      <c r="G49" s="100">
        <v>30.8</v>
      </c>
      <c r="H49" s="100">
        <v>7.6</v>
      </c>
      <c r="I49" s="100">
        <v>4.8</v>
      </c>
      <c r="J49" s="100">
        <v>0.7</v>
      </c>
      <c r="K49" s="100">
        <v>345.55</v>
      </c>
      <c r="L49" s="100">
        <v>28.62</v>
      </c>
      <c r="M49" s="100">
        <v>78.510000000000005</v>
      </c>
      <c r="N49" s="100">
        <v>253.7</v>
      </c>
      <c r="O49" s="100">
        <v>0</v>
      </c>
      <c r="P49" s="100">
        <v>0.25</v>
      </c>
      <c r="Q49" s="100">
        <v>10</v>
      </c>
      <c r="R49" s="6"/>
      <c r="S49" s="6"/>
      <c r="T49" s="156"/>
      <c r="U49" s="6"/>
    </row>
    <row r="50" spans="1:21" customFormat="1">
      <c r="A50" s="163" t="s">
        <v>2489</v>
      </c>
      <c r="B50" s="100">
        <v>2.2200000000000002</v>
      </c>
      <c r="C50" s="100">
        <v>3.62</v>
      </c>
      <c r="D50" s="100">
        <v>1.54</v>
      </c>
      <c r="E50" s="100">
        <v>5.81</v>
      </c>
      <c r="F50" s="100">
        <v>1.95</v>
      </c>
      <c r="G50" s="100">
        <v>30.8</v>
      </c>
      <c r="H50" s="100">
        <v>7.6</v>
      </c>
      <c r="I50" s="100">
        <v>4.96</v>
      </c>
      <c r="J50" s="100">
        <v>0.75</v>
      </c>
      <c r="K50" s="100">
        <v>27.65</v>
      </c>
      <c r="L50" s="100">
        <v>28.9</v>
      </c>
      <c r="M50" s="100">
        <v>76.19</v>
      </c>
      <c r="N50" s="100">
        <v>255.3</v>
      </c>
      <c r="O50" s="100">
        <v>0</v>
      </c>
      <c r="P50" s="100">
        <v>0.25</v>
      </c>
      <c r="Q50" s="100">
        <v>10</v>
      </c>
      <c r="R50" s="6"/>
      <c r="S50" s="6"/>
      <c r="T50" s="156"/>
      <c r="U50" s="6"/>
    </row>
    <row r="51" spans="1:21" customFormat="1">
      <c r="A51" s="163" t="s">
        <v>2490</v>
      </c>
      <c r="B51" s="100">
        <v>1.7</v>
      </c>
      <c r="C51" s="100">
        <v>2.85</v>
      </c>
      <c r="D51" s="100">
        <v>0.87</v>
      </c>
      <c r="E51" s="100">
        <v>5.94</v>
      </c>
      <c r="F51" s="100">
        <v>1.77</v>
      </c>
      <c r="G51" s="100">
        <v>30.8</v>
      </c>
      <c r="H51" s="100">
        <v>7.6</v>
      </c>
      <c r="I51" s="100">
        <v>4.87</v>
      </c>
      <c r="J51" s="100">
        <v>0.5</v>
      </c>
      <c r="K51" s="100">
        <v>349.52</v>
      </c>
      <c r="L51" s="100">
        <v>29.2</v>
      </c>
      <c r="M51" s="100">
        <v>74.510000000000005</v>
      </c>
      <c r="N51" s="100">
        <v>248.4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163" t="s">
        <v>2491</v>
      </c>
      <c r="B52" s="100">
        <v>1.99</v>
      </c>
      <c r="C52" s="100">
        <v>3.55</v>
      </c>
      <c r="D52" s="100">
        <v>1.76</v>
      </c>
      <c r="E52" s="100">
        <v>5.99</v>
      </c>
      <c r="F52" s="100">
        <v>2.4700000000000002</v>
      </c>
      <c r="G52" s="100">
        <v>31.07</v>
      </c>
      <c r="H52" s="100">
        <v>7.68</v>
      </c>
      <c r="I52" s="100">
        <v>4.9800000000000004</v>
      </c>
      <c r="J52" s="100">
        <v>0.57999999999999996</v>
      </c>
      <c r="K52" s="100">
        <v>32.590000000000003</v>
      </c>
      <c r="L52" s="100">
        <v>29.19</v>
      </c>
      <c r="M52" s="100">
        <v>73.41</v>
      </c>
      <c r="N52" s="100">
        <v>248.5</v>
      </c>
      <c r="O52" s="100">
        <v>0</v>
      </c>
      <c r="P52" s="100">
        <v>0.25</v>
      </c>
      <c r="Q52" s="100">
        <v>10</v>
      </c>
      <c r="R52" s="6"/>
      <c r="S52" s="6"/>
      <c r="T52" s="156"/>
      <c r="U52" s="6"/>
    </row>
    <row r="53" spans="1:21" customFormat="1">
      <c r="A53" s="163" t="s">
        <v>2492</v>
      </c>
      <c r="B53" s="100">
        <v>1.41</v>
      </c>
      <c r="C53" s="100">
        <v>2.41</v>
      </c>
      <c r="D53" s="100">
        <v>0.47</v>
      </c>
      <c r="E53" s="100">
        <v>5.95</v>
      </c>
      <c r="F53" s="100">
        <v>12.98</v>
      </c>
      <c r="G53" s="100">
        <v>32.31</v>
      </c>
      <c r="H53" s="100">
        <v>8.0500000000000007</v>
      </c>
      <c r="I53" s="100">
        <v>4.9400000000000004</v>
      </c>
      <c r="J53" s="100">
        <v>0.46</v>
      </c>
      <c r="K53" s="100">
        <v>355.36</v>
      </c>
      <c r="L53" s="100">
        <v>29.74</v>
      </c>
      <c r="M53" s="100">
        <v>72.03</v>
      </c>
      <c r="N53" s="100">
        <v>272.5</v>
      </c>
      <c r="O53" s="100">
        <v>0</v>
      </c>
      <c r="P53" s="100">
        <v>0.26</v>
      </c>
      <c r="Q53" s="100">
        <v>10</v>
      </c>
      <c r="R53" s="6"/>
      <c r="S53" s="6"/>
      <c r="T53" s="156"/>
      <c r="U53" s="6"/>
    </row>
    <row r="54" spans="1:21" customFormat="1">
      <c r="A54" s="163" t="s">
        <v>2493</v>
      </c>
      <c r="B54" s="100">
        <v>28.72</v>
      </c>
      <c r="C54" s="100">
        <v>30.73</v>
      </c>
      <c r="D54" s="100">
        <v>4.58</v>
      </c>
      <c r="E54" s="100">
        <v>5.47</v>
      </c>
      <c r="F54" s="100">
        <v>22.22</v>
      </c>
      <c r="G54" s="100">
        <v>32.31</v>
      </c>
      <c r="H54" s="100">
        <v>8.0500000000000007</v>
      </c>
      <c r="I54" s="100">
        <v>4.83</v>
      </c>
      <c r="J54" s="100">
        <v>0.4</v>
      </c>
      <c r="K54" s="100">
        <v>325.45999999999998</v>
      </c>
      <c r="L54" s="100">
        <v>30.29</v>
      </c>
      <c r="M54" s="100">
        <v>69.930000000000007</v>
      </c>
      <c r="N54" s="100">
        <v>305.39999999999998</v>
      </c>
      <c r="O54" s="100">
        <v>0</v>
      </c>
      <c r="P54" s="100">
        <v>0.22</v>
      </c>
      <c r="Q54" s="100">
        <v>10</v>
      </c>
      <c r="R54" s="6"/>
      <c r="S54" s="6"/>
      <c r="T54" s="156"/>
      <c r="U54" s="6"/>
    </row>
    <row r="55" spans="1:21" customFormat="1">
      <c r="A55" s="163" t="s">
        <v>2494</v>
      </c>
      <c r="B55" s="100">
        <v>3.44</v>
      </c>
      <c r="C55" s="100">
        <v>4.54</v>
      </c>
      <c r="D55" s="100">
        <v>0.31</v>
      </c>
      <c r="E55" s="100">
        <v>5.72</v>
      </c>
      <c r="F55" s="100">
        <v>16.829999999999998</v>
      </c>
      <c r="G55" s="100">
        <v>32.31</v>
      </c>
      <c r="H55" s="100">
        <v>8.0500000000000007</v>
      </c>
      <c r="I55" s="100">
        <v>4.57</v>
      </c>
      <c r="J55" s="100">
        <v>0.28000000000000003</v>
      </c>
      <c r="K55" s="100">
        <v>66.2</v>
      </c>
      <c r="L55" s="100">
        <v>30.75</v>
      </c>
      <c r="M55" s="100">
        <v>67.34</v>
      </c>
      <c r="N55" s="100">
        <v>322.7</v>
      </c>
      <c r="O55" s="100">
        <v>0.2</v>
      </c>
      <c r="P55" s="100">
        <v>0.22</v>
      </c>
      <c r="Q55" s="100">
        <v>10</v>
      </c>
      <c r="R55" s="6"/>
      <c r="S55" s="6"/>
      <c r="T55" s="156"/>
      <c r="U55" s="6"/>
    </row>
    <row r="56" spans="1:21" customFormat="1">
      <c r="A56" s="163" t="s">
        <v>2495</v>
      </c>
      <c r="B56" s="100">
        <v>2.0299999999999998</v>
      </c>
      <c r="C56" s="100">
        <v>2.96</v>
      </c>
      <c r="D56" s="100">
        <v>0.14000000000000001</v>
      </c>
      <c r="E56" s="100">
        <v>3.61</v>
      </c>
      <c r="F56" s="100">
        <v>17.2</v>
      </c>
      <c r="G56" s="100">
        <v>32.31</v>
      </c>
      <c r="H56" s="100">
        <v>8.0500000000000007</v>
      </c>
      <c r="I56" s="100">
        <v>5.0999999999999996</v>
      </c>
      <c r="J56" s="100">
        <v>0.44</v>
      </c>
      <c r="K56" s="100">
        <v>318</v>
      </c>
      <c r="L56" s="100">
        <v>30.29</v>
      </c>
      <c r="M56" s="100">
        <v>69.58</v>
      </c>
      <c r="N56" s="100">
        <v>239.8</v>
      </c>
      <c r="O56" s="100">
        <v>0</v>
      </c>
      <c r="P56" s="100">
        <v>0.22</v>
      </c>
      <c r="Q56" s="100">
        <v>10</v>
      </c>
      <c r="R56" s="6"/>
      <c r="S56" s="6"/>
      <c r="T56" s="156"/>
      <c r="U56" s="6"/>
    </row>
    <row r="57" spans="1:21" customFormat="1">
      <c r="A57" s="163" t="s">
        <v>2496</v>
      </c>
      <c r="B57" s="100">
        <v>1.42</v>
      </c>
      <c r="C57" s="100">
        <v>1.8</v>
      </c>
      <c r="D57" s="100">
        <v>0.73</v>
      </c>
      <c r="E57" s="100">
        <v>4.4400000000000004</v>
      </c>
      <c r="F57" s="100">
        <v>30.8</v>
      </c>
      <c r="G57" s="100">
        <v>32.31</v>
      </c>
      <c r="H57" s="100">
        <v>8.0500000000000007</v>
      </c>
      <c r="I57" s="100">
        <v>8.7200000000000006</v>
      </c>
      <c r="J57" s="100">
        <v>0.21</v>
      </c>
      <c r="K57" s="100">
        <v>294.77999999999997</v>
      </c>
      <c r="L57" s="100">
        <v>30.51</v>
      </c>
      <c r="M57" s="100">
        <v>69.53</v>
      </c>
      <c r="N57" s="100">
        <v>296.39999999999998</v>
      </c>
      <c r="O57" s="100">
        <v>0</v>
      </c>
      <c r="P57" s="100">
        <v>0.23</v>
      </c>
      <c r="Q57" s="100">
        <v>10</v>
      </c>
      <c r="R57" s="6"/>
      <c r="S57" s="6"/>
      <c r="T57" s="156"/>
      <c r="U57" s="6"/>
    </row>
    <row r="58" spans="1:21" customFormat="1">
      <c r="A58" s="163" t="s">
        <v>2497</v>
      </c>
      <c r="B58" s="100">
        <v>1.25</v>
      </c>
      <c r="C58" s="100">
        <v>0.08</v>
      </c>
      <c r="D58" s="100">
        <v>2.12</v>
      </c>
      <c r="E58" s="100">
        <v>112</v>
      </c>
      <c r="F58" s="100">
        <v>33.18</v>
      </c>
      <c r="G58" s="100">
        <v>32.31</v>
      </c>
      <c r="H58" s="100">
        <v>8.0500000000000007</v>
      </c>
      <c r="I58" s="100">
        <v>10.27</v>
      </c>
      <c r="J58" s="100">
        <v>0.41</v>
      </c>
      <c r="K58" s="100">
        <v>299.77999999999997</v>
      </c>
      <c r="L58" s="100">
        <v>30.42</v>
      </c>
      <c r="M58" s="100">
        <v>71.13</v>
      </c>
      <c r="N58" s="100">
        <v>272.39999999999998</v>
      </c>
      <c r="O58" s="100">
        <v>0</v>
      </c>
      <c r="P58" s="100">
        <v>0.24</v>
      </c>
      <c r="Q58" s="100">
        <v>10</v>
      </c>
      <c r="R58" s="6"/>
      <c r="S58" s="6"/>
      <c r="T58" s="156"/>
      <c r="U58" s="6"/>
    </row>
    <row r="59" spans="1:21" customFormat="1">
      <c r="A59" s="163" t="s">
        <v>2498</v>
      </c>
      <c r="B59" s="100">
        <v>1.26</v>
      </c>
      <c r="C59" s="100">
        <v>0.31</v>
      </c>
      <c r="D59" s="100">
        <v>2.16</v>
      </c>
      <c r="E59" s="100">
        <v>525.07000000000005</v>
      </c>
      <c r="F59" s="100">
        <v>25.37</v>
      </c>
      <c r="G59" s="100">
        <v>32.31</v>
      </c>
      <c r="H59" s="100">
        <v>8.0500000000000007</v>
      </c>
      <c r="I59" s="100">
        <v>8.4499999999999993</v>
      </c>
      <c r="J59" s="100">
        <v>0.93</v>
      </c>
      <c r="K59" s="100">
        <v>318.88</v>
      </c>
      <c r="L59" s="100">
        <v>30.5</v>
      </c>
      <c r="M59" s="100">
        <v>69.39</v>
      </c>
      <c r="N59" s="100">
        <v>491.4</v>
      </c>
      <c r="O59" s="100">
        <v>0</v>
      </c>
      <c r="P59" s="100">
        <v>0.23</v>
      </c>
      <c r="Q59" s="100">
        <v>10</v>
      </c>
      <c r="R59" s="6"/>
      <c r="S59" s="6"/>
      <c r="T59" s="156"/>
      <c r="U59" s="6"/>
    </row>
    <row r="60" spans="1:21" customFormat="1">
      <c r="A60" s="163" t="s">
        <v>2499</v>
      </c>
      <c r="B60" s="100">
        <v>-0.05</v>
      </c>
      <c r="C60" s="100">
        <v>0.06</v>
      </c>
      <c r="D60" s="100">
        <v>0</v>
      </c>
      <c r="E60" s="100">
        <v>142.99</v>
      </c>
      <c r="F60" s="100">
        <v>20.34</v>
      </c>
      <c r="G60" s="135" t="s">
        <v>12</v>
      </c>
      <c r="H60" s="135" t="s">
        <v>12</v>
      </c>
      <c r="I60" s="100">
        <v>5.76</v>
      </c>
      <c r="J60" s="100">
        <v>0.99</v>
      </c>
      <c r="K60" s="100">
        <v>327.24</v>
      </c>
      <c r="L60" s="100">
        <v>30.77</v>
      </c>
      <c r="M60" s="100">
        <v>68.040000000000006</v>
      </c>
      <c r="N60" s="100">
        <v>423</v>
      </c>
      <c r="O60" s="100">
        <v>0</v>
      </c>
      <c r="P60" s="100">
        <v>0.23</v>
      </c>
      <c r="Q60" s="100">
        <v>10</v>
      </c>
      <c r="R60" s="6"/>
      <c r="S60" s="6"/>
      <c r="T60" s="156"/>
      <c r="U60" s="6"/>
    </row>
    <row r="61" spans="1:21" customFormat="1">
      <c r="A61" s="163" t="s">
        <v>2500</v>
      </c>
      <c r="B61" s="100">
        <v>-0.16</v>
      </c>
      <c r="C61" s="100">
        <v>0.12</v>
      </c>
      <c r="D61" s="100">
        <v>-0.04</v>
      </c>
      <c r="E61" s="100">
        <v>94.55</v>
      </c>
      <c r="F61" s="100">
        <v>18.71</v>
      </c>
      <c r="G61" s="135" t="s">
        <v>12</v>
      </c>
      <c r="H61" s="135" t="s">
        <v>12</v>
      </c>
      <c r="I61" s="100">
        <v>6.56</v>
      </c>
      <c r="J61" s="100">
        <v>0.93</v>
      </c>
      <c r="K61" s="100">
        <v>286.10000000000002</v>
      </c>
      <c r="L61" s="100">
        <v>30.53</v>
      </c>
      <c r="M61" s="100">
        <v>70.59</v>
      </c>
      <c r="N61" s="100">
        <v>280.2</v>
      </c>
      <c r="O61" s="100">
        <v>0</v>
      </c>
      <c r="P61" s="100">
        <v>0.23</v>
      </c>
      <c r="Q61" s="100">
        <v>10</v>
      </c>
      <c r="R61" s="6"/>
      <c r="S61" s="6"/>
      <c r="T61" s="156"/>
      <c r="U61" s="6"/>
    </row>
    <row r="62" spans="1:21" customFormat="1">
      <c r="A62" s="163" t="s">
        <v>2501</v>
      </c>
      <c r="B62" s="100">
        <v>-0.05</v>
      </c>
      <c r="C62" s="100">
        <v>0.35</v>
      </c>
      <c r="D62" s="100">
        <v>0.3</v>
      </c>
      <c r="E62" s="100">
        <v>61.5</v>
      </c>
      <c r="F62" s="100">
        <v>23.73</v>
      </c>
      <c r="G62" s="135" t="s">
        <v>12</v>
      </c>
      <c r="H62" s="135" t="s">
        <v>12</v>
      </c>
      <c r="I62" s="100">
        <v>7.99</v>
      </c>
      <c r="J62" s="100">
        <v>0.78</v>
      </c>
      <c r="K62" s="100">
        <v>288.91000000000003</v>
      </c>
      <c r="L62" s="100">
        <v>30.21</v>
      </c>
      <c r="M62" s="100">
        <v>71.73</v>
      </c>
      <c r="N62" s="100">
        <v>189</v>
      </c>
      <c r="O62" s="100">
        <v>0</v>
      </c>
      <c r="P62" s="100">
        <v>0.21</v>
      </c>
      <c r="Q62" s="100">
        <v>10</v>
      </c>
      <c r="R62" s="6"/>
      <c r="S62" s="6"/>
      <c r="T62" s="156"/>
      <c r="U62" s="6"/>
    </row>
    <row r="63" spans="1:21" customFormat="1">
      <c r="A63" s="163" t="s">
        <v>2502</v>
      </c>
      <c r="B63" s="100">
        <v>-0.08</v>
      </c>
      <c r="C63" s="100">
        <v>0.09</v>
      </c>
      <c r="D63" s="100">
        <v>0.02</v>
      </c>
      <c r="E63" s="100">
        <v>10.6</v>
      </c>
      <c r="F63" s="100">
        <v>25.64</v>
      </c>
      <c r="G63" s="135" t="s">
        <v>12</v>
      </c>
      <c r="H63" s="135" t="s">
        <v>12</v>
      </c>
      <c r="I63" s="100">
        <v>8.8800000000000008</v>
      </c>
      <c r="J63" s="100">
        <v>0.92</v>
      </c>
      <c r="K63" s="100">
        <v>302.95999999999998</v>
      </c>
      <c r="L63" s="100">
        <v>30.23</v>
      </c>
      <c r="M63" s="100">
        <v>71.3</v>
      </c>
      <c r="N63" s="100">
        <v>244</v>
      </c>
      <c r="O63" s="100">
        <v>0</v>
      </c>
      <c r="P63" s="100">
        <v>0.2</v>
      </c>
      <c r="Q63" s="100">
        <v>10</v>
      </c>
      <c r="R63" s="6"/>
      <c r="S63" s="6"/>
      <c r="T63" s="156"/>
      <c r="U63" s="6"/>
    </row>
    <row r="64" spans="1:21" customFormat="1">
      <c r="A64" s="163" t="s">
        <v>2503</v>
      </c>
      <c r="B64" s="100">
        <v>-0.04</v>
      </c>
      <c r="C64" s="100">
        <v>0.04</v>
      </c>
      <c r="D64" s="100">
        <v>0.04</v>
      </c>
      <c r="E64" s="100">
        <v>5.91</v>
      </c>
      <c r="F64" s="100">
        <v>26.14</v>
      </c>
      <c r="G64" s="100">
        <v>15.77</v>
      </c>
      <c r="H64" s="135" t="s">
        <v>12</v>
      </c>
      <c r="I64" s="100">
        <v>7.95</v>
      </c>
      <c r="J64" s="100">
        <v>0.85</v>
      </c>
      <c r="K64" s="100">
        <v>286.08</v>
      </c>
      <c r="L64" s="100">
        <v>30.15</v>
      </c>
      <c r="M64" s="100">
        <v>72.16</v>
      </c>
      <c r="N64" s="100">
        <v>185.4</v>
      </c>
      <c r="O64" s="100">
        <v>0</v>
      </c>
      <c r="P64" s="100">
        <v>0.19</v>
      </c>
      <c r="Q64" s="100">
        <v>10</v>
      </c>
      <c r="R64" s="6"/>
      <c r="S64" s="6"/>
      <c r="T64" s="156"/>
      <c r="U64" s="6"/>
    </row>
    <row r="65" spans="1:21" customFormat="1">
      <c r="A65" s="163" t="s">
        <v>2504</v>
      </c>
      <c r="B65" s="100">
        <v>8.98</v>
      </c>
      <c r="C65" s="100">
        <v>0.81</v>
      </c>
      <c r="D65" s="100">
        <v>10.71</v>
      </c>
      <c r="E65" s="100">
        <v>2.75</v>
      </c>
      <c r="F65" s="100">
        <v>28.56</v>
      </c>
      <c r="G65" s="100">
        <v>39.42</v>
      </c>
      <c r="H65" s="135" t="s">
        <v>12</v>
      </c>
      <c r="I65" s="100">
        <v>6.41</v>
      </c>
      <c r="J65" s="100">
        <v>0.68</v>
      </c>
      <c r="K65" s="100">
        <v>286.13</v>
      </c>
      <c r="L65" s="100">
        <v>30.34</v>
      </c>
      <c r="M65" s="100">
        <v>72.180000000000007</v>
      </c>
      <c r="N65" s="100">
        <v>220.3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163" t="s">
        <v>2505</v>
      </c>
      <c r="B66" s="100">
        <v>1.34</v>
      </c>
      <c r="C66" s="100">
        <v>1.21</v>
      </c>
      <c r="D66" s="100">
        <v>2.1800000000000002</v>
      </c>
      <c r="E66" s="100">
        <v>3.31</v>
      </c>
      <c r="F66" s="100">
        <v>28.98</v>
      </c>
      <c r="G66" s="100">
        <v>39.42</v>
      </c>
      <c r="H66" s="135" t="s">
        <v>12</v>
      </c>
      <c r="I66" s="100">
        <v>5.77</v>
      </c>
      <c r="J66" s="100">
        <v>0.76</v>
      </c>
      <c r="K66" s="100">
        <v>305.41000000000003</v>
      </c>
      <c r="L66" s="100">
        <v>30.47</v>
      </c>
      <c r="M66" s="100">
        <v>71.28</v>
      </c>
      <c r="N66" s="100">
        <v>201.8</v>
      </c>
      <c r="O66" s="100">
        <v>0</v>
      </c>
      <c r="P66" s="100">
        <v>0.18</v>
      </c>
      <c r="Q66" s="100">
        <v>10</v>
      </c>
      <c r="R66" s="6"/>
      <c r="S66" s="6"/>
      <c r="T66" s="156"/>
      <c r="U66" s="6"/>
    </row>
    <row r="67" spans="1:21" customFormat="1">
      <c r="A67" s="163" t="s">
        <v>2506</v>
      </c>
      <c r="B67" s="100">
        <v>1.48</v>
      </c>
      <c r="C67" s="100">
        <v>2.11</v>
      </c>
      <c r="D67" s="100">
        <v>2.29</v>
      </c>
      <c r="E67" s="100">
        <v>3.53</v>
      </c>
      <c r="F67" s="100">
        <v>24.53</v>
      </c>
      <c r="G67" s="100">
        <v>39.42</v>
      </c>
      <c r="H67" s="135" t="s">
        <v>12</v>
      </c>
      <c r="I67" s="100">
        <v>5.31</v>
      </c>
      <c r="J67" s="100">
        <v>0.64</v>
      </c>
      <c r="K67" s="100">
        <v>289.08999999999997</v>
      </c>
      <c r="L67" s="100">
        <v>30.5</v>
      </c>
      <c r="M67" s="100">
        <v>71.44</v>
      </c>
      <c r="N67" s="100">
        <v>186.1</v>
      </c>
      <c r="O67" s="100">
        <v>0</v>
      </c>
      <c r="P67" s="100">
        <v>0.18</v>
      </c>
      <c r="Q67" s="100">
        <v>0.33</v>
      </c>
      <c r="R67" s="6"/>
      <c r="S67" s="6"/>
      <c r="T67" s="156"/>
      <c r="U67" s="6"/>
    </row>
    <row r="68" spans="1:21" customFormat="1">
      <c r="A68" s="163" t="s">
        <v>2507</v>
      </c>
      <c r="B68" s="100">
        <v>1.04</v>
      </c>
      <c r="C68" s="100">
        <v>1.85</v>
      </c>
      <c r="D68" s="100">
        <v>1.86</v>
      </c>
      <c r="E68" s="100">
        <v>3.57</v>
      </c>
      <c r="F68" s="100">
        <v>19.79</v>
      </c>
      <c r="G68" s="100">
        <v>35.69</v>
      </c>
      <c r="H68" s="100">
        <v>0.28999999999999998</v>
      </c>
      <c r="I68" s="100">
        <v>5.4</v>
      </c>
      <c r="J68" s="100">
        <v>0.66</v>
      </c>
      <c r="K68" s="100">
        <v>296.02</v>
      </c>
      <c r="L68" s="100">
        <v>30.11</v>
      </c>
      <c r="M68" s="100">
        <v>72.42</v>
      </c>
      <c r="N68" s="100">
        <v>105.5</v>
      </c>
      <c r="O68" s="100">
        <v>0</v>
      </c>
      <c r="P68" s="100">
        <v>0.17</v>
      </c>
      <c r="Q68" s="100">
        <v>0</v>
      </c>
      <c r="R68" s="6"/>
      <c r="S68" s="6"/>
      <c r="T68" s="156"/>
      <c r="U68" s="6"/>
    </row>
    <row r="69" spans="1:21" customFormat="1">
      <c r="A69" s="163" t="s">
        <v>2508</v>
      </c>
      <c r="B69" s="100">
        <v>2.77</v>
      </c>
      <c r="C69" s="100">
        <v>13.86</v>
      </c>
      <c r="D69" s="100">
        <v>9.4600000000000009</v>
      </c>
      <c r="E69" s="100">
        <v>3.49</v>
      </c>
      <c r="F69" s="100">
        <v>24.46</v>
      </c>
      <c r="G69" s="100">
        <v>30.1</v>
      </c>
      <c r="H69" s="100">
        <v>0.54</v>
      </c>
      <c r="I69" s="100">
        <v>5.37</v>
      </c>
      <c r="J69" s="100">
        <v>0.37</v>
      </c>
      <c r="K69" s="100">
        <v>275.60000000000002</v>
      </c>
      <c r="L69" s="100">
        <v>29.91</v>
      </c>
      <c r="M69" s="100">
        <v>74.81</v>
      </c>
      <c r="N69" s="100">
        <v>101.5</v>
      </c>
      <c r="O69" s="100">
        <v>0</v>
      </c>
      <c r="P69" s="100">
        <v>0.19</v>
      </c>
      <c r="Q69" s="100">
        <v>10.49</v>
      </c>
      <c r="R69" s="6"/>
      <c r="S69" s="6"/>
      <c r="T69" s="156"/>
      <c r="U69" s="6"/>
    </row>
    <row r="70" spans="1:21" customFormat="1">
      <c r="A70" s="163" t="s">
        <v>2509</v>
      </c>
      <c r="B70" s="100">
        <v>0.55000000000000004</v>
      </c>
      <c r="C70" s="100">
        <v>13.46</v>
      </c>
      <c r="D70" s="100">
        <v>7.48</v>
      </c>
      <c r="E70" s="100">
        <v>3.39</v>
      </c>
      <c r="F70" s="100">
        <v>28.9</v>
      </c>
      <c r="G70" s="100">
        <v>30.1</v>
      </c>
      <c r="H70" s="100">
        <v>0.54</v>
      </c>
      <c r="I70" s="100">
        <v>4.99</v>
      </c>
      <c r="J70" s="100">
        <v>0.4</v>
      </c>
      <c r="K70" s="100">
        <v>267.83999999999997</v>
      </c>
      <c r="L70" s="100">
        <v>29.84</v>
      </c>
      <c r="M70" s="100">
        <v>74.69</v>
      </c>
      <c r="N70" s="100">
        <v>121.6</v>
      </c>
      <c r="O70" s="100">
        <v>0</v>
      </c>
      <c r="P70" s="100">
        <v>0.15</v>
      </c>
      <c r="Q70" s="100">
        <v>10</v>
      </c>
      <c r="R70" s="6"/>
      <c r="S70" s="6"/>
      <c r="T70" s="156"/>
      <c r="U70" s="6"/>
    </row>
    <row r="71" spans="1:21" customFormat="1">
      <c r="A71" s="163" t="s">
        <v>2510</v>
      </c>
      <c r="B71" s="100">
        <v>0.02</v>
      </c>
      <c r="C71" s="100">
        <v>13.24</v>
      </c>
      <c r="D71" s="100">
        <v>6.93</v>
      </c>
      <c r="E71" s="100">
        <v>3.36</v>
      </c>
      <c r="F71" s="100">
        <v>14.06</v>
      </c>
      <c r="G71" s="100">
        <v>30.1</v>
      </c>
      <c r="H71" s="100">
        <v>0.54</v>
      </c>
      <c r="I71" s="100">
        <v>3.56</v>
      </c>
      <c r="J71" s="100">
        <v>0.28999999999999998</v>
      </c>
      <c r="K71" s="100">
        <v>265.31</v>
      </c>
      <c r="L71" s="100">
        <v>29.76</v>
      </c>
      <c r="M71" s="100">
        <v>75.900000000000006</v>
      </c>
      <c r="N71" s="100">
        <v>73.5</v>
      </c>
      <c r="O71" s="100">
        <v>0</v>
      </c>
      <c r="P71" s="100">
        <v>0.14000000000000001</v>
      </c>
      <c r="Q71" s="100">
        <v>10</v>
      </c>
      <c r="R71" s="6"/>
      <c r="S71" s="6"/>
      <c r="T71" s="156"/>
      <c r="U71" s="6"/>
    </row>
    <row r="72" spans="1:21" customFormat="1">
      <c r="A72" s="163" t="s">
        <v>2511</v>
      </c>
      <c r="B72" s="100">
        <v>0</v>
      </c>
      <c r="C72" s="100">
        <v>14.25</v>
      </c>
      <c r="D72" s="100">
        <v>7.45</v>
      </c>
      <c r="E72" s="100">
        <v>3.1</v>
      </c>
      <c r="F72" s="100">
        <v>12.92</v>
      </c>
      <c r="G72" s="100">
        <v>27.7</v>
      </c>
      <c r="H72" s="100">
        <v>1.43</v>
      </c>
      <c r="I72" s="100">
        <v>2.93</v>
      </c>
      <c r="J72" s="100">
        <v>0.4</v>
      </c>
      <c r="K72" s="100">
        <v>263.68</v>
      </c>
      <c r="L72" s="100">
        <v>29.71</v>
      </c>
      <c r="M72" s="100">
        <v>75.63</v>
      </c>
      <c r="N72" s="100">
        <v>82.3</v>
      </c>
      <c r="O72" s="100">
        <v>0</v>
      </c>
      <c r="P72" s="100">
        <v>0.15</v>
      </c>
      <c r="Q72" s="100">
        <v>10</v>
      </c>
      <c r="R72" s="6"/>
      <c r="S72" s="6"/>
      <c r="T72" s="156"/>
      <c r="U72" s="6"/>
    </row>
    <row r="73" spans="1:21" customFormat="1">
      <c r="A73" s="163" t="s">
        <v>2512</v>
      </c>
      <c r="B73" s="100">
        <v>0</v>
      </c>
      <c r="C73" s="100">
        <v>14.8</v>
      </c>
      <c r="D73" s="100">
        <v>7.73</v>
      </c>
      <c r="E73" s="100">
        <v>3.12</v>
      </c>
      <c r="F73" s="100">
        <v>7.76</v>
      </c>
      <c r="G73" s="100">
        <v>24.11</v>
      </c>
      <c r="H73" s="100">
        <v>2.2200000000000002</v>
      </c>
      <c r="I73" s="100">
        <v>3.27</v>
      </c>
      <c r="J73" s="100">
        <v>0.57999999999999996</v>
      </c>
      <c r="K73" s="100">
        <v>252.1</v>
      </c>
      <c r="L73" s="100">
        <v>29.64</v>
      </c>
      <c r="M73" s="100">
        <v>74.900000000000006</v>
      </c>
      <c r="N73" s="100">
        <v>101.6</v>
      </c>
      <c r="O73" s="100">
        <v>0</v>
      </c>
      <c r="P73" s="100">
        <v>0.12</v>
      </c>
      <c r="Q73" s="100">
        <v>10</v>
      </c>
      <c r="R73" s="6"/>
      <c r="S73" s="6"/>
      <c r="T73" s="156"/>
      <c r="U73" s="6"/>
    </row>
    <row r="74" spans="1:21" customFormat="1">
      <c r="A74" s="163" t="s">
        <v>2513</v>
      </c>
      <c r="B74" s="100">
        <v>0</v>
      </c>
      <c r="C74" s="100">
        <v>15.57</v>
      </c>
      <c r="D74" s="100">
        <v>8.1300000000000008</v>
      </c>
      <c r="E74" s="100">
        <v>3.05</v>
      </c>
      <c r="F74" s="100">
        <v>7.99</v>
      </c>
      <c r="G74" s="100">
        <v>24.11</v>
      </c>
      <c r="H74" s="100">
        <v>2.2200000000000002</v>
      </c>
      <c r="I74" s="100">
        <v>3.47</v>
      </c>
      <c r="J74" s="100">
        <v>0.56000000000000005</v>
      </c>
      <c r="K74" s="100">
        <v>263.27</v>
      </c>
      <c r="L74" s="100">
        <v>29.65</v>
      </c>
      <c r="M74" s="100">
        <v>75.41</v>
      </c>
      <c r="N74" s="100">
        <v>94</v>
      </c>
      <c r="O74" s="100">
        <v>0</v>
      </c>
      <c r="P74" s="100">
        <v>0.12</v>
      </c>
      <c r="Q74" s="100">
        <v>10</v>
      </c>
      <c r="R74" s="6"/>
      <c r="S74" s="6"/>
      <c r="T74" s="156"/>
      <c r="U74" s="6"/>
    </row>
    <row r="75" spans="1:21" customFormat="1">
      <c r="A75" s="163" t="s">
        <v>2514</v>
      </c>
      <c r="B75" s="100">
        <v>0.08</v>
      </c>
      <c r="C75" s="100">
        <v>15.9</v>
      </c>
      <c r="D75" s="100">
        <v>8.3699999999999992</v>
      </c>
      <c r="E75" s="100">
        <v>3.22</v>
      </c>
      <c r="F75" s="100">
        <v>9.49</v>
      </c>
      <c r="G75" s="100">
        <v>24.11</v>
      </c>
      <c r="H75" s="100">
        <v>2.2200000000000002</v>
      </c>
      <c r="I75" s="100">
        <v>3.66</v>
      </c>
      <c r="J75" s="100">
        <v>0.75</v>
      </c>
      <c r="K75" s="100">
        <v>285.27999999999997</v>
      </c>
      <c r="L75" s="100">
        <v>29.63</v>
      </c>
      <c r="M75" s="100">
        <v>73.83</v>
      </c>
      <c r="N75" s="100">
        <v>75.3</v>
      </c>
      <c r="O75" s="100">
        <v>0</v>
      </c>
      <c r="P75" s="100">
        <v>0.12</v>
      </c>
      <c r="Q75" s="100">
        <v>10</v>
      </c>
      <c r="R75" s="6"/>
      <c r="S75" s="6"/>
      <c r="T75" s="156"/>
      <c r="U75" s="6"/>
    </row>
    <row r="76" spans="1:21" customFormat="1">
      <c r="A76" s="163" t="s">
        <v>2515</v>
      </c>
      <c r="B76" s="100">
        <v>0.35</v>
      </c>
      <c r="C76" s="100">
        <v>15.91</v>
      </c>
      <c r="D76" s="100">
        <v>8.59</v>
      </c>
      <c r="E76" s="100">
        <v>3.18</v>
      </c>
      <c r="F76" s="100">
        <v>9.0299999999999994</v>
      </c>
      <c r="G76" s="100">
        <v>23.64</v>
      </c>
      <c r="H76" s="100">
        <v>2.77</v>
      </c>
      <c r="I76" s="100">
        <v>3.77</v>
      </c>
      <c r="J76" s="100">
        <v>0.41</v>
      </c>
      <c r="K76" s="100">
        <v>258.13</v>
      </c>
      <c r="L76" s="100">
        <v>29.46</v>
      </c>
      <c r="M76" s="100">
        <v>75.2</v>
      </c>
      <c r="N76" s="100">
        <v>60.8</v>
      </c>
      <c r="O76" s="100">
        <v>0</v>
      </c>
      <c r="P76" s="100">
        <v>0.12</v>
      </c>
      <c r="Q76" s="100">
        <v>10</v>
      </c>
      <c r="R76" s="6"/>
      <c r="S76" s="6"/>
      <c r="T76" s="156"/>
      <c r="U76" s="6"/>
    </row>
    <row r="77" spans="1:21" customFormat="1">
      <c r="A77" s="163" t="s">
        <v>2516</v>
      </c>
      <c r="B77" s="100">
        <v>0.54</v>
      </c>
      <c r="C77" s="100">
        <v>16.37</v>
      </c>
      <c r="D77" s="100">
        <v>8.99</v>
      </c>
      <c r="E77" s="100">
        <v>3.61</v>
      </c>
      <c r="F77" s="100">
        <v>4.91</v>
      </c>
      <c r="G77" s="100">
        <v>22.95</v>
      </c>
      <c r="H77" s="100">
        <v>4.3099999999999996</v>
      </c>
      <c r="I77" s="100">
        <v>3.57</v>
      </c>
      <c r="J77" s="100">
        <v>0.42</v>
      </c>
      <c r="K77" s="100">
        <v>276.5</v>
      </c>
      <c r="L77" s="100">
        <v>29.43</v>
      </c>
      <c r="M77" s="100">
        <v>74.290000000000006</v>
      </c>
      <c r="N77" s="100">
        <v>45.2</v>
      </c>
      <c r="O77" s="100">
        <v>0</v>
      </c>
      <c r="P77" s="100">
        <v>0.14000000000000001</v>
      </c>
      <c r="Q77" s="100">
        <v>10</v>
      </c>
      <c r="R77" s="6"/>
      <c r="S77" s="6"/>
      <c r="T77" s="156"/>
      <c r="U77" s="6"/>
    </row>
    <row r="78" spans="1:21" customFormat="1">
      <c r="A78" s="163" t="s">
        <v>2517</v>
      </c>
      <c r="B78" s="100">
        <v>0.83</v>
      </c>
      <c r="C78" s="100">
        <v>16.059999999999999</v>
      </c>
      <c r="D78" s="100">
        <v>9.06</v>
      </c>
      <c r="E78" s="100">
        <v>4.1500000000000004</v>
      </c>
      <c r="F78" s="100">
        <v>5.61</v>
      </c>
      <c r="G78" s="100">
        <v>22.95</v>
      </c>
      <c r="H78" s="100">
        <v>4.3099999999999996</v>
      </c>
      <c r="I78" s="100">
        <v>2.64</v>
      </c>
      <c r="J78" s="100">
        <v>0.56000000000000005</v>
      </c>
      <c r="K78" s="100">
        <v>264.75</v>
      </c>
      <c r="L78" s="100">
        <v>29.32</v>
      </c>
      <c r="M78" s="100">
        <v>73.94</v>
      </c>
      <c r="N78" s="100">
        <v>34.200000000000003</v>
      </c>
      <c r="O78" s="100">
        <v>0</v>
      </c>
      <c r="P78" s="100">
        <v>0.15</v>
      </c>
      <c r="Q78" s="100">
        <v>10</v>
      </c>
      <c r="R78" s="6"/>
      <c r="S78" s="6"/>
      <c r="T78" s="156"/>
      <c r="U78" s="6"/>
    </row>
    <row r="79" spans="1:21" customFormat="1">
      <c r="A79" s="163" t="s">
        <v>2518</v>
      </c>
      <c r="B79" s="100">
        <v>0.79</v>
      </c>
      <c r="C79" s="100">
        <v>15.27</v>
      </c>
      <c r="D79" s="100">
        <v>8.6199999999999992</v>
      </c>
      <c r="E79" s="100">
        <v>3.89</v>
      </c>
      <c r="F79" s="100">
        <v>9.02</v>
      </c>
      <c r="G79" s="100">
        <v>22.95</v>
      </c>
      <c r="H79" s="100">
        <v>4.3099999999999996</v>
      </c>
      <c r="I79" s="100">
        <v>2.96</v>
      </c>
      <c r="J79" s="100">
        <v>0.45</v>
      </c>
      <c r="K79" s="100">
        <v>251.79</v>
      </c>
      <c r="L79" s="100">
        <v>29.15</v>
      </c>
      <c r="M79" s="100">
        <v>76.22</v>
      </c>
      <c r="N79" s="100">
        <v>33.5</v>
      </c>
      <c r="O79" s="100">
        <v>0</v>
      </c>
      <c r="P79" s="100">
        <v>0.14000000000000001</v>
      </c>
      <c r="Q79" s="100">
        <v>10</v>
      </c>
      <c r="R79" s="6"/>
      <c r="S79" s="6"/>
      <c r="T79" s="156"/>
      <c r="U79" s="6"/>
    </row>
    <row r="80" spans="1:21" customFormat="1">
      <c r="A80" s="163" t="s">
        <v>2519</v>
      </c>
      <c r="B80" s="100">
        <v>0.72</v>
      </c>
      <c r="C80" s="100">
        <v>14.68</v>
      </c>
      <c r="D80" s="100">
        <v>8.25</v>
      </c>
      <c r="E80" s="100">
        <v>3.5</v>
      </c>
      <c r="F80" s="100">
        <v>11.28</v>
      </c>
      <c r="G80" s="100">
        <v>21.27</v>
      </c>
      <c r="H80" s="100">
        <v>4.3600000000000003</v>
      </c>
      <c r="I80" s="100">
        <v>3.74</v>
      </c>
      <c r="J80" s="100">
        <v>0.44</v>
      </c>
      <c r="K80" s="100">
        <v>245.01</v>
      </c>
      <c r="L80" s="100">
        <v>29.05</v>
      </c>
      <c r="M80" s="100">
        <v>77.87</v>
      </c>
      <c r="N80" s="100">
        <v>24.8</v>
      </c>
      <c r="O80" s="100">
        <v>0</v>
      </c>
      <c r="P80" s="100">
        <v>0.14000000000000001</v>
      </c>
      <c r="Q80" s="100">
        <v>10</v>
      </c>
      <c r="R80" s="6"/>
      <c r="S80" s="6"/>
      <c r="T80" s="156"/>
      <c r="U80" s="6"/>
    </row>
    <row r="81" spans="1:21" customFormat="1">
      <c r="A81" s="163" t="s">
        <v>2520</v>
      </c>
      <c r="B81" s="100">
        <v>0.75</v>
      </c>
      <c r="C81" s="100">
        <v>14.66</v>
      </c>
      <c r="D81" s="100">
        <v>8.26</v>
      </c>
      <c r="E81" s="100">
        <v>3.16</v>
      </c>
      <c r="F81" s="100">
        <v>10.1</v>
      </c>
      <c r="G81" s="100">
        <v>18.75</v>
      </c>
      <c r="H81" s="100">
        <v>0</v>
      </c>
      <c r="I81" s="100">
        <v>3.66</v>
      </c>
      <c r="J81" s="100">
        <v>0.37</v>
      </c>
      <c r="K81" s="100">
        <v>270</v>
      </c>
      <c r="L81" s="100">
        <v>28.97</v>
      </c>
      <c r="M81" s="100">
        <v>79.72</v>
      </c>
      <c r="N81" s="100">
        <v>16.3</v>
      </c>
      <c r="O81" s="100">
        <v>0</v>
      </c>
      <c r="P81" s="100">
        <v>0.14000000000000001</v>
      </c>
      <c r="Q81" s="100">
        <v>0</v>
      </c>
      <c r="R81" s="6"/>
      <c r="S81" s="6"/>
      <c r="T81" s="156"/>
      <c r="U81" s="6"/>
    </row>
    <row r="82" spans="1:21" customFormat="1">
      <c r="A82" s="163" t="s">
        <v>2521</v>
      </c>
      <c r="B82" s="100">
        <v>1.41</v>
      </c>
      <c r="C82" s="100">
        <v>16.14</v>
      </c>
      <c r="D82" s="100">
        <v>9.57</v>
      </c>
      <c r="E82" s="100">
        <v>4.47</v>
      </c>
      <c r="F82" s="100">
        <v>2.12</v>
      </c>
      <c r="G82" s="100">
        <v>18.75</v>
      </c>
      <c r="H82" s="100">
        <v>4.4000000000000004</v>
      </c>
      <c r="I82" s="100">
        <v>3.73</v>
      </c>
      <c r="J82" s="100">
        <v>0.69</v>
      </c>
      <c r="K82" s="100">
        <v>247.49</v>
      </c>
      <c r="L82" s="100">
        <v>28.43</v>
      </c>
      <c r="M82" s="100">
        <v>79.25</v>
      </c>
      <c r="N82" s="100">
        <v>9.6999999999999993</v>
      </c>
      <c r="O82" s="100">
        <v>0</v>
      </c>
      <c r="P82" s="100">
        <v>0.18</v>
      </c>
      <c r="Q82" s="100">
        <v>0</v>
      </c>
      <c r="R82" s="6"/>
      <c r="S82" s="6"/>
      <c r="T82" s="156"/>
      <c r="U82" s="6"/>
    </row>
    <row r="83" spans="1:21" customFormat="1">
      <c r="A83" s="163" t="s">
        <v>2522</v>
      </c>
      <c r="B83" s="100">
        <v>1.5</v>
      </c>
      <c r="C83" s="100">
        <v>16.22</v>
      </c>
      <c r="D83" s="100">
        <v>9.68</v>
      </c>
      <c r="E83" s="100">
        <v>5.35</v>
      </c>
      <c r="F83" s="100">
        <v>3.31</v>
      </c>
      <c r="G83" s="100">
        <v>18.75</v>
      </c>
      <c r="H83" s="100">
        <v>4.4000000000000004</v>
      </c>
      <c r="I83" s="100">
        <v>3.92</v>
      </c>
      <c r="J83" s="100">
        <v>0.64</v>
      </c>
      <c r="K83" s="100">
        <v>256.62</v>
      </c>
      <c r="L83" s="100">
        <v>28.16</v>
      </c>
      <c r="M83" s="100">
        <v>81.150000000000006</v>
      </c>
      <c r="N83" s="100">
        <v>5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163" t="s">
        <v>2523</v>
      </c>
      <c r="B84" s="100">
        <v>1.48</v>
      </c>
      <c r="C84" s="100">
        <v>16.45</v>
      </c>
      <c r="D84" s="100">
        <v>9.7799999999999994</v>
      </c>
      <c r="E84" s="100">
        <v>5.73</v>
      </c>
      <c r="F84" s="100">
        <v>5.45</v>
      </c>
      <c r="G84" s="100">
        <v>19.07</v>
      </c>
      <c r="H84" s="100">
        <v>3.77</v>
      </c>
      <c r="I84" s="100">
        <v>4.2699999999999996</v>
      </c>
      <c r="J84" s="100">
        <v>0.61</v>
      </c>
      <c r="K84" s="100">
        <v>256.14</v>
      </c>
      <c r="L84" s="100">
        <v>27.96</v>
      </c>
      <c r="M84" s="100">
        <v>83.82</v>
      </c>
      <c r="N84" s="100">
        <v>2.6</v>
      </c>
      <c r="O84" s="100">
        <v>0</v>
      </c>
      <c r="P84" s="100">
        <v>0.27</v>
      </c>
      <c r="Q84" s="100">
        <v>10</v>
      </c>
      <c r="R84" s="6"/>
      <c r="S84" s="6"/>
      <c r="T84" s="156"/>
      <c r="U84" s="6"/>
    </row>
    <row r="85" spans="1:21" customFormat="1">
      <c r="A85" s="163" t="s">
        <v>2524</v>
      </c>
      <c r="B85" s="100">
        <v>1.9</v>
      </c>
      <c r="C85" s="100">
        <v>16.57</v>
      </c>
      <c r="D85" s="100">
        <v>10.19</v>
      </c>
      <c r="E85" s="100">
        <v>5.04</v>
      </c>
      <c r="F85" s="100">
        <v>3.34</v>
      </c>
      <c r="G85" s="100">
        <v>19.59</v>
      </c>
      <c r="H85" s="100">
        <v>3.19</v>
      </c>
      <c r="I85" s="100">
        <v>4.78</v>
      </c>
      <c r="J85" s="100">
        <v>0.59</v>
      </c>
      <c r="K85" s="100">
        <v>258.02999999999997</v>
      </c>
      <c r="L85" s="100">
        <v>27.89</v>
      </c>
      <c r="M85" s="100">
        <v>85.16</v>
      </c>
      <c r="N85" s="100">
        <v>2.4</v>
      </c>
      <c r="O85" s="100">
        <v>0</v>
      </c>
      <c r="P85" s="100">
        <v>0.23</v>
      </c>
      <c r="Q85" s="100">
        <v>10</v>
      </c>
      <c r="R85" s="6"/>
      <c r="S85" s="6"/>
      <c r="T85" s="156"/>
      <c r="U85" s="6"/>
    </row>
    <row r="86" spans="1:21" customFormat="1">
      <c r="A86" s="163" t="s">
        <v>2525</v>
      </c>
      <c r="B86" s="100">
        <v>2.0099999999999998</v>
      </c>
      <c r="C86" s="100">
        <v>16.12</v>
      </c>
      <c r="D86" s="100">
        <v>10.029999999999999</v>
      </c>
      <c r="E86" s="100">
        <v>4.82</v>
      </c>
      <c r="F86" s="100">
        <v>3.71</v>
      </c>
      <c r="G86" s="100">
        <v>19.59</v>
      </c>
      <c r="H86" s="100">
        <v>3.19</v>
      </c>
      <c r="I86" s="100">
        <v>5.26</v>
      </c>
      <c r="J86" s="100">
        <v>0.52</v>
      </c>
      <c r="K86" s="100">
        <v>254.78</v>
      </c>
      <c r="L86" s="100">
        <v>27.88</v>
      </c>
      <c r="M86" s="100">
        <v>86.15</v>
      </c>
      <c r="N86" s="100">
        <v>2.2999999999999998</v>
      </c>
      <c r="O86" s="100">
        <v>0</v>
      </c>
      <c r="P86" s="100">
        <v>0.26</v>
      </c>
      <c r="Q86" s="100">
        <v>10</v>
      </c>
      <c r="R86" s="6"/>
      <c r="S86" s="6"/>
      <c r="T86" s="156"/>
      <c r="U86" s="6"/>
    </row>
    <row r="87" spans="1:21" customFormat="1">
      <c r="A87" s="163" t="s">
        <v>2526</v>
      </c>
      <c r="B87" s="100">
        <v>2.13</v>
      </c>
      <c r="C87" s="100">
        <v>16.059999999999999</v>
      </c>
      <c r="D87" s="100">
        <v>10.1</v>
      </c>
      <c r="E87" s="100">
        <v>4.75</v>
      </c>
      <c r="F87" s="100">
        <v>3.97</v>
      </c>
      <c r="G87" s="100">
        <v>19.59</v>
      </c>
      <c r="H87" s="100">
        <v>3.19</v>
      </c>
      <c r="I87" s="100">
        <v>4.9000000000000004</v>
      </c>
      <c r="J87" s="100">
        <v>0.56000000000000005</v>
      </c>
      <c r="K87" s="100">
        <v>254.24</v>
      </c>
      <c r="L87" s="100">
        <v>27.85</v>
      </c>
      <c r="M87" s="100">
        <v>86.84</v>
      </c>
      <c r="N87" s="100">
        <v>2.2999999999999998</v>
      </c>
      <c r="O87" s="100">
        <v>0</v>
      </c>
      <c r="P87" s="100">
        <v>0.26</v>
      </c>
      <c r="Q87" s="100">
        <v>10</v>
      </c>
      <c r="R87" s="6"/>
      <c r="S87" s="6"/>
      <c r="T87" s="156"/>
      <c r="U87" s="6"/>
    </row>
    <row r="88" spans="1:21" customFormat="1">
      <c r="A88" s="163" t="s">
        <v>2527</v>
      </c>
      <c r="B88" s="100">
        <v>2.29</v>
      </c>
      <c r="C88" s="100">
        <v>16.14</v>
      </c>
      <c r="D88" s="100">
        <v>10.27</v>
      </c>
      <c r="E88" s="100">
        <v>5.01</v>
      </c>
      <c r="F88" s="100">
        <v>1.74</v>
      </c>
      <c r="G88" s="100">
        <v>18.77</v>
      </c>
      <c r="H88" s="100">
        <v>4.16</v>
      </c>
      <c r="I88" s="100">
        <v>5.14</v>
      </c>
      <c r="J88" s="100">
        <v>0.46</v>
      </c>
      <c r="K88" s="100">
        <v>249.6</v>
      </c>
      <c r="L88" s="100">
        <v>27.86</v>
      </c>
      <c r="M88" s="100">
        <v>86.45</v>
      </c>
      <c r="N88" s="100">
        <v>2.2000000000000002</v>
      </c>
      <c r="O88" s="100">
        <v>0</v>
      </c>
      <c r="P88" s="100">
        <v>0.28999999999999998</v>
      </c>
      <c r="Q88" s="100">
        <v>10</v>
      </c>
      <c r="R88" s="6"/>
      <c r="S88" s="6"/>
      <c r="T88" s="156"/>
      <c r="U88" s="6"/>
    </row>
    <row r="89" spans="1:21" customFormat="1">
      <c r="A89" s="163" t="s">
        <v>2528</v>
      </c>
      <c r="B89" s="100">
        <v>2.3199999999999998</v>
      </c>
      <c r="C89" s="100">
        <v>15.94</v>
      </c>
      <c r="D89" s="100">
        <v>10.19</v>
      </c>
      <c r="E89" s="100">
        <v>4.83</v>
      </c>
      <c r="F89" s="100">
        <v>1.19</v>
      </c>
      <c r="G89" s="100">
        <v>17.54</v>
      </c>
      <c r="H89" s="100">
        <v>5.04</v>
      </c>
      <c r="I89" s="100">
        <v>5.21</v>
      </c>
      <c r="J89" s="100">
        <v>0.34</v>
      </c>
      <c r="K89" s="100">
        <v>253.39</v>
      </c>
      <c r="L89" s="100">
        <v>27.8</v>
      </c>
      <c r="M89" s="100">
        <v>87</v>
      </c>
      <c r="N89" s="100">
        <v>2.1</v>
      </c>
      <c r="O89" s="100">
        <v>0</v>
      </c>
      <c r="P89" s="100">
        <v>0.28999999999999998</v>
      </c>
      <c r="Q89" s="100">
        <v>10</v>
      </c>
      <c r="R89" s="6"/>
      <c r="S89" s="6"/>
      <c r="T89" s="156"/>
      <c r="U89" s="6"/>
    </row>
    <row r="90" spans="1:21" customFormat="1">
      <c r="A90" s="163" t="s">
        <v>2529</v>
      </c>
      <c r="B90" s="100">
        <v>2.36</v>
      </c>
      <c r="C90" s="100">
        <v>15.67</v>
      </c>
      <c r="D90" s="100">
        <v>10.08</v>
      </c>
      <c r="E90" s="100">
        <v>5</v>
      </c>
      <c r="F90" s="100">
        <v>1.71</v>
      </c>
      <c r="G90" s="100">
        <v>17.54</v>
      </c>
      <c r="H90" s="100">
        <v>5.04</v>
      </c>
      <c r="I90" s="100">
        <v>5.34</v>
      </c>
      <c r="J90" s="100">
        <v>0.55000000000000004</v>
      </c>
      <c r="K90" s="100">
        <v>250.34</v>
      </c>
      <c r="L90" s="100">
        <v>27.83</v>
      </c>
      <c r="M90" s="100">
        <v>84.71</v>
      </c>
      <c r="N90" s="100">
        <v>2.1</v>
      </c>
      <c r="O90" s="100">
        <v>0</v>
      </c>
      <c r="P90" s="100">
        <v>0.3</v>
      </c>
      <c r="Q90" s="100">
        <v>10</v>
      </c>
      <c r="R90" s="6"/>
      <c r="S90" s="6"/>
      <c r="T90" s="156"/>
      <c r="U90" s="6"/>
    </row>
    <row r="91" spans="1:21" customFormat="1">
      <c r="A91" s="163" t="s">
        <v>2530</v>
      </c>
      <c r="B91" s="100">
        <v>2.34</v>
      </c>
      <c r="C91" s="100">
        <v>15.43</v>
      </c>
      <c r="D91" s="100">
        <v>9.93</v>
      </c>
      <c r="E91" s="100">
        <v>5.27</v>
      </c>
      <c r="F91" s="100">
        <v>1.73</v>
      </c>
      <c r="G91" s="100">
        <v>17.54</v>
      </c>
      <c r="H91" s="100">
        <v>5.04</v>
      </c>
      <c r="I91" s="100">
        <v>5.52</v>
      </c>
      <c r="J91" s="100">
        <v>0.6</v>
      </c>
      <c r="K91" s="100">
        <v>257.77999999999997</v>
      </c>
      <c r="L91" s="100">
        <v>27.81</v>
      </c>
      <c r="M91" s="100">
        <v>82.73</v>
      </c>
      <c r="N91" s="100">
        <v>2.2000000000000002</v>
      </c>
      <c r="O91" s="100">
        <v>0</v>
      </c>
      <c r="P91" s="100">
        <v>0.3</v>
      </c>
      <c r="Q91" s="100">
        <v>10</v>
      </c>
      <c r="R91" s="6"/>
      <c r="S91" s="6"/>
      <c r="T91" s="156"/>
      <c r="U91" s="6"/>
    </row>
    <row r="92" spans="1:21" customFormat="1">
      <c r="A92" s="163" t="s">
        <v>2531</v>
      </c>
      <c r="B92" s="100">
        <v>2.2799999999999998</v>
      </c>
      <c r="C92" s="100">
        <v>15.4</v>
      </c>
      <c r="D92" s="100">
        <v>9.8800000000000008</v>
      </c>
      <c r="E92" s="100">
        <v>5.26</v>
      </c>
      <c r="F92" s="100">
        <v>1.62</v>
      </c>
      <c r="G92" s="100">
        <v>17.53</v>
      </c>
      <c r="H92" s="100">
        <v>5.36</v>
      </c>
      <c r="I92" s="100">
        <v>5.67</v>
      </c>
      <c r="J92" s="100">
        <v>0.45</v>
      </c>
      <c r="K92" s="100">
        <v>262.79000000000002</v>
      </c>
      <c r="L92" s="100">
        <v>27.73</v>
      </c>
      <c r="M92" s="100">
        <v>83.32</v>
      </c>
      <c r="N92" s="100">
        <v>2.2000000000000002</v>
      </c>
      <c r="O92" s="100">
        <v>0</v>
      </c>
      <c r="P92" s="100">
        <v>0.31</v>
      </c>
      <c r="Q92" s="100">
        <v>10</v>
      </c>
      <c r="R92" s="6"/>
      <c r="S92" s="6"/>
      <c r="T92" s="156"/>
      <c r="U92" s="6"/>
    </row>
    <row r="93" spans="1:21" customFormat="1">
      <c r="A93" s="163" t="s">
        <v>2532</v>
      </c>
      <c r="B93" s="100">
        <v>2.39</v>
      </c>
      <c r="C93" s="100">
        <v>15.49</v>
      </c>
      <c r="D93" s="100">
        <v>10.01</v>
      </c>
      <c r="E93" s="100">
        <v>5.25</v>
      </c>
      <c r="F93" s="100">
        <v>1.06</v>
      </c>
      <c r="G93" s="100">
        <v>17.52</v>
      </c>
      <c r="H93" s="100">
        <v>6.24</v>
      </c>
      <c r="I93" s="100">
        <v>5.78</v>
      </c>
      <c r="J93" s="100">
        <v>0.68</v>
      </c>
      <c r="K93" s="100">
        <v>253.65</v>
      </c>
      <c r="L93" s="100">
        <v>27.61</v>
      </c>
      <c r="M93" s="100">
        <v>83.97</v>
      </c>
      <c r="N93" s="100">
        <v>2.2000000000000002</v>
      </c>
      <c r="O93" s="100">
        <v>0</v>
      </c>
      <c r="P93" s="100">
        <v>0.33</v>
      </c>
      <c r="Q93" s="100">
        <v>10</v>
      </c>
      <c r="R93" s="6"/>
      <c r="S93" s="6"/>
      <c r="T93" s="156"/>
      <c r="U93" s="6"/>
    </row>
    <row r="94" spans="1:21" customFormat="1">
      <c r="A94" s="163" t="s">
        <v>2533</v>
      </c>
      <c r="B94" s="100">
        <v>2.46</v>
      </c>
      <c r="C94" s="100">
        <v>15.48</v>
      </c>
      <c r="D94" s="100">
        <v>10.06</v>
      </c>
      <c r="E94" s="100">
        <v>5.47</v>
      </c>
      <c r="F94" s="100">
        <v>1.57</v>
      </c>
      <c r="G94" s="100">
        <v>17.52</v>
      </c>
      <c r="H94" s="100">
        <v>6.24</v>
      </c>
      <c r="I94" s="100">
        <v>5.99</v>
      </c>
      <c r="J94" s="100">
        <v>0.62</v>
      </c>
      <c r="K94" s="100">
        <v>259.8</v>
      </c>
      <c r="L94" s="100">
        <v>27.48</v>
      </c>
      <c r="M94" s="100">
        <v>83.86</v>
      </c>
      <c r="N94" s="100">
        <v>2.2999999999999998</v>
      </c>
      <c r="O94" s="100">
        <v>0</v>
      </c>
      <c r="P94" s="100">
        <v>0.34</v>
      </c>
      <c r="Q94" s="100">
        <v>10</v>
      </c>
      <c r="R94" s="6"/>
      <c r="S94" s="6"/>
      <c r="T94" s="156"/>
      <c r="U94" s="6"/>
    </row>
    <row r="95" spans="1:21" customFormat="1">
      <c r="A95" s="163" t="s">
        <v>2534</v>
      </c>
      <c r="B95" s="100">
        <v>2.42</v>
      </c>
      <c r="C95" s="100">
        <v>15.31</v>
      </c>
      <c r="D95" s="100">
        <v>9.94</v>
      </c>
      <c r="E95" s="100">
        <v>5.48</v>
      </c>
      <c r="F95" s="100">
        <v>2.39</v>
      </c>
      <c r="G95" s="100">
        <v>17.52</v>
      </c>
      <c r="H95" s="100">
        <v>6.24</v>
      </c>
      <c r="I95" s="100">
        <v>6.41</v>
      </c>
      <c r="J95" s="100">
        <v>0.56999999999999995</v>
      </c>
      <c r="K95" s="100">
        <v>252.76</v>
      </c>
      <c r="L95" s="100">
        <v>27.39</v>
      </c>
      <c r="M95" s="100">
        <v>84.31</v>
      </c>
      <c r="N95" s="100">
        <v>2.2000000000000002</v>
      </c>
      <c r="O95" s="100">
        <v>0</v>
      </c>
      <c r="P95" s="100">
        <v>0.34</v>
      </c>
      <c r="Q95" s="100">
        <v>10</v>
      </c>
      <c r="R95" s="6"/>
      <c r="S95" s="6"/>
      <c r="T95" s="156"/>
      <c r="U95" s="6"/>
    </row>
    <row r="96" spans="1:21" customFormat="1">
      <c r="A96" s="163" t="s">
        <v>2535</v>
      </c>
      <c r="B96" s="100">
        <v>2.4</v>
      </c>
      <c r="C96" s="100">
        <v>15.27</v>
      </c>
      <c r="D96" s="100">
        <v>9.91</v>
      </c>
      <c r="E96" s="100">
        <v>5.41</v>
      </c>
      <c r="F96" s="100">
        <v>1.93</v>
      </c>
      <c r="G96" s="100">
        <v>17.989999999999998</v>
      </c>
      <c r="H96" s="100">
        <v>5.27</v>
      </c>
      <c r="I96" s="100">
        <v>6.7</v>
      </c>
      <c r="J96" s="100">
        <v>0.6</v>
      </c>
      <c r="K96" s="100">
        <v>249.98</v>
      </c>
      <c r="L96" s="100">
        <v>27.38</v>
      </c>
      <c r="M96" s="100">
        <v>84.52</v>
      </c>
      <c r="N96" s="100">
        <v>2.1</v>
      </c>
      <c r="O96" s="100">
        <v>0</v>
      </c>
      <c r="P96" s="100">
        <v>0.34</v>
      </c>
      <c r="Q96" s="100">
        <v>10</v>
      </c>
      <c r="R96" s="6"/>
      <c r="S96" s="6"/>
      <c r="T96" s="156"/>
      <c r="U96" s="6"/>
    </row>
    <row r="97" spans="1:28" customFormat="1">
      <c r="A97" s="163" t="s">
        <v>2536</v>
      </c>
      <c r="B97" s="100">
        <v>2.4300000000000002</v>
      </c>
      <c r="C97" s="100">
        <v>15.26</v>
      </c>
      <c r="D97" s="100">
        <v>9.92</v>
      </c>
      <c r="E97" s="100">
        <v>5.73</v>
      </c>
      <c r="F97" s="100">
        <v>1.5</v>
      </c>
      <c r="G97" s="100">
        <v>18.71</v>
      </c>
      <c r="H97" s="100">
        <v>4.41</v>
      </c>
      <c r="I97" s="100">
        <v>6.81</v>
      </c>
      <c r="J97" s="100">
        <v>0.78</v>
      </c>
      <c r="K97" s="100">
        <v>259.19</v>
      </c>
      <c r="L97" s="100">
        <v>27.31</v>
      </c>
      <c r="M97" s="100">
        <v>82.97</v>
      </c>
      <c r="N97" s="100">
        <v>2.2000000000000002</v>
      </c>
      <c r="O97" s="100">
        <v>0</v>
      </c>
      <c r="P97" s="100">
        <v>0.34</v>
      </c>
      <c r="Q97" s="100">
        <v>10</v>
      </c>
      <c r="R97" s="6"/>
      <c r="S97" s="6"/>
      <c r="T97" s="156"/>
      <c r="U97" s="6"/>
    </row>
    <row r="98" spans="1:28" customFormat="1">
      <c r="A98" s="163" t="s">
        <v>2537</v>
      </c>
      <c r="B98" s="100">
        <v>2.38</v>
      </c>
      <c r="C98" s="100">
        <v>15.2</v>
      </c>
      <c r="D98" s="100">
        <v>9.85</v>
      </c>
      <c r="E98" s="100">
        <v>5.66</v>
      </c>
      <c r="F98" s="100">
        <v>1.79</v>
      </c>
      <c r="G98" s="100">
        <v>18.71</v>
      </c>
      <c r="H98" s="100">
        <v>4.41</v>
      </c>
      <c r="I98" s="100">
        <v>6.84</v>
      </c>
      <c r="J98" s="100">
        <v>0.67</v>
      </c>
      <c r="K98" s="100">
        <v>255.17</v>
      </c>
      <c r="L98" s="100">
        <v>27.19</v>
      </c>
      <c r="M98" s="100">
        <v>83</v>
      </c>
      <c r="N98" s="100">
        <v>2.2999999999999998</v>
      </c>
      <c r="O98" s="100">
        <v>0</v>
      </c>
      <c r="P98" s="100">
        <v>0.34</v>
      </c>
      <c r="Q98" s="100">
        <v>10</v>
      </c>
      <c r="R98" s="6"/>
      <c r="S98" s="6"/>
      <c r="T98" s="156"/>
      <c r="U98" s="6"/>
    </row>
    <row r="99" spans="1:28" customFormat="1">
      <c r="A99" s="163" t="s">
        <v>2538</v>
      </c>
      <c r="B99" s="100">
        <v>2.3199999999999998</v>
      </c>
      <c r="C99" s="100">
        <v>15.11</v>
      </c>
      <c r="D99" s="100">
        <v>9.75</v>
      </c>
      <c r="E99" s="100">
        <v>5.79</v>
      </c>
      <c r="F99" s="100">
        <v>2.02</v>
      </c>
      <c r="G99" s="100">
        <v>18.71</v>
      </c>
      <c r="H99" s="100">
        <v>4.41</v>
      </c>
      <c r="I99" s="100">
        <v>6.83</v>
      </c>
      <c r="J99" s="100">
        <v>0.57999999999999996</v>
      </c>
      <c r="K99" s="100">
        <v>257.10000000000002</v>
      </c>
      <c r="L99" s="100">
        <v>27.09</v>
      </c>
      <c r="M99" s="100">
        <v>83.34</v>
      </c>
      <c r="N99" s="100">
        <v>2.2999999999999998</v>
      </c>
      <c r="O99" s="100">
        <v>0</v>
      </c>
      <c r="P99" s="100">
        <v>0.35</v>
      </c>
      <c r="Q99" s="100">
        <v>10</v>
      </c>
      <c r="R99" s="6"/>
      <c r="S99" s="6"/>
      <c r="T99" s="156"/>
      <c r="U99" s="6"/>
    </row>
    <row r="100" spans="1:28" customFormat="1">
      <c r="A100" s="163" t="s">
        <v>2539</v>
      </c>
      <c r="B100" s="100">
        <v>2.33</v>
      </c>
      <c r="C100" s="100">
        <v>15.13</v>
      </c>
      <c r="D100" s="100">
        <v>9.77</v>
      </c>
      <c r="E100" s="100">
        <v>5.68</v>
      </c>
      <c r="F100" s="100">
        <v>1.87</v>
      </c>
      <c r="G100" s="100">
        <v>19.52</v>
      </c>
      <c r="H100" s="100">
        <v>6.01</v>
      </c>
      <c r="I100" s="100">
        <v>6.79</v>
      </c>
      <c r="J100" s="100">
        <v>0.56999999999999995</v>
      </c>
      <c r="K100" s="100">
        <v>256.45</v>
      </c>
      <c r="L100" s="100">
        <v>26.96</v>
      </c>
      <c r="M100" s="100">
        <v>83.07</v>
      </c>
      <c r="N100" s="100">
        <v>2.2999999999999998</v>
      </c>
      <c r="O100" s="100">
        <v>0</v>
      </c>
      <c r="P100" s="100">
        <v>0.34</v>
      </c>
      <c r="Q100" s="100">
        <v>11.15</v>
      </c>
      <c r="R100" s="6"/>
      <c r="S100" s="6"/>
      <c r="T100" s="156"/>
      <c r="U100" s="6"/>
      <c r="AB100" s="161"/>
    </row>
    <row r="101" spans="1:28" customFormat="1">
      <c r="A101" s="163" t="s">
        <v>2540</v>
      </c>
      <c r="B101" s="100">
        <v>2.35</v>
      </c>
      <c r="C101" s="100">
        <v>15.29</v>
      </c>
      <c r="D101" s="100">
        <v>9.8699999999999992</v>
      </c>
      <c r="E101" s="100">
        <v>5.79</v>
      </c>
      <c r="F101" s="100">
        <v>1.32</v>
      </c>
      <c r="G101" s="100">
        <v>20.73</v>
      </c>
      <c r="H101" s="100">
        <v>7.43</v>
      </c>
      <c r="I101" s="100">
        <v>6.88</v>
      </c>
      <c r="J101" s="100">
        <v>0.66</v>
      </c>
      <c r="K101" s="100">
        <v>252.28</v>
      </c>
      <c r="L101" s="100">
        <v>26.91</v>
      </c>
      <c r="M101" s="100">
        <v>82.95</v>
      </c>
      <c r="N101" s="100">
        <v>2.2000000000000002</v>
      </c>
      <c r="O101" s="100">
        <v>0</v>
      </c>
      <c r="P101" s="100">
        <v>0.34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2541</v>
      </c>
      <c r="B102" s="100">
        <v>2.36</v>
      </c>
      <c r="C102" s="100">
        <v>15.33</v>
      </c>
      <c r="D102" s="100">
        <v>9.9</v>
      </c>
      <c r="E102" s="100">
        <v>5.61</v>
      </c>
      <c r="F102" s="100">
        <v>1.29</v>
      </c>
      <c r="G102" s="100">
        <v>20.73</v>
      </c>
      <c r="H102" s="100">
        <v>7.43</v>
      </c>
      <c r="I102" s="100">
        <v>7.12</v>
      </c>
      <c r="J102" s="100">
        <v>0.55000000000000004</v>
      </c>
      <c r="K102" s="100">
        <v>254.37</v>
      </c>
      <c r="L102" s="100">
        <v>26.82</v>
      </c>
      <c r="M102" s="100">
        <v>83.72</v>
      </c>
      <c r="N102" s="100">
        <v>2.2000000000000002</v>
      </c>
      <c r="O102" s="100">
        <v>0</v>
      </c>
      <c r="P102" s="100">
        <v>0.33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2542</v>
      </c>
      <c r="B103" s="100">
        <v>2.33</v>
      </c>
      <c r="C103" s="100">
        <v>15.29</v>
      </c>
      <c r="D103" s="100">
        <v>9.85</v>
      </c>
      <c r="E103" s="100">
        <v>5.63</v>
      </c>
      <c r="F103" s="100">
        <v>1.98</v>
      </c>
      <c r="G103" s="100">
        <v>20.73</v>
      </c>
      <c r="H103" s="100">
        <v>7.43</v>
      </c>
      <c r="I103" s="100">
        <v>7.13</v>
      </c>
      <c r="J103" s="100">
        <v>0.67</v>
      </c>
      <c r="K103" s="100">
        <v>253.01</v>
      </c>
      <c r="L103" s="100">
        <v>26.7</v>
      </c>
      <c r="M103" s="100">
        <v>84.4</v>
      </c>
      <c r="N103" s="100">
        <v>2.4</v>
      </c>
      <c r="O103" s="100">
        <v>0</v>
      </c>
      <c r="P103" s="100">
        <v>0.33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2543</v>
      </c>
      <c r="B104" s="100">
        <v>2.29</v>
      </c>
      <c r="C104" s="100">
        <v>15.14</v>
      </c>
      <c r="D104" s="100">
        <v>9.75</v>
      </c>
      <c r="E104" s="100">
        <v>5.77</v>
      </c>
      <c r="F104" s="100">
        <v>2.79</v>
      </c>
      <c r="G104" s="100">
        <v>19.739999999999998</v>
      </c>
      <c r="H104" s="100">
        <v>6.46</v>
      </c>
      <c r="I104" s="100">
        <v>7.1</v>
      </c>
      <c r="J104" s="100">
        <v>0.7</v>
      </c>
      <c r="K104" s="100">
        <v>259.52999999999997</v>
      </c>
      <c r="L104" s="100">
        <v>26.62</v>
      </c>
      <c r="M104" s="100">
        <v>84.04</v>
      </c>
      <c r="N104" s="100">
        <v>2.2999999999999998</v>
      </c>
      <c r="O104" s="100">
        <v>0</v>
      </c>
      <c r="P104" s="100">
        <v>0.32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-0.16</v>
      </c>
      <c r="C106" s="158">
        <f>MIN(C9:C104)</f>
        <v>0.04</v>
      </c>
      <c r="D106" s="158">
        <f t="shared" ref="D106:Q106" si="0">MIN(D9:D104)</f>
        <v>-0.04</v>
      </c>
      <c r="E106" s="158">
        <f t="shared" si="0"/>
        <v>2.75</v>
      </c>
      <c r="F106" s="158">
        <f t="shared" si="0"/>
        <v>1.06</v>
      </c>
      <c r="G106" s="158">
        <f t="shared" si="0"/>
        <v>7.73</v>
      </c>
      <c r="H106" s="158">
        <f t="shared" si="0"/>
        <v>0</v>
      </c>
      <c r="I106" s="158">
        <f t="shared" si="0"/>
        <v>2.64</v>
      </c>
      <c r="J106" s="158">
        <f t="shared" si="0"/>
        <v>0.13</v>
      </c>
      <c r="K106" s="158">
        <f t="shared" si="0"/>
        <v>0.95</v>
      </c>
      <c r="L106" s="158">
        <f t="shared" si="0"/>
        <v>24.65</v>
      </c>
      <c r="M106" s="158">
        <f t="shared" si="0"/>
        <v>67.34</v>
      </c>
      <c r="N106" s="158">
        <f t="shared" si="0"/>
        <v>2.1</v>
      </c>
      <c r="O106" s="158">
        <f t="shared" si="0"/>
        <v>0</v>
      </c>
      <c r="P106" s="158">
        <f t="shared" si="0"/>
        <v>0.12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28.72</v>
      </c>
      <c r="C107" s="157">
        <f t="shared" ref="C107:Q107" si="1">MAX(C9:C104)</f>
        <v>30.73</v>
      </c>
      <c r="D107" s="157">
        <f t="shared" si="1"/>
        <v>10.71</v>
      </c>
      <c r="E107" s="157">
        <f t="shared" si="1"/>
        <v>525.07000000000005</v>
      </c>
      <c r="F107" s="157">
        <f t="shared" si="1"/>
        <v>33.18</v>
      </c>
      <c r="G107" s="157">
        <f t="shared" si="1"/>
        <v>39.42</v>
      </c>
      <c r="H107" s="157">
        <f t="shared" si="1"/>
        <v>8.99</v>
      </c>
      <c r="I107" s="157">
        <f t="shared" si="1"/>
        <v>10.27</v>
      </c>
      <c r="J107" s="157">
        <f t="shared" si="1"/>
        <v>1.43</v>
      </c>
      <c r="K107" s="157">
        <f t="shared" si="1"/>
        <v>355.36</v>
      </c>
      <c r="L107" s="157">
        <f t="shared" si="1"/>
        <v>30.77</v>
      </c>
      <c r="M107" s="157">
        <f t="shared" si="1"/>
        <v>98.72</v>
      </c>
      <c r="N107" s="157">
        <f t="shared" si="1"/>
        <v>491.4</v>
      </c>
      <c r="O107" s="157">
        <f t="shared" si="1"/>
        <v>0.6</v>
      </c>
      <c r="P107" s="157">
        <f t="shared" si="1"/>
        <v>0.35</v>
      </c>
      <c r="Q107" s="157">
        <f t="shared" si="1"/>
        <v>11.15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1.9490625000000001</v>
      </c>
      <c r="C108" s="158">
        <f t="shared" ref="C108:Q108" si="2">AVERAGE(C9:C104)</f>
        <v>7.6795833333333325</v>
      </c>
      <c r="D108" s="158">
        <f t="shared" si="2"/>
        <v>4.3203125000000009</v>
      </c>
      <c r="E108" s="158">
        <f t="shared" si="2"/>
        <v>14.392604166666665</v>
      </c>
      <c r="F108" s="158">
        <f t="shared" si="2"/>
        <v>7.1786458333333334</v>
      </c>
      <c r="G108" s="158">
        <f t="shared" si="2"/>
        <v>18.716195652173905</v>
      </c>
      <c r="H108" s="158">
        <f t="shared" si="2"/>
        <v>5.4301136363636404</v>
      </c>
      <c r="I108" s="158">
        <f t="shared" si="2"/>
        <v>5.2710416666666653</v>
      </c>
      <c r="J108" s="158">
        <f t="shared" si="2"/>
        <v>0.59864583333333332</v>
      </c>
      <c r="K108" s="158">
        <f t="shared" si="2"/>
        <v>250.31114583333317</v>
      </c>
      <c r="L108" s="158">
        <f t="shared" si="2"/>
        <v>27.36427083333334</v>
      </c>
      <c r="M108" s="158">
        <f t="shared" si="2"/>
        <v>85.456458333333316</v>
      </c>
      <c r="N108" s="158">
        <f t="shared" si="2"/>
        <v>80.41562500000002</v>
      </c>
      <c r="O108" s="158">
        <f t="shared" si="2"/>
        <v>5.6250000000000015E-2</v>
      </c>
      <c r="P108" s="158">
        <f t="shared" si="2"/>
        <v>0.22666666666666666</v>
      </c>
      <c r="Q108" s="158">
        <f t="shared" si="2"/>
        <v>9.6038541666666664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2.9627327634519407</v>
      </c>
      <c r="C109" s="158">
        <f t="shared" ref="C109:Q109" si="3">STDEV(C9:C104)</f>
        <v>6.7168212902841233</v>
      </c>
      <c r="D109" s="158">
        <f t="shared" si="3"/>
        <v>4.1038401664589834</v>
      </c>
      <c r="E109" s="158">
        <f t="shared" si="3"/>
        <v>56.550052505811941</v>
      </c>
      <c r="F109" s="158">
        <f t="shared" si="3"/>
        <v>8.6928735022360257</v>
      </c>
      <c r="G109" s="158">
        <f t="shared" si="3"/>
        <v>9.090109084609006</v>
      </c>
      <c r="H109" s="158">
        <f t="shared" si="3"/>
        <v>2.1849592932993289</v>
      </c>
      <c r="I109" s="158">
        <f t="shared" si="3"/>
        <v>1.3112930373583827</v>
      </c>
      <c r="J109" s="158">
        <f t="shared" si="3"/>
        <v>0.20769724824808031</v>
      </c>
      <c r="K109" s="158">
        <f t="shared" si="3"/>
        <v>90.087853365126151</v>
      </c>
      <c r="L109" s="158">
        <f t="shared" si="3"/>
        <v>2.1250851350335007</v>
      </c>
      <c r="M109" s="158">
        <f t="shared" si="3"/>
        <v>10.643481719533305</v>
      </c>
      <c r="N109" s="158">
        <f t="shared" si="3"/>
        <v>113.08473611749362</v>
      </c>
      <c r="O109" s="158">
        <f t="shared" si="3"/>
        <v>0.1320386705716011</v>
      </c>
      <c r="P109" s="158">
        <f t="shared" si="3"/>
        <v>6.0361484176002705E-2</v>
      </c>
      <c r="Q109" s="158">
        <f t="shared" si="3"/>
        <v>2.0000159840370095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COUNT(H9:H104)+8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6" sqref="I16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2544</v>
      </c>
      <c r="B9" s="100">
        <v>4.42</v>
      </c>
      <c r="C9" s="100">
        <v>14.93</v>
      </c>
      <c r="D9" s="100">
        <v>11.35</v>
      </c>
      <c r="E9" s="100">
        <v>6.02</v>
      </c>
      <c r="F9" s="100">
        <v>1.25</v>
      </c>
      <c r="G9" s="100">
        <v>18.27</v>
      </c>
      <c r="H9" s="100">
        <v>5.58</v>
      </c>
      <c r="I9" s="100">
        <v>6.97</v>
      </c>
      <c r="J9" s="100">
        <v>0.61</v>
      </c>
      <c r="K9" s="100">
        <v>256.20999999999998</v>
      </c>
      <c r="L9" s="100">
        <v>26.54</v>
      </c>
      <c r="M9" s="100">
        <v>84.99</v>
      </c>
      <c r="N9" s="100">
        <v>2.4</v>
      </c>
      <c r="O9" s="100">
        <v>0</v>
      </c>
      <c r="P9" s="100">
        <v>0.32</v>
      </c>
      <c r="Q9" s="100">
        <v>10</v>
      </c>
      <c r="R9" s="6"/>
      <c r="S9" s="6"/>
      <c r="T9" s="156"/>
      <c r="U9" s="6"/>
    </row>
    <row r="10" spans="1:21" customFormat="1">
      <c r="A10" s="163" t="s">
        <v>2545</v>
      </c>
      <c r="B10" s="100">
        <v>4.5199999999999996</v>
      </c>
      <c r="C10" s="100">
        <v>15.09</v>
      </c>
      <c r="D10" s="100">
        <v>11.51</v>
      </c>
      <c r="E10" s="100">
        <v>5.76</v>
      </c>
      <c r="F10" s="100">
        <v>0.97</v>
      </c>
      <c r="G10" s="100">
        <v>18.27</v>
      </c>
      <c r="H10" s="100">
        <v>5.58</v>
      </c>
      <c r="I10" s="100">
        <v>6.87</v>
      </c>
      <c r="J10" s="100">
        <v>0.5</v>
      </c>
      <c r="K10" s="100">
        <v>252.78</v>
      </c>
      <c r="L10" s="100">
        <v>26.41</v>
      </c>
      <c r="M10" s="100">
        <v>86.97</v>
      </c>
      <c r="N10" s="100">
        <v>2.2999999999999998</v>
      </c>
      <c r="O10" s="100">
        <v>0</v>
      </c>
      <c r="P10" s="100">
        <v>0.33</v>
      </c>
      <c r="Q10" s="100">
        <v>10</v>
      </c>
      <c r="R10" s="6"/>
      <c r="S10" s="6"/>
      <c r="T10" s="156"/>
      <c r="U10" s="6"/>
    </row>
    <row r="11" spans="1:21" customFormat="1">
      <c r="A11" s="163" t="s">
        <v>2546</v>
      </c>
      <c r="B11" s="100">
        <v>4.57</v>
      </c>
      <c r="C11" s="100">
        <v>15.06</v>
      </c>
      <c r="D11" s="100">
        <v>11.53</v>
      </c>
      <c r="E11" s="100">
        <v>5.89</v>
      </c>
      <c r="F11" s="100">
        <v>2.0099999999999998</v>
      </c>
      <c r="G11" s="100">
        <v>18.27</v>
      </c>
      <c r="H11" s="100">
        <v>5.58</v>
      </c>
      <c r="I11" s="100">
        <v>6.95</v>
      </c>
      <c r="J11" s="100">
        <v>0.36</v>
      </c>
      <c r="K11" s="100">
        <v>249.1</v>
      </c>
      <c r="L11" s="100">
        <v>26.2</v>
      </c>
      <c r="M11" s="100">
        <v>89.09</v>
      </c>
      <c r="N11" s="100">
        <v>2.4</v>
      </c>
      <c r="O11" s="100">
        <v>0</v>
      </c>
      <c r="P11" s="100">
        <v>0.33</v>
      </c>
      <c r="Q11" s="100">
        <v>10</v>
      </c>
      <c r="R11" s="6"/>
      <c r="S11" s="6"/>
      <c r="T11" s="156"/>
      <c r="U11" s="6"/>
    </row>
    <row r="12" spans="1:21" customFormat="1">
      <c r="A12" s="163" t="s">
        <v>2547</v>
      </c>
      <c r="B12" s="100">
        <v>4.5999999999999996</v>
      </c>
      <c r="C12" s="100">
        <v>14.66</v>
      </c>
      <c r="D12" s="100">
        <v>11.35</v>
      </c>
      <c r="E12" s="100">
        <v>6.03</v>
      </c>
      <c r="F12" s="100">
        <v>2.11</v>
      </c>
      <c r="G12" s="100">
        <v>17.46</v>
      </c>
      <c r="H12" s="100">
        <v>5.2</v>
      </c>
      <c r="I12" s="100">
        <v>7.26</v>
      </c>
      <c r="J12" s="100">
        <v>0.54</v>
      </c>
      <c r="K12" s="100">
        <v>254.15</v>
      </c>
      <c r="L12" s="100">
        <v>25.98</v>
      </c>
      <c r="M12" s="100">
        <v>90.07</v>
      </c>
      <c r="N12" s="100">
        <v>2.4</v>
      </c>
      <c r="O12" s="100">
        <v>0</v>
      </c>
      <c r="P12" s="100">
        <v>0.3</v>
      </c>
      <c r="Q12" s="100">
        <v>10</v>
      </c>
      <c r="R12" s="6"/>
      <c r="S12" s="6"/>
      <c r="T12" s="156"/>
      <c r="U12" s="6"/>
    </row>
    <row r="13" spans="1:21" customFormat="1">
      <c r="A13" s="163" t="s">
        <v>2548</v>
      </c>
      <c r="B13" s="100">
        <v>4.67</v>
      </c>
      <c r="C13" s="100">
        <v>14.54</v>
      </c>
      <c r="D13" s="100">
        <v>11.34</v>
      </c>
      <c r="E13" s="100">
        <v>5.76</v>
      </c>
      <c r="F13" s="100">
        <v>2.75</v>
      </c>
      <c r="G13" s="100">
        <v>16.2</v>
      </c>
      <c r="H13" s="100">
        <v>4.13</v>
      </c>
      <c r="I13" s="100">
        <v>7.26</v>
      </c>
      <c r="J13" s="100">
        <v>-0.64</v>
      </c>
      <c r="K13" s="100">
        <v>-0.19</v>
      </c>
      <c r="L13" s="100">
        <v>25.83</v>
      </c>
      <c r="M13" s="100">
        <v>90.06</v>
      </c>
      <c r="N13" s="100">
        <v>2.4</v>
      </c>
      <c r="O13" s="100">
        <v>0</v>
      </c>
      <c r="P13" s="100">
        <v>0.28000000000000003</v>
      </c>
      <c r="Q13" s="100">
        <v>10</v>
      </c>
      <c r="R13" s="6"/>
      <c r="S13" s="6"/>
      <c r="T13" s="156"/>
      <c r="U13" s="6"/>
    </row>
    <row r="14" spans="1:21" customFormat="1">
      <c r="A14" s="163" t="s">
        <v>2549</v>
      </c>
      <c r="B14" s="100">
        <v>4.7699999999999996</v>
      </c>
      <c r="C14" s="100">
        <v>14.94</v>
      </c>
      <c r="D14" s="100">
        <v>11.63</v>
      </c>
      <c r="E14" s="100">
        <v>5.24</v>
      </c>
      <c r="F14" s="100">
        <v>2.37</v>
      </c>
      <c r="G14" s="100">
        <v>16.2</v>
      </c>
      <c r="H14" s="100">
        <v>4.13</v>
      </c>
      <c r="I14" s="100">
        <v>7.06</v>
      </c>
      <c r="J14" s="100">
        <v>0.75</v>
      </c>
      <c r="K14" s="100">
        <v>252.83</v>
      </c>
      <c r="L14" s="100">
        <v>25.75</v>
      </c>
      <c r="M14" s="100">
        <v>89.92</v>
      </c>
      <c r="N14" s="100">
        <v>2.2999999999999998</v>
      </c>
      <c r="O14" s="100">
        <v>0</v>
      </c>
      <c r="P14" s="100">
        <v>0.26</v>
      </c>
      <c r="Q14" s="100">
        <v>10</v>
      </c>
      <c r="R14" s="6"/>
      <c r="S14" s="6"/>
      <c r="T14" s="156"/>
      <c r="U14" s="6"/>
    </row>
    <row r="15" spans="1:21" customFormat="1">
      <c r="A15" s="163" t="s">
        <v>2550</v>
      </c>
      <c r="B15" s="100">
        <v>4.99</v>
      </c>
      <c r="C15" s="100">
        <v>15.18</v>
      </c>
      <c r="D15" s="100">
        <v>11.93</v>
      </c>
      <c r="E15" s="100">
        <v>5.45</v>
      </c>
      <c r="F15" s="100">
        <v>2.95</v>
      </c>
      <c r="G15" s="100">
        <v>16.2</v>
      </c>
      <c r="H15" s="100">
        <v>4.13</v>
      </c>
      <c r="I15" s="100">
        <v>7</v>
      </c>
      <c r="J15" s="100">
        <v>0.59</v>
      </c>
      <c r="K15" s="100">
        <v>253.44</v>
      </c>
      <c r="L15" s="100">
        <v>25.65</v>
      </c>
      <c r="M15" s="100">
        <v>90.38</v>
      </c>
      <c r="N15" s="100">
        <v>2.2000000000000002</v>
      </c>
      <c r="O15" s="100">
        <v>0</v>
      </c>
      <c r="P15" s="100">
        <v>0.28000000000000003</v>
      </c>
      <c r="Q15" s="100">
        <v>10</v>
      </c>
      <c r="R15" s="6"/>
      <c r="S15" s="6"/>
      <c r="T15" s="156"/>
      <c r="U15" s="6"/>
    </row>
    <row r="16" spans="1:21" customFormat="1">
      <c r="A16" s="163" t="s">
        <v>2551</v>
      </c>
      <c r="B16" s="100">
        <v>5.05</v>
      </c>
      <c r="C16" s="100">
        <v>14.71</v>
      </c>
      <c r="D16" s="100">
        <v>11.73</v>
      </c>
      <c r="E16" s="100">
        <v>5.54</v>
      </c>
      <c r="F16" s="100">
        <v>2.97</v>
      </c>
      <c r="G16" s="100">
        <v>14.54</v>
      </c>
      <c r="H16" s="100">
        <v>3.6</v>
      </c>
      <c r="I16" s="100">
        <v>6.95</v>
      </c>
      <c r="J16" s="100">
        <v>0.6</v>
      </c>
      <c r="K16" s="100">
        <v>251.87</v>
      </c>
      <c r="L16" s="100">
        <v>25.61</v>
      </c>
      <c r="M16" s="100">
        <v>90.55</v>
      </c>
      <c r="N16" s="100">
        <v>2.1</v>
      </c>
      <c r="O16" s="100">
        <v>0</v>
      </c>
      <c r="P16" s="100">
        <v>0.28000000000000003</v>
      </c>
      <c r="Q16" s="100">
        <v>10</v>
      </c>
      <c r="R16" s="6"/>
      <c r="S16" s="6"/>
      <c r="T16" s="156"/>
      <c r="U16" s="6"/>
    </row>
    <row r="17" spans="1:21" customFormat="1">
      <c r="A17" s="163" t="s">
        <v>2552</v>
      </c>
      <c r="B17" s="100">
        <v>5.03</v>
      </c>
      <c r="C17" s="100">
        <v>14.41</v>
      </c>
      <c r="D17" s="100">
        <v>11.56</v>
      </c>
      <c r="E17" s="100">
        <v>3.8</v>
      </c>
      <c r="F17" s="100">
        <v>3.16</v>
      </c>
      <c r="G17" s="100">
        <v>11.93</v>
      </c>
      <c r="H17" s="100">
        <v>3.12</v>
      </c>
      <c r="I17" s="100">
        <v>6.91</v>
      </c>
      <c r="J17" s="100">
        <v>0.47</v>
      </c>
      <c r="K17" s="100">
        <v>256.61</v>
      </c>
      <c r="L17" s="100">
        <v>25.65</v>
      </c>
      <c r="M17" s="100">
        <v>90.43</v>
      </c>
      <c r="N17" s="100">
        <v>2.1</v>
      </c>
      <c r="O17" s="100">
        <v>0</v>
      </c>
      <c r="P17" s="100">
        <v>0.27</v>
      </c>
      <c r="Q17" s="100">
        <v>10</v>
      </c>
      <c r="R17" s="6"/>
      <c r="S17" s="6"/>
      <c r="T17" s="156"/>
      <c r="U17" s="6"/>
    </row>
    <row r="18" spans="1:21" customFormat="1">
      <c r="A18" s="163" t="s">
        <v>2553</v>
      </c>
      <c r="B18" s="100">
        <v>5.21</v>
      </c>
      <c r="C18" s="100">
        <v>14.62</v>
      </c>
      <c r="D18" s="100">
        <v>11.82</v>
      </c>
      <c r="E18" s="100">
        <v>4.41</v>
      </c>
      <c r="F18" s="100">
        <v>3.12</v>
      </c>
      <c r="G18" s="100">
        <v>11.93</v>
      </c>
      <c r="H18" s="100">
        <v>3.12</v>
      </c>
      <c r="I18" s="100">
        <v>6.82</v>
      </c>
      <c r="J18" s="100">
        <v>0.57999999999999996</v>
      </c>
      <c r="K18" s="100">
        <v>253.02</v>
      </c>
      <c r="L18" s="100">
        <v>25.68</v>
      </c>
      <c r="M18" s="100">
        <v>90.25</v>
      </c>
      <c r="N18" s="100">
        <v>2.2000000000000002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 customFormat="1">
      <c r="A19" s="163" t="s">
        <v>2554</v>
      </c>
      <c r="B19" s="100">
        <v>5.46</v>
      </c>
      <c r="C19" s="100">
        <v>14.77</v>
      </c>
      <c r="D19" s="100">
        <v>12.1</v>
      </c>
      <c r="E19" s="100">
        <v>4.95</v>
      </c>
      <c r="F19" s="100">
        <v>1.37</v>
      </c>
      <c r="G19" s="100">
        <v>11.93</v>
      </c>
      <c r="H19" s="100">
        <v>3.12</v>
      </c>
      <c r="I19" s="100">
        <v>6.8</v>
      </c>
      <c r="J19" s="100">
        <v>0.61</v>
      </c>
      <c r="K19" s="100">
        <v>256.83999999999997</v>
      </c>
      <c r="L19" s="100">
        <v>25.66</v>
      </c>
      <c r="M19" s="100">
        <v>90.34</v>
      </c>
      <c r="N19" s="100">
        <v>2.2999999999999998</v>
      </c>
      <c r="O19" s="100">
        <v>0</v>
      </c>
      <c r="P19" s="100">
        <v>0.28000000000000003</v>
      </c>
      <c r="Q19" s="100">
        <v>10</v>
      </c>
      <c r="R19" s="6"/>
      <c r="S19" s="6"/>
      <c r="T19" s="156"/>
      <c r="U19" s="6"/>
    </row>
    <row r="20" spans="1:21" customFormat="1">
      <c r="A20" s="163" t="s">
        <v>2555</v>
      </c>
      <c r="B20" s="100">
        <v>5.42</v>
      </c>
      <c r="C20" s="100">
        <v>14.35</v>
      </c>
      <c r="D20" s="100">
        <v>11.84</v>
      </c>
      <c r="E20" s="100">
        <v>5.04</v>
      </c>
      <c r="F20" s="100">
        <v>2.65</v>
      </c>
      <c r="G20" s="100">
        <v>11.62</v>
      </c>
      <c r="H20" s="100">
        <v>2.65</v>
      </c>
      <c r="I20" s="100">
        <v>6.68</v>
      </c>
      <c r="J20" s="100">
        <v>0.55000000000000004</v>
      </c>
      <c r="K20" s="100">
        <v>256.76</v>
      </c>
      <c r="L20" s="100">
        <v>25.62</v>
      </c>
      <c r="M20" s="100">
        <v>90.57</v>
      </c>
      <c r="N20" s="100">
        <v>2.2999999999999998</v>
      </c>
      <c r="O20" s="100">
        <v>0</v>
      </c>
      <c r="P20" s="100">
        <v>0.26</v>
      </c>
      <c r="Q20" s="100">
        <v>10</v>
      </c>
      <c r="R20" s="6"/>
      <c r="S20" s="6"/>
      <c r="T20" s="156"/>
      <c r="U20" s="6"/>
    </row>
    <row r="21" spans="1:21" customFormat="1">
      <c r="A21" s="163" t="s">
        <v>2556</v>
      </c>
      <c r="B21" s="100">
        <v>5.5</v>
      </c>
      <c r="C21" s="100">
        <v>14.53</v>
      </c>
      <c r="D21" s="100">
        <v>12</v>
      </c>
      <c r="E21" s="100">
        <v>4.76</v>
      </c>
      <c r="F21" s="100">
        <v>2.98</v>
      </c>
      <c r="G21" s="100">
        <v>11.15</v>
      </c>
      <c r="H21" s="100">
        <v>2.2200000000000002</v>
      </c>
      <c r="I21" s="100">
        <v>6.74</v>
      </c>
      <c r="J21" s="100">
        <v>0.54</v>
      </c>
      <c r="K21" s="100">
        <v>255.89</v>
      </c>
      <c r="L21" s="100">
        <v>25.6</v>
      </c>
      <c r="M21" s="100">
        <v>90.53</v>
      </c>
      <c r="N21" s="100">
        <v>2.2999999999999998</v>
      </c>
      <c r="O21" s="100">
        <v>0</v>
      </c>
      <c r="P21" s="100">
        <v>0.26</v>
      </c>
      <c r="Q21" s="100">
        <v>10</v>
      </c>
      <c r="R21" s="6"/>
      <c r="S21" s="6"/>
      <c r="T21" s="156"/>
      <c r="U21" s="6"/>
    </row>
    <row r="22" spans="1:21" customFormat="1">
      <c r="A22" s="163" t="s">
        <v>2557</v>
      </c>
      <c r="B22" s="100">
        <v>5.69</v>
      </c>
      <c r="C22" s="100">
        <v>14.79</v>
      </c>
      <c r="D22" s="100">
        <v>12.29</v>
      </c>
      <c r="E22" s="100">
        <v>4.8099999999999996</v>
      </c>
      <c r="F22" s="100">
        <v>2.1</v>
      </c>
      <c r="G22" s="100">
        <v>11.15</v>
      </c>
      <c r="H22" s="100">
        <v>2.2200000000000002</v>
      </c>
      <c r="I22" s="100">
        <v>6.49</v>
      </c>
      <c r="J22" s="100">
        <v>0.56999999999999995</v>
      </c>
      <c r="K22" s="100">
        <v>253.8</v>
      </c>
      <c r="L22" s="100">
        <v>25.62</v>
      </c>
      <c r="M22" s="100">
        <v>90.54</v>
      </c>
      <c r="N22" s="100">
        <v>2.2000000000000002</v>
      </c>
      <c r="O22" s="100">
        <v>0</v>
      </c>
      <c r="P22" s="100">
        <v>0.28999999999999998</v>
      </c>
      <c r="Q22" s="100">
        <v>10</v>
      </c>
      <c r="R22" s="6"/>
      <c r="S22" s="6"/>
      <c r="T22" s="156"/>
      <c r="U22" s="6"/>
    </row>
    <row r="23" spans="1:21" customFormat="1">
      <c r="A23" s="163" t="s">
        <v>2558</v>
      </c>
      <c r="B23" s="100">
        <v>5.71</v>
      </c>
      <c r="C23" s="100">
        <v>14.49</v>
      </c>
      <c r="D23" s="100">
        <v>12.15</v>
      </c>
      <c r="E23" s="100">
        <v>4.78</v>
      </c>
      <c r="F23" s="100">
        <v>1.9</v>
      </c>
      <c r="G23" s="100">
        <v>11.15</v>
      </c>
      <c r="H23" s="100">
        <v>2.2200000000000002</v>
      </c>
      <c r="I23" s="100">
        <v>6.48</v>
      </c>
      <c r="J23" s="100">
        <v>0.67</v>
      </c>
      <c r="K23" s="100">
        <v>250.91</v>
      </c>
      <c r="L23" s="100">
        <v>25.64</v>
      </c>
      <c r="M23" s="100">
        <v>90.31</v>
      </c>
      <c r="N23" s="100">
        <v>2.2000000000000002</v>
      </c>
      <c r="O23" s="100">
        <v>0</v>
      </c>
      <c r="P23" s="100">
        <v>0.28000000000000003</v>
      </c>
      <c r="Q23" s="100">
        <v>10</v>
      </c>
      <c r="R23" s="6"/>
      <c r="S23" s="6"/>
      <c r="T23" s="156"/>
      <c r="U23" s="6"/>
    </row>
    <row r="24" spans="1:21" customFormat="1">
      <c r="A24" s="163" t="s">
        <v>2559</v>
      </c>
      <c r="B24" s="100">
        <v>5.67</v>
      </c>
      <c r="C24" s="100">
        <v>14.6</v>
      </c>
      <c r="D24" s="100">
        <v>12.18</v>
      </c>
      <c r="E24" s="100">
        <v>4.5</v>
      </c>
      <c r="F24" s="100">
        <v>2.57</v>
      </c>
      <c r="G24" s="100">
        <v>10.68</v>
      </c>
      <c r="H24" s="100">
        <v>2.0099999999999998</v>
      </c>
      <c r="I24" s="100">
        <v>6.52</v>
      </c>
      <c r="J24" s="100">
        <v>0.56999999999999995</v>
      </c>
      <c r="K24" s="100">
        <v>256.52</v>
      </c>
      <c r="L24" s="100">
        <v>25.64</v>
      </c>
      <c r="M24" s="100">
        <v>90.34</v>
      </c>
      <c r="N24" s="100">
        <v>2.2000000000000002</v>
      </c>
      <c r="O24" s="100">
        <v>0</v>
      </c>
      <c r="P24" s="100">
        <v>0.28000000000000003</v>
      </c>
      <c r="Q24" s="100">
        <v>10</v>
      </c>
      <c r="R24" s="6"/>
      <c r="S24" s="6"/>
      <c r="T24" s="156"/>
      <c r="U24" s="6"/>
    </row>
    <row r="25" spans="1:21" customFormat="1">
      <c r="A25" s="163" t="s">
        <v>2560</v>
      </c>
      <c r="B25" s="100">
        <v>5.94</v>
      </c>
      <c r="C25" s="100">
        <v>15.04</v>
      </c>
      <c r="D25" s="100">
        <v>12.62</v>
      </c>
      <c r="E25" s="100">
        <v>4.5199999999999996</v>
      </c>
      <c r="F25" s="100">
        <v>2.3199999999999998</v>
      </c>
      <c r="G25" s="100">
        <v>9.9700000000000006</v>
      </c>
      <c r="H25" s="100">
        <v>1.81</v>
      </c>
      <c r="I25" s="100">
        <v>6.53</v>
      </c>
      <c r="J25" s="100">
        <v>0.68</v>
      </c>
      <c r="K25" s="100">
        <v>254.17</v>
      </c>
      <c r="L25" s="100">
        <v>25.64</v>
      </c>
      <c r="M25" s="100">
        <v>90.12</v>
      </c>
      <c r="N25" s="100">
        <v>2.2000000000000002</v>
      </c>
      <c r="O25" s="100">
        <v>0</v>
      </c>
      <c r="P25" s="100">
        <v>0.3</v>
      </c>
      <c r="Q25" s="100">
        <v>10</v>
      </c>
      <c r="R25" s="6"/>
      <c r="S25" s="6"/>
      <c r="T25" s="156"/>
      <c r="U25" s="6"/>
    </row>
    <row r="26" spans="1:21" customFormat="1">
      <c r="A26" s="163" t="s">
        <v>2561</v>
      </c>
      <c r="B26" s="100">
        <v>6.04</v>
      </c>
      <c r="C26" s="100">
        <v>14.69</v>
      </c>
      <c r="D26" s="100">
        <v>12.52</v>
      </c>
      <c r="E26" s="100">
        <v>4.67</v>
      </c>
      <c r="F26" s="100">
        <v>1.5</v>
      </c>
      <c r="G26" s="100">
        <v>9.9700000000000006</v>
      </c>
      <c r="H26" s="100">
        <v>1.81</v>
      </c>
      <c r="I26" s="100">
        <v>6.55</v>
      </c>
      <c r="J26" s="100">
        <v>0.52</v>
      </c>
      <c r="K26" s="100">
        <v>261.98</v>
      </c>
      <c r="L26" s="100">
        <v>25.61</v>
      </c>
      <c r="M26" s="100">
        <v>90.34</v>
      </c>
      <c r="N26" s="100">
        <v>2.2000000000000002</v>
      </c>
      <c r="O26" s="100">
        <v>0</v>
      </c>
      <c r="P26" s="100">
        <v>0.31</v>
      </c>
      <c r="Q26" s="100">
        <v>10</v>
      </c>
      <c r="R26" s="6"/>
      <c r="S26" s="6"/>
      <c r="T26" s="156"/>
      <c r="U26" s="6"/>
    </row>
    <row r="27" spans="1:21" customFormat="1">
      <c r="A27" s="163" t="s">
        <v>2562</v>
      </c>
      <c r="B27" s="100">
        <v>6.04</v>
      </c>
      <c r="C27" s="100">
        <v>14.59</v>
      </c>
      <c r="D27" s="100">
        <v>12.47</v>
      </c>
      <c r="E27" s="100">
        <v>4.71</v>
      </c>
      <c r="F27" s="100">
        <v>2.41</v>
      </c>
      <c r="G27" s="100">
        <v>9.9700000000000006</v>
      </c>
      <c r="H27" s="100">
        <v>1.81</v>
      </c>
      <c r="I27" s="100">
        <v>6.56</v>
      </c>
      <c r="J27" s="100">
        <v>0.57999999999999996</v>
      </c>
      <c r="K27" s="100">
        <v>255.38</v>
      </c>
      <c r="L27" s="100">
        <v>25.63</v>
      </c>
      <c r="M27" s="100">
        <v>90.14</v>
      </c>
      <c r="N27" s="100">
        <v>2.1</v>
      </c>
      <c r="O27" s="100">
        <v>0</v>
      </c>
      <c r="P27" s="100">
        <v>0.31</v>
      </c>
      <c r="Q27" s="100">
        <v>10</v>
      </c>
      <c r="R27" s="6"/>
      <c r="S27" s="6"/>
      <c r="T27" s="156"/>
      <c r="U27" s="6"/>
    </row>
    <row r="28" spans="1:21" customFormat="1">
      <c r="A28" s="163" t="s">
        <v>2563</v>
      </c>
      <c r="B28" s="100">
        <v>6.18</v>
      </c>
      <c r="C28" s="100">
        <v>15.01</v>
      </c>
      <c r="D28" s="100">
        <v>12.8</v>
      </c>
      <c r="E28" s="100">
        <v>4.51</v>
      </c>
      <c r="F28" s="100">
        <v>2.91</v>
      </c>
      <c r="G28" s="100">
        <v>10.89</v>
      </c>
      <c r="H28" s="100">
        <v>1.95</v>
      </c>
      <c r="I28" s="100">
        <v>6.53</v>
      </c>
      <c r="J28" s="100">
        <v>0.54</v>
      </c>
      <c r="K28" s="100">
        <v>251.73</v>
      </c>
      <c r="L28" s="100">
        <v>25.65</v>
      </c>
      <c r="M28" s="100">
        <v>90.12</v>
      </c>
      <c r="N28" s="100">
        <v>2.2000000000000002</v>
      </c>
      <c r="O28" s="100">
        <v>0</v>
      </c>
      <c r="P28" s="100">
        <v>0.31</v>
      </c>
      <c r="Q28" s="100">
        <v>10</v>
      </c>
      <c r="R28" s="6"/>
      <c r="S28" s="6"/>
      <c r="T28" s="156"/>
      <c r="U28" s="6"/>
    </row>
    <row r="29" spans="1:21" customFormat="1">
      <c r="A29" s="163" t="s">
        <v>2564</v>
      </c>
      <c r="B29" s="100">
        <v>6.47</v>
      </c>
      <c r="C29" s="100">
        <v>15.12</v>
      </c>
      <c r="D29" s="100">
        <v>13.09</v>
      </c>
      <c r="E29" s="100">
        <v>4.88</v>
      </c>
      <c r="F29" s="100">
        <v>1.24</v>
      </c>
      <c r="G29" s="100">
        <v>12.34</v>
      </c>
      <c r="H29" s="100">
        <v>2.33</v>
      </c>
      <c r="I29" s="100">
        <v>6.7</v>
      </c>
      <c r="J29" s="100">
        <v>0.64</v>
      </c>
      <c r="K29" s="100">
        <v>251.84</v>
      </c>
      <c r="L29" s="100">
        <v>25.66</v>
      </c>
      <c r="M29" s="100">
        <v>90.14</v>
      </c>
      <c r="N29" s="100">
        <v>2.2000000000000002</v>
      </c>
      <c r="O29" s="100">
        <v>0</v>
      </c>
      <c r="P29" s="100">
        <v>0.33</v>
      </c>
      <c r="Q29" s="100">
        <v>10</v>
      </c>
      <c r="R29" s="6"/>
      <c r="S29" s="6"/>
      <c r="T29" s="156"/>
      <c r="U29" s="6"/>
    </row>
    <row r="30" spans="1:21" customFormat="1">
      <c r="A30" s="163" t="s">
        <v>2565</v>
      </c>
      <c r="B30" s="100">
        <v>6.48</v>
      </c>
      <c r="C30" s="100">
        <v>14.86</v>
      </c>
      <c r="D30" s="100">
        <v>12.96</v>
      </c>
      <c r="E30" s="100">
        <v>4.99</v>
      </c>
      <c r="F30" s="100">
        <v>1.83</v>
      </c>
      <c r="G30" s="100">
        <v>12.34</v>
      </c>
      <c r="H30" s="100">
        <v>2.33</v>
      </c>
      <c r="I30" s="100">
        <v>6.88</v>
      </c>
      <c r="J30" s="100">
        <v>0.47</v>
      </c>
      <c r="K30" s="100">
        <v>256.95</v>
      </c>
      <c r="L30" s="100">
        <v>25.62</v>
      </c>
      <c r="M30" s="100">
        <v>90.57</v>
      </c>
      <c r="N30" s="100">
        <v>2.2999999999999998</v>
      </c>
      <c r="O30" s="100">
        <v>0</v>
      </c>
      <c r="P30" s="100">
        <v>0.33</v>
      </c>
      <c r="Q30" s="100">
        <v>10</v>
      </c>
      <c r="R30" s="6"/>
      <c r="S30" s="6"/>
      <c r="T30" s="156"/>
      <c r="U30" s="6"/>
    </row>
    <row r="31" spans="1:21" customFormat="1">
      <c r="A31" s="163" t="s">
        <v>2566</v>
      </c>
      <c r="B31" s="100">
        <v>6.6</v>
      </c>
      <c r="C31" s="100">
        <v>15.5</v>
      </c>
      <c r="D31" s="100">
        <v>13.39</v>
      </c>
      <c r="E31" s="100">
        <v>4.8</v>
      </c>
      <c r="F31" s="100">
        <v>2.34</v>
      </c>
      <c r="G31" s="100">
        <v>12.34</v>
      </c>
      <c r="H31" s="100">
        <v>2.33</v>
      </c>
      <c r="I31" s="100">
        <v>7.09</v>
      </c>
      <c r="J31" s="100">
        <v>0.35</v>
      </c>
      <c r="K31" s="100">
        <v>258.94</v>
      </c>
      <c r="L31" s="100">
        <v>25.64</v>
      </c>
      <c r="M31" s="100">
        <v>90.89</v>
      </c>
      <c r="N31" s="100">
        <v>2.6</v>
      </c>
      <c r="O31" s="100">
        <v>0</v>
      </c>
      <c r="P31" s="100">
        <v>0.38</v>
      </c>
      <c r="Q31" s="100">
        <v>10</v>
      </c>
      <c r="R31" s="6"/>
      <c r="S31" s="6"/>
      <c r="T31" s="156"/>
      <c r="U31" s="6"/>
    </row>
    <row r="32" spans="1:21" customFormat="1">
      <c r="A32" s="163" t="s">
        <v>2567</v>
      </c>
      <c r="B32" s="100">
        <v>6.6</v>
      </c>
      <c r="C32" s="100">
        <v>16</v>
      </c>
      <c r="D32" s="100">
        <v>13.65</v>
      </c>
      <c r="E32" s="100">
        <v>4.6500000000000004</v>
      </c>
      <c r="F32" s="100">
        <v>1.92</v>
      </c>
      <c r="G32" s="100">
        <v>16.21</v>
      </c>
      <c r="H32" s="100">
        <v>2.0299999999999998</v>
      </c>
      <c r="I32" s="100">
        <v>7.03</v>
      </c>
      <c r="J32" s="100">
        <v>0.43</v>
      </c>
      <c r="K32" s="100">
        <v>252.42</v>
      </c>
      <c r="L32" s="100">
        <v>25.73</v>
      </c>
      <c r="M32" s="100">
        <v>90.62</v>
      </c>
      <c r="N32" s="100">
        <v>4.2</v>
      </c>
      <c r="O32" s="100">
        <v>0</v>
      </c>
      <c r="P32" s="100">
        <v>0.42</v>
      </c>
      <c r="Q32" s="100">
        <v>10</v>
      </c>
      <c r="R32" s="6"/>
      <c r="S32" s="6"/>
      <c r="T32" s="156"/>
      <c r="U32" s="6"/>
    </row>
    <row r="33" spans="1:21" customFormat="1">
      <c r="A33" s="163" t="s">
        <v>2568</v>
      </c>
      <c r="B33" s="100">
        <v>6.62</v>
      </c>
      <c r="C33" s="100">
        <v>16.010000000000002</v>
      </c>
      <c r="D33" s="100">
        <v>13.68</v>
      </c>
      <c r="E33" s="100">
        <v>4.5</v>
      </c>
      <c r="F33" s="100">
        <v>1.88</v>
      </c>
      <c r="G33" s="100">
        <v>22.02</v>
      </c>
      <c r="H33" s="100">
        <v>1.75</v>
      </c>
      <c r="I33" s="100">
        <v>7.23</v>
      </c>
      <c r="J33" s="100">
        <v>0.51</v>
      </c>
      <c r="K33" s="100">
        <v>250.34</v>
      </c>
      <c r="L33" s="100">
        <v>25.76</v>
      </c>
      <c r="M33" s="100">
        <v>90.42</v>
      </c>
      <c r="N33" s="100">
        <v>6.9</v>
      </c>
      <c r="O33" s="100">
        <v>0</v>
      </c>
      <c r="P33" s="100">
        <v>0.42</v>
      </c>
      <c r="Q33" s="100">
        <v>10</v>
      </c>
      <c r="R33" s="6"/>
      <c r="S33" s="6"/>
      <c r="T33" s="156"/>
      <c r="U33" s="6"/>
    </row>
    <row r="34" spans="1:21" customFormat="1">
      <c r="A34" s="163" t="s">
        <v>2569</v>
      </c>
      <c r="B34" s="100">
        <v>6.59</v>
      </c>
      <c r="C34" s="100">
        <v>15.97</v>
      </c>
      <c r="D34" s="100">
        <v>13.63</v>
      </c>
      <c r="E34" s="100">
        <v>5.03</v>
      </c>
      <c r="F34" s="100">
        <v>1.76</v>
      </c>
      <c r="G34" s="100">
        <v>22.02</v>
      </c>
      <c r="H34" s="100">
        <v>1.75</v>
      </c>
      <c r="I34" s="100">
        <v>7.49</v>
      </c>
      <c r="J34" s="100">
        <v>0.45</v>
      </c>
      <c r="K34" s="100">
        <v>256.39999999999998</v>
      </c>
      <c r="L34" s="100">
        <v>25.84</v>
      </c>
      <c r="M34" s="100">
        <v>90.22</v>
      </c>
      <c r="N34" s="100">
        <v>12.8</v>
      </c>
      <c r="O34" s="100">
        <v>0</v>
      </c>
      <c r="P34" s="100">
        <v>0.42</v>
      </c>
      <c r="Q34" s="100">
        <v>10</v>
      </c>
      <c r="R34" s="6"/>
      <c r="S34" s="6"/>
      <c r="T34" s="156"/>
      <c r="U34" s="6"/>
    </row>
    <row r="35" spans="1:21" customFormat="1">
      <c r="A35" s="163" t="s">
        <v>2570</v>
      </c>
      <c r="B35" s="100">
        <v>6.57</v>
      </c>
      <c r="C35" s="100">
        <v>15.9</v>
      </c>
      <c r="D35" s="100">
        <v>13.58</v>
      </c>
      <c r="E35" s="100">
        <v>4.83</v>
      </c>
      <c r="F35" s="100">
        <v>1.42</v>
      </c>
      <c r="G35" s="100">
        <v>22.02</v>
      </c>
      <c r="H35" s="100">
        <v>1.75</v>
      </c>
      <c r="I35" s="100">
        <v>7.58</v>
      </c>
      <c r="J35" s="100">
        <v>0.5</v>
      </c>
      <c r="K35" s="100">
        <v>249.49</v>
      </c>
      <c r="L35" s="100">
        <v>25.88</v>
      </c>
      <c r="M35" s="100">
        <v>90.17</v>
      </c>
      <c r="N35" s="100">
        <v>13.7</v>
      </c>
      <c r="O35" s="100">
        <v>0</v>
      </c>
      <c r="P35" s="100">
        <v>0.43</v>
      </c>
      <c r="Q35" s="100">
        <v>10</v>
      </c>
      <c r="R35" s="6"/>
      <c r="S35" s="6"/>
      <c r="T35" s="156"/>
      <c r="U35" s="6"/>
    </row>
    <row r="36" spans="1:21" customFormat="1">
      <c r="A36" s="163" t="s">
        <v>2571</v>
      </c>
      <c r="B36" s="100">
        <v>6.6</v>
      </c>
      <c r="C36" s="100">
        <v>15.85</v>
      </c>
      <c r="D36" s="100">
        <v>13.57</v>
      </c>
      <c r="E36" s="100">
        <v>4.97</v>
      </c>
      <c r="F36" s="100">
        <v>1.51</v>
      </c>
      <c r="G36" s="100">
        <v>22.08</v>
      </c>
      <c r="H36" s="100">
        <v>3.87</v>
      </c>
      <c r="I36" s="100">
        <v>7.65</v>
      </c>
      <c r="J36" s="100">
        <v>0.46</v>
      </c>
      <c r="K36" s="100">
        <v>255.33</v>
      </c>
      <c r="L36" s="100">
        <v>25.93</v>
      </c>
      <c r="M36" s="100">
        <v>89.85</v>
      </c>
      <c r="N36" s="100">
        <v>13.6</v>
      </c>
      <c r="O36" s="100">
        <v>0</v>
      </c>
      <c r="P36" s="100">
        <v>0.43</v>
      </c>
      <c r="Q36" s="100">
        <v>10</v>
      </c>
      <c r="R36" s="6"/>
      <c r="S36" s="6"/>
      <c r="T36" s="156"/>
      <c r="U36" s="6"/>
    </row>
    <row r="37" spans="1:21" customFormat="1">
      <c r="A37" s="163" t="s">
        <v>2572</v>
      </c>
      <c r="B37" s="100">
        <v>6.69</v>
      </c>
      <c r="C37" s="100">
        <v>15.8</v>
      </c>
      <c r="D37" s="100">
        <v>13.62</v>
      </c>
      <c r="E37" s="100">
        <v>5.14</v>
      </c>
      <c r="F37" s="100">
        <v>1.43</v>
      </c>
      <c r="G37" s="100">
        <v>22.19</v>
      </c>
      <c r="H37" s="100">
        <v>5.74</v>
      </c>
      <c r="I37" s="100">
        <v>7.78</v>
      </c>
      <c r="J37" s="100">
        <v>0.56999999999999995</v>
      </c>
      <c r="K37" s="100">
        <v>264.02</v>
      </c>
      <c r="L37" s="100">
        <v>26.02</v>
      </c>
      <c r="M37" s="100">
        <v>89.31</v>
      </c>
      <c r="N37" s="100">
        <v>20.2</v>
      </c>
      <c r="O37" s="100">
        <v>0</v>
      </c>
      <c r="P37" s="100">
        <v>0.43</v>
      </c>
      <c r="Q37" s="100">
        <v>10</v>
      </c>
      <c r="R37" s="6"/>
      <c r="S37" s="6"/>
      <c r="T37" s="156"/>
      <c r="U37" s="6"/>
    </row>
    <row r="38" spans="1:21" customFormat="1">
      <c r="A38" s="163" t="s">
        <v>2573</v>
      </c>
      <c r="B38" s="100">
        <v>6.77</v>
      </c>
      <c r="C38" s="100">
        <v>15.73</v>
      </c>
      <c r="D38" s="100">
        <v>13.65</v>
      </c>
      <c r="E38" s="100">
        <v>5.18</v>
      </c>
      <c r="F38" s="100">
        <v>2.04</v>
      </c>
      <c r="G38" s="100">
        <v>22.19</v>
      </c>
      <c r="H38" s="100">
        <v>5.74</v>
      </c>
      <c r="I38" s="100">
        <v>8.02</v>
      </c>
      <c r="J38" s="100">
        <v>0.68</v>
      </c>
      <c r="K38" s="100">
        <v>263.02</v>
      </c>
      <c r="L38" s="100">
        <v>26.12</v>
      </c>
      <c r="M38" s="100">
        <v>88.55</v>
      </c>
      <c r="N38" s="100">
        <v>31.6</v>
      </c>
      <c r="O38" s="100">
        <v>0</v>
      </c>
      <c r="P38" s="100">
        <v>0.44</v>
      </c>
      <c r="Q38" s="100">
        <v>10</v>
      </c>
      <c r="R38" s="6"/>
      <c r="S38" s="6"/>
      <c r="T38" s="156"/>
      <c r="U38" s="6"/>
    </row>
    <row r="39" spans="1:21" customFormat="1">
      <c r="A39" s="163" t="s">
        <v>2574</v>
      </c>
      <c r="B39" s="100">
        <v>6.89</v>
      </c>
      <c r="C39" s="100">
        <v>15.64</v>
      </c>
      <c r="D39" s="100">
        <v>13.7</v>
      </c>
      <c r="E39" s="100">
        <v>5.34</v>
      </c>
      <c r="F39" s="100">
        <v>1.91</v>
      </c>
      <c r="G39" s="100">
        <v>22.19</v>
      </c>
      <c r="H39" s="100">
        <v>5.74</v>
      </c>
      <c r="I39" s="100">
        <v>8.18</v>
      </c>
      <c r="J39" s="100">
        <v>0.7</v>
      </c>
      <c r="K39" s="100">
        <v>264.16000000000003</v>
      </c>
      <c r="L39" s="100">
        <v>26.31</v>
      </c>
      <c r="M39" s="100">
        <v>87.49</v>
      </c>
      <c r="N39" s="100">
        <v>50.6</v>
      </c>
      <c r="O39" s="100">
        <v>0</v>
      </c>
      <c r="P39" s="100">
        <v>0.44</v>
      </c>
      <c r="Q39" s="100">
        <v>10</v>
      </c>
      <c r="R39" s="6"/>
      <c r="S39" s="6"/>
      <c r="T39" s="156"/>
      <c r="U39" s="6"/>
    </row>
    <row r="40" spans="1:21" customFormat="1">
      <c r="A40" s="163" t="s">
        <v>2575</v>
      </c>
      <c r="B40" s="100">
        <v>7</v>
      </c>
      <c r="C40" s="100">
        <v>15.57</v>
      </c>
      <c r="D40" s="100">
        <v>13.75</v>
      </c>
      <c r="E40" s="100">
        <v>5.14</v>
      </c>
      <c r="F40" s="100">
        <v>1.95</v>
      </c>
      <c r="G40" s="100">
        <v>22.9</v>
      </c>
      <c r="H40" s="100">
        <v>6.32</v>
      </c>
      <c r="I40" s="100">
        <v>8.2100000000000009</v>
      </c>
      <c r="J40" s="100">
        <v>0.74</v>
      </c>
      <c r="K40" s="100">
        <v>271.13</v>
      </c>
      <c r="L40" s="100">
        <v>26.46</v>
      </c>
      <c r="M40" s="100">
        <v>86.93</v>
      </c>
      <c r="N40" s="100">
        <v>56.9</v>
      </c>
      <c r="O40" s="100">
        <v>0</v>
      </c>
      <c r="P40" s="100">
        <v>0.44</v>
      </c>
      <c r="Q40" s="100">
        <v>10</v>
      </c>
      <c r="R40" s="6"/>
      <c r="S40" s="6"/>
      <c r="T40" s="156"/>
      <c r="U40" s="6"/>
    </row>
    <row r="41" spans="1:21" customFormat="1">
      <c r="A41" s="163" t="s">
        <v>2576</v>
      </c>
      <c r="B41" s="100">
        <v>7.1</v>
      </c>
      <c r="C41" s="100">
        <v>15.51</v>
      </c>
      <c r="D41" s="100">
        <v>13.8</v>
      </c>
      <c r="E41" s="100">
        <v>5.25</v>
      </c>
      <c r="F41" s="100">
        <v>1.58</v>
      </c>
      <c r="G41" s="100">
        <v>23.97</v>
      </c>
      <c r="H41" s="100">
        <v>6.84</v>
      </c>
      <c r="I41" s="100">
        <v>8.35</v>
      </c>
      <c r="J41" s="100">
        <v>0.81</v>
      </c>
      <c r="K41" s="100">
        <v>265.60000000000002</v>
      </c>
      <c r="L41" s="100">
        <v>26.53</v>
      </c>
      <c r="M41" s="100">
        <v>86.57</v>
      </c>
      <c r="N41" s="100">
        <v>62.7</v>
      </c>
      <c r="O41" s="100">
        <v>0</v>
      </c>
      <c r="P41" s="100">
        <v>0.43</v>
      </c>
      <c r="Q41" s="100">
        <v>10</v>
      </c>
      <c r="R41" s="6"/>
      <c r="S41" s="6"/>
      <c r="T41" s="156"/>
      <c r="U41" s="6"/>
    </row>
    <row r="42" spans="1:21" customFormat="1">
      <c r="A42" s="163" t="s">
        <v>2577</v>
      </c>
      <c r="B42" s="100">
        <v>7.24</v>
      </c>
      <c r="C42" s="100">
        <v>15.45</v>
      </c>
      <c r="D42" s="100">
        <v>13.88</v>
      </c>
      <c r="E42" s="100">
        <v>5.1100000000000003</v>
      </c>
      <c r="F42" s="100">
        <v>1.17</v>
      </c>
      <c r="G42" s="100">
        <v>23.97</v>
      </c>
      <c r="H42" s="100">
        <v>6.84</v>
      </c>
      <c r="I42" s="100">
        <v>8.36</v>
      </c>
      <c r="J42" s="100">
        <v>0.76</v>
      </c>
      <c r="K42" s="100">
        <v>259.49</v>
      </c>
      <c r="L42" s="100">
        <v>26.73</v>
      </c>
      <c r="M42" s="100">
        <v>86.11</v>
      </c>
      <c r="N42" s="100">
        <v>87.2</v>
      </c>
      <c r="O42" s="100">
        <v>0</v>
      </c>
      <c r="P42" s="100">
        <v>0.43</v>
      </c>
      <c r="Q42" s="100">
        <v>10</v>
      </c>
      <c r="R42" s="6"/>
      <c r="S42" s="6"/>
      <c r="T42" s="156"/>
      <c r="U42" s="6"/>
    </row>
    <row r="43" spans="1:21" customFormat="1">
      <c r="A43" s="163" t="s">
        <v>2578</v>
      </c>
      <c r="B43" s="100">
        <v>7.32</v>
      </c>
      <c r="C43" s="100">
        <v>15.46</v>
      </c>
      <c r="D43" s="100">
        <v>13.94</v>
      </c>
      <c r="E43" s="100">
        <v>4.5999999999999996</v>
      </c>
      <c r="F43" s="100">
        <v>1.1399999999999999</v>
      </c>
      <c r="G43" s="100">
        <v>23.97</v>
      </c>
      <c r="H43" s="100">
        <v>6.84</v>
      </c>
      <c r="I43" s="100">
        <v>8.35</v>
      </c>
      <c r="J43" s="100">
        <v>1.01</v>
      </c>
      <c r="K43" s="100">
        <v>262.83</v>
      </c>
      <c r="L43" s="100">
        <v>26.96</v>
      </c>
      <c r="M43" s="100">
        <v>85.22</v>
      </c>
      <c r="N43" s="100">
        <v>117.5</v>
      </c>
      <c r="O43" s="100">
        <v>0</v>
      </c>
      <c r="P43" s="100">
        <v>0.43</v>
      </c>
      <c r="Q43" s="100">
        <v>10</v>
      </c>
      <c r="R43" s="6"/>
      <c r="S43" s="6"/>
      <c r="T43" s="156"/>
      <c r="U43" s="6"/>
    </row>
    <row r="44" spans="1:21" customFormat="1">
      <c r="A44" s="163" t="s">
        <v>2579</v>
      </c>
      <c r="B44" s="100">
        <v>7.4</v>
      </c>
      <c r="C44" s="100">
        <v>15.37</v>
      </c>
      <c r="D44" s="100">
        <v>13.96</v>
      </c>
      <c r="E44" s="100">
        <v>4.97</v>
      </c>
      <c r="F44" s="100">
        <v>2.59</v>
      </c>
      <c r="G44" s="100">
        <v>24.53</v>
      </c>
      <c r="H44" s="100">
        <v>7.43</v>
      </c>
      <c r="I44" s="100">
        <v>8.43</v>
      </c>
      <c r="J44" s="100">
        <v>0.71</v>
      </c>
      <c r="K44" s="100">
        <v>255.07</v>
      </c>
      <c r="L44" s="100">
        <v>27.13</v>
      </c>
      <c r="M44" s="100">
        <v>84.88</v>
      </c>
      <c r="N44" s="100">
        <v>125.6</v>
      </c>
      <c r="O44" s="100">
        <v>0</v>
      </c>
      <c r="P44" s="100">
        <v>0.43</v>
      </c>
      <c r="Q44" s="100">
        <v>10</v>
      </c>
      <c r="R44" s="6"/>
      <c r="S44" s="6"/>
      <c r="T44" s="156"/>
      <c r="U44" s="6"/>
    </row>
    <row r="45" spans="1:21" customFormat="1">
      <c r="A45" s="163" t="s">
        <v>2580</v>
      </c>
      <c r="B45" s="100">
        <v>7.46</v>
      </c>
      <c r="C45" s="100">
        <v>15.32</v>
      </c>
      <c r="D45" s="100">
        <v>13.98</v>
      </c>
      <c r="E45" s="100">
        <v>5.39</v>
      </c>
      <c r="F45" s="100">
        <v>1.83</v>
      </c>
      <c r="G45" s="100">
        <v>25.36</v>
      </c>
      <c r="H45" s="100">
        <v>9.1</v>
      </c>
      <c r="I45" s="100">
        <v>8.5500000000000007</v>
      </c>
      <c r="J45" s="100">
        <v>0.77</v>
      </c>
      <c r="K45" s="100">
        <v>262.77999999999997</v>
      </c>
      <c r="L45" s="100">
        <v>27.17</v>
      </c>
      <c r="M45" s="100">
        <v>85.09</v>
      </c>
      <c r="N45" s="100">
        <v>89.6</v>
      </c>
      <c r="O45" s="100">
        <v>0</v>
      </c>
      <c r="P45" s="100">
        <v>0.44</v>
      </c>
      <c r="Q45" s="100">
        <v>10</v>
      </c>
      <c r="R45" s="6"/>
      <c r="S45" s="6"/>
      <c r="T45" s="156"/>
      <c r="U45" s="6"/>
    </row>
    <row r="46" spans="1:21" customFormat="1">
      <c r="A46" s="163" t="s">
        <v>2581</v>
      </c>
      <c r="B46" s="100">
        <v>7.5</v>
      </c>
      <c r="C46" s="100">
        <v>15.16</v>
      </c>
      <c r="D46" s="100">
        <v>13.93</v>
      </c>
      <c r="E46" s="100">
        <v>5.28</v>
      </c>
      <c r="F46" s="100">
        <v>1.46</v>
      </c>
      <c r="G46" s="100">
        <v>25.36</v>
      </c>
      <c r="H46" s="100">
        <v>9.1</v>
      </c>
      <c r="I46" s="100">
        <v>8.56</v>
      </c>
      <c r="J46" s="100">
        <v>0.71</v>
      </c>
      <c r="K46" s="100">
        <v>258.94</v>
      </c>
      <c r="L46" s="100">
        <v>27</v>
      </c>
      <c r="M46" s="100">
        <v>86.55</v>
      </c>
      <c r="N46" s="100">
        <v>77.8</v>
      </c>
      <c r="O46" s="100">
        <v>0</v>
      </c>
      <c r="P46" s="100">
        <v>0.45</v>
      </c>
      <c r="Q46" s="100">
        <v>10</v>
      </c>
      <c r="R46" s="6"/>
      <c r="S46" s="6"/>
      <c r="T46" s="156"/>
      <c r="U46" s="6"/>
    </row>
    <row r="47" spans="1:21" customFormat="1">
      <c r="A47" s="163" t="s">
        <v>2582</v>
      </c>
      <c r="B47" s="100">
        <v>7.47</v>
      </c>
      <c r="C47" s="100">
        <v>15.1</v>
      </c>
      <c r="D47" s="100">
        <v>13.88</v>
      </c>
      <c r="E47" s="100">
        <v>5.36</v>
      </c>
      <c r="F47" s="100">
        <v>1.54</v>
      </c>
      <c r="G47" s="100">
        <v>25.36</v>
      </c>
      <c r="H47" s="100">
        <v>9.1</v>
      </c>
      <c r="I47" s="100">
        <v>8.6300000000000008</v>
      </c>
      <c r="J47" s="100">
        <v>0.65</v>
      </c>
      <c r="K47" s="100">
        <v>258.10000000000002</v>
      </c>
      <c r="L47" s="100">
        <v>26.52</v>
      </c>
      <c r="M47" s="100">
        <v>89.45</v>
      </c>
      <c r="N47" s="100">
        <v>42.8</v>
      </c>
      <c r="O47" s="100">
        <v>0</v>
      </c>
      <c r="P47" s="100">
        <v>0.46</v>
      </c>
      <c r="Q47" s="100">
        <v>10</v>
      </c>
      <c r="R47" s="6"/>
      <c r="S47" s="6"/>
      <c r="T47" s="156"/>
      <c r="U47" s="6"/>
    </row>
    <row r="48" spans="1:21" customFormat="1">
      <c r="A48" s="163" t="s">
        <v>2583</v>
      </c>
      <c r="B48" s="100">
        <v>7.38</v>
      </c>
      <c r="C48" s="100">
        <v>15.11</v>
      </c>
      <c r="D48" s="100">
        <v>13.81</v>
      </c>
      <c r="E48" s="100">
        <v>5.41</v>
      </c>
      <c r="F48" s="100">
        <v>1.88</v>
      </c>
      <c r="G48" s="100">
        <v>24.63</v>
      </c>
      <c r="H48" s="100">
        <v>7.65</v>
      </c>
      <c r="I48" s="100">
        <v>8.82</v>
      </c>
      <c r="J48" s="100">
        <v>0.56000000000000005</v>
      </c>
      <c r="K48" s="100">
        <v>264.32</v>
      </c>
      <c r="L48" s="100">
        <v>26.22</v>
      </c>
      <c r="M48" s="100">
        <v>90.97</v>
      </c>
      <c r="N48" s="100">
        <v>39.799999999999997</v>
      </c>
      <c r="O48" s="100">
        <v>0</v>
      </c>
      <c r="P48" s="100">
        <v>0.46</v>
      </c>
      <c r="Q48" s="100">
        <v>10</v>
      </c>
      <c r="R48" s="6"/>
      <c r="S48" s="6"/>
      <c r="T48" s="156"/>
      <c r="U48" s="6"/>
    </row>
    <row r="49" spans="1:21" customFormat="1">
      <c r="A49" s="163" t="s">
        <v>2584</v>
      </c>
      <c r="B49" s="100">
        <v>7.34</v>
      </c>
      <c r="C49" s="100">
        <v>15.11</v>
      </c>
      <c r="D49" s="100">
        <v>13.78</v>
      </c>
      <c r="E49" s="100">
        <v>4.3899999999999997</v>
      </c>
      <c r="F49" s="100">
        <v>1.37</v>
      </c>
      <c r="G49" s="100">
        <v>23.53</v>
      </c>
      <c r="H49" s="100">
        <v>6.37</v>
      </c>
      <c r="I49" s="100">
        <v>8.9600000000000009</v>
      </c>
      <c r="J49" s="100">
        <v>0.75</v>
      </c>
      <c r="K49" s="100">
        <v>263.8</v>
      </c>
      <c r="L49" s="100">
        <v>26.13</v>
      </c>
      <c r="M49" s="100">
        <v>90.53</v>
      </c>
      <c r="N49" s="100">
        <v>42.5</v>
      </c>
      <c r="O49" s="100">
        <v>0</v>
      </c>
      <c r="P49" s="100">
        <v>0.45</v>
      </c>
      <c r="Q49" s="100">
        <v>10</v>
      </c>
      <c r="R49" s="6"/>
      <c r="S49" s="6"/>
      <c r="T49" s="156"/>
      <c r="U49" s="6"/>
    </row>
    <row r="50" spans="1:21" customFormat="1">
      <c r="A50" s="163" t="s">
        <v>2585</v>
      </c>
      <c r="B50" s="100">
        <v>7.3</v>
      </c>
      <c r="C50" s="100">
        <v>14.97</v>
      </c>
      <c r="D50" s="100">
        <v>13.67</v>
      </c>
      <c r="E50" s="100">
        <v>5.26</v>
      </c>
      <c r="F50" s="100">
        <v>1.97</v>
      </c>
      <c r="G50" s="100">
        <v>23.53</v>
      </c>
      <c r="H50" s="100">
        <v>6.37</v>
      </c>
      <c r="I50" s="100">
        <v>8.98</v>
      </c>
      <c r="J50" s="100">
        <v>0.73</v>
      </c>
      <c r="K50" s="100">
        <v>254.13</v>
      </c>
      <c r="L50" s="100">
        <v>25.9</v>
      </c>
      <c r="M50" s="100">
        <v>90.88</v>
      </c>
      <c r="N50" s="100">
        <v>38.299999999999997</v>
      </c>
      <c r="O50" s="100">
        <v>0.2</v>
      </c>
      <c r="P50" s="100">
        <v>0.44</v>
      </c>
      <c r="Q50" s="100">
        <v>10</v>
      </c>
      <c r="R50" s="6"/>
      <c r="S50" s="6"/>
      <c r="T50" s="156"/>
      <c r="U50" s="6"/>
    </row>
    <row r="51" spans="1:21" customFormat="1">
      <c r="A51" s="163" t="s">
        <v>2586</v>
      </c>
      <c r="B51" s="100">
        <v>7.29</v>
      </c>
      <c r="C51" s="100">
        <v>14.88</v>
      </c>
      <c r="D51" s="100">
        <v>13.62</v>
      </c>
      <c r="E51" s="100">
        <v>5.46</v>
      </c>
      <c r="F51" s="100">
        <v>1.59</v>
      </c>
      <c r="G51" s="100">
        <v>23.53</v>
      </c>
      <c r="H51" s="100">
        <v>6.37</v>
      </c>
      <c r="I51" s="100">
        <v>8.86</v>
      </c>
      <c r="J51" s="100">
        <v>0.57999999999999996</v>
      </c>
      <c r="K51" s="100">
        <v>252.32</v>
      </c>
      <c r="L51" s="100">
        <v>25.67</v>
      </c>
      <c r="M51" s="100">
        <v>93.2</v>
      </c>
      <c r="N51" s="100">
        <v>35.6</v>
      </c>
      <c r="O51" s="100">
        <v>0</v>
      </c>
      <c r="P51" s="100">
        <v>0.43</v>
      </c>
      <c r="Q51" s="100">
        <v>10</v>
      </c>
      <c r="R51" s="6"/>
      <c r="S51" s="6"/>
      <c r="T51" s="156"/>
      <c r="U51" s="6"/>
    </row>
    <row r="52" spans="1:21" customFormat="1">
      <c r="A52" s="163" t="s">
        <v>2587</v>
      </c>
      <c r="B52" s="100">
        <v>7.36</v>
      </c>
      <c r="C52" s="100">
        <v>14.82</v>
      </c>
      <c r="D52" s="100">
        <v>13.65</v>
      </c>
      <c r="E52" s="100">
        <v>5.0599999999999996</v>
      </c>
      <c r="F52" s="100">
        <v>1.68</v>
      </c>
      <c r="G52" s="100">
        <v>24.51</v>
      </c>
      <c r="H52" s="100">
        <v>5.63</v>
      </c>
      <c r="I52" s="100">
        <v>8.68</v>
      </c>
      <c r="J52" s="100">
        <v>0.5</v>
      </c>
      <c r="K52" s="100">
        <v>267.45</v>
      </c>
      <c r="L52" s="100">
        <v>25.66</v>
      </c>
      <c r="M52" s="100">
        <v>93.96</v>
      </c>
      <c r="N52" s="100">
        <v>33.4</v>
      </c>
      <c r="O52" s="100">
        <v>0.2</v>
      </c>
      <c r="P52" s="100">
        <v>0.4</v>
      </c>
      <c r="Q52" s="100">
        <v>10</v>
      </c>
      <c r="R52" s="6"/>
      <c r="S52" s="6"/>
      <c r="T52" s="156"/>
      <c r="U52" s="6"/>
    </row>
    <row r="53" spans="1:21" customFormat="1">
      <c r="A53" s="163" t="s">
        <v>2588</v>
      </c>
      <c r="B53" s="100">
        <v>7.57</v>
      </c>
      <c r="C53" s="100">
        <v>15.01</v>
      </c>
      <c r="D53" s="100">
        <v>13.91</v>
      </c>
      <c r="E53" s="100">
        <v>4.6100000000000003</v>
      </c>
      <c r="F53" s="100">
        <v>1.43</v>
      </c>
      <c r="G53" s="100">
        <v>25.98</v>
      </c>
      <c r="H53" s="100">
        <v>4.97</v>
      </c>
      <c r="I53" s="100">
        <v>8.56</v>
      </c>
      <c r="J53" s="100">
        <v>0.69</v>
      </c>
      <c r="K53" s="100">
        <v>253.69</v>
      </c>
      <c r="L53" s="100">
        <v>25.65</v>
      </c>
      <c r="M53" s="100">
        <v>94.15</v>
      </c>
      <c r="N53" s="100">
        <v>82.7</v>
      </c>
      <c r="O53" s="100">
        <v>0</v>
      </c>
      <c r="P53" s="100">
        <v>0.38</v>
      </c>
      <c r="Q53" s="100">
        <v>10</v>
      </c>
      <c r="R53" s="6"/>
      <c r="S53" s="6"/>
      <c r="T53" s="156"/>
      <c r="U53" s="6"/>
    </row>
    <row r="54" spans="1:21" customFormat="1">
      <c r="A54" s="163" t="s">
        <v>2589</v>
      </c>
      <c r="B54" s="100">
        <v>7.79</v>
      </c>
      <c r="C54" s="100">
        <v>15.06</v>
      </c>
      <c r="D54" s="100">
        <v>14.11</v>
      </c>
      <c r="E54" s="100">
        <v>4.18</v>
      </c>
      <c r="F54" s="100">
        <v>2.21</v>
      </c>
      <c r="G54" s="100">
        <v>25.98</v>
      </c>
      <c r="H54" s="100">
        <v>4.97</v>
      </c>
      <c r="I54" s="100">
        <v>8.52</v>
      </c>
      <c r="J54" s="100">
        <v>0.71</v>
      </c>
      <c r="K54" s="100">
        <v>258</v>
      </c>
      <c r="L54" s="100">
        <v>25.85</v>
      </c>
      <c r="M54" s="100">
        <v>93.45</v>
      </c>
      <c r="N54" s="100">
        <v>124.9</v>
      </c>
      <c r="O54" s="100">
        <v>0.2</v>
      </c>
      <c r="P54" s="100">
        <v>0.37</v>
      </c>
      <c r="Q54" s="100">
        <v>10</v>
      </c>
      <c r="R54" s="6"/>
      <c r="S54" s="6"/>
      <c r="T54" s="156"/>
      <c r="U54" s="6"/>
    </row>
    <row r="55" spans="1:21" customFormat="1">
      <c r="A55" s="163" t="s">
        <v>2590</v>
      </c>
      <c r="B55" s="100">
        <v>8.02</v>
      </c>
      <c r="C55" s="100">
        <v>15.29</v>
      </c>
      <c r="D55" s="100">
        <v>14.42</v>
      </c>
      <c r="E55" s="100">
        <v>4.3499999999999996</v>
      </c>
      <c r="F55" s="100">
        <v>1.99</v>
      </c>
      <c r="G55" s="100">
        <v>25.98</v>
      </c>
      <c r="H55" s="100">
        <v>4.97</v>
      </c>
      <c r="I55" s="100">
        <v>8.4499999999999993</v>
      </c>
      <c r="J55" s="100">
        <v>0.63</v>
      </c>
      <c r="K55" s="100">
        <v>255.21</v>
      </c>
      <c r="L55" s="100">
        <v>25.86</v>
      </c>
      <c r="M55" s="100">
        <v>94.05</v>
      </c>
      <c r="N55" s="100">
        <v>100.6</v>
      </c>
      <c r="O55" s="100">
        <v>0.2</v>
      </c>
      <c r="P55" s="100">
        <v>0.4</v>
      </c>
      <c r="Q55" s="100">
        <v>10</v>
      </c>
      <c r="R55" s="6"/>
      <c r="S55" s="6"/>
      <c r="T55" s="156"/>
      <c r="U55" s="6"/>
    </row>
    <row r="56" spans="1:21" customFormat="1">
      <c r="A56" s="163" t="s">
        <v>2591</v>
      </c>
      <c r="B56" s="100">
        <v>8.11</v>
      </c>
      <c r="C56" s="100">
        <v>14.93</v>
      </c>
      <c r="D56" s="100">
        <v>14.31</v>
      </c>
      <c r="E56" s="100">
        <v>4.6500000000000004</v>
      </c>
      <c r="F56" s="100">
        <v>1.4</v>
      </c>
      <c r="G56" s="100">
        <v>24.98</v>
      </c>
      <c r="H56" s="100">
        <v>6.17</v>
      </c>
      <c r="I56" s="100">
        <v>8.4</v>
      </c>
      <c r="J56" s="100">
        <v>0.71</v>
      </c>
      <c r="K56" s="100">
        <v>255.75</v>
      </c>
      <c r="L56" s="100">
        <v>25.85</v>
      </c>
      <c r="M56" s="100">
        <v>94.24</v>
      </c>
      <c r="N56" s="100">
        <v>86.3</v>
      </c>
      <c r="O56" s="100">
        <v>0.2</v>
      </c>
      <c r="P56" s="100">
        <v>0.4</v>
      </c>
      <c r="Q56" s="100">
        <v>10</v>
      </c>
      <c r="R56" s="6"/>
      <c r="S56" s="6"/>
      <c r="T56" s="156"/>
      <c r="U56" s="6"/>
    </row>
    <row r="57" spans="1:21" customFormat="1">
      <c r="A57" s="163" t="s">
        <v>2592</v>
      </c>
      <c r="B57" s="100">
        <v>8.27</v>
      </c>
      <c r="C57" s="100">
        <v>14.8</v>
      </c>
      <c r="D57" s="100">
        <v>14.37</v>
      </c>
      <c r="E57" s="100">
        <v>4.5</v>
      </c>
      <c r="F57" s="100">
        <v>2.09</v>
      </c>
      <c r="G57" s="100">
        <v>23.48</v>
      </c>
      <c r="H57" s="100">
        <v>7.26</v>
      </c>
      <c r="I57" s="100">
        <v>8.42</v>
      </c>
      <c r="J57" s="100">
        <v>0.83</v>
      </c>
      <c r="K57" s="100">
        <v>258.29000000000002</v>
      </c>
      <c r="L57" s="100">
        <v>25.6</v>
      </c>
      <c r="M57" s="100">
        <v>95.86</v>
      </c>
      <c r="N57" s="100">
        <v>111.1</v>
      </c>
      <c r="O57" s="100">
        <v>0.6</v>
      </c>
      <c r="P57" s="100">
        <v>0.39</v>
      </c>
      <c r="Q57" s="100">
        <v>10</v>
      </c>
      <c r="R57" s="6"/>
      <c r="S57" s="6"/>
      <c r="T57" s="156"/>
      <c r="U57" s="6"/>
    </row>
    <row r="58" spans="1:21" customFormat="1">
      <c r="A58" s="163" t="s">
        <v>2593</v>
      </c>
      <c r="B58" s="100">
        <v>8.52</v>
      </c>
      <c r="C58" s="100">
        <v>15.02</v>
      </c>
      <c r="D58" s="100">
        <v>14.68</v>
      </c>
      <c r="E58" s="100">
        <v>4.3600000000000003</v>
      </c>
      <c r="F58" s="100">
        <v>2.1</v>
      </c>
      <c r="G58" s="100">
        <v>23.48</v>
      </c>
      <c r="H58" s="100">
        <v>7.26</v>
      </c>
      <c r="I58" s="100">
        <v>8.39</v>
      </c>
      <c r="J58" s="100">
        <v>0.78</v>
      </c>
      <c r="K58" s="100">
        <v>253.82</v>
      </c>
      <c r="L58" s="100">
        <v>25.4</v>
      </c>
      <c r="M58" s="100">
        <v>97.82</v>
      </c>
      <c r="N58" s="100">
        <v>79.8</v>
      </c>
      <c r="O58" s="100">
        <v>1.2</v>
      </c>
      <c r="P58" s="100">
        <v>0.41</v>
      </c>
      <c r="Q58" s="100">
        <v>10</v>
      </c>
      <c r="R58" s="6"/>
      <c r="S58" s="6"/>
      <c r="T58" s="156"/>
      <c r="U58" s="6"/>
    </row>
    <row r="59" spans="1:21" customFormat="1">
      <c r="A59" s="163" t="s">
        <v>2594</v>
      </c>
      <c r="B59" s="100">
        <v>8.69</v>
      </c>
      <c r="C59" s="100">
        <v>14.83</v>
      </c>
      <c r="D59" s="100">
        <v>14.72</v>
      </c>
      <c r="E59" s="100">
        <v>4.8099999999999996</v>
      </c>
      <c r="F59" s="100">
        <v>1.31</v>
      </c>
      <c r="G59" s="100">
        <v>23.48</v>
      </c>
      <c r="H59" s="100">
        <v>7.26</v>
      </c>
      <c r="I59" s="100">
        <v>8.3800000000000008</v>
      </c>
      <c r="J59" s="100">
        <v>0.74</v>
      </c>
      <c r="K59" s="100">
        <v>260.41000000000003</v>
      </c>
      <c r="L59" s="100">
        <v>25.33</v>
      </c>
      <c r="M59" s="100">
        <v>98.61</v>
      </c>
      <c r="N59" s="100">
        <v>125.5</v>
      </c>
      <c r="O59" s="100">
        <v>0.8</v>
      </c>
      <c r="P59" s="100">
        <v>0.41</v>
      </c>
      <c r="Q59" s="100">
        <v>10</v>
      </c>
      <c r="R59" s="6"/>
      <c r="S59" s="6"/>
      <c r="T59" s="156"/>
      <c r="U59" s="6"/>
    </row>
    <row r="60" spans="1:21" customFormat="1">
      <c r="A60" s="163" t="s">
        <v>2595</v>
      </c>
      <c r="B60" s="100">
        <v>8.7799999999999994</v>
      </c>
      <c r="C60" s="100">
        <v>14.89</v>
      </c>
      <c r="D60" s="100">
        <v>14.82</v>
      </c>
      <c r="E60" s="100">
        <v>4.3099999999999996</v>
      </c>
      <c r="F60" s="100">
        <v>2.59</v>
      </c>
      <c r="G60" s="100">
        <v>23.93</v>
      </c>
      <c r="H60" s="100">
        <v>7.91</v>
      </c>
      <c r="I60" s="100">
        <v>8.48</v>
      </c>
      <c r="J60" s="100">
        <v>0.88</v>
      </c>
      <c r="K60" s="100">
        <v>263.36</v>
      </c>
      <c r="L60" s="100">
        <v>25.61</v>
      </c>
      <c r="M60" s="100">
        <v>98.66</v>
      </c>
      <c r="N60" s="100">
        <v>133.9</v>
      </c>
      <c r="O60" s="100">
        <v>0.4</v>
      </c>
      <c r="P60" s="100">
        <v>0.41</v>
      </c>
      <c r="Q60" s="100">
        <v>10</v>
      </c>
      <c r="R60" s="6"/>
      <c r="S60" s="6"/>
      <c r="T60" s="156"/>
      <c r="U60" s="6"/>
    </row>
    <row r="61" spans="1:21" customFormat="1">
      <c r="A61" s="163" t="s">
        <v>2596</v>
      </c>
      <c r="B61" s="100">
        <v>8.99</v>
      </c>
      <c r="C61" s="100">
        <v>15.18</v>
      </c>
      <c r="D61" s="100">
        <v>15.14</v>
      </c>
      <c r="E61" s="100">
        <v>4.3499999999999996</v>
      </c>
      <c r="F61" s="100">
        <v>2.5499999999999998</v>
      </c>
      <c r="G61" s="100">
        <v>24.61</v>
      </c>
      <c r="H61" s="100">
        <v>9.58</v>
      </c>
      <c r="I61" s="100">
        <v>8.57</v>
      </c>
      <c r="J61" s="100">
        <v>0.87</v>
      </c>
      <c r="K61" s="100">
        <v>258.08999999999997</v>
      </c>
      <c r="L61" s="100">
        <v>25.62</v>
      </c>
      <c r="M61" s="100">
        <v>98.66</v>
      </c>
      <c r="N61" s="100">
        <v>77.2</v>
      </c>
      <c r="O61" s="100">
        <v>0.2</v>
      </c>
      <c r="P61" s="100">
        <v>0.42</v>
      </c>
      <c r="Q61" s="100">
        <v>10</v>
      </c>
      <c r="R61" s="6"/>
      <c r="S61" s="6"/>
      <c r="T61" s="156"/>
      <c r="U61" s="6"/>
    </row>
    <row r="62" spans="1:21" customFormat="1">
      <c r="A62" s="163" t="s">
        <v>2597</v>
      </c>
      <c r="B62" s="100">
        <v>9.08</v>
      </c>
      <c r="C62" s="100">
        <v>15.05</v>
      </c>
      <c r="D62" s="100">
        <v>15.15</v>
      </c>
      <c r="E62" s="100">
        <v>4.75</v>
      </c>
      <c r="F62" s="100">
        <v>0.64</v>
      </c>
      <c r="G62" s="100">
        <v>24.61</v>
      </c>
      <c r="H62" s="100">
        <v>9.58</v>
      </c>
      <c r="I62" s="100">
        <v>8.61</v>
      </c>
      <c r="J62" s="100">
        <v>0.77</v>
      </c>
      <c r="K62" s="100">
        <v>254.84</v>
      </c>
      <c r="L62" s="100">
        <v>25.49</v>
      </c>
      <c r="M62" s="100">
        <v>98.62</v>
      </c>
      <c r="N62" s="100">
        <v>48</v>
      </c>
      <c r="O62" s="100">
        <v>0.2</v>
      </c>
      <c r="P62" s="100">
        <v>0.42</v>
      </c>
      <c r="Q62" s="100">
        <v>10</v>
      </c>
      <c r="R62" s="6"/>
      <c r="S62" s="6"/>
      <c r="T62" s="156"/>
      <c r="U62" s="6"/>
    </row>
    <row r="63" spans="1:21" customFormat="1">
      <c r="A63" s="163" t="s">
        <v>2598</v>
      </c>
      <c r="B63" s="100">
        <v>9.02</v>
      </c>
      <c r="C63" s="100">
        <v>14.92</v>
      </c>
      <c r="D63" s="100">
        <v>15.03</v>
      </c>
      <c r="E63" s="100">
        <v>4.43</v>
      </c>
      <c r="F63" s="100">
        <v>2.0699999999999998</v>
      </c>
      <c r="G63" s="100">
        <v>24.61</v>
      </c>
      <c r="H63" s="100">
        <v>9.58</v>
      </c>
      <c r="I63" s="100">
        <v>8.7899999999999991</v>
      </c>
      <c r="J63" s="100">
        <v>0.69</v>
      </c>
      <c r="K63" s="100">
        <v>251.5</v>
      </c>
      <c r="L63" s="100">
        <v>25.47</v>
      </c>
      <c r="M63" s="100">
        <v>98.42</v>
      </c>
      <c r="N63" s="100">
        <v>38.200000000000003</v>
      </c>
      <c r="O63" s="100">
        <v>0.4</v>
      </c>
      <c r="P63" s="100">
        <v>0.41</v>
      </c>
      <c r="Q63" s="100">
        <v>10</v>
      </c>
      <c r="R63" s="6"/>
      <c r="S63" s="6"/>
      <c r="T63" s="156"/>
      <c r="U63" s="6"/>
    </row>
    <row r="64" spans="1:21" customFormat="1">
      <c r="A64" s="163" t="s">
        <v>2599</v>
      </c>
      <c r="B64" s="100">
        <v>9.06</v>
      </c>
      <c r="C64" s="100">
        <v>15.1</v>
      </c>
      <c r="D64" s="100">
        <v>15.16</v>
      </c>
      <c r="E64" s="100">
        <v>4.4800000000000004</v>
      </c>
      <c r="F64" s="100">
        <v>2.68</v>
      </c>
      <c r="G64" s="100">
        <v>24.14</v>
      </c>
      <c r="H64" s="100">
        <v>8.15</v>
      </c>
      <c r="I64" s="100">
        <v>8.8000000000000007</v>
      </c>
      <c r="J64" s="100">
        <v>0.69</v>
      </c>
      <c r="K64" s="100">
        <v>254.95</v>
      </c>
      <c r="L64" s="100">
        <v>25.39</v>
      </c>
      <c r="M64" s="100">
        <v>98.26</v>
      </c>
      <c r="N64" s="100">
        <v>32.5</v>
      </c>
      <c r="O64" s="100">
        <v>1.2</v>
      </c>
      <c r="P64" s="100">
        <v>0.41</v>
      </c>
      <c r="Q64" s="100">
        <v>10</v>
      </c>
      <c r="R64" s="6"/>
      <c r="S64" s="6"/>
      <c r="T64" s="156"/>
      <c r="U64" s="6"/>
    </row>
    <row r="65" spans="1:21" customFormat="1">
      <c r="A65" s="163" t="s">
        <v>2600</v>
      </c>
      <c r="B65" s="100">
        <v>9.25</v>
      </c>
      <c r="C65" s="100">
        <v>15.28</v>
      </c>
      <c r="D65" s="100">
        <v>15.4</v>
      </c>
      <c r="E65" s="100">
        <v>4.29</v>
      </c>
      <c r="F65" s="100">
        <v>0.91</v>
      </c>
      <c r="G65" s="100">
        <v>23.45</v>
      </c>
      <c r="H65" s="100">
        <v>6.88</v>
      </c>
      <c r="I65" s="100">
        <v>8.73</v>
      </c>
      <c r="J65" s="100">
        <v>0.71</v>
      </c>
      <c r="K65" s="100">
        <v>256.77</v>
      </c>
      <c r="L65" s="100">
        <v>25.3</v>
      </c>
      <c r="M65" s="100">
        <v>98.56</v>
      </c>
      <c r="N65" s="100">
        <v>21.9</v>
      </c>
      <c r="O65" s="100">
        <v>1.6</v>
      </c>
      <c r="P65" s="100">
        <v>0.36</v>
      </c>
      <c r="Q65" s="100">
        <v>10</v>
      </c>
      <c r="R65" s="6"/>
      <c r="S65" s="6"/>
      <c r="T65" s="156"/>
      <c r="U65" s="6"/>
    </row>
    <row r="66" spans="1:21" customFormat="1">
      <c r="A66" s="163" t="s">
        <v>2601</v>
      </c>
      <c r="B66" s="100">
        <v>9.2799999999999994</v>
      </c>
      <c r="C66" s="100">
        <v>14.99</v>
      </c>
      <c r="D66" s="100">
        <v>15.28</v>
      </c>
      <c r="E66" s="100">
        <v>4.57</v>
      </c>
      <c r="F66" s="100">
        <v>1.56</v>
      </c>
      <c r="G66" s="100">
        <v>23.45</v>
      </c>
      <c r="H66" s="100">
        <v>6.88</v>
      </c>
      <c r="I66" s="100">
        <v>8.8699999999999992</v>
      </c>
      <c r="J66" s="100">
        <v>0.73</v>
      </c>
      <c r="K66" s="100">
        <v>255.71</v>
      </c>
      <c r="L66" s="100">
        <v>25.28</v>
      </c>
      <c r="M66" s="100">
        <v>98.66</v>
      </c>
      <c r="N66" s="100">
        <v>19.7</v>
      </c>
      <c r="O66" s="100">
        <v>0.8</v>
      </c>
      <c r="P66" s="100">
        <v>0.37</v>
      </c>
      <c r="Q66" s="100">
        <v>10</v>
      </c>
      <c r="R66" s="6"/>
      <c r="S66" s="6"/>
      <c r="T66" s="156"/>
      <c r="U66" s="6"/>
    </row>
    <row r="67" spans="1:21" customFormat="1">
      <c r="A67" s="163" t="s">
        <v>2602</v>
      </c>
      <c r="B67" s="100">
        <v>9.2200000000000006</v>
      </c>
      <c r="C67" s="100">
        <v>15.12</v>
      </c>
      <c r="D67" s="100">
        <v>15.3</v>
      </c>
      <c r="E67" s="100">
        <v>4.22</v>
      </c>
      <c r="F67" s="100">
        <v>2.5</v>
      </c>
      <c r="G67" s="100">
        <v>23.45</v>
      </c>
      <c r="H67" s="100">
        <v>6.88</v>
      </c>
      <c r="I67" s="100">
        <v>8.9700000000000006</v>
      </c>
      <c r="J67" s="100">
        <v>0.56999999999999995</v>
      </c>
      <c r="K67" s="100">
        <v>252.41</v>
      </c>
      <c r="L67" s="100">
        <v>25.28</v>
      </c>
      <c r="M67" s="100">
        <v>98.69</v>
      </c>
      <c r="N67" s="100">
        <v>23</v>
      </c>
      <c r="O67" s="100">
        <v>1</v>
      </c>
      <c r="P67" s="100">
        <v>0.38</v>
      </c>
      <c r="Q67" s="100">
        <v>10</v>
      </c>
      <c r="R67" s="6"/>
      <c r="S67" s="6"/>
      <c r="T67" s="156"/>
      <c r="U67" s="6"/>
    </row>
    <row r="68" spans="1:21" customFormat="1">
      <c r="A68" s="163" t="s">
        <v>2603</v>
      </c>
      <c r="B68" s="100">
        <v>9.39</v>
      </c>
      <c r="C68" s="100">
        <v>15.41</v>
      </c>
      <c r="D68" s="100">
        <v>15.58</v>
      </c>
      <c r="E68" s="100">
        <v>4.1399999999999997</v>
      </c>
      <c r="F68" s="100">
        <v>2.0499999999999998</v>
      </c>
      <c r="G68" s="100">
        <v>22.41</v>
      </c>
      <c r="H68" s="100">
        <v>8.6300000000000008</v>
      </c>
      <c r="I68" s="100">
        <v>8.91</v>
      </c>
      <c r="J68" s="100">
        <v>0.55000000000000004</v>
      </c>
      <c r="K68" s="100">
        <v>257.94</v>
      </c>
      <c r="L68" s="100">
        <v>25.31</v>
      </c>
      <c r="M68" s="100">
        <v>98.7</v>
      </c>
      <c r="N68" s="100">
        <v>25.9</v>
      </c>
      <c r="O68" s="100">
        <v>0.4</v>
      </c>
      <c r="P68" s="100">
        <v>0.4</v>
      </c>
      <c r="Q68" s="100">
        <v>10</v>
      </c>
      <c r="R68" s="6"/>
      <c r="S68" s="6"/>
      <c r="T68" s="156"/>
      <c r="U68" s="6"/>
    </row>
    <row r="69" spans="1:21" customFormat="1">
      <c r="A69" s="163" t="s">
        <v>2604</v>
      </c>
      <c r="B69" s="100">
        <v>9.44</v>
      </c>
      <c r="C69" s="100">
        <v>15.11</v>
      </c>
      <c r="D69" s="100">
        <v>15.47</v>
      </c>
      <c r="E69" s="100">
        <v>4.54</v>
      </c>
      <c r="F69" s="100">
        <v>1.54</v>
      </c>
      <c r="G69" s="100">
        <v>20.85</v>
      </c>
      <c r="H69" s="100">
        <v>10.18</v>
      </c>
      <c r="I69" s="100">
        <v>9.0399999999999991</v>
      </c>
      <c r="J69" s="100">
        <v>0.6</v>
      </c>
      <c r="K69" s="100">
        <v>259.83</v>
      </c>
      <c r="L69" s="100">
        <v>25.3</v>
      </c>
      <c r="M69" s="100">
        <v>98.7</v>
      </c>
      <c r="N69" s="100">
        <v>37.299999999999997</v>
      </c>
      <c r="O69" s="100">
        <v>0.8</v>
      </c>
      <c r="P69" s="100">
        <v>0.39</v>
      </c>
      <c r="Q69" s="100">
        <v>10</v>
      </c>
      <c r="R69" s="6"/>
      <c r="S69" s="6"/>
      <c r="T69" s="156"/>
      <c r="U69" s="6"/>
    </row>
    <row r="70" spans="1:21" customFormat="1">
      <c r="A70" s="163" t="s">
        <v>2605</v>
      </c>
      <c r="B70" s="100">
        <v>9.5</v>
      </c>
      <c r="C70" s="100">
        <v>15.53</v>
      </c>
      <c r="D70" s="100">
        <v>15.74</v>
      </c>
      <c r="E70" s="100">
        <v>4.45</v>
      </c>
      <c r="F70" s="100">
        <v>1.89</v>
      </c>
      <c r="G70" s="100">
        <v>20.85</v>
      </c>
      <c r="H70" s="100">
        <v>10.18</v>
      </c>
      <c r="I70" s="100">
        <v>9.2799999999999994</v>
      </c>
      <c r="J70" s="100">
        <v>0.62</v>
      </c>
      <c r="K70" s="100">
        <v>255.93</v>
      </c>
      <c r="L70" s="100">
        <v>25.41</v>
      </c>
      <c r="M70" s="100">
        <v>98.7</v>
      </c>
      <c r="N70" s="100">
        <v>38.6</v>
      </c>
      <c r="O70" s="100">
        <v>0</v>
      </c>
      <c r="P70" s="100">
        <v>0.41</v>
      </c>
      <c r="Q70" s="100">
        <v>10</v>
      </c>
      <c r="R70" s="6"/>
      <c r="S70" s="6"/>
      <c r="T70" s="156"/>
      <c r="U70" s="6"/>
    </row>
    <row r="71" spans="1:21" customFormat="1">
      <c r="A71" s="163" t="s">
        <v>2606</v>
      </c>
      <c r="B71" s="100">
        <v>9.52</v>
      </c>
      <c r="C71" s="100">
        <v>16.29</v>
      </c>
      <c r="D71" s="100">
        <v>16.149999999999999</v>
      </c>
      <c r="E71" s="100">
        <v>4.2</v>
      </c>
      <c r="F71" s="100">
        <v>2.15</v>
      </c>
      <c r="G71" s="100">
        <v>20.85</v>
      </c>
      <c r="H71" s="100">
        <v>10.18</v>
      </c>
      <c r="I71" s="100">
        <v>9.08</v>
      </c>
      <c r="J71" s="100">
        <v>0.62</v>
      </c>
      <c r="K71" s="100">
        <v>255.96</v>
      </c>
      <c r="L71" s="100">
        <v>25.45</v>
      </c>
      <c r="M71" s="100">
        <v>98.69</v>
      </c>
      <c r="N71" s="100">
        <v>28</v>
      </c>
      <c r="O71" s="100">
        <v>0.2</v>
      </c>
      <c r="P71" s="100">
        <v>0.44</v>
      </c>
      <c r="Q71" s="100">
        <v>10</v>
      </c>
      <c r="R71" s="6"/>
      <c r="S71" s="6"/>
      <c r="T71" s="156"/>
      <c r="U71" s="6"/>
    </row>
    <row r="72" spans="1:21" customFormat="1">
      <c r="A72" s="163" t="s">
        <v>2607</v>
      </c>
      <c r="B72" s="100">
        <v>9.57</v>
      </c>
      <c r="C72" s="100">
        <v>16.77</v>
      </c>
      <c r="D72" s="100">
        <v>16.440000000000001</v>
      </c>
      <c r="E72" s="100">
        <v>4.4400000000000004</v>
      </c>
      <c r="F72" s="100">
        <v>1.99</v>
      </c>
      <c r="G72" s="100">
        <v>20.83</v>
      </c>
      <c r="H72" s="100">
        <v>11.08</v>
      </c>
      <c r="I72" s="100">
        <v>9.2200000000000006</v>
      </c>
      <c r="J72" s="100">
        <v>0.44</v>
      </c>
      <c r="K72" s="100">
        <v>250.71</v>
      </c>
      <c r="L72" s="100">
        <v>25.47</v>
      </c>
      <c r="M72" s="100">
        <v>98.68</v>
      </c>
      <c r="N72" s="100">
        <v>20.5</v>
      </c>
      <c r="O72" s="100">
        <v>0</v>
      </c>
      <c r="P72" s="100">
        <v>0.47</v>
      </c>
      <c r="Q72" s="100">
        <v>10</v>
      </c>
      <c r="R72" s="6"/>
      <c r="S72" s="6"/>
      <c r="T72" s="156"/>
      <c r="U72" s="6"/>
    </row>
    <row r="73" spans="1:21" customFormat="1">
      <c r="A73" s="163" t="s">
        <v>2608</v>
      </c>
      <c r="B73" s="100">
        <v>9.5299999999999994</v>
      </c>
      <c r="C73" s="100">
        <v>16.79</v>
      </c>
      <c r="D73" s="100">
        <v>16.41</v>
      </c>
      <c r="E73" s="100">
        <v>4.54</v>
      </c>
      <c r="F73" s="100">
        <v>2.21</v>
      </c>
      <c r="G73" s="100">
        <v>20.8</v>
      </c>
      <c r="H73" s="100">
        <v>11.89</v>
      </c>
      <c r="I73" s="100">
        <v>9.61</v>
      </c>
      <c r="J73" s="100">
        <v>0.66</v>
      </c>
      <c r="K73" s="100">
        <v>249.4</v>
      </c>
      <c r="L73" s="100">
        <v>25.49</v>
      </c>
      <c r="M73" s="100">
        <v>98.68</v>
      </c>
      <c r="N73" s="100">
        <v>21.3</v>
      </c>
      <c r="O73" s="100">
        <v>0</v>
      </c>
      <c r="P73" s="100">
        <v>0.48</v>
      </c>
      <c r="Q73" s="100">
        <v>10</v>
      </c>
      <c r="R73" s="6"/>
      <c r="S73" s="6"/>
      <c r="T73" s="156"/>
      <c r="U73" s="6"/>
    </row>
    <row r="74" spans="1:21" customFormat="1">
      <c r="A74" s="163" t="s">
        <v>2609</v>
      </c>
      <c r="B74" s="100">
        <v>9.31</v>
      </c>
      <c r="C74" s="100">
        <v>16.84</v>
      </c>
      <c r="D74" s="100">
        <v>16.260000000000002</v>
      </c>
      <c r="E74" s="100">
        <v>4.6100000000000003</v>
      </c>
      <c r="F74" s="100">
        <v>1.49</v>
      </c>
      <c r="G74" s="100">
        <v>20.8</v>
      </c>
      <c r="H74" s="100">
        <v>11.89</v>
      </c>
      <c r="I74" s="100">
        <v>10.29</v>
      </c>
      <c r="J74" s="100">
        <v>0.76</v>
      </c>
      <c r="K74" s="100">
        <v>255.59</v>
      </c>
      <c r="L74" s="100">
        <v>25.4</v>
      </c>
      <c r="M74" s="100">
        <v>98.65</v>
      </c>
      <c r="N74" s="100">
        <v>26.5</v>
      </c>
      <c r="O74" s="100">
        <v>0.2</v>
      </c>
      <c r="P74" s="100">
        <v>0.49</v>
      </c>
      <c r="Q74" s="100">
        <v>10</v>
      </c>
      <c r="R74" s="6"/>
      <c r="S74" s="6"/>
      <c r="T74" s="156"/>
      <c r="U74" s="6"/>
    </row>
    <row r="75" spans="1:21" customFormat="1">
      <c r="A75" s="163" t="s">
        <v>2610</v>
      </c>
      <c r="B75" s="100">
        <v>8.94</v>
      </c>
      <c r="C75" s="100">
        <v>16.829999999999998</v>
      </c>
      <c r="D75" s="100">
        <v>15.97</v>
      </c>
      <c r="E75" s="100">
        <v>4.75</v>
      </c>
      <c r="F75" s="100">
        <v>1.59</v>
      </c>
      <c r="G75" s="100">
        <v>20.8</v>
      </c>
      <c r="H75" s="100">
        <v>11.89</v>
      </c>
      <c r="I75" s="100">
        <v>10.52</v>
      </c>
      <c r="J75" s="100">
        <v>0.71</v>
      </c>
      <c r="K75" s="100">
        <v>253.77</v>
      </c>
      <c r="L75" s="100">
        <v>25.19</v>
      </c>
      <c r="M75" s="100">
        <v>98.24</v>
      </c>
      <c r="N75" s="100">
        <v>27.9</v>
      </c>
      <c r="O75" s="100">
        <v>0</v>
      </c>
      <c r="P75" s="100">
        <v>0.47</v>
      </c>
      <c r="Q75" s="100">
        <v>10</v>
      </c>
      <c r="R75" s="6"/>
      <c r="S75" s="6"/>
      <c r="T75" s="156"/>
      <c r="U75" s="6"/>
    </row>
    <row r="76" spans="1:21" customFormat="1">
      <c r="A76" s="163" t="s">
        <v>2611</v>
      </c>
      <c r="B76" s="100">
        <v>8.5399999999999991</v>
      </c>
      <c r="C76" s="100">
        <v>16.84</v>
      </c>
      <c r="D76" s="100">
        <v>15.65</v>
      </c>
      <c r="E76" s="100">
        <v>4.79</v>
      </c>
      <c r="F76" s="100">
        <v>1.93</v>
      </c>
      <c r="G76" s="100">
        <v>20.399999999999999</v>
      </c>
      <c r="H76" s="100">
        <v>11.25</v>
      </c>
      <c r="I76" s="100">
        <v>10.63</v>
      </c>
      <c r="J76" s="100">
        <v>0.54</v>
      </c>
      <c r="K76" s="100">
        <v>262.06</v>
      </c>
      <c r="L76" s="100">
        <v>25.25</v>
      </c>
      <c r="M76" s="100">
        <v>97.91</v>
      </c>
      <c r="N76" s="100">
        <v>34</v>
      </c>
      <c r="O76" s="100">
        <v>0</v>
      </c>
      <c r="P76" s="100">
        <v>0.45</v>
      </c>
      <c r="Q76" s="100">
        <v>10</v>
      </c>
      <c r="R76" s="6"/>
      <c r="S76" s="6"/>
      <c r="T76" s="156"/>
      <c r="U76" s="6"/>
    </row>
    <row r="77" spans="1:21" customFormat="1">
      <c r="A77" s="163" t="s">
        <v>2612</v>
      </c>
      <c r="B77" s="100">
        <v>8.25</v>
      </c>
      <c r="C77" s="100">
        <v>16.87</v>
      </c>
      <c r="D77" s="100">
        <v>15.43</v>
      </c>
      <c r="E77" s="100">
        <v>4.9800000000000004</v>
      </c>
      <c r="F77" s="100">
        <v>1.72</v>
      </c>
      <c r="G77" s="100">
        <v>19.8</v>
      </c>
      <c r="H77" s="100">
        <v>10.09</v>
      </c>
      <c r="I77" s="100">
        <v>10.4</v>
      </c>
      <c r="J77" s="100">
        <v>0.7</v>
      </c>
      <c r="K77" s="100">
        <v>258.2</v>
      </c>
      <c r="L77" s="100">
        <v>25.45</v>
      </c>
      <c r="M77" s="100">
        <v>98.18</v>
      </c>
      <c r="N77" s="100">
        <v>37.299999999999997</v>
      </c>
      <c r="O77" s="100">
        <v>0</v>
      </c>
      <c r="P77" s="100">
        <v>0.46</v>
      </c>
      <c r="Q77" s="100">
        <v>10</v>
      </c>
      <c r="R77" s="6"/>
      <c r="S77" s="6"/>
      <c r="T77" s="156"/>
      <c r="U77" s="6"/>
    </row>
    <row r="78" spans="1:21" customFormat="1">
      <c r="A78" s="163" t="s">
        <v>2613</v>
      </c>
      <c r="B78" s="100">
        <v>8.1</v>
      </c>
      <c r="C78" s="100">
        <v>16.84</v>
      </c>
      <c r="D78" s="100">
        <v>15.3</v>
      </c>
      <c r="E78" s="100">
        <v>4.99</v>
      </c>
      <c r="F78" s="100">
        <v>2.0699999999999998</v>
      </c>
      <c r="G78" s="100">
        <v>19.8</v>
      </c>
      <c r="H78" s="100">
        <v>10.09</v>
      </c>
      <c r="I78" s="100">
        <v>10.15</v>
      </c>
      <c r="J78" s="100">
        <v>0.86</v>
      </c>
      <c r="K78" s="100">
        <v>255.06</v>
      </c>
      <c r="L78" s="100">
        <v>25.58</v>
      </c>
      <c r="M78" s="100">
        <v>98.02</v>
      </c>
      <c r="N78" s="100">
        <v>28.6</v>
      </c>
      <c r="O78" s="100">
        <v>0</v>
      </c>
      <c r="P78" s="100">
        <v>0.48</v>
      </c>
      <c r="Q78" s="100">
        <v>10</v>
      </c>
      <c r="R78" s="6"/>
      <c r="S78" s="6"/>
      <c r="T78" s="156"/>
      <c r="U78" s="6"/>
    </row>
    <row r="79" spans="1:21" customFormat="1">
      <c r="A79" s="163" t="s">
        <v>2614</v>
      </c>
      <c r="B79" s="100">
        <v>7.83</v>
      </c>
      <c r="C79" s="100">
        <v>16.649999999999999</v>
      </c>
      <c r="D79" s="100">
        <v>14.98</v>
      </c>
      <c r="E79" s="100">
        <v>4.87</v>
      </c>
      <c r="F79" s="100">
        <v>1.83</v>
      </c>
      <c r="G79" s="100">
        <v>19.8</v>
      </c>
      <c r="H79" s="100">
        <v>10.09</v>
      </c>
      <c r="I79" s="100">
        <v>10.24</v>
      </c>
      <c r="J79" s="100">
        <v>0.64</v>
      </c>
      <c r="K79" s="100">
        <v>256.74</v>
      </c>
      <c r="L79" s="100">
        <v>25.66</v>
      </c>
      <c r="M79" s="100">
        <v>97.63</v>
      </c>
      <c r="N79" s="100">
        <v>20.2</v>
      </c>
      <c r="O79" s="100">
        <v>0</v>
      </c>
      <c r="P79" s="100">
        <v>0.47</v>
      </c>
      <c r="Q79" s="100">
        <v>10</v>
      </c>
      <c r="R79" s="6"/>
      <c r="S79" s="6"/>
      <c r="T79" s="156"/>
      <c r="U79" s="6"/>
    </row>
    <row r="80" spans="1:21" customFormat="1">
      <c r="A80" s="163" t="s">
        <v>2615</v>
      </c>
      <c r="B80" s="100">
        <v>7.53</v>
      </c>
      <c r="C80" s="100">
        <v>16.46</v>
      </c>
      <c r="D80" s="100">
        <v>14.64</v>
      </c>
      <c r="E80" s="100">
        <v>5.08</v>
      </c>
      <c r="F80" s="100">
        <v>1.88</v>
      </c>
      <c r="G80" s="100">
        <v>19.32</v>
      </c>
      <c r="H80" s="100">
        <v>10.08</v>
      </c>
      <c r="I80" s="100">
        <v>10.44</v>
      </c>
      <c r="J80" s="100">
        <v>0.62</v>
      </c>
      <c r="K80" s="100">
        <v>256.82</v>
      </c>
      <c r="L80" s="100">
        <v>25.68</v>
      </c>
      <c r="M80" s="100">
        <v>97.46</v>
      </c>
      <c r="N80" s="100">
        <v>15.4</v>
      </c>
      <c r="O80" s="100">
        <v>0</v>
      </c>
      <c r="P80" s="100">
        <v>0.45</v>
      </c>
      <c r="Q80" s="100">
        <v>10</v>
      </c>
      <c r="R80" s="6"/>
      <c r="S80" s="6"/>
      <c r="T80" s="156"/>
      <c r="U80" s="6"/>
    </row>
    <row r="81" spans="1:21" customFormat="1">
      <c r="A81" s="163" t="s">
        <v>2616</v>
      </c>
      <c r="B81" s="100">
        <v>7.24</v>
      </c>
      <c r="C81" s="100">
        <v>16.25</v>
      </c>
      <c r="D81" s="100">
        <v>14.29</v>
      </c>
      <c r="E81" s="100">
        <v>3.2</v>
      </c>
      <c r="F81" s="100">
        <v>1.79</v>
      </c>
      <c r="G81" s="100">
        <v>18.61</v>
      </c>
      <c r="H81" s="100">
        <v>10.06</v>
      </c>
      <c r="I81" s="100">
        <v>10.210000000000001</v>
      </c>
      <c r="J81" s="100">
        <v>0.79</v>
      </c>
      <c r="K81" s="100">
        <v>254.51</v>
      </c>
      <c r="L81" s="100">
        <v>25.7</v>
      </c>
      <c r="M81" s="100">
        <v>97.1</v>
      </c>
      <c r="N81" s="100">
        <v>13.7</v>
      </c>
      <c r="O81" s="100">
        <v>0</v>
      </c>
      <c r="P81" s="100">
        <v>0.44</v>
      </c>
      <c r="Q81" s="100">
        <v>10</v>
      </c>
      <c r="R81" s="6"/>
      <c r="S81" s="6"/>
      <c r="T81" s="156"/>
      <c r="U81" s="6"/>
    </row>
    <row r="82" spans="1:21" customFormat="1">
      <c r="A82" s="163" t="s">
        <v>2617</v>
      </c>
      <c r="B82" s="100">
        <v>6.91</v>
      </c>
      <c r="C82" s="100">
        <v>16.16</v>
      </c>
      <c r="D82" s="100">
        <v>13.98</v>
      </c>
      <c r="E82" s="100">
        <v>4.09</v>
      </c>
      <c r="F82" s="100">
        <v>1.74</v>
      </c>
      <c r="G82" s="100">
        <v>18.61</v>
      </c>
      <c r="H82" s="100">
        <v>10.06</v>
      </c>
      <c r="I82" s="100">
        <v>9.83</v>
      </c>
      <c r="J82" s="100">
        <v>0.7</v>
      </c>
      <c r="K82" s="100">
        <v>258.8</v>
      </c>
      <c r="L82" s="100">
        <v>25.68</v>
      </c>
      <c r="M82" s="100">
        <v>96.63</v>
      </c>
      <c r="N82" s="100">
        <v>8</v>
      </c>
      <c r="O82" s="100">
        <v>0</v>
      </c>
      <c r="P82" s="100">
        <v>0.42</v>
      </c>
      <c r="Q82" s="100">
        <v>10</v>
      </c>
      <c r="R82" s="6"/>
      <c r="S82" s="6"/>
      <c r="T82" s="156"/>
      <c r="U82" s="6"/>
    </row>
    <row r="83" spans="1:21" customFormat="1">
      <c r="A83" s="163" t="s">
        <v>2618</v>
      </c>
      <c r="B83" s="100">
        <v>6.63</v>
      </c>
      <c r="C83" s="100">
        <v>15.94</v>
      </c>
      <c r="D83" s="100">
        <v>13.65</v>
      </c>
      <c r="E83" s="100">
        <v>4.1100000000000003</v>
      </c>
      <c r="F83" s="100">
        <v>1.64</v>
      </c>
      <c r="G83" s="100">
        <v>18.61</v>
      </c>
      <c r="H83" s="100">
        <v>10.06</v>
      </c>
      <c r="I83" s="100">
        <v>9.5299999999999994</v>
      </c>
      <c r="J83" s="100">
        <v>0.64</v>
      </c>
      <c r="K83" s="100">
        <v>256.32</v>
      </c>
      <c r="L83" s="100">
        <v>25.65</v>
      </c>
      <c r="M83" s="100">
        <v>96.67</v>
      </c>
      <c r="N83" s="100">
        <v>4</v>
      </c>
      <c r="O83" s="100">
        <v>0</v>
      </c>
      <c r="P83" s="100">
        <v>0.41</v>
      </c>
      <c r="Q83" s="100">
        <v>10</v>
      </c>
      <c r="R83" s="6"/>
      <c r="S83" s="6"/>
      <c r="T83" s="156"/>
      <c r="U83" s="6"/>
    </row>
    <row r="84" spans="1:21" customFormat="1">
      <c r="A84" s="163" t="s">
        <v>2619</v>
      </c>
      <c r="B84" s="100">
        <v>6.41</v>
      </c>
      <c r="C84" s="100">
        <v>15.76</v>
      </c>
      <c r="D84" s="100">
        <v>13.37</v>
      </c>
      <c r="E84" s="100">
        <v>4.25</v>
      </c>
      <c r="F84" s="100">
        <v>1.74</v>
      </c>
      <c r="G84" s="100">
        <v>17.190000000000001</v>
      </c>
      <c r="H84" s="100">
        <v>9.48</v>
      </c>
      <c r="I84" s="100">
        <v>9.26</v>
      </c>
      <c r="J84" s="100">
        <v>0.67</v>
      </c>
      <c r="K84" s="100">
        <v>253.88</v>
      </c>
      <c r="L84" s="100">
        <v>25.64</v>
      </c>
      <c r="M84" s="100">
        <v>96.59</v>
      </c>
      <c r="N84" s="100">
        <v>3</v>
      </c>
      <c r="O84" s="100">
        <v>0</v>
      </c>
      <c r="P84" s="100">
        <v>0.39</v>
      </c>
      <c r="Q84" s="100">
        <v>10</v>
      </c>
      <c r="R84" s="6"/>
      <c r="S84" s="6"/>
      <c r="T84" s="156"/>
      <c r="U84" s="6"/>
    </row>
    <row r="85" spans="1:21" customFormat="1">
      <c r="A85" s="163" t="s">
        <v>2620</v>
      </c>
      <c r="B85" s="100">
        <v>6.23</v>
      </c>
      <c r="C85" s="100">
        <v>15.62</v>
      </c>
      <c r="D85" s="100">
        <v>13.16</v>
      </c>
      <c r="E85" s="100">
        <v>4.16</v>
      </c>
      <c r="F85" s="100">
        <v>1.58</v>
      </c>
      <c r="G85" s="100">
        <v>15.07</v>
      </c>
      <c r="H85" s="100">
        <v>8.9600000000000009</v>
      </c>
      <c r="I85" s="100">
        <v>9</v>
      </c>
      <c r="J85" s="100">
        <v>0.59</v>
      </c>
      <c r="K85" s="100">
        <v>253.3</v>
      </c>
      <c r="L85" s="100">
        <v>25.61</v>
      </c>
      <c r="M85" s="100">
        <v>96.75</v>
      </c>
      <c r="N85" s="100">
        <v>2.9</v>
      </c>
      <c r="O85" s="100">
        <v>0</v>
      </c>
      <c r="P85" s="100">
        <v>0.37</v>
      </c>
      <c r="Q85" s="100">
        <v>10</v>
      </c>
      <c r="R85" s="6"/>
      <c r="S85" s="6"/>
      <c r="T85" s="156"/>
      <c r="U85" s="6"/>
    </row>
    <row r="86" spans="1:21" customFormat="1">
      <c r="A86" s="163" t="s">
        <v>2621</v>
      </c>
      <c r="B86" s="100">
        <v>6.08</v>
      </c>
      <c r="C86" s="100">
        <v>15.39</v>
      </c>
      <c r="D86" s="100">
        <v>12.91</v>
      </c>
      <c r="E86" s="100">
        <v>4.1900000000000004</v>
      </c>
      <c r="F86" s="100">
        <v>2.3199999999999998</v>
      </c>
      <c r="G86" s="100">
        <v>15.07</v>
      </c>
      <c r="H86" s="100">
        <v>8.9600000000000009</v>
      </c>
      <c r="I86" s="100">
        <v>8.74</v>
      </c>
      <c r="J86" s="100">
        <v>0.68</v>
      </c>
      <c r="K86" s="100">
        <v>254.78</v>
      </c>
      <c r="L86" s="100">
        <v>25.61</v>
      </c>
      <c r="M86" s="100">
        <v>96.59</v>
      </c>
      <c r="N86" s="100">
        <v>3</v>
      </c>
      <c r="O86" s="100">
        <v>0</v>
      </c>
      <c r="P86" s="100">
        <v>0.36</v>
      </c>
      <c r="Q86" s="100">
        <v>10</v>
      </c>
      <c r="R86" s="6"/>
      <c r="S86" s="6"/>
      <c r="T86" s="156"/>
      <c r="U86" s="6"/>
    </row>
    <row r="87" spans="1:21" customFormat="1">
      <c r="A87" s="163" t="s">
        <v>2622</v>
      </c>
      <c r="B87" s="100">
        <v>5.88</v>
      </c>
      <c r="C87" s="100">
        <v>15.33</v>
      </c>
      <c r="D87" s="100">
        <v>12.72</v>
      </c>
      <c r="E87" s="100">
        <v>4.17</v>
      </c>
      <c r="F87" s="100">
        <v>2.42</v>
      </c>
      <c r="G87" s="100">
        <v>15.07</v>
      </c>
      <c r="H87" s="100">
        <v>8.9600000000000009</v>
      </c>
      <c r="I87" s="100">
        <v>8.49</v>
      </c>
      <c r="J87" s="100">
        <v>0.71</v>
      </c>
      <c r="K87" s="100">
        <v>253.36</v>
      </c>
      <c r="L87" s="100">
        <v>25.59</v>
      </c>
      <c r="M87" s="100">
        <v>96.12</v>
      </c>
      <c r="N87" s="100">
        <v>3.1</v>
      </c>
      <c r="O87" s="100">
        <v>0</v>
      </c>
      <c r="P87" s="100">
        <v>0.35</v>
      </c>
      <c r="Q87" s="100">
        <v>10</v>
      </c>
      <c r="R87" s="6"/>
      <c r="S87" s="6"/>
      <c r="T87" s="156"/>
      <c r="U87" s="6"/>
    </row>
    <row r="88" spans="1:21" customFormat="1">
      <c r="A88" s="163" t="s">
        <v>2623</v>
      </c>
      <c r="B88" s="100">
        <v>5.76</v>
      </c>
      <c r="C88" s="100">
        <v>15.31</v>
      </c>
      <c r="D88" s="100">
        <v>12.62</v>
      </c>
      <c r="E88" s="100">
        <v>4.3</v>
      </c>
      <c r="F88" s="100">
        <v>2.2200000000000002</v>
      </c>
      <c r="G88" s="100">
        <v>15.01</v>
      </c>
      <c r="H88" s="100">
        <v>8.89</v>
      </c>
      <c r="I88" s="100">
        <v>8.2200000000000006</v>
      </c>
      <c r="J88" s="100">
        <v>0.63</v>
      </c>
      <c r="K88" s="100">
        <v>254.85</v>
      </c>
      <c r="L88" s="100">
        <v>25.62</v>
      </c>
      <c r="M88" s="100">
        <v>95.66</v>
      </c>
      <c r="N88" s="100">
        <v>3.1</v>
      </c>
      <c r="O88" s="100">
        <v>0</v>
      </c>
      <c r="P88" s="100">
        <v>0.36</v>
      </c>
      <c r="Q88" s="100">
        <v>10</v>
      </c>
      <c r="R88" s="6"/>
      <c r="S88" s="6"/>
      <c r="T88" s="156"/>
      <c r="U88" s="6"/>
    </row>
    <row r="89" spans="1:21" customFormat="1">
      <c r="A89" s="163" t="s">
        <v>2624</v>
      </c>
      <c r="B89" s="100">
        <v>5.68</v>
      </c>
      <c r="C89" s="100">
        <v>15.36</v>
      </c>
      <c r="D89" s="100">
        <v>12.58</v>
      </c>
      <c r="E89" s="100">
        <v>4.43</v>
      </c>
      <c r="F89" s="100">
        <v>1.85</v>
      </c>
      <c r="G89" s="100">
        <v>14.93</v>
      </c>
      <c r="H89" s="100">
        <v>8.82</v>
      </c>
      <c r="I89" s="100">
        <v>8.09</v>
      </c>
      <c r="J89" s="100">
        <v>0.88</v>
      </c>
      <c r="K89" s="100">
        <v>258.08</v>
      </c>
      <c r="L89" s="100">
        <v>25.56</v>
      </c>
      <c r="M89" s="100">
        <v>94.5</v>
      </c>
      <c r="N89" s="100">
        <v>3.2</v>
      </c>
      <c r="O89" s="100">
        <v>0</v>
      </c>
      <c r="P89" s="100">
        <v>0.36</v>
      </c>
      <c r="Q89" s="100">
        <v>10</v>
      </c>
      <c r="R89" s="6"/>
      <c r="S89" s="6"/>
      <c r="T89" s="156"/>
      <c r="U89" s="6"/>
    </row>
    <row r="90" spans="1:21" customFormat="1">
      <c r="A90" s="163" t="s">
        <v>2625</v>
      </c>
      <c r="B90" s="100">
        <v>5.66</v>
      </c>
      <c r="C90" s="100">
        <v>15.4</v>
      </c>
      <c r="D90" s="100">
        <v>12.59</v>
      </c>
      <c r="E90" s="100">
        <v>4.4000000000000004</v>
      </c>
      <c r="F90" s="100">
        <v>1.63</v>
      </c>
      <c r="G90" s="100">
        <v>14.93</v>
      </c>
      <c r="H90" s="100">
        <v>8.82</v>
      </c>
      <c r="I90" s="100">
        <v>8.1199999999999992</v>
      </c>
      <c r="J90" s="100">
        <v>0.56999999999999995</v>
      </c>
      <c r="K90" s="100">
        <v>251.72</v>
      </c>
      <c r="L90" s="100">
        <v>25.53</v>
      </c>
      <c r="M90" s="100">
        <v>94.46</v>
      </c>
      <c r="N90" s="100">
        <v>2.9</v>
      </c>
      <c r="O90" s="100">
        <v>0</v>
      </c>
      <c r="P90" s="100">
        <v>0.36</v>
      </c>
      <c r="Q90" s="100">
        <v>10</v>
      </c>
      <c r="R90" s="6"/>
      <c r="S90" s="6"/>
      <c r="T90" s="156"/>
      <c r="U90" s="6"/>
    </row>
    <row r="91" spans="1:21" customFormat="1">
      <c r="A91" s="163" t="s">
        <v>2626</v>
      </c>
      <c r="B91" s="100">
        <v>5.73</v>
      </c>
      <c r="C91" s="100">
        <v>14.94</v>
      </c>
      <c r="D91" s="100">
        <v>12.39</v>
      </c>
      <c r="E91" s="100">
        <v>4.63</v>
      </c>
      <c r="F91" s="100">
        <v>0.71</v>
      </c>
      <c r="G91" s="100">
        <v>14.93</v>
      </c>
      <c r="H91" s="100">
        <v>8.82</v>
      </c>
      <c r="I91" s="100">
        <v>8.15</v>
      </c>
      <c r="J91" s="100">
        <v>0.6</v>
      </c>
      <c r="K91" s="100">
        <v>248.77</v>
      </c>
      <c r="L91" s="100">
        <v>25.51</v>
      </c>
      <c r="M91" s="100">
        <v>95.11</v>
      </c>
      <c r="N91" s="100">
        <v>2.8</v>
      </c>
      <c r="O91" s="100">
        <v>0</v>
      </c>
      <c r="P91" s="100">
        <v>0.34</v>
      </c>
      <c r="Q91" s="100">
        <v>10</v>
      </c>
      <c r="R91" s="6"/>
      <c r="S91" s="6"/>
      <c r="T91" s="156"/>
      <c r="U91" s="6"/>
    </row>
    <row r="92" spans="1:21" customFormat="1">
      <c r="A92" s="163" t="s">
        <v>2627</v>
      </c>
      <c r="B92" s="100">
        <v>5.73</v>
      </c>
      <c r="C92" s="100">
        <v>14.74</v>
      </c>
      <c r="D92" s="100">
        <v>12.29</v>
      </c>
      <c r="E92" s="100">
        <v>3.93</v>
      </c>
      <c r="F92" s="100">
        <v>3.52</v>
      </c>
      <c r="G92" s="100">
        <v>13.33</v>
      </c>
      <c r="H92" s="100">
        <v>9.08</v>
      </c>
      <c r="I92" s="100">
        <v>8.14</v>
      </c>
      <c r="J92" s="100">
        <v>0.55000000000000004</v>
      </c>
      <c r="K92" s="100">
        <v>255.12</v>
      </c>
      <c r="L92" s="100">
        <v>25.46</v>
      </c>
      <c r="M92" s="100">
        <v>95.56</v>
      </c>
      <c r="N92" s="100">
        <v>2.8</v>
      </c>
      <c r="O92" s="100">
        <v>0</v>
      </c>
      <c r="P92" s="100">
        <v>0.3</v>
      </c>
      <c r="Q92" s="100">
        <v>10</v>
      </c>
      <c r="R92" s="6"/>
      <c r="S92" s="6"/>
      <c r="T92" s="156"/>
      <c r="U92" s="6"/>
    </row>
    <row r="93" spans="1:21" customFormat="1">
      <c r="A93" s="163" t="s">
        <v>2628</v>
      </c>
      <c r="B93" s="100">
        <v>5.88</v>
      </c>
      <c r="C93" s="100">
        <v>14.96</v>
      </c>
      <c r="D93" s="100">
        <v>12.53</v>
      </c>
      <c r="E93" s="100">
        <v>3.71</v>
      </c>
      <c r="F93" s="100">
        <v>3.34</v>
      </c>
      <c r="G93" s="100">
        <v>10.94</v>
      </c>
      <c r="H93" s="100">
        <v>9.8000000000000007</v>
      </c>
      <c r="I93" s="100">
        <v>8.18</v>
      </c>
      <c r="J93" s="100">
        <v>0.68</v>
      </c>
      <c r="K93" s="100">
        <v>255.94</v>
      </c>
      <c r="L93" s="100">
        <v>25.46</v>
      </c>
      <c r="M93" s="100">
        <v>95.66</v>
      </c>
      <c r="N93" s="100">
        <v>2.7</v>
      </c>
      <c r="O93" s="100">
        <v>0</v>
      </c>
      <c r="P93" s="100">
        <v>0.31</v>
      </c>
      <c r="Q93" s="100">
        <v>10</v>
      </c>
      <c r="R93" s="6"/>
      <c r="S93" s="6"/>
      <c r="T93" s="156"/>
      <c r="U93" s="6"/>
    </row>
    <row r="94" spans="1:21" customFormat="1">
      <c r="A94" s="163" t="s">
        <v>2629</v>
      </c>
      <c r="B94" s="100">
        <v>6.15</v>
      </c>
      <c r="C94" s="100">
        <v>15.06</v>
      </c>
      <c r="D94" s="100">
        <v>12.8</v>
      </c>
      <c r="E94" s="100">
        <v>3.78</v>
      </c>
      <c r="F94" s="100">
        <v>1.63</v>
      </c>
      <c r="G94" s="100">
        <v>10.94</v>
      </c>
      <c r="H94" s="100">
        <v>9.8000000000000007</v>
      </c>
      <c r="I94" s="100">
        <v>8.01</v>
      </c>
      <c r="J94" s="100">
        <v>0.62</v>
      </c>
      <c r="K94" s="100">
        <v>254.45</v>
      </c>
      <c r="L94" s="100">
        <v>25.49</v>
      </c>
      <c r="M94" s="100">
        <v>95.49</v>
      </c>
      <c r="N94" s="100">
        <v>2.5</v>
      </c>
      <c r="O94" s="100">
        <v>0</v>
      </c>
      <c r="P94" s="100">
        <v>0.31</v>
      </c>
      <c r="Q94" s="100">
        <v>10</v>
      </c>
      <c r="R94" s="6"/>
      <c r="S94" s="6"/>
      <c r="T94" s="156"/>
      <c r="U94" s="6"/>
    </row>
    <row r="95" spans="1:21" customFormat="1">
      <c r="A95" s="163" t="s">
        <v>2630</v>
      </c>
      <c r="B95" s="100">
        <v>6.11</v>
      </c>
      <c r="C95" s="100">
        <v>14.59</v>
      </c>
      <c r="D95" s="100">
        <v>12.52</v>
      </c>
      <c r="E95" s="100">
        <v>3.77</v>
      </c>
      <c r="F95" s="100">
        <v>1.81</v>
      </c>
      <c r="G95" s="100">
        <v>10.94</v>
      </c>
      <c r="H95" s="100">
        <v>9.8000000000000007</v>
      </c>
      <c r="I95" s="100">
        <v>7.98</v>
      </c>
      <c r="J95" s="100">
        <v>0.68</v>
      </c>
      <c r="K95" s="100">
        <v>254</v>
      </c>
      <c r="L95" s="100">
        <v>25.48</v>
      </c>
      <c r="M95" s="100">
        <v>95.55</v>
      </c>
      <c r="N95" s="100">
        <v>2.2999999999999998</v>
      </c>
      <c r="O95" s="100">
        <v>0</v>
      </c>
      <c r="P95" s="100">
        <v>0.28999999999999998</v>
      </c>
      <c r="Q95" s="100">
        <v>10</v>
      </c>
      <c r="R95" s="6"/>
      <c r="S95" s="6"/>
      <c r="T95" s="156"/>
      <c r="U95" s="6"/>
    </row>
    <row r="96" spans="1:21" customFormat="1">
      <c r="A96" s="163" t="s">
        <v>2631</v>
      </c>
      <c r="B96" s="100">
        <v>6.1</v>
      </c>
      <c r="C96" s="100">
        <v>14.47</v>
      </c>
      <c r="D96" s="100">
        <v>12.45</v>
      </c>
      <c r="E96" s="100">
        <v>3.4</v>
      </c>
      <c r="F96" s="100">
        <v>2.73</v>
      </c>
      <c r="G96" s="100">
        <v>11.59</v>
      </c>
      <c r="H96" s="100">
        <v>8.4499999999999993</v>
      </c>
      <c r="I96" s="100">
        <v>7.97</v>
      </c>
      <c r="J96" s="100">
        <v>0.67</v>
      </c>
      <c r="K96" s="100">
        <v>250.53</v>
      </c>
      <c r="L96" s="100">
        <v>25.3</v>
      </c>
      <c r="M96" s="100">
        <v>96.56</v>
      </c>
      <c r="N96" s="100">
        <v>2.7</v>
      </c>
      <c r="O96" s="100">
        <v>0.4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163" t="s">
        <v>2632</v>
      </c>
      <c r="B97" s="100">
        <v>6.29</v>
      </c>
      <c r="C97" s="100">
        <v>14.83</v>
      </c>
      <c r="D97" s="100">
        <v>12.8</v>
      </c>
      <c r="E97" s="100">
        <v>3.64</v>
      </c>
      <c r="F97" s="100">
        <v>2.13</v>
      </c>
      <c r="G97" s="100">
        <v>12.56</v>
      </c>
      <c r="H97" s="100">
        <v>7.26</v>
      </c>
      <c r="I97" s="100">
        <v>7.79</v>
      </c>
      <c r="J97" s="100">
        <v>0.65</v>
      </c>
      <c r="K97" s="100">
        <v>254.06</v>
      </c>
      <c r="L97" s="100">
        <v>25.16</v>
      </c>
      <c r="M97" s="100">
        <v>97.93</v>
      </c>
      <c r="N97" s="100">
        <v>2.5</v>
      </c>
      <c r="O97" s="100">
        <v>0.4</v>
      </c>
      <c r="P97" s="100">
        <v>0.28999999999999998</v>
      </c>
      <c r="Q97" s="100">
        <v>10</v>
      </c>
      <c r="R97" s="6"/>
      <c r="S97" s="6"/>
      <c r="T97" s="156"/>
      <c r="U97" s="6"/>
    </row>
    <row r="98" spans="1:28" customFormat="1">
      <c r="A98" s="163" t="s">
        <v>2633</v>
      </c>
      <c r="B98" s="100">
        <v>6.37</v>
      </c>
      <c r="C98" s="100">
        <v>14.39</v>
      </c>
      <c r="D98" s="100">
        <v>12.63</v>
      </c>
      <c r="E98" s="100">
        <v>3.58</v>
      </c>
      <c r="F98" s="100">
        <v>1.55</v>
      </c>
      <c r="G98" s="100">
        <v>12.56</v>
      </c>
      <c r="H98" s="100">
        <v>7.26</v>
      </c>
      <c r="I98" s="100">
        <v>7.62</v>
      </c>
      <c r="J98" s="100">
        <v>0.7</v>
      </c>
      <c r="K98" s="100">
        <v>249.82</v>
      </c>
      <c r="L98" s="100">
        <v>25.13</v>
      </c>
      <c r="M98" s="100">
        <v>98.55</v>
      </c>
      <c r="N98" s="100">
        <v>2.4</v>
      </c>
      <c r="O98" s="100">
        <v>0</v>
      </c>
      <c r="P98" s="100">
        <v>0.27</v>
      </c>
      <c r="Q98" s="100">
        <v>10</v>
      </c>
      <c r="R98" s="6"/>
      <c r="S98" s="6"/>
      <c r="T98" s="156"/>
      <c r="U98" s="6"/>
    </row>
    <row r="99" spans="1:28" customFormat="1">
      <c r="A99" s="163" t="s">
        <v>2634</v>
      </c>
      <c r="B99" s="100">
        <v>6.38</v>
      </c>
      <c r="C99" s="100">
        <v>14.1</v>
      </c>
      <c r="D99" s="100">
        <v>12.49</v>
      </c>
      <c r="E99" s="100">
        <v>3.43</v>
      </c>
      <c r="F99" s="100">
        <v>2.31</v>
      </c>
      <c r="G99" s="100">
        <v>12.56</v>
      </c>
      <c r="H99" s="100">
        <v>7.26</v>
      </c>
      <c r="I99" s="100">
        <v>7.59</v>
      </c>
      <c r="J99" s="100">
        <v>0.71</v>
      </c>
      <c r="K99" s="100">
        <v>253.16</v>
      </c>
      <c r="L99" s="100">
        <v>25.09</v>
      </c>
      <c r="M99" s="100">
        <v>98.65</v>
      </c>
      <c r="N99" s="100">
        <v>2.5</v>
      </c>
      <c r="O99" s="100">
        <v>1</v>
      </c>
      <c r="P99" s="100">
        <v>0.25</v>
      </c>
      <c r="Q99" s="100">
        <v>10</v>
      </c>
      <c r="R99" s="6"/>
      <c r="S99" s="6"/>
      <c r="T99" s="156"/>
      <c r="U99" s="6"/>
    </row>
    <row r="100" spans="1:28" customFormat="1">
      <c r="A100" s="163" t="s">
        <v>2635</v>
      </c>
      <c r="B100" s="100">
        <v>6.5</v>
      </c>
      <c r="C100" s="100">
        <v>14.36</v>
      </c>
      <c r="D100" s="100">
        <v>12.71</v>
      </c>
      <c r="E100" s="100">
        <v>3.42</v>
      </c>
      <c r="F100" s="100">
        <v>2.83</v>
      </c>
      <c r="G100" s="100">
        <v>12.15</v>
      </c>
      <c r="H100" s="100">
        <v>6.11</v>
      </c>
      <c r="I100" s="100">
        <v>7.4</v>
      </c>
      <c r="J100" s="100">
        <v>0.59</v>
      </c>
      <c r="K100" s="100">
        <v>252.86</v>
      </c>
      <c r="L100" s="100">
        <v>25.04</v>
      </c>
      <c r="M100" s="100">
        <v>98.67</v>
      </c>
      <c r="N100" s="100">
        <v>2.5</v>
      </c>
      <c r="O100" s="100">
        <v>0.4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2636</v>
      </c>
      <c r="B101" s="100">
        <v>6.69</v>
      </c>
      <c r="C101" s="100">
        <v>14.51</v>
      </c>
      <c r="D101" s="100">
        <v>12.94</v>
      </c>
      <c r="E101" s="100">
        <v>3.46</v>
      </c>
      <c r="F101" s="100">
        <v>1.4</v>
      </c>
      <c r="G101" s="100">
        <v>11.53</v>
      </c>
      <c r="H101" s="100">
        <v>5.0999999999999996</v>
      </c>
      <c r="I101" s="100">
        <v>7.2</v>
      </c>
      <c r="J101" s="100">
        <v>0.59</v>
      </c>
      <c r="K101" s="100">
        <v>252.62</v>
      </c>
      <c r="L101" s="100">
        <v>25</v>
      </c>
      <c r="M101" s="100">
        <v>98.68</v>
      </c>
      <c r="N101" s="100">
        <v>2.5</v>
      </c>
      <c r="O101" s="100">
        <v>0.8</v>
      </c>
      <c r="P101" s="100">
        <v>0.26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2637</v>
      </c>
      <c r="B102" s="100">
        <v>6.7</v>
      </c>
      <c r="C102" s="100">
        <v>14</v>
      </c>
      <c r="D102" s="100">
        <v>12.69</v>
      </c>
      <c r="E102" s="100">
        <v>3.68</v>
      </c>
      <c r="F102" s="100">
        <v>2.02</v>
      </c>
      <c r="G102" s="100">
        <v>11.53</v>
      </c>
      <c r="H102" s="100">
        <v>5.0999999999999996</v>
      </c>
      <c r="I102" s="100">
        <v>7.11</v>
      </c>
      <c r="J102" s="100">
        <v>0.67</v>
      </c>
      <c r="K102" s="100">
        <v>249.88</v>
      </c>
      <c r="L102" s="100">
        <v>25</v>
      </c>
      <c r="M102" s="100">
        <v>98.68</v>
      </c>
      <c r="N102" s="100">
        <v>2.5</v>
      </c>
      <c r="O102" s="100">
        <v>0.4</v>
      </c>
      <c r="P102" s="100">
        <v>0.23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2638</v>
      </c>
      <c r="B103" s="100">
        <v>6.68</v>
      </c>
      <c r="C103" s="100">
        <v>14.07</v>
      </c>
      <c r="D103" s="100">
        <v>12.71</v>
      </c>
      <c r="E103" s="100">
        <v>3.14</v>
      </c>
      <c r="F103" s="100">
        <v>2.59</v>
      </c>
      <c r="G103" s="100">
        <v>11.53</v>
      </c>
      <c r="H103" s="100">
        <v>5.0999999999999996</v>
      </c>
      <c r="I103" s="100">
        <v>6.98</v>
      </c>
      <c r="J103" s="100">
        <v>0.67</v>
      </c>
      <c r="K103" s="100">
        <v>250.99</v>
      </c>
      <c r="L103" s="100">
        <v>24.99</v>
      </c>
      <c r="M103" s="100">
        <v>98.68</v>
      </c>
      <c r="N103" s="100">
        <v>2.5</v>
      </c>
      <c r="O103" s="100">
        <v>0.4</v>
      </c>
      <c r="P103" s="100">
        <v>0.22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2639</v>
      </c>
      <c r="B104" s="100">
        <v>6.88</v>
      </c>
      <c r="C104" s="100">
        <v>14.63</v>
      </c>
      <c r="D104" s="100">
        <v>13.16</v>
      </c>
      <c r="E104" s="100">
        <v>3.53</v>
      </c>
      <c r="F104" s="100">
        <v>2.02</v>
      </c>
      <c r="G104" s="100">
        <v>10.24</v>
      </c>
      <c r="H104" s="100">
        <v>5.57</v>
      </c>
      <c r="I104" s="100">
        <v>6.62</v>
      </c>
      <c r="J104" s="100">
        <v>0.68</v>
      </c>
      <c r="K104" s="100">
        <v>254.84</v>
      </c>
      <c r="L104" s="100">
        <v>24.92</v>
      </c>
      <c r="M104" s="100">
        <v>98.68</v>
      </c>
      <c r="N104" s="100">
        <v>2.5</v>
      </c>
      <c r="O104" s="100">
        <v>0.6</v>
      </c>
      <c r="P104" s="100">
        <v>0.24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4.42</v>
      </c>
      <c r="C106" s="158">
        <f>MIN(C9:C104)</f>
        <v>14</v>
      </c>
      <c r="D106" s="158">
        <f t="shared" ref="D106:Q106" si="0">MIN(D9:D104)</f>
        <v>11.34</v>
      </c>
      <c r="E106" s="158">
        <f t="shared" si="0"/>
        <v>3.14</v>
      </c>
      <c r="F106" s="158">
        <f t="shared" si="0"/>
        <v>0.64</v>
      </c>
      <c r="G106" s="158">
        <f t="shared" si="0"/>
        <v>9.9700000000000006</v>
      </c>
      <c r="H106" s="158">
        <f t="shared" si="0"/>
        <v>1.75</v>
      </c>
      <c r="I106" s="158">
        <f t="shared" si="0"/>
        <v>6.48</v>
      </c>
      <c r="J106" s="158">
        <f t="shared" si="0"/>
        <v>-0.64</v>
      </c>
      <c r="K106" s="158">
        <f t="shared" si="0"/>
        <v>-0.19</v>
      </c>
      <c r="L106" s="158">
        <f t="shared" si="0"/>
        <v>24.92</v>
      </c>
      <c r="M106" s="158">
        <f t="shared" si="0"/>
        <v>84.88</v>
      </c>
      <c r="N106" s="158">
        <f t="shared" si="0"/>
        <v>2.1</v>
      </c>
      <c r="O106" s="158">
        <f t="shared" si="0"/>
        <v>0</v>
      </c>
      <c r="P106" s="158">
        <f t="shared" si="0"/>
        <v>0.22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9.57</v>
      </c>
      <c r="C107" s="157">
        <f t="shared" ref="C107:Q107" si="1">MAX(C9:C104)</f>
        <v>16.87</v>
      </c>
      <c r="D107" s="157">
        <f t="shared" si="1"/>
        <v>16.440000000000001</v>
      </c>
      <c r="E107" s="157">
        <f t="shared" si="1"/>
        <v>6.03</v>
      </c>
      <c r="F107" s="157">
        <f t="shared" si="1"/>
        <v>3.52</v>
      </c>
      <c r="G107" s="157">
        <f t="shared" si="1"/>
        <v>25.98</v>
      </c>
      <c r="H107" s="157">
        <f t="shared" si="1"/>
        <v>11.89</v>
      </c>
      <c r="I107" s="157">
        <f t="shared" si="1"/>
        <v>10.63</v>
      </c>
      <c r="J107" s="157">
        <f t="shared" si="1"/>
        <v>1.01</v>
      </c>
      <c r="K107" s="157">
        <f t="shared" si="1"/>
        <v>271.13</v>
      </c>
      <c r="L107" s="157">
        <f t="shared" si="1"/>
        <v>27.17</v>
      </c>
      <c r="M107" s="157">
        <f t="shared" si="1"/>
        <v>98.7</v>
      </c>
      <c r="N107" s="157">
        <f t="shared" si="1"/>
        <v>133.9</v>
      </c>
      <c r="O107" s="157">
        <f t="shared" si="1"/>
        <v>1.6</v>
      </c>
      <c r="P107" s="157">
        <f t="shared" si="1"/>
        <v>0.49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6.9717708333333315</v>
      </c>
      <c r="C108" s="158">
        <f t="shared" ref="C108:Q108" si="2">AVERAGE(C9:C104)</f>
        <v>15.250833333333331</v>
      </c>
      <c r="D108" s="158">
        <f t="shared" si="2"/>
        <v>13.559270833333331</v>
      </c>
      <c r="E108" s="158">
        <f t="shared" si="2"/>
        <v>4.6018750000000006</v>
      </c>
      <c r="F108" s="158">
        <f t="shared" si="2"/>
        <v>1.9717708333333339</v>
      </c>
      <c r="G108" s="158">
        <f t="shared" si="2"/>
        <v>18.27281249999999</v>
      </c>
      <c r="H108" s="158">
        <f t="shared" si="2"/>
        <v>6.6532291666666659</v>
      </c>
      <c r="I108" s="158">
        <f t="shared" si="2"/>
        <v>8.1487500000000015</v>
      </c>
      <c r="J108" s="158">
        <f t="shared" si="2"/>
        <v>0.62989583333333343</v>
      </c>
      <c r="K108" s="158">
        <f t="shared" si="2"/>
        <v>253.23041666666668</v>
      </c>
      <c r="L108" s="158">
        <f t="shared" si="2"/>
        <v>25.698333333333338</v>
      </c>
      <c r="M108" s="158">
        <f t="shared" si="2"/>
        <v>93.67812499999998</v>
      </c>
      <c r="N108" s="158">
        <f t="shared" si="2"/>
        <v>27.133333333333336</v>
      </c>
      <c r="O108" s="158">
        <f t="shared" si="2"/>
        <v>0.16041666666666668</v>
      </c>
      <c r="P108" s="158">
        <f t="shared" si="2"/>
        <v>0.36895833333333333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1.3891102754843341</v>
      </c>
      <c r="C109" s="158">
        <f t="shared" ref="C109:Q109" si="3">STDEV(C9:C104)</f>
        <v>0.68421398109789056</v>
      </c>
      <c r="D109" s="158">
        <f t="shared" si="3"/>
        <v>1.3131699251022249</v>
      </c>
      <c r="E109" s="158">
        <f t="shared" si="3"/>
        <v>0.62939287788854803</v>
      </c>
      <c r="F109" s="158">
        <f t="shared" si="3"/>
        <v>0.57025754992425259</v>
      </c>
      <c r="G109" s="158">
        <f t="shared" si="3"/>
        <v>5.2689267264486093</v>
      </c>
      <c r="H109" s="158">
        <f t="shared" si="3"/>
        <v>2.9357292628620519</v>
      </c>
      <c r="I109" s="158">
        <f t="shared" si="3"/>
        <v>1.0908106594349134</v>
      </c>
      <c r="J109" s="158">
        <f t="shared" si="3"/>
        <v>0.17397213806975395</v>
      </c>
      <c r="K109" s="158">
        <f t="shared" si="3"/>
        <v>26.488572388729573</v>
      </c>
      <c r="L109" s="158">
        <f t="shared" si="3"/>
        <v>0.45424469794818201</v>
      </c>
      <c r="M109" s="158">
        <f t="shared" si="3"/>
        <v>4.3335157265933146</v>
      </c>
      <c r="N109" s="158">
        <f t="shared" si="3"/>
        <v>35.126222523521214</v>
      </c>
      <c r="O109" s="158">
        <f t="shared" si="3"/>
        <v>0.32264667547176507</v>
      </c>
      <c r="P109" s="158">
        <f t="shared" si="3"/>
        <v>7.2423886240974636E-2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J17" sqref="J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2640</v>
      </c>
      <c r="B9" s="100">
        <v>6.63</v>
      </c>
      <c r="C9" s="100">
        <v>13.8</v>
      </c>
      <c r="D9" s="100">
        <v>12.53</v>
      </c>
      <c r="E9" s="100">
        <v>3.79</v>
      </c>
      <c r="F9" s="100">
        <v>1.19</v>
      </c>
      <c r="G9" s="100">
        <v>8.3000000000000007</v>
      </c>
      <c r="H9" s="100">
        <v>5.99</v>
      </c>
      <c r="I9" s="100">
        <v>6.49</v>
      </c>
      <c r="J9" s="100">
        <v>0.67</v>
      </c>
      <c r="K9" s="100">
        <v>254.31</v>
      </c>
      <c r="L9" s="100">
        <v>24.88</v>
      </c>
      <c r="M9" s="100">
        <v>98.68</v>
      </c>
      <c r="N9" s="100">
        <v>2.5</v>
      </c>
      <c r="O9" s="100">
        <v>1</v>
      </c>
      <c r="P9" s="100">
        <v>0.22</v>
      </c>
      <c r="Q9" s="100">
        <v>10</v>
      </c>
      <c r="R9" s="6"/>
      <c r="S9" s="6"/>
      <c r="T9" s="156"/>
      <c r="U9" s="6"/>
    </row>
    <row r="10" spans="1:21" customFormat="1">
      <c r="A10" s="163" t="s">
        <v>2641</v>
      </c>
      <c r="B10" s="100">
        <v>6.53</v>
      </c>
      <c r="C10" s="100">
        <v>14.05</v>
      </c>
      <c r="D10" s="100">
        <v>12.58</v>
      </c>
      <c r="E10" s="100">
        <v>3.58</v>
      </c>
      <c r="F10" s="100">
        <v>2.2799999999999998</v>
      </c>
      <c r="G10" s="100">
        <v>8.3000000000000007</v>
      </c>
      <c r="H10" s="100">
        <v>5.99</v>
      </c>
      <c r="I10" s="100">
        <v>6.64</v>
      </c>
      <c r="J10" s="100">
        <v>0.71</v>
      </c>
      <c r="K10" s="100">
        <v>253.51</v>
      </c>
      <c r="L10" s="100">
        <v>24.73</v>
      </c>
      <c r="M10" s="100">
        <v>98.68</v>
      </c>
      <c r="N10" s="100">
        <v>2.7</v>
      </c>
      <c r="O10" s="100">
        <v>0.8</v>
      </c>
      <c r="P10" s="100">
        <v>0.21</v>
      </c>
      <c r="Q10" s="100">
        <v>10</v>
      </c>
      <c r="R10" s="6"/>
      <c r="S10" s="6"/>
      <c r="T10" s="156"/>
      <c r="U10" s="6"/>
    </row>
    <row r="11" spans="1:21" customFormat="1">
      <c r="A11" s="163" t="s">
        <v>2642</v>
      </c>
      <c r="B11" s="100">
        <v>6.65</v>
      </c>
      <c r="C11" s="100">
        <v>14.53</v>
      </c>
      <c r="D11" s="100">
        <v>12.92</v>
      </c>
      <c r="E11" s="100">
        <v>3.55</v>
      </c>
      <c r="F11" s="100">
        <v>1.34</v>
      </c>
      <c r="G11" s="100">
        <v>8.3000000000000007</v>
      </c>
      <c r="H11" s="100">
        <v>5.99</v>
      </c>
      <c r="I11" s="100">
        <v>6.28</v>
      </c>
      <c r="J11" s="100">
        <v>0.66</v>
      </c>
      <c r="K11" s="100">
        <v>255.58</v>
      </c>
      <c r="L11" s="100">
        <v>24.62</v>
      </c>
      <c r="M11" s="100">
        <v>98.68</v>
      </c>
      <c r="N11" s="100">
        <v>2.5</v>
      </c>
      <c r="O11" s="100">
        <v>0.8</v>
      </c>
      <c r="P11" s="100">
        <v>0.22</v>
      </c>
      <c r="Q11" s="100">
        <v>10</v>
      </c>
      <c r="R11" s="6"/>
      <c r="S11" s="6"/>
      <c r="T11" s="156"/>
      <c r="U11" s="6"/>
    </row>
    <row r="12" spans="1:21" customFormat="1">
      <c r="A12" s="163" t="s">
        <v>2643</v>
      </c>
      <c r="B12" s="100">
        <v>6.59</v>
      </c>
      <c r="C12" s="100">
        <v>14.13</v>
      </c>
      <c r="D12" s="100">
        <v>12.67</v>
      </c>
      <c r="E12" s="100">
        <v>3.62</v>
      </c>
      <c r="F12" s="100">
        <v>1.94</v>
      </c>
      <c r="G12" s="100">
        <v>8.18</v>
      </c>
      <c r="H12" s="100">
        <v>5.55</v>
      </c>
      <c r="I12" s="100">
        <v>6.11</v>
      </c>
      <c r="J12" s="100">
        <v>0.62</v>
      </c>
      <c r="K12" s="100">
        <v>254.94</v>
      </c>
      <c r="L12" s="100">
        <v>24.66</v>
      </c>
      <c r="M12" s="100">
        <v>98.68</v>
      </c>
      <c r="N12" s="100">
        <v>2.4</v>
      </c>
      <c r="O12" s="100">
        <v>0.6</v>
      </c>
      <c r="P12" s="100">
        <v>0.2</v>
      </c>
      <c r="Q12" s="100">
        <v>10</v>
      </c>
      <c r="R12" s="6"/>
      <c r="S12" s="6"/>
      <c r="T12" s="156"/>
      <c r="U12" s="6"/>
    </row>
    <row r="13" spans="1:21" customFormat="1">
      <c r="A13" s="163" t="s">
        <v>2644</v>
      </c>
      <c r="B13" s="100">
        <v>6.66</v>
      </c>
      <c r="C13" s="100">
        <v>14.62</v>
      </c>
      <c r="D13" s="100">
        <v>12.98</v>
      </c>
      <c r="E13" s="100">
        <v>3.49</v>
      </c>
      <c r="F13" s="100">
        <v>2.59</v>
      </c>
      <c r="G13" s="100">
        <v>8</v>
      </c>
      <c r="H13" s="100">
        <v>4.5199999999999996</v>
      </c>
      <c r="I13" s="100">
        <v>6.12</v>
      </c>
      <c r="J13" s="100">
        <v>0.77</v>
      </c>
      <c r="K13" s="100">
        <v>251.88</v>
      </c>
      <c r="L13" s="100">
        <v>24.58</v>
      </c>
      <c r="M13" s="100">
        <v>98.68</v>
      </c>
      <c r="N13" s="100">
        <v>2.8</v>
      </c>
      <c r="O13" s="100">
        <v>5.4</v>
      </c>
      <c r="P13" s="100">
        <v>0.21</v>
      </c>
      <c r="Q13" s="100">
        <v>10</v>
      </c>
      <c r="R13" s="6"/>
      <c r="S13" s="6"/>
      <c r="T13" s="156"/>
      <c r="U13" s="6"/>
    </row>
    <row r="14" spans="1:21" customFormat="1">
      <c r="A14" s="163" t="s">
        <v>2645</v>
      </c>
      <c r="B14" s="100">
        <v>6.43</v>
      </c>
      <c r="C14" s="100">
        <v>14.96</v>
      </c>
      <c r="D14" s="100">
        <v>12.98</v>
      </c>
      <c r="E14" s="100">
        <v>3.84</v>
      </c>
      <c r="F14" s="100">
        <v>2.37</v>
      </c>
      <c r="G14" s="100">
        <v>8</v>
      </c>
      <c r="H14" s="100">
        <v>4.5199999999999996</v>
      </c>
      <c r="I14" s="100">
        <v>5.97</v>
      </c>
      <c r="J14" s="100">
        <v>1.21</v>
      </c>
      <c r="K14" s="100">
        <v>253.5</v>
      </c>
      <c r="L14" s="100">
        <v>24.21</v>
      </c>
      <c r="M14" s="100">
        <v>98.68</v>
      </c>
      <c r="N14" s="100">
        <v>2.9</v>
      </c>
      <c r="O14" s="100">
        <v>13.2</v>
      </c>
      <c r="P14" s="100">
        <v>0.22</v>
      </c>
      <c r="Q14" s="100">
        <v>10</v>
      </c>
      <c r="R14" s="6"/>
      <c r="S14" s="6"/>
      <c r="T14" s="156"/>
      <c r="U14" s="6"/>
    </row>
    <row r="15" spans="1:21" customFormat="1">
      <c r="A15" s="163" t="s">
        <v>2646</v>
      </c>
      <c r="B15" s="100">
        <v>5.99</v>
      </c>
      <c r="C15" s="100">
        <v>14.99</v>
      </c>
      <c r="D15" s="100">
        <v>12.63</v>
      </c>
      <c r="E15" s="100">
        <v>3.74</v>
      </c>
      <c r="F15" s="100">
        <v>2.2799999999999998</v>
      </c>
      <c r="G15" s="100">
        <v>8</v>
      </c>
      <c r="H15" s="100">
        <v>4.5199999999999996</v>
      </c>
      <c r="I15" s="100">
        <v>5.96</v>
      </c>
      <c r="J15" s="100">
        <v>1.1499999999999999</v>
      </c>
      <c r="K15" s="100">
        <v>254.6</v>
      </c>
      <c r="L15" s="100">
        <v>24.28</v>
      </c>
      <c r="M15" s="100">
        <v>98.68</v>
      </c>
      <c r="N15" s="100">
        <v>2.4</v>
      </c>
      <c r="O15" s="100">
        <v>8.6</v>
      </c>
      <c r="P15" s="100">
        <v>0.21</v>
      </c>
      <c r="Q15" s="100">
        <v>10</v>
      </c>
      <c r="R15" s="6"/>
      <c r="S15" s="6"/>
      <c r="T15" s="156"/>
      <c r="U15" s="6"/>
    </row>
    <row r="16" spans="1:21" customFormat="1">
      <c r="A16" s="163" t="s">
        <v>2647</v>
      </c>
      <c r="B16" s="100">
        <v>5.61</v>
      </c>
      <c r="C16" s="100">
        <v>15.07</v>
      </c>
      <c r="D16" s="100">
        <v>12.37</v>
      </c>
      <c r="E16" s="100">
        <v>3.69</v>
      </c>
      <c r="F16" s="100">
        <v>1.91</v>
      </c>
      <c r="G16" s="100">
        <v>7.11</v>
      </c>
      <c r="H16" s="100">
        <v>3.81</v>
      </c>
      <c r="I16" s="100">
        <v>5.81</v>
      </c>
      <c r="J16" s="100">
        <v>0.9</v>
      </c>
      <c r="K16" s="100">
        <v>263.19</v>
      </c>
      <c r="L16" s="100">
        <v>24.43</v>
      </c>
      <c r="M16" s="100">
        <v>98.68</v>
      </c>
      <c r="N16" s="100">
        <v>2.2000000000000002</v>
      </c>
      <c r="O16" s="100">
        <v>10.4</v>
      </c>
      <c r="P16" s="100">
        <v>0.2</v>
      </c>
      <c r="Q16" s="100">
        <v>10</v>
      </c>
      <c r="R16" s="6"/>
      <c r="S16" s="6"/>
      <c r="T16" s="156"/>
      <c r="U16" s="6"/>
    </row>
    <row r="17" spans="1:21" customFormat="1">
      <c r="A17" s="163" t="s">
        <v>2648</v>
      </c>
      <c r="B17" s="100">
        <v>5.4</v>
      </c>
      <c r="C17" s="100">
        <v>15.17</v>
      </c>
      <c r="D17" s="100">
        <v>12.25</v>
      </c>
      <c r="E17" s="100">
        <v>4.12</v>
      </c>
      <c r="F17" s="100">
        <v>1.56</v>
      </c>
      <c r="G17" s="100">
        <v>5.77</v>
      </c>
      <c r="H17" s="100">
        <v>3.16</v>
      </c>
      <c r="I17" s="100">
        <v>5.4</v>
      </c>
      <c r="J17" s="100">
        <v>0.99</v>
      </c>
      <c r="K17" s="100">
        <v>273.66000000000003</v>
      </c>
      <c r="L17" s="100">
        <v>24.55</v>
      </c>
      <c r="M17" s="100">
        <v>98.68</v>
      </c>
      <c r="N17" s="100">
        <v>2.4</v>
      </c>
      <c r="O17" s="100">
        <v>14</v>
      </c>
      <c r="P17" s="100">
        <v>0.2</v>
      </c>
      <c r="Q17" s="100">
        <v>10</v>
      </c>
      <c r="R17" s="6"/>
      <c r="S17" s="6"/>
      <c r="T17" s="156"/>
      <c r="U17" s="6"/>
    </row>
    <row r="18" spans="1:21" customFormat="1">
      <c r="A18" s="163" t="s">
        <v>2649</v>
      </c>
      <c r="B18" s="100">
        <v>5.29</v>
      </c>
      <c r="C18" s="100">
        <v>15.18</v>
      </c>
      <c r="D18" s="100">
        <v>12.17</v>
      </c>
      <c r="E18" s="100">
        <v>5.47</v>
      </c>
      <c r="F18" s="100">
        <v>1.73</v>
      </c>
      <c r="G18" s="100">
        <v>5.77</v>
      </c>
      <c r="H18" s="100">
        <v>3.16</v>
      </c>
      <c r="I18" s="100">
        <v>5.2</v>
      </c>
      <c r="J18" s="100">
        <v>1.07</v>
      </c>
      <c r="K18" s="100">
        <v>255.97</v>
      </c>
      <c r="L18" s="100">
        <v>24.56</v>
      </c>
      <c r="M18" s="100">
        <v>98.69</v>
      </c>
      <c r="N18" s="100">
        <v>2.5</v>
      </c>
      <c r="O18" s="100">
        <v>10.4</v>
      </c>
      <c r="P18" s="100">
        <v>0.19</v>
      </c>
      <c r="Q18" s="100">
        <v>10</v>
      </c>
      <c r="R18" s="6"/>
      <c r="S18" s="6"/>
      <c r="T18" s="156"/>
      <c r="U18" s="6"/>
    </row>
    <row r="19" spans="1:21" customFormat="1">
      <c r="A19" s="163" t="s">
        <v>2650</v>
      </c>
      <c r="B19" s="100">
        <v>5.17</v>
      </c>
      <c r="C19" s="100">
        <v>15.17</v>
      </c>
      <c r="D19" s="100">
        <v>12.08</v>
      </c>
      <c r="E19" s="100">
        <v>5.38</v>
      </c>
      <c r="F19" s="100">
        <v>2.06</v>
      </c>
      <c r="G19" s="100">
        <v>5.77</v>
      </c>
      <c r="H19" s="100">
        <v>3.16</v>
      </c>
      <c r="I19" s="100">
        <v>5.0599999999999996</v>
      </c>
      <c r="J19" s="100">
        <v>0.57999999999999996</v>
      </c>
      <c r="K19" s="100">
        <v>259.17</v>
      </c>
      <c r="L19" s="100">
        <v>24.59</v>
      </c>
      <c r="M19" s="100">
        <v>98.7</v>
      </c>
      <c r="N19" s="100">
        <v>2.5</v>
      </c>
      <c r="O19" s="100">
        <v>10.199999999999999</v>
      </c>
      <c r="P19" s="100">
        <v>0.19</v>
      </c>
      <c r="Q19" s="100">
        <v>10</v>
      </c>
      <c r="R19" s="6"/>
      <c r="S19" s="6"/>
      <c r="T19" s="156"/>
      <c r="U19" s="6"/>
    </row>
    <row r="20" spans="1:21" customFormat="1">
      <c r="A20" s="163" t="s">
        <v>2651</v>
      </c>
      <c r="B20" s="100">
        <v>5.13</v>
      </c>
      <c r="C20" s="100">
        <v>15.15</v>
      </c>
      <c r="D20" s="100">
        <v>12.03</v>
      </c>
      <c r="E20" s="100">
        <v>5.56</v>
      </c>
      <c r="F20" s="100">
        <v>1.86</v>
      </c>
      <c r="G20" s="100">
        <v>5.13</v>
      </c>
      <c r="H20" s="100">
        <v>2.66</v>
      </c>
      <c r="I20" s="100">
        <v>4.97</v>
      </c>
      <c r="J20" s="100">
        <v>0.76</v>
      </c>
      <c r="K20" s="100">
        <v>252.07</v>
      </c>
      <c r="L20" s="100">
        <v>24.61</v>
      </c>
      <c r="M20" s="100">
        <v>98.69</v>
      </c>
      <c r="N20" s="100">
        <v>2.4</v>
      </c>
      <c r="O20" s="100">
        <v>5.8</v>
      </c>
      <c r="P20" s="100">
        <v>0.19</v>
      </c>
      <c r="Q20" s="100">
        <v>10</v>
      </c>
      <c r="R20" s="6"/>
      <c r="S20" s="6"/>
      <c r="T20" s="156"/>
      <c r="U20" s="6"/>
    </row>
    <row r="21" spans="1:21" customFormat="1">
      <c r="A21" s="163" t="s">
        <v>2652</v>
      </c>
      <c r="B21" s="100">
        <v>5.0999999999999996</v>
      </c>
      <c r="C21" s="100">
        <v>15</v>
      </c>
      <c r="D21" s="100">
        <v>11.93</v>
      </c>
      <c r="E21" s="100">
        <v>5.62</v>
      </c>
      <c r="F21" s="100">
        <v>1.93</v>
      </c>
      <c r="G21" s="100">
        <v>4.16</v>
      </c>
      <c r="H21" s="100">
        <v>2.21</v>
      </c>
      <c r="I21" s="100">
        <v>4.88</v>
      </c>
      <c r="J21" s="100">
        <v>0.79</v>
      </c>
      <c r="K21" s="100">
        <v>252.85</v>
      </c>
      <c r="L21" s="100">
        <v>24.61</v>
      </c>
      <c r="M21" s="100">
        <v>98.7</v>
      </c>
      <c r="N21" s="100">
        <v>2.6</v>
      </c>
      <c r="O21" s="100">
        <v>1.4</v>
      </c>
      <c r="P21" s="100">
        <v>0.17</v>
      </c>
      <c r="Q21" s="100">
        <v>10</v>
      </c>
      <c r="R21" s="6"/>
      <c r="S21" s="6"/>
      <c r="T21" s="156"/>
      <c r="U21" s="6"/>
    </row>
    <row r="22" spans="1:21" customFormat="1">
      <c r="A22" s="163" t="s">
        <v>2653</v>
      </c>
      <c r="B22" s="100">
        <v>5</v>
      </c>
      <c r="C22" s="100">
        <v>14.88</v>
      </c>
      <c r="D22" s="100">
        <v>11.78</v>
      </c>
      <c r="E22" s="100">
        <v>5.56</v>
      </c>
      <c r="F22" s="100">
        <v>2.13</v>
      </c>
      <c r="G22" s="100">
        <v>4.16</v>
      </c>
      <c r="H22" s="100">
        <v>2.21</v>
      </c>
      <c r="I22" s="100">
        <v>4.83</v>
      </c>
      <c r="J22" s="100">
        <v>0.8</v>
      </c>
      <c r="K22" s="100">
        <v>255.45</v>
      </c>
      <c r="L22" s="100">
        <v>24.65</v>
      </c>
      <c r="M22" s="100">
        <v>98.7</v>
      </c>
      <c r="N22" s="100">
        <v>2.5</v>
      </c>
      <c r="O22" s="100">
        <v>1</v>
      </c>
      <c r="P22" s="100">
        <v>0.17</v>
      </c>
      <c r="Q22" s="100">
        <v>10</v>
      </c>
      <c r="R22" s="6"/>
      <c r="S22" s="6"/>
      <c r="T22" s="156"/>
      <c r="U22" s="6"/>
    </row>
    <row r="23" spans="1:21" customFormat="1">
      <c r="A23" s="163" t="s">
        <v>2654</v>
      </c>
      <c r="B23" s="100">
        <v>4.8899999999999997</v>
      </c>
      <c r="C23" s="100">
        <v>14.82</v>
      </c>
      <c r="D23" s="100">
        <v>11.66</v>
      </c>
      <c r="E23" s="100">
        <v>5.22</v>
      </c>
      <c r="F23" s="100">
        <v>2.0499999999999998</v>
      </c>
      <c r="G23" s="100">
        <v>4.16</v>
      </c>
      <c r="H23" s="100">
        <v>2.21</v>
      </c>
      <c r="I23" s="100">
        <v>4.6100000000000003</v>
      </c>
      <c r="J23" s="100">
        <v>0.87</v>
      </c>
      <c r="K23" s="100">
        <v>253.36</v>
      </c>
      <c r="L23" s="100">
        <v>24.67</v>
      </c>
      <c r="M23" s="100">
        <v>98.7</v>
      </c>
      <c r="N23" s="100">
        <v>2.6</v>
      </c>
      <c r="O23" s="100">
        <v>1</v>
      </c>
      <c r="P23" s="100">
        <v>0.17</v>
      </c>
      <c r="Q23" s="100">
        <v>10</v>
      </c>
      <c r="R23" s="6"/>
      <c r="S23" s="6"/>
      <c r="T23" s="156"/>
      <c r="U23" s="6"/>
    </row>
    <row r="24" spans="1:21" customFormat="1">
      <c r="A24" s="163" t="s">
        <v>2655</v>
      </c>
      <c r="B24" s="100">
        <v>4.8</v>
      </c>
      <c r="C24" s="100">
        <v>14.78</v>
      </c>
      <c r="D24" s="100">
        <v>11.57</v>
      </c>
      <c r="E24" s="100">
        <v>5.47</v>
      </c>
      <c r="F24" s="100">
        <v>1.68</v>
      </c>
      <c r="G24" s="100">
        <v>3.88</v>
      </c>
      <c r="H24" s="100">
        <v>2</v>
      </c>
      <c r="I24" s="100">
        <v>4.5199999999999996</v>
      </c>
      <c r="J24" s="100">
        <v>0.84</v>
      </c>
      <c r="K24" s="100">
        <v>255.22</v>
      </c>
      <c r="L24" s="100">
        <v>24.59</v>
      </c>
      <c r="M24" s="100">
        <v>98.7</v>
      </c>
      <c r="N24" s="100">
        <v>2.7</v>
      </c>
      <c r="O24" s="100">
        <v>1.2</v>
      </c>
      <c r="P24" s="100">
        <v>0.16</v>
      </c>
      <c r="Q24" s="100">
        <v>10</v>
      </c>
      <c r="R24" s="6"/>
      <c r="S24" s="6"/>
      <c r="T24" s="156"/>
      <c r="U24" s="6"/>
    </row>
    <row r="25" spans="1:21" customFormat="1">
      <c r="A25" s="163" t="s">
        <v>2656</v>
      </c>
      <c r="B25" s="100">
        <v>4.7699999999999996</v>
      </c>
      <c r="C25" s="100">
        <v>14.72</v>
      </c>
      <c r="D25" s="100">
        <v>11.52</v>
      </c>
      <c r="E25" s="100">
        <v>5.61</v>
      </c>
      <c r="F25" s="100">
        <v>2.4900000000000002</v>
      </c>
      <c r="G25" s="100">
        <v>3.45</v>
      </c>
      <c r="H25" s="100">
        <v>1.82</v>
      </c>
      <c r="I25" s="100">
        <v>4.38</v>
      </c>
      <c r="J25" s="100">
        <v>0.91</v>
      </c>
      <c r="K25" s="100">
        <v>255.81</v>
      </c>
      <c r="L25" s="100">
        <v>24.55</v>
      </c>
      <c r="M25" s="100">
        <v>98.7</v>
      </c>
      <c r="N25" s="100">
        <v>2.5</v>
      </c>
      <c r="O25" s="100">
        <v>0.8</v>
      </c>
      <c r="P25" s="100">
        <v>0.16</v>
      </c>
      <c r="Q25" s="100">
        <v>10</v>
      </c>
      <c r="R25" s="6"/>
      <c r="S25" s="6"/>
      <c r="T25" s="156"/>
      <c r="U25" s="6"/>
    </row>
    <row r="26" spans="1:21" customFormat="1">
      <c r="A26" s="163" t="s">
        <v>2657</v>
      </c>
      <c r="B26" s="100">
        <v>4.72</v>
      </c>
      <c r="C26" s="100">
        <v>14.6</v>
      </c>
      <c r="D26" s="100">
        <v>11.41</v>
      </c>
      <c r="E26" s="100">
        <v>5.63</v>
      </c>
      <c r="F26" s="100">
        <v>1.98</v>
      </c>
      <c r="G26" s="100">
        <v>3.45</v>
      </c>
      <c r="H26" s="100">
        <v>1.82</v>
      </c>
      <c r="I26" s="100">
        <v>4.29</v>
      </c>
      <c r="J26" s="100">
        <v>0.84</v>
      </c>
      <c r="K26" s="100">
        <v>252.69</v>
      </c>
      <c r="L26" s="100">
        <v>24.64</v>
      </c>
      <c r="M26" s="100">
        <v>98.72</v>
      </c>
      <c r="N26" s="100">
        <v>2.4</v>
      </c>
      <c r="O26" s="100">
        <v>0.8</v>
      </c>
      <c r="P26" s="100">
        <v>0.16</v>
      </c>
      <c r="Q26" s="100">
        <v>10</v>
      </c>
      <c r="R26" s="6"/>
      <c r="S26" s="6"/>
      <c r="T26" s="156"/>
      <c r="U26" s="6"/>
    </row>
    <row r="27" spans="1:21" customFormat="1">
      <c r="A27" s="163" t="s">
        <v>2658</v>
      </c>
      <c r="B27" s="100">
        <v>4.67</v>
      </c>
      <c r="C27" s="100">
        <v>14.63</v>
      </c>
      <c r="D27" s="100">
        <v>11.39</v>
      </c>
      <c r="E27" s="100">
        <v>5.86</v>
      </c>
      <c r="F27" s="100">
        <v>1.9</v>
      </c>
      <c r="G27" s="100">
        <v>3.45</v>
      </c>
      <c r="H27" s="100">
        <v>1.82</v>
      </c>
      <c r="I27" s="100">
        <v>4.22</v>
      </c>
      <c r="J27" s="100">
        <v>0.81</v>
      </c>
      <c r="K27" s="100">
        <v>252.9</v>
      </c>
      <c r="L27" s="100">
        <v>24.68</v>
      </c>
      <c r="M27" s="100">
        <v>98.73</v>
      </c>
      <c r="N27" s="100">
        <v>2.4</v>
      </c>
      <c r="O27" s="100">
        <v>1</v>
      </c>
      <c r="P27" s="100">
        <v>0.16</v>
      </c>
      <c r="Q27" s="100">
        <v>10</v>
      </c>
      <c r="R27" s="6"/>
      <c r="S27" s="6"/>
      <c r="T27" s="156"/>
      <c r="U27" s="6"/>
    </row>
    <row r="28" spans="1:21" customFormat="1">
      <c r="A28" s="163" t="s">
        <v>2659</v>
      </c>
      <c r="B28" s="100">
        <v>4.6900000000000004</v>
      </c>
      <c r="C28" s="100">
        <v>14.56</v>
      </c>
      <c r="D28" s="100">
        <v>11.37</v>
      </c>
      <c r="E28" s="100">
        <v>6.13</v>
      </c>
      <c r="F28" s="100">
        <v>2.14</v>
      </c>
      <c r="G28" s="100">
        <v>3.33</v>
      </c>
      <c r="H28" s="100">
        <v>1.77</v>
      </c>
      <c r="I28" s="100">
        <v>4.24</v>
      </c>
      <c r="J28" s="100">
        <v>0.79</v>
      </c>
      <c r="K28" s="100">
        <v>250.58</v>
      </c>
      <c r="L28" s="100">
        <v>24.7</v>
      </c>
      <c r="M28" s="100">
        <v>98.73</v>
      </c>
      <c r="N28" s="100">
        <v>2.4</v>
      </c>
      <c r="O28" s="100">
        <v>1.4</v>
      </c>
      <c r="P28" s="100">
        <v>0.17</v>
      </c>
      <c r="Q28" s="100">
        <v>10</v>
      </c>
      <c r="R28" s="6"/>
      <c r="S28" s="6"/>
      <c r="T28" s="156"/>
      <c r="U28" s="6"/>
    </row>
    <row r="29" spans="1:21" customFormat="1">
      <c r="A29" s="163" t="s">
        <v>2660</v>
      </c>
      <c r="B29" s="100">
        <v>4.7</v>
      </c>
      <c r="C29" s="100">
        <v>14.57</v>
      </c>
      <c r="D29" s="100">
        <v>11.38</v>
      </c>
      <c r="E29" s="100">
        <v>5.79</v>
      </c>
      <c r="F29" s="100">
        <v>1.97</v>
      </c>
      <c r="G29" s="100">
        <v>3.15</v>
      </c>
      <c r="H29" s="100">
        <v>1.63</v>
      </c>
      <c r="I29" s="100">
        <v>4.47</v>
      </c>
      <c r="J29" s="100">
        <v>0.72</v>
      </c>
      <c r="K29" s="100">
        <v>251.92</v>
      </c>
      <c r="L29" s="100">
        <v>24.73</v>
      </c>
      <c r="M29" s="100">
        <v>98.73</v>
      </c>
      <c r="N29" s="100">
        <v>2.5</v>
      </c>
      <c r="O29" s="100">
        <v>1.2</v>
      </c>
      <c r="P29" s="100">
        <v>0.16</v>
      </c>
      <c r="Q29" s="100">
        <v>10</v>
      </c>
      <c r="R29" s="6"/>
      <c r="S29" s="6"/>
      <c r="T29" s="156"/>
      <c r="U29" s="6"/>
    </row>
    <row r="30" spans="1:21" customFormat="1">
      <c r="A30" s="163" t="s">
        <v>2661</v>
      </c>
      <c r="B30" s="100">
        <v>4.66</v>
      </c>
      <c r="C30" s="100">
        <v>14.42</v>
      </c>
      <c r="D30" s="100">
        <v>11.27</v>
      </c>
      <c r="E30" s="100">
        <v>6.05</v>
      </c>
      <c r="F30" s="100">
        <v>2.13</v>
      </c>
      <c r="G30" s="100">
        <v>3.15</v>
      </c>
      <c r="H30" s="100">
        <v>1.63</v>
      </c>
      <c r="I30" s="100">
        <v>4.4400000000000004</v>
      </c>
      <c r="J30" s="100">
        <v>0.86</v>
      </c>
      <c r="K30" s="100">
        <v>253.65</v>
      </c>
      <c r="L30" s="100">
        <v>24.74</v>
      </c>
      <c r="M30" s="100">
        <v>98.73</v>
      </c>
      <c r="N30" s="100">
        <v>2.6</v>
      </c>
      <c r="O30" s="100">
        <v>0.8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163" t="s">
        <v>2662</v>
      </c>
      <c r="B31" s="100">
        <v>4.62</v>
      </c>
      <c r="C31" s="100">
        <v>14.23</v>
      </c>
      <c r="D31" s="100">
        <v>11.14</v>
      </c>
      <c r="E31" s="100">
        <v>5.66</v>
      </c>
      <c r="F31" s="100">
        <v>2.35</v>
      </c>
      <c r="G31" s="100">
        <v>3.15</v>
      </c>
      <c r="H31" s="100">
        <v>1.63</v>
      </c>
      <c r="I31" s="100">
        <v>4.28</v>
      </c>
      <c r="J31" s="100">
        <v>0.78</v>
      </c>
      <c r="K31" s="100">
        <v>256.43</v>
      </c>
      <c r="L31" s="100">
        <v>24.72</v>
      </c>
      <c r="M31" s="100">
        <v>98.73</v>
      </c>
      <c r="N31" s="100">
        <v>2.9</v>
      </c>
      <c r="O31" s="100">
        <v>0.4</v>
      </c>
      <c r="P31" s="100">
        <v>0.15</v>
      </c>
      <c r="Q31" s="100">
        <v>10</v>
      </c>
      <c r="R31" s="6"/>
      <c r="S31" s="6"/>
      <c r="T31" s="156"/>
      <c r="U31" s="6"/>
    </row>
    <row r="32" spans="1:21" customFormat="1">
      <c r="A32" s="163" t="s">
        <v>2663</v>
      </c>
      <c r="B32" s="100">
        <v>4.57</v>
      </c>
      <c r="C32" s="100">
        <v>14.16</v>
      </c>
      <c r="D32" s="100">
        <v>11.06</v>
      </c>
      <c r="E32" s="100">
        <v>5.73</v>
      </c>
      <c r="F32" s="100">
        <v>3.41</v>
      </c>
      <c r="G32" s="100">
        <v>3.92</v>
      </c>
      <c r="H32" s="100">
        <v>1.45</v>
      </c>
      <c r="I32" s="100">
        <v>4.2300000000000004</v>
      </c>
      <c r="J32" s="100">
        <v>0.7</v>
      </c>
      <c r="K32" s="100">
        <v>252.16</v>
      </c>
      <c r="L32" s="100">
        <v>24.72</v>
      </c>
      <c r="M32" s="100">
        <v>98.73</v>
      </c>
      <c r="N32" s="100">
        <v>4.5999999999999996</v>
      </c>
      <c r="O32" s="100">
        <v>0</v>
      </c>
      <c r="P32" s="100">
        <v>0.14000000000000001</v>
      </c>
      <c r="Q32" s="100">
        <v>10</v>
      </c>
      <c r="R32" s="6"/>
      <c r="S32" s="6"/>
      <c r="T32" s="156"/>
      <c r="U32" s="6"/>
    </row>
    <row r="33" spans="1:21" customFormat="1">
      <c r="A33" s="163" t="s">
        <v>2664</v>
      </c>
      <c r="B33" s="100">
        <v>4.5599999999999996</v>
      </c>
      <c r="C33" s="100">
        <v>14</v>
      </c>
      <c r="D33" s="100">
        <v>10.97</v>
      </c>
      <c r="E33" s="100">
        <v>5.9</v>
      </c>
      <c r="F33" s="100">
        <v>1.65</v>
      </c>
      <c r="G33" s="100">
        <v>5.12</v>
      </c>
      <c r="H33" s="100">
        <v>1.29</v>
      </c>
      <c r="I33" s="100">
        <v>4.17</v>
      </c>
      <c r="J33" s="100">
        <v>0.83</v>
      </c>
      <c r="K33" s="100">
        <v>255.1</v>
      </c>
      <c r="L33" s="100">
        <v>24.71</v>
      </c>
      <c r="M33" s="100">
        <v>98.73</v>
      </c>
      <c r="N33" s="100">
        <v>8.6999999999999993</v>
      </c>
      <c r="O33" s="100">
        <v>0.2</v>
      </c>
      <c r="P33" s="100">
        <v>0.14000000000000001</v>
      </c>
      <c r="Q33" s="100">
        <v>10</v>
      </c>
      <c r="R33" s="6"/>
      <c r="S33" s="6"/>
      <c r="T33" s="156"/>
      <c r="U33" s="6"/>
    </row>
    <row r="34" spans="1:21" customFormat="1">
      <c r="A34" s="163" t="s">
        <v>2665</v>
      </c>
      <c r="B34" s="100">
        <v>4.58</v>
      </c>
      <c r="C34" s="100">
        <v>13.72</v>
      </c>
      <c r="D34" s="100">
        <v>10.84</v>
      </c>
      <c r="E34" s="100">
        <v>5.73</v>
      </c>
      <c r="F34" s="100">
        <v>0.72</v>
      </c>
      <c r="G34" s="100">
        <v>5.12</v>
      </c>
      <c r="H34" s="100">
        <v>1.29</v>
      </c>
      <c r="I34" s="100">
        <v>3.92</v>
      </c>
      <c r="J34" s="100">
        <v>0.78</v>
      </c>
      <c r="K34" s="100">
        <v>254.3</v>
      </c>
      <c r="L34" s="100">
        <v>24.7</v>
      </c>
      <c r="M34" s="100">
        <v>98.73</v>
      </c>
      <c r="N34" s="100">
        <v>12.9</v>
      </c>
      <c r="O34" s="100">
        <v>0</v>
      </c>
      <c r="P34" s="100">
        <v>0.11</v>
      </c>
      <c r="Q34" s="100">
        <v>10</v>
      </c>
      <c r="R34" s="6"/>
      <c r="S34" s="6"/>
      <c r="T34" s="156"/>
      <c r="U34" s="6"/>
    </row>
    <row r="35" spans="1:21" customFormat="1">
      <c r="A35" s="163" t="s">
        <v>2666</v>
      </c>
      <c r="B35" s="100">
        <v>4.58</v>
      </c>
      <c r="C35" s="100">
        <v>13.6</v>
      </c>
      <c r="D35" s="100">
        <v>10.78</v>
      </c>
      <c r="E35" s="100">
        <v>5.55</v>
      </c>
      <c r="F35" s="100">
        <v>2.1</v>
      </c>
      <c r="G35" s="100">
        <v>5.12</v>
      </c>
      <c r="H35" s="100">
        <v>1.29</v>
      </c>
      <c r="I35" s="100">
        <v>3.92</v>
      </c>
      <c r="J35" s="100">
        <v>0.77</v>
      </c>
      <c r="K35" s="100">
        <v>257.64999999999998</v>
      </c>
      <c r="L35" s="100">
        <v>24.67</v>
      </c>
      <c r="M35" s="100">
        <v>98.72</v>
      </c>
      <c r="N35" s="100">
        <v>9.5</v>
      </c>
      <c r="O35" s="100">
        <v>0</v>
      </c>
      <c r="P35" s="100">
        <v>0.08</v>
      </c>
      <c r="Q35" s="100">
        <v>10</v>
      </c>
      <c r="R35" s="6"/>
      <c r="S35" s="6"/>
      <c r="T35" s="156"/>
      <c r="U35" s="6"/>
    </row>
    <row r="36" spans="1:21" customFormat="1">
      <c r="A36" s="163" t="s">
        <v>2667</v>
      </c>
      <c r="B36" s="100">
        <v>4.6900000000000004</v>
      </c>
      <c r="C36" s="100">
        <v>13.84</v>
      </c>
      <c r="D36" s="100">
        <v>10.99</v>
      </c>
      <c r="E36" s="100">
        <v>5.0199999999999996</v>
      </c>
      <c r="F36" s="100">
        <v>2.64</v>
      </c>
      <c r="G36" s="100">
        <v>4.5199999999999996</v>
      </c>
      <c r="H36" s="100">
        <v>1.25</v>
      </c>
      <c r="I36" s="100">
        <v>3.95</v>
      </c>
      <c r="J36" s="100">
        <v>0.74</v>
      </c>
      <c r="K36" s="100">
        <v>252.56</v>
      </c>
      <c r="L36" s="100">
        <v>24.62</v>
      </c>
      <c r="M36" s="100">
        <v>98.72</v>
      </c>
      <c r="N36" s="100">
        <v>7.5</v>
      </c>
      <c r="O36" s="100">
        <v>0</v>
      </c>
      <c r="P36" s="100">
        <v>7.0000000000000007E-2</v>
      </c>
      <c r="Q36" s="100">
        <v>10</v>
      </c>
      <c r="R36" s="6"/>
      <c r="S36" s="6"/>
      <c r="T36" s="156"/>
      <c r="U36" s="6"/>
    </row>
    <row r="37" spans="1:21" customFormat="1">
      <c r="A37" s="163" t="s">
        <v>2668</v>
      </c>
      <c r="B37" s="100">
        <v>5</v>
      </c>
      <c r="C37" s="100">
        <v>14.23</v>
      </c>
      <c r="D37" s="100">
        <v>11.45</v>
      </c>
      <c r="E37" s="100">
        <v>5.0999999999999996</v>
      </c>
      <c r="F37" s="100">
        <v>2.25</v>
      </c>
      <c r="G37" s="100">
        <v>3.63</v>
      </c>
      <c r="H37" s="100">
        <v>1.21</v>
      </c>
      <c r="I37" s="100">
        <v>3.82</v>
      </c>
      <c r="J37" s="100">
        <v>1.06</v>
      </c>
      <c r="K37" s="100">
        <v>257.64999999999998</v>
      </c>
      <c r="L37" s="100">
        <v>24.49</v>
      </c>
      <c r="M37" s="100">
        <v>98.73</v>
      </c>
      <c r="N37" s="100">
        <v>14.5</v>
      </c>
      <c r="O37" s="100">
        <v>0</v>
      </c>
      <c r="P37" s="100">
        <v>0.1</v>
      </c>
      <c r="Q37" s="100">
        <v>10</v>
      </c>
      <c r="R37" s="6"/>
      <c r="S37" s="6"/>
      <c r="T37" s="156"/>
      <c r="U37" s="6"/>
    </row>
    <row r="38" spans="1:21" customFormat="1">
      <c r="A38" s="163" t="s">
        <v>2669</v>
      </c>
      <c r="B38" s="100">
        <v>5.0999999999999996</v>
      </c>
      <c r="C38" s="100">
        <v>13.77</v>
      </c>
      <c r="D38" s="100">
        <v>11.29</v>
      </c>
      <c r="E38" s="100">
        <v>5.31</v>
      </c>
      <c r="F38" s="100">
        <v>1.3</v>
      </c>
      <c r="G38" s="100">
        <v>3.63</v>
      </c>
      <c r="H38" s="100">
        <v>1.21</v>
      </c>
      <c r="I38" s="100">
        <v>3.76</v>
      </c>
      <c r="J38" s="100">
        <v>1.05</v>
      </c>
      <c r="K38" s="100">
        <v>252.35</v>
      </c>
      <c r="L38" s="100">
        <v>24.51</v>
      </c>
      <c r="M38" s="100">
        <v>98.73</v>
      </c>
      <c r="N38" s="100">
        <v>32.299999999999997</v>
      </c>
      <c r="O38" s="100">
        <v>0</v>
      </c>
      <c r="P38" s="100">
        <v>0.08</v>
      </c>
      <c r="Q38" s="100">
        <v>10</v>
      </c>
      <c r="R38" s="6"/>
      <c r="S38" s="6"/>
      <c r="T38" s="156"/>
      <c r="U38" s="6"/>
    </row>
    <row r="39" spans="1:21" customFormat="1">
      <c r="A39" s="163" t="s">
        <v>2670</v>
      </c>
      <c r="B39" s="100">
        <v>5.0199999999999996</v>
      </c>
      <c r="C39" s="100">
        <v>13.48</v>
      </c>
      <c r="D39" s="100">
        <v>11.07</v>
      </c>
      <c r="E39" s="100">
        <v>5.0999999999999996</v>
      </c>
      <c r="F39" s="100">
        <v>2.1</v>
      </c>
      <c r="G39" s="100">
        <v>3.63</v>
      </c>
      <c r="H39" s="100">
        <v>1.21</v>
      </c>
      <c r="I39" s="100">
        <v>3.87</v>
      </c>
      <c r="J39" s="100">
        <v>0.79</v>
      </c>
      <c r="K39" s="100">
        <v>254.94</v>
      </c>
      <c r="L39" s="100">
        <v>24.56</v>
      </c>
      <c r="M39" s="100">
        <v>98.73</v>
      </c>
      <c r="N39" s="100">
        <v>29.8</v>
      </c>
      <c r="O39" s="100">
        <v>0</v>
      </c>
      <c r="P39" s="100">
        <v>7.0000000000000007E-2</v>
      </c>
      <c r="Q39" s="100">
        <v>10</v>
      </c>
      <c r="R39" s="6"/>
      <c r="S39" s="6"/>
      <c r="T39" s="156"/>
      <c r="U39" s="6"/>
    </row>
    <row r="40" spans="1:21" customFormat="1">
      <c r="A40" s="163" t="s">
        <v>2671</v>
      </c>
      <c r="B40" s="100">
        <v>5.17</v>
      </c>
      <c r="C40" s="100">
        <v>13.87</v>
      </c>
      <c r="D40" s="100">
        <v>11.39</v>
      </c>
      <c r="E40" s="100">
        <v>5.09</v>
      </c>
      <c r="F40" s="100">
        <v>2.69</v>
      </c>
      <c r="G40" s="100">
        <v>3.36</v>
      </c>
      <c r="H40" s="100">
        <v>1.1299999999999999</v>
      </c>
      <c r="I40" s="100">
        <v>3.81</v>
      </c>
      <c r="J40" s="100">
        <v>0.91</v>
      </c>
      <c r="K40" s="100">
        <v>253.52</v>
      </c>
      <c r="L40" s="100">
        <v>24.66</v>
      </c>
      <c r="M40" s="100">
        <v>98.73</v>
      </c>
      <c r="N40" s="100">
        <v>40.1</v>
      </c>
      <c r="O40" s="100">
        <v>0</v>
      </c>
      <c r="P40" s="100">
        <v>0.08</v>
      </c>
      <c r="Q40" s="100">
        <v>10</v>
      </c>
      <c r="R40" s="6"/>
      <c r="S40" s="6"/>
      <c r="T40" s="156"/>
      <c r="U40" s="6"/>
    </row>
    <row r="41" spans="1:21" customFormat="1">
      <c r="A41" s="163" t="s">
        <v>2672</v>
      </c>
      <c r="B41" s="100">
        <v>5.31</v>
      </c>
      <c r="C41" s="100">
        <v>13.86</v>
      </c>
      <c r="D41" s="100">
        <v>11.5</v>
      </c>
      <c r="E41" s="100">
        <v>5.47</v>
      </c>
      <c r="F41" s="100">
        <v>1.54</v>
      </c>
      <c r="G41" s="100">
        <v>2.93</v>
      </c>
      <c r="H41" s="100">
        <v>1.06</v>
      </c>
      <c r="I41" s="100">
        <v>3.74</v>
      </c>
      <c r="J41" s="100">
        <v>0.78</v>
      </c>
      <c r="K41" s="100">
        <v>251.29</v>
      </c>
      <c r="L41" s="100">
        <v>24.75</v>
      </c>
      <c r="M41" s="100">
        <v>98.73</v>
      </c>
      <c r="N41" s="100">
        <v>40.700000000000003</v>
      </c>
      <c r="O41" s="100">
        <v>0</v>
      </c>
      <c r="P41" s="100">
        <v>0.09</v>
      </c>
      <c r="Q41" s="100">
        <v>10</v>
      </c>
      <c r="R41" s="6"/>
      <c r="S41" s="6"/>
      <c r="T41" s="156"/>
      <c r="U41" s="6"/>
    </row>
    <row r="42" spans="1:21" customFormat="1">
      <c r="A42" s="163" t="s">
        <v>2673</v>
      </c>
      <c r="B42" s="100">
        <v>5.25</v>
      </c>
      <c r="C42" s="100">
        <v>13.43</v>
      </c>
      <c r="D42" s="100">
        <v>11.22</v>
      </c>
      <c r="E42" s="100">
        <v>5.03</v>
      </c>
      <c r="F42" s="100">
        <v>2.0299999999999998</v>
      </c>
      <c r="G42" s="100">
        <v>2.93</v>
      </c>
      <c r="H42" s="100">
        <v>1.06</v>
      </c>
      <c r="I42" s="100">
        <v>3.76</v>
      </c>
      <c r="J42" s="100">
        <v>0.86</v>
      </c>
      <c r="K42" s="100">
        <v>253.63</v>
      </c>
      <c r="L42" s="100">
        <v>24.76</v>
      </c>
      <c r="M42" s="100">
        <v>98.73</v>
      </c>
      <c r="N42" s="100">
        <v>45.9</v>
      </c>
      <c r="O42" s="100">
        <v>0</v>
      </c>
      <c r="P42" s="100">
        <v>7.0000000000000007E-2</v>
      </c>
      <c r="Q42" s="100">
        <v>10</v>
      </c>
      <c r="R42" s="6"/>
      <c r="S42" s="6"/>
      <c r="T42" s="156"/>
      <c r="U42" s="6"/>
    </row>
    <row r="43" spans="1:21" customFormat="1">
      <c r="A43" s="163" t="s">
        <v>2674</v>
      </c>
      <c r="B43" s="100">
        <v>5.3</v>
      </c>
      <c r="C43" s="100">
        <v>13.71</v>
      </c>
      <c r="D43" s="100">
        <v>11.41</v>
      </c>
      <c r="E43" s="100">
        <v>5.21</v>
      </c>
      <c r="F43" s="100">
        <v>2.87</v>
      </c>
      <c r="G43" s="100">
        <v>2.93</v>
      </c>
      <c r="H43" s="100">
        <v>1.06</v>
      </c>
      <c r="I43" s="100">
        <v>3.77</v>
      </c>
      <c r="J43" s="100">
        <v>0.75</v>
      </c>
      <c r="K43" s="100">
        <v>254.46</v>
      </c>
      <c r="L43" s="100">
        <v>24.88</v>
      </c>
      <c r="M43" s="100">
        <v>98.73</v>
      </c>
      <c r="N43" s="100">
        <v>55.8</v>
      </c>
      <c r="O43" s="100">
        <v>0</v>
      </c>
      <c r="P43" s="100">
        <v>0.08</v>
      </c>
      <c r="Q43" s="100">
        <v>10</v>
      </c>
      <c r="R43" s="6"/>
      <c r="S43" s="6"/>
      <c r="T43" s="156"/>
      <c r="U43" s="6"/>
    </row>
    <row r="44" spans="1:21" customFormat="1">
      <c r="A44" s="163" t="s">
        <v>2675</v>
      </c>
      <c r="B44" s="100">
        <v>5.45</v>
      </c>
      <c r="C44" s="100">
        <v>13.92</v>
      </c>
      <c r="D44" s="100">
        <v>11.65</v>
      </c>
      <c r="E44" s="100">
        <v>5.0599999999999996</v>
      </c>
      <c r="F44" s="100">
        <v>1.1599999999999999</v>
      </c>
      <c r="G44" s="100">
        <v>2.8</v>
      </c>
      <c r="H44" s="100">
        <v>1</v>
      </c>
      <c r="I44" s="100">
        <v>3.69</v>
      </c>
      <c r="J44" s="100">
        <v>0.92</v>
      </c>
      <c r="K44" s="100">
        <v>252.04</v>
      </c>
      <c r="L44" s="100">
        <v>24.92</v>
      </c>
      <c r="M44" s="100">
        <v>98.72</v>
      </c>
      <c r="N44" s="100">
        <v>34.9</v>
      </c>
      <c r="O44" s="100">
        <v>0</v>
      </c>
      <c r="P44" s="100">
        <v>0.08</v>
      </c>
      <c r="Q44" s="100">
        <v>10</v>
      </c>
      <c r="R44" s="6"/>
      <c r="S44" s="6"/>
      <c r="T44" s="156"/>
      <c r="U44" s="6"/>
    </row>
    <row r="45" spans="1:21" customFormat="1">
      <c r="A45" s="163" t="s">
        <v>2676</v>
      </c>
      <c r="B45" s="100">
        <v>5.4</v>
      </c>
      <c r="C45" s="100">
        <v>13.55</v>
      </c>
      <c r="D45" s="100">
        <v>11.41</v>
      </c>
      <c r="E45" s="100">
        <v>5.0599999999999996</v>
      </c>
      <c r="F45" s="100">
        <v>2.46</v>
      </c>
      <c r="G45" s="100">
        <v>2.6</v>
      </c>
      <c r="H45" s="100">
        <v>0.85</v>
      </c>
      <c r="I45" s="100">
        <v>3.65</v>
      </c>
      <c r="J45" s="100">
        <v>0.87</v>
      </c>
      <c r="K45" s="100">
        <v>255.5</v>
      </c>
      <c r="L45" s="100">
        <v>24.97</v>
      </c>
      <c r="M45" s="100">
        <v>98.7</v>
      </c>
      <c r="N45" s="100">
        <v>38.799999999999997</v>
      </c>
      <c r="O45" s="100">
        <v>0</v>
      </c>
      <c r="P45" s="100">
        <v>7.0000000000000007E-2</v>
      </c>
      <c r="Q45" s="100">
        <v>10</v>
      </c>
      <c r="R45" s="6"/>
      <c r="S45" s="6"/>
      <c r="T45" s="156"/>
      <c r="U45" s="6"/>
    </row>
    <row r="46" spans="1:21" customFormat="1">
      <c r="A46" s="163" t="s">
        <v>2677</v>
      </c>
      <c r="B46" s="100">
        <v>5.54</v>
      </c>
      <c r="C46" s="100">
        <v>13.97</v>
      </c>
      <c r="D46" s="100">
        <v>11.74</v>
      </c>
      <c r="E46" s="100">
        <v>4.75</v>
      </c>
      <c r="F46" s="100">
        <v>2.65</v>
      </c>
      <c r="G46" s="100">
        <v>2.6</v>
      </c>
      <c r="H46" s="100">
        <v>0.85</v>
      </c>
      <c r="I46" s="100">
        <v>3.75</v>
      </c>
      <c r="J46" s="100">
        <v>0.71</v>
      </c>
      <c r="K46" s="100">
        <v>255.23</v>
      </c>
      <c r="L46" s="100">
        <v>25.07</v>
      </c>
      <c r="M46" s="100">
        <v>98.7</v>
      </c>
      <c r="N46" s="100">
        <v>42.5</v>
      </c>
      <c r="O46" s="100">
        <v>0</v>
      </c>
      <c r="P46" s="100">
        <v>0.08</v>
      </c>
      <c r="Q46" s="100">
        <v>10</v>
      </c>
      <c r="R46" s="6"/>
      <c r="S46" s="6"/>
      <c r="T46" s="156"/>
      <c r="U46" s="6"/>
    </row>
    <row r="47" spans="1:21" customFormat="1">
      <c r="A47" s="163" t="s">
        <v>2678</v>
      </c>
      <c r="B47" s="100">
        <v>5.65</v>
      </c>
      <c r="C47" s="100">
        <v>13.82</v>
      </c>
      <c r="D47" s="100">
        <v>11.76</v>
      </c>
      <c r="E47" s="100">
        <v>4.9400000000000004</v>
      </c>
      <c r="F47" s="100">
        <v>1.4</v>
      </c>
      <c r="G47" s="100">
        <v>2.6</v>
      </c>
      <c r="H47" s="100">
        <v>0.85</v>
      </c>
      <c r="I47" s="100">
        <v>3.77</v>
      </c>
      <c r="J47" s="100">
        <v>0.65</v>
      </c>
      <c r="K47" s="100">
        <v>255.61</v>
      </c>
      <c r="L47" s="100">
        <v>25.09</v>
      </c>
      <c r="M47" s="100">
        <v>97.8</v>
      </c>
      <c r="N47" s="100">
        <v>28</v>
      </c>
      <c r="O47" s="100">
        <v>0</v>
      </c>
      <c r="P47" s="100">
        <v>0.08</v>
      </c>
      <c r="Q47" s="100">
        <v>10</v>
      </c>
      <c r="R47" s="6"/>
      <c r="S47" s="6"/>
      <c r="T47" s="156"/>
      <c r="U47" s="6"/>
    </row>
    <row r="48" spans="1:21" customFormat="1">
      <c r="A48" s="163" t="s">
        <v>2679</v>
      </c>
      <c r="B48" s="100">
        <v>5.64</v>
      </c>
      <c r="C48" s="100">
        <v>13.64</v>
      </c>
      <c r="D48" s="100">
        <v>11.65</v>
      </c>
      <c r="E48" s="100">
        <v>4.92</v>
      </c>
      <c r="F48" s="100">
        <v>2.4300000000000002</v>
      </c>
      <c r="G48" s="100">
        <v>2.37</v>
      </c>
      <c r="H48" s="100">
        <v>0.8</v>
      </c>
      <c r="I48" s="100">
        <v>3.67</v>
      </c>
      <c r="J48" s="100">
        <v>0.71</v>
      </c>
      <c r="K48" s="100">
        <v>257.36</v>
      </c>
      <c r="L48" s="100">
        <v>25.11</v>
      </c>
      <c r="M48" s="100">
        <v>96.84</v>
      </c>
      <c r="N48" s="100">
        <v>47.1</v>
      </c>
      <c r="O48" s="100">
        <v>0</v>
      </c>
      <c r="P48" s="100">
        <v>7.0000000000000007E-2</v>
      </c>
      <c r="Q48" s="100">
        <v>10</v>
      </c>
      <c r="R48" s="6"/>
      <c r="S48" s="6"/>
      <c r="T48" s="156"/>
      <c r="U48" s="6"/>
    </row>
    <row r="49" spans="1:21" customFormat="1">
      <c r="A49" s="163" t="s">
        <v>2680</v>
      </c>
      <c r="B49" s="100">
        <v>5.83</v>
      </c>
      <c r="C49" s="100">
        <v>14.15</v>
      </c>
      <c r="D49" s="100">
        <v>12.07</v>
      </c>
      <c r="E49" s="100">
        <v>4.5999999999999996</v>
      </c>
      <c r="F49" s="100">
        <v>2.11</v>
      </c>
      <c r="G49" s="100">
        <v>2.0299999999999998</v>
      </c>
      <c r="H49" s="100">
        <v>0.76</v>
      </c>
      <c r="I49" s="100">
        <v>3.67</v>
      </c>
      <c r="J49" s="100">
        <v>0.79</v>
      </c>
      <c r="K49" s="100">
        <v>256.07</v>
      </c>
      <c r="L49" s="100">
        <v>25.22</v>
      </c>
      <c r="M49" s="100">
        <v>95.74</v>
      </c>
      <c r="N49" s="100">
        <v>48.1</v>
      </c>
      <c r="O49" s="100">
        <v>0</v>
      </c>
      <c r="P49" s="100">
        <v>0.09</v>
      </c>
      <c r="Q49" s="100">
        <v>10</v>
      </c>
      <c r="R49" s="6"/>
      <c r="S49" s="6"/>
      <c r="T49" s="156"/>
      <c r="U49" s="6"/>
    </row>
    <row r="50" spans="1:21" customFormat="1">
      <c r="A50" s="163" t="s">
        <v>2681</v>
      </c>
      <c r="B50" s="100">
        <v>5.89</v>
      </c>
      <c r="C50" s="100">
        <v>13.81</v>
      </c>
      <c r="D50" s="100">
        <v>11.94</v>
      </c>
      <c r="E50" s="100">
        <v>5.71</v>
      </c>
      <c r="F50" s="100">
        <v>0.9</v>
      </c>
      <c r="G50" s="100">
        <v>2.0299999999999998</v>
      </c>
      <c r="H50" s="100">
        <v>0.76</v>
      </c>
      <c r="I50" s="100">
        <v>3.57</v>
      </c>
      <c r="J50" s="100">
        <v>0.79</v>
      </c>
      <c r="K50" s="100">
        <v>255.65</v>
      </c>
      <c r="L50" s="100">
        <v>25.37</v>
      </c>
      <c r="M50" s="100">
        <v>94.76</v>
      </c>
      <c r="N50" s="100">
        <v>66</v>
      </c>
      <c r="O50" s="100">
        <v>0</v>
      </c>
      <c r="P50" s="100">
        <v>7.0000000000000007E-2</v>
      </c>
      <c r="Q50" s="100">
        <v>10</v>
      </c>
      <c r="R50" s="6"/>
      <c r="S50" s="6"/>
      <c r="T50" s="156"/>
      <c r="U50" s="6"/>
    </row>
    <row r="51" spans="1:21" customFormat="1">
      <c r="A51" s="163" t="s">
        <v>2682</v>
      </c>
      <c r="B51" s="100">
        <v>5.87</v>
      </c>
      <c r="C51" s="100">
        <v>13.6</v>
      </c>
      <c r="D51" s="100">
        <v>11.81</v>
      </c>
      <c r="E51" s="100">
        <v>5.38</v>
      </c>
      <c r="F51" s="100">
        <v>2.0099999999999998</v>
      </c>
      <c r="G51" s="100">
        <v>2.0299999999999998</v>
      </c>
      <c r="H51" s="100">
        <v>0.76</v>
      </c>
      <c r="I51" s="100">
        <v>3.62</v>
      </c>
      <c r="J51" s="100">
        <v>0.87</v>
      </c>
      <c r="K51" s="100">
        <v>254.82</v>
      </c>
      <c r="L51" s="100">
        <v>25.51</v>
      </c>
      <c r="M51" s="100">
        <v>93.99</v>
      </c>
      <c r="N51" s="100">
        <v>79.2</v>
      </c>
      <c r="O51" s="100">
        <v>0</v>
      </c>
      <c r="P51" s="100">
        <v>0.06</v>
      </c>
      <c r="Q51" s="100">
        <v>10</v>
      </c>
      <c r="R51" s="6"/>
      <c r="S51" s="6"/>
      <c r="T51" s="156"/>
      <c r="U51" s="6"/>
    </row>
    <row r="52" spans="1:21" customFormat="1">
      <c r="A52" s="163" t="s">
        <v>2683</v>
      </c>
      <c r="B52" s="100">
        <v>5.95</v>
      </c>
      <c r="C52" s="100">
        <v>13.97</v>
      </c>
      <c r="D52" s="100">
        <v>12.07</v>
      </c>
      <c r="E52" s="100">
        <v>5.29</v>
      </c>
      <c r="F52" s="100">
        <v>2.99</v>
      </c>
      <c r="G52" s="100">
        <v>1.88</v>
      </c>
      <c r="H52" s="100">
        <v>0.77</v>
      </c>
      <c r="I52" s="100">
        <v>3.6</v>
      </c>
      <c r="J52" s="100">
        <v>0.91</v>
      </c>
      <c r="K52" s="100">
        <v>252.28</v>
      </c>
      <c r="L52" s="100">
        <v>25.67</v>
      </c>
      <c r="M52" s="100">
        <v>92.91</v>
      </c>
      <c r="N52" s="100">
        <v>99.6</v>
      </c>
      <c r="O52" s="100">
        <v>0</v>
      </c>
      <c r="P52" s="100">
        <v>7.0000000000000007E-2</v>
      </c>
      <c r="Q52" s="100">
        <v>10</v>
      </c>
      <c r="R52" s="6"/>
      <c r="S52" s="6"/>
      <c r="T52" s="156"/>
      <c r="U52" s="6"/>
    </row>
    <row r="53" spans="1:21" customFormat="1">
      <c r="A53" s="163" t="s">
        <v>2684</v>
      </c>
      <c r="B53" s="100">
        <v>6.05</v>
      </c>
      <c r="C53" s="100">
        <v>14.22</v>
      </c>
      <c r="D53" s="100">
        <v>12.28</v>
      </c>
      <c r="E53" s="100">
        <v>5.63</v>
      </c>
      <c r="F53" s="100">
        <v>2.0299999999999998</v>
      </c>
      <c r="G53" s="100">
        <v>1.65</v>
      </c>
      <c r="H53" s="100">
        <v>0.79</v>
      </c>
      <c r="I53" s="100">
        <v>3.55</v>
      </c>
      <c r="J53" s="100">
        <v>0.97</v>
      </c>
      <c r="K53" s="100">
        <v>250.16</v>
      </c>
      <c r="L53" s="100">
        <v>25.87</v>
      </c>
      <c r="M53" s="100">
        <v>91.79</v>
      </c>
      <c r="N53" s="100">
        <v>99.3</v>
      </c>
      <c r="O53" s="100">
        <v>0</v>
      </c>
      <c r="P53" s="100">
        <v>0.1</v>
      </c>
      <c r="Q53" s="100">
        <v>10</v>
      </c>
      <c r="R53" s="6"/>
      <c r="S53" s="6"/>
      <c r="T53" s="156"/>
      <c r="U53" s="6"/>
    </row>
    <row r="54" spans="1:21" customFormat="1">
      <c r="A54" s="163" t="s">
        <v>2685</v>
      </c>
      <c r="B54" s="100">
        <v>5.86</v>
      </c>
      <c r="C54" s="100">
        <v>14.06</v>
      </c>
      <c r="D54" s="100">
        <v>12.05</v>
      </c>
      <c r="E54" s="100">
        <v>5.71</v>
      </c>
      <c r="F54" s="100">
        <v>1.9</v>
      </c>
      <c r="G54" s="100">
        <v>1.65</v>
      </c>
      <c r="H54" s="100">
        <v>0.79</v>
      </c>
      <c r="I54" s="100">
        <v>3.55</v>
      </c>
      <c r="J54" s="100">
        <v>1.08</v>
      </c>
      <c r="K54" s="100">
        <v>252.64</v>
      </c>
      <c r="L54" s="100">
        <v>25.78</v>
      </c>
      <c r="M54" s="100">
        <v>91.44</v>
      </c>
      <c r="N54" s="100">
        <v>67.3</v>
      </c>
      <c r="O54" s="100">
        <v>0</v>
      </c>
      <c r="P54" s="100">
        <v>0.11</v>
      </c>
      <c r="Q54" s="100">
        <v>10</v>
      </c>
      <c r="R54" s="6"/>
      <c r="S54" s="6"/>
      <c r="T54" s="156"/>
      <c r="U54" s="6"/>
    </row>
    <row r="55" spans="1:21" customFormat="1">
      <c r="A55" s="163" t="s">
        <v>2686</v>
      </c>
      <c r="B55" s="100">
        <v>5.6</v>
      </c>
      <c r="C55" s="100">
        <v>14.19</v>
      </c>
      <c r="D55" s="100">
        <v>11.91</v>
      </c>
      <c r="E55" s="100">
        <v>5.65</v>
      </c>
      <c r="F55" s="100">
        <v>2.12</v>
      </c>
      <c r="G55" s="100">
        <v>1.65</v>
      </c>
      <c r="H55" s="100">
        <v>0.79</v>
      </c>
      <c r="I55" s="100">
        <v>3.53</v>
      </c>
      <c r="J55" s="100">
        <v>1.1200000000000001</v>
      </c>
      <c r="K55" s="100">
        <v>252.47</v>
      </c>
      <c r="L55" s="100">
        <v>25.82</v>
      </c>
      <c r="M55" s="100">
        <v>91.27</v>
      </c>
      <c r="N55" s="100">
        <v>77.099999999999994</v>
      </c>
      <c r="O55" s="100">
        <v>0</v>
      </c>
      <c r="P55" s="100">
        <v>0.11</v>
      </c>
      <c r="Q55" s="100">
        <v>10</v>
      </c>
      <c r="R55" s="6"/>
      <c r="S55" s="6"/>
      <c r="T55" s="156"/>
      <c r="U55" s="6"/>
    </row>
    <row r="56" spans="1:21" customFormat="1">
      <c r="A56" s="163" t="s">
        <v>2687</v>
      </c>
      <c r="B56" s="100">
        <v>5.39</v>
      </c>
      <c r="C56" s="100">
        <v>14.22</v>
      </c>
      <c r="D56" s="100">
        <v>11.75</v>
      </c>
      <c r="E56" s="100">
        <v>6.13</v>
      </c>
      <c r="F56" s="100">
        <v>1.99</v>
      </c>
      <c r="G56" s="100">
        <v>1.56</v>
      </c>
      <c r="H56" s="100">
        <v>0.74</v>
      </c>
      <c r="I56" s="100">
        <v>3.39</v>
      </c>
      <c r="J56" s="100">
        <v>0.93</v>
      </c>
      <c r="K56" s="100">
        <v>251.46</v>
      </c>
      <c r="L56" s="100">
        <v>25.82</v>
      </c>
      <c r="M56" s="100">
        <v>91.69</v>
      </c>
      <c r="N56" s="100">
        <v>56.8</v>
      </c>
      <c r="O56" s="100">
        <v>0</v>
      </c>
      <c r="P56" s="100">
        <v>0.11</v>
      </c>
      <c r="Q56" s="100">
        <v>10</v>
      </c>
      <c r="R56" s="6"/>
      <c r="S56" s="6"/>
      <c r="T56" s="156"/>
      <c r="U56" s="6"/>
    </row>
    <row r="57" spans="1:21" customFormat="1">
      <c r="A57" s="163" t="s">
        <v>2688</v>
      </c>
      <c r="B57" s="100">
        <v>5.26</v>
      </c>
      <c r="C57" s="100">
        <v>14.29</v>
      </c>
      <c r="D57" s="100">
        <v>11.68</v>
      </c>
      <c r="E57" s="100">
        <v>6.2</v>
      </c>
      <c r="F57" s="100">
        <v>1.76</v>
      </c>
      <c r="G57" s="100">
        <v>1.43</v>
      </c>
      <c r="H57" s="100">
        <v>0.7</v>
      </c>
      <c r="I57" s="100">
        <v>3.33</v>
      </c>
      <c r="J57" s="100">
        <v>0.78</v>
      </c>
      <c r="K57" s="100">
        <v>255.87</v>
      </c>
      <c r="L57" s="100">
        <v>25.86</v>
      </c>
      <c r="M57" s="100">
        <v>91.65</v>
      </c>
      <c r="N57" s="100">
        <v>76.400000000000006</v>
      </c>
      <c r="O57" s="100">
        <v>0</v>
      </c>
      <c r="P57" s="100">
        <v>0.11</v>
      </c>
      <c r="Q57" s="100">
        <v>10</v>
      </c>
      <c r="R57" s="6"/>
      <c r="S57" s="6"/>
      <c r="T57" s="156"/>
      <c r="U57" s="6"/>
    </row>
    <row r="58" spans="1:21" customFormat="1">
      <c r="A58" s="163" t="s">
        <v>2689</v>
      </c>
      <c r="B58" s="100">
        <v>5.08</v>
      </c>
      <c r="C58" s="100">
        <v>14.28</v>
      </c>
      <c r="D58" s="100">
        <v>11.53</v>
      </c>
      <c r="E58" s="100">
        <v>6.02</v>
      </c>
      <c r="F58" s="100">
        <v>1.74</v>
      </c>
      <c r="G58" s="100">
        <v>1.43</v>
      </c>
      <c r="H58" s="100">
        <v>0.7</v>
      </c>
      <c r="I58" s="100">
        <v>3.28</v>
      </c>
      <c r="J58" s="100">
        <v>1.1000000000000001</v>
      </c>
      <c r="K58" s="100">
        <v>253.15</v>
      </c>
      <c r="L58" s="100">
        <v>25.94</v>
      </c>
      <c r="M58" s="100">
        <v>91.08</v>
      </c>
      <c r="N58" s="100">
        <v>75.400000000000006</v>
      </c>
      <c r="O58" s="100">
        <v>0</v>
      </c>
      <c r="P58" s="100">
        <v>0.11</v>
      </c>
      <c r="Q58" s="100">
        <v>10</v>
      </c>
      <c r="R58" s="6"/>
      <c r="S58" s="6"/>
      <c r="T58" s="156"/>
      <c r="U58" s="6"/>
    </row>
    <row r="59" spans="1:21" customFormat="1">
      <c r="A59" s="163" t="s">
        <v>2690</v>
      </c>
      <c r="B59" s="100">
        <v>4.91</v>
      </c>
      <c r="C59" s="100">
        <v>14.26</v>
      </c>
      <c r="D59" s="100">
        <v>11.39</v>
      </c>
      <c r="E59" s="100">
        <v>5.94</v>
      </c>
      <c r="F59" s="100">
        <v>2.5499999999999998</v>
      </c>
      <c r="G59" s="100">
        <v>1.43</v>
      </c>
      <c r="H59" s="100">
        <v>0.7</v>
      </c>
      <c r="I59" s="100">
        <v>3.18</v>
      </c>
      <c r="J59" s="100">
        <v>1.17</v>
      </c>
      <c r="K59" s="100">
        <v>254.86</v>
      </c>
      <c r="L59" s="100">
        <v>25.93</v>
      </c>
      <c r="M59" s="100">
        <v>91.21</v>
      </c>
      <c r="N59" s="100">
        <v>97.1</v>
      </c>
      <c r="O59" s="100">
        <v>0</v>
      </c>
      <c r="P59" s="100">
        <v>0.1</v>
      </c>
      <c r="Q59" s="100">
        <v>10</v>
      </c>
      <c r="R59" s="6"/>
      <c r="S59" s="6"/>
      <c r="T59" s="156"/>
      <c r="U59" s="6"/>
    </row>
    <row r="60" spans="1:21" customFormat="1">
      <c r="A60" s="163" t="s">
        <v>2691</v>
      </c>
      <c r="B60" s="100">
        <v>4.74</v>
      </c>
      <c r="C60" s="100">
        <v>14.22</v>
      </c>
      <c r="D60" s="100">
        <v>11.23</v>
      </c>
      <c r="E60" s="100">
        <v>6.16</v>
      </c>
      <c r="F60" s="100">
        <v>2.16</v>
      </c>
      <c r="G60" s="100">
        <v>1.47</v>
      </c>
      <c r="H60" s="100">
        <v>0.68</v>
      </c>
      <c r="I60" s="100">
        <v>3.13</v>
      </c>
      <c r="J60" s="100">
        <v>0.88</v>
      </c>
      <c r="K60" s="100">
        <v>255.8</v>
      </c>
      <c r="L60" s="100">
        <v>26.03</v>
      </c>
      <c r="M60" s="100">
        <v>91.56</v>
      </c>
      <c r="N60" s="100">
        <v>103.2</v>
      </c>
      <c r="O60" s="100">
        <v>0</v>
      </c>
      <c r="P60" s="100">
        <v>0.1</v>
      </c>
      <c r="Q60" s="100">
        <v>10</v>
      </c>
      <c r="R60" s="6"/>
      <c r="S60" s="6"/>
      <c r="T60" s="156"/>
      <c r="U60" s="6"/>
    </row>
    <row r="61" spans="1:21" customFormat="1">
      <c r="A61" s="163" t="s">
        <v>2692</v>
      </c>
      <c r="B61" s="100">
        <v>4.6900000000000004</v>
      </c>
      <c r="C61" s="100">
        <v>14.24</v>
      </c>
      <c r="D61" s="100">
        <v>11.2</v>
      </c>
      <c r="E61" s="100">
        <v>6.36</v>
      </c>
      <c r="F61" s="100">
        <v>1.76</v>
      </c>
      <c r="G61" s="100">
        <v>1.54</v>
      </c>
      <c r="H61" s="100">
        <v>0.63</v>
      </c>
      <c r="I61" s="100">
        <v>3.07</v>
      </c>
      <c r="J61" s="100">
        <v>1.17</v>
      </c>
      <c r="K61" s="100">
        <v>255.26</v>
      </c>
      <c r="L61" s="100">
        <v>26.14</v>
      </c>
      <c r="M61" s="100">
        <v>90.04</v>
      </c>
      <c r="N61" s="100">
        <v>98.5</v>
      </c>
      <c r="O61" s="100">
        <v>0</v>
      </c>
      <c r="P61" s="100">
        <v>0.1</v>
      </c>
      <c r="Q61" s="100">
        <v>10</v>
      </c>
      <c r="R61" s="6"/>
      <c r="S61" s="6"/>
      <c r="T61" s="156"/>
      <c r="U61" s="6"/>
    </row>
    <row r="62" spans="1:21" customFormat="1">
      <c r="A62" s="163" t="s">
        <v>2693</v>
      </c>
      <c r="B62" s="100">
        <v>4.57</v>
      </c>
      <c r="C62" s="100">
        <v>14.22</v>
      </c>
      <c r="D62" s="100">
        <v>11.09</v>
      </c>
      <c r="E62" s="100">
        <v>6.31</v>
      </c>
      <c r="F62" s="100">
        <v>1.37</v>
      </c>
      <c r="G62" s="100">
        <v>1.54</v>
      </c>
      <c r="H62" s="100">
        <v>0.63</v>
      </c>
      <c r="I62" s="100">
        <v>3.05</v>
      </c>
      <c r="J62" s="100">
        <v>1.1200000000000001</v>
      </c>
      <c r="K62" s="100">
        <v>256.11</v>
      </c>
      <c r="L62" s="100">
        <v>26.19</v>
      </c>
      <c r="M62" s="100">
        <v>89.53</v>
      </c>
      <c r="N62" s="100">
        <v>100.5</v>
      </c>
      <c r="O62" s="100">
        <v>0</v>
      </c>
      <c r="P62" s="100">
        <v>0.1</v>
      </c>
      <c r="Q62" s="100">
        <v>10</v>
      </c>
      <c r="R62" s="6"/>
      <c r="S62" s="6"/>
      <c r="T62" s="156"/>
      <c r="U62" s="6"/>
    </row>
    <row r="63" spans="1:21" customFormat="1">
      <c r="A63" s="163" t="s">
        <v>2694</v>
      </c>
      <c r="B63" s="100">
        <v>4.4800000000000004</v>
      </c>
      <c r="C63" s="100">
        <v>14.15</v>
      </c>
      <c r="D63" s="100">
        <v>10.98</v>
      </c>
      <c r="E63" s="100">
        <v>6.51</v>
      </c>
      <c r="F63" s="100">
        <v>1.48</v>
      </c>
      <c r="G63" s="100">
        <v>1.54</v>
      </c>
      <c r="H63" s="100">
        <v>0.63</v>
      </c>
      <c r="I63" s="100">
        <v>3.07</v>
      </c>
      <c r="J63" s="100">
        <v>1.22</v>
      </c>
      <c r="K63" s="100">
        <v>258.24</v>
      </c>
      <c r="L63" s="100">
        <v>26.18</v>
      </c>
      <c r="M63" s="100">
        <v>90.47</v>
      </c>
      <c r="N63" s="100">
        <v>200.4</v>
      </c>
      <c r="O63" s="100">
        <v>0</v>
      </c>
      <c r="P63" s="100">
        <v>0.1</v>
      </c>
      <c r="Q63" s="100">
        <v>10</v>
      </c>
      <c r="R63" s="6"/>
      <c r="S63" s="6"/>
      <c r="T63" s="156"/>
      <c r="U63" s="6"/>
    </row>
    <row r="64" spans="1:21" customFormat="1">
      <c r="A64" s="163" t="s">
        <v>2695</v>
      </c>
      <c r="B64" s="100">
        <v>4.3499999999999996</v>
      </c>
      <c r="C64" s="100">
        <v>14.03</v>
      </c>
      <c r="D64" s="100">
        <v>10.82</v>
      </c>
      <c r="E64" s="100">
        <v>6.2</v>
      </c>
      <c r="F64" s="100">
        <v>2.11</v>
      </c>
      <c r="G64" s="100">
        <v>1.57</v>
      </c>
      <c r="H64" s="100">
        <v>0.66</v>
      </c>
      <c r="I64" s="100">
        <v>3.11</v>
      </c>
      <c r="J64" s="100">
        <v>1.2</v>
      </c>
      <c r="K64" s="100">
        <v>251.55</v>
      </c>
      <c r="L64" s="100">
        <v>26.33</v>
      </c>
      <c r="M64" s="100">
        <v>89.54</v>
      </c>
      <c r="N64" s="100">
        <v>117.3</v>
      </c>
      <c r="O64" s="100">
        <v>0</v>
      </c>
      <c r="P64" s="100">
        <v>0.1</v>
      </c>
      <c r="Q64" s="100">
        <v>10</v>
      </c>
      <c r="R64" s="6"/>
      <c r="S64" s="6"/>
      <c r="T64" s="156"/>
      <c r="U64" s="6"/>
    </row>
    <row r="65" spans="1:21" customFormat="1">
      <c r="A65" s="163" t="s">
        <v>2696</v>
      </c>
      <c r="B65" s="100">
        <v>4.25</v>
      </c>
      <c r="C65" s="100">
        <v>13.94</v>
      </c>
      <c r="D65" s="100">
        <v>10.69</v>
      </c>
      <c r="E65" s="100">
        <v>6.6</v>
      </c>
      <c r="F65" s="100">
        <v>2.25</v>
      </c>
      <c r="G65" s="100">
        <v>1.62</v>
      </c>
      <c r="H65" s="100">
        <v>0.69</v>
      </c>
      <c r="I65" s="100">
        <v>3.07</v>
      </c>
      <c r="J65" s="100">
        <v>1.1399999999999999</v>
      </c>
      <c r="K65" s="100">
        <v>251.75</v>
      </c>
      <c r="L65" s="100">
        <v>26.4</v>
      </c>
      <c r="M65" s="100">
        <v>88.6</v>
      </c>
      <c r="N65" s="100">
        <v>106.5</v>
      </c>
      <c r="O65" s="100">
        <v>0</v>
      </c>
      <c r="P65" s="100">
        <v>0.13</v>
      </c>
      <c r="Q65" s="100">
        <v>10</v>
      </c>
      <c r="R65" s="6"/>
      <c r="S65" s="6"/>
      <c r="T65" s="156"/>
      <c r="U65" s="6"/>
    </row>
    <row r="66" spans="1:21" customFormat="1">
      <c r="A66" s="163" t="s">
        <v>2697</v>
      </c>
      <c r="B66" s="100">
        <v>4.1399999999999997</v>
      </c>
      <c r="C66" s="100">
        <v>13.85</v>
      </c>
      <c r="D66" s="100">
        <v>10.56</v>
      </c>
      <c r="E66" s="100">
        <v>6.56</v>
      </c>
      <c r="F66" s="100">
        <v>1.87</v>
      </c>
      <c r="G66" s="100">
        <v>1.62</v>
      </c>
      <c r="H66" s="100">
        <v>0.69</v>
      </c>
      <c r="I66" s="100">
        <v>3.03</v>
      </c>
      <c r="J66" s="100">
        <v>1.23</v>
      </c>
      <c r="K66" s="100">
        <v>254.1</v>
      </c>
      <c r="L66" s="100">
        <v>26.59</v>
      </c>
      <c r="M66" s="100">
        <v>87.3</v>
      </c>
      <c r="N66" s="100">
        <v>145.30000000000001</v>
      </c>
      <c r="O66" s="100">
        <v>0</v>
      </c>
      <c r="P66" s="100">
        <v>0.14000000000000001</v>
      </c>
      <c r="Q66" s="100">
        <v>10</v>
      </c>
      <c r="R66" s="6"/>
      <c r="S66" s="6"/>
      <c r="T66" s="156"/>
      <c r="U66" s="6"/>
    </row>
    <row r="67" spans="1:21" customFormat="1">
      <c r="A67" s="163" t="s">
        <v>2698</v>
      </c>
      <c r="B67" s="100">
        <v>4</v>
      </c>
      <c r="C67" s="100">
        <v>13.76</v>
      </c>
      <c r="D67" s="100">
        <v>10.4</v>
      </c>
      <c r="E67" s="100">
        <v>6.5</v>
      </c>
      <c r="F67" s="100">
        <v>2.2000000000000002</v>
      </c>
      <c r="G67" s="100">
        <v>1.62</v>
      </c>
      <c r="H67" s="100">
        <v>0.69</v>
      </c>
      <c r="I67" s="100">
        <v>3.02</v>
      </c>
      <c r="J67" s="100">
        <v>1.06</v>
      </c>
      <c r="K67" s="100">
        <v>255.58</v>
      </c>
      <c r="L67" s="100">
        <v>26.69</v>
      </c>
      <c r="M67" s="100">
        <v>86.78</v>
      </c>
      <c r="N67" s="100">
        <v>132.6</v>
      </c>
      <c r="O67" s="100">
        <v>0</v>
      </c>
      <c r="P67" s="100">
        <v>0.14000000000000001</v>
      </c>
      <c r="Q67" s="100">
        <v>10</v>
      </c>
      <c r="R67" s="6"/>
      <c r="S67" s="6"/>
      <c r="T67" s="156"/>
      <c r="U67" s="6"/>
    </row>
    <row r="68" spans="1:21" customFormat="1">
      <c r="A68" s="163" t="s">
        <v>2699</v>
      </c>
      <c r="B68" s="100">
        <v>3.92</v>
      </c>
      <c r="C68" s="100">
        <v>13.78</v>
      </c>
      <c r="D68" s="100">
        <v>10.34</v>
      </c>
      <c r="E68" s="100">
        <v>6.5</v>
      </c>
      <c r="F68" s="100">
        <v>2</v>
      </c>
      <c r="G68" s="100">
        <v>1.51</v>
      </c>
      <c r="H68" s="100">
        <v>0.67</v>
      </c>
      <c r="I68" s="100">
        <v>2.91</v>
      </c>
      <c r="J68" s="100">
        <v>1.01</v>
      </c>
      <c r="K68" s="100">
        <v>252.37</v>
      </c>
      <c r="L68" s="100">
        <v>26.62</v>
      </c>
      <c r="M68" s="100">
        <v>86.96</v>
      </c>
      <c r="N68" s="100">
        <v>97.7</v>
      </c>
      <c r="O68" s="100">
        <v>0</v>
      </c>
      <c r="P68" s="100">
        <v>0.13</v>
      </c>
      <c r="Q68" s="100">
        <v>10</v>
      </c>
      <c r="R68" s="6"/>
      <c r="S68" s="6"/>
      <c r="T68" s="156"/>
      <c r="U68" s="6"/>
    </row>
    <row r="69" spans="1:21" customFormat="1">
      <c r="A69" s="163" t="s">
        <v>2700</v>
      </c>
      <c r="B69" s="100">
        <v>3.87</v>
      </c>
      <c r="C69" s="100">
        <v>13.68</v>
      </c>
      <c r="D69" s="100">
        <v>10.25</v>
      </c>
      <c r="E69" s="100">
        <v>6.61</v>
      </c>
      <c r="F69" s="100">
        <v>1.66</v>
      </c>
      <c r="G69" s="100">
        <v>1.35</v>
      </c>
      <c r="H69" s="100">
        <v>0.65</v>
      </c>
      <c r="I69" s="100">
        <v>2.91</v>
      </c>
      <c r="J69" s="100">
        <v>0.99</v>
      </c>
      <c r="K69" s="100">
        <v>255.15</v>
      </c>
      <c r="L69" s="100">
        <v>26.5</v>
      </c>
      <c r="M69" s="100">
        <v>87.83</v>
      </c>
      <c r="N69" s="100">
        <v>72.3</v>
      </c>
      <c r="O69" s="100">
        <v>0</v>
      </c>
      <c r="P69" s="100">
        <v>0.13</v>
      </c>
      <c r="Q69" s="100">
        <v>10</v>
      </c>
      <c r="R69" s="6"/>
      <c r="S69" s="6"/>
      <c r="T69" s="156"/>
      <c r="U69" s="6"/>
    </row>
    <row r="70" spans="1:21" customFormat="1">
      <c r="A70" s="163" t="s">
        <v>2701</v>
      </c>
      <c r="B70" s="100">
        <v>3.82</v>
      </c>
      <c r="C70" s="100">
        <v>13.6</v>
      </c>
      <c r="D70" s="100">
        <v>10.17</v>
      </c>
      <c r="E70" s="100">
        <v>6.33</v>
      </c>
      <c r="F70" s="100">
        <v>1.61</v>
      </c>
      <c r="G70" s="100">
        <v>1.35</v>
      </c>
      <c r="H70" s="100">
        <v>0.65</v>
      </c>
      <c r="I70" s="100">
        <v>2.89</v>
      </c>
      <c r="J70" s="100">
        <v>1.1399999999999999</v>
      </c>
      <c r="K70" s="100">
        <v>255.35</v>
      </c>
      <c r="L70" s="100">
        <v>26.38</v>
      </c>
      <c r="M70" s="100">
        <v>87.76</v>
      </c>
      <c r="N70" s="100">
        <v>62.4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163" t="s">
        <v>2702</v>
      </c>
      <c r="B71" s="100">
        <v>3.75</v>
      </c>
      <c r="C71" s="100">
        <v>13.59</v>
      </c>
      <c r="D71" s="100">
        <v>10.1</v>
      </c>
      <c r="E71" s="100">
        <v>6.56</v>
      </c>
      <c r="F71" s="100">
        <v>1.64</v>
      </c>
      <c r="G71" s="100">
        <v>1.35</v>
      </c>
      <c r="H71" s="100">
        <v>0.65</v>
      </c>
      <c r="I71" s="100">
        <v>2.96</v>
      </c>
      <c r="J71" s="100">
        <v>1.1000000000000001</v>
      </c>
      <c r="K71" s="100">
        <v>255.51</v>
      </c>
      <c r="L71" s="100">
        <v>26.32</v>
      </c>
      <c r="M71" s="100">
        <v>87.86</v>
      </c>
      <c r="N71" s="100">
        <v>47.5</v>
      </c>
      <c r="O71" s="100">
        <v>0</v>
      </c>
      <c r="P71" s="100">
        <v>0.13</v>
      </c>
      <c r="Q71" s="100">
        <v>10</v>
      </c>
      <c r="R71" s="6"/>
      <c r="S71" s="6"/>
      <c r="T71" s="156"/>
      <c r="U71" s="6"/>
    </row>
    <row r="72" spans="1:21" customFormat="1">
      <c r="A72" s="163" t="s">
        <v>2703</v>
      </c>
      <c r="B72" s="100">
        <v>3.69</v>
      </c>
      <c r="C72" s="100">
        <v>13.58</v>
      </c>
      <c r="D72" s="100">
        <v>10.050000000000001</v>
      </c>
      <c r="E72" s="100">
        <v>6.57</v>
      </c>
      <c r="F72" s="100">
        <v>2.15</v>
      </c>
      <c r="G72" s="100">
        <v>1.29</v>
      </c>
      <c r="H72" s="100">
        <v>0.65</v>
      </c>
      <c r="I72" s="100">
        <v>2.82</v>
      </c>
      <c r="J72" s="100">
        <v>0.97</v>
      </c>
      <c r="K72" s="100">
        <v>252.57</v>
      </c>
      <c r="L72" s="100">
        <v>26.23</v>
      </c>
      <c r="M72" s="100">
        <v>88.4</v>
      </c>
      <c r="N72" s="100">
        <v>39.1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163" t="s">
        <v>2704</v>
      </c>
      <c r="B73" s="100">
        <v>3.61</v>
      </c>
      <c r="C73" s="100">
        <v>13.45</v>
      </c>
      <c r="D73" s="100">
        <v>9.92</v>
      </c>
      <c r="E73" s="100">
        <v>6.62</v>
      </c>
      <c r="F73" s="100">
        <v>1.62</v>
      </c>
      <c r="G73" s="100">
        <v>1.21</v>
      </c>
      <c r="H73" s="100">
        <v>0.66</v>
      </c>
      <c r="I73" s="100">
        <v>2.83</v>
      </c>
      <c r="J73" s="100">
        <v>1.03</v>
      </c>
      <c r="K73" s="100">
        <v>255.46</v>
      </c>
      <c r="L73" s="100">
        <v>26.1</v>
      </c>
      <c r="M73" s="100">
        <v>88.76</v>
      </c>
      <c r="N73" s="100">
        <v>35.700000000000003</v>
      </c>
      <c r="O73" s="100">
        <v>0</v>
      </c>
      <c r="P73" s="100">
        <v>0.12</v>
      </c>
      <c r="Q73" s="100">
        <v>10</v>
      </c>
      <c r="R73" s="6"/>
      <c r="S73" s="6"/>
      <c r="T73" s="156"/>
      <c r="U73" s="6"/>
    </row>
    <row r="74" spans="1:21" customFormat="1">
      <c r="A74" s="163" t="s">
        <v>2705</v>
      </c>
      <c r="B74" s="100">
        <v>3.62</v>
      </c>
      <c r="C74" s="100">
        <v>13.25</v>
      </c>
      <c r="D74" s="100">
        <v>9.82</v>
      </c>
      <c r="E74" s="100">
        <v>6.01</v>
      </c>
      <c r="F74" s="100">
        <v>2.33</v>
      </c>
      <c r="G74" s="100">
        <v>1.21</v>
      </c>
      <c r="H74" s="100">
        <v>0.66</v>
      </c>
      <c r="I74" s="100">
        <v>2.76</v>
      </c>
      <c r="J74" s="100">
        <v>0.95</v>
      </c>
      <c r="K74" s="100">
        <v>254.03</v>
      </c>
      <c r="L74" s="100">
        <v>26.09</v>
      </c>
      <c r="M74" s="100">
        <v>89.15</v>
      </c>
      <c r="N74" s="100">
        <v>34.9</v>
      </c>
      <c r="O74" s="100">
        <v>0</v>
      </c>
      <c r="P74" s="100">
        <v>0.09</v>
      </c>
      <c r="Q74" s="100">
        <v>10</v>
      </c>
      <c r="R74" s="6"/>
      <c r="S74" s="6"/>
      <c r="T74" s="156"/>
      <c r="U74" s="6"/>
    </row>
    <row r="75" spans="1:21" customFormat="1">
      <c r="A75" s="163" t="s">
        <v>2706</v>
      </c>
      <c r="B75" s="100">
        <v>3.67</v>
      </c>
      <c r="C75" s="100">
        <v>13.27</v>
      </c>
      <c r="D75" s="100">
        <v>9.8699999999999992</v>
      </c>
      <c r="E75" s="100">
        <v>5.47</v>
      </c>
      <c r="F75" s="100">
        <v>3.17</v>
      </c>
      <c r="G75" s="100">
        <v>1.21</v>
      </c>
      <c r="H75" s="100">
        <v>0.66</v>
      </c>
      <c r="I75" s="100">
        <v>2.78</v>
      </c>
      <c r="J75" s="100">
        <v>1.03</v>
      </c>
      <c r="K75" s="100">
        <v>256.31</v>
      </c>
      <c r="L75" s="100">
        <v>26.08</v>
      </c>
      <c r="M75" s="100">
        <v>88.88</v>
      </c>
      <c r="N75" s="100">
        <v>52.4</v>
      </c>
      <c r="O75" s="100">
        <v>0</v>
      </c>
      <c r="P75" s="100">
        <v>7.0000000000000007E-2</v>
      </c>
      <c r="Q75" s="100">
        <v>10</v>
      </c>
      <c r="R75" s="6"/>
      <c r="S75" s="6"/>
      <c r="T75" s="156"/>
      <c r="U75" s="6"/>
    </row>
    <row r="76" spans="1:21" customFormat="1">
      <c r="A76" s="163" t="s">
        <v>2707</v>
      </c>
      <c r="B76" s="100">
        <v>3.75</v>
      </c>
      <c r="C76" s="100">
        <v>13.58</v>
      </c>
      <c r="D76" s="100">
        <v>10.1</v>
      </c>
      <c r="E76" s="100">
        <v>5.32</v>
      </c>
      <c r="F76" s="100">
        <v>3.25</v>
      </c>
      <c r="G76" s="100">
        <v>1.18</v>
      </c>
      <c r="H76" s="100">
        <v>0.66</v>
      </c>
      <c r="I76" s="100">
        <v>2.79</v>
      </c>
      <c r="J76" s="100">
        <v>0.89</v>
      </c>
      <c r="K76" s="100">
        <v>254.68</v>
      </c>
      <c r="L76" s="100">
        <v>26.18</v>
      </c>
      <c r="M76" s="100">
        <v>88.73</v>
      </c>
      <c r="N76" s="100">
        <v>40.4</v>
      </c>
      <c r="O76" s="100">
        <v>0</v>
      </c>
      <c r="P76" s="100">
        <v>7.0000000000000007E-2</v>
      </c>
      <c r="Q76" s="100">
        <v>10</v>
      </c>
      <c r="R76" s="6"/>
      <c r="S76" s="6"/>
      <c r="T76" s="156"/>
      <c r="U76" s="6"/>
    </row>
    <row r="77" spans="1:21" customFormat="1">
      <c r="A77" s="163" t="s">
        <v>2708</v>
      </c>
      <c r="B77" s="100">
        <v>4</v>
      </c>
      <c r="C77" s="100">
        <v>14.02</v>
      </c>
      <c r="D77" s="100">
        <v>10.53</v>
      </c>
      <c r="E77" s="100">
        <v>5.57</v>
      </c>
      <c r="F77" s="100">
        <v>1.73</v>
      </c>
      <c r="G77" s="100">
        <v>1.1399999999999999</v>
      </c>
      <c r="H77" s="100">
        <v>0.66</v>
      </c>
      <c r="I77" s="100">
        <v>2.79</v>
      </c>
      <c r="J77" s="100">
        <v>0.75</v>
      </c>
      <c r="K77" s="100">
        <v>253.68</v>
      </c>
      <c r="L77" s="100">
        <v>26.08</v>
      </c>
      <c r="M77" s="100">
        <v>89.49</v>
      </c>
      <c r="N77" s="100">
        <v>20.6</v>
      </c>
      <c r="O77" s="100">
        <v>0</v>
      </c>
      <c r="P77" s="100">
        <v>0.09</v>
      </c>
      <c r="Q77" s="100">
        <v>10</v>
      </c>
      <c r="R77" s="6"/>
      <c r="S77" s="6"/>
      <c r="T77" s="156"/>
      <c r="U77" s="6"/>
    </row>
    <row r="78" spans="1:21" customFormat="1">
      <c r="A78" s="163" t="s">
        <v>2709</v>
      </c>
      <c r="B78" s="100">
        <v>4.08</v>
      </c>
      <c r="C78" s="100">
        <v>13.41</v>
      </c>
      <c r="D78" s="100">
        <v>10.27</v>
      </c>
      <c r="E78" s="100">
        <v>5.66</v>
      </c>
      <c r="F78" s="100">
        <v>1.83</v>
      </c>
      <c r="G78" s="100">
        <v>1.1399999999999999</v>
      </c>
      <c r="H78" s="100">
        <v>0.66</v>
      </c>
      <c r="I78" s="100">
        <v>2.78</v>
      </c>
      <c r="J78" s="100">
        <v>0.95</v>
      </c>
      <c r="K78" s="100">
        <v>253.41</v>
      </c>
      <c r="L78" s="100">
        <v>25.64</v>
      </c>
      <c r="M78" s="100">
        <v>92.42</v>
      </c>
      <c r="N78" s="100">
        <v>13.8</v>
      </c>
      <c r="O78" s="100">
        <v>0</v>
      </c>
      <c r="P78" s="100">
        <v>0.08</v>
      </c>
      <c r="Q78" s="100">
        <v>10</v>
      </c>
      <c r="R78" s="6"/>
      <c r="S78" s="6"/>
      <c r="T78" s="156"/>
      <c r="U78" s="6"/>
    </row>
    <row r="79" spans="1:21" customFormat="1">
      <c r="A79" s="163" t="s">
        <v>2710</v>
      </c>
      <c r="B79" s="100">
        <v>4.09</v>
      </c>
      <c r="C79" s="100">
        <v>13.45</v>
      </c>
      <c r="D79" s="100">
        <v>10.3</v>
      </c>
      <c r="E79" s="100">
        <v>5.41</v>
      </c>
      <c r="F79" s="100">
        <v>2.73</v>
      </c>
      <c r="G79" s="100">
        <v>1.1399999999999999</v>
      </c>
      <c r="H79" s="100">
        <v>0.66</v>
      </c>
      <c r="I79" s="100">
        <v>2.9</v>
      </c>
      <c r="J79" s="100">
        <v>0.71</v>
      </c>
      <c r="K79" s="100">
        <v>253</v>
      </c>
      <c r="L79" s="100">
        <v>25.38</v>
      </c>
      <c r="M79" s="100">
        <v>94.56</v>
      </c>
      <c r="N79" s="100">
        <v>10.1</v>
      </c>
      <c r="O79" s="100">
        <v>0</v>
      </c>
      <c r="P79" s="100">
        <v>0.08</v>
      </c>
      <c r="Q79" s="100">
        <v>10</v>
      </c>
      <c r="R79" s="6"/>
      <c r="S79" s="6"/>
      <c r="T79" s="156"/>
      <c r="U79" s="6"/>
    </row>
    <row r="80" spans="1:21" customFormat="1">
      <c r="A80" s="163" t="s">
        <v>2711</v>
      </c>
      <c r="B80" s="100">
        <v>4.3</v>
      </c>
      <c r="C80" s="100">
        <v>13.74</v>
      </c>
      <c r="D80" s="100">
        <v>10.63</v>
      </c>
      <c r="E80" s="100">
        <v>5.73</v>
      </c>
      <c r="F80" s="100">
        <v>2.33</v>
      </c>
      <c r="G80" s="100">
        <v>1.1200000000000001</v>
      </c>
      <c r="H80" s="100">
        <v>0.65</v>
      </c>
      <c r="I80" s="100">
        <v>2.87</v>
      </c>
      <c r="J80" s="100">
        <v>0.79</v>
      </c>
      <c r="K80" s="100">
        <v>256.39999999999998</v>
      </c>
      <c r="L80" s="100">
        <v>25.18</v>
      </c>
      <c r="M80" s="100">
        <v>96.08</v>
      </c>
      <c r="N80" s="100">
        <v>4.4000000000000004</v>
      </c>
      <c r="O80" s="100">
        <v>0</v>
      </c>
      <c r="P80" s="100">
        <v>0.1</v>
      </c>
      <c r="Q80" s="100">
        <v>10</v>
      </c>
      <c r="R80" s="6"/>
      <c r="S80" s="6"/>
      <c r="T80" s="156"/>
      <c r="U80" s="6"/>
    </row>
    <row r="81" spans="1:21" customFormat="1">
      <c r="A81" s="163" t="s">
        <v>2712</v>
      </c>
      <c r="B81" s="100">
        <v>4.3099999999999996</v>
      </c>
      <c r="C81" s="100">
        <v>13.4</v>
      </c>
      <c r="D81" s="100">
        <v>10.45</v>
      </c>
      <c r="E81" s="100">
        <v>4.97</v>
      </c>
      <c r="F81" s="100">
        <v>2.36</v>
      </c>
      <c r="G81" s="100">
        <v>1.1000000000000001</v>
      </c>
      <c r="H81" s="100">
        <v>0.64</v>
      </c>
      <c r="I81" s="100">
        <v>2.84</v>
      </c>
      <c r="J81" s="100">
        <v>0.77</v>
      </c>
      <c r="K81" s="100">
        <v>251.34</v>
      </c>
      <c r="L81" s="100">
        <v>25.1</v>
      </c>
      <c r="M81" s="100">
        <v>97.08</v>
      </c>
      <c r="N81" s="100">
        <v>4.5999999999999996</v>
      </c>
      <c r="O81" s="100">
        <v>0</v>
      </c>
      <c r="P81" s="100">
        <v>0.08</v>
      </c>
      <c r="Q81" s="100">
        <v>10</v>
      </c>
      <c r="R81" s="6"/>
      <c r="S81" s="6"/>
      <c r="T81" s="156"/>
      <c r="U81" s="6"/>
    </row>
    <row r="82" spans="1:21" customFormat="1">
      <c r="A82" s="163" t="s">
        <v>2713</v>
      </c>
      <c r="B82" s="100">
        <v>4.38</v>
      </c>
      <c r="C82" s="100">
        <v>13.49</v>
      </c>
      <c r="D82" s="100">
        <v>10.56</v>
      </c>
      <c r="E82" s="100">
        <v>5.31</v>
      </c>
      <c r="F82" s="100">
        <v>2.81</v>
      </c>
      <c r="G82" s="100">
        <v>1.1000000000000001</v>
      </c>
      <c r="H82" s="100">
        <v>0.64</v>
      </c>
      <c r="I82" s="100">
        <v>2.96</v>
      </c>
      <c r="J82" s="100">
        <v>0.83</v>
      </c>
      <c r="K82" s="100">
        <v>254.32</v>
      </c>
      <c r="L82" s="100">
        <v>25.18</v>
      </c>
      <c r="M82" s="100">
        <v>96.4</v>
      </c>
      <c r="N82" s="100">
        <v>3.9</v>
      </c>
      <c r="O82" s="100">
        <v>0</v>
      </c>
      <c r="P82" s="100">
        <v>0.08</v>
      </c>
      <c r="Q82" s="100">
        <v>10</v>
      </c>
      <c r="R82" s="6"/>
      <c r="S82" s="6"/>
      <c r="T82" s="156"/>
      <c r="U82" s="6"/>
    </row>
    <row r="83" spans="1:21" customFormat="1">
      <c r="A83" s="163" t="s">
        <v>2714</v>
      </c>
      <c r="B83" s="100">
        <v>4.54</v>
      </c>
      <c r="C83" s="100">
        <v>13.83</v>
      </c>
      <c r="D83" s="100">
        <v>10.86</v>
      </c>
      <c r="E83" s="100">
        <v>5.47</v>
      </c>
      <c r="F83" s="100">
        <v>2.38</v>
      </c>
      <c r="G83" s="100">
        <v>1.1000000000000001</v>
      </c>
      <c r="H83" s="100">
        <v>0.64</v>
      </c>
      <c r="I83" s="100">
        <v>2.89</v>
      </c>
      <c r="J83" s="100">
        <v>0.95</v>
      </c>
      <c r="K83" s="100">
        <v>254.89</v>
      </c>
      <c r="L83" s="100">
        <v>25.18</v>
      </c>
      <c r="M83" s="100">
        <v>95.87</v>
      </c>
      <c r="N83" s="100">
        <v>2.7</v>
      </c>
      <c r="O83" s="100">
        <v>0</v>
      </c>
      <c r="P83" s="100">
        <v>0.1</v>
      </c>
      <c r="Q83" s="100">
        <v>10</v>
      </c>
      <c r="R83" s="6"/>
      <c r="S83" s="6"/>
      <c r="T83" s="156"/>
      <c r="U83" s="6"/>
    </row>
    <row r="84" spans="1:21" customFormat="1">
      <c r="A84" s="163" t="s">
        <v>2715</v>
      </c>
      <c r="B84" s="100">
        <v>4.43</v>
      </c>
      <c r="C84" s="100">
        <v>13.49</v>
      </c>
      <c r="D84" s="100">
        <v>10.6</v>
      </c>
      <c r="E84" s="100">
        <v>5.26</v>
      </c>
      <c r="F84" s="100">
        <v>2.88</v>
      </c>
      <c r="G84" s="100">
        <v>1.27</v>
      </c>
      <c r="H84" s="100">
        <v>0.64</v>
      </c>
      <c r="I84" s="100">
        <v>2.89</v>
      </c>
      <c r="J84" s="100">
        <v>0.98</v>
      </c>
      <c r="K84" s="100">
        <v>255.45</v>
      </c>
      <c r="L84" s="100">
        <v>25.08</v>
      </c>
      <c r="M84" s="100">
        <v>96.33</v>
      </c>
      <c r="N84" s="100">
        <v>2.1</v>
      </c>
      <c r="O84" s="100">
        <v>0.2</v>
      </c>
      <c r="P84" s="100">
        <v>0.09</v>
      </c>
      <c r="Q84" s="100">
        <v>10</v>
      </c>
      <c r="R84" s="6"/>
      <c r="S84" s="6"/>
      <c r="T84" s="156"/>
      <c r="U84" s="6"/>
    </row>
    <row r="85" spans="1:21" customFormat="1">
      <c r="A85" s="163" t="s">
        <v>2716</v>
      </c>
      <c r="B85" s="100">
        <v>4.4800000000000004</v>
      </c>
      <c r="C85" s="100">
        <v>13.66</v>
      </c>
      <c r="D85" s="100">
        <v>10.73</v>
      </c>
      <c r="E85" s="100">
        <v>5.3</v>
      </c>
      <c r="F85" s="100">
        <v>3.27</v>
      </c>
      <c r="G85" s="100">
        <v>1.52</v>
      </c>
      <c r="H85" s="100">
        <v>0.64</v>
      </c>
      <c r="I85" s="100">
        <v>3</v>
      </c>
      <c r="J85" s="100">
        <v>1.1499999999999999</v>
      </c>
      <c r="K85" s="100">
        <v>254.01</v>
      </c>
      <c r="L85" s="100">
        <v>25.11</v>
      </c>
      <c r="M85" s="100">
        <v>95.17</v>
      </c>
      <c r="N85" s="100">
        <v>2</v>
      </c>
      <c r="O85" s="100">
        <v>0</v>
      </c>
      <c r="P85" s="100">
        <v>0.09</v>
      </c>
      <c r="Q85" s="100">
        <v>10</v>
      </c>
      <c r="R85" s="6"/>
      <c r="S85" s="6"/>
      <c r="T85" s="156"/>
      <c r="U85" s="6"/>
    </row>
    <row r="86" spans="1:21" customFormat="1">
      <c r="A86" s="163" t="s">
        <v>2717</v>
      </c>
      <c r="B86" s="100">
        <v>4.53</v>
      </c>
      <c r="C86" s="100">
        <v>13.91</v>
      </c>
      <c r="D86" s="100">
        <v>10.9</v>
      </c>
      <c r="E86" s="100">
        <v>5.49</v>
      </c>
      <c r="F86" s="100">
        <v>1.23</v>
      </c>
      <c r="G86" s="100">
        <v>1.52</v>
      </c>
      <c r="H86" s="100">
        <v>0.64</v>
      </c>
      <c r="I86" s="100">
        <v>2.98</v>
      </c>
      <c r="J86" s="100">
        <v>1.01</v>
      </c>
      <c r="K86" s="100">
        <v>252.52</v>
      </c>
      <c r="L86" s="100">
        <v>25.18</v>
      </c>
      <c r="M86" s="100">
        <v>94.06</v>
      </c>
      <c r="N86" s="100">
        <v>2</v>
      </c>
      <c r="O86" s="100">
        <v>0</v>
      </c>
      <c r="P86" s="100">
        <v>0.1</v>
      </c>
      <c r="Q86" s="100">
        <v>10</v>
      </c>
      <c r="R86" s="6"/>
      <c r="S86" s="6"/>
      <c r="T86" s="156"/>
      <c r="U86" s="6"/>
    </row>
    <row r="87" spans="1:21" customFormat="1">
      <c r="A87" s="163" t="s">
        <v>2718</v>
      </c>
      <c r="B87" s="100">
        <v>4.3899999999999997</v>
      </c>
      <c r="C87" s="100">
        <v>13.58</v>
      </c>
      <c r="D87" s="100">
        <v>10.61</v>
      </c>
      <c r="E87" s="100">
        <v>5.57</v>
      </c>
      <c r="F87" s="100">
        <v>2.29</v>
      </c>
      <c r="G87" s="100">
        <v>1.52</v>
      </c>
      <c r="H87" s="100">
        <v>0.64</v>
      </c>
      <c r="I87" s="100">
        <v>2.97</v>
      </c>
      <c r="J87" s="100">
        <v>0.78</v>
      </c>
      <c r="K87" s="100">
        <v>253.46</v>
      </c>
      <c r="L87" s="100">
        <v>25.05</v>
      </c>
      <c r="M87" s="100">
        <v>95.41</v>
      </c>
      <c r="N87" s="100">
        <v>2.1</v>
      </c>
      <c r="O87" s="100">
        <v>0</v>
      </c>
      <c r="P87" s="100">
        <v>0.08</v>
      </c>
      <c r="Q87" s="100">
        <v>10</v>
      </c>
      <c r="R87" s="6"/>
      <c r="S87" s="6"/>
      <c r="T87" s="156"/>
      <c r="U87" s="6"/>
    </row>
    <row r="88" spans="1:21" customFormat="1">
      <c r="A88" s="163" t="s">
        <v>2719</v>
      </c>
      <c r="B88" s="100">
        <v>4.3499999999999996</v>
      </c>
      <c r="C88" s="100">
        <v>13.72</v>
      </c>
      <c r="D88" s="100">
        <v>10.66</v>
      </c>
      <c r="E88" s="100">
        <v>5.52</v>
      </c>
      <c r="F88" s="100">
        <v>2.3199999999999998</v>
      </c>
      <c r="G88" s="100">
        <v>1.52</v>
      </c>
      <c r="H88" s="100">
        <v>0.65</v>
      </c>
      <c r="I88" s="100">
        <v>3.06</v>
      </c>
      <c r="J88" s="100">
        <v>0.88</v>
      </c>
      <c r="K88" s="100">
        <v>251.51</v>
      </c>
      <c r="L88" s="100">
        <v>24.94</v>
      </c>
      <c r="M88" s="100">
        <v>96.05</v>
      </c>
      <c r="N88" s="100">
        <v>2</v>
      </c>
      <c r="O88" s="100">
        <v>0</v>
      </c>
      <c r="P88" s="100">
        <v>0.08</v>
      </c>
      <c r="Q88" s="100">
        <v>10</v>
      </c>
      <c r="R88" s="6"/>
      <c r="S88" s="6"/>
      <c r="T88" s="156"/>
      <c r="U88" s="6"/>
    </row>
    <row r="89" spans="1:21" customFormat="1">
      <c r="A89" s="163" t="s">
        <v>2720</v>
      </c>
      <c r="B89" s="100">
        <v>4.51</v>
      </c>
      <c r="C89" s="100">
        <v>14.24</v>
      </c>
      <c r="D89" s="100">
        <v>11.06</v>
      </c>
      <c r="E89" s="100">
        <v>5.27</v>
      </c>
      <c r="F89" s="100">
        <v>2.2999999999999998</v>
      </c>
      <c r="G89" s="100">
        <v>1.52</v>
      </c>
      <c r="H89" s="100">
        <v>0.65</v>
      </c>
      <c r="I89" s="100">
        <v>3.02</v>
      </c>
      <c r="J89" s="100">
        <v>0.92</v>
      </c>
      <c r="K89" s="100">
        <v>255.81</v>
      </c>
      <c r="L89" s="100">
        <v>24.99</v>
      </c>
      <c r="M89" s="100">
        <v>94.85</v>
      </c>
      <c r="N89" s="100">
        <v>1.5</v>
      </c>
      <c r="O89" s="100">
        <v>0</v>
      </c>
      <c r="P89" s="100">
        <v>0.1</v>
      </c>
      <c r="Q89" s="100">
        <v>10</v>
      </c>
      <c r="R89" s="6"/>
      <c r="S89" s="6"/>
      <c r="T89" s="156"/>
      <c r="U89" s="6"/>
    </row>
    <row r="90" spans="1:21" customFormat="1">
      <c r="A90" s="163" t="s">
        <v>2721</v>
      </c>
      <c r="B90" s="100">
        <v>4.45</v>
      </c>
      <c r="C90" s="100">
        <v>13.78</v>
      </c>
      <c r="D90" s="100">
        <v>10.77</v>
      </c>
      <c r="E90" s="100">
        <v>5.52</v>
      </c>
      <c r="F90" s="100">
        <v>1.95</v>
      </c>
      <c r="G90" s="100">
        <v>1.52</v>
      </c>
      <c r="H90" s="100">
        <v>0.65</v>
      </c>
      <c r="I90" s="100">
        <v>2.98</v>
      </c>
      <c r="J90" s="100">
        <v>0.88</v>
      </c>
      <c r="K90" s="100">
        <v>253.75</v>
      </c>
      <c r="L90" s="100">
        <v>25.11</v>
      </c>
      <c r="M90" s="100">
        <v>93.08</v>
      </c>
      <c r="N90" s="100">
        <v>1.9</v>
      </c>
      <c r="O90" s="100">
        <v>0</v>
      </c>
      <c r="P90" s="100">
        <v>0.09</v>
      </c>
      <c r="Q90" s="100">
        <v>10</v>
      </c>
      <c r="R90" s="6"/>
      <c r="S90" s="6"/>
      <c r="T90" s="156"/>
      <c r="U90" s="6"/>
    </row>
    <row r="91" spans="1:21" customFormat="1">
      <c r="A91" s="163" t="s">
        <v>2722</v>
      </c>
      <c r="B91" s="100">
        <v>4.37</v>
      </c>
      <c r="C91" s="100">
        <v>13.67</v>
      </c>
      <c r="D91" s="100">
        <v>10.65</v>
      </c>
      <c r="E91" s="100">
        <v>5.54</v>
      </c>
      <c r="F91" s="100">
        <v>2.87</v>
      </c>
      <c r="G91" s="100">
        <v>1.52</v>
      </c>
      <c r="H91" s="100">
        <v>0.65</v>
      </c>
      <c r="I91" s="100">
        <v>3.05</v>
      </c>
      <c r="J91" s="100">
        <v>0.82</v>
      </c>
      <c r="K91" s="100">
        <v>253.15</v>
      </c>
      <c r="L91" s="100">
        <v>25.13</v>
      </c>
      <c r="M91" s="100">
        <v>92.47</v>
      </c>
      <c r="N91" s="100">
        <v>1.4</v>
      </c>
      <c r="O91" s="100">
        <v>0</v>
      </c>
      <c r="P91" s="100">
        <v>0.09</v>
      </c>
      <c r="Q91" s="100">
        <v>10</v>
      </c>
      <c r="R91" s="6"/>
      <c r="S91" s="6"/>
      <c r="T91" s="156"/>
      <c r="U91" s="6"/>
    </row>
    <row r="92" spans="1:21" customFormat="1">
      <c r="A92" s="163" t="s">
        <v>2723</v>
      </c>
      <c r="B92" s="100">
        <v>4.49</v>
      </c>
      <c r="C92" s="100">
        <v>14.3</v>
      </c>
      <c r="D92" s="100">
        <v>11.07</v>
      </c>
      <c r="E92" s="100">
        <v>5.57</v>
      </c>
      <c r="F92" s="100">
        <v>3.1</v>
      </c>
      <c r="G92" s="100">
        <v>1.55</v>
      </c>
      <c r="H92" s="100">
        <v>0.65</v>
      </c>
      <c r="I92" s="100">
        <v>3</v>
      </c>
      <c r="J92" s="100">
        <v>0.89</v>
      </c>
      <c r="K92" s="100">
        <v>252.58</v>
      </c>
      <c r="L92" s="100">
        <v>25.21</v>
      </c>
      <c r="M92" s="100">
        <v>90.94</v>
      </c>
      <c r="N92" s="100">
        <v>1.5</v>
      </c>
      <c r="O92" s="100">
        <v>0</v>
      </c>
      <c r="P92" s="100">
        <v>0.12</v>
      </c>
      <c r="Q92" s="100">
        <v>10</v>
      </c>
      <c r="R92" s="6"/>
      <c r="S92" s="6"/>
      <c r="T92" s="156"/>
      <c r="U92" s="6"/>
    </row>
    <row r="93" spans="1:21" customFormat="1">
      <c r="A93" s="163" t="s">
        <v>2724</v>
      </c>
      <c r="B93" s="100">
        <v>4.37</v>
      </c>
      <c r="C93" s="100">
        <v>13.95</v>
      </c>
      <c r="D93" s="100">
        <v>10.8</v>
      </c>
      <c r="E93" s="100">
        <v>5.69</v>
      </c>
      <c r="F93" s="100">
        <v>2.81</v>
      </c>
      <c r="G93" s="100">
        <v>1.6</v>
      </c>
      <c r="H93" s="100">
        <v>0.64</v>
      </c>
      <c r="I93" s="100">
        <v>3</v>
      </c>
      <c r="J93" s="100">
        <v>0.96</v>
      </c>
      <c r="K93" s="100">
        <v>251.59</v>
      </c>
      <c r="L93" s="100">
        <v>25.3</v>
      </c>
      <c r="M93" s="100">
        <v>89.7</v>
      </c>
      <c r="N93" s="100">
        <v>2</v>
      </c>
      <c r="O93" s="100">
        <v>0</v>
      </c>
      <c r="P93" s="100">
        <v>0.14000000000000001</v>
      </c>
      <c r="Q93" s="100">
        <v>10</v>
      </c>
      <c r="R93" s="6"/>
      <c r="S93" s="6"/>
      <c r="T93" s="156"/>
      <c r="U93" s="6"/>
    </row>
    <row r="94" spans="1:21" customFormat="1">
      <c r="A94" s="163" t="s">
        <v>2725</v>
      </c>
      <c r="B94" s="100">
        <v>4.13</v>
      </c>
      <c r="C94" s="100">
        <v>13.8</v>
      </c>
      <c r="D94" s="100">
        <v>10.53</v>
      </c>
      <c r="E94" s="100">
        <v>6.07</v>
      </c>
      <c r="F94" s="100">
        <v>2.14</v>
      </c>
      <c r="G94" s="100">
        <v>1.6</v>
      </c>
      <c r="H94" s="100">
        <v>0.64</v>
      </c>
      <c r="I94" s="100">
        <v>3.06</v>
      </c>
      <c r="J94" s="100">
        <v>0.94</v>
      </c>
      <c r="K94" s="100">
        <v>252.16</v>
      </c>
      <c r="L94" s="100">
        <v>25.3</v>
      </c>
      <c r="M94" s="100">
        <v>89.14</v>
      </c>
      <c r="N94" s="100">
        <v>2.1</v>
      </c>
      <c r="O94" s="100">
        <v>0</v>
      </c>
      <c r="P94" s="100">
        <v>0.14000000000000001</v>
      </c>
      <c r="Q94" s="100">
        <v>10</v>
      </c>
      <c r="R94" s="6"/>
      <c r="S94" s="6"/>
      <c r="T94" s="156"/>
      <c r="U94" s="6"/>
    </row>
    <row r="95" spans="1:21" customFormat="1">
      <c r="A95" s="163" t="s">
        <v>2726</v>
      </c>
      <c r="B95" s="100">
        <v>3.91</v>
      </c>
      <c r="C95" s="100">
        <v>13.69</v>
      </c>
      <c r="D95" s="100">
        <v>10.29</v>
      </c>
      <c r="E95" s="100">
        <v>6.08</v>
      </c>
      <c r="F95" s="100">
        <v>2.97</v>
      </c>
      <c r="G95" s="100">
        <v>1.6</v>
      </c>
      <c r="H95" s="100">
        <v>0.64</v>
      </c>
      <c r="I95" s="100">
        <v>2.96</v>
      </c>
      <c r="J95" s="100">
        <v>1.05</v>
      </c>
      <c r="K95" s="100">
        <v>253.86</v>
      </c>
      <c r="L95" s="100">
        <v>25.27</v>
      </c>
      <c r="M95" s="100">
        <v>89.1</v>
      </c>
      <c r="N95" s="100">
        <v>2.2999999999999998</v>
      </c>
      <c r="O95" s="100">
        <v>0</v>
      </c>
      <c r="P95" s="100">
        <v>0.13</v>
      </c>
      <c r="Q95" s="100">
        <v>10</v>
      </c>
      <c r="R95" s="6"/>
      <c r="S95" s="6"/>
      <c r="T95" s="156"/>
      <c r="U95" s="6"/>
    </row>
    <row r="96" spans="1:21" customFormat="1">
      <c r="A96" s="163" t="s">
        <v>2727</v>
      </c>
      <c r="B96" s="100">
        <v>3.69</v>
      </c>
      <c r="C96" s="100">
        <v>13.83</v>
      </c>
      <c r="D96" s="100">
        <v>10.18</v>
      </c>
      <c r="E96" s="100">
        <v>6.22</v>
      </c>
      <c r="F96" s="100">
        <v>2.11</v>
      </c>
      <c r="G96" s="100">
        <v>1.63</v>
      </c>
      <c r="H96" s="100">
        <v>0.72</v>
      </c>
      <c r="I96" s="100">
        <v>2.83</v>
      </c>
      <c r="J96" s="100">
        <v>1.06</v>
      </c>
      <c r="K96" s="100">
        <v>253.11</v>
      </c>
      <c r="L96" s="100">
        <v>25.26</v>
      </c>
      <c r="M96" s="100">
        <v>89.52</v>
      </c>
      <c r="N96" s="100">
        <v>2.2999999999999998</v>
      </c>
      <c r="O96" s="100">
        <v>0</v>
      </c>
      <c r="P96" s="100">
        <v>0.13</v>
      </c>
      <c r="Q96" s="100">
        <v>10</v>
      </c>
      <c r="R96" s="6"/>
      <c r="S96" s="6"/>
      <c r="T96" s="156"/>
      <c r="U96" s="6"/>
    </row>
    <row r="97" spans="1:28" customFormat="1">
      <c r="A97" s="163" t="s">
        <v>2728</v>
      </c>
      <c r="B97" s="100">
        <v>3.61</v>
      </c>
      <c r="C97" s="100">
        <v>13.8</v>
      </c>
      <c r="D97" s="100">
        <v>10.1</v>
      </c>
      <c r="E97" s="100">
        <v>6.13</v>
      </c>
      <c r="F97" s="100">
        <v>1.92</v>
      </c>
      <c r="G97" s="100">
        <v>1.69</v>
      </c>
      <c r="H97" s="100">
        <v>0.8</v>
      </c>
      <c r="I97" s="100">
        <v>2.78</v>
      </c>
      <c r="J97" s="100">
        <v>0.92</v>
      </c>
      <c r="K97" s="100">
        <v>252.46</v>
      </c>
      <c r="L97" s="100">
        <v>25.16</v>
      </c>
      <c r="M97" s="100">
        <v>90.72</v>
      </c>
      <c r="N97" s="100">
        <v>2.4</v>
      </c>
      <c r="O97" s="100">
        <v>0</v>
      </c>
      <c r="P97" s="100">
        <v>0.13</v>
      </c>
      <c r="Q97" s="100">
        <v>10</v>
      </c>
      <c r="R97" s="6"/>
      <c r="S97" s="6"/>
      <c r="T97" s="156"/>
      <c r="U97" s="6"/>
    </row>
    <row r="98" spans="1:28" customFormat="1">
      <c r="A98" s="163" t="s">
        <v>2729</v>
      </c>
      <c r="B98" s="100">
        <v>3.53</v>
      </c>
      <c r="C98" s="100">
        <v>13.75</v>
      </c>
      <c r="D98" s="100">
        <v>10.02</v>
      </c>
      <c r="E98" s="100">
        <v>6.15</v>
      </c>
      <c r="F98" s="100">
        <v>1.88</v>
      </c>
      <c r="G98" s="100">
        <v>1.69</v>
      </c>
      <c r="H98" s="100">
        <v>0.8</v>
      </c>
      <c r="I98" s="100">
        <v>2.75</v>
      </c>
      <c r="J98" s="100">
        <v>0.99</v>
      </c>
      <c r="K98" s="100">
        <v>254.16</v>
      </c>
      <c r="L98" s="100">
        <v>25.21</v>
      </c>
      <c r="M98" s="100">
        <v>90.67</v>
      </c>
      <c r="N98" s="100">
        <v>2.2999999999999998</v>
      </c>
      <c r="O98" s="100">
        <v>0</v>
      </c>
      <c r="P98" s="100">
        <v>0.14000000000000001</v>
      </c>
      <c r="Q98" s="100">
        <v>10</v>
      </c>
      <c r="R98" s="6"/>
      <c r="S98" s="6"/>
      <c r="T98" s="156"/>
      <c r="U98" s="6"/>
    </row>
    <row r="99" spans="1:28" customFormat="1">
      <c r="A99" s="163" t="s">
        <v>2730</v>
      </c>
      <c r="B99" s="100">
        <v>3.49</v>
      </c>
      <c r="C99" s="100">
        <v>13.71</v>
      </c>
      <c r="D99" s="100">
        <v>9.9600000000000009</v>
      </c>
      <c r="E99" s="100">
        <v>5.9</v>
      </c>
      <c r="F99" s="100">
        <v>1.79</v>
      </c>
      <c r="G99" s="100">
        <v>1.69</v>
      </c>
      <c r="H99" s="100">
        <v>0.8</v>
      </c>
      <c r="I99" s="100">
        <v>2.76</v>
      </c>
      <c r="J99" s="100">
        <v>0.85</v>
      </c>
      <c r="K99" s="100">
        <v>254.49</v>
      </c>
      <c r="L99" s="100">
        <v>25.26</v>
      </c>
      <c r="M99" s="100">
        <v>90.9</v>
      </c>
      <c r="N99" s="100">
        <v>2.2000000000000002</v>
      </c>
      <c r="O99" s="100">
        <v>0</v>
      </c>
      <c r="P99" s="100">
        <v>0.13</v>
      </c>
      <c r="Q99" s="100">
        <v>10</v>
      </c>
      <c r="R99" s="6"/>
      <c r="S99" s="6"/>
      <c r="T99" s="156"/>
      <c r="U99" s="6"/>
    </row>
    <row r="100" spans="1:28" customFormat="1">
      <c r="A100" s="163" t="s">
        <v>2731</v>
      </c>
      <c r="B100" s="100">
        <v>3.49</v>
      </c>
      <c r="C100" s="100">
        <v>13.61</v>
      </c>
      <c r="D100" s="100">
        <v>9.91</v>
      </c>
      <c r="E100" s="100">
        <v>6.17</v>
      </c>
      <c r="F100" s="100">
        <v>2.58</v>
      </c>
      <c r="G100" s="100">
        <v>1.69</v>
      </c>
      <c r="H100" s="100">
        <v>0.79</v>
      </c>
      <c r="I100" s="100">
        <v>2.71</v>
      </c>
      <c r="J100" s="100">
        <v>0.9</v>
      </c>
      <c r="K100" s="100">
        <v>252.89</v>
      </c>
      <c r="L100" s="100">
        <v>25.33</v>
      </c>
      <c r="M100" s="100">
        <v>90.76</v>
      </c>
      <c r="N100" s="100">
        <v>2.2999999999999998</v>
      </c>
      <c r="O100" s="100">
        <v>0</v>
      </c>
      <c r="P100" s="100">
        <v>0.14000000000000001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2732</v>
      </c>
      <c r="B101" s="100">
        <v>3.49</v>
      </c>
      <c r="C101" s="100">
        <v>13.53</v>
      </c>
      <c r="D101" s="100">
        <v>9.8699999999999992</v>
      </c>
      <c r="E101" s="100">
        <v>6.32</v>
      </c>
      <c r="F101" s="100">
        <v>2.19</v>
      </c>
      <c r="G101" s="100">
        <v>1.68</v>
      </c>
      <c r="H101" s="100">
        <v>0.79</v>
      </c>
      <c r="I101" s="100">
        <v>2.67</v>
      </c>
      <c r="J101" s="100">
        <v>0.81</v>
      </c>
      <c r="K101" s="100">
        <v>251.39</v>
      </c>
      <c r="L101" s="100">
        <v>25.41</v>
      </c>
      <c r="M101" s="100">
        <v>90.45</v>
      </c>
      <c r="N101" s="100">
        <v>2.2999999999999998</v>
      </c>
      <c r="O101" s="100">
        <v>0</v>
      </c>
      <c r="P101" s="100">
        <v>0.13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2733</v>
      </c>
      <c r="B102" s="100">
        <v>3.53</v>
      </c>
      <c r="C102" s="100">
        <v>13.48</v>
      </c>
      <c r="D102" s="100">
        <v>9.8699999999999992</v>
      </c>
      <c r="E102" s="100">
        <v>6.28</v>
      </c>
      <c r="F102" s="100">
        <v>2.12</v>
      </c>
      <c r="G102" s="100">
        <v>1.68</v>
      </c>
      <c r="H102" s="100">
        <v>0.79</v>
      </c>
      <c r="I102" s="100">
        <v>2.61</v>
      </c>
      <c r="J102" s="100">
        <v>0.79</v>
      </c>
      <c r="K102" s="100">
        <v>252.69</v>
      </c>
      <c r="L102" s="100">
        <v>25.42</v>
      </c>
      <c r="M102" s="100">
        <v>90.53</v>
      </c>
      <c r="N102" s="100">
        <v>2.4</v>
      </c>
      <c r="O102" s="100">
        <v>0</v>
      </c>
      <c r="P102" s="100">
        <v>0.13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2734</v>
      </c>
      <c r="B103" s="100">
        <v>3.58</v>
      </c>
      <c r="C103" s="100">
        <v>13.37</v>
      </c>
      <c r="D103" s="100">
        <v>9.86</v>
      </c>
      <c r="E103" s="100">
        <v>6.46</v>
      </c>
      <c r="F103" s="100">
        <v>1.74</v>
      </c>
      <c r="G103" s="100">
        <v>1.68</v>
      </c>
      <c r="H103" s="100">
        <v>0.79</v>
      </c>
      <c r="I103" s="100">
        <v>2.58</v>
      </c>
      <c r="J103" s="100">
        <v>0.87</v>
      </c>
      <c r="K103" s="100">
        <v>252.07</v>
      </c>
      <c r="L103" s="100">
        <v>25.52</v>
      </c>
      <c r="M103" s="100">
        <v>89.61</v>
      </c>
      <c r="N103" s="100">
        <v>2.2999999999999998</v>
      </c>
      <c r="O103" s="100">
        <v>0</v>
      </c>
      <c r="P103" s="100">
        <v>0.13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2735</v>
      </c>
      <c r="B104" s="100">
        <v>3.64</v>
      </c>
      <c r="C104" s="100">
        <v>13.3</v>
      </c>
      <c r="D104" s="100">
        <v>9.86</v>
      </c>
      <c r="E104" s="100">
        <v>6.29</v>
      </c>
      <c r="F104" s="100">
        <v>2.0499999999999998</v>
      </c>
      <c r="G104" s="100">
        <v>1.67</v>
      </c>
      <c r="H104" s="100">
        <v>0.78</v>
      </c>
      <c r="I104" s="100">
        <v>2.57</v>
      </c>
      <c r="J104" s="100">
        <v>0.85</v>
      </c>
      <c r="K104" s="100">
        <v>253.59</v>
      </c>
      <c r="L104" s="100">
        <v>25.53</v>
      </c>
      <c r="M104" s="100">
        <v>89.49</v>
      </c>
      <c r="N104" s="100">
        <v>2.2999999999999998</v>
      </c>
      <c r="O104" s="100">
        <v>0</v>
      </c>
      <c r="P104" s="100">
        <v>0.13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3.49</v>
      </c>
      <c r="C106" s="158">
        <f>MIN(C9:C104)</f>
        <v>13.25</v>
      </c>
      <c r="D106" s="158">
        <f t="shared" ref="D106:Q106" si="0">MIN(D9:D104)</f>
        <v>9.82</v>
      </c>
      <c r="E106" s="158">
        <f t="shared" si="0"/>
        <v>3.49</v>
      </c>
      <c r="F106" s="158">
        <f t="shared" si="0"/>
        <v>0.72</v>
      </c>
      <c r="G106" s="158">
        <f t="shared" si="0"/>
        <v>1.1000000000000001</v>
      </c>
      <c r="H106" s="158">
        <f t="shared" si="0"/>
        <v>0.63</v>
      </c>
      <c r="I106" s="158">
        <f t="shared" si="0"/>
        <v>2.57</v>
      </c>
      <c r="J106" s="158">
        <f t="shared" si="0"/>
        <v>0.57999999999999996</v>
      </c>
      <c r="K106" s="158">
        <f t="shared" si="0"/>
        <v>250.16</v>
      </c>
      <c r="L106" s="158">
        <f t="shared" si="0"/>
        <v>24.21</v>
      </c>
      <c r="M106" s="158">
        <f t="shared" si="0"/>
        <v>86.78</v>
      </c>
      <c r="N106" s="158">
        <f t="shared" si="0"/>
        <v>1.4</v>
      </c>
      <c r="O106" s="158">
        <f t="shared" si="0"/>
        <v>0</v>
      </c>
      <c r="P106" s="158">
        <f t="shared" si="0"/>
        <v>0.06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6.66</v>
      </c>
      <c r="C107" s="157">
        <f t="shared" ref="C107:Q107" si="1">MAX(C9:C104)</f>
        <v>15.18</v>
      </c>
      <c r="D107" s="157">
        <f t="shared" si="1"/>
        <v>12.98</v>
      </c>
      <c r="E107" s="157">
        <f t="shared" si="1"/>
        <v>6.62</v>
      </c>
      <c r="F107" s="157">
        <f t="shared" si="1"/>
        <v>3.41</v>
      </c>
      <c r="G107" s="157">
        <f t="shared" si="1"/>
        <v>8.3000000000000007</v>
      </c>
      <c r="H107" s="157">
        <f t="shared" si="1"/>
        <v>5.99</v>
      </c>
      <c r="I107" s="157">
        <f t="shared" si="1"/>
        <v>6.64</v>
      </c>
      <c r="J107" s="157">
        <f t="shared" si="1"/>
        <v>1.23</v>
      </c>
      <c r="K107" s="157">
        <f t="shared" si="1"/>
        <v>273.66000000000003</v>
      </c>
      <c r="L107" s="157">
        <f t="shared" si="1"/>
        <v>26.69</v>
      </c>
      <c r="M107" s="157">
        <f t="shared" si="1"/>
        <v>98.73</v>
      </c>
      <c r="N107" s="157">
        <f t="shared" si="1"/>
        <v>200.4</v>
      </c>
      <c r="O107" s="157">
        <f t="shared" si="1"/>
        <v>14</v>
      </c>
      <c r="P107" s="157">
        <f t="shared" si="1"/>
        <v>0.22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4.7529166666666667</v>
      </c>
      <c r="C108" s="158">
        <f t="shared" ref="C108:Q108" si="2">AVERAGE(C9:C104)</f>
        <v>14.014062500000001</v>
      </c>
      <c r="D108" s="158">
        <f t="shared" si="2"/>
        <v>11.132916666666659</v>
      </c>
      <c r="E108" s="158">
        <f t="shared" si="2"/>
        <v>5.539270833333334</v>
      </c>
      <c r="F108" s="158">
        <f t="shared" si="2"/>
        <v>2.1111458333333339</v>
      </c>
      <c r="G108" s="158">
        <f t="shared" si="2"/>
        <v>2.8133333333333344</v>
      </c>
      <c r="H108" s="158">
        <f t="shared" si="2"/>
        <v>1.369270833333333</v>
      </c>
      <c r="I108" s="158">
        <f t="shared" si="2"/>
        <v>3.6786458333333312</v>
      </c>
      <c r="J108" s="158">
        <f t="shared" si="2"/>
        <v>0.90281250000000002</v>
      </c>
      <c r="K108" s="158">
        <f t="shared" si="2"/>
        <v>254.28729166666668</v>
      </c>
      <c r="L108" s="158">
        <f t="shared" si="2"/>
        <v>25.255416666666676</v>
      </c>
      <c r="M108" s="158">
        <f t="shared" si="2"/>
        <v>94.396875000000009</v>
      </c>
      <c r="N108" s="158">
        <f t="shared" si="2"/>
        <v>31.090625000000017</v>
      </c>
      <c r="O108" s="158">
        <f t="shared" si="2"/>
        <v>0.96458333333333357</v>
      </c>
      <c r="P108" s="158">
        <f t="shared" si="2"/>
        <v>0.12229166666666674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0.83001447884221669</v>
      </c>
      <c r="C109" s="158">
        <f t="shared" ref="C109:Q109" si="3">STDEV(C9:C104)</f>
        <v>0.49374098925821852</v>
      </c>
      <c r="D109" s="158">
        <f t="shared" si="3"/>
        <v>0.82322589681871805</v>
      </c>
      <c r="E109" s="158">
        <f t="shared" si="3"/>
        <v>0.75872225663894488</v>
      </c>
      <c r="F109" s="158">
        <f t="shared" si="3"/>
        <v>0.51950962666054812</v>
      </c>
      <c r="G109" s="158">
        <f t="shared" si="3"/>
        <v>2.0005892114530797</v>
      </c>
      <c r="H109" s="158">
        <f t="shared" si="3"/>
        <v>1.2960858035206337</v>
      </c>
      <c r="I109" s="158">
        <f t="shared" si="3"/>
        <v>1.0070850272906489</v>
      </c>
      <c r="J109" s="158">
        <f t="shared" si="3"/>
        <v>0.15173177944892319</v>
      </c>
      <c r="K109" s="158">
        <f t="shared" si="3"/>
        <v>2.8366189953113929</v>
      </c>
      <c r="L109" s="158">
        <f t="shared" si="3"/>
        <v>0.63251863574238165</v>
      </c>
      <c r="M109" s="158">
        <f t="shared" si="3"/>
        <v>4.1882121075579182</v>
      </c>
      <c r="N109" s="158">
        <f t="shared" si="3"/>
        <v>40.768620745617582</v>
      </c>
      <c r="O109" s="158">
        <f t="shared" si="3"/>
        <v>2.814697484601953</v>
      </c>
      <c r="P109" s="158">
        <f t="shared" si="3"/>
        <v>4.2586856550785215E-2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L18" sqref="L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2736</v>
      </c>
      <c r="B9" s="100">
        <v>3.75</v>
      </c>
      <c r="C9" s="100">
        <v>13.17</v>
      </c>
      <c r="D9" s="100">
        <v>9.89</v>
      </c>
      <c r="E9" s="100">
        <v>6.33</v>
      </c>
      <c r="F9" s="100">
        <v>1.58</v>
      </c>
      <c r="G9" s="100">
        <v>1.65</v>
      </c>
      <c r="H9" s="100">
        <v>0.77</v>
      </c>
      <c r="I9" s="100">
        <v>2.54</v>
      </c>
      <c r="J9" s="100">
        <v>0.83</v>
      </c>
      <c r="K9" s="100">
        <v>251.55</v>
      </c>
      <c r="L9" s="100">
        <v>25.57</v>
      </c>
      <c r="M9" s="100">
        <v>89.48</v>
      </c>
      <c r="N9" s="100">
        <v>2.2999999999999998</v>
      </c>
      <c r="O9" s="100">
        <v>0</v>
      </c>
      <c r="P9" s="100">
        <v>0.13</v>
      </c>
      <c r="Q9" s="100">
        <v>10</v>
      </c>
      <c r="R9" s="6"/>
      <c r="S9" s="6"/>
      <c r="T9" s="156"/>
      <c r="U9" s="6"/>
    </row>
    <row r="10" spans="1:21" customFormat="1">
      <c r="A10" s="163" t="s">
        <v>2737</v>
      </c>
      <c r="B10" s="100">
        <v>3.66</v>
      </c>
      <c r="C10" s="100">
        <v>13.28</v>
      </c>
      <c r="D10" s="100">
        <v>9.8699999999999992</v>
      </c>
      <c r="E10" s="100">
        <v>6.38</v>
      </c>
      <c r="F10" s="100">
        <v>1.56</v>
      </c>
      <c r="G10" s="100">
        <v>1.65</v>
      </c>
      <c r="H10" s="100">
        <v>0.77</v>
      </c>
      <c r="I10" s="100">
        <v>2.56</v>
      </c>
      <c r="J10" s="100">
        <v>0.89</v>
      </c>
      <c r="K10" s="100">
        <v>253.71</v>
      </c>
      <c r="L10" s="100">
        <v>25.51</v>
      </c>
      <c r="M10" s="100">
        <v>89.93</v>
      </c>
      <c r="N10" s="100">
        <v>2.4</v>
      </c>
      <c r="O10" s="100">
        <v>0</v>
      </c>
      <c r="P10" s="100">
        <v>0.13</v>
      </c>
      <c r="Q10" s="100">
        <v>10</v>
      </c>
      <c r="R10" s="6"/>
      <c r="S10" s="6"/>
      <c r="T10" s="156"/>
      <c r="U10" s="6"/>
    </row>
    <row r="11" spans="1:21" customFormat="1">
      <c r="A11" s="163" t="s">
        <v>2738</v>
      </c>
      <c r="B11" s="100">
        <v>3.68</v>
      </c>
      <c r="C11" s="100">
        <v>13.16</v>
      </c>
      <c r="D11" s="100">
        <v>9.83</v>
      </c>
      <c r="E11" s="100">
        <v>6.36</v>
      </c>
      <c r="F11" s="100">
        <v>2.19</v>
      </c>
      <c r="G11" s="100">
        <v>1.65</v>
      </c>
      <c r="H11" s="100">
        <v>0.77</v>
      </c>
      <c r="I11" s="100">
        <v>2.56</v>
      </c>
      <c r="J11" s="100">
        <v>0.78</v>
      </c>
      <c r="K11" s="100">
        <v>251.71</v>
      </c>
      <c r="L11" s="100">
        <v>25.41</v>
      </c>
      <c r="M11" s="100">
        <v>90.77</v>
      </c>
      <c r="N11" s="100">
        <v>2.5</v>
      </c>
      <c r="O11" s="100">
        <v>0</v>
      </c>
      <c r="P11" s="100">
        <v>0.13</v>
      </c>
      <c r="Q11" s="100">
        <v>10</v>
      </c>
      <c r="R11" s="6"/>
      <c r="S11" s="6"/>
      <c r="T11" s="156"/>
      <c r="U11" s="6"/>
    </row>
    <row r="12" spans="1:21" customFormat="1">
      <c r="A12" s="163" t="s">
        <v>2739</v>
      </c>
      <c r="B12" s="100">
        <v>3.67</v>
      </c>
      <c r="C12" s="100">
        <v>13.16</v>
      </c>
      <c r="D12" s="100">
        <v>9.82</v>
      </c>
      <c r="E12" s="100">
        <v>6.23</v>
      </c>
      <c r="F12" s="100">
        <v>2.56</v>
      </c>
      <c r="G12" s="100">
        <v>1.65</v>
      </c>
      <c r="H12" s="100">
        <v>0.77</v>
      </c>
      <c r="I12" s="100">
        <v>2.58</v>
      </c>
      <c r="J12" s="100">
        <v>0.71</v>
      </c>
      <c r="K12" s="100">
        <v>254.38</v>
      </c>
      <c r="L12" s="100">
        <v>25.4</v>
      </c>
      <c r="M12" s="100">
        <v>91.22</v>
      </c>
      <c r="N12" s="100">
        <v>2.4</v>
      </c>
      <c r="O12" s="100">
        <v>0</v>
      </c>
      <c r="P12" s="100">
        <v>0.13</v>
      </c>
      <c r="Q12" s="100">
        <v>10</v>
      </c>
      <c r="R12" s="6"/>
      <c r="S12" s="6"/>
      <c r="T12" s="156"/>
      <c r="U12" s="6"/>
    </row>
    <row r="13" spans="1:21" customFormat="1">
      <c r="A13" s="163" t="s">
        <v>2740</v>
      </c>
      <c r="B13" s="100">
        <v>3.75</v>
      </c>
      <c r="C13" s="100">
        <v>13.11</v>
      </c>
      <c r="D13" s="100">
        <v>9.86</v>
      </c>
      <c r="E13" s="100">
        <v>6.51</v>
      </c>
      <c r="F13" s="100">
        <v>1.8</v>
      </c>
      <c r="G13" s="100">
        <v>1.65</v>
      </c>
      <c r="H13" s="100">
        <v>0.78</v>
      </c>
      <c r="I13" s="100">
        <v>2.5099999999999998</v>
      </c>
      <c r="J13" s="100">
        <v>0.67</v>
      </c>
      <c r="K13" s="100">
        <v>251.64</v>
      </c>
      <c r="L13" s="100">
        <v>25.37</v>
      </c>
      <c r="M13" s="100">
        <v>91.49</v>
      </c>
      <c r="N13" s="100">
        <v>2.4</v>
      </c>
      <c r="O13" s="100">
        <v>0</v>
      </c>
      <c r="P13" s="100">
        <v>0.12</v>
      </c>
      <c r="Q13" s="100">
        <v>10</v>
      </c>
      <c r="R13" s="6"/>
      <c r="S13" s="6"/>
      <c r="T13" s="156"/>
      <c r="U13" s="6"/>
    </row>
    <row r="14" spans="1:21" customFormat="1">
      <c r="A14" s="163" t="s">
        <v>2741</v>
      </c>
      <c r="B14" s="100">
        <v>3.8</v>
      </c>
      <c r="C14" s="100">
        <v>13.12</v>
      </c>
      <c r="D14" s="100">
        <v>9.9</v>
      </c>
      <c r="E14" s="100">
        <v>6.37</v>
      </c>
      <c r="F14" s="100">
        <v>1.95</v>
      </c>
      <c r="G14" s="100">
        <v>1.65</v>
      </c>
      <c r="H14" s="100">
        <v>0.78</v>
      </c>
      <c r="I14" s="100">
        <v>2.4300000000000002</v>
      </c>
      <c r="J14" s="100">
        <v>0.79</v>
      </c>
      <c r="K14" s="100">
        <v>252.69</v>
      </c>
      <c r="L14" s="100">
        <v>25.42</v>
      </c>
      <c r="M14" s="100">
        <v>91.11</v>
      </c>
      <c r="N14" s="100">
        <v>2.2999999999999998</v>
      </c>
      <c r="O14" s="100">
        <v>0</v>
      </c>
      <c r="P14" s="100">
        <v>0.12</v>
      </c>
      <c r="Q14" s="100">
        <v>10</v>
      </c>
      <c r="R14" s="6"/>
      <c r="S14" s="6"/>
      <c r="T14" s="156"/>
      <c r="U14" s="6"/>
    </row>
    <row r="15" spans="1:21" customFormat="1">
      <c r="A15" s="163" t="s">
        <v>2742</v>
      </c>
      <c r="B15" s="100">
        <v>3.83</v>
      </c>
      <c r="C15" s="100">
        <v>13.04</v>
      </c>
      <c r="D15" s="100">
        <v>9.8800000000000008</v>
      </c>
      <c r="E15" s="100">
        <v>6.36</v>
      </c>
      <c r="F15" s="100">
        <v>1.77</v>
      </c>
      <c r="G15" s="100">
        <v>1.65</v>
      </c>
      <c r="H15" s="100">
        <v>0.78</v>
      </c>
      <c r="I15" s="100">
        <v>2.4700000000000002</v>
      </c>
      <c r="J15" s="100">
        <v>0.66</v>
      </c>
      <c r="K15" s="100">
        <v>254.05</v>
      </c>
      <c r="L15" s="100">
        <v>25.44</v>
      </c>
      <c r="M15" s="100">
        <v>91.03</v>
      </c>
      <c r="N15" s="100">
        <v>2.4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 customFormat="1">
      <c r="A16" s="163" t="s">
        <v>2743</v>
      </c>
      <c r="B16" s="100">
        <v>3.88</v>
      </c>
      <c r="C16" s="100">
        <v>13.02</v>
      </c>
      <c r="D16" s="100">
        <v>9.92</v>
      </c>
      <c r="E16" s="100">
        <v>6.62</v>
      </c>
      <c r="F16" s="100">
        <v>2.19</v>
      </c>
      <c r="G16" s="100">
        <v>1.72</v>
      </c>
      <c r="H16" s="100">
        <v>0.79</v>
      </c>
      <c r="I16" s="100">
        <v>2.4700000000000002</v>
      </c>
      <c r="J16" s="100">
        <v>0.65</v>
      </c>
      <c r="K16" s="100">
        <v>252.52</v>
      </c>
      <c r="L16" s="100">
        <v>25.43</v>
      </c>
      <c r="M16" s="100">
        <v>90.9</v>
      </c>
      <c r="N16" s="100">
        <v>2.4</v>
      </c>
      <c r="O16" s="100">
        <v>0</v>
      </c>
      <c r="P16" s="100">
        <v>0.12</v>
      </c>
      <c r="Q16" s="100">
        <v>10</v>
      </c>
      <c r="R16" s="6"/>
      <c r="S16" s="6"/>
      <c r="T16" s="156"/>
      <c r="U16" s="6"/>
    </row>
    <row r="17" spans="1:21" customFormat="1">
      <c r="A17" s="163" t="s">
        <v>2744</v>
      </c>
      <c r="B17" s="100">
        <v>3.95</v>
      </c>
      <c r="C17" s="100">
        <v>12.67</v>
      </c>
      <c r="D17" s="100">
        <v>9.7899999999999991</v>
      </c>
      <c r="E17" s="100">
        <v>3.94</v>
      </c>
      <c r="F17" s="100">
        <v>1.08</v>
      </c>
      <c r="G17" s="100">
        <v>1.84</v>
      </c>
      <c r="H17" s="100">
        <v>0.79</v>
      </c>
      <c r="I17" s="100">
        <v>2.5099999999999998</v>
      </c>
      <c r="J17" s="100">
        <v>0.65</v>
      </c>
      <c r="K17" s="100">
        <v>252.3</v>
      </c>
      <c r="L17" s="100">
        <v>25.41</v>
      </c>
      <c r="M17" s="100">
        <v>90.63</v>
      </c>
      <c r="N17" s="100">
        <v>2.5</v>
      </c>
      <c r="O17" s="100">
        <v>0</v>
      </c>
      <c r="P17" s="100">
        <v>0.09</v>
      </c>
      <c r="Q17" s="100">
        <v>10</v>
      </c>
      <c r="R17" s="6"/>
      <c r="S17" s="6"/>
      <c r="T17" s="156"/>
      <c r="U17" s="6"/>
    </row>
    <row r="18" spans="1:21" customFormat="1">
      <c r="A18" s="163" t="s">
        <v>2745</v>
      </c>
      <c r="B18" s="100">
        <v>3.98</v>
      </c>
      <c r="C18" s="100">
        <v>12.47</v>
      </c>
      <c r="D18" s="100">
        <v>9.7100000000000009</v>
      </c>
      <c r="E18" s="100">
        <v>4.03</v>
      </c>
      <c r="F18" s="100">
        <v>2.63</v>
      </c>
      <c r="G18" s="100">
        <v>1.84</v>
      </c>
      <c r="H18" s="100">
        <v>0.79</v>
      </c>
      <c r="I18" s="100">
        <v>2.4500000000000002</v>
      </c>
      <c r="J18" s="100">
        <v>0.71</v>
      </c>
      <c r="K18" s="100">
        <v>251.13</v>
      </c>
      <c r="L18" s="100">
        <v>25.12</v>
      </c>
      <c r="M18" s="100">
        <v>92.59</v>
      </c>
      <c r="N18" s="100">
        <v>2.6</v>
      </c>
      <c r="O18" s="100">
        <v>0</v>
      </c>
      <c r="P18" s="100">
        <v>7.0000000000000007E-2</v>
      </c>
      <c r="Q18" s="100">
        <v>10</v>
      </c>
      <c r="R18" s="6"/>
      <c r="S18" s="6"/>
      <c r="T18" s="156"/>
      <c r="U18" s="6"/>
    </row>
    <row r="19" spans="1:21" customFormat="1">
      <c r="A19" s="163" t="s">
        <v>2746</v>
      </c>
      <c r="B19" s="100">
        <v>4.1399999999999997</v>
      </c>
      <c r="C19" s="100">
        <v>12.91</v>
      </c>
      <c r="D19" s="100">
        <v>10.07</v>
      </c>
      <c r="E19" s="100">
        <v>3.62</v>
      </c>
      <c r="F19" s="100">
        <v>3.23</v>
      </c>
      <c r="G19" s="100">
        <v>1.84</v>
      </c>
      <c r="H19" s="100">
        <v>0.79</v>
      </c>
      <c r="I19" s="100">
        <v>2.46</v>
      </c>
      <c r="J19" s="100">
        <v>0.76</v>
      </c>
      <c r="K19" s="100">
        <v>253.92</v>
      </c>
      <c r="L19" s="100">
        <v>24.85</v>
      </c>
      <c r="M19" s="100">
        <v>94.57</v>
      </c>
      <c r="N19" s="100">
        <v>2.1</v>
      </c>
      <c r="O19" s="100">
        <v>0</v>
      </c>
      <c r="P19" s="100">
        <v>7.0000000000000007E-2</v>
      </c>
      <c r="Q19" s="100">
        <v>10</v>
      </c>
      <c r="R19" s="6"/>
      <c r="S19" s="6"/>
      <c r="T19" s="156"/>
      <c r="U19" s="6"/>
    </row>
    <row r="20" spans="1:21" customFormat="1">
      <c r="A20" s="163" t="s">
        <v>2747</v>
      </c>
      <c r="B20" s="100">
        <v>4.4000000000000004</v>
      </c>
      <c r="C20" s="100">
        <v>13.21</v>
      </c>
      <c r="D20" s="100">
        <v>10.43</v>
      </c>
      <c r="E20" s="100">
        <v>3.98</v>
      </c>
      <c r="F20" s="100">
        <v>2.71</v>
      </c>
      <c r="G20" s="100">
        <v>2.02</v>
      </c>
      <c r="H20" s="100">
        <v>0.8</v>
      </c>
      <c r="I20" s="100">
        <v>2.4900000000000002</v>
      </c>
      <c r="J20" s="100">
        <v>0.7</v>
      </c>
      <c r="K20" s="100">
        <v>254.29</v>
      </c>
      <c r="L20" s="100">
        <v>24.7</v>
      </c>
      <c r="M20" s="100">
        <v>95.73</v>
      </c>
      <c r="N20" s="100">
        <v>2</v>
      </c>
      <c r="O20" s="100">
        <v>0.2</v>
      </c>
      <c r="P20" s="100">
        <v>0.08</v>
      </c>
      <c r="Q20" s="100">
        <v>10</v>
      </c>
      <c r="R20" s="6"/>
      <c r="S20" s="6"/>
      <c r="T20" s="156"/>
      <c r="U20" s="6"/>
    </row>
    <row r="21" spans="1:21" customFormat="1">
      <c r="A21" s="163" t="s">
        <v>2748</v>
      </c>
      <c r="B21" s="100">
        <v>4.51</v>
      </c>
      <c r="C21" s="100">
        <v>12.77</v>
      </c>
      <c r="D21" s="100">
        <v>10.29</v>
      </c>
      <c r="E21" s="100">
        <v>4</v>
      </c>
      <c r="F21" s="100">
        <v>2.29</v>
      </c>
      <c r="G21" s="100">
        <v>2.29</v>
      </c>
      <c r="H21" s="100">
        <v>0.81</v>
      </c>
      <c r="I21" s="100">
        <v>2.46</v>
      </c>
      <c r="J21" s="100">
        <v>0.61</v>
      </c>
      <c r="K21" s="100">
        <v>253.56</v>
      </c>
      <c r="L21" s="100">
        <v>24.63</v>
      </c>
      <c r="M21" s="100">
        <v>96.36</v>
      </c>
      <c r="N21" s="100">
        <v>2.1</v>
      </c>
      <c r="O21" s="100">
        <v>0</v>
      </c>
      <c r="P21" s="100">
        <v>7.0000000000000007E-2</v>
      </c>
      <c r="Q21" s="100">
        <v>10</v>
      </c>
      <c r="R21" s="6"/>
      <c r="S21" s="6"/>
      <c r="T21" s="156"/>
      <c r="U21" s="6"/>
    </row>
    <row r="22" spans="1:21" customFormat="1">
      <c r="A22" s="163" t="s">
        <v>2749</v>
      </c>
      <c r="B22" s="100">
        <v>4.6500000000000004</v>
      </c>
      <c r="C22" s="100">
        <v>12.87</v>
      </c>
      <c r="D22" s="100">
        <v>10.45</v>
      </c>
      <c r="E22" s="100">
        <v>3.9</v>
      </c>
      <c r="F22" s="100">
        <v>2.68</v>
      </c>
      <c r="G22" s="100">
        <v>2.29</v>
      </c>
      <c r="H22" s="100">
        <v>0.81</v>
      </c>
      <c r="I22" s="100">
        <v>2.58</v>
      </c>
      <c r="J22" s="100">
        <v>0.65</v>
      </c>
      <c r="K22" s="100">
        <v>253.55</v>
      </c>
      <c r="L22" s="100">
        <v>24.56</v>
      </c>
      <c r="M22" s="100">
        <v>96.77</v>
      </c>
      <c r="N22" s="100">
        <v>2.1</v>
      </c>
      <c r="O22" s="100">
        <v>0</v>
      </c>
      <c r="P22" s="100">
        <v>0.06</v>
      </c>
      <c r="Q22" s="100">
        <v>10</v>
      </c>
      <c r="R22" s="6"/>
      <c r="S22" s="6"/>
      <c r="T22" s="156"/>
      <c r="U22" s="6"/>
    </row>
    <row r="23" spans="1:21" customFormat="1">
      <c r="A23" s="163" t="s">
        <v>2750</v>
      </c>
      <c r="B23" s="100">
        <v>4.92</v>
      </c>
      <c r="C23" s="100">
        <v>13.3</v>
      </c>
      <c r="D23" s="100">
        <v>10.9</v>
      </c>
      <c r="E23" s="100">
        <v>3.9</v>
      </c>
      <c r="F23" s="100">
        <v>1.83</v>
      </c>
      <c r="G23" s="100">
        <v>2.29</v>
      </c>
      <c r="H23" s="100">
        <v>0.81</v>
      </c>
      <c r="I23" s="100">
        <v>2.6</v>
      </c>
      <c r="J23" s="100">
        <v>0.49</v>
      </c>
      <c r="K23" s="100">
        <v>254.83</v>
      </c>
      <c r="L23" s="100">
        <v>24.5</v>
      </c>
      <c r="M23" s="100">
        <v>97.57</v>
      </c>
      <c r="N23" s="100">
        <v>2.2000000000000002</v>
      </c>
      <c r="O23" s="100">
        <v>0</v>
      </c>
      <c r="P23" s="100">
        <v>0.09</v>
      </c>
      <c r="Q23" s="100">
        <v>10</v>
      </c>
      <c r="R23" s="6"/>
      <c r="S23" s="6"/>
      <c r="T23" s="156"/>
      <c r="U23" s="6"/>
    </row>
    <row r="24" spans="1:21" customFormat="1">
      <c r="A24" s="163" t="s">
        <v>2751</v>
      </c>
      <c r="B24" s="100">
        <v>4.96</v>
      </c>
      <c r="C24" s="100">
        <v>12.8</v>
      </c>
      <c r="D24" s="100">
        <v>10.67</v>
      </c>
      <c r="E24" s="100">
        <v>4.0599999999999996</v>
      </c>
      <c r="F24" s="100">
        <v>2.0299999999999998</v>
      </c>
      <c r="G24" s="100">
        <v>2.44</v>
      </c>
      <c r="H24" s="100">
        <v>0.8</v>
      </c>
      <c r="I24" s="100">
        <v>2.59</v>
      </c>
      <c r="J24" s="100">
        <v>0.57999999999999996</v>
      </c>
      <c r="K24" s="100">
        <v>252.71</v>
      </c>
      <c r="L24" s="100">
        <v>24.52</v>
      </c>
      <c r="M24" s="100">
        <v>97.69</v>
      </c>
      <c r="N24" s="100">
        <v>2.2000000000000002</v>
      </c>
      <c r="O24" s="100">
        <v>0</v>
      </c>
      <c r="P24" s="100">
        <v>7.0000000000000007E-2</v>
      </c>
      <c r="Q24" s="100">
        <v>10</v>
      </c>
      <c r="R24" s="6"/>
      <c r="S24" s="6"/>
      <c r="T24" s="156"/>
      <c r="U24" s="6"/>
    </row>
    <row r="25" spans="1:21" customFormat="1">
      <c r="A25" s="163" t="s">
        <v>2752</v>
      </c>
      <c r="B25" s="100">
        <v>5.1100000000000003</v>
      </c>
      <c r="C25" s="100">
        <v>12.95</v>
      </c>
      <c r="D25" s="100">
        <v>10.86</v>
      </c>
      <c r="E25" s="100">
        <v>3.7</v>
      </c>
      <c r="F25" s="100">
        <v>2.68</v>
      </c>
      <c r="G25" s="100">
        <v>2.66</v>
      </c>
      <c r="H25" s="100">
        <v>0.79</v>
      </c>
      <c r="I25" s="100">
        <v>2.68</v>
      </c>
      <c r="J25" s="100">
        <v>0.57999999999999996</v>
      </c>
      <c r="K25" s="100">
        <v>252.91</v>
      </c>
      <c r="L25" s="100">
        <v>24.59</v>
      </c>
      <c r="M25" s="100">
        <v>96.95</v>
      </c>
      <c r="N25" s="100">
        <v>2.1</v>
      </c>
      <c r="O25" s="100">
        <v>0</v>
      </c>
      <c r="P25" s="100">
        <v>7.0000000000000007E-2</v>
      </c>
      <c r="Q25" s="100">
        <v>10</v>
      </c>
      <c r="R25" s="6"/>
      <c r="S25" s="6"/>
      <c r="T25" s="156"/>
      <c r="U25" s="6"/>
    </row>
    <row r="26" spans="1:21" customFormat="1">
      <c r="A26" s="163" t="s">
        <v>2753</v>
      </c>
      <c r="B26" s="100">
        <v>5.34</v>
      </c>
      <c r="C26" s="100">
        <v>13.25</v>
      </c>
      <c r="D26" s="100">
        <v>11.21</v>
      </c>
      <c r="E26" s="100">
        <v>4.28</v>
      </c>
      <c r="F26" s="100">
        <v>1.69</v>
      </c>
      <c r="G26" s="100">
        <v>2.66</v>
      </c>
      <c r="H26" s="100">
        <v>0.79</v>
      </c>
      <c r="I26" s="100">
        <v>2.59</v>
      </c>
      <c r="J26" s="100">
        <v>0.65</v>
      </c>
      <c r="K26" s="100">
        <v>254.11</v>
      </c>
      <c r="L26" s="100">
        <v>24.59</v>
      </c>
      <c r="M26" s="100">
        <v>96.47</v>
      </c>
      <c r="N26" s="100">
        <v>2.1</v>
      </c>
      <c r="O26" s="100">
        <v>0.2</v>
      </c>
      <c r="P26" s="100">
        <v>0.09</v>
      </c>
      <c r="Q26" s="100">
        <v>10</v>
      </c>
      <c r="R26" s="6"/>
      <c r="S26" s="6"/>
      <c r="T26" s="156"/>
      <c r="U26" s="6"/>
    </row>
    <row r="27" spans="1:21" customFormat="1">
      <c r="A27" s="163" t="s">
        <v>2754</v>
      </c>
      <c r="B27" s="100">
        <v>5.37</v>
      </c>
      <c r="C27" s="100">
        <v>12.82</v>
      </c>
      <c r="D27" s="100">
        <v>11</v>
      </c>
      <c r="E27" s="100">
        <v>4.17</v>
      </c>
      <c r="F27" s="100">
        <v>1.93</v>
      </c>
      <c r="G27" s="100">
        <v>2.66</v>
      </c>
      <c r="H27" s="100">
        <v>0.79</v>
      </c>
      <c r="I27" s="100">
        <v>2.66</v>
      </c>
      <c r="J27" s="100">
        <v>0.56999999999999995</v>
      </c>
      <c r="K27" s="100">
        <v>254.79</v>
      </c>
      <c r="L27" s="100">
        <v>24.55</v>
      </c>
      <c r="M27" s="100">
        <v>96.65</v>
      </c>
      <c r="N27" s="100">
        <v>2.4</v>
      </c>
      <c r="O27" s="100">
        <v>0</v>
      </c>
      <c r="P27" s="100">
        <v>7.0000000000000007E-2</v>
      </c>
      <c r="Q27" s="100">
        <v>10</v>
      </c>
      <c r="R27" s="6"/>
      <c r="S27" s="6"/>
      <c r="T27" s="156"/>
      <c r="U27" s="6"/>
    </row>
    <row r="28" spans="1:21" customFormat="1">
      <c r="A28" s="163" t="s">
        <v>2755</v>
      </c>
      <c r="B28" s="100">
        <v>5.46</v>
      </c>
      <c r="C28" s="100">
        <v>12.97</v>
      </c>
      <c r="D28" s="100">
        <v>11.16</v>
      </c>
      <c r="E28" s="100">
        <v>3.72</v>
      </c>
      <c r="F28" s="100">
        <v>2.4300000000000002</v>
      </c>
      <c r="G28" s="100">
        <v>2.92</v>
      </c>
      <c r="H28" s="100">
        <v>0.82</v>
      </c>
      <c r="I28" s="100">
        <v>2.74</v>
      </c>
      <c r="J28" s="100">
        <v>0.57999999999999996</v>
      </c>
      <c r="K28" s="100">
        <v>275.70999999999998</v>
      </c>
      <c r="L28" s="100">
        <v>24.54</v>
      </c>
      <c r="M28" s="100">
        <v>96.55</v>
      </c>
      <c r="N28" s="100">
        <v>2.4</v>
      </c>
      <c r="O28" s="100">
        <v>0.4</v>
      </c>
      <c r="P28" s="100">
        <v>0.08</v>
      </c>
      <c r="Q28" s="100">
        <v>10</v>
      </c>
      <c r="R28" s="6"/>
      <c r="S28" s="6"/>
      <c r="T28" s="156"/>
      <c r="U28" s="6"/>
    </row>
    <row r="29" spans="1:21" customFormat="1">
      <c r="A29" s="163" t="s">
        <v>2756</v>
      </c>
      <c r="B29" s="100">
        <v>5.81</v>
      </c>
      <c r="C29" s="100">
        <v>13.59</v>
      </c>
      <c r="D29" s="100">
        <v>11.76</v>
      </c>
      <c r="E29" s="100">
        <v>3.94</v>
      </c>
      <c r="F29" s="100">
        <v>1.35</v>
      </c>
      <c r="G29" s="100">
        <v>3.3</v>
      </c>
      <c r="H29" s="100">
        <v>0.91</v>
      </c>
      <c r="I29" s="100">
        <v>2.67</v>
      </c>
      <c r="J29" s="100">
        <v>0.56999999999999995</v>
      </c>
      <c r="K29" s="100">
        <v>252.16</v>
      </c>
      <c r="L29" s="100">
        <v>24.41</v>
      </c>
      <c r="M29" s="100">
        <v>97.27</v>
      </c>
      <c r="N29" s="100">
        <v>2.4</v>
      </c>
      <c r="O29" s="100">
        <v>0.2</v>
      </c>
      <c r="P29" s="100">
        <v>0.09</v>
      </c>
      <c r="Q29" s="100">
        <v>10</v>
      </c>
      <c r="R29" s="6"/>
      <c r="S29" s="6"/>
      <c r="T29" s="156"/>
      <c r="U29" s="6"/>
    </row>
    <row r="30" spans="1:21" customFormat="1">
      <c r="A30" s="163" t="s">
        <v>2757</v>
      </c>
      <c r="B30" s="100">
        <v>5.88</v>
      </c>
      <c r="C30" s="100">
        <v>13.07</v>
      </c>
      <c r="D30" s="100">
        <v>11.55</v>
      </c>
      <c r="E30" s="100">
        <v>4.05</v>
      </c>
      <c r="F30" s="100">
        <v>1.34</v>
      </c>
      <c r="G30" s="100">
        <v>3.3</v>
      </c>
      <c r="H30" s="100">
        <v>0.91</v>
      </c>
      <c r="I30" s="100">
        <v>2.67</v>
      </c>
      <c r="J30" s="100">
        <v>0.69</v>
      </c>
      <c r="K30" s="100">
        <v>252.02</v>
      </c>
      <c r="L30" s="100">
        <v>24.51</v>
      </c>
      <c r="M30" s="100">
        <v>96.4</v>
      </c>
      <c r="N30" s="100">
        <v>2.5</v>
      </c>
      <c r="O30" s="100">
        <v>0</v>
      </c>
      <c r="P30" s="100">
        <v>0.08</v>
      </c>
      <c r="Q30" s="100">
        <v>10</v>
      </c>
      <c r="R30" s="6"/>
      <c r="S30" s="6"/>
      <c r="T30" s="156"/>
      <c r="U30" s="6"/>
    </row>
    <row r="31" spans="1:21" customFormat="1">
      <c r="A31" s="163" t="s">
        <v>2758</v>
      </c>
      <c r="B31" s="100">
        <v>5.91</v>
      </c>
      <c r="C31" s="100">
        <v>13.14</v>
      </c>
      <c r="D31" s="100">
        <v>11.61</v>
      </c>
      <c r="E31" s="100">
        <v>4.04</v>
      </c>
      <c r="F31" s="100">
        <v>2.2799999999999998</v>
      </c>
      <c r="G31" s="100">
        <v>3.3</v>
      </c>
      <c r="H31" s="100">
        <v>0.91</v>
      </c>
      <c r="I31" s="100">
        <v>2.82</v>
      </c>
      <c r="J31" s="100">
        <v>0.56000000000000005</v>
      </c>
      <c r="K31" s="100">
        <v>248.68</v>
      </c>
      <c r="L31" s="100">
        <v>24.51</v>
      </c>
      <c r="M31" s="100">
        <v>96.06</v>
      </c>
      <c r="N31" s="100">
        <v>3.6</v>
      </c>
      <c r="O31" s="100">
        <v>0</v>
      </c>
      <c r="P31" s="100">
        <v>7.0000000000000007E-2</v>
      </c>
      <c r="Q31" s="100">
        <v>10</v>
      </c>
      <c r="R31" s="6"/>
      <c r="S31" s="6"/>
      <c r="T31" s="156"/>
      <c r="U31" s="6"/>
    </row>
    <row r="32" spans="1:21" customFormat="1">
      <c r="A32" s="163" t="s">
        <v>2759</v>
      </c>
      <c r="B32" s="100">
        <v>6.07</v>
      </c>
      <c r="C32" s="100">
        <v>13.49</v>
      </c>
      <c r="D32" s="100">
        <v>11.92</v>
      </c>
      <c r="E32" s="100">
        <v>4.04</v>
      </c>
      <c r="F32" s="100">
        <v>1.72</v>
      </c>
      <c r="G32" s="100">
        <v>4.4400000000000004</v>
      </c>
      <c r="H32" s="100">
        <v>0.91</v>
      </c>
      <c r="I32" s="100">
        <v>2.83</v>
      </c>
      <c r="J32" s="100">
        <v>0.65</v>
      </c>
      <c r="K32" s="100">
        <v>256.77999999999997</v>
      </c>
      <c r="L32" s="100">
        <v>24.58</v>
      </c>
      <c r="M32" s="100">
        <v>95.04</v>
      </c>
      <c r="N32" s="100">
        <v>5</v>
      </c>
      <c r="O32" s="100">
        <v>0</v>
      </c>
      <c r="P32" s="100">
        <v>0.09</v>
      </c>
      <c r="Q32" s="100">
        <v>10</v>
      </c>
      <c r="R32" s="6"/>
      <c r="S32" s="6"/>
      <c r="T32" s="156"/>
      <c r="U32" s="6"/>
    </row>
    <row r="33" spans="1:21" customFormat="1">
      <c r="A33" s="163" t="s">
        <v>2760</v>
      </c>
      <c r="B33" s="100">
        <v>6.04</v>
      </c>
      <c r="C33" s="100">
        <v>13.09</v>
      </c>
      <c r="D33" s="100">
        <v>11.69</v>
      </c>
      <c r="E33" s="100">
        <v>3.78</v>
      </c>
      <c r="F33" s="100">
        <v>1.63</v>
      </c>
      <c r="G33" s="100">
        <v>6.15</v>
      </c>
      <c r="H33" s="100">
        <v>0.9</v>
      </c>
      <c r="I33" s="100">
        <v>2.7</v>
      </c>
      <c r="J33" s="100">
        <v>0.6</v>
      </c>
      <c r="K33" s="100">
        <v>253.25</v>
      </c>
      <c r="L33" s="100">
        <v>24.6</v>
      </c>
      <c r="M33" s="100">
        <v>94.71</v>
      </c>
      <c r="N33" s="100">
        <v>7.2</v>
      </c>
      <c r="O33" s="100">
        <v>0</v>
      </c>
      <c r="P33" s="100">
        <v>7.0000000000000007E-2</v>
      </c>
      <c r="Q33" s="100">
        <v>10</v>
      </c>
      <c r="R33" s="6"/>
      <c r="S33" s="6"/>
      <c r="T33" s="156"/>
      <c r="U33" s="6"/>
    </row>
    <row r="34" spans="1:21" customFormat="1">
      <c r="A34" s="163" t="s">
        <v>2761</v>
      </c>
      <c r="B34" s="100">
        <v>6.14</v>
      </c>
      <c r="C34" s="100">
        <v>13.31</v>
      </c>
      <c r="D34" s="100">
        <v>11.88</v>
      </c>
      <c r="E34" s="100">
        <v>3.87</v>
      </c>
      <c r="F34" s="100">
        <v>2.68</v>
      </c>
      <c r="G34" s="100">
        <v>6.15</v>
      </c>
      <c r="H34" s="100">
        <v>0.9</v>
      </c>
      <c r="I34" s="100">
        <v>2.81</v>
      </c>
      <c r="J34" s="100">
        <v>0.86</v>
      </c>
      <c r="K34" s="100">
        <v>253.58</v>
      </c>
      <c r="L34" s="100">
        <v>24.6</v>
      </c>
      <c r="M34" s="100">
        <v>94.41</v>
      </c>
      <c r="N34" s="100">
        <v>11.3</v>
      </c>
      <c r="O34" s="100">
        <v>0</v>
      </c>
      <c r="P34" s="100">
        <v>0.08</v>
      </c>
      <c r="Q34" s="100">
        <v>10</v>
      </c>
      <c r="R34" s="6"/>
      <c r="S34" s="6"/>
      <c r="T34" s="156"/>
      <c r="U34" s="6"/>
    </row>
    <row r="35" spans="1:21" customFormat="1">
      <c r="A35" s="163" t="s">
        <v>2762</v>
      </c>
      <c r="B35" s="100">
        <v>6.22</v>
      </c>
      <c r="C35" s="100">
        <v>13.59</v>
      </c>
      <c r="D35" s="100">
        <v>12.09</v>
      </c>
      <c r="E35" s="100">
        <v>3.89</v>
      </c>
      <c r="F35" s="100">
        <v>1.65</v>
      </c>
      <c r="G35" s="100">
        <v>6.15</v>
      </c>
      <c r="H35" s="100">
        <v>0.9</v>
      </c>
      <c r="I35" s="100">
        <v>2.89</v>
      </c>
      <c r="J35" s="100">
        <v>0.74</v>
      </c>
      <c r="K35" s="100">
        <v>252.19</v>
      </c>
      <c r="L35" s="100">
        <v>24.61</v>
      </c>
      <c r="M35" s="100">
        <v>94.13</v>
      </c>
      <c r="N35" s="100">
        <v>14.7</v>
      </c>
      <c r="O35" s="100">
        <v>0</v>
      </c>
      <c r="P35" s="100">
        <v>0.09</v>
      </c>
      <c r="Q35" s="100">
        <v>10</v>
      </c>
      <c r="R35" s="6"/>
      <c r="S35" s="6"/>
      <c r="T35" s="156"/>
      <c r="U35" s="6"/>
    </row>
    <row r="36" spans="1:21" customFormat="1">
      <c r="A36" s="163" t="s">
        <v>2763</v>
      </c>
      <c r="B36" s="100">
        <v>6.12</v>
      </c>
      <c r="C36" s="100">
        <v>13.82</v>
      </c>
      <c r="D36" s="100">
        <v>12.13</v>
      </c>
      <c r="E36" s="100">
        <v>3.95</v>
      </c>
      <c r="F36" s="100">
        <v>1.85</v>
      </c>
      <c r="G36" s="100">
        <v>5.49</v>
      </c>
      <c r="H36" s="100">
        <v>0.89</v>
      </c>
      <c r="I36" s="100">
        <v>2.88</v>
      </c>
      <c r="J36" s="100">
        <v>0.79</v>
      </c>
      <c r="K36" s="100">
        <v>254.79</v>
      </c>
      <c r="L36" s="100">
        <v>24.56</v>
      </c>
      <c r="M36" s="100">
        <v>94.84</v>
      </c>
      <c r="N36" s="100">
        <v>15.4</v>
      </c>
      <c r="O36" s="100">
        <v>0</v>
      </c>
      <c r="P36" s="100">
        <v>0.11</v>
      </c>
      <c r="Q36" s="100">
        <v>10</v>
      </c>
      <c r="R36" s="6"/>
      <c r="S36" s="6"/>
      <c r="T36" s="156"/>
      <c r="U36" s="6"/>
    </row>
    <row r="37" spans="1:21" customFormat="1">
      <c r="A37" s="163" t="s">
        <v>2764</v>
      </c>
      <c r="B37" s="100">
        <v>5.98</v>
      </c>
      <c r="C37" s="100">
        <v>14.1</v>
      </c>
      <c r="D37" s="100">
        <v>12.16</v>
      </c>
      <c r="E37" s="100">
        <v>4.08</v>
      </c>
      <c r="F37" s="100">
        <v>1.81</v>
      </c>
      <c r="G37" s="100">
        <v>4.5</v>
      </c>
      <c r="H37" s="100">
        <v>0.88</v>
      </c>
      <c r="I37" s="100">
        <v>2.88</v>
      </c>
      <c r="J37" s="100">
        <v>0.7</v>
      </c>
      <c r="K37" s="100">
        <v>253.77</v>
      </c>
      <c r="L37" s="100">
        <v>24.58</v>
      </c>
      <c r="M37" s="100">
        <v>94.92</v>
      </c>
      <c r="N37" s="100">
        <v>19</v>
      </c>
      <c r="O37" s="100">
        <v>0</v>
      </c>
      <c r="P37" s="100">
        <v>0.12</v>
      </c>
      <c r="Q37" s="100">
        <v>10</v>
      </c>
      <c r="R37" s="6"/>
      <c r="S37" s="6"/>
      <c r="T37" s="156"/>
      <c r="U37" s="6"/>
    </row>
    <row r="38" spans="1:21" customFormat="1">
      <c r="A38" s="163" t="s">
        <v>2765</v>
      </c>
      <c r="B38" s="100">
        <v>5.81</v>
      </c>
      <c r="C38" s="100">
        <v>14.2</v>
      </c>
      <c r="D38" s="100">
        <v>12.08</v>
      </c>
      <c r="E38" s="100">
        <v>3.91</v>
      </c>
      <c r="F38" s="100">
        <v>1.98</v>
      </c>
      <c r="G38" s="100">
        <v>4.5</v>
      </c>
      <c r="H38" s="100">
        <v>0.88</v>
      </c>
      <c r="I38" s="100">
        <v>2.74</v>
      </c>
      <c r="J38" s="100">
        <v>0.87</v>
      </c>
      <c r="K38" s="100">
        <v>255.93</v>
      </c>
      <c r="L38" s="100">
        <v>24.51</v>
      </c>
      <c r="M38" s="100">
        <v>95.56</v>
      </c>
      <c r="N38" s="100">
        <v>24.7</v>
      </c>
      <c r="O38" s="100">
        <v>0.2</v>
      </c>
      <c r="P38" s="100">
        <v>0.12</v>
      </c>
      <c r="Q38" s="100">
        <v>10</v>
      </c>
      <c r="R38" s="6"/>
      <c r="S38" s="6"/>
      <c r="T38" s="156"/>
      <c r="U38" s="6"/>
    </row>
    <row r="39" spans="1:21" customFormat="1">
      <c r="A39" s="163" t="s">
        <v>2766</v>
      </c>
      <c r="B39" s="100">
        <v>5.67</v>
      </c>
      <c r="C39" s="100">
        <v>14.28</v>
      </c>
      <c r="D39" s="100">
        <v>12.01</v>
      </c>
      <c r="E39" s="100">
        <v>4.0599999999999996</v>
      </c>
      <c r="F39" s="100">
        <v>2.04</v>
      </c>
      <c r="G39" s="100">
        <v>4.5</v>
      </c>
      <c r="H39" s="100">
        <v>0.88</v>
      </c>
      <c r="I39" s="100">
        <v>2.71</v>
      </c>
      <c r="J39" s="100">
        <v>0.74</v>
      </c>
      <c r="K39" s="100">
        <v>252.92</v>
      </c>
      <c r="L39" s="100">
        <v>24.52</v>
      </c>
      <c r="M39" s="100">
        <v>96.06</v>
      </c>
      <c r="N39" s="100">
        <v>49.8</v>
      </c>
      <c r="O39" s="100">
        <v>0</v>
      </c>
      <c r="P39" s="100">
        <v>0.13</v>
      </c>
      <c r="Q39" s="100">
        <v>10</v>
      </c>
      <c r="R39" s="6"/>
      <c r="S39" s="6"/>
      <c r="T39" s="156"/>
      <c r="U39" s="6"/>
    </row>
    <row r="40" spans="1:21" customFormat="1">
      <c r="A40" s="163" t="s">
        <v>2767</v>
      </c>
      <c r="B40" s="100">
        <v>5.54</v>
      </c>
      <c r="C40" s="100">
        <v>14.3</v>
      </c>
      <c r="D40" s="100">
        <v>11.91</v>
      </c>
      <c r="E40" s="100">
        <v>4.32</v>
      </c>
      <c r="F40" s="100">
        <v>1.54</v>
      </c>
      <c r="G40" s="100">
        <v>4.09</v>
      </c>
      <c r="H40" s="100">
        <v>0.99</v>
      </c>
      <c r="I40" s="100">
        <v>2.73</v>
      </c>
      <c r="J40" s="100">
        <v>0.71</v>
      </c>
      <c r="K40" s="100">
        <v>251.22</v>
      </c>
      <c r="L40" s="100">
        <v>24.73</v>
      </c>
      <c r="M40" s="100">
        <v>95.8</v>
      </c>
      <c r="N40" s="100">
        <v>59.9</v>
      </c>
      <c r="O40" s="100">
        <v>0</v>
      </c>
      <c r="P40" s="100">
        <v>0.13</v>
      </c>
      <c r="Q40" s="100">
        <v>10</v>
      </c>
      <c r="R40" s="6"/>
      <c r="S40" s="6"/>
      <c r="T40" s="156"/>
      <c r="U40" s="6"/>
    </row>
    <row r="41" spans="1:21" customFormat="1">
      <c r="A41" s="163" t="s">
        <v>2768</v>
      </c>
      <c r="B41" s="100">
        <v>5.42</v>
      </c>
      <c r="C41" s="100">
        <v>14.35</v>
      </c>
      <c r="D41" s="100">
        <v>11.84</v>
      </c>
      <c r="E41" s="100">
        <v>4.12</v>
      </c>
      <c r="F41" s="100">
        <v>1.81</v>
      </c>
      <c r="G41" s="100">
        <v>3.49</v>
      </c>
      <c r="H41" s="100">
        <v>1.08</v>
      </c>
      <c r="I41" s="100">
        <v>2.73</v>
      </c>
      <c r="J41" s="100">
        <v>0.9</v>
      </c>
      <c r="K41" s="100">
        <v>252.9</v>
      </c>
      <c r="L41" s="100">
        <v>24.94</v>
      </c>
      <c r="M41" s="100">
        <v>94.52</v>
      </c>
      <c r="N41" s="100">
        <v>90.2</v>
      </c>
      <c r="O41" s="100">
        <v>0</v>
      </c>
      <c r="P41" s="100">
        <v>0.13</v>
      </c>
      <c r="Q41" s="100">
        <v>10</v>
      </c>
      <c r="R41" s="6"/>
      <c r="S41" s="6"/>
      <c r="T41" s="156"/>
      <c r="U41" s="6"/>
    </row>
    <row r="42" spans="1:21" customFormat="1">
      <c r="A42" s="163" t="s">
        <v>2769</v>
      </c>
      <c r="B42" s="100">
        <v>5.3</v>
      </c>
      <c r="C42" s="100">
        <v>14.33</v>
      </c>
      <c r="D42" s="100">
        <v>11.74</v>
      </c>
      <c r="E42" s="100">
        <v>4.41</v>
      </c>
      <c r="F42" s="100">
        <v>1.8</v>
      </c>
      <c r="G42" s="100">
        <v>3.49</v>
      </c>
      <c r="H42" s="100">
        <v>1.08</v>
      </c>
      <c r="I42" s="100">
        <v>2.69</v>
      </c>
      <c r="J42" s="100">
        <v>0.91</v>
      </c>
      <c r="K42" s="100">
        <v>251.65</v>
      </c>
      <c r="L42" s="100">
        <v>25.17</v>
      </c>
      <c r="M42" s="100">
        <v>92.5</v>
      </c>
      <c r="N42" s="100">
        <v>96.7</v>
      </c>
      <c r="O42" s="100">
        <v>0</v>
      </c>
      <c r="P42" s="100">
        <v>0.13</v>
      </c>
      <c r="Q42" s="100">
        <v>10</v>
      </c>
      <c r="R42" s="6"/>
      <c r="S42" s="6"/>
      <c r="T42" s="156"/>
      <c r="U42" s="6"/>
    </row>
    <row r="43" spans="1:21" customFormat="1">
      <c r="A43" s="163" t="s">
        <v>2770</v>
      </c>
      <c r="B43" s="100">
        <v>5.15</v>
      </c>
      <c r="C43" s="100">
        <v>14.22</v>
      </c>
      <c r="D43" s="100">
        <v>11.56</v>
      </c>
      <c r="E43" s="100">
        <v>4.58</v>
      </c>
      <c r="F43" s="100">
        <v>2.06</v>
      </c>
      <c r="G43" s="100">
        <v>3.49</v>
      </c>
      <c r="H43" s="100">
        <v>1.08</v>
      </c>
      <c r="I43" s="100">
        <v>2.65</v>
      </c>
      <c r="J43" s="100">
        <v>0.84</v>
      </c>
      <c r="K43" s="100">
        <v>253.78</v>
      </c>
      <c r="L43" s="100">
        <v>25.26</v>
      </c>
      <c r="M43" s="100">
        <v>91.45</v>
      </c>
      <c r="N43" s="100">
        <v>72.3</v>
      </c>
      <c r="O43" s="100">
        <v>0</v>
      </c>
      <c r="P43" s="100">
        <v>0.13</v>
      </c>
      <c r="Q43" s="100">
        <v>10</v>
      </c>
      <c r="R43" s="6"/>
      <c r="S43" s="6"/>
      <c r="T43" s="156"/>
      <c r="U43" s="6"/>
    </row>
    <row r="44" spans="1:21" customFormat="1">
      <c r="A44" s="163" t="s">
        <v>2771</v>
      </c>
      <c r="B44" s="100">
        <v>5.0199999999999996</v>
      </c>
      <c r="C44" s="100">
        <v>14.12</v>
      </c>
      <c r="D44" s="100">
        <v>11.4</v>
      </c>
      <c r="E44" s="100">
        <v>4.4400000000000004</v>
      </c>
      <c r="F44" s="100">
        <v>1.94</v>
      </c>
      <c r="G44" s="100">
        <v>3.43</v>
      </c>
      <c r="H44" s="100">
        <v>1.08</v>
      </c>
      <c r="I44" s="100">
        <v>2.68</v>
      </c>
      <c r="J44" s="100">
        <v>1.02</v>
      </c>
      <c r="K44" s="100">
        <v>253.31</v>
      </c>
      <c r="L44" s="100">
        <v>25.19</v>
      </c>
      <c r="M44" s="100">
        <v>90.72</v>
      </c>
      <c r="N44" s="100">
        <v>65.2</v>
      </c>
      <c r="O44" s="100">
        <v>0</v>
      </c>
      <c r="P44" s="100">
        <v>0.13</v>
      </c>
      <c r="Q44" s="100">
        <v>10</v>
      </c>
      <c r="R44" s="6"/>
      <c r="S44" s="6"/>
      <c r="T44" s="156"/>
      <c r="U44" s="6"/>
    </row>
    <row r="45" spans="1:21" customFormat="1">
      <c r="A45" s="163" t="s">
        <v>2772</v>
      </c>
      <c r="B45" s="100">
        <v>4.92</v>
      </c>
      <c r="C45" s="100">
        <v>14.12</v>
      </c>
      <c r="D45" s="100">
        <v>11.32</v>
      </c>
      <c r="E45" s="100">
        <v>4.5199999999999996</v>
      </c>
      <c r="F45" s="100">
        <v>2.2400000000000002</v>
      </c>
      <c r="G45" s="100">
        <v>3.35</v>
      </c>
      <c r="H45" s="100">
        <v>1.08</v>
      </c>
      <c r="I45" s="100">
        <v>2.67</v>
      </c>
      <c r="J45" s="100">
        <v>0.84</v>
      </c>
      <c r="K45" s="100">
        <v>252.92</v>
      </c>
      <c r="L45" s="100">
        <v>25.26</v>
      </c>
      <c r="M45" s="100">
        <v>90.52</v>
      </c>
      <c r="N45" s="100">
        <v>59.1</v>
      </c>
      <c r="O45" s="100">
        <v>0</v>
      </c>
      <c r="P45" s="100">
        <v>0.12</v>
      </c>
      <c r="Q45" s="100">
        <v>10</v>
      </c>
      <c r="R45" s="6"/>
      <c r="S45" s="6"/>
      <c r="T45" s="156"/>
      <c r="U45" s="6"/>
    </row>
    <row r="46" spans="1:21" customFormat="1">
      <c r="A46" s="163" t="s">
        <v>2773</v>
      </c>
      <c r="B46" s="100">
        <v>4.83</v>
      </c>
      <c r="C46" s="100">
        <v>14.02</v>
      </c>
      <c r="D46" s="100">
        <v>11.2</v>
      </c>
      <c r="E46" s="100">
        <v>4.4400000000000004</v>
      </c>
      <c r="F46" s="100">
        <v>1.77</v>
      </c>
      <c r="G46" s="100">
        <v>3.35</v>
      </c>
      <c r="H46" s="100">
        <v>1.08</v>
      </c>
      <c r="I46" s="100">
        <v>2.68</v>
      </c>
      <c r="J46" s="100">
        <v>0.75</v>
      </c>
      <c r="K46" s="100">
        <v>251.91</v>
      </c>
      <c r="L46" s="100">
        <v>25.38</v>
      </c>
      <c r="M46" s="100">
        <v>89.87</v>
      </c>
      <c r="N46" s="100">
        <v>67.5</v>
      </c>
      <c r="O46" s="100">
        <v>0</v>
      </c>
      <c r="P46" s="100">
        <v>0.12</v>
      </c>
      <c r="Q46" s="100">
        <v>10</v>
      </c>
      <c r="R46" s="6"/>
      <c r="S46" s="6"/>
      <c r="T46" s="156"/>
      <c r="U46" s="6"/>
    </row>
    <row r="47" spans="1:21" customFormat="1">
      <c r="A47" s="163" t="s">
        <v>2774</v>
      </c>
      <c r="B47" s="100">
        <v>4.74</v>
      </c>
      <c r="C47" s="100">
        <v>13.89</v>
      </c>
      <c r="D47" s="100">
        <v>11.06</v>
      </c>
      <c r="E47" s="100">
        <v>4.5999999999999996</v>
      </c>
      <c r="F47" s="100">
        <v>1.86</v>
      </c>
      <c r="G47" s="100">
        <v>3.35</v>
      </c>
      <c r="H47" s="100">
        <v>1.08</v>
      </c>
      <c r="I47" s="100">
        <v>2.68</v>
      </c>
      <c r="J47" s="100">
        <v>0.87</v>
      </c>
      <c r="K47" s="100">
        <v>254.58</v>
      </c>
      <c r="L47" s="100">
        <v>25.47</v>
      </c>
      <c r="M47" s="100">
        <v>88.93</v>
      </c>
      <c r="N47" s="100">
        <v>84.3</v>
      </c>
      <c r="O47" s="100">
        <v>0</v>
      </c>
      <c r="P47" s="100">
        <v>0.13</v>
      </c>
      <c r="Q47" s="100">
        <v>10</v>
      </c>
      <c r="R47" s="6"/>
      <c r="S47" s="6"/>
      <c r="T47" s="156"/>
      <c r="U47" s="6"/>
    </row>
    <row r="48" spans="1:21" customFormat="1">
      <c r="A48" s="163" t="s">
        <v>2775</v>
      </c>
      <c r="B48" s="100">
        <v>4.66</v>
      </c>
      <c r="C48" s="100">
        <v>13.74</v>
      </c>
      <c r="D48" s="100">
        <v>10.92</v>
      </c>
      <c r="E48" s="100">
        <v>4.8</v>
      </c>
      <c r="F48" s="100">
        <v>1.97</v>
      </c>
      <c r="G48" s="100">
        <v>3.71</v>
      </c>
      <c r="H48" s="100">
        <v>1.06</v>
      </c>
      <c r="I48" s="100">
        <v>2.68</v>
      </c>
      <c r="J48" s="100">
        <v>0.64</v>
      </c>
      <c r="K48" s="100">
        <v>251.98</v>
      </c>
      <c r="L48" s="100">
        <v>25.7</v>
      </c>
      <c r="M48" s="100">
        <v>88.55</v>
      </c>
      <c r="N48" s="100">
        <v>107.2</v>
      </c>
      <c r="O48" s="100">
        <v>0</v>
      </c>
      <c r="P48" s="100">
        <v>0.13</v>
      </c>
      <c r="Q48" s="100">
        <v>10</v>
      </c>
      <c r="R48" s="6"/>
      <c r="S48" s="6"/>
      <c r="T48" s="156"/>
      <c r="U48" s="6"/>
    </row>
    <row r="49" spans="1:21" customFormat="1">
      <c r="A49" s="163" t="s">
        <v>2776</v>
      </c>
      <c r="B49" s="100">
        <v>4.6100000000000003</v>
      </c>
      <c r="C49" s="100">
        <v>13.67</v>
      </c>
      <c r="D49" s="100">
        <v>10.83</v>
      </c>
      <c r="E49" s="100">
        <v>4.0999999999999996</v>
      </c>
      <c r="F49" s="100">
        <v>1.59</v>
      </c>
      <c r="G49" s="100">
        <v>4.26</v>
      </c>
      <c r="H49" s="100">
        <v>1.05</v>
      </c>
      <c r="I49" s="100">
        <v>2.68</v>
      </c>
      <c r="J49" s="100">
        <v>0.83</v>
      </c>
      <c r="K49" s="100">
        <v>252.05</v>
      </c>
      <c r="L49" s="100">
        <v>26.15</v>
      </c>
      <c r="M49" s="100">
        <v>86.33</v>
      </c>
      <c r="N49" s="100">
        <v>148.19999999999999</v>
      </c>
      <c r="O49" s="100">
        <v>0</v>
      </c>
      <c r="P49" s="100">
        <v>0.13</v>
      </c>
      <c r="Q49" s="100">
        <v>10</v>
      </c>
      <c r="R49" s="6"/>
      <c r="S49" s="6"/>
      <c r="T49" s="156"/>
      <c r="U49" s="6"/>
    </row>
    <row r="50" spans="1:21" customFormat="1">
      <c r="A50" s="163" t="s">
        <v>2777</v>
      </c>
      <c r="B50" s="100">
        <v>4.4800000000000004</v>
      </c>
      <c r="C50" s="100">
        <v>13.6</v>
      </c>
      <c r="D50" s="100">
        <v>10.69</v>
      </c>
      <c r="E50" s="100">
        <v>5.05</v>
      </c>
      <c r="F50" s="100">
        <v>2.19</v>
      </c>
      <c r="G50" s="100">
        <v>4.26</v>
      </c>
      <c r="H50" s="100">
        <v>1.05</v>
      </c>
      <c r="I50" s="100">
        <v>2.67</v>
      </c>
      <c r="J50" s="100">
        <v>1.0900000000000001</v>
      </c>
      <c r="K50" s="100">
        <v>255.21</v>
      </c>
      <c r="L50" s="100">
        <v>26.23</v>
      </c>
      <c r="M50" s="100">
        <v>85.17</v>
      </c>
      <c r="N50" s="100">
        <v>110.5</v>
      </c>
      <c r="O50" s="100">
        <v>0</v>
      </c>
      <c r="P50" s="100">
        <v>0.13</v>
      </c>
      <c r="Q50" s="100">
        <v>10</v>
      </c>
      <c r="R50" s="6"/>
      <c r="S50" s="6"/>
      <c r="T50" s="156"/>
      <c r="U50" s="6"/>
    </row>
    <row r="51" spans="1:21" customFormat="1">
      <c r="A51" s="163" t="s">
        <v>2778</v>
      </c>
      <c r="B51" s="100">
        <v>4.3</v>
      </c>
      <c r="C51" s="100">
        <v>13.5</v>
      </c>
      <c r="D51" s="100">
        <v>10.5</v>
      </c>
      <c r="E51" s="100">
        <v>5</v>
      </c>
      <c r="F51" s="100">
        <v>2.17</v>
      </c>
      <c r="G51" s="100">
        <v>4.26</v>
      </c>
      <c r="H51" s="100">
        <v>1.05</v>
      </c>
      <c r="I51" s="100">
        <v>2.64</v>
      </c>
      <c r="J51" s="100">
        <v>1.04</v>
      </c>
      <c r="K51" s="100">
        <v>253.57</v>
      </c>
      <c r="L51" s="100">
        <v>26.28</v>
      </c>
      <c r="M51" s="100">
        <v>84.38</v>
      </c>
      <c r="N51" s="100">
        <v>130.4</v>
      </c>
      <c r="O51" s="100">
        <v>0</v>
      </c>
      <c r="P51" s="100">
        <v>0.13</v>
      </c>
      <c r="Q51" s="100">
        <v>10</v>
      </c>
      <c r="R51" s="6"/>
      <c r="S51" s="6"/>
      <c r="T51" s="156"/>
      <c r="U51" s="6"/>
    </row>
    <row r="52" spans="1:21" customFormat="1">
      <c r="A52" s="163" t="s">
        <v>2779</v>
      </c>
      <c r="B52" s="100">
        <v>4.16</v>
      </c>
      <c r="C52" s="100">
        <v>13.55</v>
      </c>
      <c r="D52" s="100">
        <v>10.41</v>
      </c>
      <c r="E52" s="100">
        <v>4.9800000000000004</v>
      </c>
      <c r="F52" s="100">
        <v>1.87</v>
      </c>
      <c r="G52" s="100">
        <v>4.4000000000000004</v>
      </c>
      <c r="H52" s="100">
        <v>1.24</v>
      </c>
      <c r="I52" s="100">
        <v>2.6</v>
      </c>
      <c r="J52" s="100">
        <v>0.88</v>
      </c>
      <c r="K52" s="100">
        <v>253.99</v>
      </c>
      <c r="L52" s="100">
        <v>26.52</v>
      </c>
      <c r="M52" s="100">
        <v>84.07</v>
      </c>
      <c r="N52" s="100">
        <v>146</v>
      </c>
      <c r="O52" s="100">
        <v>0</v>
      </c>
      <c r="P52" s="100">
        <v>0.12</v>
      </c>
      <c r="Q52" s="100">
        <v>10</v>
      </c>
      <c r="R52" s="6"/>
      <c r="S52" s="6"/>
      <c r="T52" s="156"/>
      <c r="U52" s="6"/>
    </row>
    <row r="53" spans="1:21" customFormat="1">
      <c r="A53" s="163" t="s">
        <v>2780</v>
      </c>
      <c r="B53" s="100">
        <v>4.0599999999999996</v>
      </c>
      <c r="C53" s="100">
        <v>13.48</v>
      </c>
      <c r="D53" s="100">
        <v>10.3</v>
      </c>
      <c r="E53" s="100">
        <v>4.83</v>
      </c>
      <c r="F53" s="100">
        <v>1.73</v>
      </c>
      <c r="G53" s="100">
        <v>4.6100000000000003</v>
      </c>
      <c r="H53" s="100">
        <v>1.4</v>
      </c>
      <c r="I53" s="100">
        <v>2.52</v>
      </c>
      <c r="J53" s="100">
        <v>1.08</v>
      </c>
      <c r="K53" s="100">
        <v>253.43</v>
      </c>
      <c r="L53" s="100">
        <v>26.57</v>
      </c>
      <c r="M53" s="100">
        <v>83.51</v>
      </c>
      <c r="N53" s="100">
        <v>132.19999999999999</v>
      </c>
      <c r="O53" s="100">
        <v>0</v>
      </c>
      <c r="P53" s="100">
        <v>0.12</v>
      </c>
      <c r="Q53" s="100">
        <v>10</v>
      </c>
      <c r="R53" s="6"/>
      <c r="S53" s="6"/>
      <c r="T53" s="156"/>
      <c r="U53" s="6"/>
    </row>
    <row r="54" spans="1:21" customFormat="1">
      <c r="A54" s="163" t="s">
        <v>2781</v>
      </c>
      <c r="B54" s="100">
        <v>3.95</v>
      </c>
      <c r="C54" s="100">
        <v>13.44</v>
      </c>
      <c r="D54" s="100">
        <v>10.19</v>
      </c>
      <c r="E54" s="100">
        <v>4.84</v>
      </c>
      <c r="F54" s="100">
        <v>1.94</v>
      </c>
      <c r="G54" s="100">
        <v>4.6100000000000003</v>
      </c>
      <c r="H54" s="100">
        <v>1.4</v>
      </c>
      <c r="I54" s="100">
        <v>2.4900000000000002</v>
      </c>
      <c r="J54" s="100">
        <v>1.03</v>
      </c>
      <c r="K54" s="100">
        <v>253.5</v>
      </c>
      <c r="L54" s="100">
        <v>26.76</v>
      </c>
      <c r="M54" s="100">
        <v>83.15</v>
      </c>
      <c r="N54" s="100">
        <v>206.2</v>
      </c>
      <c r="O54" s="100">
        <v>0</v>
      </c>
      <c r="P54" s="100">
        <v>0.12</v>
      </c>
      <c r="Q54" s="100">
        <v>10</v>
      </c>
      <c r="R54" s="6"/>
      <c r="S54" s="6"/>
      <c r="T54" s="156"/>
      <c r="U54" s="6"/>
    </row>
    <row r="55" spans="1:21" customFormat="1">
      <c r="A55" s="163" t="s">
        <v>2782</v>
      </c>
      <c r="B55" s="100">
        <v>3.87</v>
      </c>
      <c r="C55" s="100">
        <v>13.37</v>
      </c>
      <c r="D55" s="100">
        <v>10.09</v>
      </c>
      <c r="E55" s="100">
        <v>4.82</v>
      </c>
      <c r="F55" s="100">
        <v>1.6</v>
      </c>
      <c r="G55" s="100">
        <v>4.6100000000000003</v>
      </c>
      <c r="H55" s="100">
        <v>1.4</v>
      </c>
      <c r="I55" s="100">
        <v>2.5499999999999998</v>
      </c>
      <c r="J55" s="100">
        <v>0.97</v>
      </c>
      <c r="K55" s="100">
        <v>256.43</v>
      </c>
      <c r="L55" s="100">
        <v>27.08</v>
      </c>
      <c r="M55" s="100">
        <v>82.23</v>
      </c>
      <c r="N55" s="100">
        <v>183</v>
      </c>
      <c r="O55" s="100">
        <v>0</v>
      </c>
      <c r="P55" s="100">
        <v>0.13</v>
      </c>
      <c r="Q55" s="100">
        <v>10</v>
      </c>
      <c r="R55" s="6"/>
      <c r="S55" s="6"/>
      <c r="T55" s="156"/>
      <c r="U55" s="6"/>
    </row>
    <row r="56" spans="1:21" customFormat="1">
      <c r="A56" s="163" t="s">
        <v>2783</v>
      </c>
      <c r="B56" s="100">
        <v>3.8</v>
      </c>
      <c r="C56" s="100">
        <v>13.13</v>
      </c>
      <c r="D56" s="100">
        <v>9.91</v>
      </c>
      <c r="E56" s="100">
        <v>5.07</v>
      </c>
      <c r="F56" s="100">
        <v>1.47</v>
      </c>
      <c r="G56" s="100">
        <v>7.01</v>
      </c>
      <c r="H56" s="100">
        <v>1.95</v>
      </c>
      <c r="I56" s="100">
        <v>2.57</v>
      </c>
      <c r="J56" s="100">
        <v>0.79</v>
      </c>
      <c r="K56" s="100">
        <v>253.46</v>
      </c>
      <c r="L56" s="100">
        <v>26.93</v>
      </c>
      <c r="M56" s="100">
        <v>83.17</v>
      </c>
      <c r="N56" s="100">
        <v>126.7</v>
      </c>
      <c r="O56" s="100">
        <v>0</v>
      </c>
      <c r="P56" s="100">
        <v>0.11</v>
      </c>
      <c r="Q56" s="100">
        <v>10</v>
      </c>
      <c r="R56" s="6"/>
      <c r="S56" s="6"/>
      <c r="T56" s="156"/>
      <c r="U56" s="6"/>
    </row>
    <row r="57" spans="1:21" customFormat="1">
      <c r="A57" s="163" t="s">
        <v>2784</v>
      </c>
      <c r="B57" s="100">
        <v>3.82</v>
      </c>
      <c r="C57" s="100">
        <v>12.92</v>
      </c>
      <c r="D57" s="100">
        <v>9.81</v>
      </c>
      <c r="E57" s="100">
        <v>4.55</v>
      </c>
      <c r="F57" s="100">
        <v>2.66</v>
      </c>
      <c r="G57" s="100">
        <v>10.6</v>
      </c>
      <c r="H57" s="100">
        <v>2.44</v>
      </c>
      <c r="I57" s="100">
        <v>2.54</v>
      </c>
      <c r="J57" s="100">
        <v>0.68</v>
      </c>
      <c r="K57" s="100">
        <v>259.51</v>
      </c>
      <c r="L57" s="100">
        <v>27.01</v>
      </c>
      <c r="M57" s="100">
        <v>83.75</v>
      </c>
      <c r="N57" s="100">
        <v>178.5</v>
      </c>
      <c r="O57" s="100">
        <v>0</v>
      </c>
      <c r="P57" s="100">
        <v>0.08</v>
      </c>
      <c r="Q57" s="100">
        <v>10</v>
      </c>
      <c r="R57" s="6"/>
      <c r="S57" s="6"/>
      <c r="T57" s="156"/>
      <c r="U57" s="6"/>
    </row>
    <row r="58" spans="1:21" customFormat="1">
      <c r="A58" s="163" t="s">
        <v>2785</v>
      </c>
      <c r="B58" s="100">
        <v>3.88</v>
      </c>
      <c r="C58" s="100">
        <v>12.96</v>
      </c>
      <c r="D58" s="100">
        <v>9.8800000000000008</v>
      </c>
      <c r="E58" s="100">
        <v>4.1399999999999997</v>
      </c>
      <c r="F58" s="100">
        <v>3.16</v>
      </c>
      <c r="G58" s="100">
        <v>10.6</v>
      </c>
      <c r="H58" s="100">
        <v>2.44</v>
      </c>
      <c r="I58" s="100">
        <v>2.54</v>
      </c>
      <c r="J58" s="100">
        <v>0.93</v>
      </c>
      <c r="K58" s="100">
        <v>253.77</v>
      </c>
      <c r="L58" s="100">
        <v>27.57</v>
      </c>
      <c r="M58" s="100">
        <v>81.14</v>
      </c>
      <c r="N58" s="100">
        <v>223.7</v>
      </c>
      <c r="O58" s="100">
        <v>0</v>
      </c>
      <c r="P58" s="100">
        <v>7.0000000000000007E-2</v>
      </c>
      <c r="Q58" s="100">
        <v>10</v>
      </c>
      <c r="R58" s="6"/>
      <c r="S58" s="6"/>
      <c r="T58" s="156"/>
      <c r="U58" s="6"/>
    </row>
    <row r="59" spans="1:21" customFormat="1">
      <c r="A59" s="163" t="s">
        <v>2786</v>
      </c>
      <c r="B59" s="100">
        <v>3.94</v>
      </c>
      <c r="C59" s="100">
        <v>13.13</v>
      </c>
      <c r="D59" s="100">
        <v>10.02</v>
      </c>
      <c r="E59" s="100">
        <v>3.74</v>
      </c>
      <c r="F59" s="100">
        <v>2.88</v>
      </c>
      <c r="G59" s="100">
        <v>10.6</v>
      </c>
      <c r="H59" s="100">
        <v>2.44</v>
      </c>
      <c r="I59" s="100">
        <v>2.56</v>
      </c>
      <c r="J59" s="100">
        <v>0.93</v>
      </c>
      <c r="K59" s="100">
        <v>251</v>
      </c>
      <c r="L59" s="100">
        <v>27.65</v>
      </c>
      <c r="M59" s="100">
        <v>80.23</v>
      </c>
      <c r="N59" s="100">
        <v>208.2</v>
      </c>
      <c r="O59" s="100">
        <v>0</v>
      </c>
      <c r="P59" s="100">
        <v>0.06</v>
      </c>
      <c r="Q59" s="100">
        <v>10</v>
      </c>
      <c r="R59" s="6"/>
      <c r="S59" s="6"/>
      <c r="T59" s="156"/>
      <c r="U59" s="6"/>
    </row>
    <row r="60" spans="1:21" customFormat="1">
      <c r="A60" s="163" t="s">
        <v>2787</v>
      </c>
      <c r="B60" s="100">
        <v>4.05</v>
      </c>
      <c r="C60" s="100">
        <v>13.3</v>
      </c>
      <c r="D60" s="100">
        <v>10.199999999999999</v>
      </c>
      <c r="E60" s="100">
        <v>3.9</v>
      </c>
      <c r="F60" s="100">
        <v>3.36</v>
      </c>
      <c r="G60" s="100">
        <v>9.69</v>
      </c>
      <c r="H60" s="100">
        <v>2.38</v>
      </c>
      <c r="I60" s="100">
        <v>2.61</v>
      </c>
      <c r="J60" s="100">
        <v>1.1399999999999999</v>
      </c>
      <c r="K60" s="100">
        <v>252.33</v>
      </c>
      <c r="L60" s="100">
        <v>27.55</v>
      </c>
      <c r="M60" s="100">
        <v>79.44</v>
      </c>
      <c r="N60" s="100">
        <v>261.10000000000002</v>
      </c>
      <c r="O60" s="100">
        <v>0</v>
      </c>
      <c r="P60" s="100">
        <v>0.08</v>
      </c>
      <c r="Q60" s="100">
        <v>10</v>
      </c>
      <c r="R60" s="6"/>
      <c r="S60" s="6"/>
      <c r="T60" s="156"/>
      <c r="U60" s="6"/>
    </row>
    <row r="61" spans="1:21" customFormat="1">
      <c r="A61" s="163" t="s">
        <v>2788</v>
      </c>
      <c r="B61" s="100">
        <v>4.18</v>
      </c>
      <c r="C61" s="100">
        <v>13.39</v>
      </c>
      <c r="D61" s="100">
        <v>10.34</v>
      </c>
      <c r="E61" s="100">
        <v>3.86</v>
      </c>
      <c r="F61" s="100">
        <v>2.73</v>
      </c>
      <c r="G61" s="100">
        <v>8.33</v>
      </c>
      <c r="H61" s="100">
        <v>2.2200000000000002</v>
      </c>
      <c r="I61" s="100">
        <v>2.62</v>
      </c>
      <c r="J61" s="100">
        <v>1.42</v>
      </c>
      <c r="K61" s="100">
        <v>252.96</v>
      </c>
      <c r="L61" s="100">
        <v>27.86</v>
      </c>
      <c r="M61" s="100">
        <v>78.14</v>
      </c>
      <c r="N61" s="100">
        <v>383.1</v>
      </c>
      <c r="O61" s="100">
        <v>0</v>
      </c>
      <c r="P61" s="100">
        <v>0.09</v>
      </c>
      <c r="Q61" s="100">
        <v>10</v>
      </c>
      <c r="R61" s="6"/>
      <c r="S61" s="6"/>
      <c r="T61" s="156"/>
      <c r="U61" s="6"/>
    </row>
    <row r="62" spans="1:21" customFormat="1">
      <c r="A62" s="163" t="s">
        <v>2789</v>
      </c>
      <c r="B62" s="100">
        <v>4.05</v>
      </c>
      <c r="C62" s="100">
        <v>12.91</v>
      </c>
      <c r="D62" s="100">
        <v>10</v>
      </c>
      <c r="E62" s="100">
        <v>3.88</v>
      </c>
      <c r="F62" s="100">
        <v>2.5099999999999998</v>
      </c>
      <c r="G62" s="100">
        <v>8.33</v>
      </c>
      <c r="H62" s="100">
        <v>2.2200000000000002</v>
      </c>
      <c r="I62" s="100">
        <v>2.6</v>
      </c>
      <c r="J62" s="100">
        <v>0.96</v>
      </c>
      <c r="K62" s="100">
        <v>254.06</v>
      </c>
      <c r="L62" s="100">
        <v>28.08</v>
      </c>
      <c r="M62" s="100">
        <v>78.28</v>
      </c>
      <c r="N62" s="100">
        <v>276.3</v>
      </c>
      <c r="O62" s="100">
        <v>0</v>
      </c>
      <c r="P62" s="100">
        <v>0.08</v>
      </c>
      <c r="Q62" s="100">
        <v>10</v>
      </c>
      <c r="R62" s="6"/>
      <c r="S62" s="6"/>
      <c r="T62" s="156"/>
      <c r="U62" s="6"/>
    </row>
    <row r="63" spans="1:21" customFormat="1">
      <c r="A63" s="163" t="s">
        <v>2790</v>
      </c>
      <c r="B63" s="100">
        <v>3.93</v>
      </c>
      <c r="C63" s="100">
        <v>12.79</v>
      </c>
      <c r="D63" s="100">
        <v>9.84</v>
      </c>
      <c r="E63" s="100">
        <v>3.51</v>
      </c>
      <c r="F63" s="100">
        <v>3.46</v>
      </c>
      <c r="G63" s="100">
        <v>8.33</v>
      </c>
      <c r="H63" s="100">
        <v>2.2200000000000002</v>
      </c>
      <c r="I63" s="100">
        <v>2.68</v>
      </c>
      <c r="J63" s="100">
        <v>0.68</v>
      </c>
      <c r="K63" s="100">
        <v>257.45</v>
      </c>
      <c r="L63" s="100">
        <v>28.01</v>
      </c>
      <c r="M63" s="100">
        <v>79.97</v>
      </c>
      <c r="N63" s="100">
        <v>202.8</v>
      </c>
      <c r="O63" s="100">
        <v>0</v>
      </c>
      <c r="P63" s="100">
        <v>0.08</v>
      </c>
      <c r="Q63" s="100">
        <v>10</v>
      </c>
      <c r="R63" s="6"/>
      <c r="S63" s="6"/>
      <c r="T63" s="156"/>
      <c r="U63" s="6"/>
    </row>
    <row r="64" spans="1:21" customFormat="1">
      <c r="A64" s="163" t="s">
        <v>2791</v>
      </c>
      <c r="B64" s="100">
        <v>3.92</v>
      </c>
      <c r="C64" s="100">
        <v>13</v>
      </c>
      <c r="D64" s="100">
        <v>9.94</v>
      </c>
      <c r="E64" s="100">
        <v>3.31</v>
      </c>
      <c r="F64" s="100">
        <v>3.19</v>
      </c>
      <c r="G64" s="100">
        <v>7.96</v>
      </c>
      <c r="H64" s="100">
        <v>2.4500000000000002</v>
      </c>
      <c r="I64" s="100">
        <v>2.65</v>
      </c>
      <c r="J64" s="100">
        <v>1.04</v>
      </c>
      <c r="K64" s="100">
        <v>255.49</v>
      </c>
      <c r="L64" s="100">
        <v>28</v>
      </c>
      <c r="M64" s="100">
        <v>78.39</v>
      </c>
      <c r="N64" s="100">
        <v>215.8</v>
      </c>
      <c r="O64" s="100">
        <v>0</v>
      </c>
      <c r="P64" s="100">
        <v>0.08</v>
      </c>
      <c r="Q64" s="100">
        <v>10</v>
      </c>
      <c r="R64" s="6"/>
      <c r="S64" s="6"/>
      <c r="T64" s="156"/>
      <c r="U64" s="6"/>
    </row>
    <row r="65" spans="1:21" customFormat="1">
      <c r="A65" s="163" t="s">
        <v>2792</v>
      </c>
      <c r="B65" s="100">
        <v>4.09</v>
      </c>
      <c r="C65" s="100">
        <v>13.45</v>
      </c>
      <c r="D65" s="100">
        <v>10.31</v>
      </c>
      <c r="E65" s="100">
        <v>3.66</v>
      </c>
      <c r="F65" s="100">
        <v>3.1</v>
      </c>
      <c r="G65" s="100">
        <v>7.41</v>
      </c>
      <c r="H65" s="100">
        <v>2.66</v>
      </c>
      <c r="I65" s="100">
        <v>2.66</v>
      </c>
      <c r="J65" s="100">
        <v>0.87</v>
      </c>
      <c r="K65" s="100">
        <v>257.08</v>
      </c>
      <c r="L65" s="100">
        <v>28.13</v>
      </c>
      <c r="M65" s="100">
        <v>78.39</v>
      </c>
      <c r="N65" s="100">
        <v>223.7</v>
      </c>
      <c r="O65" s="100">
        <v>0</v>
      </c>
      <c r="P65" s="100">
        <v>0.09</v>
      </c>
      <c r="Q65" s="100">
        <v>10</v>
      </c>
      <c r="R65" s="6"/>
      <c r="S65" s="6"/>
      <c r="T65" s="156"/>
      <c r="U65" s="6"/>
    </row>
    <row r="66" spans="1:21" customFormat="1">
      <c r="A66" s="163" t="s">
        <v>2793</v>
      </c>
      <c r="B66" s="100">
        <v>4.1100000000000003</v>
      </c>
      <c r="C66" s="100">
        <v>13.14</v>
      </c>
      <c r="D66" s="100">
        <v>10.16</v>
      </c>
      <c r="E66" s="100">
        <v>3.67</v>
      </c>
      <c r="F66" s="100">
        <v>2.61</v>
      </c>
      <c r="G66" s="100">
        <v>7.41</v>
      </c>
      <c r="H66" s="100">
        <v>2.66</v>
      </c>
      <c r="I66" s="100">
        <v>2.73</v>
      </c>
      <c r="J66" s="100">
        <v>0.85</v>
      </c>
      <c r="K66" s="100">
        <v>255.61</v>
      </c>
      <c r="L66" s="100">
        <v>28.51</v>
      </c>
      <c r="M66" s="100">
        <v>77.489999999999995</v>
      </c>
      <c r="N66" s="100">
        <v>229.1</v>
      </c>
      <c r="O66" s="100">
        <v>0</v>
      </c>
      <c r="P66" s="100">
        <v>0.09</v>
      </c>
      <c r="Q66" s="100">
        <v>10</v>
      </c>
      <c r="R66" s="6"/>
      <c r="S66" s="6"/>
      <c r="T66" s="156"/>
      <c r="U66" s="6"/>
    </row>
    <row r="67" spans="1:21" customFormat="1">
      <c r="A67" s="163" t="s">
        <v>2794</v>
      </c>
      <c r="B67" s="100">
        <v>4.0599999999999996</v>
      </c>
      <c r="C67" s="100">
        <v>12.88</v>
      </c>
      <c r="D67" s="100">
        <v>9.99</v>
      </c>
      <c r="E67" s="100">
        <v>3.74</v>
      </c>
      <c r="F67" s="100">
        <v>3.27</v>
      </c>
      <c r="G67" s="100">
        <v>7.41</v>
      </c>
      <c r="H67" s="100">
        <v>2.66</v>
      </c>
      <c r="I67" s="100">
        <v>2.75</v>
      </c>
      <c r="J67" s="100">
        <v>0.86</v>
      </c>
      <c r="K67" s="100">
        <v>261.27</v>
      </c>
      <c r="L67" s="100">
        <v>28.27</v>
      </c>
      <c r="M67" s="100">
        <v>77.8</v>
      </c>
      <c r="N67" s="100">
        <v>119.3</v>
      </c>
      <c r="O67" s="100">
        <v>0</v>
      </c>
      <c r="P67" s="100">
        <v>0.09</v>
      </c>
      <c r="Q67" s="100">
        <v>10</v>
      </c>
      <c r="R67" s="6"/>
      <c r="S67" s="6"/>
      <c r="T67" s="156"/>
      <c r="U67" s="6"/>
    </row>
    <row r="68" spans="1:21" customFormat="1">
      <c r="A68" s="163" t="s">
        <v>2795</v>
      </c>
      <c r="B68" s="100">
        <v>4.0199999999999996</v>
      </c>
      <c r="C68" s="100">
        <v>12.87</v>
      </c>
      <c r="D68" s="100">
        <v>9.9499999999999993</v>
      </c>
      <c r="E68" s="100">
        <v>3.49</v>
      </c>
      <c r="F68" s="100">
        <v>3.41</v>
      </c>
      <c r="G68" s="100">
        <v>8.0299999999999994</v>
      </c>
      <c r="H68" s="100">
        <v>2.44</v>
      </c>
      <c r="I68" s="100">
        <v>2.7</v>
      </c>
      <c r="J68" s="100">
        <v>1.06</v>
      </c>
      <c r="K68" s="100">
        <v>259.11</v>
      </c>
      <c r="L68" s="100">
        <v>28.05</v>
      </c>
      <c r="M68" s="100">
        <v>77</v>
      </c>
      <c r="N68" s="100">
        <v>183.1</v>
      </c>
      <c r="O68" s="100">
        <v>0</v>
      </c>
      <c r="P68" s="100">
        <v>0.08</v>
      </c>
      <c r="Q68" s="100">
        <v>10</v>
      </c>
      <c r="R68" s="6"/>
      <c r="S68" s="6"/>
      <c r="T68" s="156"/>
      <c r="U68" s="6"/>
    </row>
    <row r="69" spans="1:21" customFormat="1">
      <c r="A69" s="163" t="s">
        <v>2796</v>
      </c>
      <c r="B69" s="100">
        <v>4.1500000000000004</v>
      </c>
      <c r="C69" s="100">
        <v>13.47</v>
      </c>
      <c r="D69" s="100">
        <v>10.37</v>
      </c>
      <c r="E69" s="100">
        <v>3.49</v>
      </c>
      <c r="F69" s="100">
        <v>3.02</v>
      </c>
      <c r="G69" s="100">
        <v>8.9600000000000009</v>
      </c>
      <c r="H69" s="100">
        <v>2.2400000000000002</v>
      </c>
      <c r="I69" s="100">
        <v>2.68</v>
      </c>
      <c r="J69" s="100">
        <v>1.03</v>
      </c>
      <c r="K69" s="100">
        <v>262.76</v>
      </c>
      <c r="L69" s="100">
        <v>28.43</v>
      </c>
      <c r="M69" s="100">
        <v>76.25</v>
      </c>
      <c r="N69" s="100">
        <v>152.30000000000001</v>
      </c>
      <c r="O69" s="100">
        <v>0</v>
      </c>
      <c r="P69" s="100">
        <v>0.09</v>
      </c>
      <c r="Q69" s="100">
        <v>10</v>
      </c>
      <c r="R69" s="6"/>
      <c r="S69" s="6"/>
      <c r="T69" s="156"/>
      <c r="U69" s="6"/>
    </row>
    <row r="70" spans="1:21" customFormat="1">
      <c r="A70" s="163" t="s">
        <v>2797</v>
      </c>
      <c r="B70" s="100">
        <v>4.09</v>
      </c>
      <c r="C70" s="100">
        <v>13.3</v>
      </c>
      <c r="D70" s="100">
        <v>10.23</v>
      </c>
      <c r="E70" s="100">
        <v>3.56</v>
      </c>
      <c r="F70" s="100">
        <v>2.72</v>
      </c>
      <c r="G70" s="100">
        <v>8.9600000000000009</v>
      </c>
      <c r="H70" s="100">
        <v>2.2400000000000002</v>
      </c>
      <c r="I70" s="100">
        <v>2.68</v>
      </c>
      <c r="J70" s="100">
        <v>0.94</v>
      </c>
      <c r="K70" s="100">
        <v>257.08</v>
      </c>
      <c r="L70" s="100">
        <v>28.03</v>
      </c>
      <c r="M70" s="100">
        <v>77.8</v>
      </c>
      <c r="N70" s="100">
        <v>114.7</v>
      </c>
      <c r="O70" s="100">
        <v>0</v>
      </c>
      <c r="P70" s="100">
        <v>0.09</v>
      </c>
      <c r="Q70" s="100">
        <v>10</v>
      </c>
      <c r="R70" s="6"/>
      <c r="S70" s="6"/>
      <c r="T70" s="156"/>
      <c r="U70" s="6"/>
    </row>
    <row r="71" spans="1:21" customFormat="1">
      <c r="A71" s="163" t="s">
        <v>2798</v>
      </c>
      <c r="B71" s="100">
        <v>4.08</v>
      </c>
      <c r="C71" s="100">
        <v>13.16</v>
      </c>
      <c r="D71" s="100">
        <v>10.15</v>
      </c>
      <c r="E71" s="100">
        <v>3.44</v>
      </c>
      <c r="F71" s="100">
        <v>2.97</v>
      </c>
      <c r="G71" s="100">
        <v>8.9600000000000009</v>
      </c>
      <c r="H71" s="100">
        <v>2.2400000000000002</v>
      </c>
      <c r="I71" s="100">
        <v>2.77</v>
      </c>
      <c r="J71" s="100">
        <v>0.76</v>
      </c>
      <c r="K71" s="100">
        <v>258.69</v>
      </c>
      <c r="L71" s="100">
        <v>27.71</v>
      </c>
      <c r="M71" s="100">
        <v>78.86</v>
      </c>
      <c r="N71" s="100">
        <v>80.2</v>
      </c>
      <c r="O71" s="100">
        <v>0</v>
      </c>
      <c r="P71" s="100">
        <v>0.08</v>
      </c>
      <c r="Q71" s="100">
        <v>10</v>
      </c>
      <c r="R71" s="6"/>
      <c r="S71" s="6"/>
      <c r="T71" s="156"/>
      <c r="U71" s="6"/>
    </row>
    <row r="72" spans="1:21" customFormat="1">
      <c r="A72" s="163" t="s">
        <v>2799</v>
      </c>
      <c r="B72" s="100">
        <v>4.03</v>
      </c>
      <c r="C72" s="100">
        <v>13.19</v>
      </c>
      <c r="D72" s="100">
        <v>10.119999999999999</v>
      </c>
      <c r="E72" s="100">
        <v>3.07</v>
      </c>
      <c r="F72" s="100">
        <v>4.43</v>
      </c>
      <c r="G72" s="100">
        <v>9.57</v>
      </c>
      <c r="H72" s="100">
        <v>3.25</v>
      </c>
      <c r="I72" s="100">
        <v>2.74</v>
      </c>
      <c r="J72" s="100">
        <v>0.69</v>
      </c>
      <c r="K72" s="100">
        <v>257.43</v>
      </c>
      <c r="L72" s="100">
        <v>27.72</v>
      </c>
      <c r="M72" s="100">
        <v>79.540000000000006</v>
      </c>
      <c r="N72" s="100">
        <v>74.599999999999994</v>
      </c>
      <c r="O72" s="100">
        <v>0</v>
      </c>
      <c r="P72" s="100">
        <v>0.08</v>
      </c>
      <c r="Q72" s="100">
        <v>10</v>
      </c>
      <c r="R72" s="6"/>
      <c r="S72" s="6"/>
      <c r="T72" s="156"/>
      <c r="U72" s="6"/>
    </row>
    <row r="73" spans="1:21" customFormat="1">
      <c r="A73" s="163" t="s">
        <v>2800</v>
      </c>
      <c r="B73" s="100">
        <v>4.2300000000000004</v>
      </c>
      <c r="C73" s="100">
        <v>13.76</v>
      </c>
      <c r="D73" s="100">
        <v>10.58</v>
      </c>
      <c r="E73" s="100">
        <v>3.3</v>
      </c>
      <c r="F73" s="100">
        <v>2.78</v>
      </c>
      <c r="G73" s="100">
        <v>10.47</v>
      </c>
      <c r="H73" s="100">
        <v>4.1500000000000004</v>
      </c>
      <c r="I73" s="100">
        <v>2.74</v>
      </c>
      <c r="J73" s="100">
        <v>0.74</v>
      </c>
      <c r="K73" s="100">
        <v>259.92</v>
      </c>
      <c r="L73" s="100">
        <v>27.8</v>
      </c>
      <c r="M73" s="100">
        <v>79.14</v>
      </c>
      <c r="N73" s="100">
        <v>109.3</v>
      </c>
      <c r="O73" s="100">
        <v>0</v>
      </c>
      <c r="P73" s="100">
        <v>0.1</v>
      </c>
      <c r="Q73" s="100">
        <v>10</v>
      </c>
      <c r="R73" s="6"/>
      <c r="S73" s="6"/>
      <c r="T73" s="156"/>
      <c r="U73" s="6"/>
    </row>
    <row r="74" spans="1:21" customFormat="1">
      <c r="A74" s="163" t="s">
        <v>2801</v>
      </c>
      <c r="B74" s="100">
        <v>4.3099999999999996</v>
      </c>
      <c r="C74" s="100">
        <v>13.57</v>
      </c>
      <c r="D74" s="100">
        <v>10.55</v>
      </c>
      <c r="E74" s="100">
        <v>3.55</v>
      </c>
      <c r="F74" s="100">
        <v>2.54</v>
      </c>
      <c r="G74" s="100">
        <v>10.47</v>
      </c>
      <c r="H74" s="100">
        <v>4.1500000000000004</v>
      </c>
      <c r="I74" s="100">
        <v>2.76</v>
      </c>
      <c r="J74" s="100">
        <v>0.56000000000000005</v>
      </c>
      <c r="K74" s="100">
        <v>258.70999999999998</v>
      </c>
      <c r="L74" s="100">
        <v>27.91</v>
      </c>
      <c r="M74" s="100">
        <v>80.19</v>
      </c>
      <c r="N74" s="100">
        <v>88.1</v>
      </c>
      <c r="O74" s="100">
        <v>0</v>
      </c>
      <c r="P74" s="100">
        <v>0.1</v>
      </c>
      <c r="Q74" s="100">
        <v>10</v>
      </c>
      <c r="R74" s="6"/>
      <c r="S74" s="6"/>
      <c r="T74" s="156"/>
      <c r="U74" s="6"/>
    </row>
    <row r="75" spans="1:21" customFormat="1">
      <c r="A75" s="163" t="s">
        <v>2802</v>
      </c>
      <c r="B75" s="100">
        <v>4.3899999999999997</v>
      </c>
      <c r="C75" s="100">
        <v>13.81</v>
      </c>
      <c r="D75" s="100">
        <v>10.74</v>
      </c>
      <c r="E75" s="100">
        <v>3.33</v>
      </c>
      <c r="F75" s="100">
        <v>3.08</v>
      </c>
      <c r="G75" s="100">
        <v>10.47</v>
      </c>
      <c r="H75" s="100">
        <v>4.1500000000000004</v>
      </c>
      <c r="I75" s="100">
        <v>2.83</v>
      </c>
      <c r="J75" s="100">
        <v>0.75</v>
      </c>
      <c r="K75" s="100">
        <v>252.26</v>
      </c>
      <c r="L75" s="100">
        <v>28.16</v>
      </c>
      <c r="M75" s="100">
        <v>79.260000000000005</v>
      </c>
      <c r="N75" s="100">
        <v>98.9</v>
      </c>
      <c r="O75" s="100">
        <v>0</v>
      </c>
      <c r="P75" s="100">
        <v>0.12</v>
      </c>
      <c r="Q75" s="100">
        <v>10</v>
      </c>
      <c r="R75" s="6"/>
      <c r="S75" s="6"/>
      <c r="T75" s="156"/>
      <c r="U75" s="6"/>
    </row>
    <row r="76" spans="1:21" customFormat="1">
      <c r="A76" s="163" t="s">
        <v>2803</v>
      </c>
      <c r="B76" s="100">
        <v>4.24</v>
      </c>
      <c r="C76" s="100">
        <v>14.18</v>
      </c>
      <c r="D76" s="100">
        <v>10.81</v>
      </c>
      <c r="E76" s="100">
        <v>3.8</v>
      </c>
      <c r="F76" s="100">
        <v>2.41</v>
      </c>
      <c r="G76" s="100">
        <v>12.03</v>
      </c>
      <c r="H76" s="100">
        <v>4.53</v>
      </c>
      <c r="I76" s="100">
        <v>2.81</v>
      </c>
      <c r="J76" s="100">
        <v>0.85</v>
      </c>
      <c r="K76" s="100">
        <v>253.3</v>
      </c>
      <c r="L76" s="100">
        <v>28.06</v>
      </c>
      <c r="M76" s="100">
        <v>78.33</v>
      </c>
      <c r="N76" s="100">
        <v>66.400000000000006</v>
      </c>
      <c r="O76" s="100">
        <v>0</v>
      </c>
      <c r="P76" s="100">
        <v>0.13</v>
      </c>
      <c r="Q76" s="100">
        <v>10</v>
      </c>
      <c r="R76" s="6"/>
      <c r="S76" s="6"/>
      <c r="T76" s="156"/>
      <c r="U76" s="6"/>
    </row>
    <row r="77" spans="1:21" customFormat="1">
      <c r="A77" s="163" t="s">
        <v>2804</v>
      </c>
      <c r="B77" s="100">
        <v>4.05</v>
      </c>
      <c r="C77" s="100">
        <v>14.3</v>
      </c>
      <c r="D77" s="100">
        <v>10.72</v>
      </c>
      <c r="E77" s="100">
        <v>3.94</v>
      </c>
      <c r="F77" s="100">
        <v>2.2200000000000002</v>
      </c>
      <c r="G77" s="100">
        <v>14.37</v>
      </c>
      <c r="H77" s="100">
        <v>5.58</v>
      </c>
      <c r="I77" s="100">
        <v>2.81</v>
      </c>
      <c r="J77" s="100">
        <v>0.76</v>
      </c>
      <c r="K77" s="100">
        <v>255.35</v>
      </c>
      <c r="L77" s="100">
        <v>27.86</v>
      </c>
      <c r="M77" s="100">
        <v>78.86</v>
      </c>
      <c r="N77" s="100">
        <v>51.7</v>
      </c>
      <c r="O77" s="100">
        <v>0</v>
      </c>
      <c r="P77" s="100">
        <v>0.13</v>
      </c>
      <c r="Q77" s="100">
        <v>10</v>
      </c>
      <c r="R77" s="6"/>
      <c r="S77" s="6"/>
      <c r="T77" s="156"/>
      <c r="U77" s="6"/>
    </row>
    <row r="78" spans="1:21" customFormat="1">
      <c r="A78" s="163" t="s">
        <v>2805</v>
      </c>
      <c r="B78" s="100">
        <v>3.9</v>
      </c>
      <c r="C78" s="100">
        <v>14.37</v>
      </c>
      <c r="D78" s="100">
        <v>10.63</v>
      </c>
      <c r="E78" s="100">
        <v>4.01</v>
      </c>
      <c r="F78" s="100">
        <v>1.89</v>
      </c>
      <c r="G78" s="100">
        <v>14.37</v>
      </c>
      <c r="H78" s="100">
        <v>5.58</v>
      </c>
      <c r="I78" s="100">
        <v>2.78</v>
      </c>
      <c r="J78" s="100">
        <v>0.78</v>
      </c>
      <c r="K78" s="100">
        <v>252.66</v>
      </c>
      <c r="L78" s="100">
        <v>27.92</v>
      </c>
      <c r="M78" s="100">
        <v>79.069999999999993</v>
      </c>
      <c r="N78" s="100">
        <v>54.1</v>
      </c>
      <c r="O78" s="100">
        <v>0</v>
      </c>
      <c r="P78" s="100">
        <v>0.14000000000000001</v>
      </c>
      <c r="Q78" s="100">
        <v>10</v>
      </c>
      <c r="R78" s="6"/>
      <c r="S78" s="6"/>
      <c r="T78" s="156"/>
      <c r="U78" s="6"/>
    </row>
    <row r="79" spans="1:21" customFormat="1">
      <c r="A79" s="163" t="s">
        <v>2806</v>
      </c>
      <c r="B79" s="100">
        <v>3.77</v>
      </c>
      <c r="C79" s="100">
        <v>14.32</v>
      </c>
      <c r="D79" s="100">
        <v>10.5</v>
      </c>
      <c r="E79" s="100">
        <v>3.56</v>
      </c>
      <c r="F79" s="100">
        <v>2.7</v>
      </c>
      <c r="G79" s="100">
        <v>14.37</v>
      </c>
      <c r="H79" s="100">
        <v>5.58</v>
      </c>
      <c r="I79" s="100">
        <v>2.8</v>
      </c>
      <c r="J79" s="100">
        <v>0.59</v>
      </c>
      <c r="K79" s="100">
        <v>251.81</v>
      </c>
      <c r="L79" s="100">
        <v>27.88</v>
      </c>
      <c r="M79" s="100">
        <v>80.14</v>
      </c>
      <c r="N79" s="100">
        <v>41</v>
      </c>
      <c r="O79" s="100">
        <v>0</v>
      </c>
      <c r="P79" s="100">
        <v>0.14000000000000001</v>
      </c>
      <c r="Q79" s="100">
        <v>10</v>
      </c>
      <c r="R79" s="6"/>
      <c r="S79" s="6"/>
      <c r="T79" s="156"/>
      <c r="U79" s="6"/>
    </row>
    <row r="80" spans="1:21" customFormat="1">
      <c r="A80" s="163" t="s">
        <v>2807</v>
      </c>
      <c r="B80" s="100">
        <v>3.66</v>
      </c>
      <c r="C80" s="100">
        <v>14.34</v>
      </c>
      <c r="D80" s="100">
        <v>10.43</v>
      </c>
      <c r="E80" s="100">
        <v>3.93</v>
      </c>
      <c r="F80" s="100">
        <v>2.38</v>
      </c>
      <c r="G80" s="100">
        <v>15.33</v>
      </c>
      <c r="H80" s="100">
        <v>5.76</v>
      </c>
      <c r="I80" s="100">
        <v>2.68</v>
      </c>
      <c r="J80" s="100">
        <v>0.67</v>
      </c>
      <c r="K80" s="100">
        <v>253.77</v>
      </c>
      <c r="L80" s="100">
        <v>27.73</v>
      </c>
      <c r="M80" s="100">
        <v>80.12</v>
      </c>
      <c r="N80" s="100">
        <v>32.5</v>
      </c>
      <c r="O80" s="100">
        <v>0</v>
      </c>
      <c r="P80" s="100">
        <v>0.14000000000000001</v>
      </c>
      <c r="Q80" s="100">
        <v>10</v>
      </c>
      <c r="R80" s="6"/>
      <c r="S80" s="6"/>
      <c r="T80" s="156"/>
      <c r="U80" s="6"/>
    </row>
    <row r="81" spans="1:21" customFormat="1">
      <c r="A81" s="163" t="s">
        <v>2808</v>
      </c>
      <c r="B81" s="100">
        <v>3.58</v>
      </c>
      <c r="C81" s="100">
        <v>14.33</v>
      </c>
      <c r="D81" s="100">
        <v>10.36</v>
      </c>
      <c r="E81" s="100">
        <v>4.4000000000000004</v>
      </c>
      <c r="F81" s="100">
        <v>2.1800000000000002</v>
      </c>
      <c r="G81" s="100">
        <v>16.78</v>
      </c>
      <c r="H81" s="100">
        <v>5.91</v>
      </c>
      <c r="I81" s="100">
        <v>2.66</v>
      </c>
      <c r="J81" s="100">
        <v>0.56000000000000005</v>
      </c>
      <c r="K81" s="100">
        <v>252.72</v>
      </c>
      <c r="L81" s="100">
        <v>27.62</v>
      </c>
      <c r="M81" s="100">
        <v>80.56</v>
      </c>
      <c r="N81" s="100">
        <v>19.399999999999999</v>
      </c>
      <c r="O81" s="100">
        <v>0</v>
      </c>
      <c r="P81" s="100">
        <v>0.14000000000000001</v>
      </c>
      <c r="Q81" s="100">
        <v>10</v>
      </c>
      <c r="R81" s="6"/>
      <c r="S81" s="6"/>
      <c r="T81" s="156"/>
      <c r="U81" s="6"/>
    </row>
    <row r="82" spans="1:21" customFormat="1">
      <c r="A82" s="163" t="s">
        <v>2809</v>
      </c>
      <c r="B82" s="100">
        <v>3.51</v>
      </c>
      <c r="C82" s="100">
        <v>14.21</v>
      </c>
      <c r="D82" s="100">
        <v>10.24</v>
      </c>
      <c r="E82" s="100">
        <v>5.2</v>
      </c>
      <c r="F82" s="100">
        <v>2.46</v>
      </c>
      <c r="G82" s="100">
        <v>16.78</v>
      </c>
      <c r="H82" s="100">
        <v>5.91</v>
      </c>
      <c r="I82" s="100">
        <v>2.65</v>
      </c>
      <c r="J82" s="100">
        <v>0.57999999999999996</v>
      </c>
      <c r="K82" s="100">
        <v>249.61</v>
      </c>
      <c r="L82" s="100">
        <v>27.49</v>
      </c>
      <c r="M82" s="100">
        <v>80.760000000000005</v>
      </c>
      <c r="N82" s="100">
        <v>14.7</v>
      </c>
      <c r="O82" s="100">
        <v>0</v>
      </c>
      <c r="P82" s="100">
        <v>0.14000000000000001</v>
      </c>
      <c r="Q82" s="100">
        <v>10</v>
      </c>
      <c r="R82" s="6"/>
      <c r="S82" s="6"/>
      <c r="T82" s="156"/>
      <c r="U82" s="6"/>
    </row>
    <row r="83" spans="1:21" customFormat="1">
      <c r="A83" s="163" t="s">
        <v>2810</v>
      </c>
      <c r="B83" s="100">
        <v>3.51</v>
      </c>
      <c r="C83" s="100">
        <v>14.08</v>
      </c>
      <c r="D83" s="100">
        <v>10.17</v>
      </c>
      <c r="E83" s="100">
        <v>5.37</v>
      </c>
      <c r="F83" s="100">
        <v>1.98</v>
      </c>
      <c r="G83" s="100">
        <v>16.78</v>
      </c>
      <c r="H83" s="100">
        <v>5.91</v>
      </c>
      <c r="I83" s="100">
        <v>2.64</v>
      </c>
      <c r="J83" s="100">
        <v>0.46</v>
      </c>
      <c r="K83" s="100">
        <v>250.87</v>
      </c>
      <c r="L83" s="100">
        <v>27.36</v>
      </c>
      <c r="M83" s="100">
        <v>81.91</v>
      </c>
      <c r="N83" s="100">
        <v>6</v>
      </c>
      <c r="O83" s="100">
        <v>0</v>
      </c>
      <c r="P83" s="100">
        <v>0.14000000000000001</v>
      </c>
      <c r="Q83" s="100">
        <v>10</v>
      </c>
      <c r="R83" s="6"/>
      <c r="S83" s="6"/>
      <c r="T83" s="156"/>
      <c r="U83" s="6"/>
    </row>
    <row r="84" spans="1:21" customFormat="1">
      <c r="A84" s="163" t="s">
        <v>2811</v>
      </c>
      <c r="B84" s="100">
        <v>3.5</v>
      </c>
      <c r="C84" s="100">
        <v>13.99</v>
      </c>
      <c r="D84" s="100">
        <v>10.119999999999999</v>
      </c>
      <c r="E84" s="100">
        <v>5.5</v>
      </c>
      <c r="F84" s="100">
        <v>2.0499999999999998</v>
      </c>
      <c r="G84" s="100">
        <v>14.91</v>
      </c>
      <c r="H84" s="100">
        <v>6.89</v>
      </c>
      <c r="I84" s="100">
        <v>2.68</v>
      </c>
      <c r="J84" s="100">
        <v>0.52</v>
      </c>
      <c r="K84" s="100">
        <v>253.29</v>
      </c>
      <c r="L84" s="100">
        <v>27.16</v>
      </c>
      <c r="M84" s="100">
        <v>83.24</v>
      </c>
      <c r="N84" s="100">
        <v>3.5</v>
      </c>
      <c r="O84" s="100">
        <v>0</v>
      </c>
      <c r="P84" s="100">
        <v>0.14000000000000001</v>
      </c>
      <c r="Q84" s="100">
        <v>10</v>
      </c>
      <c r="R84" s="6"/>
      <c r="S84" s="6"/>
      <c r="T84" s="156"/>
      <c r="U84" s="6"/>
    </row>
    <row r="85" spans="1:21" customFormat="1">
      <c r="A85" s="163" t="s">
        <v>2812</v>
      </c>
      <c r="B85" s="100">
        <v>3.51</v>
      </c>
      <c r="C85" s="100">
        <v>13.93</v>
      </c>
      <c r="D85" s="100">
        <v>10.09</v>
      </c>
      <c r="E85" s="100">
        <v>5.48</v>
      </c>
      <c r="F85" s="100">
        <v>2.06</v>
      </c>
      <c r="G85" s="100">
        <v>12.1</v>
      </c>
      <c r="H85" s="100">
        <v>7.76</v>
      </c>
      <c r="I85" s="100">
        <v>2.68</v>
      </c>
      <c r="J85" s="100">
        <v>0.47</v>
      </c>
      <c r="K85" s="100">
        <v>252.69</v>
      </c>
      <c r="L85" s="100">
        <v>26.93</v>
      </c>
      <c r="M85" s="100">
        <v>84.67</v>
      </c>
      <c r="N85" s="100">
        <v>2.4</v>
      </c>
      <c r="O85" s="100">
        <v>0</v>
      </c>
      <c r="P85" s="100">
        <v>0.13</v>
      </c>
      <c r="Q85" s="100">
        <v>10</v>
      </c>
      <c r="R85" s="6"/>
      <c r="S85" s="6"/>
      <c r="T85" s="156"/>
      <c r="U85" s="6"/>
    </row>
    <row r="86" spans="1:21" customFormat="1">
      <c r="A86" s="163" t="s">
        <v>2813</v>
      </c>
      <c r="B86" s="100">
        <v>3.53</v>
      </c>
      <c r="C86" s="100">
        <v>13.81</v>
      </c>
      <c r="D86" s="100">
        <v>10.039999999999999</v>
      </c>
      <c r="E86" s="100">
        <v>5.67</v>
      </c>
      <c r="F86" s="100">
        <v>2.08</v>
      </c>
      <c r="G86" s="100">
        <v>12.1</v>
      </c>
      <c r="H86" s="100">
        <v>7.76</v>
      </c>
      <c r="I86" s="100">
        <v>2.62</v>
      </c>
      <c r="J86" s="100">
        <v>0.54</v>
      </c>
      <c r="K86" s="100">
        <v>252.79</v>
      </c>
      <c r="L86" s="100">
        <v>26.91</v>
      </c>
      <c r="M86" s="100">
        <v>85.09</v>
      </c>
      <c r="N86" s="100">
        <v>2.1</v>
      </c>
      <c r="O86" s="100">
        <v>0</v>
      </c>
      <c r="P86" s="100">
        <v>0.14000000000000001</v>
      </c>
      <c r="Q86" s="100">
        <v>10</v>
      </c>
      <c r="R86" s="6"/>
      <c r="S86" s="6"/>
      <c r="T86" s="156"/>
      <c r="U86" s="6"/>
    </row>
    <row r="87" spans="1:21" customFormat="1">
      <c r="A87" s="163" t="s">
        <v>2814</v>
      </c>
      <c r="B87" s="100">
        <v>3.52</v>
      </c>
      <c r="C87" s="100">
        <v>13.67</v>
      </c>
      <c r="D87" s="100">
        <v>9.9600000000000009</v>
      </c>
      <c r="E87" s="100">
        <v>5.51</v>
      </c>
      <c r="F87" s="100">
        <v>1.51</v>
      </c>
      <c r="G87" s="100">
        <v>12.1</v>
      </c>
      <c r="H87" s="100">
        <v>7.76</v>
      </c>
      <c r="I87" s="100">
        <v>2.7</v>
      </c>
      <c r="J87" s="100">
        <v>0.53</v>
      </c>
      <c r="K87" s="100">
        <v>253.95</v>
      </c>
      <c r="L87" s="100">
        <v>26.97</v>
      </c>
      <c r="M87" s="100">
        <v>84.25</v>
      </c>
      <c r="N87" s="100">
        <v>2.2999999999999998</v>
      </c>
      <c r="O87" s="100">
        <v>0</v>
      </c>
      <c r="P87" s="100">
        <v>0.14000000000000001</v>
      </c>
      <c r="Q87" s="100">
        <v>10</v>
      </c>
      <c r="R87" s="6"/>
      <c r="S87" s="6"/>
      <c r="T87" s="156"/>
      <c r="U87" s="6"/>
    </row>
    <row r="88" spans="1:21" customFormat="1">
      <c r="A88" s="163" t="s">
        <v>2815</v>
      </c>
      <c r="B88" s="100">
        <v>3.5</v>
      </c>
      <c r="C88" s="100">
        <v>13.69</v>
      </c>
      <c r="D88" s="100">
        <v>9.9600000000000009</v>
      </c>
      <c r="E88" s="100">
        <v>5.87</v>
      </c>
      <c r="F88" s="100">
        <v>1.82</v>
      </c>
      <c r="G88" s="100">
        <v>10.65</v>
      </c>
      <c r="H88" s="100">
        <v>7.99</v>
      </c>
      <c r="I88" s="100">
        <v>2.73</v>
      </c>
      <c r="J88" s="100">
        <v>0.83</v>
      </c>
      <c r="K88" s="100">
        <v>255.02</v>
      </c>
      <c r="L88" s="100">
        <v>26.9</v>
      </c>
      <c r="M88" s="100">
        <v>83.94</v>
      </c>
      <c r="N88" s="100">
        <v>2.2000000000000002</v>
      </c>
      <c r="O88" s="100">
        <v>0</v>
      </c>
      <c r="P88" s="100">
        <v>0.14000000000000001</v>
      </c>
      <c r="Q88" s="100">
        <v>10</v>
      </c>
      <c r="R88" s="6"/>
      <c r="S88" s="6"/>
      <c r="T88" s="156"/>
      <c r="U88" s="6"/>
    </row>
    <row r="89" spans="1:21" customFormat="1">
      <c r="A89" s="163" t="s">
        <v>2816</v>
      </c>
      <c r="B89" s="100">
        <v>3.51</v>
      </c>
      <c r="C89" s="100">
        <v>13.55</v>
      </c>
      <c r="D89" s="100">
        <v>9.9</v>
      </c>
      <c r="E89" s="100">
        <v>5.74</v>
      </c>
      <c r="F89" s="100">
        <v>1.87</v>
      </c>
      <c r="G89" s="100">
        <v>8.49</v>
      </c>
      <c r="H89" s="100">
        <v>8.18</v>
      </c>
      <c r="I89" s="100">
        <v>2.79</v>
      </c>
      <c r="J89" s="100">
        <v>0.87</v>
      </c>
      <c r="K89" s="100">
        <v>253.78</v>
      </c>
      <c r="L89" s="100">
        <v>26.85</v>
      </c>
      <c r="M89" s="100">
        <v>83.54</v>
      </c>
      <c r="N89" s="100">
        <v>2.4</v>
      </c>
      <c r="O89" s="100">
        <v>0</v>
      </c>
      <c r="P89" s="100">
        <v>0.13</v>
      </c>
      <c r="Q89" s="100">
        <v>10</v>
      </c>
      <c r="R89" s="6"/>
      <c r="S89" s="6"/>
      <c r="T89" s="156"/>
      <c r="U89" s="6"/>
    </row>
    <row r="90" spans="1:21" customFormat="1">
      <c r="A90" s="163" t="s">
        <v>2817</v>
      </c>
      <c r="B90" s="100">
        <v>3.51</v>
      </c>
      <c r="C90" s="100">
        <v>13.42</v>
      </c>
      <c r="D90" s="100">
        <v>9.82</v>
      </c>
      <c r="E90" s="100">
        <v>5.86</v>
      </c>
      <c r="F90" s="100">
        <v>1.78</v>
      </c>
      <c r="G90" s="100">
        <v>8.49</v>
      </c>
      <c r="H90" s="100">
        <v>8.18</v>
      </c>
      <c r="I90" s="100">
        <v>2.84</v>
      </c>
      <c r="J90" s="100">
        <v>0.87</v>
      </c>
      <c r="K90" s="100">
        <v>252.95</v>
      </c>
      <c r="L90" s="100">
        <v>26.73</v>
      </c>
      <c r="M90" s="100">
        <v>84.28</v>
      </c>
      <c r="N90" s="100">
        <v>2.5</v>
      </c>
      <c r="O90" s="100">
        <v>0</v>
      </c>
      <c r="P90" s="100">
        <v>0.14000000000000001</v>
      </c>
      <c r="Q90" s="100">
        <v>10</v>
      </c>
      <c r="R90" s="6"/>
      <c r="S90" s="6"/>
      <c r="T90" s="156"/>
      <c r="U90" s="6"/>
    </row>
    <row r="91" spans="1:21" customFormat="1">
      <c r="A91" s="163" t="s">
        <v>2818</v>
      </c>
      <c r="B91" s="100">
        <v>3.48</v>
      </c>
      <c r="C91" s="100">
        <v>13.27</v>
      </c>
      <c r="D91" s="100">
        <v>9.73</v>
      </c>
      <c r="E91" s="100">
        <v>5.76</v>
      </c>
      <c r="F91" s="100">
        <v>2.5299999999999998</v>
      </c>
      <c r="G91" s="100">
        <v>8.49</v>
      </c>
      <c r="H91" s="100">
        <v>8.18</v>
      </c>
      <c r="I91" s="100">
        <v>2.76</v>
      </c>
      <c r="J91" s="100">
        <v>0.77</v>
      </c>
      <c r="K91" s="100">
        <v>252.77</v>
      </c>
      <c r="L91" s="100">
        <v>26.6</v>
      </c>
      <c r="M91" s="100">
        <v>85.01</v>
      </c>
      <c r="N91" s="100">
        <v>2.5</v>
      </c>
      <c r="O91" s="100">
        <v>0</v>
      </c>
      <c r="P91" s="100">
        <v>0.14000000000000001</v>
      </c>
      <c r="Q91" s="100">
        <v>10</v>
      </c>
      <c r="R91" s="6"/>
      <c r="S91" s="6"/>
      <c r="T91" s="156"/>
      <c r="U91" s="6"/>
    </row>
    <row r="92" spans="1:21" customFormat="1">
      <c r="A92" s="163" t="s">
        <v>2819</v>
      </c>
      <c r="B92" s="100">
        <v>3.48</v>
      </c>
      <c r="C92" s="100">
        <v>13.22</v>
      </c>
      <c r="D92" s="100">
        <v>9.6999999999999993</v>
      </c>
      <c r="E92" s="100">
        <v>5.86</v>
      </c>
      <c r="F92" s="100">
        <v>2.23</v>
      </c>
      <c r="G92" s="100">
        <v>8.1300000000000008</v>
      </c>
      <c r="H92" s="100">
        <v>7.83</v>
      </c>
      <c r="I92" s="100">
        <v>2.71</v>
      </c>
      <c r="J92" s="100">
        <v>0.76</v>
      </c>
      <c r="K92" s="100">
        <v>254.37</v>
      </c>
      <c r="L92" s="100">
        <v>26.49</v>
      </c>
      <c r="M92" s="100">
        <v>85.59</v>
      </c>
      <c r="N92" s="100">
        <v>2.4</v>
      </c>
      <c r="O92" s="100">
        <v>0</v>
      </c>
      <c r="P92" s="100">
        <v>0.14000000000000001</v>
      </c>
      <c r="Q92" s="100">
        <v>10</v>
      </c>
      <c r="R92" s="6"/>
      <c r="S92" s="6"/>
      <c r="T92" s="156"/>
      <c r="U92" s="6"/>
    </row>
    <row r="93" spans="1:21" customFormat="1">
      <c r="A93" s="163" t="s">
        <v>2820</v>
      </c>
      <c r="B93" s="100">
        <v>3.53</v>
      </c>
      <c r="C93" s="100">
        <v>13.12</v>
      </c>
      <c r="D93" s="100">
        <v>9.69</v>
      </c>
      <c r="E93" s="100">
        <v>6.14</v>
      </c>
      <c r="F93" s="100">
        <v>1.85</v>
      </c>
      <c r="G93" s="100">
        <v>7.6</v>
      </c>
      <c r="H93" s="100">
        <v>6.91</v>
      </c>
      <c r="I93" s="100">
        <v>2.72</v>
      </c>
      <c r="J93" s="100">
        <v>0.82</v>
      </c>
      <c r="K93" s="100">
        <v>255.86</v>
      </c>
      <c r="L93" s="100">
        <v>26.42</v>
      </c>
      <c r="M93" s="100">
        <v>85.76</v>
      </c>
      <c r="N93" s="100">
        <v>2.2999999999999998</v>
      </c>
      <c r="O93" s="100">
        <v>0</v>
      </c>
      <c r="P93" s="100">
        <v>0.14000000000000001</v>
      </c>
      <c r="Q93" s="100">
        <v>10</v>
      </c>
      <c r="R93" s="6"/>
      <c r="S93" s="6"/>
      <c r="T93" s="156"/>
      <c r="U93" s="6"/>
    </row>
    <row r="94" spans="1:21" customFormat="1">
      <c r="A94" s="163" t="s">
        <v>2821</v>
      </c>
      <c r="B94" s="100">
        <v>3.55</v>
      </c>
      <c r="C94" s="100">
        <v>13.01</v>
      </c>
      <c r="D94" s="100">
        <v>9.65</v>
      </c>
      <c r="E94" s="100">
        <v>5.95</v>
      </c>
      <c r="F94" s="100">
        <v>1.78</v>
      </c>
      <c r="G94" s="100">
        <v>7.6</v>
      </c>
      <c r="H94" s="100">
        <v>6.91</v>
      </c>
      <c r="I94" s="100">
        <v>2.69</v>
      </c>
      <c r="J94" s="100">
        <v>0.8</v>
      </c>
      <c r="K94" s="100">
        <v>253.19</v>
      </c>
      <c r="L94" s="100">
        <v>26.37</v>
      </c>
      <c r="M94" s="100">
        <v>85.78</v>
      </c>
      <c r="N94" s="100">
        <v>2.1</v>
      </c>
      <c r="O94" s="100">
        <v>0</v>
      </c>
      <c r="P94" s="100">
        <v>0.14000000000000001</v>
      </c>
      <c r="Q94" s="100">
        <v>10</v>
      </c>
      <c r="R94" s="6"/>
      <c r="S94" s="6"/>
      <c r="T94" s="156"/>
      <c r="U94" s="6"/>
    </row>
    <row r="95" spans="1:21" customFormat="1">
      <c r="A95" s="163" t="s">
        <v>2822</v>
      </c>
      <c r="B95" s="100">
        <v>3.56</v>
      </c>
      <c r="C95" s="100">
        <v>12.91</v>
      </c>
      <c r="D95" s="100">
        <v>9.6</v>
      </c>
      <c r="E95" s="100">
        <v>6.07</v>
      </c>
      <c r="F95" s="100">
        <v>2.17</v>
      </c>
      <c r="G95" s="100">
        <v>7.6</v>
      </c>
      <c r="H95" s="100">
        <v>6.91</v>
      </c>
      <c r="I95" s="100">
        <v>2.77</v>
      </c>
      <c r="J95" s="100">
        <v>0.83</v>
      </c>
      <c r="K95" s="100">
        <v>253.01</v>
      </c>
      <c r="L95" s="100">
        <v>26.28</v>
      </c>
      <c r="M95" s="100">
        <v>85.71</v>
      </c>
      <c r="N95" s="100">
        <v>2.2000000000000002</v>
      </c>
      <c r="O95" s="100">
        <v>0</v>
      </c>
      <c r="P95" s="100">
        <v>0.13</v>
      </c>
      <c r="Q95" s="100">
        <v>10</v>
      </c>
      <c r="R95" s="6"/>
      <c r="S95" s="6"/>
      <c r="T95" s="156"/>
      <c r="U95" s="6"/>
    </row>
    <row r="96" spans="1:21" customFormat="1">
      <c r="A96" s="163" t="s">
        <v>2823</v>
      </c>
      <c r="B96" s="100">
        <v>3.5</v>
      </c>
      <c r="C96" s="100">
        <v>12.42</v>
      </c>
      <c r="D96" s="100">
        <v>9.3000000000000007</v>
      </c>
      <c r="E96" s="100">
        <v>5.53</v>
      </c>
      <c r="F96" s="100">
        <v>2.5499999999999998</v>
      </c>
      <c r="G96" s="100">
        <v>8.1199999999999992</v>
      </c>
      <c r="H96" s="100">
        <v>5.9</v>
      </c>
      <c r="I96" s="100">
        <v>2.78</v>
      </c>
      <c r="J96" s="100">
        <v>0.85</v>
      </c>
      <c r="K96" s="100">
        <v>252.23</v>
      </c>
      <c r="L96" s="100">
        <v>26.27</v>
      </c>
      <c r="M96" s="100">
        <v>85.14</v>
      </c>
      <c r="N96" s="100">
        <v>2.2999999999999998</v>
      </c>
      <c r="O96" s="100">
        <v>0</v>
      </c>
      <c r="P96" s="100">
        <v>0.1</v>
      </c>
      <c r="Q96" s="100">
        <v>10</v>
      </c>
      <c r="R96" s="6"/>
      <c r="S96" s="6"/>
      <c r="T96" s="156"/>
      <c r="U96" s="6"/>
    </row>
    <row r="97" spans="1:28" customFormat="1">
      <c r="A97" s="163" t="s">
        <v>2824</v>
      </c>
      <c r="B97" s="100">
        <v>3.54</v>
      </c>
      <c r="C97" s="100">
        <v>12.39</v>
      </c>
      <c r="D97" s="100">
        <v>9.31</v>
      </c>
      <c r="E97" s="100">
        <v>5.28</v>
      </c>
      <c r="F97" s="100">
        <v>3.76</v>
      </c>
      <c r="G97" s="100">
        <v>8.9</v>
      </c>
      <c r="H97" s="100">
        <v>5.01</v>
      </c>
      <c r="I97" s="100">
        <v>2.72</v>
      </c>
      <c r="J97" s="100">
        <v>0.81</v>
      </c>
      <c r="K97" s="100">
        <v>253.7</v>
      </c>
      <c r="L97" s="100">
        <v>26.23</v>
      </c>
      <c r="M97" s="100">
        <v>85.43</v>
      </c>
      <c r="N97" s="100">
        <v>2.4</v>
      </c>
      <c r="O97" s="100">
        <v>0</v>
      </c>
      <c r="P97" s="100">
        <v>7.0000000000000007E-2</v>
      </c>
      <c r="Q97" s="100">
        <v>10</v>
      </c>
      <c r="R97" s="6"/>
      <c r="S97" s="6"/>
      <c r="T97" s="156"/>
      <c r="U97" s="6"/>
    </row>
    <row r="98" spans="1:28" customFormat="1">
      <c r="A98" s="163" t="s">
        <v>2825</v>
      </c>
      <c r="B98" s="100">
        <v>3.69</v>
      </c>
      <c r="C98" s="100">
        <v>12.64</v>
      </c>
      <c r="D98" s="100">
        <v>9.57</v>
      </c>
      <c r="E98" s="100">
        <v>4.92</v>
      </c>
      <c r="F98" s="100">
        <v>3.35</v>
      </c>
      <c r="G98" s="100">
        <v>8.9</v>
      </c>
      <c r="H98" s="100">
        <v>5.01</v>
      </c>
      <c r="I98" s="100">
        <v>2.5499999999999998</v>
      </c>
      <c r="J98" s="100">
        <v>0.61</v>
      </c>
      <c r="K98" s="100">
        <v>252.91</v>
      </c>
      <c r="L98" s="100">
        <v>26.15</v>
      </c>
      <c r="M98" s="100">
        <v>86.28</v>
      </c>
      <c r="N98" s="100">
        <v>2.4</v>
      </c>
      <c r="O98" s="100">
        <v>0</v>
      </c>
      <c r="P98" s="100">
        <v>0.08</v>
      </c>
      <c r="Q98" s="100">
        <v>10</v>
      </c>
      <c r="R98" s="6"/>
      <c r="S98" s="6"/>
      <c r="T98" s="156"/>
      <c r="U98" s="6"/>
    </row>
    <row r="99" spans="1:28" customFormat="1">
      <c r="A99" s="163" t="s">
        <v>2826</v>
      </c>
      <c r="B99" s="100">
        <v>4.0199999999999996</v>
      </c>
      <c r="C99" s="100">
        <v>12.96</v>
      </c>
      <c r="D99" s="100">
        <v>10</v>
      </c>
      <c r="E99" s="100">
        <v>5.47</v>
      </c>
      <c r="F99" s="100">
        <v>2.11</v>
      </c>
      <c r="G99" s="100">
        <v>8.9</v>
      </c>
      <c r="H99" s="100">
        <v>5.01</v>
      </c>
      <c r="I99" s="100">
        <v>2.63</v>
      </c>
      <c r="J99" s="100">
        <v>0.64</v>
      </c>
      <c r="K99" s="100">
        <v>252.99</v>
      </c>
      <c r="L99" s="100">
        <v>26.03</v>
      </c>
      <c r="M99" s="100">
        <v>87.39</v>
      </c>
      <c r="N99" s="100">
        <v>2.4</v>
      </c>
      <c r="O99" s="100">
        <v>0</v>
      </c>
      <c r="P99" s="100">
        <v>0.09</v>
      </c>
      <c r="Q99" s="100">
        <v>10</v>
      </c>
      <c r="R99" s="6"/>
      <c r="S99" s="6"/>
      <c r="T99" s="156"/>
      <c r="U99" s="6"/>
    </row>
    <row r="100" spans="1:28" customFormat="1">
      <c r="A100" s="163" t="s">
        <v>2827</v>
      </c>
      <c r="B100" s="100">
        <v>4</v>
      </c>
      <c r="C100" s="100">
        <v>12.34</v>
      </c>
      <c r="D100" s="100">
        <v>9.65</v>
      </c>
      <c r="E100" s="100">
        <v>5.16</v>
      </c>
      <c r="F100" s="100">
        <v>3.42</v>
      </c>
      <c r="G100" s="100">
        <v>7.94</v>
      </c>
      <c r="H100" s="100">
        <v>4.2699999999999996</v>
      </c>
      <c r="I100" s="100">
        <v>2.75</v>
      </c>
      <c r="J100" s="100">
        <v>0.46</v>
      </c>
      <c r="K100" s="100">
        <v>252.99</v>
      </c>
      <c r="L100" s="100">
        <v>25.92</v>
      </c>
      <c r="M100" s="100">
        <v>88.66</v>
      </c>
      <c r="N100" s="100">
        <v>2.4</v>
      </c>
      <c r="O100" s="100">
        <v>0</v>
      </c>
      <c r="P100" s="100">
        <v>0.08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2828</v>
      </c>
      <c r="B101" s="100">
        <v>4.09</v>
      </c>
      <c r="C101" s="100">
        <v>12.23</v>
      </c>
      <c r="D101" s="100">
        <v>9.66</v>
      </c>
      <c r="E101" s="100">
        <v>5.0999999999999996</v>
      </c>
      <c r="F101" s="100">
        <v>3.14</v>
      </c>
      <c r="G101" s="100">
        <v>6.51</v>
      </c>
      <c r="H101" s="100">
        <v>3.62</v>
      </c>
      <c r="I101" s="100">
        <v>2.81</v>
      </c>
      <c r="J101" s="100">
        <v>0.61</v>
      </c>
      <c r="K101" s="100">
        <v>252.13</v>
      </c>
      <c r="L101" s="100">
        <v>25.86</v>
      </c>
      <c r="M101" s="100">
        <v>89.33</v>
      </c>
      <c r="N101" s="100">
        <v>2.4</v>
      </c>
      <c r="O101" s="100">
        <v>0</v>
      </c>
      <c r="P101" s="100">
        <v>7.0000000000000007E-2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2829</v>
      </c>
      <c r="B102" s="100">
        <v>4.41</v>
      </c>
      <c r="C102" s="100">
        <v>12.95</v>
      </c>
      <c r="D102" s="100">
        <v>10.3</v>
      </c>
      <c r="E102" s="100">
        <v>4.93</v>
      </c>
      <c r="F102" s="100">
        <v>2.6</v>
      </c>
      <c r="G102" s="100">
        <v>6.51</v>
      </c>
      <c r="H102" s="100">
        <v>3.62</v>
      </c>
      <c r="I102" s="100">
        <v>2.62</v>
      </c>
      <c r="J102" s="100">
        <v>0.6</v>
      </c>
      <c r="K102" s="100">
        <v>256.12</v>
      </c>
      <c r="L102" s="100">
        <v>25.86</v>
      </c>
      <c r="M102" s="100">
        <v>89.52</v>
      </c>
      <c r="N102" s="100">
        <v>2.2999999999999998</v>
      </c>
      <c r="O102" s="100">
        <v>0</v>
      </c>
      <c r="P102" s="100">
        <v>0.1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2830</v>
      </c>
      <c r="B103" s="100">
        <v>4.4800000000000004</v>
      </c>
      <c r="C103" s="100">
        <v>12.52</v>
      </c>
      <c r="D103" s="100">
        <v>10.14</v>
      </c>
      <c r="E103" s="100">
        <v>5.05</v>
      </c>
      <c r="F103" s="100">
        <v>2.72</v>
      </c>
      <c r="G103" s="100">
        <v>6.51</v>
      </c>
      <c r="H103" s="100">
        <v>3.62</v>
      </c>
      <c r="I103" s="100">
        <v>2.64</v>
      </c>
      <c r="J103" s="100">
        <v>0.56999999999999995</v>
      </c>
      <c r="K103" s="100">
        <v>255.27</v>
      </c>
      <c r="L103" s="100">
        <v>25.89</v>
      </c>
      <c r="M103" s="100">
        <v>89.53</v>
      </c>
      <c r="N103" s="100">
        <v>2.4</v>
      </c>
      <c r="O103" s="100">
        <v>0</v>
      </c>
      <c r="P103" s="100">
        <v>0.09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2831</v>
      </c>
      <c r="B104" s="100">
        <v>4.4800000000000004</v>
      </c>
      <c r="C104" s="100">
        <v>12.27</v>
      </c>
      <c r="D104" s="100">
        <v>10</v>
      </c>
      <c r="E104" s="100">
        <v>5.01</v>
      </c>
      <c r="F104" s="100">
        <v>3.73</v>
      </c>
      <c r="G104" s="100">
        <v>5.92</v>
      </c>
      <c r="H104" s="100">
        <v>3.29</v>
      </c>
      <c r="I104" s="100">
        <v>2.71</v>
      </c>
      <c r="J104" s="100">
        <v>0.5</v>
      </c>
      <c r="K104" s="100">
        <v>253.67</v>
      </c>
      <c r="L104" s="100">
        <v>25.8</v>
      </c>
      <c r="M104" s="100">
        <v>90.47</v>
      </c>
      <c r="N104" s="100">
        <v>2.4</v>
      </c>
      <c r="O104" s="100">
        <v>0</v>
      </c>
      <c r="P104" s="100">
        <v>0.08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3.48</v>
      </c>
      <c r="C106" s="158">
        <f>MIN(C9:C104)</f>
        <v>12.23</v>
      </c>
      <c r="D106" s="158">
        <f t="shared" ref="D106:Q106" si="0">MIN(D9:D104)</f>
        <v>9.3000000000000007</v>
      </c>
      <c r="E106" s="158">
        <f t="shared" si="0"/>
        <v>3.07</v>
      </c>
      <c r="F106" s="158">
        <f t="shared" si="0"/>
        <v>1.08</v>
      </c>
      <c r="G106" s="158">
        <f t="shared" si="0"/>
        <v>1.65</v>
      </c>
      <c r="H106" s="158">
        <f t="shared" si="0"/>
        <v>0.77</v>
      </c>
      <c r="I106" s="158">
        <f t="shared" si="0"/>
        <v>2.4300000000000002</v>
      </c>
      <c r="J106" s="158">
        <f t="shared" si="0"/>
        <v>0.46</v>
      </c>
      <c r="K106" s="158">
        <f t="shared" si="0"/>
        <v>248.68</v>
      </c>
      <c r="L106" s="158">
        <f t="shared" si="0"/>
        <v>24.41</v>
      </c>
      <c r="M106" s="158">
        <f t="shared" si="0"/>
        <v>76.25</v>
      </c>
      <c r="N106" s="158">
        <f t="shared" si="0"/>
        <v>2</v>
      </c>
      <c r="O106" s="158">
        <f t="shared" si="0"/>
        <v>0</v>
      </c>
      <c r="P106" s="158">
        <f t="shared" si="0"/>
        <v>0.06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6.22</v>
      </c>
      <c r="C107" s="157">
        <f t="shared" ref="C107:Q107" si="1">MAX(C9:C104)</f>
        <v>14.37</v>
      </c>
      <c r="D107" s="157">
        <f t="shared" si="1"/>
        <v>12.16</v>
      </c>
      <c r="E107" s="157">
        <f t="shared" si="1"/>
        <v>6.62</v>
      </c>
      <c r="F107" s="157">
        <f t="shared" si="1"/>
        <v>4.43</v>
      </c>
      <c r="G107" s="157">
        <f t="shared" si="1"/>
        <v>16.78</v>
      </c>
      <c r="H107" s="157">
        <f t="shared" si="1"/>
        <v>8.18</v>
      </c>
      <c r="I107" s="157">
        <f t="shared" si="1"/>
        <v>2.89</v>
      </c>
      <c r="J107" s="157">
        <f t="shared" si="1"/>
        <v>1.42</v>
      </c>
      <c r="K107" s="157">
        <f t="shared" si="1"/>
        <v>275.70999999999998</v>
      </c>
      <c r="L107" s="157">
        <f t="shared" si="1"/>
        <v>28.51</v>
      </c>
      <c r="M107" s="157">
        <f t="shared" si="1"/>
        <v>97.69</v>
      </c>
      <c r="N107" s="157">
        <f t="shared" si="1"/>
        <v>383.1</v>
      </c>
      <c r="O107" s="157">
        <f t="shared" si="1"/>
        <v>0.4</v>
      </c>
      <c r="P107" s="157">
        <f t="shared" si="1"/>
        <v>0.14000000000000001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4.3459374999999989</v>
      </c>
      <c r="C108" s="158">
        <f t="shared" ref="C108:Q108" si="2">AVERAGE(C9:C104)</f>
        <v>13.375000000000002</v>
      </c>
      <c r="D108" s="158">
        <f t="shared" si="2"/>
        <v>10.473854166666667</v>
      </c>
      <c r="E108" s="158">
        <f t="shared" si="2"/>
        <v>4.5859375000000009</v>
      </c>
      <c r="F108" s="158">
        <f t="shared" si="2"/>
        <v>2.3114583333333325</v>
      </c>
      <c r="G108" s="158">
        <f t="shared" si="2"/>
        <v>6.6917708333333339</v>
      </c>
      <c r="H108" s="158">
        <f t="shared" si="2"/>
        <v>2.8420833333333331</v>
      </c>
      <c r="I108" s="158">
        <f t="shared" si="2"/>
        <v>2.666770833333334</v>
      </c>
      <c r="J108" s="158">
        <f t="shared" si="2"/>
        <v>0.75906249999999964</v>
      </c>
      <c r="K108" s="158">
        <f t="shared" si="2"/>
        <v>254.16958333333332</v>
      </c>
      <c r="L108" s="158">
        <f t="shared" si="2"/>
        <v>26.215729166666673</v>
      </c>
      <c r="M108" s="158">
        <f t="shared" si="2"/>
        <v>87.168229166666663</v>
      </c>
      <c r="N108" s="158">
        <f t="shared" si="2"/>
        <v>60.895833333333314</v>
      </c>
      <c r="O108" s="158">
        <f t="shared" si="2"/>
        <v>1.2499999999999999E-2</v>
      </c>
      <c r="P108" s="158">
        <f t="shared" si="2"/>
        <v>0.1066666666666667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0.78627245595913309</v>
      </c>
      <c r="C109" s="158">
        <f t="shared" ref="C109:Q109" si="3">STDEV(C9:C104)</f>
        <v>0.55378316106007086</v>
      </c>
      <c r="D109" s="158">
        <f t="shared" si="3"/>
        <v>0.74369117783019079</v>
      </c>
      <c r="E109" s="158">
        <f t="shared" si="3"/>
        <v>0.92673459338633546</v>
      </c>
      <c r="F109" s="158">
        <f t="shared" si="3"/>
        <v>0.63101752276390333</v>
      </c>
      <c r="G109" s="158">
        <f t="shared" si="3"/>
        <v>4.0275854056197762</v>
      </c>
      <c r="H109" s="158">
        <f t="shared" si="3"/>
        <v>2.3998025869100879</v>
      </c>
      <c r="I109" s="158">
        <f t="shared" si="3"/>
        <v>0.10606348438222384</v>
      </c>
      <c r="J109" s="158">
        <f t="shared" si="3"/>
        <v>0.17383645141944704</v>
      </c>
      <c r="K109" s="158">
        <f t="shared" si="3"/>
        <v>3.2322981612946466</v>
      </c>
      <c r="L109" s="158">
        <f t="shared" si="3"/>
        <v>1.2789212105205296</v>
      </c>
      <c r="M109" s="158">
        <f t="shared" si="3"/>
        <v>6.445134924853118</v>
      </c>
      <c r="N109" s="158">
        <f t="shared" si="3"/>
        <v>81.649071824635982</v>
      </c>
      <c r="O109" s="158">
        <f t="shared" si="3"/>
        <v>5.6661506472996941E-2</v>
      </c>
      <c r="P109" s="158">
        <f t="shared" si="3"/>
        <v>2.5982450217372298E-2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R12" sqref="R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2832</v>
      </c>
      <c r="B9" s="100">
        <v>5.16</v>
      </c>
      <c r="C9" s="100">
        <v>13.02</v>
      </c>
      <c r="D9" s="100">
        <v>10.94</v>
      </c>
      <c r="E9" s="100">
        <v>4.97</v>
      </c>
      <c r="F9" s="100">
        <v>2.6</v>
      </c>
      <c r="G9" s="100">
        <v>5.03</v>
      </c>
      <c r="H9" s="100">
        <v>2.99</v>
      </c>
      <c r="I9" s="100">
        <v>2.69</v>
      </c>
      <c r="J9" s="100">
        <v>0.36</v>
      </c>
      <c r="K9" s="100">
        <v>246.62</v>
      </c>
      <c r="L9" s="100">
        <v>25.7</v>
      </c>
      <c r="M9" s="100">
        <v>91.83</v>
      </c>
      <c r="N9" s="100">
        <v>2.2999999999999998</v>
      </c>
      <c r="O9" s="100">
        <v>0</v>
      </c>
      <c r="P9" s="100">
        <v>0.1</v>
      </c>
      <c r="Q9" s="100">
        <v>10</v>
      </c>
      <c r="R9" s="6"/>
      <c r="S9" s="6"/>
      <c r="T9" s="156"/>
      <c r="U9" s="6"/>
    </row>
    <row r="10" spans="1:21" customFormat="1">
      <c r="A10" s="163" t="s">
        <v>2833</v>
      </c>
      <c r="B10" s="100">
        <v>5.15</v>
      </c>
      <c r="C10" s="100">
        <v>12.75</v>
      </c>
      <c r="D10" s="100">
        <v>10.79</v>
      </c>
      <c r="E10" s="100">
        <v>5.31</v>
      </c>
      <c r="F10" s="100">
        <v>1.93</v>
      </c>
      <c r="G10" s="100">
        <v>5.03</v>
      </c>
      <c r="H10" s="100">
        <v>2.99</v>
      </c>
      <c r="I10" s="100">
        <v>2.68</v>
      </c>
      <c r="J10" s="100">
        <v>0.38</v>
      </c>
      <c r="K10" s="100">
        <v>253.03</v>
      </c>
      <c r="L10" s="100">
        <v>25.67</v>
      </c>
      <c r="M10" s="100">
        <v>92.53</v>
      </c>
      <c r="N10" s="100">
        <v>2.2999999999999998</v>
      </c>
      <c r="O10" s="100">
        <v>0</v>
      </c>
      <c r="P10" s="100">
        <v>0.09</v>
      </c>
      <c r="Q10" s="100">
        <v>10</v>
      </c>
      <c r="R10" s="6"/>
      <c r="S10" s="6"/>
      <c r="T10" s="156"/>
      <c r="U10" s="6"/>
    </row>
    <row r="11" spans="1:21" customFormat="1">
      <c r="A11" s="163" t="s">
        <v>2834</v>
      </c>
      <c r="B11" s="100">
        <v>5.12</v>
      </c>
      <c r="C11" s="100">
        <v>12.38</v>
      </c>
      <c r="D11" s="100">
        <v>10.57</v>
      </c>
      <c r="E11" s="100">
        <v>5.0999999999999996</v>
      </c>
      <c r="F11" s="100">
        <v>2.8</v>
      </c>
      <c r="G11" s="100">
        <v>5.03</v>
      </c>
      <c r="H11" s="100">
        <v>2.99</v>
      </c>
      <c r="I11" s="100">
        <v>2.75</v>
      </c>
      <c r="J11" s="100">
        <v>0.43</v>
      </c>
      <c r="K11" s="100">
        <v>253.77</v>
      </c>
      <c r="L11" s="100">
        <v>25.67</v>
      </c>
      <c r="M11" s="100">
        <v>93.07</v>
      </c>
      <c r="N11" s="100">
        <v>2.2000000000000002</v>
      </c>
      <c r="O11" s="100">
        <v>0</v>
      </c>
      <c r="P11" s="100">
        <v>0.08</v>
      </c>
      <c r="Q11" s="100">
        <v>10</v>
      </c>
      <c r="R11" s="6"/>
      <c r="S11" s="6"/>
      <c r="T11" s="156"/>
      <c r="U11" s="6"/>
    </row>
    <row r="12" spans="1:21" customFormat="1">
      <c r="A12" s="163" t="s">
        <v>2835</v>
      </c>
      <c r="B12" s="100">
        <v>5.42</v>
      </c>
      <c r="C12" s="100">
        <v>12.87</v>
      </c>
      <c r="D12" s="100">
        <v>11.08</v>
      </c>
      <c r="E12" s="100">
        <v>5.15</v>
      </c>
      <c r="F12" s="100">
        <v>2.75</v>
      </c>
      <c r="G12" s="100">
        <v>5.01</v>
      </c>
      <c r="H12" s="100">
        <v>2.78</v>
      </c>
      <c r="I12" s="100">
        <v>2.7</v>
      </c>
      <c r="J12" s="100">
        <v>0.35</v>
      </c>
      <c r="K12" s="100">
        <v>248.82</v>
      </c>
      <c r="L12" s="100">
        <v>25.66</v>
      </c>
      <c r="M12" s="100">
        <v>93.49</v>
      </c>
      <c r="N12" s="100">
        <v>2.2000000000000002</v>
      </c>
      <c r="O12" s="100">
        <v>0</v>
      </c>
      <c r="P12" s="100">
        <v>0.09</v>
      </c>
      <c r="Q12" s="100">
        <v>10</v>
      </c>
      <c r="R12" s="6"/>
      <c r="S12" s="6"/>
      <c r="T12" s="156"/>
      <c r="U12" s="6"/>
    </row>
    <row r="13" spans="1:21" customFormat="1">
      <c r="A13" s="163" t="s">
        <v>2836</v>
      </c>
      <c r="B13" s="100">
        <v>5.7</v>
      </c>
      <c r="C13" s="100">
        <v>13.05</v>
      </c>
      <c r="D13" s="100">
        <v>11.39</v>
      </c>
      <c r="E13" s="100">
        <v>5.28</v>
      </c>
      <c r="F13" s="100">
        <v>1.26</v>
      </c>
      <c r="G13" s="100">
        <v>4.9800000000000004</v>
      </c>
      <c r="H13" s="100">
        <v>2.23</v>
      </c>
      <c r="I13" s="100">
        <v>2.7</v>
      </c>
      <c r="J13" s="100">
        <v>0.46</v>
      </c>
      <c r="K13" s="100">
        <v>253.12</v>
      </c>
      <c r="L13" s="100">
        <v>25.66</v>
      </c>
      <c r="M13" s="100">
        <v>93.48</v>
      </c>
      <c r="N13" s="100">
        <v>2.2000000000000002</v>
      </c>
      <c r="O13" s="100">
        <v>0</v>
      </c>
      <c r="P13" s="100">
        <v>0.1</v>
      </c>
      <c r="Q13" s="100">
        <v>10</v>
      </c>
      <c r="R13" s="6"/>
      <c r="S13" s="6"/>
      <c r="T13" s="156"/>
      <c r="U13" s="6"/>
    </row>
    <row r="14" spans="1:21" customFormat="1">
      <c r="A14" s="163" t="s">
        <v>2837</v>
      </c>
      <c r="B14" s="100">
        <v>5.68</v>
      </c>
      <c r="C14" s="100">
        <v>12.57</v>
      </c>
      <c r="D14" s="100">
        <v>11.12</v>
      </c>
      <c r="E14" s="100">
        <v>5.48</v>
      </c>
      <c r="F14" s="100">
        <v>2.0499999999999998</v>
      </c>
      <c r="G14" s="100">
        <v>4.9800000000000004</v>
      </c>
      <c r="H14" s="100">
        <v>2.23</v>
      </c>
      <c r="I14" s="100">
        <v>2.82</v>
      </c>
      <c r="J14" s="100">
        <v>0.52</v>
      </c>
      <c r="K14" s="100">
        <v>254.88</v>
      </c>
      <c r="L14" s="100">
        <v>25.65</v>
      </c>
      <c r="M14" s="100">
        <v>93.05</v>
      </c>
      <c r="N14" s="100">
        <v>2.2000000000000002</v>
      </c>
      <c r="O14" s="100">
        <v>0</v>
      </c>
      <c r="P14" s="100">
        <v>0.09</v>
      </c>
      <c r="Q14" s="100">
        <v>10</v>
      </c>
      <c r="R14" s="6"/>
      <c r="S14" s="6"/>
      <c r="T14" s="156"/>
      <c r="U14" s="6"/>
    </row>
    <row r="15" spans="1:21" customFormat="1">
      <c r="A15" s="163" t="s">
        <v>2838</v>
      </c>
      <c r="B15" s="100">
        <v>5.79</v>
      </c>
      <c r="C15" s="100">
        <v>12.82</v>
      </c>
      <c r="D15" s="100">
        <v>11.34</v>
      </c>
      <c r="E15" s="100">
        <v>5.21</v>
      </c>
      <c r="F15" s="100">
        <v>2.84</v>
      </c>
      <c r="G15" s="100">
        <v>4.9800000000000004</v>
      </c>
      <c r="H15" s="100">
        <v>2.23</v>
      </c>
      <c r="I15" s="100">
        <v>2.93</v>
      </c>
      <c r="J15" s="100">
        <v>0.51</v>
      </c>
      <c r="K15" s="100">
        <v>253.24</v>
      </c>
      <c r="L15" s="100">
        <v>25.68</v>
      </c>
      <c r="M15" s="100">
        <v>92.15</v>
      </c>
      <c r="N15" s="100">
        <v>2.1</v>
      </c>
      <c r="O15" s="100">
        <v>0</v>
      </c>
      <c r="P15" s="100">
        <v>0.08</v>
      </c>
      <c r="Q15" s="100">
        <v>10</v>
      </c>
      <c r="R15" s="6"/>
      <c r="S15" s="6"/>
      <c r="T15" s="156"/>
      <c r="U15" s="6"/>
    </row>
    <row r="16" spans="1:21" customFormat="1">
      <c r="A16" s="163" t="s">
        <v>2839</v>
      </c>
      <c r="B16" s="100">
        <v>6.02</v>
      </c>
      <c r="C16" s="100">
        <v>13.09</v>
      </c>
      <c r="D16" s="100">
        <v>11.66</v>
      </c>
      <c r="E16" s="100">
        <v>5.07</v>
      </c>
      <c r="F16" s="100">
        <v>1.83</v>
      </c>
      <c r="G16" s="100">
        <v>4.5999999999999996</v>
      </c>
      <c r="H16" s="100">
        <v>1.88</v>
      </c>
      <c r="I16" s="100">
        <v>2.89</v>
      </c>
      <c r="J16" s="100">
        <v>0.7</v>
      </c>
      <c r="K16" s="100">
        <v>253.67</v>
      </c>
      <c r="L16" s="100">
        <v>25.76</v>
      </c>
      <c r="M16" s="100">
        <v>90.88</v>
      </c>
      <c r="N16" s="100">
        <v>2.1</v>
      </c>
      <c r="O16" s="100">
        <v>0</v>
      </c>
      <c r="P16" s="100">
        <v>0.1</v>
      </c>
      <c r="Q16" s="100">
        <v>10</v>
      </c>
      <c r="R16" s="6"/>
      <c r="S16" s="6"/>
      <c r="T16" s="156"/>
      <c r="U16" s="6"/>
    </row>
    <row r="17" spans="1:21" customFormat="1">
      <c r="A17" s="163" t="s">
        <v>2840</v>
      </c>
      <c r="B17" s="100">
        <v>5.99</v>
      </c>
      <c r="C17" s="100">
        <v>12.53</v>
      </c>
      <c r="D17" s="100">
        <v>11.35</v>
      </c>
      <c r="E17" s="100">
        <v>4.41</v>
      </c>
      <c r="F17" s="100">
        <v>2.44</v>
      </c>
      <c r="G17" s="100">
        <v>3.99</v>
      </c>
      <c r="H17" s="100">
        <v>1.56</v>
      </c>
      <c r="I17" s="100">
        <v>2.88</v>
      </c>
      <c r="J17" s="100">
        <v>0.77</v>
      </c>
      <c r="K17" s="100">
        <v>253.46</v>
      </c>
      <c r="L17" s="100">
        <v>25.81</v>
      </c>
      <c r="M17" s="100">
        <v>89.54</v>
      </c>
      <c r="N17" s="100">
        <v>2.1</v>
      </c>
      <c r="O17" s="100">
        <v>0</v>
      </c>
      <c r="P17" s="100">
        <v>0.08</v>
      </c>
      <c r="Q17" s="100">
        <v>10</v>
      </c>
      <c r="R17" s="6"/>
      <c r="S17" s="6"/>
      <c r="T17" s="156"/>
      <c r="U17" s="6"/>
    </row>
    <row r="18" spans="1:21" customFormat="1">
      <c r="A18" s="163" t="s">
        <v>2841</v>
      </c>
      <c r="B18" s="100">
        <v>5.99</v>
      </c>
      <c r="C18" s="100">
        <v>12.76</v>
      </c>
      <c r="D18" s="100">
        <v>11.47</v>
      </c>
      <c r="E18" s="100">
        <v>5.33</v>
      </c>
      <c r="F18" s="100">
        <v>2.2999999999999998</v>
      </c>
      <c r="G18" s="100">
        <v>3.99</v>
      </c>
      <c r="H18" s="100">
        <v>1.56</v>
      </c>
      <c r="I18" s="100">
        <v>2.95</v>
      </c>
      <c r="J18" s="100">
        <v>0.65</v>
      </c>
      <c r="K18" s="100">
        <v>253.17</v>
      </c>
      <c r="L18" s="100">
        <v>25.76</v>
      </c>
      <c r="M18" s="100">
        <v>89.15</v>
      </c>
      <c r="N18" s="100">
        <v>2.2000000000000002</v>
      </c>
      <c r="O18" s="100">
        <v>0</v>
      </c>
      <c r="P18" s="100">
        <v>0.09</v>
      </c>
      <c r="Q18" s="100">
        <v>10</v>
      </c>
      <c r="R18" s="6"/>
      <c r="S18" s="6"/>
      <c r="T18" s="156"/>
      <c r="U18" s="6"/>
    </row>
    <row r="19" spans="1:21" customFormat="1">
      <c r="A19" s="163" t="s">
        <v>2842</v>
      </c>
      <c r="B19" s="100">
        <v>5.82</v>
      </c>
      <c r="C19" s="100">
        <v>13.37</v>
      </c>
      <c r="D19" s="100">
        <v>11.65</v>
      </c>
      <c r="E19" s="100">
        <v>5.22</v>
      </c>
      <c r="F19" s="100">
        <v>2.2799999999999998</v>
      </c>
      <c r="G19" s="100">
        <v>3.99</v>
      </c>
      <c r="H19" s="100">
        <v>1.56</v>
      </c>
      <c r="I19" s="100">
        <v>2.89</v>
      </c>
      <c r="J19" s="100">
        <v>0.61</v>
      </c>
      <c r="K19" s="100">
        <v>255.33</v>
      </c>
      <c r="L19" s="100">
        <v>25.78</v>
      </c>
      <c r="M19" s="100">
        <v>88.32</v>
      </c>
      <c r="N19" s="100">
        <v>2.2999999999999998</v>
      </c>
      <c r="O19" s="100">
        <v>0</v>
      </c>
      <c r="P19" s="100">
        <v>0.12</v>
      </c>
      <c r="Q19" s="100">
        <v>10</v>
      </c>
      <c r="R19" s="6"/>
      <c r="S19" s="6"/>
      <c r="T19" s="156"/>
      <c r="U19" s="6"/>
    </row>
    <row r="20" spans="1:21" customFormat="1">
      <c r="A20" s="163" t="s">
        <v>2843</v>
      </c>
      <c r="B20" s="100">
        <v>5.59</v>
      </c>
      <c r="C20" s="100">
        <v>13.7</v>
      </c>
      <c r="D20" s="100">
        <v>11.64</v>
      </c>
      <c r="E20" s="100">
        <v>5.0999999999999996</v>
      </c>
      <c r="F20" s="100">
        <v>2.21</v>
      </c>
      <c r="G20" s="100">
        <v>3.7</v>
      </c>
      <c r="H20" s="100">
        <v>1.33</v>
      </c>
      <c r="I20" s="100">
        <v>2.8</v>
      </c>
      <c r="J20" s="100">
        <v>0.72</v>
      </c>
      <c r="K20" s="100">
        <v>250.63</v>
      </c>
      <c r="L20" s="100">
        <v>25.86</v>
      </c>
      <c r="M20" s="100">
        <v>86.6</v>
      </c>
      <c r="N20" s="100">
        <v>2.1</v>
      </c>
      <c r="O20" s="100">
        <v>0</v>
      </c>
      <c r="P20" s="100">
        <v>0.13</v>
      </c>
      <c r="Q20" s="100">
        <v>10</v>
      </c>
      <c r="R20" s="6"/>
      <c r="S20" s="6"/>
      <c r="T20" s="156"/>
      <c r="U20" s="6"/>
    </row>
    <row r="21" spans="1:21" customFormat="1">
      <c r="A21" s="163" t="s">
        <v>2844</v>
      </c>
      <c r="B21" s="100">
        <v>5.42</v>
      </c>
      <c r="C21" s="100">
        <v>13.86</v>
      </c>
      <c r="D21" s="100">
        <v>11.59</v>
      </c>
      <c r="E21" s="100">
        <v>5.21</v>
      </c>
      <c r="F21" s="100">
        <v>2.36</v>
      </c>
      <c r="G21" s="100">
        <v>3.25</v>
      </c>
      <c r="H21" s="100">
        <v>1.1200000000000001</v>
      </c>
      <c r="I21" s="100">
        <v>2.79</v>
      </c>
      <c r="J21" s="100">
        <v>0.54</v>
      </c>
      <c r="K21" s="100">
        <v>251.22</v>
      </c>
      <c r="L21" s="100">
        <v>25.84</v>
      </c>
      <c r="M21" s="100">
        <v>86.64</v>
      </c>
      <c r="N21" s="100">
        <v>2.4</v>
      </c>
      <c r="O21" s="100">
        <v>0</v>
      </c>
      <c r="P21" s="100">
        <v>0.12</v>
      </c>
      <c r="Q21" s="100">
        <v>10</v>
      </c>
      <c r="R21" s="6"/>
      <c r="S21" s="6"/>
      <c r="T21" s="156"/>
      <c r="U21" s="6"/>
    </row>
    <row r="22" spans="1:21" customFormat="1">
      <c r="A22" s="163" t="s">
        <v>2845</v>
      </c>
      <c r="B22" s="100">
        <v>5.22</v>
      </c>
      <c r="C22" s="100">
        <v>14.01</v>
      </c>
      <c r="D22" s="100">
        <v>11.5</v>
      </c>
      <c r="E22" s="100">
        <v>5.43</v>
      </c>
      <c r="F22" s="100">
        <v>2.31</v>
      </c>
      <c r="G22" s="100">
        <v>3.25</v>
      </c>
      <c r="H22" s="100">
        <v>1.1200000000000001</v>
      </c>
      <c r="I22" s="100">
        <v>2.77</v>
      </c>
      <c r="J22" s="100">
        <v>0.67</v>
      </c>
      <c r="K22" s="100">
        <v>253.96</v>
      </c>
      <c r="L22" s="100">
        <v>25.63</v>
      </c>
      <c r="M22" s="100">
        <v>88.29</v>
      </c>
      <c r="N22" s="100">
        <v>3.2</v>
      </c>
      <c r="O22" s="100">
        <v>0.4</v>
      </c>
      <c r="P22" s="100">
        <v>0.12</v>
      </c>
      <c r="Q22" s="100">
        <v>10</v>
      </c>
      <c r="R22" s="6"/>
      <c r="S22" s="6"/>
      <c r="T22" s="156"/>
      <c r="U22" s="6"/>
    </row>
    <row r="23" spans="1:21" customFormat="1">
      <c r="A23" s="163" t="s">
        <v>2846</v>
      </c>
      <c r="B23" s="100">
        <v>5.05</v>
      </c>
      <c r="C23" s="100">
        <v>14.13</v>
      </c>
      <c r="D23" s="100">
        <v>11.44</v>
      </c>
      <c r="E23" s="100">
        <v>5.51</v>
      </c>
      <c r="F23" s="100">
        <v>2.2400000000000002</v>
      </c>
      <c r="G23" s="100">
        <v>3.25</v>
      </c>
      <c r="H23" s="100">
        <v>1.1200000000000001</v>
      </c>
      <c r="I23" s="100">
        <v>2.83</v>
      </c>
      <c r="J23" s="100">
        <v>0.43</v>
      </c>
      <c r="K23" s="100">
        <v>244.35</v>
      </c>
      <c r="L23" s="100">
        <v>24.92</v>
      </c>
      <c r="M23" s="100">
        <v>94.5</v>
      </c>
      <c r="N23" s="100">
        <v>3</v>
      </c>
      <c r="O23" s="100">
        <v>0</v>
      </c>
      <c r="P23" s="100">
        <v>0.13</v>
      </c>
      <c r="Q23" s="100">
        <v>10</v>
      </c>
      <c r="R23" s="6"/>
      <c r="S23" s="6"/>
      <c r="T23" s="156"/>
      <c r="U23" s="6"/>
    </row>
    <row r="24" spans="1:21" customFormat="1">
      <c r="A24" s="163" t="s">
        <v>2847</v>
      </c>
      <c r="B24" s="100">
        <v>4.9400000000000004</v>
      </c>
      <c r="C24" s="100">
        <v>14.19</v>
      </c>
      <c r="D24" s="100">
        <v>11.37</v>
      </c>
      <c r="E24" s="100">
        <v>5.42</v>
      </c>
      <c r="F24" s="100">
        <v>2.4</v>
      </c>
      <c r="G24" s="100">
        <v>4.75</v>
      </c>
      <c r="H24" s="100">
        <v>0.97</v>
      </c>
      <c r="I24" s="100">
        <v>2.72</v>
      </c>
      <c r="J24" s="100">
        <v>0.39</v>
      </c>
      <c r="K24" s="100">
        <v>250.63</v>
      </c>
      <c r="L24" s="100">
        <v>24.69</v>
      </c>
      <c r="M24" s="100">
        <v>96.61</v>
      </c>
      <c r="N24" s="100">
        <v>2.4</v>
      </c>
      <c r="O24" s="100">
        <v>0</v>
      </c>
      <c r="P24" s="100">
        <v>0.12</v>
      </c>
      <c r="Q24" s="100">
        <v>10</v>
      </c>
      <c r="R24" s="6"/>
      <c r="S24" s="6"/>
      <c r="T24" s="156"/>
      <c r="U24" s="6"/>
    </row>
    <row r="25" spans="1:21" customFormat="1">
      <c r="A25" s="163" t="s">
        <v>2848</v>
      </c>
      <c r="B25" s="100">
        <v>4.92</v>
      </c>
      <c r="C25" s="100">
        <v>14.21</v>
      </c>
      <c r="D25" s="100">
        <v>11.37</v>
      </c>
      <c r="E25" s="100">
        <v>5.59</v>
      </c>
      <c r="F25" s="100">
        <v>1.91</v>
      </c>
      <c r="G25" s="100">
        <v>7</v>
      </c>
      <c r="H25" s="100">
        <v>0.83</v>
      </c>
      <c r="I25" s="100">
        <v>2.65</v>
      </c>
      <c r="J25" s="100">
        <v>0.48</v>
      </c>
      <c r="K25" s="100">
        <v>253.4</v>
      </c>
      <c r="L25" s="100">
        <v>24.67</v>
      </c>
      <c r="M25" s="100">
        <v>97.33</v>
      </c>
      <c r="N25" s="100">
        <v>2.4</v>
      </c>
      <c r="O25" s="100">
        <v>0</v>
      </c>
      <c r="P25" s="100">
        <v>0.12</v>
      </c>
      <c r="Q25" s="100">
        <v>10</v>
      </c>
      <c r="R25" s="6"/>
      <c r="S25" s="6"/>
      <c r="T25" s="156"/>
      <c r="U25" s="6"/>
    </row>
    <row r="26" spans="1:21" customFormat="1">
      <c r="A26" s="163" t="s">
        <v>2849</v>
      </c>
      <c r="B26" s="100">
        <v>4.8600000000000003</v>
      </c>
      <c r="C26" s="100">
        <v>14.21</v>
      </c>
      <c r="D26" s="100">
        <v>11.32</v>
      </c>
      <c r="E26" s="100">
        <v>5.38</v>
      </c>
      <c r="F26" s="100">
        <v>1.73</v>
      </c>
      <c r="G26" s="100">
        <v>7</v>
      </c>
      <c r="H26" s="100">
        <v>0.83</v>
      </c>
      <c r="I26" s="100">
        <v>2.64</v>
      </c>
      <c r="J26" s="100">
        <v>0.38</v>
      </c>
      <c r="K26" s="100">
        <v>252.93</v>
      </c>
      <c r="L26" s="100">
        <v>24.6</v>
      </c>
      <c r="M26" s="100">
        <v>97.72</v>
      </c>
      <c r="N26" s="100">
        <v>2.2999999999999998</v>
      </c>
      <c r="O26" s="100">
        <v>0.2</v>
      </c>
      <c r="P26" s="100">
        <v>0.13</v>
      </c>
      <c r="Q26" s="100">
        <v>10</v>
      </c>
      <c r="R26" s="6"/>
      <c r="S26" s="6"/>
      <c r="T26" s="156"/>
      <c r="U26" s="6"/>
    </row>
    <row r="27" spans="1:21" customFormat="1">
      <c r="A27" s="163" t="s">
        <v>2850</v>
      </c>
      <c r="B27" s="100">
        <v>4.8099999999999996</v>
      </c>
      <c r="C27" s="100">
        <v>14.14</v>
      </c>
      <c r="D27" s="100">
        <v>11.25</v>
      </c>
      <c r="E27" s="100">
        <v>5.57</v>
      </c>
      <c r="F27" s="100">
        <v>1.76</v>
      </c>
      <c r="G27" s="100">
        <v>7</v>
      </c>
      <c r="H27" s="100">
        <v>0.83</v>
      </c>
      <c r="I27" s="100">
        <v>2.61</v>
      </c>
      <c r="J27" s="100">
        <v>0.49</v>
      </c>
      <c r="K27" s="100">
        <v>251.98</v>
      </c>
      <c r="L27" s="100">
        <v>24.62</v>
      </c>
      <c r="M27" s="100">
        <v>98</v>
      </c>
      <c r="N27" s="100">
        <v>2.2999999999999998</v>
      </c>
      <c r="O27" s="100">
        <v>0</v>
      </c>
      <c r="P27" s="100">
        <v>0.12</v>
      </c>
      <c r="Q27" s="100">
        <v>10</v>
      </c>
      <c r="R27" s="6"/>
      <c r="S27" s="6"/>
      <c r="T27" s="156"/>
      <c r="U27" s="6"/>
    </row>
    <row r="28" spans="1:21" customFormat="1">
      <c r="A28" s="163" t="s">
        <v>2851</v>
      </c>
      <c r="B28" s="100">
        <v>4.8</v>
      </c>
      <c r="C28" s="100">
        <v>14.02</v>
      </c>
      <c r="D28" s="100">
        <v>11.17</v>
      </c>
      <c r="E28" s="100">
        <v>5.84</v>
      </c>
      <c r="F28" s="100">
        <v>1.77</v>
      </c>
      <c r="G28" s="100">
        <v>6.24</v>
      </c>
      <c r="H28" s="100">
        <v>1.08</v>
      </c>
      <c r="I28" s="100">
        <v>2.54</v>
      </c>
      <c r="J28" s="100">
        <v>0.7</v>
      </c>
      <c r="K28" s="100">
        <v>256.27999999999997</v>
      </c>
      <c r="L28" s="100">
        <v>24.6</v>
      </c>
      <c r="M28" s="100">
        <v>98.01</v>
      </c>
      <c r="N28" s="100">
        <v>2.4</v>
      </c>
      <c r="O28" s="100">
        <v>0</v>
      </c>
      <c r="P28" s="100">
        <v>0.12</v>
      </c>
      <c r="Q28" s="100">
        <v>10</v>
      </c>
      <c r="R28" s="6"/>
      <c r="S28" s="6"/>
      <c r="T28" s="156"/>
      <c r="U28" s="6"/>
    </row>
    <row r="29" spans="1:21" customFormat="1">
      <c r="A29" s="163" t="s">
        <v>2852</v>
      </c>
      <c r="B29" s="100">
        <v>4.76</v>
      </c>
      <c r="C29" s="100">
        <v>13.99</v>
      </c>
      <c r="D29" s="100">
        <v>11.13</v>
      </c>
      <c r="E29" s="100">
        <v>5.68</v>
      </c>
      <c r="F29" s="100">
        <v>1.76</v>
      </c>
      <c r="G29" s="100">
        <v>5.09</v>
      </c>
      <c r="H29" s="100">
        <v>1.78</v>
      </c>
      <c r="I29" s="100">
        <v>2.52</v>
      </c>
      <c r="J29" s="100">
        <v>0.78</v>
      </c>
      <c r="K29" s="100">
        <v>256.45999999999998</v>
      </c>
      <c r="L29" s="100">
        <v>24.68</v>
      </c>
      <c r="M29" s="100">
        <v>97.15</v>
      </c>
      <c r="N29" s="100">
        <v>2.7</v>
      </c>
      <c r="O29" s="100">
        <v>0</v>
      </c>
      <c r="P29" s="100">
        <v>0.12</v>
      </c>
      <c r="Q29" s="100">
        <v>10</v>
      </c>
      <c r="R29" s="6"/>
      <c r="S29" s="6"/>
      <c r="T29" s="156"/>
      <c r="U29" s="6"/>
    </row>
    <row r="30" spans="1:21" customFormat="1">
      <c r="A30" s="163" t="s">
        <v>2853</v>
      </c>
      <c r="B30" s="100">
        <v>4.68</v>
      </c>
      <c r="C30" s="100">
        <v>13.94</v>
      </c>
      <c r="D30" s="100">
        <v>11.04</v>
      </c>
      <c r="E30" s="100">
        <v>6.06</v>
      </c>
      <c r="F30" s="100">
        <v>1.8</v>
      </c>
      <c r="G30" s="100">
        <v>5.09</v>
      </c>
      <c r="H30" s="100">
        <v>1.78</v>
      </c>
      <c r="I30" s="100">
        <v>2.5099999999999998</v>
      </c>
      <c r="J30" s="100">
        <v>0.7</v>
      </c>
      <c r="K30" s="100">
        <v>255.55</v>
      </c>
      <c r="L30" s="100">
        <v>24.7</v>
      </c>
      <c r="M30" s="100">
        <v>95.82</v>
      </c>
      <c r="N30" s="100">
        <v>2.9</v>
      </c>
      <c r="O30" s="100">
        <v>0</v>
      </c>
      <c r="P30" s="100">
        <v>0.13</v>
      </c>
      <c r="Q30" s="100">
        <v>10</v>
      </c>
      <c r="R30" s="6"/>
      <c r="S30" s="6"/>
      <c r="T30" s="156"/>
      <c r="U30" s="6"/>
    </row>
    <row r="31" spans="1:21" customFormat="1">
      <c r="A31" s="163" t="s">
        <v>2854</v>
      </c>
      <c r="B31" s="100">
        <v>4.63</v>
      </c>
      <c r="C31" s="100">
        <v>13.78</v>
      </c>
      <c r="D31" s="100">
        <v>10.91</v>
      </c>
      <c r="E31" s="100">
        <v>5.68</v>
      </c>
      <c r="F31" s="100">
        <v>1.87</v>
      </c>
      <c r="G31" s="100">
        <v>5.09</v>
      </c>
      <c r="H31" s="100">
        <v>1.78</v>
      </c>
      <c r="I31" s="100">
        <v>2.52</v>
      </c>
      <c r="J31" s="100">
        <v>0.65</v>
      </c>
      <c r="K31" s="100">
        <v>253.97</v>
      </c>
      <c r="L31" s="100">
        <v>24.7</v>
      </c>
      <c r="M31" s="100">
        <v>95.18</v>
      </c>
      <c r="N31" s="100">
        <v>3.6</v>
      </c>
      <c r="O31" s="100">
        <v>0</v>
      </c>
      <c r="P31" s="100">
        <v>0.12</v>
      </c>
      <c r="Q31" s="100">
        <v>10</v>
      </c>
      <c r="R31" s="6"/>
      <c r="S31" s="6"/>
      <c r="T31" s="156"/>
      <c r="U31" s="6"/>
    </row>
    <row r="32" spans="1:21" customFormat="1">
      <c r="A32" s="163" t="s">
        <v>2855</v>
      </c>
      <c r="B32" s="100">
        <v>4.58</v>
      </c>
      <c r="C32" s="100">
        <v>13.72</v>
      </c>
      <c r="D32" s="100">
        <v>10.84</v>
      </c>
      <c r="E32" s="100">
        <v>5.92</v>
      </c>
      <c r="F32" s="100">
        <v>2.63</v>
      </c>
      <c r="G32" s="100">
        <v>4.58</v>
      </c>
      <c r="H32" s="100">
        <v>1.68</v>
      </c>
      <c r="I32" s="100">
        <v>2.5099999999999998</v>
      </c>
      <c r="J32" s="100">
        <v>0.64</v>
      </c>
      <c r="K32" s="100">
        <v>255.67</v>
      </c>
      <c r="L32" s="100">
        <v>24.72</v>
      </c>
      <c r="M32" s="100">
        <v>94.52</v>
      </c>
      <c r="N32" s="100">
        <v>6.5</v>
      </c>
      <c r="O32" s="100">
        <v>0</v>
      </c>
      <c r="P32" s="100">
        <v>0.12</v>
      </c>
      <c r="Q32" s="100">
        <v>10</v>
      </c>
      <c r="R32" s="6"/>
      <c r="S32" s="6"/>
      <c r="T32" s="156"/>
      <c r="U32" s="6"/>
    </row>
    <row r="33" spans="1:21" customFormat="1">
      <c r="A33" s="163" t="s">
        <v>2856</v>
      </c>
      <c r="B33" s="100">
        <v>4.54</v>
      </c>
      <c r="C33" s="100">
        <v>13.64</v>
      </c>
      <c r="D33" s="100">
        <v>10.77</v>
      </c>
      <c r="E33" s="100">
        <v>6.11</v>
      </c>
      <c r="F33" s="100">
        <v>1.89</v>
      </c>
      <c r="G33" s="100">
        <v>3.8</v>
      </c>
      <c r="H33" s="100">
        <v>1.59</v>
      </c>
      <c r="I33" s="100">
        <v>2.46</v>
      </c>
      <c r="J33" s="100">
        <v>0.63</v>
      </c>
      <c r="K33" s="100">
        <v>254.03</v>
      </c>
      <c r="L33" s="100">
        <v>24.76</v>
      </c>
      <c r="M33" s="100">
        <v>94.28</v>
      </c>
      <c r="N33" s="100">
        <v>13.3</v>
      </c>
      <c r="O33" s="100">
        <v>0</v>
      </c>
      <c r="P33" s="100">
        <v>0.12</v>
      </c>
      <c r="Q33" s="100">
        <v>10</v>
      </c>
      <c r="R33" s="6"/>
      <c r="S33" s="6"/>
      <c r="T33" s="156"/>
      <c r="U33" s="6"/>
    </row>
    <row r="34" spans="1:21" customFormat="1">
      <c r="A34" s="163" t="s">
        <v>2857</v>
      </c>
      <c r="B34" s="100">
        <v>4.49</v>
      </c>
      <c r="C34" s="100">
        <v>13.57</v>
      </c>
      <c r="D34" s="100">
        <v>10.69</v>
      </c>
      <c r="E34" s="100">
        <v>6.11</v>
      </c>
      <c r="F34" s="100">
        <v>1.65</v>
      </c>
      <c r="G34" s="100">
        <v>3.8</v>
      </c>
      <c r="H34" s="100">
        <v>1.59</v>
      </c>
      <c r="I34" s="100">
        <v>2.4300000000000002</v>
      </c>
      <c r="J34" s="100">
        <v>0.69</v>
      </c>
      <c r="K34" s="100">
        <v>255.47</v>
      </c>
      <c r="L34" s="100">
        <v>24.85</v>
      </c>
      <c r="M34" s="100">
        <v>93.95</v>
      </c>
      <c r="N34" s="100">
        <v>27.4</v>
      </c>
      <c r="O34" s="100">
        <v>0</v>
      </c>
      <c r="P34" s="100">
        <v>0.12</v>
      </c>
      <c r="Q34" s="100">
        <v>10</v>
      </c>
      <c r="R34" s="6"/>
      <c r="S34" s="6"/>
      <c r="T34" s="156"/>
      <c r="U34" s="6"/>
    </row>
    <row r="35" spans="1:21" customFormat="1">
      <c r="A35" s="163" t="s">
        <v>2858</v>
      </c>
      <c r="B35" s="100">
        <v>4.4800000000000004</v>
      </c>
      <c r="C35" s="100">
        <v>13.39</v>
      </c>
      <c r="D35" s="100">
        <v>10.59</v>
      </c>
      <c r="E35" s="100">
        <v>5.99</v>
      </c>
      <c r="F35" s="100">
        <v>2.11</v>
      </c>
      <c r="G35" s="100">
        <v>3.8</v>
      </c>
      <c r="H35" s="100">
        <v>1.59</v>
      </c>
      <c r="I35" s="100">
        <v>2.41</v>
      </c>
      <c r="J35" s="100">
        <v>0.72</v>
      </c>
      <c r="K35" s="100">
        <v>254.07</v>
      </c>
      <c r="L35" s="100">
        <v>24.98</v>
      </c>
      <c r="M35" s="100">
        <v>93.54</v>
      </c>
      <c r="N35" s="100">
        <v>44</v>
      </c>
      <c r="O35" s="100">
        <v>0</v>
      </c>
      <c r="P35" s="100">
        <v>0.12</v>
      </c>
      <c r="Q35" s="100">
        <v>10</v>
      </c>
      <c r="R35" s="6"/>
      <c r="S35" s="6"/>
      <c r="T35" s="156"/>
      <c r="U35" s="6"/>
    </row>
    <row r="36" spans="1:21" customFormat="1">
      <c r="A36" s="163" t="s">
        <v>2859</v>
      </c>
      <c r="B36" s="100">
        <v>4.4400000000000004</v>
      </c>
      <c r="C36" s="100">
        <v>13.37</v>
      </c>
      <c r="D36" s="100">
        <v>10.54</v>
      </c>
      <c r="E36" s="100">
        <v>5.85</v>
      </c>
      <c r="F36" s="100">
        <v>1.71</v>
      </c>
      <c r="G36" s="100">
        <v>3.75</v>
      </c>
      <c r="H36" s="100">
        <v>1.45</v>
      </c>
      <c r="I36" s="100">
        <v>2.41</v>
      </c>
      <c r="J36" s="100">
        <v>0.65</v>
      </c>
      <c r="K36" s="100">
        <v>253.5</v>
      </c>
      <c r="L36" s="100">
        <v>25.16</v>
      </c>
      <c r="M36" s="100">
        <v>93.08</v>
      </c>
      <c r="N36" s="100">
        <v>66.099999999999994</v>
      </c>
      <c r="O36" s="100">
        <v>0</v>
      </c>
      <c r="P36" s="100">
        <v>0.12</v>
      </c>
      <c r="Q36" s="100">
        <v>10</v>
      </c>
      <c r="R36" s="6"/>
      <c r="S36" s="6"/>
      <c r="T36" s="156"/>
      <c r="U36" s="6"/>
    </row>
    <row r="37" spans="1:21" customFormat="1">
      <c r="A37" s="163" t="s">
        <v>2860</v>
      </c>
      <c r="B37" s="100">
        <v>4.47</v>
      </c>
      <c r="C37" s="100">
        <v>13.38</v>
      </c>
      <c r="D37" s="100">
        <v>10.58</v>
      </c>
      <c r="E37" s="100">
        <v>5.89</v>
      </c>
      <c r="F37" s="100">
        <v>1.74</v>
      </c>
      <c r="G37" s="100">
        <v>3.69</v>
      </c>
      <c r="H37" s="100">
        <v>1.33</v>
      </c>
      <c r="I37" s="100">
        <v>2.4500000000000002</v>
      </c>
      <c r="J37" s="100">
        <v>0.83</v>
      </c>
      <c r="K37" s="100">
        <v>252.57</v>
      </c>
      <c r="L37" s="100">
        <v>25.51</v>
      </c>
      <c r="M37" s="100">
        <v>91.53</v>
      </c>
      <c r="N37" s="100">
        <v>93.2</v>
      </c>
      <c r="O37" s="100">
        <v>0</v>
      </c>
      <c r="P37" s="100">
        <v>0.12</v>
      </c>
      <c r="Q37" s="100">
        <v>10</v>
      </c>
      <c r="R37" s="6"/>
      <c r="S37" s="6"/>
      <c r="T37" s="156"/>
      <c r="U37" s="6"/>
    </row>
    <row r="38" spans="1:21" customFormat="1">
      <c r="A38" s="163" t="s">
        <v>2861</v>
      </c>
      <c r="B38" s="100">
        <v>4.51</v>
      </c>
      <c r="C38" s="100">
        <v>13.42</v>
      </c>
      <c r="D38" s="100">
        <v>10.62</v>
      </c>
      <c r="E38" s="100">
        <v>5.99</v>
      </c>
      <c r="F38" s="100">
        <v>1.82</v>
      </c>
      <c r="G38" s="100">
        <v>3.69</v>
      </c>
      <c r="H38" s="100">
        <v>1.33</v>
      </c>
      <c r="I38" s="100">
        <v>2.4900000000000002</v>
      </c>
      <c r="J38" s="100">
        <v>0.64</v>
      </c>
      <c r="K38" s="100">
        <v>254.65</v>
      </c>
      <c r="L38" s="100">
        <v>25.82</v>
      </c>
      <c r="M38" s="100">
        <v>90.6</v>
      </c>
      <c r="N38" s="100">
        <v>95.8</v>
      </c>
      <c r="O38" s="100">
        <v>0</v>
      </c>
      <c r="P38" s="100">
        <v>0.13</v>
      </c>
      <c r="Q38" s="100">
        <v>10</v>
      </c>
      <c r="R38" s="6"/>
      <c r="S38" s="6"/>
      <c r="T38" s="156"/>
      <c r="U38" s="6"/>
    </row>
    <row r="39" spans="1:21" customFormat="1">
      <c r="A39" s="163" t="s">
        <v>2862</v>
      </c>
      <c r="B39" s="100">
        <v>4.51</v>
      </c>
      <c r="C39" s="100">
        <v>12.92</v>
      </c>
      <c r="D39" s="100">
        <v>10.37</v>
      </c>
      <c r="E39" s="100">
        <v>5.97</v>
      </c>
      <c r="F39" s="100">
        <v>1.32</v>
      </c>
      <c r="G39" s="100">
        <v>3.69</v>
      </c>
      <c r="H39" s="100">
        <v>1.33</v>
      </c>
      <c r="I39" s="100">
        <v>2.5499999999999998</v>
      </c>
      <c r="J39" s="100">
        <v>0.68</v>
      </c>
      <c r="K39" s="100">
        <v>255.66</v>
      </c>
      <c r="L39" s="100">
        <v>25.87</v>
      </c>
      <c r="M39" s="100">
        <v>90.07</v>
      </c>
      <c r="N39" s="100">
        <v>76.099999999999994</v>
      </c>
      <c r="O39" s="100">
        <v>0</v>
      </c>
      <c r="P39" s="100">
        <v>0.09</v>
      </c>
      <c r="Q39" s="100">
        <v>10</v>
      </c>
      <c r="R39" s="6"/>
      <c r="S39" s="6"/>
      <c r="T39" s="156"/>
      <c r="U39" s="6"/>
    </row>
    <row r="40" spans="1:21" customFormat="1">
      <c r="A40" s="163" t="s">
        <v>2863</v>
      </c>
      <c r="B40" s="100">
        <v>4.57</v>
      </c>
      <c r="C40" s="100">
        <v>12.67</v>
      </c>
      <c r="D40" s="100">
        <v>10.28</v>
      </c>
      <c r="E40" s="100">
        <v>5.44</v>
      </c>
      <c r="F40" s="100">
        <v>2.12</v>
      </c>
      <c r="G40" s="100">
        <v>3.97</v>
      </c>
      <c r="H40" s="100">
        <v>1.28</v>
      </c>
      <c r="I40" s="100">
        <v>2.6</v>
      </c>
      <c r="J40" s="100">
        <v>0.61</v>
      </c>
      <c r="K40" s="100">
        <v>253.96</v>
      </c>
      <c r="L40" s="100">
        <v>25.95</v>
      </c>
      <c r="M40" s="100">
        <v>89.69</v>
      </c>
      <c r="N40" s="100">
        <v>91.9</v>
      </c>
      <c r="O40" s="100">
        <v>0</v>
      </c>
      <c r="P40" s="100">
        <v>7.0000000000000007E-2</v>
      </c>
      <c r="Q40" s="100">
        <v>10</v>
      </c>
      <c r="R40" s="6"/>
      <c r="S40" s="6"/>
      <c r="T40" s="156"/>
      <c r="U40" s="6"/>
    </row>
    <row r="41" spans="1:21" customFormat="1">
      <c r="A41" s="163" t="s">
        <v>2864</v>
      </c>
      <c r="B41" s="100">
        <v>4.7300000000000004</v>
      </c>
      <c r="C41" s="100">
        <v>12.83</v>
      </c>
      <c r="D41" s="100">
        <v>10.49</v>
      </c>
      <c r="E41" s="100">
        <v>5.47</v>
      </c>
      <c r="F41" s="100">
        <v>2.1800000000000002</v>
      </c>
      <c r="G41" s="100">
        <v>4.41</v>
      </c>
      <c r="H41" s="100">
        <v>1.23</v>
      </c>
      <c r="I41" s="100">
        <v>2.6</v>
      </c>
      <c r="J41" s="100">
        <v>0.74</v>
      </c>
      <c r="K41" s="100">
        <v>251.31</v>
      </c>
      <c r="L41" s="100">
        <v>26.1</v>
      </c>
      <c r="M41" s="100">
        <v>88.38</v>
      </c>
      <c r="N41" s="100">
        <v>100.6</v>
      </c>
      <c r="O41" s="100">
        <v>0</v>
      </c>
      <c r="P41" s="100">
        <v>7.0000000000000007E-2</v>
      </c>
      <c r="Q41" s="100">
        <v>10</v>
      </c>
      <c r="R41" s="6"/>
      <c r="S41" s="6"/>
      <c r="T41" s="156"/>
      <c r="U41" s="6"/>
    </row>
    <row r="42" spans="1:21" customFormat="1">
      <c r="A42" s="163" t="s">
        <v>2865</v>
      </c>
      <c r="B42" s="100">
        <v>5.03</v>
      </c>
      <c r="C42" s="100">
        <v>13.28</v>
      </c>
      <c r="D42" s="100">
        <v>10.97</v>
      </c>
      <c r="E42" s="100">
        <v>5.2</v>
      </c>
      <c r="F42" s="100">
        <v>2.48</v>
      </c>
      <c r="G42" s="100">
        <v>4.41</v>
      </c>
      <c r="H42" s="100">
        <v>1.23</v>
      </c>
      <c r="I42" s="100">
        <v>2.63</v>
      </c>
      <c r="J42" s="100">
        <v>0.8</v>
      </c>
      <c r="K42" s="100">
        <v>256.39999999999998</v>
      </c>
      <c r="L42" s="100">
        <v>26.12</v>
      </c>
      <c r="M42" s="100">
        <v>87.68</v>
      </c>
      <c r="N42" s="100">
        <v>76.3</v>
      </c>
      <c r="O42" s="100">
        <v>0</v>
      </c>
      <c r="P42" s="100">
        <v>0.09</v>
      </c>
      <c r="Q42" s="100">
        <v>10</v>
      </c>
      <c r="R42" s="6"/>
      <c r="S42" s="6"/>
      <c r="T42" s="156"/>
      <c r="U42" s="6"/>
    </row>
    <row r="43" spans="1:21" customFormat="1">
      <c r="A43" s="163" t="s">
        <v>2866</v>
      </c>
      <c r="B43" s="100">
        <v>5.12</v>
      </c>
      <c r="C43" s="100">
        <v>12.82</v>
      </c>
      <c r="D43" s="100">
        <v>10.81</v>
      </c>
      <c r="E43" s="100">
        <v>5.23</v>
      </c>
      <c r="F43" s="100">
        <v>2.12</v>
      </c>
      <c r="G43" s="100">
        <v>4.41</v>
      </c>
      <c r="H43" s="100">
        <v>1.23</v>
      </c>
      <c r="I43" s="100">
        <v>2.65</v>
      </c>
      <c r="J43" s="100">
        <v>0.93</v>
      </c>
      <c r="K43" s="100">
        <v>256.37</v>
      </c>
      <c r="L43" s="100">
        <v>26.16</v>
      </c>
      <c r="M43" s="100">
        <v>87.11</v>
      </c>
      <c r="N43" s="100">
        <v>109.6</v>
      </c>
      <c r="O43" s="100">
        <v>0</v>
      </c>
      <c r="P43" s="100">
        <v>0.08</v>
      </c>
      <c r="Q43" s="100">
        <v>10</v>
      </c>
      <c r="R43" s="6"/>
      <c r="S43" s="6"/>
      <c r="T43" s="156"/>
      <c r="U43" s="6"/>
    </row>
    <row r="44" spans="1:21" customFormat="1">
      <c r="A44" s="163" t="s">
        <v>2867</v>
      </c>
      <c r="B44" s="100">
        <v>5.13</v>
      </c>
      <c r="C44" s="100">
        <v>12.54</v>
      </c>
      <c r="D44" s="100">
        <v>10.66</v>
      </c>
      <c r="E44" s="100">
        <v>5.32</v>
      </c>
      <c r="F44" s="100">
        <v>2.74</v>
      </c>
      <c r="G44" s="100">
        <v>4.41</v>
      </c>
      <c r="H44" s="100">
        <v>1.34</v>
      </c>
      <c r="I44" s="100">
        <v>2.75</v>
      </c>
      <c r="J44" s="100">
        <v>0.87</v>
      </c>
      <c r="K44" s="100">
        <v>253.89</v>
      </c>
      <c r="L44" s="100">
        <v>26.49</v>
      </c>
      <c r="M44" s="100">
        <v>85.28</v>
      </c>
      <c r="N44" s="100">
        <v>155.9</v>
      </c>
      <c r="O44" s="100">
        <v>0</v>
      </c>
      <c r="P44" s="100">
        <v>0.08</v>
      </c>
      <c r="Q44" s="100">
        <v>10</v>
      </c>
      <c r="R44" s="6"/>
      <c r="S44" s="6"/>
      <c r="T44" s="156"/>
      <c r="U44" s="6"/>
    </row>
    <row r="45" spans="1:21" customFormat="1">
      <c r="A45" s="163" t="s">
        <v>2868</v>
      </c>
      <c r="B45" s="100">
        <v>5.3</v>
      </c>
      <c r="C45" s="100">
        <v>13.11</v>
      </c>
      <c r="D45" s="100">
        <v>11.1</v>
      </c>
      <c r="E45" s="100">
        <v>5.49</v>
      </c>
      <c r="F45" s="100">
        <v>2.78</v>
      </c>
      <c r="G45" s="100">
        <v>4.41</v>
      </c>
      <c r="H45" s="100">
        <v>1.63</v>
      </c>
      <c r="I45" s="100">
        <v>2.73</v>
      </c>
      <c r="J45" s="100">
        <v>1.02</v>
      </c>
      <c r="K45" s="100">
        <v>254.42</v>
      </c>
      <c r="L45" s="100">
        <v>26.73</v>
      </c>
      <c r="M45" s="100">
        <v>83.43</v>
      </c>
      <c r="N45" s="100">
        <v>147.80000000000001</v>
      </c>
      <c r="O45" s="100">
        <v>0</v>
      </c>
      <c r="P45" s="100">
        <v>0.09</v>
      </c>
      <c r="Q45" s="100">
        <v>10</v>
      </c>
      <c r="R45" s="6"/>
      <c r="S45" s="6"/>
      <c r="T45" s="156"/>
      <c r="U45" s="6"/>
    </row>
    <row r="46" spans="1:21" customFormat="1">
      <c r="A46" s="163" t="s">
        <v>2869</v>
      </c>
      <c r="B46" s="100">
        <v>5.32</v>
      </c>
      <c r="C46" s="100">
        <v>12.73</v>
      </c>
      <c r="D46" s="100">
        <v>10.92</v>
      </c>
      <c r="E46" s="100">
        <v>5.66</v>
      </c>
      <c r="F46" s="100">
        <v>2.02</v>
      </c>
      <c r="G46" s="100">
        <v>4.41</v>
      </c>
      <c r="H46" s="100">
        <v>1.63</v>
      </c>
      <c r="I46" s="100">
        <v>2.74</v>
      </c>
      <c r="J46" s="100">
        <v>0.9</v>
      </c>
      <c r="K46" s="100">
        <v>254.54</v>
      </c>
      <c r="L46" s="100">
        <v>26.8</v>
      </c>
      <c r="M46" s="100">
        <v>82.36</v>
      </c>
      <c r="N46" s="100">
        <v>139.30000000000001</v>
      </c>
      <c r="O46" s="100">
        <v>0</v>
      </c>
      <c r="P46" s="100">
        <v>0.09</v>
      </c>
      <c r="Q46" s="100">
        <v>10</v>
      </c>
      <c r="R46" s="6"/>
      <c r="S46" s="6"/>
      <c r="T46" s="156"/>
      <c r="U46" s="6"/>
    </row>
    <row r="47" spans="1:21" customFormat="1">
      <c r="A47" s="163" t="s">
        <v>2870</v>
      </c>
      <c r="B47" s="100">
        <v>5.2</v>
      </c>
      <c r="C47" s="100">
        <v>12.58</v>
      </c>
      <c r="D47" s="100">
        <v>10.74</v>
      </c>
      <c r="E47" s="100">
        <v>5.17</v>
      </c>
      <c r="F47" s="100">
        <v>2.76</v>
      </c>
      <c r="G47" s="100">
        <v>4.41</v>
      </c>
      <c r="H47" s="100">
        <v>1.63</v>
      </c>
      <c r="I47" s="100">
        <v>2.84</v>
      </c>
      <c r="J47" s="100">
        <v>0.98</v>
      </c>
      <c r="K47" s="100">
        <v>254.06</v>
      </c>
      <c r="L47" s="100">
        <v>26.88</v>
      </c>
      <c r="M47" s="100">
        <v>81.209999999999994</v>
      </c>
      <c r="N47" s="100">
        <v>151.6</v>
      </c>
      <c r="O47" s="100">
        <v>0</v>
      </c>
      <c r="P47" s="100">
        <v>0.08</v>
      </c>
      <c r="Q47" s="100">
        <v>10</v>
      </c>
      <c r="R47" s="6"/>
      <c r="S47" s="6"/>
      <c r="T47" s="156"/>
      <c r="U47" s="6"/>
    </row>
    <row r="48" spans="1:21" customFormat="1">
      <c r="A48" s="163" t="s">
        <v>2871</v>
      </c>
      <c r="B48" s="100">
        <v>5.19</v>
      </c>
      <c r="C48" s="100">
        <v>12.76</v>
      </c>
      <c r="D48" s="100">
        <v>10.83</v>
      </c>
      <c r="E48" s="100">
        <v>4.99</v>
      </c>
      <c r="F48" s="100">
        <v>3.17</v>
      </c>
      <c r="G48" s="100">
        <v>5.7</v>
      </c>
      <c r="H48" s="100">
        <v>1.52</v>
      </c>
      <c r="I48" s="100">
        <v>2.81</v>
      </c>
      <c r="J48" s="100">
        <v>0.89</v>
      </c>
      <c r="K48" s="100">
        <v>256.13</v>
      </c>
      <c r="L48" s="100">
        <v>26.82</v>
      </c>
      <c r="M48" s="100">
        <v>81.13</v>
      </c>
      <c r="N48" s="100">
        <v>116.4</v>
      </c>
      <c r="O48" s="100">
        <v>0</v>
      </c>
      <c r="P48" s="100">
        <v>0.08</v>
      </c>
      <c r="Q48" s="100">
        <v>10</v>
      </c>
      <c r="R48" s="6"/>
      <c r="S48" s="6"/>
      <c r="T48" s="156"/>
      <c r="U48" s="6"/>
    </row>
    <row r="49" spans="1:21" customFormat="1">
      <c r="A49" s="163" t="s">
        <v>2872</v>
      </c>
      <c r="B49" s="100">
        <v>5.36</v>
      </c>
      <c r="C49" s="100">
        <v>13.22</v>
      </c>
      <c r="D49" s="100">
        <v>11.2</v>
      </c>
      <c r="E49" s="100">
        <v>4.51</v>
      </c>
      <c r="F49" s="100">
        <v>2</v>
      </c>
      <c r="G49" s="100">
        <v>7.63</v>
      </c>
      <c r="H49" s="100">
        <v>1.42</v>
      </c>
      <c r="I49" s="100">
        <v>2.81</v>
      </c>
      <c r="J49" s="100">
        <v>0.84</v>
      </c>
      <c r="K49" s="100">
        <v>256.93</v>
      </c>
      <c r="L49" s="100">
        <v>26.65</v>
      </c>
      <c r="M49" s="100">
        <v>81.37</v>
      </c>
      <c r="N49" s="100">
        <v>70.400000000000006</v>
      </c>
      <c r="O49" s="100">
        <v>0</v>
      </c>
      <c r="P49" s="100">
        <v>0.09</v>
      </c>
      <c r="Q49" s="100">
        <v>10</v>
      </c>
      <c r="R49" s="6"/>
      <c r="S49" s="6"/>
      <c r="T49" s="156"/>
      <c r="U49" s="6"/>
    </row>
    <row r="50" spans="1:21" customFormat="1">
      <c r="A50" s="163" t="s">
        <v>2873</v>
      </c>
      <c r="B50" s="100">
        <v>5.27</v>
      </c>
      <c r="C50" s="100">
        <v>12.77</v>
      </c>
      <c r="D50" s="100">
        <v>10.9</v>
      </c>
      <c r="E50" s="100">
        <v>5.18</v>
      </c>
      <c r="F50" s="100">
        <v>1.91</v>
      </c>
      <c r="G50" s="100">
        <v>7.63</v>
      </c>
      <c r="H50" s="100">
        <v>1.42</v>
      </c>
      <c r="I50" s="100">
        <v>2.76</v>
      </c>
      <c r="J50" s="100">
        <v>0.82</v>
      </c>
      <c r="K50" s="100">
        <v>257.10000000000002</v>
      </c>
      <c r="L50" s="100">
        <v>26.6</v>
      </c>
      <c r="M50" s="100">
        <v>81.37</v>
      </c>
      <c r="N50" s="100">
        <v>83.8</v>
      </c>
      <c r="O50" s="100">
        <v>0</v>
      </c>
      <c r="P50" s="100">
        <v>0.08</v>
      </c>
      <c r="Q50" s="100">
        <v>10</v>
      </c>
      <c r="R50" s="6"/>
      <c r="S50" s="6"/>
      <c r="T50" s="156"/>
      <c r="U50" s="6"/>
    </row>
    <row r="51" spans="1:21" customFormat="1">
      <c r="A51" s="163" t="s">
        <v>2874</v>
      </c>
      <c r="B51" s="100">
        <v>5.2</v>
      </c>
      <c r="C51" s="100">
        <v>12.64</v>
      </c>
      <c r="D51" s="100">
        <v>10.77</v>
      </c>
      <c r="E51" s="100">
        <v>4.72</v>
      </c>
      <c r="F51" s="100">
        <v>2.89</v>
      </c>
      <c r="G51" s="100">
        <v>7.63</v>
      </c>
      <c r="H51" s="100">
        <v>1.42</v>
      </c>
      <c r="I51" s="100">
        <v>2.85</v>
      </c>
      <c r="J51" s="100">
        <v>0.67</v>
      </c>
      <c r="K51" s="100">
        <v>261.67</v>
      </c>
      <c r="L51" s="100">
        <v>26.67</v>
      </c>
      <c r="M51" s="100">
        <v>81.25</v>
      </c>
      <c r="N51" s="100">
        <v>100.7</v>
      </c>
      <c r="O51" s="100">
        <v>0</v>
      </c>
      <c r="P51" s="100">
        <v>0.08</v>
      </c>
      <c r="Q51" s="100">
        <v>10</v>
      </c>
      <c r="R51" s="6"/>
      <c r="S51" s="6"/>
      <c r="T51" s="156"/>
      <c r="U51" s="6"/>
    </row>
    <row r="52" spans="1:21" customFormat="1">
      <c r="A52" s="163" t="s">
        <v>2875</v>
      </c>
      <c r="B52" s="100">
        <v>5.36</v>
      </c>
      <c r="C52" s="100">
        <v>13.26</v>
      </c>
      <c r="D52" s="100">
        <v>11.23</v>
      </c>
      <c r="E52" s="100">
        <v>5.01</v>
      </c>
      <c r="F52" s="100">
        <v>2.58</v>
      </c>
      <c r="G52" s="100">
        <v>7.08</v>
      </c>
      <c r="H52" s="100">
        <v>1.48</v>
      </c>
      <c r="I52" s="100">
        <v>2.86</v>
      </c>
      <c r="J52" s="100">
        <v>0.97</v>
      </c>
      <c r="K52" s="100">
        <v>255.72</v>
      </c>
      <c r="L52" s="100">
        <v>27.09</v>
      </c>
      <c r="M52" s="100">
        <v>79.39</v>
      </c>
      <c r="N52" s="100">
        <v>171.2</v>
      </c>
      <c r="O52" s="100">
        <v>0</v>
      </c>
      <c r="P52" s="100">
        <v>0.1</v>
      </c>
      <c r="Q52" s="100">
        <v>10</v>
      </c>
      <c r="R52" s="6"/>
      <c r="S52" s="6"/>
      <c r="T52" s="156"/>
      <c r="U52" s="6"/>
    </row>
    <row r="53" spans="1:21" customFormat="1">
      <c r="A53" s="163" t="s">
        <v>2876</v>
      </c>
      <c r="B53" s="100">
        <v>5.33</v>
      </c>
      <c r="C53" s="100">
        <v>13.1</v>
      </c>
      <c r="D53" s="100">
        <v>11.12</v>
      </c>
      <c r="E53" s="100">
        <v>5.15</v>
      </c>
      <c r="F53" s="100">
        <v>1.88</v>
      </c>
      <c r="G53" s="100">
        <v>6.26</v>
      </c>
      <c r="H53" s="100">
        <v>1.54</v>
      </c>
      <c r="I53" s="100">
        <v>2.86</v>
      </c>
      <c r="J53" s="100">
        <v>0.98</v>
      </c>
      <c r="K53" s="100">
        <v>256.27999999999997</v>
      </c>
      <c r="L53" s="100">
        <v>27.1</v>
      </c>
      <c r="M53" s="100">
        <v>79.290000000000006</v>
      </c>
      <c r="N53" s="100">
        <v>137.80000000000001</v>
      </c>
      <c r="O53" s="100">
        <v>0</v>
      </c>
      <c r="P53" s="100">
        <v>0.09</v>
      </c>
      <c r="Q53" s="100">
        <v>10</v>
      </c>
      <c r="R53" s="6"/>
      <c r="S53" s="6"/>
      <c r="T53" s="156"/>
      <c r="U53" s="6"/>
    </row>
    <row r="54" spans="1:21" customFormat="1">
      <c r="A54" s="163" t="s">
        <v>2877</v>
      </c>
      <c r="B54" s="100">
        <v>5.15</v>
      </c>
      <c r="C54" s="100">
        <v>12.83</v>
      </c>
      <c r="D54" s="100">
        <v>10.83</v>
      </c>
      <c r="E54" s="100">
        <v>4.82</v>
      </c>
      <c r="F54" s="100">
        <v>3.42</v>
      </c>
      <c r="G54" s="100">
        <v>6.26</v>
      </c>
      <c r="H54" s="100">
        <v>1.54</v>
      </c>
      <c r="I54" s="100">
        <v>2.93</v>
      </c>
      <c r="J54" s="100">
        <v>0.94</v>
      </c>
      <c r="K54" s="100">
        <v>255.92</v>
      </c>
      <c r="L54" s="100">
        <v>27.63</v>
      </c>
      <c r="M54" s="100">
        <v>77.88</v>
      </c>
      <c r="N54" s="100">
        <v>276.3</v>
      </c>
      <c r="O54" s="100">
        <v>0</v>
      </c>
      <c r="P54" s="100">
        <v>0.08</v>
      </c>
      <c r="Q54" s="100">
        <v>10</v>
      </c>
      <c r="R54" s="6"/>
      <c r="S54" s="6"/>
      <c r="T54" s="156"/>
      <c r="U54" s="6"/>
    </row>
    <row r="55" spans="1:21" customFormat="1">
      <c r="A55" s="163" t="s">
        <v>2878</v>
      </c>
      <c r="B55" s="100">
        <v>5.0999999999999996</v>
      </c>
      <c r="C55" s="100">
        <v>12.96</v>
      </c>
      <c r="D55" s="100">
        <v>10.86</v>
      </c>
      <c r="E55" s="100">
        <v>4.3600000000000003</v>
      </c>
      <c r="F55" s="100">
        <v>3.54</v>
      </c>
      <c r="G55" s="100">
        <v>6.26</v>
      </c>
      <c r="H55" s="100">
        <v>1.54</v>
      </c>
      <c r="I55" s="100">
        <v>2.9</v>
      </c>
      <c r="J55" s="100">
        <v>0.95</v>
      </c>
      <c r="K55" s="100">
        <v>254.89</v>
      </c>
      <c r="L55" s="100">
        <v>27.92</v>
      </c>
      <c r="M55" s="100">
        <v>76.709999999999994</v>
      </c>
      <c r="N55" s="100">
        <v>202.3</v>
      </c>
      <c r="O55" s="100">
        <v>0</v>
      </c>
      <c r="P55" s="100">
        <v>0.08</v>
      </c>
      <c r="Q55" s="100">
        <v>10</v>
      </c>
      <c r="R55" s="6"/>
      <c r="S55" s="6"/>
      <c r="T55" s="156"/>
      <c r="U55" s="6"/>
    </row>
    <row r="56" spans="1:21" customFormat="1">
      <c r="A56" s="163" t="s">
        <v>2879</v>
      </c>
      <c r="B56" s="100">
        <v>5.16</v>
      </c>
      <c r="C56" s="100">
        <v>13.4</v>
      </c>
      <c r="D56" s="100">
        <v>11.14</v>
      </c>
      <c r="E56" s="100">
        <v>4.7699999999999996</v>
      </c>
      <c r="F56" s="100">
        <v>2.13</v>
      </c>
      <c r="G56" s="100">
        <v>8.86</v>
      </c>
      <c r="H56" s="100">
        <v>2.5499999999999998</v>
      </c>
      <c r="I56" s="100">
        <v>2.84</v>
      </c>
      <c r="J56" s="100">
        <v>0.95</v>
      </c>
      <c r="K56" s="100">
        <v>253.26</v>
      </c>
      <c r="L56" s="100">
        <v>27.54</v>
      </c>
      <c r="M56" s="100">
        <v>77.5</v>
      </c>
      <c r="N56" s="100">
        <v>159.9</v>
      </c>
      <c r="O56" s="100">
        <v>0</v>
      </c>
      <c r="P56" s="100">
        <v>0.1</v>
      </c>
      <c r="Q56" s="100">
        <v>10</v>
      </c>
      <c r="R56" s="6"/>
      <c r="S56" s="6"/>
      <c r="T56" s="156"/>
      <c r="U56" s="6"/>
    </row>
    <row r="57" spans="1:21" customFormat="1">
      <c r="A57" s="163" t="s">
        <v>2880</v>
      </c>
      <c r="B57" s="100">
        <v>5.0199999999999996</v>
      </c>
      <c r="C57" s="100">
        <v>13.13</v>
      </c>
      <c r="D57" s="100">
        <v>10.89</v>
      </c>
      <c r="E57" s="100">
        <v>4.92</v>
      </c>
      <c r="F57" s="100">
        <v>2.27</v>
      </c>
      <c r="G57" s="100">
        <v>12.76</v>
      </c>
      <c r="H57" s="100">
        <v>3.44</v>
      </c>
      <c r="I57" s="100">
        <v>2.85</v>
      </c>
      <c r="J57" s="100">
        <v>0.89</v>
      </c>
      <c r="K57" s="100">
        <v>252.14</v>
      </c>
      <c r="L57" s="100">
        <v>27.68</v>
      </c>
      <c r="M57" s="100">
        <v>76.44</v>
      </c>
      <c r="N57" s="100">
        <v>194.9</v>
      </c>
      <c r="O57" s="100">
        <v>0</v>
      </c>
      <c r="P57" s="100">
        <v>0.09</v>
      </c>
      <c r="Q57" s="100">
        <v>10</v>
      </c>
      <c r="R57" s="6"/>
      <c r="S57" s="6"/>
      <c r="T57" s="156"/>
      <c r="U57" s="6"/>
    </row>
    <row r="58" spans="1:21" customFormat="1">
      <c r="A58" s="163" t="s">
        <v>2881</v>
      </c>
      <c r="B58" s="100">
        <v>4.78</v>
      </c>
      <c r="C58" s="100">
        <v>13.37</v>
      </c>
      <c r="D58" s="100">
        <v>10.82</v>
      </c>
      <c r="E58" s="100">
        <v>4.68</v>
      </c>
      <c r="F58" s="100">
        <v>2.46</v>
      </c>
      <c r="G58" s="100">
        <v>12.76</v>
      </c>
      <c r="H58" s="100">
        <v>3.44</v>
      </c>
      <c r="I58" s="100">
        <v>2.95</v>
      </c>
      <c r="J58" s="100">
        <v>1.1000000000000001</v>
      </c>
      <c r="K58" s="100">
        <v>258.24</v>
      </c>
      <c r="L58" s="100">
        <v>28.12</v>
      </c>
      <c r="M58" s="100">
        <v>74.86</v>
      </c>
      <c r="N58" s="100">
        <v>317.10000000000002</v>
      </c>
      <c r="O58" s="100">
        <v>0</v>
      </c>
      <c r="P58" s="100">
        <v>0.12</v>
      </c>
      <c r="Q58" s="100">
        <v>10</v>
      </c>
      <c r="R58" s="6"/>
      <c r="S58" s="6"/>
      <c r="T58" s="156"/>
      <c r="U58" s="6"/>
    </row>
    <row r="59" spans="1:21" customFormat="1">
      <c r="A59" s="163" t="s">
        <v>2882</v>
      </c>
      <c r="B59" s="100">
        <v>4.5</v>
      </c>
      <c r="C59" s="100">
        <v>13.64</v>
      </c>
      <c r="D59" s="100">
        <v>10.73</v>
      </c>
      <c r="E59" s="100">
        <v>4.28</v>
      </c>
      <c r="F59" s="100">
        <v>2.73</v>
      </c>
      <c r="G59" s="100">
        <v>12.76</v>
      </c>
      <c r="H59" s="100">
        <v>3.44</v>
      </c>
      <c r="I59" s="100">
        <v>2.86</v>
      </c>
      <c r="J59" s="100">
        <v>1.05</v>
      </c>
      <c r="K59" s="100">
        <v>257.5</v>
      </c>
      <c r="L59" s="100">
        <v>28.12</v>
      </c>
      <c r="M59" s="100">
        <v>75.069999999999993</v>
      </c>
      <c r="N59" s="100">
        <v>179.8</v>
      </c>
      <c r="O59" s="100">
        <v>0</v>
      </c>
      <c r="P59" s="100">
        <v>0.12</v>
      </c>
      <c r="Q59" s="100">
        <v>10</v>
      </c>
      <c r="R59" s="6"/>
      <c r="S59" s="6"/>
      <c r="T59" s="156"/>
      <c r="U59" s="6"/>
    </row>
    <row r="60" spans="1:21" customFormat="1">
      <c r="A60" s="163" t="s">
        <v>2883</v>
      </c>
      <c r="B60" s="100">
        <v>4.22</v>
      </c>
      <c r="C60" s="100">
        <v>13.87</v>
      </c>
      <c r="D60" s="100">
        <v>10.63</v>
      </c>
      <c r="E60" s="100">
        <v>4.55</v>
      </c>
      <c r="F60" s="100">
        <v>3.41</v>
      </c>
      <c r="G60" s="100">
        <v>12.28</v>
      </c>
      <c r="H60" s="100">
        <v>3.45</v>
      </c>
      <c r="I60" s="100">
        <v>2.84</v>
      </c>
      <c r="J60" s="100">
        <v>0.87</v>
      </c>
      <c r="K60" s="100">
        <v>255.25</v>
      </c>
      <c r="L60" s="100">
        <v>27.88</v>
      </c>
      <c r="M60" s="100">
        <v>76.89</v>
      </c>
      <c r="N60" s="100">
        <v>115.8</v>
      </c>
      <c r="O60" s="100">
        <v>0</v>
      </c>
      <c r="P60" s="100">
        <v>0.12</v>
      </c>
      <c r="Q60" s="100">
        <v>10</v>
      </c>
      <c r="R60" s="6"/>
      <c r="S60" s="6"/>
      <c r="T60" s="156"/>
      <c r="U60" s="6"/>
    </row>
    <row r="61" spans="1:21" customFormat="1">
      <c r="A61" s="163" t="s">
        <v>2884</v>
      </c>
      <c r="B61" s="100">
        <v>4.05</v>
      </c>
      <c r="C61" s="100">
        <v>13.95</v>
      </c>
      <c r="D61" s="100">
        <v>10.54</v>
      </c>
      <c r="E61" s="100">
        <v>4.59</v>
      </c>
      <c r="F61" s="100">
        <v>2.98</v>
      </c>
      <c r="G61" s="100">
        <v>11.56</v>
      </c>
      <c r="H61" s="100">
        <v>3.48</v>
      </c>
      <c r="I61" s="100">
        <v>2.79</v>
      </c>
      <c r="J61" s="100">
        <v>0.85</v>
      </c>
      <c r="K61" s="100">
        <v>253.49</v>
      </c>
      <c r="L61" s="100">
        <v>27.66</v>
      </c>
      <c r="M61" s="100">
        <v>76.61</v>
      </c>
      <c r="N61" s="100">
        <v>125.7</v>
      </c>
      <c r="O61" s="100">
        <v>0</v>
      </c>
      <c r="P61" s="100">
        <v>0.12</v>
      </c>
      <c r="Q61" s="100">
        <v>10</v>
      </c>
      <c r="R61" s="6"/>
      <c r="S61" s="6"/>
      <c r="T61" s="156"/>
      <c r="U61" s="6"/>
    </row>
    <row r="62" spans="1:21" customFormat="1">
      <c r="A62" s="163" t="s">
        <v>2885</v>
      </c>
      <c r="B62" s="100">
        <v>3.93</v>
      </c>
      <c r="C62" s="100">
        <v>14.08</v>
      </c>
      <c r="D62" s="100">
        <v>10.51</v>
      </c>
      <c r="E62" s="100">
        <v>4.5599999999999996</v>
      </c>
      <c r="F62" s="100">
        <v>2.61</v>
      </c>
      <c r="G62" s="100">
        <v>11.56</v>
      </c>
      <c r="H62" s="100">
        <v>3.48</v>
      </c>
      <c r="I62" s="100">
        <v>2.74</v>
      </c>
      <c r="J62" s="100">
        <v>0.71</v>
      </c>
      <c r="K62" s="100">
        <v>253.75</v>
      </c>
      <c r="L62" s="100">
        <v>27.68</v>
      </c>
      <c r="M62" s="100">
        <v>77.3</v>
      </c>
      <c r="N62" s="100">
        <v>91.1</v>
      </c>
      <c r="O62" s="100">
        <v>0</v>
      </c>
      <c r="P62" s="100">
        <v>0.12</v>
      </c>
      <c r="Q62" s="100">
        <v>10</v>
      </c>
      <c r="R62" s="6"/>
      <c r="S62" s="6"/>
      <c r="T62" s="156"/>
      <c r="U62" s="6"/>
    </row>
    <row r="63" spans="1:21" customFormat="1">
      <c r="A63" s="163" t="s">
        <v>2886</v>
      </c>
      <c r="B63" s="100">
        <v>3.84</v>
      </c>
      <c r="C63" s="100">
        <v>14.1</v>
      </c>
      <c r="D63" s="100">
        <v>10.45</v>
      </c>
      <c r="E63" s="100">
        <v>4.6900000000000004</v>
      </c>
      <c r="F63" s="100">
        <v>2.0099999999999998</v>
      </c>
      <c r="G63" s="100">
        <v>11.56</v>
      </c>
      <c r="H63" s="100">
        <v>3.48</v>
      </c>
      <c r="I63" s="100">
        <v>2.78</v>
      </c>
      <c r="J63" s="100">
        <v>0.6</v>
      </c>
      <c r="K63" s="100">
        <v>252.54</v>
      </c>
      <c r="L63" s="100">
        <v>27.63</v>
      </c>
      <c r="M63" s="100">
        <v>78.87</v>
      </c>
      <c r="N63" s="100">
        <v>102.1</v>
      </c>
      <c r="O63" s="100">
        <v>0</v>
      </c>
      <c r="P63" s="100">
        <v>0.12</v>
      </c>
      <c r="Q63" s="100">
        <v>10</v>
      </c>
      <c r="R63" s="6"/>
      <c r="S63" s="6"/>
      <c r="T63" s="156"/>
      <c r="U63" s="6"/>
    </row>
    <row r="64" spans="1:21" customFormat="1">
      <c r="A64" s="163" t="s">
        <v>2887</v>
      </c>
      <c r="B64" s="100">
        <v>3.79</v>
      </c>
      <c r="C64" s="100">
        <v>13.97</v>
      </c>
      <c r="D64" s="100">
        <v>10.34</v>
      </c>
      <c r="E64" s="100">
        <v>5.0599999999999996</v>
      </c>
      <c r="F64" s="100">
        <v>2.85</v>
      </c>
      <c r="G64" s="100">
        <v>11.44</v>
      </c>
      <c r="H64" s="100">
        <v>3.62</v>
      </c>
      <c r="I64" s="100">
        <v>2.83</v>
      </c>
      <c r="J64" s="100">
        <v>0.63</v>
      </c>
      <c r="K64" s="100">
        <v>255.58</v>
      </c>
      <c r="L64" s="100">
        <v>27.55</v>
      </c>
      <c r="M64" s="100">
        <v>78.94</v>
      </c>
      <c r="N64" s="100">
        <v>89.6</v>
      </c>
      <c r="O64" s="100">
        <v>0</v>
      </c>
      <c r="P64" s="100">
        <v>0.12</v>
      </c>
      <c r="Q64" s="100">
        <v>10</v>
      </c>
      <c r="R64" s="6"/>
      <c r="S64" s="6"/>
      <c r="T64" s="156"/>
      <c r="U64" s="6"/>
    </row>
    <row r="65" spans="1:21" customFormat="1">
      <c r="A65" s="163" t="s">
        <v>2888</v>
      </c>
      <c r="B65" s="100">
        <v>3.74</v>
      </c>
      <c r="C65" s="100">
        <v>13.99</v>
      </c>
      <c r="D65" s="100">
        <v>10.31</v>
      </c>
      <c r="E65" s="100">
        <v>5.22</v>
      </c>
      <c r="F65" s="100">
        <v>2.91</v>
      </c>
      <c r="G65" s="100">
        <v>11.25</v>
      </c>
      <c r="H65" s="100">
        <v>3.74</v>
      </c>
      <c r="I65" s="100">
        <v>2.8</v>
      </c>
      <c r="J65" s="100">
        <v>0.93</v>
      </c>
      <c r="K65" s="100">
        <v>254.32</v>
      </c>
      <c r="L65" s="100">
        <v>27.65</v>
      </c>
      <c r="M65" s="100">
        <v>77.19</v>
      </c>
      <c r="N65" s="100">
        <v>109.1</v>
      </c>
      <c r="O65" s="100">
        <v>0</v>
      </c>
      <c r="P65" s="100">
        <v>0.12</v>
      </c>
      <c r="Q65" s="100">
        <v>10</v>
      </c>
      <c r="R65" s="6"/>
      <c r="S65" s="6"/>
      <c r="T65" s="156"/>
      <c r="U65" s="6"/>
    </row>
    <row r="66" spans="1:21" customFormat="1">
      <c r="A66" s="163" t="s">
        <v>2889</v>
      </c>
      <c r="B66" s="100">
        <v>3.73</v>
      </c>
      <c r="C66" s="100">
        <v>14.06</v>
      </c>
      <c r="D66" s="100">
        <v>10.34</v>
      </c>
      <c r="E66" s="100">
        <v>5.07</v>
      </c>
      <c r="F66" s="100">
        <v>2.37</v>
      </c>
      <c r="G66" s="100">
        <v>11.25</v>
      </c>
      <c r="H66" s="100">
        <v>3.74</v>
      </c>
      <c r="I66" s="100">
        <v>2.81</v>
      </c>
      <c r="J66" s="100">
        <v>0.78</v>
      </c>
      <c r="K66" s="100">
        <v>253.14</v>
      </c>
      <c r="L66" s="100">
        <v>27.42</v>
      </c>
      <c r="M66" s="100">
        <v>78.12</v>
      </c>
      <c r="N66" s="100">
        <v>48.8</v>
      </c>
      <c r="O66" s="100">
        <v>0</v>
      </c>
      <c r="P66" s="100">
        <v>0.12</v>
      </c>
      <c r="Q66" s="100">
        <v>10</v>
      </c>
      <c r="R66" s="6"/>
      <c r="S66" s="6"/>
      <c r="T66" s="156"/>
      <c r="U66" s="6"/>
    </row>
    <row r="67" spans="1:21" customFormat="1">
      <c r="A67" s="163" t="s">
        <v>2890</v>
      </c>
      <c r="B67" s="100">
        <v>3.68</v>
      </c>
      <c r="C67" s="100">
        <v>14.04</v>
      </c>
      <c r="D67" s="100">
        <v>10.29</v>
      </c>
      <c r="E67" s="100">
        <v>5.15</v>
      </c>
      <c r="F67" s="100">
        <v>2.21</v>
      </c>
      <c r="G67" s="100">
        <v>11.25</v>
      </c>
      <c r="H67" s="100">
        <v>3.74</v>
      </c>
      <c r="I67" s="100">
        <v>2.87</v>
      </c>
      <c r="J67" s="100">
        <v>0.89</v>
      </c>
      <c r="K67" s="100">
        <v>254.63</v>
      </c>
      <c r="L67" s="100">
        <v>27.19</v>
      </c>
      <c r="M67" s="100">
        <v>79.03</v>
      </c>
      <c r="N67" s="100">
        <v>63.9</v>
      </c>
      <c r="O67" s="100">
        <v>0</v>
      </c>
      <c r="P67" s="100">
        <v>0.13</v>
      </c>
      <c r="Q67" s="100">
        <v>10</v>
      </c>
      <c r="R67" s="6"/>
      <c r="S67" s="6"/>
      <c r="T67" s="156"/>
      <c r="U67" s="6"/>
    </row>
    <row r="68" spans="1:21" customFormat="1">
      <c r="A68" s="163" t="s">
        <v>2891</v>
      </c>
      <c r="B68" s="100">
        <v>3.62</v>
      </c>
      <c r="C68" s="100">
        <v>13.95</v>
      </c>
      <c r="D68" s="100">
        <v>10.19</v>
      </c>
      <c r="E68" s="100">
        <v>5.23</v>
      </c>
      <c r="F68" s="100">
        <v>1.98</v>
      </c>
      <c r="G68" s="100">
        <v>11.53</v>
      </c>
      <c r="H68" s="100">
        <v>4.97</v>
      </c>
      <c r="I68" s="100">
        <v>2.87</v>
      </c>
      <c r="J68" s="100">
        <v>0.77</v>
      </c>
      <c r="K68" s="100">
        <v>258.93</v>
      </c>
      <c r="L68" s="100">
        <v>27.38</v>
      </c>
      <c r="M68" s="100">
        <v>79.069999999999993</v>
      </c>
      <c r="N68" s="100">
        <v>69.3</v>
      </c>
      <c r="O68" s="100">
        <v>0</v>
      </c>
      <c r="P68" s="100">
        <v>0.13</v>
      </c>
      <c r="Q68" s="100">
        <v>10</v>
      </c>
      <c r="R68" s="6"/>
      <c r="S68" s="6"/>
      <c r="T68" s="156"/>
      <c r="U68" s="6"/>
    </row>
    <row r="69" spans="1:21" customFormat="1">
      <c r="A69" s="163" t="s">
        <v>2892</v>
      </c>
      <c r="B69" s="100">
        <v>3.58</v>
      </c>
      <c r="C69" s="100">
        <v>13.93</v>
      </c>
      <c r="D69" s="100">
        <v>10.15</v>
      </c>
      <c r="E69" s="100">
        <v>5.55</v>
      </c>
      <c r="F69" s="100">
        <v>2.12</v>
      </c>
      <c r="G69" s="100">
        <v>11.97</v>
      </c>
      <c r="H69" s="100">
        <v>6.05</v>
      </c>
      <c r="I69" s="100">
        <v>2.84</v>
      </c>
      <c r="J69" s="100">
        <v>1.04</v>
      </c>
      <c r="K69" s="100">
        <v>278.54000000000002</v>
      </c>
      <c r="L69" s="100">
        <v>27.29</v>
      </c>
      <c r="M69" s="100">
        <v>79.06</v>
      </c>
      <c r="N69" s="100">
        <v>101.5</v>
      </c>
      <c r="O69" s="100">
        <v>0</v>
      </c>
      <c r="P69" s="100">
        <v>0.13</v>
      </c>
      <c r="Q69" s="100">
        <v>10</v>
      </c>
      <c r="R69" s="6"/>
      <c r="S69" s="6"/>
      <c r="T69" s="156"/>
      <c r="U69" s="6"/>
    </row>
    <row r="70" spans="1:21" customFormat="1">
      <c r="A70" s="163" t="s">
        <v>2893</v>
      </c>
      <c r="B70" s="100">
        <v>3.8</v>
      </c>
      <c r="C70" s="100">
        <v>14.08</v>
      </c>
      <c r="D70" s="100">
        <v>10.4</v>
      </c>
      <c r="E70" s="100">
        <v>5.49</v>
      </c>
      <c r="F70" s="100">
        <v>1.96</v>
      </c>
      <c r="G70" s="100">
        <v>11.97</v>
      </c>
      <c r="H70" s="100">
        <v>6.05</v>
      </c>
      <c r="I70" s="100">
        <v>2.84</v>
      </c>
      <c r="J70" s="100">
        <v>0.95</v>
      </c>
      <c r="K70" s="100">
        <v>269.25</v>
      </c>
      <c r="L70" s="100">
        <v>26.84</v>
      </c>
      <c r="M70" s="100">
        <v>82.56</v>
      </c>
      <c r="N70" s="100">
        <v>115.7</v>
      </c>
      <c r="O70" s="100">
        <v>0</v>
      </c>
      <c r="P70" s="100">
        <v>0.14000000000000001</v>
      </c>
      <c r="Q70" s="100">
        <v>10</v>
      </c>
      <c r="R70" s="6"/>
      <c r="S70" s="6"/>
      <c r="T70" s="156"/>
      <c r="U70" s="6"/>
    </row>
    <row r="71" spans="1:21" customFormat="1">
      <c r="A71" s="163" t="s">
        <v>2894</v>
      </c>
      <c r="B71" s="100">
        <v>3.93</v>
      </c>
      <c r="C71" s="100">
        <v>14.12</v>
      </c>
      <c r="D71" s="100">
        <v>10.53</v>
      </c>
      <c r="E71" s="100">
        <v>5.31</v>
      </c>
      <c r="F71" s="100">
        <v>1.58</v>
      </c>
      <c r="G71" s="100">
        <v>11.97</v>
      </c>
      <c r="H71" s="100">
        <v>6.05</v>
      </c>
      <c r="I71" s="100">
        <v>2.94</v>
      </c>
      <c r="J71" s="100">
        <v>0.69</v>
      </c>
      <c r="K71" s="100">
        <v>253.85</v>
      </c>
      <c r="L71" s="100">
        <v>26.54</v>
      </c>
      <c r="M71" s="100">
        <v>85.66</v>
      </c>
      <c r="N71" s="100">
        <v>109.3</v>
      </c>
      <c r="O71" s="100">
        <v>0</v>
      </c>
      <c r="P71" s="100">
        <v>0.15</v>
      </c>
      <c r="Q71" s="100">
        <v>10</v>
      </c>
      <c r="R71" s="6"/>
      <c r="S71" s="6"/>
      <c r="T71" s="156"/>
      <c r="U71" s="6"/>
    </row>
    <row r="72" spans="1:21" customFormat="1">
      <c r="A72" s="163" t="s">
        <v>2895</v>
      </c>
      <c r="B72" s="100">
        <v>3.93</v>
      </c>
      <c r="C72" s="100">
        <v>14.06</v>
      </c>
      <c r="D72" s="100">
        <v>10.5</v>
      </c>
      <c r="E72" s="100">
        <v>5.5</v>
      </c>
      <c r="F72" s="100">
        <v>1.65</v>
      </c>
      <c r="G72" s="100">
        <v>13.08</v>
      </c>
      <c r="H72" s="100">
        <v>6.05</v>
      </c>
      <c r="I72" s="100">
        <v>3.06</v>
      </c>
      <c r="J72" s="100">
        <v>0.73</v>
      </c>
      <c r="K72" s="100">
        <v>253.01</v>
      </c>
      <c r="L72" s="100">
        <v>26.59</v>
      </c>
      <c r="M72" s="100">
        <v>84.76</v>
      </c>
      <c r="N72" s="100">
        <v>58</v>
      </c>
      <c r="O72" s="100">
        <v>0</v>
      </c>
      <c r="P72" s="100">
        <v>0.14000000000000001</v>
      </c>
      <c r="Q72" s="100">
        <v>10</v>
      </c>
      <c r="R72" s="6"/>
      <c r="S72" s="6"/>
      <c r="T72" s="156"/>
      <c r="U72" s="6"/>
    </row>
    <row r="73" spans="1:21" customFormat="1">
      <c r="A73" s="163" t="s">
        <v>2896</v>
      </c>
      <c r="B73" s="100">
        <v>3.88</v>
      </c>
      <c r="C73" s="100">
        <v>13.96</v>
      </c>
      <c r="D73" s="100">
        <v>10.41</v>
      </c>
      <c r="E73" s="100">
        <v>5.52</v>
      </c>
      <c r="F73" s="100">
        <v>1.92</v>
      </c>
      <c r="G73" s="100">
        <v>14.74</v>
      </c>
      <c r="H73" s="100">
        <v>6.05</v>
      </c>
      <c r="I73" s="100">
        <v>3.17</v>
      </c>
      <c r="J73" s="100">
        <v>1.1100000000000001</v>
      </c>
      <c r="K73" s="100">
        <v>262.85000000000002</v>
      </c>
      <c r="L73" s="100">
        <v>26.42</v>
      </c>
      <c r="M73" s="100">
        <v>83.91</v>
      </c>
      <c r="N73" s="100">
        <v>39</v>
      </c>
      <c r="O73" s="100">
        <v>0</v>
      </c>
      <c r="P73" s="100">
        <v>0.14000000000000001</v>
      </c>
      <c r="Q73" s="100">
        <v>10</v>
      </c>
      <c r="R73" s="6"/>
      <c r="S73" s="6"/>
      <c r="T73" s="156"/>
      <c r="U73" s="6"/>
    </row>
    <row r="74" spans="1:21" customFormat="1">
      <c r="A74" s="163" t="s">
        <v>2897</v>
      </c>
      <c r="B74" s="100">
        <v>3.81</v>
      </c>
      <c r="C74" s="100">
        <v>13.77</v>
      </c>
      <c r="D74" s="100">
        <v>10.25</v>
      </c>
      <c r="E74" s="100">
        <v>5.47</v>
      </c>
      <c r="F74" s="100">
        <v>2.14</v>
      </c>
      <c r="G74" s="100">
        <v>14.74</v>
      </c>
      <c r="H74" s="100">
        <v>6.05</v>
      </c>
      <c r="I74" s="100">
        <v>3.18</v>
      </c>
      <c r="J74" s="100">
        <v>0.91</v>
      </c>
      <c r="K74" s="100">
        <v>254.28</v>
      </c>
      <c r="L74" s="100">
        <v>26.04</v>
      </c>
      <c r="M74" s="100">
        <v>83.95</v>
      </c>
      <c r="N74" s="100">
        <v>29.4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163" t="s">
        <v>2898</v>
      </c>
      <c r="B75" s="100">
        <v>3.75</v>
      </c>
      <c r="C75" s="100">
        <v>13.67</v>
      </c>
      <c r="D75" s="100">
        <v>10.15</v>
      </c>
      <c r="E75" s="100">
        <v>5.72</v>
      </c>
      <c r="F75" s="100">
        <v>1.67</v>
      </c>
      <c r="G75" s="100">
        <v>14.74</v>
      </c>
      <c r="H75" s="100">
        <v>6.05</v>
      </c>
      <c r="I75" s="100">
        <v>3.2</v>
      </c>
      <c r="J75" s="100">
        <v>0.68</v>
      </c>
      <c r="K75" s="100">
        <v>256.27999999999997</v>
      </c>
      <c r="L75" s="100">
        <v>25.97</v>
      </c>
      <c r="M75" s="100">
        <v>86.16</v>
      </c>
      <c r="N75" s="100">
        <v>28.2</v>
      </c>
      <c r="O75" s="100">
        <v>0</v>
      </c>
      <c r="P75" s="100">
        <v>0.14000000000000001</v>
      </c>
      <c r="Q75" s="100">
        <v>10</v>
      </c>
      <c r="R75" s="6"/>
      <c r="S75" s="6"/>
      <c r="T75" s="156"/>
      <c r="U75" s="6"/>
    </row>
    <row r="76" spans="1:21" customFormat="1">
      <c r="A76" s="163" t="s">
        <v>2899</v>
      </c>
      <c r="B76" s="100">
        <v>3.73</v>
      </c>
      <c r="C76" s="100">
        <v>13.5</v>
      </c>
      <c r="D76" s="100">
        <v>10.050000000000001</v>
      </c>
      <c r="E76" s="100">
        <v>5.63</v>
      </c>
      <c r="F76" s="100">
        <v>2.17</v>
      </c>
      <c r="G76" s="100">
        <v>13.66</v>
      </c>
      <c r="H76" s="100">
        <v>5.75</v>
      </c>
      <c r="I76" s="100">
        <v>3.18</v>
      </c>
      <c r="J76" s="100">
        <v>0.68</v>
      </c>
      <c r="K76" s="100">
        <v>251.42</v>
      </c>
      <c r="L76" s="100">
        <v>25.95</v>
      </c>
      <c r="M76" s="100">
        <v>86.89</v>
      </c>
      <c r="N76" s="100">
        <v>31.7</v>
      </c>
      <c r="O76" s="100">
        <v>0</v>
      </c>
      <c r="P76" s="100">
        <v>0.14000000000000001</v>
      </c>
      <c r="Q76" s="100">
        <v>10</v>
      </c>
      <c r="R76" s="6"/>
      <c r="S76" s="6"/>
      <c r="T76" s="156"/>
      <c r="U76" s="6"/>
    </row>
    <row r="77" spans="1:21" customFormat="1">
      <c r="A77" s="163" t="s">
        <v>2900</v>
      </c>
      <c r="B77" s="100">
        <v>3.77</v>
      </c>
      <c r="C77" s="100">
        <v>13.47</v>
      </c>
      <c r="D77" s="100">
        <v>10.06</v>
      </c>
      <c r="E77" s="100">
        <v>5.85</v>
      </c>
      <c r="F77" s="100">
        <v>1.43</v>
      </c>
      <c r="G77" s="100">
        <v>12.04</v>
      </c>
      <c r="H77" s="100">
        <v>4.8899999999999997</v>
      </c>
      <c r="I77" s="100">
        <v>3.19</v>
      </c>
      <c r="J77" s="100">
        <v>0.82</v>
      </c>
      <c r="K77" s="100">
        <v>254.18</v>
      </c>
      <c r="L77" s="100">
        <v>25.95</v>
      </c>
      <c r="M77" s="100">
        <v>87.3</v>
      </c>
      <c r="N77" s="100">
        <v>28.7</v>
      </c>
      <c r="O77" s="100">
        <v>0</v>
      </c>
      <c r="P77" s="100">
        <v>0.14000000000000001</v>
      </c>
      <c r="Q77" s="100">
        <v>10</v>
      </c>
      <c r="R77" s="6"/>
      <c r="S77" s="6"/>
      <c r="T77" s="156"/>
      <c r="U77" s="6"/>
    </row>
    <row r="78" spans="1:21" customFormat="1">
      <c r="A78" s="163" t="s">
        <v>2901</v>
      </c>
      <c r="B78" s="100">
        <v>3.7</v>
      </c>
      <c r="C78" s="100">
        <v>13.14</v>
      </c>
      <c r="D78" s="100">
        <v>9.83</v>
      </c>
      <c r="E78" s="100">
        <v>5.78</v>
      </c>
      <c r="F78" s="100">
        <v>1.92</v>
      </c>
      <c r="G78" s="100">
        <v>12.04</v>
      </c>
      <c r="H78" s="100">
        <v>4.8899999999999997</v>
      </c>
      <c r="I78" s="100">
        <v>3.13</v>
      </c>
      <c r="J78" s="100">
        <v>0.82</v>
      </c>
      <c r="K78" s="100">
        <v>254.65</v>
      </c>
      <c r="L78" s="100">
        <v>25.71</v>
      </c>
      <c r="M78" s="100">
        <v>89.66</v>
      </c>
      <c r="N78" s="100">
        <v>13.1</v>
      </c>
      <c r="O78" s="100">
        <v>0</v>
      </c>
      <c r="P78" s="100">
        <v>0.11</v>
      </c>
      <c r="Q78" s="100">
        <v>10</v>
      </c>
      <c r="R78" s="6"/>
      <c r="S78" s="6"/>
      <c r="T78" s="156"/>
      <c r="U78" s="6"/>
    </row>
    <row r="79" spans="1:21" customFormat="1">
      <c r="A79" s="163" t="s">
        <v>2902</v>
      </c>
      <c r="B79" s="100">
        <v>3.71</v>
      </c>
      <c r="C79" s="100">
        <v>12.92</v>
      </c>
      <c r="D79" s="100">
        <v>9.7200000000000006</v>
      </c>
      <c r="E79" s="100">
        <v>5.36</v>
      </c>
      <c r="F79" s="100">
        <v>2.96</v>
      </c>
      <c r="G79" s="100">
        <v>12.04</v>
      </c>
      <c r="H79" s="100">
        <v>4.8899999999999997</v>
      </c>
      <c r="I79" s="100">
        <v>3.03</v>
      </c>
      <c r="J79" s="100">
        <v>0.77</v>
      </c>
      <c r="K79" s="100">
        <v>254.01</v>
      </c>
      <c r="L79" s="100">
        <v>25.53</v>
      </c>
      <c r="M79" s="100">
        <v>91.52</v>
      </c>
      <c r="N79" s="100">
        <v>17.100000000000001</v>
      </c>
      <c r="O79" s="100">
        <v>0</v>
      </c>
      <c r="P79" s="100">
        <v>0.09</v>
      </c>
      <c r="Q79" s="100">
        <v>10</v>
      </c>
      <c r="R79" s="6"/>
      <c r="S79" s="6"/>
      <c r="T79" s="156"/>
      <c r="U79" s="6"/>
    </row>
    <row r="80" spans="1:21" customFormat="1">
      <c r="A80" s="163" t="s">
        <v>2903</v>
      </c>
      <c r="B80" s="100">
        <v>3.78</v>
      </c>
      <c r="C80" s="100">
        <v>12.96</v>
      </c>
      <c r="D80" s="100">
        <v>9.81</v>
      </c>
      <c r="E80" s="100">
        <v>4.82</v>
      </c>
      <c r="F80" s="100">
        <v>3.37</v>
      </c>
      <c r="G80" s="100">
        <v>11.35</v>
      </c>
      <c r="H80" s="100">
        <v>4.54</v>
      </c>
      <c r="I80" s="100">
        <v>3.04</v>
      </c>
      <c r="J80" s="100">
        <v>0.71</v>
      </c>
      <c r="K80" s="100">
        <v>257.19</v>
      </c>
      <c r="L80" s="100">
        <v>25.61</v>
      </c>
      <c r="M80" s="100">
        <v>90.38</v>
      </c>
      <c r="N80" s="100">
        <v>13.8</v>
      </c>
      <c r="O80" s="100">
        <v>0</v>
      </c>
      <c r="P80" s="100">
        <v>0.08</v>
      </c>
      <c r="Q80" s="100">
        <v>10</v>
      </c>
      <c r="R80" s="6"/>
      <c r="S80" s="6"/>
      <c r="T80" s="156"/>
      <c r="U80" s="6"/>
    </row>
    <row r="81" spans="1:21" customFormat="1">
      <c r="A81" s="163" t="s">
        <v>2904</v>
      </c>
      <c r="B81" s="100">
        <v>4.05</v>
      </c>
      <c r="C81" s="100">
        <v>13.43</v>
      </c>
      <c r="D81" s="100">
        <v>10.27</v>
      </c>
      <c r="E81" s="100">
        <v>3.64</v>
      </c>
      <c r="F81" s="100">
        <v>2.97</v>
      </c>
      <c r="G81" s="100">
        <v>10.32</v>
      </c>
      <c r="H81" s="100">
        <v>4.24</v>
      </c>
      <c r="I81" s="100">
        <v>3.07</v>
      </c>
      <c r="J81" s="100">
        <v>0.78</v>
      </c>
      <c r="K81" s="100">
        <v>255.69</v>
      </c>
      <c r="L81" s="100">
        <v>25.62</v>
      </c>
      <c r="M81" s="100">
        <v>88.08</v>
      </c>
      <c r="N81" s="100">
        <v>9.4</v>
      </c>
      <c r="O81" s="100">
        <v>0</v>
      </c>
      <c r="P81" s="100">
        <v>0.1</v>
      </c>
      <c r="Q81" s="100">
        <v>10</v>
      </c>
      <c r="R81" s="6"/>
      <c r="S81" s="6"/>
      <c r="T81" s="156"/>
      <c r="U81" s="6"/>
    </row>
    <row r="82" spans="1:21" customFormat="1">
      <c r="A82" s="163" t="s">
        <v>2905</v>
      </c>
      <c r="B82" s="100">
        <v>4.1100000000000003</v>
      </c>
      <c r="C82" s="100">
        <v>13.05</v>
      </c>
      <c r="D82" s="100">
        <v>10.11</v>
      </c>
      <c r="E82" s="100">
        <v>4.66</v>
      </c>
      <c r="F82" s="100">
        <v>2.4</v>
      </c>
      <c r="G82" s="100">
        <v>10.32</v>
      </c>
      <c r="H82" s="100">
        <v>4.24</v>
      </c>
      <c r="I82" s="100">
        <v>2.99</v>
      </c>
      <c r="J82" s="100">
        <v>0.76</v>
      </c>
      <c r="K82" s="100">
        <v>253.63</v>
      </c>
      <c r="L82" s="100">
        <v>25.52</v>
      </c>
      <c r="M82" s="100">
        <v>88.49</v>
      </c>
      <c r="N82" s="100">
        <v>6</v>
      </c>
      <c r="O82" s="100">
        <v>0</v>
      </c>
      <c r="P82" s="100">
        <v>0.09</v>
      </c>
      <c r="Q82" s="100">
        <v>10</v>
      </c>
      <c r="R82" s="6"/>
      <c r="S82" s="6"/>
      <c r="T82" s="156"/>
      <c r="U82" s="6"/>
    </row>
    <row r="83" spans="1:21" customFormat="1">
      <c r="A83" s="163" t="s">
        <v>2906</v>
      </c>
      <c r="B83" s="100">
        <v>4.12</v>
      </c>
      <c r="C83" s="100">
        <v>12.77</v>
      </c>
      <c r="D83" s="100">
        <v>9.98</v>
      </c>
      <c r="E83" s="100">
        <v>4.57</v>
      </c>
      <c r="F83" s="100">
        <v>2.85</v>
      </c>
      <c r="G83" s="100">
        <v>10.32</v>
      </c>
      <c r="H83" s="100">
        <v>4.24</v>
      </c>
      <c r="I83" s="100">
        <v>3.08</v>
      </c>
      <c r="J83" s="100">
        <v>0.73</v>
      </c>
      <c r="K83" s="100">
        <v>253.38</v>
      </c>
      <c r="L83" s="100">
        <v>25.61</v>
      </c>
      <c r="M83" s="100">
        <v>87.52</v>
      </c>
      <c r="N83" s="100">
        <v>3.3</v>
      </c>
      <c r="O83" s="100">
        <v>0</v>
      </c>
      <c r="P83" s="100">
        <v>0.09</v>
      </c>
      <c r="Q83" s="100">
        <v>10</v>
      </c>
      <c r="R83" s="6"/>
      <c r="S83" s="6"/>
      <c r="T83" s="156"/>
      <c r="U83" s="6"/>
    </row>
    <row r="84" spans="1:21" customFormat="1">
      <c r="A84" s="163" t="s">
        <v>2907</v>
      </c>
      <c r="B84" s="100">
        <v>4.33</v>
      </c>
      <c r="C84" s="100">
        <v>13.18</v>
      </c>
      <c r="D84" s="100">
        <v>10.36</v>
      </c>
      <c r="E84" s="100">
        <v>4.33</v>
      </c>
      <c r="F84" s="100">
        <v>2.78</v>
      </c>
      <c r="G84" s="100">
        <v>9.91</v>
      </c>
      <c r="H84" s="100">
        <v>3.56</v>
      </c>
      <c r="I84" s="100">
        <v>2.99</v>
      </c>
      <c r="J84" s="100">
        <v>0.61</v>
      </c>
      <c r="K84" s="100">
        <v>253.39</v>
      </c>
      <c r="L84" s="100">
        <v>25.6</v>
      </c>
      <c r="M84" s="100">
        <v>87.84</v>
      </c>
      <c r="N84" s="100">
        <v>2.4</v>
      </c>
      <c r="O84" s="100">
        <v>0</v>
      </c>
      <c r="P84" s="100">
        <v>0.11</v>
      </c>
      <c r="Q84" s="100">
        <v>10</v>
      </c>
      <c r="R84" s="6"/>
      <c r="S84" s="6"/>
      <c r="T84" s="156"/>
      <c r="U84" s="6"/>
    </row>
    <row r="85" spans="1:21" customFormat="1">
      <c r="A85" s="163" t="s">
        <v>2908</v>
      </c>
      <c r="B85" s="100">
        <v>4.4000000000000004</v>
      </c>
      <c r="C85" s="100">
        <v>12.87</v>
      </c>
      <c r="D85" s="100">
        <v>10.26</v>
      </c>
      <c r="E85" s="100">
        <v>4.5199999999999996</v>
      </c>
      <c r="F85" s="100">
        <v>2.4</v>
      </c>
      <c r="G85" s="100">
        <v>9.2899999999999991</v>
      </c>
      <c r="H85" s="100">
        <v>2.97</v>
      </c>
      <c r="I85" s="100">
        <v>2.92</v>
      </c>
      <c r="J85" s="100">
        <v>0.47</v>
      </c>
      <c r="K85" s="100">
        <v>257.72000000000003</v>
      </c>
      <c r="L85" s="100">
        <v>25.64</v>
      </c>
      <c r="M85" s="100">
        <v>87.8</v>
      </c>
      <c r="N85" s="100">
        <v>2.2000000000000002</v>
      </c>
      <c r="O85" s="100">
        <v>0</v>
      </c>
      <c r="P85" s="100">
        <v>0.1</v>
      </c>
      <c r="Q85" s="100">
        <v>10</v>
      </c>
      <c r="R85" s="6"/>
      <c r="S85" s="6"/>
      <c r="T85" s="156"/>
      <c r="U85" s="6"/>
    </row>
    <row r="86" spans="1:21" customFormat="1">
      <c r="A86" s="163" t="s">
        <v>2909</v>
      </c>
      <c r="B86" s="100">
        <v>4.4000000000000004</v>
      </c>
      <c r="C86" s="100">
        <v>12.59</v>
      </c>
      <c r="D86" s="100">
        <v>10.11</v>
      </c>
      <c r="E86" s="100">
        <v>4.33</v>
      </c>
      <c r="F86" s="100">
        <v>3.03</v>
      </c>
      <c r="G86" s="100">
        <v>9.2899999999999991</v>
      </c>
      <c r="H86" s="100">
        <v>2.97</v>
      </c>
      <c r="I86" s="100">
        <v>3.01</v>
      </c>
      <c r="J86" s="100">
        <v>0.63</v>
      </c>
      <c r="K86" s="100">
        <v>253.02</v>
      </c>
      <c r="L86" s="100">
        <v>25.69</v>
      </c>
      <c r="M86" s="100">
        <v>87.33</v>
      </c>
      <c r="N86" s="100">
        <v>2.2999999999999998</v>
      </c>
      <c r="O86" s="100">
        <v>0</v>
      </c>
      <c r="P86" s="100">
        <v>0.09</v>
      </c>
      <c r="Q86" s="100">
        <v>10</v>
      </c>
      <c r="R86" s="6"/>
      <c r="S86" s="6"/>
      <c r="T86" s="156"/>
      <c r="U86" s="6"/>
    </row>
    <row r="87" spans="1:21" customFormat="1">
      <c r="A87" s="163" t="s">
        <v>2910</v>
      </c>
      <c r="B87" s="100">
        <v>4.62</v>
      </c>
      <c r="C87" s="100">
        <v>13.06</v>
      </c>
      <c r="D87" s="100">
        <v>10.52</v>
      </c>
      <c r="E87" s="100">
        <v>4.45</v>
      </c>
      <c r="F87" s="100">
        <v>2.5</v>
      </c>
      <c r="G87" s="100">
        <v>9.2899999999999991</v>
      </c>
      <c r="H87" s="100">
        <v>2.97</v>
      </c>
      <c r="I87" s="100">
        <v>2.93</v>
      </c>
      <c r="J87" s="100">
        <v>0.61</v>
      </c>
      <c r="K87" s="100">
        <v>253.75</v>
      </c>
      <c r="L87" s="100">
        <v>25.68</v>
      </c>
      <c r="M87" s="100">
        <v>87.87</v>
      </c>
      <c r="N87" s="100">
        <v>2.4</v>
      </c>
      <c r="O87" s="100">
        <v>0</v>
      </c>
      <c r="P87" s="100">
        <v>0.11</v>
      </c>
      <c r="Q87" s="100">
        <v>10</v>
      </c>
      <c r="R87" s="6"/>
      <c r="S87" s="6"/>
      <c r="T87" s="156"/>
      <c r="U87" s="6"/>
    </row>
    <row r="88" spans="1:21" customFormat="1">
      <c r="A88" s="163" t="s">
        <v>2911</v>
      </c>
      <c r="B88" s="100">
        <v>4.6399999999999997</v>
      </c>
      <c r="C88" s="100">
        <v>12.77</v>
      </c>
      <c r="D88" s="100">
        <v>10.39</v>
      </c>
      <c r="E88" s="100">
        <v>4.43</v>
      </c>
      <c r="F88" s="100">
        <v>2.94</v>
      </c>
      <c r="G88" s="100">
        <v>8.27</v>
      </c>
      <c r="H88" s="100">
        <v>2.5099999999999998</v>
      </c>
      <c r="I88" s="100">
        <v>2.96</v>
      </c>
      <c r="J88" s="100">
        <v>0.56999999999999995</v>
      </c>
      <c r="K88" s="100">
        <v>250.93</v>
      </c>
      <c r="L88" s="100">
        <v>25.73</v>
      </c>
      <c r="M88" s="100">
        <v>87.4</v>
      </c>
      <c r="N88" s="100">
        <v>2.2999999999999998</v>
      </c>
      <c r="O88" s="100">
        <v>0</v>
      </c>
      <c r="P88" s="100">
        <v>0.1</v>
      </c>
      <c r="Q88" s="100">
        <v>10</v>
      </c>
      <c r="R88" s="6"/>
      <c r="S88" s="6"/>
      <c r="T88" s="156"/>
      <c r="U88" s="6"/>
    </row>
    <row r="89" spans="1:21" customFormat="1">
      <c r="A89" s="163" t="s">
        <v>2912</v>
      </c>
      <c r="B89" s="100">
        <v>4.6900000000000004</v>
      </c>
      <c r="C89" s="100">
        <v>12.62</v>
      </c>
      <c r="D89" s="100">
        <v>10.35</v>
      </c>
      <c r="E89" s="100">
        <v>4.49</v>
      </c>
      <c r="F89" s="100">
        <v>3.27</v>
      </c>
      <c r="G89" s="100">
        <v>6.76</v>
      </c>
      <c r="H89" s="100">
        <v>2.11</v>
      </c>
      <c r="I89" s="100">
        <v>2.99</v>
      </c>
      <c r="J89" s="100">
        <v>0.67</v>
      </c>
      <c r="K89" s="100">
        <v>253.52</v>
      </c>
      <c r="L89" s="100">
        <v>25.73</v>
      </c>
      <c r="M89" s="100">
        <v>87.41</v>
      </c>
      <c r="N89" s="100">
        <v>2.2999999999999998</v>
      </c>
      <c r="O89" s="100">
        <v>0</v>
      </c>
      <c r="P89" s="100">
        <v>0.09</v>
      </c>
      <c r="Q89" s="100">
        <v>10</v>
      </c>
      <c r="R89" s="6"/>
      <c r="S89" s="6"/>
      <c r="T89" s="156"/>
      <c r="U89" s="6"/>
    </row>
    <row r="90" spans="1:21" customFormat="1">
      <c r="A90" s="163" t="s">
        <v>2913</v>
      </c>
      <c r="B90" s="100">
        <v>4.8899999999999997</v>
      </c>
      <c r="C90" s="100">
        <v>13.2</v>
      </c>
      <c r="D90" s="100">
        <v>10.82</v>
      </c>
      <c r="E90" s="100">
        <v>4.46</v>
      </c>
      <c r="F90" s="100">
        <v>2.4900000000000002</v>
      </c>
      <c r="G90" s="100">
        <v>6.76</v>
      </c>
      <c r="H90" s="100">
        <v>2.11</v>
      </c>
      <c r="I90" s="100">
        <v>2.92</v>
      </c>
      <c r="J90" s="100">
        <v>0.56999999999999995</v>
      </c>
      <c r="K90" s="100">
        <v>251.78</v>
      </c>
      <c r="L90" s="100">
        <v>25.74</v>
      </c>
      <c r="M90" s="100">
        <v>87.49</v>
      </c>
      <c r="N90" s="100">
        <v>2.2999999999999998</v>
      </c>
      <c r="O90" s="100">
        <v>0</v>
      </c>
      <c r="P90" s="100">
        <v>0.11</v>
      </c>
      <c r="Q90" s="100">
        <v>10</v>
      </c>
      <c r="R90" s="6"/>
      <c r="S90" s="6"/>
      <c r="T90" s="156"/>
      <c r="U90" s="6"/>
    </row>
    <row r="91" spans="1:21" customFormat="1">
      <c r="A91" s="163" t="s">
        <v>2914</v>
      </c>
      <c r="B91" s="100">
        <v>4.84</v>
      </c>
      <c r="C91" s="100">
        <v>12.7</v>
      </c>
      <c r="D91" s="100">
        <v>10.52</v>
      </c>
      <c r="E91" s="100">
        <v>4.7699999999999996</v>
      </c>
      <c r="F91" s="100">
        <v>2.81</v>
      </c>
      <c r="G91" s="100">
        <v>6.76</v>
      </c>
      <c r="H91" s="100">
        <v>2.11</v>
      </c>
      <c r="I91" s="100">
        <v>2.96</v>
      </c>
      <c r="J91" s="100">
        <v>0.82</v>
      </c>
      <c r="K91" s="100">
        <v>255.15</v>
      </c>
      <c r="L91" s="100">
        <v>25.81</v>
      </c>
      <c r="M91" s="100">
        <v>86.51</v>
      </c>
      <c r="N91" s="100">
        <v>2.2999999999999998</v>
      </c>
      <c r="O91" s="100">
        <v>0</v>
      </c>
      <c r="P91" s="100">
        <v>0.09</v>
      </c>
      <c r="Q91" s="100">
        <v>10</v>
      </c>
      <c r="R91" s="6"/>
      <c r="S91" s="6"/>
      <c r="T91" s="156"/>
      <c r="U91" s="6"/>
    </row>
    <row r="92" spans="1:21" customFormat="1">
      <c r="A92" s="163" t="s">
        <v>2915</v>
      </c>
      <c r="B92" s="100">
        <v>4.72</v>
      </c>
      <c r="C92" s="100">
        <v>12.37</v>
      </c>
      <c r="D92" s="100">
        <v>10.25</v>
      </c>
      <c r="E92" s="100">
        <v>3.98</v>
      </c>
      <c r="F92" s="100">
        <v>4.16</v>
      </c>
      <c r="G92" s="100">
        <v>7.07</v>
      </c>
      <c r="H92" s="100">
        <v>2.5</v>
      </c>
      <c r="I92" s="100">
        <v>3.06</v>
      </c>
      <c r="J92" s="100">
        <v>0.69</v>
      </c>
      <c r="K92" s="100">
        <v>255.17</v>
      </c>
      <c r="L92" s="100">
        <v>25.81</v>
      </c>
      <c r="M92" s="100">
        <v>86.29</v>
      </c>
      <c r="N92" s="100">
        <v>2.4</v>
      </c>
      <c r="O92" s="100">
        <v>0</v>
      </c>
      <c r="P92" s="100">
        <v>0.09</v>
      </c>
      <c r="Q92" s="100">
        <v>10</v>
      </c>
      <c r="R92" s="6"/>
      <c r="S92" s="6"/>
      <c r="T92" s="156"/>
      <c r="U92" s="6"/>
    </row>
    <row r="93" spans="1:21" customFormat="1">
      <c r="A93" s="163" t="s">
        <v>2916</v>
      </c>
      <c r="B93" s="100">
        <v>4.92</v>
      </c>
      <c r="C93" s="100">
        <v>13.12</v>
      </c>
      <c r="D93" s="100">
        <v>10.8</v>
      </c>
      <c r="E93" s="100">
        <v>4.51</v>
      </c>
      <c r="F93" s="100">
        <v>2.78</v>
      </c>
      <c r="G93" s="100">
        <v>7.54</v>
      </c>
      <c r="H93" s="100">
        <v>3.53</v>
      </c>
      <c r="I93" s="100">
        <v>2.95</v>
      </c>
      <c r="J93" s="100">
        <v>0.57999999999999996</v>
      </c>
      <c r="K93" s="100">
        <v>252.85</v>
      </c>
      <c r="L93" s="100">
        <v>25.78</v>
      </c>
      <c r="M93" s="100">
        <v>86.49</v>
      </c>
      <c r="N93" s="100">
        <v>2.4</v>
      </c>
      <c r="O93" s="100">
        <v>0</v>
      </c>
      <c r="P93" s="100">
        <v>0.1</v>
      </c>
      <c r="Q93" s="100">
        <v>10</v>
      </c>
      <c r="R93" s="6"/>
      <c r="S93" s="6"/>
      <c r="T93" s="156"/>
      <c r="U93" s="6"/>
    </row>
    <row r="94" spans="1:21" customFormat="1">
      <c r="A94" s="163" t="s">
        <v>2917</v>
      </c>
      <c r="B94" s="100">
        <v>4.95</v>
      </c>
      <c r="C94" s="100">
        <v>12.93</v>
      </c>
      <c r="D94" s="100">
        <v>10.72</v>
      </c>
      <c r="E94" s="100">
        <v>4.55</v>
      </c>
      <c r="F94" s="100">
        <v>1.75</v>
      </c>
      <c r="G94" s="100">
        <v>7.54</v>
      </c>
      <c r="H94" s="100">
        <v>3.53</v>
      </c>
      <c r="I94" s="100">
        <v>2.92</v>
      </c>
      <c r="J94" s="100">
        <v>0.49</v>
      </c>
      <c r="K94" s="100">
        <v>251.01</v>
      </c>
      <c r="L94" s="100">
        <v>25.76</v>
      </c>
      <c r="M94" s="100">
        <v>86.99</v>
      </c>
      <c r="N94" s="100">
        <v>2.4</v>
      </c>
      <c r="O94" s="100">
        <v>0</v>
      </c>
      <c r="P94" s="100">
        <v>0.1</v>
      </c>
      <c r="Q94" s="100">
        <v>10</v>
      </c>
      <c r="R94" s="6"/>
      <c r="S94" s="6"/>
      <c r="T94" s="156"/>
      <c r="U94" s="6"/>
    </row>
    <row r="95" spans="1:21" customFormat="1">
      <c r="A95" s="163" t="s">
        <v>2918</v>
      </c>
      <c r="B95" s="100">
        <v>4.8600000000000003</v>
      </c>
      <c r="C95" s="100">
        <v>12.49</v>
      </c>
      <c r="D95" s="100">
        <v>10.42</v>
      </c>
      <c r="E95" s="100">
        <v>4.4400000000000004</v>
      </c>
      <c r="F95" s="100">
        <v>2.74</v>
      </c>
      <c r="G95" s="100">
        <v>7.54</v>
      </c>
      <c r="H95" s="100">
        <v>3.53</v>
      </c>
      <c r="I95" s="100">
        <v>3.04</v>
      </c>
      <c r="J95" s="100">
        <v>0.63</v>
      </c>
      <c r="K95" s="100">
        <v>252.74</v>
      </c>
      <c r="L95" s="100">
        <v>25.72</v>
      </c>
      <c r="M95" s="100">
        <v>87.38</v>
      </c>
      <c r="N95" s="100">
        <v>2.4</v>
      </c>
      <c r="O95" s="100">
        <v>0</v>
      </c>
      <c r="P95" s="100">
        <v>0.08</v>
      </c>
      <c r="Q95" s="100">
        <v>10</v>
      </c>
      <c r="R95" s="6"/>
      <c r="S95" s="6"/>
      <c r="T95" s="156"/>
      <c r="U95" s="6"/>
    </row>
    <row r="96" spans="1:21" customFormat="1">
      <c r="A96" s="163" t="s">
        <v>2919</v>
      </c>
      <c r="B96" s="100">
        <v>5.03</v>
      </c>
      <c r="C96" s="100">
        <v>13.15</v>
      </c>
      <c r="D96" s="100">
        <v>10.9</v>
      </c>
      <c r="E96" s="100">
        <v>4.38</v>
      </c>
      <c r="F96" s="100">
        <v>2.83</v>
      </c>
      <c r="G96" s="100">
        <v>8.7100000000000009</v>
      </c>
      <c r="H96" s="100">
        <v>3.03</v>
      </c>
      <c r="I96" s="100">
        <v>2.97</v>
      </c>
      <c r="J96" s="100">
        <v>0.76</v>
      </c>
      <c r="K96" s="100">
        <v>254.82</v>
      </c>
      <c r="L96" s="100">
        <v>25.54</v>
      </c>
      <c r="M96" s="100">
        <v>88.83</v>
      </c>
      <c r="N96" s="100">
        <v>2.5</v>
      </c>
      <c r="O96" s="100">
        <v>0</v>
      </c>
      <c r="P96" s="100">
        <v>0.11</v>
      </c>
      <c r="Q96" s="100">
        <v>10</v>
      </c>
      <c r="R96" s="6"/>
      <c r="S96" s="6"/>
      <c r="T96" s="156"/>
      <c r="U96" s="6"/>
    </row>
    <row r="97" spans="1:28" customFormat="1">
      <c r="A97" s="163" t="s">
        <v>2920</v>
      </c>
      <c r="B97" s="100">
        <v>5.05</v>
      </c>
      <c r="C97" s="100">
        <v>13.32</v>
      </c>
      <c r="D97" s="100">
        <v>11.01</v>
      </c>
      <c r="E97" s="100">
        <v>5.08</v>
      </c>
      <c r="F97" s="100">
        <v>1.48</v>
      </c>
      <c r="G97" s="100">
        <v>10.45</v>
      </c>
      <c r="H97" s="100">
        <v>2.59</v>
      </c>
      <c r="I97" s="100">
        <v>2.94</v>
      </c>
      <c r="J97" s="100">
        <v>0.6</v>
      </c>
      <c r="K97" s="100">
        <v>255.9</v>
      </c>
      <c r="L97" s="100">
        <v>25.12</v>
      </c>
      <c r="M97" s="100">
        <v>92.52</v>
      </c>
      <c r="N97" s="100">
        <v>2.2000000000000002</v>
      </c>
      <c r="O97" s="100">
        <v>0</v>
      </c>
      <c r="P97" s="100">
        <v>0.13</v>
      </c>
      <c r="Q97" s="100">
        <v>10</v>
      </c>
      <c r="R97" s="6"/>
      <c r="S97" s="6"/>
      <c r="T97" s="156"/>
      <c r="U97" s="6"/>
    </row>
    <row r="98" spans="1:28" customFormat="1">
      <c r="A98" s="163" t="s">
        <v>2921</v>
      </c>
      <c r="B98" s="100">
        <v>4.8899999999999997</v>
      </c>
      <c r="C98" s="100">
        <v>13.16</v>
      </c>
      <c r="D98" s="100">
        <v>10.8</v>
      </c>
      <c r="E98" s="100">
        <v>5.14</v>
      </c>
      <c r="F98" s="100">
        <v>1.94</v>
      </c>
      <c r="G98" s="100">
        <v>10.45</v>
      </c>
      <c r="H98" s="100">
        <v>2.59</v>
      </c>
      <c r="I98" s="100">
        <v>3.04</v>
      </c>
      <c r="J98" s="100">
        <v>0.68</v>
      </c>
      <c r="K98" s="100">
        <v>251.8</v>
      </c>
      <c r="L98" s="100">
        <v>24.93</v>
      </c>
      <c r="M98" s="100">
        <v>94.67</v>
      </c>
      <c r="N98" s="100">
        <v>1.8</v>
      </c>
      <c r="O98" s="100">
        <v>0</v>
      </c>
      <c r="P98" s="100">
        <v>0.13</v>
      </c>
      <c r="Q98" s="100">
        <v>10</v>
      </c>
      <c r="R98" s="6"/>
      <c r="S98" s="6"/>
      <c r="T98" s="156"/>
      <c r="U98" s="6"/>
    </row>
    <row r="99" spans="1:28" customFormat="1">
      <c r="A99" s="163" t="s">
        <v>2922</v>
      </c>
      <c r="B99" s="100">
        <v>4.7</v>
      </c>
      <c r="C99" s="100">
        <v>13.16</v>
      </c>
      <c r="D99" s="100">
        <v>10.64</v>
      </c>
      <c r="E99" s="100">
        <v>4.88</v>
      </c>
      <c r="F99" s="100">
        <v>2.2000000000000002</v>
      </c>
      <c r="G99" s="100">
        <v>10.45</v>
      </c>
      <c r="H99" s="100">
        <v>2.59</v>
      </c>
      <c r="I99" s="100">
        <v>2.97</v>
      </c>
      <c r="J99" s="100">
        <v>0.57999999999999996</v>
      </c>
      <c r="K99" s="100">
        <v>254.72</v>
      </c>
      <c r="L99" s="100">
        <v>24.92</v>
      </c>
      <c r="M99" s="100">
        <v>94.42</v>
      </c>
      <c r="N99" s="100">
        <v>1.6</v>
      </c>
      <c r="O99" s="100">
        <v>0</v>
      </c>
      <c r="P99" s="100">
        <v>0.14000000000000001</v>
      </c>
      <c r="Q99" s="100">
        <v>10</v>
      </c>
      <c r="R99" s="6"/>
      <c r="S99" s="6"/>
      <c r="T99" s="156"/>
      <c r="U99" s="6"/>
    </row>
    <row r="100" spans="1:28" customFormat="1">
      <c r="A100" s="163" t="s">
        <v>2923</v>
      </c>
      <c r="B100" s="100">
        <v>4.5599999999999996</v>
      </c>
      <c r="C100" s="100">
        <v>13.15</v>
      </c>
      <c r="D100" s="100">
        <v>10.53</v>
      </c>
      <c r="E100" s="100">
        <v>4.92</v>
      </c>
      <c r="F100" s="100">
        <v>2.04</v>
      </c>
      <c r="G100" s="100">
        <v>9.2200000000000006</v>
      </c>
      <c r="H100" s="100">
        <v>2.36</v>
      </c>
      <c r="I100" s="100">
        <v>2.88</v>
      </c>
      <c r="J100" s="100">
        <v>0.92</v>
      </c>
      <c r="K100" s="100">
        <v>253.84</v>
      </c>
      <c r="L100" s="100">
        <v>24.96</v>
      </c>
      <c r="M100" s="100">
        <v>93.25</v>
      </c>
      <c r="N100" s="100">
        <v>1.4</v>
      </c>
      <c r="O100" s="100">
        <v>0</v>
      </c>
      <c r="P100" s="100">
        <v>0.13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2924</v>
      </c>
      <c r="B101" s="100">
        <v>4.4400000000000004</v>
      </c>
      <c r="C101" s="100">
        <v>13.1</v>
      </c>
      <c r="D101" s="100">
        <v>10.4</v>
      </c>
      <c r="E101" s="100">
        <v>4.9800000000000004</v>
      </c>
      <c r="F101" s="100">
        <v>1.94</v>
      </c>
      <c r="G101" s="100">
        <v>7.38</v>
      </c>
      <c r="H101" s="100">
        <v>2.16</v>
      </c>
      <c r="I101" s="100">
        <v>2.82</v>
      </c>
      <c r="J101" s="100">
        <v>0.77</v>
      </c>
      <c r="K101" s="100">
        <v>260.04000000000002</v>
      </c>
      <c r="L101" s="100">
        <v>25.09</v>
      </c>
      <c r="M101" s="100">
        <v>91.06</v>
      </c>
      <c r="N101" s="100">
        <v>1.7</v>
      </c>
      <c r="O101" s="100">
        <v>0</v>
      </c>
      <c r="P101" s="100">
        <v>0.13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2925</v>
      </c>
      <c r="B102" s="100">
        <v>4.29</v>
      </c>
      <c r="C102" s="100">
        <v>13.12</v>
      </c>
      <c r="D102" s="100">
        <v>10.29</v>
      </c>
      <c r="E102" s="100">
        <v>4.8600000000000003</v>
      </c>
      <c r="F102" s="100">
        <v>2.2999999999999998</v>
      </c>
      <c r="G102" s="100">
        <v>7.38</v>
      </c>
      <c r="H102" s="100">
        <v>2.16</v>
      </c>
      <c r="I102" s="100">
        <v>2.77</v>
      </c>
      <c r="J102" s="100">
        <v>0.69</v>
      </c>
      <c r="K102" s="100">
        <v>257.69</v>
      </c>
      <c r="L102" s="100">
        <v>25.11</v>
      </c>
      <c r="M102" s="100">
        <v>90.93</v>
      </c>
      <c r="N102" s="100">
        <v>2</v>
      </c>
      <c r="O102" s="100">
        <v>0</v>
      </c>
      <c r="P102" s="100">
        <v>0.14000000000000001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2926</v>
      </c>
      <c r="B103" s="100">
        <v>4.2</v>
      </c>
      <c r="C103" s="100">
        <v>13.05</v>
      </c>
      <c r="D103" s="100">
        <v>10.19</v>
      </c>
      <c r="E103" s="100">
        <v>5.0599999999999996</v>
      </c>
      <c r="F103" s="100">
        <v>2.21</v>
      </c>
      <c r="G103" s="100">
        <v>7.38</v>
      </c>
      <c r="H103" s="100">
        <v>2.16</v>
      </c>
      <c r="I103" s="100">
        <v>2.74</v>
      </c>
      <c r="J103" s="100">
        <v>0.71</v>
      </c>
      <c r="K103" s="100">
        <v>252.25</v>
      </c>
      <c r="L103" s="100">
        <v>25.18</v>
      </c>
      <c r="M103" s="100">
        <v>90.4</v>
      </c>
      <c r="N103" s="100">
        <v>2.1</v>
      </c>
      <c r="O103" s="100">
        <v>0</v>
      </c>
      <c r="P103" s="100">
        <v>0.13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2927</v>
      </c>
      <c r="B104" s="100">
        <v>4.13</v>
      </c>
      <c r="C104" s="100">
        <v>12.95</v>
      </c>
      <c r="D104" s="100">
        <v>10.08</v>
      </c>
      <c r="E104" s="100">
        <v>5</v>
      </c>
      <c r="F104" s="100">
        <v>2.16</v>
      </c>
      <c r="G104" s="100">
        <v>7.55</v>
      </c>
      <c r="H104" s="100">
        <v>1.92</v>
      </c>
      <c r="I104" s="100">
        <v>2.7</v>
      </c>
      <c r="J104" s="100">
        <v>0.56000000000000005</v>
      </c>
      <c r="K104" s="100">
        <v>254.53</v>
      </c>
      <c r="L104" s="100">
        <v>25.2</v>
      </c>
      <c r="M104" s="100">
        <v>90.08</v>
      </c>
      <c r="N104" s="100">
        <v>2.2000000000000002</v>
      </c>
      <c r="O104" s="100">
        <v>0</v>
      </c>
      <c r="P104" s="100">
        <v>0.13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3.58</v>
      </c>
      <c r="C106" s="158">
        <f>MIN(C9:C104)</f>
        <v>12.37</v>
      </c>
      <c r="D106" s="158">
        <f t="shared" ref="D106:Q106" si="0">MIN(D9:D104)</f>
        <v>9.7200000000000006</v>
      </c>
      <c r="E106" s="158">
        <f t="shared" si="0"/>
        <v>3.64</v>
      </c>
      <c r="F106" s="158">
        <f t="shared" si="0"/>
        <v>1.26</v>
      </c>
      <c r="G106" s="158">
        <f t="shared" si="0"/>
        <v>3.25</v>
      </c>
      <c r="H106" s="158">
        <f t="shared" si="0"/>
        <v>0.83</v>
      </c>
      <c r="I106" s="158">
        <f t="shared" si="0"/>
        <v>2.41</v>
      </c>
      <c r="J106" s="158">
        <f t="shared" si="0"/>
        <v>0.35</v>
      </c>
      <c r="K106" s="158">
        <f t="shared" si="0"/>
        <v>244.35</v>
      </c>
      <c r="L106" s="158">
        <f t="shared" si="0"/>
        <v>24.6</v>
      </c>
      <c r="M106" s="158">
        <f t="shared" si="0"/>
        <v>74.86</v>
      </c>
      <c r="N106" s="158">
        <f t="shared" si="0"/>
        <v>1.4</v>
      </c>
      <c r="O106" s="158">
        <f t="shared" si="0"/>
        <v>0</v>
      </c>
      <c r="P106" s="158">
        <f t="shared" si="0"/>
        <v>7.0000000000000007E-2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6.02</v>
      </c>
      <c r="C107" s="157">
        <f t="shared" ref="C107:Q107" si="1">MAX(C9:C104)</f>
        <v>14.21</v>
      </c>
      <c r="D107" s="157">
        <f t="shared" si="1"/>
        <v>11.66</v>
      </c>
      <c r="E107" s="157">
        <f t="shared" si="1"/>
        <v>6.11</v>
      </c>
      <c r="F107" s="157">
        <f t="shared" si="1"/>
        <v>4.16</v>
      </c>
      <c r="G107" s="157">
        <f t="shared" si="1"/>
        <v>14.74</v>
      </c>
      <c r="H107" s="157">
        <f t="shared" si="1"/>
        <v>6.05</v>
      </c>
      <c r="I107" s="157">
        <f t="shared" si="1"/>
        <v>3.2</v>
      </c>
      <c r="J107" s="157">
        <f t="shared" si="1"/>
        <v>1.1100000000000001</v>
      </c>
      <c r="K107" s="157">
        <f t="shared" si="1"/>
        <v>278.54000000000002</v>
      </c>
      <c r="L107" s="157">
        <f t="shared" si="1"/>
        <v>28.12</v>
      </c>
      <c r="M107" s="157">
        <f t="shared" si="1"/>
        <v>98.01</v>
      </c>
      <c r="N107" s="157">
        <f t="shared" si="1"/>
        <v>317.10000000000002</v>
      </c>
      <c r="O107" s="157">
        <f t="shared" si="1"/>
        <v>0.4</v>
      </c>
      <c r="P107" s="157">
        <f t="shared" si="1"/>
        <v>0.15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4.67875</v>
      </c>
      <c r="C108" s="158">
        <f t="shared" ref="C108:Q108" si="2">AVERAGE(C9:C104)</f>
        <v>13.305624999999997</v>
      </c>
      <c r="D108" s="158">
        <f t="shared" si="2"/>
        <v>10.703749999999998</v>
      </c>
      <c r="E108" s="158">
        <f t="shared" si="2"/>
        <v>5.122395833333333</v>
      </c>
      <c r="F108" s="158">
        <f t="shared" si="2"/>
        <v>2.3275000000000001</v>
      </c>
      <c r="G108" s="158">
        <f t="shared" si="2"/>
        <v>7.7450000000000001</v>
      </c>
      <c r="H108" s="158">
        <f t="shared" si="2"/>
        <v>2.6781250000000014</v>
      </c>
      <c r="I108" s="158">
        <f t="shared" si="2"/>
        <v>2.8235416666666668</v>
      </c>
      <c r="J108" s="158">
        <f t="shared" si="2"/>
        <v>0.71739583333333334</v>
      </c>
      <c r="K108" s="158">
        <f t="shared" si="2"/>
        <v>254.65916666666658</v>
      </c>
      <c r="L108" s="158">
        <f t="shared" si="2"/>
        <v>26.011666666666667</v>
      </c>
      <c r="M108" s="158">
        <f t="shared" si="2"/>
        <v>87.283229166666658</v>
      </c>
      <c r="N108" s="158">
        <f t="shared" si="2"/>
        <v>51.323958333333316</v>
      </c>
      <c r="O108" s="158">
        <f t="shared" si="2"/>
        <v>6.2500000000000012E-3</v>
      </c>
      <c r="P108" s="158">
        <f t="shared" si="2"/>
        <v>0.10895833333333334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0.62302530150531987</v>
      </c>
      <c r="C109" s="158">
        <f t="shared" ref="C109:Q109" si="3">STDEV(C9:C104)</f>
        <v>0.52478328860587775</v>
      </c>
      <c r="D109" s="158">
        <f t="shared" si="3"/>
        <v>0.45475325871926359</v>
      </c>
      <c r="E109" s="158">
        <f t="shared" si="3"/>
        <v>0.51992255453990943</v>
      </c>
      <c r="F109" s="158">
        <f t="shared" si="3"/>
        <v>0.53975823047770266</v>
      </c>
      <c r="G109" s="158">
        <f t="shared" si="3"/>
        <v>3.3087055824867484</v>
      </c>
      <c r="H109" s="158">
        <f t="shared" si="3"/>
        <v>1.4615826407663266</v>
      </c>
      <c r="I109" s="158">
        <f t="shared" si="3"/>
        <v>0.18853439818305198</v>
      </c>
      <c r="J109" s="158">
        <f t="shared" si="3"/>
        <v>0.17458066928420107</v>
      </c>
      <c r="K109" s="158">
        <f t="shared" si="3"/>
        <v>3.8741925248105922</v>
      </c>
      <c r="L109" s="158">
        <f t="shared" si="3"/>
        <v>0.94596502290592266</v>
      </c>
      <c r="M109" s="158">
        <f t="shared" si="3"/>
        <v>6.1062962320252394</v>
      </c>
      <c r="N109" s="158">
        <f t="shared" si="3"/>
        <v>66.871933763121447</v>
      </c>
      <c r="O109" s="158">
        <f t="shared" si="3"/>
        <v>4.5450956796135887E-2</v>
      </c>
      <c r="P109" s="158">
        <f t="shared" si="3"/>
        <v>2.0697275013451581E-2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7" workbookViewId="0">
      <selection activeCell="R13" sqref="R13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>
      <c r="A9" s="163" t="s">
        <v>2928</v>
      </c>
      <c r="B9" s="100">
        <v>3.96</v>
      </c>
      <c r="C9" s="100">
        <v>12.76</v>
      </c>
      <c r="D9" s="100">
        <v>9.85</v>
      </c>
      <c r="E9" s="100">
        <v>5.27</v>
      </c>
      <c r="F9" s="100">
        <v>2.17</v>
      </c>
      <c r="G9" s="100">
        <v>7.79</v>
      </c>
      <c r="H9" s="100">
        <v>1.71</v>
      </c>
      <c r="I9" s="100">
        <v>2.71</v>
      </c>
      <c r="J9" s="100">
        <v>0.75</v>
      </c>
      <c r="K9" s="100">
        <v>253.93</v>
      </c>
      <c r="L9" s="100">
        <v>25.22</v>
      </c>
      <c r="M9" s="100">
        <v>89.37</v>
      </c>
      <c r="N9" s="100">
        <v>2.2999999999999998</v>
      </c>
      <c r="O9" s="100">
        <v>0</v>
      </c>
      <c r="P9" s="100">
        <v>0.13</v>
      </c>
      <c r="Q9" s="100">
        <v>10</v>
      </c>
      <c r="R9" s="6"/>
      <c r="S9" s="6"/>
      <c r="T9" s="156"/>
      <c r="U9" s="6"/>
    </row>
    <row r="10" spans="1:21">
      <c r="A10" s="163" t="s">
        <v>2929</v>
      </c>
      <c r="B10" s="100">
        <v>3.83</v>
      </c>
      <c r="C10" s="100">
        <v>12.91</v>
      </c>
      <c r="D10" s="100">
        <v>9.81</v>
      </c>
      <c r="E10" s="100">
        <v>5.26</v>
      </c>
      <c r="F10" s="100">
        <v>1.92</v>
      </c>
      <c r="G10" s="100">
        <v>7.79</v>
      </c>
      <c r="H10" s="100">
        <v>1.71</v>
      </c>
      <c r="I10" s="100">
        <v>2.67</v>
      </c>
      <c r="J10" s="100">
        <v>0.74</v>
      </c>
      <c r="K10" s="100">
        <v>251.53</v>
      </c>
      <c r="L10" s="100">
        <v>25.24</v>
      </c>
      <c r="M10" s="100">
        <v>89.53</v>
      </c>
      <c r="N10" s="100">
        <v>2.2999999999999998</v>
      </c>
      <c r="O10" s="100">
        <v>0</v>
      </c>
      <c r="P10" s="100">
        <v>0.13</v>
      </c>
      <c r="Q10" s="100">
        <v>10</v>
      </c>
      <c r="R10" s="6"/>
      <c r="S10" s="6"/>
      <c r="T10" s="156"/>
      <c r="U10" s="6"/>
    </row>
    <row r="11" spans="1:21">
      <c r="A11" s="163" t="s">
        <v>2930</v>
      </c>
      <c r="B11" s="100">
        <v>3.77</v>
      </c>
      <c r="C11" s="100">
        <v>12.86</v>
      </c>
      <c r="D11" s="100">
        <v>9.74</v>
      </c>
      <c r="E11" s="100">
        <v>5.46</v>
      </c>
      <c r="F11" s="100">
        <v>2.0499999999999998</v>
      </c>
      <c r="G11" s="100">
        <v>7.79</v>
      </c>
      <c r="H11" s="100">
        <v>1.71</v>
      </c>
      <c r="I11" s="100">
        <v>2.64</v>
      </c>
      <c r="J11" s="100">
        <v>0.62</v>
      </c>
      <c r="K11" s="100">
        <v>253.07</v>
      </c>
      <c r="L11" s="100">
        <v>25.25</v>
      </c>
      <c r="M11" s="100">
        <v>89.61</v>
      </c>
      <c r="N11" s="100">
        <v>2.4</v>
      </c>
      <c r="O11" s="100">
        <v>0</v>
      </c>
      <c r="P11" s="100">
        <v>0.12</v>
      </c>
      <c r="Q11" s="100">
        <v>10</v>
      </c>
      <c r="R11" s="6"/>
      <c r="S11" s="6"/>
      <c r="T11" s="156"/>
      <c r="U11" s="6"/>
    </row>
    <row r="12" spans="1:21">
      <c r="A12" s="163" t="s">
        <v>2931</v>
      </c>
      <c r="B12" s="100">
        <v>3.71</v>
      </c>
      <c r="C12" s="100">
        <v>12.87</v>
      </c>
      <c r="D12" s="100">
        <v>9.6999999999999993</v>
      </c>
      <c r="E12" s="100">
        <v>5.33</v>
      </c>
      <c r="F12" s="100">
        <v>2.94</v>
      </c>
      <c r="G12" s="100">
        <v>6.89</v>
      </c>
      <c r="H12" s="100">
        <v>1.67</v>
      </c>
      <c r="I12" s="100">
        <v>2.61</v>
      </c>
      <c r="J12" s="100">
        <v>0.74</v>
      </c>
      <c r="K12" s="100">
        <v>252.82</v>
      </c>
      <c r="L12" s="100">
        <v>25.16</v>
      </c>
      <c r="M12" s="100">
        <v>90.2</v>
      </c>
      <c r="N12" s="100">
        <v>2.5</v>
      </c>
      <c r="O12" s="100">
        <v>0</v>
      </c>
      <c r="P12" s="100">
        <v>0.12</v>
      </c>
      <c r="Q12" s="100">
        <v>10</v>
      </c>
      <c r="R12" s="6"/>
      <c r="S12" s="6"/>
      <c r="T12" s="156"/>
      <c r="U12" s="6"/>
    </row>
    <row r="13" spans="1:21">
      <c r="A13" s="163" t="s">
        <v>2932</v>
      </c>
      <c r="B13" s="100">
        <v>3.72</v>
      </c>
      <c r="C13" s="100">
        <v>12.83</v>
      </c>
      <c r="D13" s="100">
        <v>9.69</v>
      </c>
      <c r="E13" s="100">
        <v>5.45</v>
      </c>
      <c r="F13" s="100">
        <v>2.41</v>
      </c>
      <c r="G13" s="100">
        <v>5.55</v>
      </c>
      <c r="H13" s="100">
        <v>1.55</v>
      </c>
      <c r="I13" s="100">
        <v>2.54</v>
      </c>
      <c r="J13" s="100">
        <v>0.77</v>
      </c>
      <c r="K13" s="100">
        <v>253.37</v>
      </c>
      <c r="L13" s="100">
        <v>25.07</v>
      </c>
      <c r="M13" s="100">
        <v>90.95</v>
      </c>
      <c r="N13" s="100">
        <v>2</v>
      </c>
      <c r="O13" s="100">
        <v>0</v>
      </c>
      <c r="P13" s="100">
        <v>0.12</v>
      </c>
      <c r="Q13" s="100">
        <v>10</v>
      </c>
      <c r="R13" s="6"/>
      <c r="S13" s="6"/>
      <c r="T13" s="156"/>
      <c r="U13" s="6"/>
    </row>
    <row r="14" spans="1:21">
      <c r="A14" s="163" t="s">
        <v>2933</v>
      </c>
      <c r="B14" s="100">
        <v>3.67</v>
      </c>
      <c r="C14" s="100">
        <v>12.71</v>
      </c>
      <c r="D14" s="100">
        <v>9.59</v>
      </c>
      <c r="E14" s="100">
        <v>5.45</v>
      </c>
      <c r="F14" s="100">
        <v>2.0099999999999998</v>
      </c>
      <c r="G14" s="100">
        <v>5.55</v>
      </c>
      <c r="H14" s="100">
        <v>1.55</v>
      </c>
      <c r="I14" s="100">
        <v>2.4700000000000002</v>
      </c>
      <c r="J14" s="100">
        <v>0.92</v>
      </c>
      <c r="K14" s="100">
        <v>253.68</v>
      </c>
      <c r="L14" s="100">
        <v>25.05</v>
      </c>
      <c r="M14" s="100">
        <v>90.8</v>
      </c>
      <c r="N14" s="100">
        <v>2.2000000000000002</v>
      </c>
      <c r="O14" s="100">
        <v>0</v>
      </c>
      <c r="P14" s="100">
        <v>0.12</v>
      </c>
      <c r="Q14" s="100">
        <v>10</v>
      </c>
      <c r="R14" s="6"/>
      <c r="S14" s="6"/>
      <c r="T14" s="156"/>
      <c r="U14" s="6"/>
    </row>
    <row r="15" spans="1:21">
      <c r="A15" s="163" t="s">
        <v>2934</v>
      </c>
      <c r="B15" s="100">
        <v>3.63</v>
      </c>
      <c r="C15" s="100">
        <v>12.53</v>
      </c>
      <c r="D15" s="100">
        <v>9.4600000000000009</v>
      </c>
      <c r="E15" s="100">
        <v>5.42</v>
      </c>
      <c r="F15" s="100">
        <v>2.1800000000000002</v>
      </c>
      <c r="G15" s="100">
        <v>5.55</v>
      </c>
      <c r="H15" s="100">
        <v>1.55</v>
      </c>
      <c r="I15" s="100">
        <v>2.46</v>
      </c>
      <c r="J15" s="100">
        <v>0.72</v>
      </c>
      <c r="K15" s="100">
        <v>254.69</v>
      </c>
      <c r="L15" s="100">
        <v>24.97</v>
      </c>
      <c r="M15" s="100">
        <v>91.57</v>
      </c>
      <c r="N15" s="100">
        <v>2.4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>
      <c r="A16" s="163" t="s">
        <v>2935</v>
      </c>
      <c r="B16" s="100">
        <v>3.66</v>
      </c>
      <c r="C16" s="100">
        <v>12.51</v>
      </c>
      <c r="D16" s="100">
        <v>9.4700000000000006</v>
      </c>
      <c r="E16" s="100">
        <v>5.51</v>
      </c>
      <c r="F16" s="100">
        <v>1.7</v>
      </c>
      <c r="G16" s="100">
        <v>4.96</v>
      </c>
      <c r="H16" s="100">
        <v>1.37</v>
      </c>
      <c r="I16" s="100">
        <v>2.4300000000000002</v>
      </c>
      <c r="J16" s="100">
        <v>0.49</v>
      </c>
      <c r="K16" s="100">
        <v>248.56</v>
      </c>
      <c r="L16" s="100">
        <v>24.75</v>
      </c>
      <c r="M16" s="100">
        <v>93.77</v>
      </c>
      <c r="N16" s="100">
        <v>2.2999999999999998</v>
      </c>
      <c r="O16" s="100">
        <v>0.2</v>
      </c>
      <c r="P16" s="100">
        <v>0.12</v>
      </c>
      <c r="Q16" s="100">
        <v>10</v>
      </c>
      <c r="R16" s="6"/>
      <c r="S16" s="6"/>
      <c r="T16" s="156"/>
      <c r="U16" s="6"/>
    </row>
    <row r="17" spans="1:21">
      <c r="A17" s="163" t="s">
        <v>2936</v>
      </c>
      <c r="B17" s="100">
        <v>3.67</v>
      </c>
      <c r="C17" s="100">
        <v>12.48</v>
      </c>
      <c r="D17" s="100">
        <v>9.4700000000000006</v>
      </c>
      <c r="E17" s="100">
        <v>3.84</v>
      </c>
      <c r="F17" s="100">
        <v>1.8</v>
      </c>
      <c r="G17" s="100">
        <v>4.04</v>
      </c>
      <c r="H17" s="100">
        <v>1.21</v>
      </c>
      <c r="I17" s="100">
        <v>2.39</v>
      </c>
      <c r="J17" s="100">
        <v>0.62</v>
      </c>
      <c r="K17" s="100">
        <v>253.01</v>
      </c>
      <c r="L17" s="100">
        <v>24.41</v>
      </c>
      <c r="M17" s="100">
        <v>96.39</v>
      </c>
      <c r="N17" s="100">
        <v>2.9</v>
      </c>
      <c r="O17" s="100">
        <v>0.2</v>
      </c>
      <c r="P17" s="100">
        <v>0.12</v>
      </c>
      <c r="Q17" s="100">
        <v>10</v>
      </c>
      <c r="R17" s="6"/>
      <c r="S17" s="6"/>
      <c r="T17" s="156"/>
      <c r="U17" s="6"/>
    </row>
    <row r="18" spans="1:21">
      <c r="A18" s="163" t="s">
        <v>2937</v>
      </c>
      <c r="B18" s="100">
        <v>3.67</v>
      </c>
      <c r="C18" s="100">
        <v>12.43</v>
      </c>
      <c r="D18" s="100">
        <v>9.44</v>
      </c>
      <c r="E18" s="100">
        <v>4.4400000000000004</v>
      </c>
      <c r="F18" s="100">
        <v>1.93</v>
      </c>
      <c r="G18" s="100">
        <v>4.04</v>
      </c>
      <c r="H18" s="100">
        <v>1.21</v>
      </c>
      <c r="I18" s="100">
        <v>2.4</v>
      </c>
      <c r="J18" s="100">
        <v>0.62</v>
      </c>
      <c r="K18" s="100">
        <v>254.89</v>
      </c>
      <c r="L18" s="100">
        <v>24.21</v>
      </c>
      <c r="M18" s="100">
        <v>97.69</v>
      </c>
      <c r="N18" s="100">
        <v>2.5</v>
      </c>
      <c r="O18" s="100">
        <v>0.6</v>
      </c>
      <c r="P18" s="100">
        <v>0.12</v>
      </c>
      <c r="Q18" s="100">
        <v>10</v>
      </c>
      <c r="R18" s="6"/>
      <c r="S18" s="6"/>
      <c r="T18" s="156"/>
      <c r="U18" s="6"/>
    </row>
    <row r="19" spans="1:21">
      <c r="A19" s="163" t="s">
        <v>2938</v>
      </c>
      <c r="B19" s="100">
        <v>3.71</v>
      </c>
      <c r="C19" s="100">
        <v>12.38</v>
      </c>
      <c r="D19" s="100">
        <v>9.44</v>
      </c>
      <c r="E19" s="100">
        <v>4.53</v>
      </c>
      <c r="F19" s="100">
        <v>1.78</v>
      </c>
      <c r="G19" s="100">
        <v>4.04</v>
      </c>
      <c r="H19" s="100">
        <v>1.21</v>
      </c>
      <c r="I19" s="100">
        <v>2.39</v>
      </c>
      <c r="J19" s="100">
        <v>0.63</v>
      </c>
      <c r="K19" s="100">
        <v>252.74</v>
      </c>
      <c r="L19" s="100">
        <v>24.11</v>
      </c>
      <c r="M19" s="100">
        <v>98.56</v>
      </c>
      <c r="N19" s="100">
        <v>2.5</v>
      </c>
      <c r="O19" s="100">
        <v>0.4</v>
      </c>
      <c r="P19" s="100">
        <v>0.11</v>
      </c>
      <c r="Q19" s="100">
        <v>10</v>
      </c>
      <c r="R19" s="6"/>
      <c r="S19" s="6"/>
      <c r="T19" s="156"/>
      <c r="U19" s="6"/>
    </row>
    <row r="20" spans="1:21">
      <c r="A20" s="163" t="s">
        <v>2939</v>
      </c>
      <c r="B20" s="100">
        <v>3.72</v>
      </c>
      <c r="C20" s="100">
        <v>12.35</v>
      </c>
      <c r="D20" s="100">
        <v>9.44</v>
      </c>
      <c r="E20" s="100">
        <v>4.66</v>
      </c>
      <c r="F20" s="100">
        <v>1.83</v>
      </c>
      <c r="G20" s="100">
        <v>3.93</v>
      </c>
      <c r="H20" s="100">
        <v>1.1399999999999999</v>
      </c>
      <c r="I20" s="100">
        <v>2.39</v>
      </c>
      <c r="J20" s="100">
        <v>0.69</v>
      </c>
      <c r="K20" s="100">
        <v>250.58</v>
      </c>
      <c r="L20" s="100">
        <v>24.1</v>
      </c>
      <c r="M20" s="100">
        <v>98.75</v>
      </c>
      <c r="N20" s="100">
        <v>2.4</v>
      </c>
      <c r="O20" s="100">
        <v>0.2</v>
      </c>
      <c r="P20" s="100">
        <v>0.12</v>
      </c>
      <c r="Q20" s="100">
        <v>10</v>
      </c>
      <c r="R20" s="6"/>
      <c r="S20" s="6"/>
      <c r="T20" s="156"/>
      <c r="U20" s="6"/>
    </row>
    <row r="21" spans="1:21">
      <c r="A21" s="163" t="s">
        <v>2940</v>
      </c>
      <c r="B21" s="100">
        <v>3.75</v>
      </c>
      <c r="C21" s="100">
        <v>12.18</v>
      </c>
      <c r="D21" s="100">
        <v>9.3699999999999992</v>
      </c>
      <c r="E21" s="100">
        <v>4.5599999999999996</v>
      </c>
      <c r="F21" s="100">
        <v>1.64</v>
      </c>
      <c r="G21" s="100">
        <v>3.76</v>
      </c>
      <c r="H21" s="100">
        <v>1.08</v>
      </c>
      <c r="I21" s="100">
        <v>2.39</v>
      </c>
      <c r="J21" s="100">
        <v>0.56000000000000005</v>
      </c>
      <c r="K21" s="100">
        <v>253.8</v>
      </c>
      <c r="L21" s="100">
        <v>24.08</v>
      </c>
      <c r="M21" s="100">
        <v>98.76</v>
      </c>
      <c r="N21" s="100">
        <v>2.4</v>
      </c>
      <c r="O21" s="100">
        <v>0</v>
      </c>
      <c r="P21" s="100">
        <v>0.1</v>
      </c>
      <c r="Q21" s="100">
        <v>10</v>
      </c>
      <c r="R21" s="6"/>
      <c r="S21" s="6"/>
      <c r="T21" s="156"/>
      <c r="U21" s="6"/>
    </row>
    <row r="22" spans="1:21">
      <c r="A22" s="163" t="s">
        <v>2941</v>
      </c>
      <c r="B22" s="100">
        <v>3.81</v>
      </c>
      <c r="C22" s="100">
        <v>12.1</v>
      </c>
      <c r="D22" s="100">
        <v>9.3800000000000008</v>
      </c>
      <c r="E22" s="100">
        <v>4.47</v>
      </c>
      <c r="F22" s="100">
        <v>2.04</v>
      </c>
      <c r="G22" s="100">
        <v>3.76</v>
      </c>
      <c r="H22" s="100">
        <v>1.08</v>
      </c>
      <c r="I22" s="100">
        <v>2.36</v>
      </c>
      <c r="J22" s="100">
        <v>0.62</v>
      </c>
      <c r="K22" s="100">
        <v>253.44</v>
      </c>
      <c r="L22" s="100">
        <v>24.08</v>
      </c>
      <c r="M22" s="100">
        <v>98.78</v>
      </c>
      <c r="N22" s="100">
        <v>2.4</v>
      </c>
      <c r="O22" s="100">
        <v>0</v>
      </c>
      <c r="P22" s="100">
        <v>7.0000000000000007E-2</v>
      </c>
      <c r="Q22" s="100">
        <v>10</v>
      </c>
      <c r="R22" s="6"/>
      <c r="S22" s="6"/>
      <c r="T22" s="156"/>
      <c r="U22" s="6"/>
    </row>
    <row r="23" spans="1:21">
      <c r="A23" s="163" t="s">
        <v>2942</v>
      </c>
      <c r="B23" s="100">
        <v>3.97</v>
      </c>
      <c r="C23" s="100">
        <v>12.27</v>
      </c>
      <c r="D23" s="100">
        <v>9.6</v>
      </c>
      <c r="E23" s="100">
        <v>4</v>
      </c>
      <c r="F23" s="100">
        <v>2.4700000000000002</v>
      </c>
      <c r="G23" s="100">
        <v>3.76</v>
      </c>
      <c r="H23" s="100">
        <v>1.08</v>
      </c>
      <c r="I23" s="100">
        <v>2.3199999999999998</v>
      </c>
      <c r="J23" s="100">
        <v>0.47</v>
      </c>
      <c r="K23" s="100">
        <v>253.66</v>
      </c>
      <c r="L23" s="100">
        <v>24.09</v>
      </c>
      <c r="M23" s="100">
        <v>98.8</v>
      </c>
      <c r="N23" s="100">
        <v>2.4</v>
      </c>
      <c r="O23" s="100">
        <v>0.2</v>
      </c>
      <c r="P23" s="100">
        <v>0.06</v>
      </c>
      <c r="Q23" s="100">
        <v>10</v>
      </c>
      <c r="R23" s="6"/>
      <c r="S23" s="6"/>
      <c r="T23" s="156"/>
      <c r="U23" s="6"/>
    </row>
    <row r="24" spans="1:21">
      <c r="A24" s="163" t="s">
        <v>2943</v>
      </c>
      <c r="B24" s="100">
        <v>4.28</v>
      </c>
      <c r="C24" s="100">
        <v>12.62</v>
      </c>
      <c r="D24" s="100">
        <v>10.029999999999999</v>
      </c>
      <c r="E24" s="100">
        <v>4.08</v>
      </c>
      <c r="F24" s="100">
        <v>2.17</v>
      </c>
      <c r="G24" s="100">
        <v>3.63</v>
      </c>
      <c r="H24" s="100">
        <v>1.02</v>
      </c>
      <c r="I24" s="100">
        <v>2.33</v>
      </c>
      <c r="J24" s="100">
        <v>0.62</v>
      </c>
      <c r="K24" s="100">
        <v>251.94</v>
      </c>
      <c r="L24" s="100">
        <v>24.08</v>
      </c>
      <c r="M24" s="100">
        <v>98.8</v>
      </c>
      <c r="N24" s="100">
        <v>2.4</v>
      </c>
      <c r="O24" s="100">
        <v>0.2</v>
      </c>
      <c r="P24" s="100">
        <v>0.08</v>
      </c>
      <c r="Q24" s="100">
        <v>10</v>
      </c>
      <c r="R24" s="6"/>
      <c r="S24" s="6"/>
      <c r="T24" s="156"/>
      <c r="U24" s="6"/>
    </row>
    <row r="25" spans="1:21">
      <c r="A25" s="163" t="s">
        <v>2944</v>
      </c>
      <c r="B25" s="100">
        <v>4.38</v>
      </c>
      <c r="C25" s="100">
        <v>12.32</v>
      </c>
      <c r="D25" s="100">
        <v>9.9499999999999993</v>
      </c>
      <c r="E25" s="100">
        <v>3.98</v>
      </c>
      <c r="F25" s="100">
        <v>2.25</v>
      </c>
      <c r="G25" s="100">
        <v>3.42</v>
      </c>
      <c r="H25" s="100">
        <v>0.96</v>
      </c>
      <c r="I25" s="100">
        <v>2.34</v>
      </c>
      <c r="J25" s="100">
        <v>0.7</v>
      </c>
      <c r="K25" s="100">
        <v>254.81</v>
      </c>
      <c r="L25" s="100">
        <v>24.06</v>
      </c>
      <c r="M25" s="100">
        <v>98.8</v>
      </c>
      <c r="N25" s="100">
        <v>2.5</v>
      </c>
      <c r="O25" s="100">
        <v>0.8</v>
      </c>
      <c r="P25" s="100">
        <v>0.06</v>
      </c>
      <c r="Q25" s="100">
        <v>10</v>
      </c>
      <c r="R25" s="6"/>
      <c r="S25" s="6"/>
      <c r="T25" s="156"/>
      <c r="U25" s="6"/>
    </row>
    <row r="26" spans="1:21">
      <c r="A26" s="163" t="s">
        <v>2945</v>
      </c>
      <c r="B26" s="100">
        <v>4.62</v>
      </c>
      <c r="C26" s="100">
        <v>12.66</v>
      </c>
      <c r="D26" s="100">
        <v>10.32</v>
      </c>
      <c r="E26" s="100">
        <v>3.8</v>
      </c>
      <c r="F26" s="100">
        <v>2.52</v>
      </c>
      <c r="G26" s="100">
        <v>3.42</v>
      </c>
      <c r="H26" s="100">
        <v>0.96</v>
      </c>
      <c r="I26" s="100">
        <v>2.42</v>
      </c>
      <c r="J26" s="100">
        <v>0.75</v>
      </c>
      <c r="K26" s="100">
        <v>253.16</v>
      </c>
      <c r="L26" s="100">
        <v>23.93</v>
      </c>
      <c r="M26" s="100">
        <v>98.81</v>
      </c>
      <c r="N26" s="100">
        <v>2.6</v>
      </c>
      <c r="O26" s="100">
        <v>5.8</v>
      </c>
      <c r="P26" s="100">
        <v>0.08</v>
      </c>
      <c r="Q26" s="100">
        <v>10</v>
      </c>
      <c r="R26" s="6"/>
      <c r="S26" s="6"/>
      <c r="T26" s="156"/>
      <c r="U26" s="6"/>
    </row>
    <row r="27" spans="1:21">
      <c r="A27" s="163" t="s">
        <v>2946</v>
      </c>
      <c r="B27" s="100">
        <v>4.7</v>
      </c>
      <c r="C27" s="100">
        <v>12.38</v>
      </c>
      <c r="D27" s="100">
        <v>10.24</v>
      </c>
      <c r="E27" s="100">
        <v>4.0599999999999996</v>
      </c>
      <c r="F27" s="100">
        <v>1.91</v>
      </c>
      <c r="G27" s="100">
        <v>3.42</v>
      </c>
      <c r="H27" s="100">
        <v>0.96</v>
      </c>
      <c r="I27" s="100">
        <v>2.41</v>
      </c>
      <c r="J27" s="100">
        <v>0.92</v>
      </c>
      <c r="K27" s="100">
        <v>250.63</v>
      </c>
      <c r="L27" s="100">
        <v>23.75</v>
      </c>
      <c r="M27" s="100">
        <v>98.8</v>
      </c>
      <c r="N27" s="100">
        <v>2.6</v>
      </c>
      <c r="O27" s="100">
        <v>8.6</v>
      </c>
      <c r="P27" s="100">
        <v>7.0000000000000007E-2</v>
      </c>
      <c r="Q27" s="100">
        <v>10</v>
      </c>
      <c r="R27" s="6"/>
      <c r="S27" s="6"/>
      <c r="T27" s="156"/>
      <c r="U27" s="6"/>
    </row>
    <row r="28" spans="1:21">
      <c r="A28" s="163" t="s">
        <v>2947</v>
      </c>
      <c r="B28" s="100">
        <v>4.6900000000000004</v>
      </c>
      <c r="C28" s="100">
        <v>12.28</v>
      </c>
      <c r="D28" s="100">
        <v>10.18</v>
      </c>
      <c r="E28" s="100">
        <v>3.65</v>
      </c>
      <c r="F28" s="100">
        <v>2.74</v>
      </c>
      <c r="G28" s="100">
        <v>3.18</v>
      </c>
      <c r="H28" s="100">
        <v>0.96</v>
      </c>
      <c r="I28" s="100">
        <v>2.4900000000000002</v>
      </c>
      <c r="J28" s="100">
        <v>0.68</v>
      </c>
      <c r="K28" s="100">
        <v>253.92</v>
      </c>
      <c r="L28" s="100">
        <v>23.72</v>
      </c>
      <c r="M28" s="100">
        <v>98.8</v>
      </c>
      <c r="N28" s="100">
        <v>2.5</v>
      </c>
      <c r="O28" s="100">
        <v>2</v>
      </c>
      <c r="P28" s="100">
        <v>7.0000000000000007E-2</v>
      </c>
      <c r="Q28" s="100">
        <v>10</v>
      </c>
      <c r="R28" s="6"/>
      <c r="S28" s="6"/>
      <c r="T28" s="156"/>
      <c r="U28" s="6"/>
    </row>
    <row r="29" spans="1:21">
      <c r="A29" s="163" t="s">
        <v>2948</v>
      </c>
      <c r="B29" s="100">
        <v>4.95</v>
      </c>
      <c r="C29" s="100">
        <v>12.8</v>
      </c>
      <c r="D29" s="100">
        <v>10.66</v>
      </c>
      <c r="E29" s="100">
        <v>3.79</v>
      </c>
      <c r="F29" s="100">
        <v>1.56</v>
      </c>
      <c r="G29" s="100">
        <v>2.83</v>
      </c>
      <c r="H29" s="100">
        <v>0.96</v>
      </c>
      <c r="I29" s="100">
        <v>2.46</v>
      </c>
      <c r="J29" s="100">
        <v>0.7</v>
      </c>
      <c r="K29" s="100">
        <v>253.75</v>
      </c>
      <c r="L29" s="100">
        <v>23.72</v>
      </c>
      <c r="M29" s="100">
        <v>98.8</v>
      </c>
      <c r="N29" s="100">
        <v>2.5</v>
      </c>
      <c r="O29" s="100">
        <v>1.4</v>
      </c>
      <c r="P29" s="100">
        <v>0.09</v>
      </c>
      <c r="Q29" s="100">
        <v>10</v>
      </c>
      <c r="R29" s="6"/>
      <c r="S29" s="6"/>
      <c r="T29" s="156"/>
      <c r="U29" s="6"/>
    </row>
    <row r="30" spans="1:21">
      <c r="A30" s="163" t="s">
        <v>2949</v>
      </c>
      <c r="B30" s="100">
        <v>4.99</v>
      </c>
      <c r="C30" s="100">
        <v>12.28</v>
      </c>
      <c r="D30" s="100">
        <v>10.42</v>
      </c>
      <c r="E30" s="100">
        <v>3.95</v>
      </c>
      <c r="F30" s="100">
        <v>1.66</v>
      </c>
      <c r="G30" s="100">
        <v>2.83</v>
      </c>
      <c r="H30" s="100">
        <v>0.96</v>
      </c>
      <c r="I30" s="100">
        <v>2.4300000000000002</v>
      </c>
      <c r="J30" s="100">
        <v>0.57999999999999996</v>
      </c>
      <c r="K30" s="100">
        <v>252.49</v>
      </c>
      <c r="L30" s="100">
        <v>23.74</v>
      </c>
      <c r="M30" s="100">
        <v>98.82</v>
      </c>
      <c r="N30" s="100">
        <v>2.5</v>
      </c>
      <c r="O30" s="100">
        <v>0.4</v>
      </c>
      <c r="P30" s="100">
        <v>0.06</v>
      </c>
      <c r="Q30" s="100">
        <v>10</v>
      </c>
      <c r="R30" s="6"/>
      <c r="S30" s="6"/>
      <c r="T30" s="156"/>
      <c r="U30" s="6"/>
    </row>
    <row r="31" spans="1:21">
      <c r="A31" s="163" t="s">
        <v>2950</v>
      </c>
      <c r="B31" s="100">
        <v>5.0999999999999996</v>
      </c>
      <c r="C31" s="100">
        <v>12.3</v>
      </c>
      <c r="D31" s="100">
        <v>10.52</v>
      </c>
      <c r="E31" s="100">
        <v>3.61</v>
      </c>
      <c r="F31" s="100">
        <v>2.7</v>
      </c>
      <c r="G31" s="100">
        <v>2.83</v>
      </c>
      <c r="H31" s="100">
        <v>0.96</v>
      </c>
      <c r="I31" s="100">
        <v>2.5299999999999998</v>
      </c>
      <c r="J31" s="100">
        <v>0.56999999999999995</v>
      </c>
      <c r="K31" s="100">
        <v>253.32</v>
      </c>
      <c r="L31" s="100">
        <v>23.74</v>
      </c>
      <c r="M31" s="100">
        <v>98.83</v>
      </c>
      <c r="N31" s="100">
        <v>2.9</v>
      </c>
      <c r="O31" s="100">
        <v>0.4</v>
      </c>
      <c r="P31" s="100">
        <v>7.0000000000000007E-2</v>
      </c>
      <c r="Q31" s="100">
        <v>10</v>
      </c>
      <c r="R31" s="6"/>
      <c r="S31" s="6"/>
      <c r="T31" s="156"/>
      <c r="U31" s="6"/>
    </row>
    <row r="32" spans="1:21">
      <c r="A32" s="163" t="s">
        <v>2951</v>
      </c>
      <c r="B32" s="100">
        <v>5.3</v>
      </c>
      <c r="C32" s="100">
        <v>12.78</v>
      </c>
      <c r="D32" s="100">
        <v>10.93</v>
      </c>
      <c r="E32" s="100">
        <v>3.79</v>
      </c>
      <c r="F32" s="100">
        <v>1.6</v>
      </c>
      <c r="G32" s="100">
        <v>2.58</v>
      </c>
      <c r="H32" s="100">
        <v>0.94</v>
      </c>
      <c r="I32" s="100">
        <v>2.5</v>
      </c>
      <c r="J32" s="100">
        <v>0.51</v>
      </c>
      <c r="K32" s="100">
        <v>251.62</v>
      </c>
      <c r="L32" s="100">
        <v>23.76</v>
      </c>
      <c r="M32" s="100">
        <v>98.83</v>
      </c>
      <c r="N32" s="100">
        <v>4</v>
      </c>
      <c r="O32" s="100">
        <v>1.8</v>
      </c>
      <c r="P32" s="100">
        <v>0.09</v>
      </c>
      <c r="Q32" s="100">
        <v>10</v>
      </c>
      <c r="R32" s="6"/>
      <c r="S32" s="6"/>
      <c r="T32" s="156"/>
      <c r="U32" s="6"/>
    </row>
    <row r="33" spans="1:21">
      <c r="A33" s="163" t="s">
        <v>2952</v>
      </c>
      <c r="B33" s="100">
        <v>5.36</v>
      </c>
      <c r="C33" s="100">
        <v>12.3</v>
      </c>
      <c r="D33" s="100">
        <v>10.72</v>
      </c>
      <c r="E33" s="100">
        <v>3.9</v>
      </c>
      <c r="F33" s="100">
        <v>1.58</v>
      </c>
      <c r="G33" s="100">
        <v>2.21</v>
      </c>
      <c r="H33" s="100">
        <v>0.92</v>
      </c>
      <c r="I33" s="100">
        <v>2.5099999999999998</v>
      </c>
      <c r="J33" s="100">
        <v>0.54</v>
      </c>
      <c r="K33" s="100">
        <v>250.32</v>
      </c>
      <c r="L33" s="100">
        <v>23.74</v>
      </c>
      <c r="M33" s="100">
        <v>98.85</v>
      </c>
      <c r="N33" s="100">
        <v>5</v>
      </c>
      <c r="O33" s="100">
        <v>1.6</v>
      </c>
      <c r="P33" s="100">
        <v>7.0000000000000007E-2</v>
      </c>
      <c r="Q33" s="100">
        <v>10</v>
      </c>
      <c r="R33" s="6"/>
      <c r="S33" s="6"/>
      <c r="T33" s="156"/>
      <c r="U33" s="6"/>
    </row>
    <row r="34" spans="1:21">
      <c r="A34" s="163" t="s">
        <v>2953</v>
      </c>
      <c r="B34" s="100">
        <v>5.53</v>
      </c>
      <c r="C34" s="100">
        <v>12.67</v>
      </c>
      <c r="D34" s="100">
        <v>11.06</v>
      </c>
      <c r="E34" s="100">
        <v>3.64</v>
      </c>
      <c r="F34" s="100">
        <v>2.38</v>
      </c>
      <c r="G34" s="100">
        <v>2.21</v>
      </c>
      <c r="H34" s="100">
        <v>0.92</v>
      </c>
      <c r="I34" s="100">
        <v>2.6</v>
      </c>
      <c r="J34" s="100">
        <v>0.68</v>
      </c>
      <c r="K34" s="100">
        <v>254.58</v>
      </c>
      <c r="L34" s="100">
        <v>23.7</v>
      </c>
      <c r="M34" s="100">
        <v>98.85</v>
      </c>
      <c r="N34" s="100">
        <v>7.9</v>
      </c>
      <c r="O34" s="100">
        <v>1.6</v>
      </c>
      <c r="P34" s="100">
        <v>0.08</v>
      </c>
      <c r="Q34" s="100">
        <v>10</v>
      </c>
      <c r="R34" s="6"/>
      <c r="S34" s="6"/>
      <c r="T34" s="156"/>
      <c r="U34" s="6"/>
    </row>
    <row r="35" spans="1:21">
      <c r="A35" s="163" t="s">
        <v>2954</v>
      </c>
      <c r="B35" s="100">
        <v>5.61</v>
      </c>
      <c r="C35" s="100">
        <v>12.51</v>
      </c>
      <c r="D35" s="100">
        <v>11.04</v>
      </c>
      <c r="E35" s="100">
        <v>3.83</v>
      </c>
      <c r="F35" s="100">
        <v>1.52</v>
      </c>
      <c r="G35" s="100">
        <v>2.21</v>
      </c>
      <c r="H35" s="100">
        <v>0.92</v>
      </c>
      <c r="I35" s="100">
        <v>2.61</v>
      </c>
      <c r="J35" s="100">
        <v>0.57999999999999996</v>
      </c>
      <c r="K35" s="100">
        <v>253.92</v>
      </c>
      <c r="L35" s="100">
        <v>23.72</v>
      </c>
      <c r="M35" s="100">
        <v>98.85</v>
      </c>
      <c r="N35" s="100">
        <v>9</v>
      </c>
      <c r="O35" s="100">
        <v>1.2</v>
      </c>
      <c r="P35" s="100">
        <v>7.0000000000000007E-2</v>
      </c>
      <c r="Q35" s="100">
        <v>10</v>
      </c>
      <c r="R35" s="6"/>
      <c r="S35" s="6"/>
      <c r="T35" s="156"/>
      <c r="U35" s="6"/>
    </row>
    <row r="36" spans="1:21">
      <c r="A36" s="163" t="s">
        <v>2955</v>
      </c>
      <c r="B36" s="100">
        <v>5.61</v>
      </c>
      <c r="C36" s="100">
        <v>12.48</v>
      </c>
      <c r="D36" s="100">
        <v>11.02</v>
      </c>
      <c r="E36" s="100">
        <v>3.3</v>
      </c>
      <c r="F36" s="100">
        <v>2.29</v>
      </c>
      <c r="G36" s="100">
        <v>2.97</v>
      </c>
      <c r="H36" s="100">
        <v>0.86</v>
      </c>
      <c r="I36" s="100">
        <v>2.71</v>
      </c>
      <c r="J36" s="100">
        <v>0.68</v>
      </c>
      <c r="K36" s="100">
        <v>252.94</v>
      </c>
      <c r="L36" s="100">
        <v>23.71</v>
      </c>
      <c r="M36" s="100">
        <v>98.85</v>
      </c>
      <c r="N36" s="100">
        <v>15.8</v>
      </c>
      <c r="O36" s="100">
        <v>0.4</v>
      </c>
      <c r="P36" s="100">
        <v>7.0000000000000007E-2</v>
      </c>
      <c r="Q36" s="100">
        <v>10</v>
      </c>
      <c r="R36" s="6"/>
      <c r="S36" s="6"/>
      <c r="T36" s="156"/>
      <c r="U36" s="6"/>
    </row>
    <row r="37" spans="1:21">
      <c r="A37" s="163" t="s">
        <v>2956</v>
      </c>
      <c r="B37" s="100">
        <v>5.82</v>
      </c>
      <c r="C37" s="100">
        <v>13.01</v>
      </c>
      <c r="D37" s="100">
        <v>11.46</v>
      </c>
      <c r="E37" s="100">
        <v>3.67</v>
      </c>
      <c r="F37" s="100">
        <v>2.11</v>
      </c>
      <c r="G37" s="100">
        <v>4.09</v>
      </c>
      <c r="H37" s="100">
        <v>0.8</v>
      </c>
      <c r="I37" s="100">
        <v>2.63</v>
      </c>
      <c r="J37" s="100">
        <v>0.67</v>
      </c>
      <c r="K37" s="100">
        <v>250.76</v>
      </c>
      <c r="L37" s="100">
        <v>23.7</v>
      </c>
      <c r="M37" s="100">
        <v>98.85</v>
      </c>
      <c r="N37" s="100">
        <v>23.2</v>
      </c>
      <c r="O37" s="100">
        <v>0.2</v>
      </c>
      <c r="P37" s="100">
        <v>0.08</v>
      </c>
      <c r="Q37" s="100">
        <v>10</v>
      </c>
      <c r="R37" s="6"/>
      <c r="S37" s="6"/>
      <c r="T37" s="156"/>
      <c r="U37" s="6"/>
    </row>
    <row r="38" spans="1:21">
      <c r="A38" s="163" t="s">
        <v>2957</v>
      </c>
      <c r="B38" s="100">
        <v>5.77</v>
      </c>
      <c r="C38" s="100">
        <v>12.56</v>
      </c>
      <c r="D38" s="100">
        <v>11.19</v>
      </c>
      <c r="E38" s="100">
        <v>4.3099999999999996</v>
      </c>
      <c r="F38" s="100">
        <v>1.92</v>
      </c>
      <c r="G38" s="100">
        <v>4.09</v>
      </c>
      <c r="H38" s="100">
        <v>0.8</v>
      </c>
      <c r="I38" s="100">
        <v>2.68</v>
      </c>
      <c r="J38" s="100">
        <v>0.88</v>
      </c>
      <c r="K38" s="100">
        <v>252.2</v>
      </c>
      <c r="L38" s="100">
        <v>23.69</v>
      </c>
      <c r="M38" s="100">
        <v>98.85</v>
      </c>
      <c r="N38" s="100">
        <v>33.799999999999997</v>
      </c>
      <c r="O38" s="100">
        <v>0</v>
      </c>
      <c r="P38" s="100">
        <v>7.0000000000000007E-2</v>
      </c>
      <c r="Q38" s="100">
        <v>10</v>
      </c>
      <c r="R38" s="6"/>
      <c r="S38" s="6"/>
      <c r="T38" s="156"/>
      <c r="U38" s="6"/>
    </row>
    <row r="39" spans="1:21">
      <c r="A39" s="163" t="s">
        <v>2958</v>
      </c>
      <c r="B39" s="100">
        <v>5.79</v>
      </c>
      <c r="C39" s="100">
        <v>12.53</v>
      </c>
      <c r="D39" s="100">
        <v>11.19</v>
      </c>
      <c r="E39" s="100">
        <v>3.07</v>
      </c>
      <c r="F39" s="100">
        <v>2.4700000000000002</v>
      </c>
      <c r="G39" s="100">
        <v>4.09</v>
      </c>
      <c r="H39" s="100">
        <v>0.8</v>
      </c>
      <c r="I39" s="100">
        <v>2.81</v>
      </c>
      <c r="J39" s="100">
        <v>0.77</v>
      </c>
      <c r="K39" s="100">
        <v>252.26</v>
      </c>
      <c r="L39" s="100">
        <v>23.72</v>
      </c>
      <c r="M39" s="100">
        <v>98.85</v>
      </c>
      <c r="N39" s="100">
        <v>32</v>
      </c>
      <c r="O39" s="100">
        <v>0.2</v>
      </c>
      <c r="P39" s="100">
        <v>7.0000000000000007E-2</v>
      </c>
      <c r="Q39" s="100">
        <v>10</v>
      </c>
      <c r="R39" s="6"/>
      <c r="S39" s="6"/>
      <c r="T39" s="156"/>
      <c r="U39" s="6"/>
    </row>
    <row r="40" spans="1:21">
      <c r="A40" s="163" t="s">
        <v>2959</v>
      </c>
      <c r="B40" s="100">
        <v>5.93</v>
      </c>
      <c r="C40" s="100">
        <v>13.1</v>
      </c>
      <c r="D40" s="100">
        <v>11.6</v>
      </c>
      <c r="E40" s="100">
        <v>3.64</v>
      </c>
      <c r="F40" s="100">
        <v>2.14</v>
      </c>
      <c r="G40" s="100">
        <v>4.24</v>
      </c>
      <c r="H40" s="100">
        <v>0.75</v>
      </c>
      <c r="I40" s="100">
        <v>2.77</v>
      </c>
      <c r="J40" s="100">
        <v>0.83</v>
      </c>
      <c r="K40" s="100">
        <v>253.32</v>
      </c>
      <c r="L40" s="100">
        <v>23.76</v>
      </c>
      <c r="M40" s="100">
        <v>98.86</v>
      </c>
      <c r="N40" s="100">
        <v>33.700000000000003</v>
      </c>
      <c r="O40" s="100">
        <v>0.2</v>
      </c>
      <c r="P40" s="100">
        <v>0.11</v>
      </c>
      <c r="Q40" s="100">
        <v>10</v>
      </c>
      <c r="R40" s="6"/>
      <c r="S40" s="6"/>
      <c r="T40" s="156"/>
      <c r="U40" s="6"/>
    </row>
    <row r="41" spans="1:21">
      <c r="A41" s="163" t="s">
        <v>2960</v>
      </c>
      <c r="B41" s="100">
        <v>5.82</v>
      </c>
      <c r="C41" s="100">
        <v>12.9</v>
      </c>
      <c r="D41" s="100">
        <v>11.41</v>
      </c>
      <c r="E41" s="100">
        <v>3.99</v>
      </c>
      <c r="F41" s="100">
        <v>2.16</v>
      </c>
      <c r="G41" s="100">
        <v>4.4800000000000004</v>
      </c>
      <c r="H41" s="100">
        <v>0.71</v>
      </c>
      <c r="I41" s="100">
        <v>2.7</v>
      </c>
      <c r="J41" s="100">
        <v>0.72</v>
      </c>
      <c r="K41" s="100">
        <v>252.06</v>
      </c>
      <c r="L41" s="100">
        <v>23.85</v>
      </c>
      <c r="M41" s="100">
        <v>98.87</v>
      </c>
      <c r="N41" s="100">
        <v>37.799999999999997</v>
      </c>
      <c r="O41" s="100">
        <v>0.2</v>
      </c>
      <c r="P41" s="100">
        <v>0.12</v>
      </c>
      <c r="Q41" s="100">
        <v>10</v>
      </c>
      <c r="R41" s="6"/>
      <c r="S41" s="6"/>
      <c r="T41" s="156"/>
      <c r="U41" s="6"/>
    </row>
    <row r="42" spans="1:21">
      <c r="A42" s="163" t="s">
        <v>2961</v>
      </c>
      <c r="B42" s="100">
        <v>5.64</v>
      </c>
      <c r="C42" s="100">
        <v>12.76</v>
      </c>
      <c r="D42" s="100">
        <v>11.19</v>
      </c>
      <c r="E42" s="100">
        <v>3.71</v>
      </c>
      <c r="F42" s="100">
        <v>2.04</v>
      </c>
      <c r="G42" s="100">
        <v>4.4800000000000004</v>
      </c>
      <c r="H42" s="100">
        <v>0.71</v>
      </c>
      <c r="I42" s="100">
        <v>2.82</v>
      </c>
      <c r="J42" s="100">
        <v>0.98</v>
      </c>
      <c r="K42" s="100">
        <v>252.91</v>
      </c>
      <c r="L42" s="100">
        <v>23.9</v>
      </c>
      <c r="M42" s="100">
        <v>98.88</v>
      </c>
      <c r="N42" s="100">
        <v>44.2</v>
      </c>
      <c r="O42" s="100">
        <v>0</v>
      </c>
      <c r="P42" s="100">
        <v>0.12</v>
      </c>
      <c r="Q42" s="100">
        <v>10</v>
      </c>
      <c r="R42" s="6"/>
      <c r="S42" s="6"/>
      <c r="T42" s="156"/>
      <c r="U42" s="6"/>
    </row>
    <row r="43" spans="1:21">
      <c r="A43" s="163" t="s">
        <v>2962</v>
      </c>
      <c r="B43" s="100">
        <v>5.48</v>
      </c>
      <c r="C43" s="100">
        <v>12.7</v>
      </c>
      <c r="D43" s="100">
        <v>11.03</v>
      </c>
      <c r="E43" s="100">
        <v>4.1399999999999997</v>
      </c>
      <c r="F43" s="100">
        <v>1.33</v>
      </c>
      <c r="G43" s="100">
        <v>4.4800000000000004</v>
      </c>
      <c r="H43" s="100">
        <v>0.71</v>
      </c>
      <c r="I43" s="100">
        <v>2.72</v>
      </c>
      <c r="J43" s="100">
        <v>0.94</v>
      </c>
      <c r="K43" s="100">
        <v>255.71</v>
      </c>
      <c r="L43" s="100">
        <v>23.99</v>
      </c>
      <c r="M43" s="100">
        <v>98.88</v>
      </c>
      <c r="N43" s="100">
        <v>59.2</v>
      </c>
      <c r="O43" s="100">
        <v>0</v>
      </c>
      <c r="P43" s="100">
        <v>0.12</v>
      </c>
      <c r="Q43" s="100">
        <v>10</v>
      </c>
      <c r="R43" s="6"/>
      <c r="S43" s="6"/>
      <c r="T43" s="156"/>
      <c r="U43" s="6"/>
    </row>
    <row r="44" spans="1:21">
      <c r="A44" s="163" t="s">
        <v>2963</v>
      </c>
      <c r="B44" s="100">
        <v>5.36</v>
      </c>
      <c r="C44" s="100">
        <v>12.64</v>
      </c>
      <c r="D44" s="100">
        <v>10.9</v>
      </c>
      <c r="E44" s="100">
        <v>4.16</v>
      </c>
      <c r="F44" s="100">
        <v>2.06</v>
      </c>
      <c r="G44" s="100">
        <v>5.05</v>
      </c>
      <c r="H44" s="100">
        <v>0.73</v>
      </c>
      <c r="I44" s="100">
        <v>2.61</v>
      </c>
      <c r="J44" s="100">
        <v>0.8</v>
      </c>
      <c r="K44" s="100">
        <v>252.87</v>
      </c>
      <c r="L44" s="100">
        <v>24.1</v>
      </c>
      <c r="M44" s="100">
        <v>98.87</v>
      </c>
      <c r="N44" s="100">
        <v>74</v>
      </c>
      <c r="O44" s="100">
        <v>0</v>
      </c>
      <c r="P44" s="100">
        <v>0.13</v>
      </c>
      <c r="Q44" s="100">
        <v>10</v>
      </c>
      <c r="R44" s="6"/>
      <c r="S44" s="6"/>
      <c r="T44" s="156"/>
      <c r="U44" s="6"/>
    </row>
    <row r="45" spans="1:21">
      <c r="A45" s="163" t="s">
        <v>2964</v>
      </c>
      <c r="B45" s="100">
        <v>5.26</v>
      </c>
      <c r="C45" s="100">
        <v>12.75</v>
      </c>
      <c r="D45" s="100">
        <v>10.88</v>
      </c>
      <c r="E45" s="100">
        <v>3.97</v>
      </c>
      <c r="F45" s="100">
        <v>2.09</v>
      </c>
      <c r="G45" s="100">
        <v>5.94</v>
      </c>
      <c r="H45" s="100">
        <v>0.79</v>
      </c>
      <c r="I45" s="100">
        <v>2.5299999999999998</v>
      </c>
      <c r="J45" s="100">
        <v>0.93</v>
      </c>
      <c r="K45" s="100">
        <v>252.63</v>
      </c>
      <c r="L45" s="100">
        <v>24.31</v>
      </c>
      <c r="M45" s="100">
        <v>98.87</v>
      </c>
      <c r="N45" s="100">
        <v>115.6</v>
      </c>
      <c r="O45" s="100">
        <v>0</v>
      </c>
      <c r="P45" s="100">
        <v>0.12</v>
      </c>
      <c r="Q45" s="100">
        <v>10</v>
      </c>
      <c r="R45" s="6"/>
      <c r="S45" s="6"/>
      <c r="T45" s="156"/>
      <c r="U45" s="6"/>
    </row>
    <row r="46" spans="1:21">
      <c r="A46" s="163" t="s">
        <v>2965</v>
      </c>
      <c r="B46" s="100">
        <v>5.15</v>
      </c>
      <c r="C46" s="100">
        <v>12.77</v>
      </c>
      <c r="D46" s="100">
        <v>10.8</v>
      </c>
      <c r="E46" s="100">
        <v>4.2</v>
      </c>
      <c r="F46" s="100">
        <v>1.66</v>
      </c>
      <c r="G46" s="100">
        <v>5.94</v>
      </c>
      <c r="H46" s="100">
        <v>0.79</v>
      </c>
      <c r="I46" s="100">
        <v>2.5099999999999998</v>
      </c>
      <c r="J46" s="100">
        <v>0.84</v>
      </c>
      <c r="K46" s="100">
        <v>251.81</v>
      </c>
      <c r="L46" s="100">
        <v>24.48</v>
      </c>
      <c r="M46" s="100">
        <v>98.88</v>
      </c>
      <c r="N46" s="100">
        <v>119.9</v>
      </c>
      <c r="O46" s="100">
        <v>0</v>
      </c>
      <c r="P46" s="100">
        <v>0.12</v>
      </c>
      <c r="Q46" s="100">
        <v>10</v>
      </c>
      <c r="R46" s="6"/>
      <c r="S46" s="6"/>
      <c r="T46" s="156"/>
      <c r="U46" s="6"/>
    </row>
    <row r="47" spans="1:21">
      <c r="A47" s="163" t="s">
        <v>2966</v>
      </c>
      <c r="B47" s="100">
        <v>5.0199999999999996</v>
      </c>
      <c r="C47" s="100">
        <v>12.74</v>
      </c>
      <c r="D47" s="100">
        <v>10.69</v>
      </c>
      <c r="E47" s="100">
        <v>4.29</v>
      </c>
      <c r="F47" s="100">
        <v>1.86</v>
      </c>
      <c r="G47" s="100">
        <v>5.94</v>
      </c>
      <c r="H47" s="100">
        <v>0.79</v>
      </c>
      <c r="I47" s="100">
        <v>2.5299999999999998</v>
      </c>
      <c r="J47" s="100">
        <v>1.1499999999999999</v>
      </c>
      <c r="K47" s="100">
        <v>254.58</v>
      </c>
      <c r="L47" s="100">
        <v>24.47</v>
      </c>
      <c r="M47" s="100">
        <v>98.87</v>
      </c>
      <c r="N47" s="100">
        <v>106.3</v>
      </c>
      <c r="O47" s="100">
        <v>0</v>
      </c>
      <c r="P47" s="100">
        <v>0.12</v>
      </c>
      <c r="Q47" s="100">
        <v>10</v>
      </c>
      <c r="R47" s="6"/>
      <c r="S47" s="6"/>
      <c r="T47" s="156"/>
      <c r="U47" s="6"/>
    </row>
    <row r="48" spans="1:21">
      <c r="A48" s="163" t="s">
        <v>2967</v>
      </c>
      <c r="B48" s="100">
        <v>4.91</v>
      </c>
      <c r="C48" s="100">
        <v>12.7</v>
      </c>
      <c r="D48" s="100">
        <v>10.57</v>
      </c>
      <c r="E48" s="100">
        <v>4.0999999999999996</v>
      </c>
      <c r="F48" s="100">
        <v>2.12</v>
      </c>
      <c r="G48" s="100">
        <v>5.33</v>
      </c>
      <c r="H48" s="100">
        <v>0.81</v>
      </c>
      <c r="I48" s="100">
        <v>2.5499999999999998</v>
      </c>
      <c r="J48" s="100">
        <v>0.99</v>
      </c>
      <c r="K48" s="100">
        <v>254.55</v>
      </c>
      <c r="L48" s="100">
        <v>24.68</v>
      </c>
      <c r="M48" s="100">
        <v>98.84</v>
      </c>
      <c r="N48" s="100">
        <v>128.30000000000001</v>
      </c>
      <c r="O48" s="100">
        <v>0</v>
      </c>
      <c r="P48" s="100">
        <v>0.13</v>
      </c>
      <c r="Q48" s="100">
        <v>10</v>
      </c>
      <c r="R48" s="6"/>
      <c r="S48" s="6"/>
      <c r="T48" s="156"/>
      <c r="U48" s="6"/>
    </row>
    <row r="49" spans="1:21">
      <c r="A49" s="163" t="s">
        <v>2968</v>
      </c>
      <c r="B49" s="100">
        <v>4.82</v>
      </c>
      <c r="C49" s="100">
        <v>12.66</v>
      </c>
      <c r="D49" s="100">
        <v>10.48</v>
      </c>
      <c r="E49" s="100">
        <v>4.7</v>
      </c>
      <c r="F49" s="100">
        <v>1.8</v>
      </c>
      <c r="G49" s="100">
        <v>4.42</v>
      </c>
      <c r="H49" s="100">
        <v>0.83</v>
      </c>
      <c r="I49" s="100">
        <v>2.5499999999999998</v>
      </c>
      <c r="J49" s="100">
        <v>1.02</v>
      </c>
      <c r="K49" s="100">
        <v>258.77</v>
      </c>
      <c r="L49" s="100">
        <v>24.86</v>
      </c>
      <c r="M49" s="100">
        <v>97.7</v>
      </c>
      <c r="N49" s="100">
        <v>128.80000000000001</v>
      </c>
      <c r="O49" s="100">
        <v>0</v>
      </c>
      <c r="P49" s="100">
        <v>0.12</v>
      </c>
      <c r="Q49" s="100">
        <v>10</v>
      </c>
      <c r="R49" s="6"/>
      <c r="S49" s="6"/>
      <c r="T49" s="156"/>
      <c r="U49" s="6"/>
    </row>
    <row r="50" spans="1:21">
      <c r="A50" s="163" t="s">
        <v>2969</v>
      </c>
      <c r="B50" s="100">
        <v>4.7</v>
      </c>
      <c r="C50" s="100">
        <v>12.63</v>
      </c>
      <c r="D50" s="100">
        <v>10.37</v>
      </c>
      <c r="E50" s="100">
        <v>5.0599999999999996</v>
      </c>
      <c r="F50" s="100">
        <v>1.76</v>
      </c>
      <c r="G50" s="100">
        <v>4.42</v>
      </c>
      <c r="H50" s="100">
        <v>0.83</v>
      </c>
      <c r="I50" s="100">
        <v>2.56</v>
      </c>
      <c r="J50" s="100">
        <v>0.99</v>
      </c>
      <c r="K50" s="100">
        <v>253.81</v>
      </c>
      <c r="L50" s="100">
        <v>25</v>
      </c>
      <c r="M50" s="100">
        <v>95.43</v>
      </c>
      <c r="N50" s="100">
        <v>109.9</v>
      </c>
      <c r="O50" s="100">
        <v>0</v>
      </c>
      <c r="P50" s="100">
        <v>0.13</v>
      </c>
      <c r="Q50" s="100">
        <v>10</v>
      </c>
      <c r="R50" s="6"/>
      <c r="S50" s="6"/>
      <c r="T50" s="156"/>
      <c r="U50" s="6"/>
    </row>
    <row r="51" spans="1:21">
      <c r="A51" s="163" t="s">
        <v>2970</v>
      </c>
      <c r="B51" s="100">
        <v>4.5999999999999996</v>
      </c>
      <c r="C51" s="100">
        <v>12.52</v>
      </c>
      <c r="D51" s="100">
        <v>10.23</v>
      </c>
      <c r="E51" s="100">
        <v>5.09</v>
      </c>
      <c r="F51" s="100">
        <v>1.76</v>
      </c>
      <c r="G51" s="100">
        <v>4.42</v>
      </c>
      <c r="H51" s="100">
        <v>0.83</v>
      </c>
      <c r="I51" s="100">
        <v>2.5499999999999998</v>
      </c>
      <c r="J51" s="100">
        <v>1</v>
      </c>
      <c r="K51" s="100">
        <v>257.81</v>
      </c>
      <c r="L51" s="100">
        <v>24.96</v>
      </c>
      <c r="M51" s="100">
        <v>94.3</v>
      </c>
      <c r="N51" s="100">
        <v>96.3</v>
      </c>
      <c r="O51" s="100">
        <v>0</v>
      </c>
      <c r="P51" s="100">
        <v>0.13</v>
      </c>
      <c r="Q51" s="100">
        <v>10</v>
      </c>
      <c r="R51" s="6"/>
      <c r="S51" s="6"/>
      <c r="T51" s="156"/>
      <c r="U51" s="6"/>
    </row>
    <row r="52" spans="1:21">
      <c r="A52" s="163" t="s">
        <v>2971</v>
      </c>
      <c r="B52" s="100">
        <v>4.51</v>
      </c>
      <c r="C52" s="100">
        <v>12.49</v>
      </c>
      <c r="D52" s="100">
        <v>10.14</v>
      </c>
      <c r="E52" s="100">
        <v>5.4</v>
      </c>
      <c r="F52" s="100">
        <v>2.27</v>
      </c>
      <c r="G52" s="100">
        <v>3.92</v>
      </c>
      <c r="H52" s="100">
        <v>0.83</v>
      </c>
      <c r="I52" s="100">
        <v>2.56</v>
      </c>
      <c r="J52" s="100">
        <v>1.04</v>
      </c>
      <c r="K52" s="100">
        <v>253.77</v>
      </c>
      <c r="L52" s="100">
        <v>24.97</v>
      </c>
      <c r="M52" s="100">
        <v>94.21</v>
      </c>
      <c r="N52" s="100">
        <v>89.9</v>
      </c>
      <c r="O52" s="100">
        <v>0</v>
      </c>
      <c r="P52" s="100">
        <v>0.12</v>
      </c>
      <c r="Q52" s="100">
        <v>10</v>
      </c>
      <c r="R52" s="6"/>
      <c r="S52" s="6"/>
      <c r="T52" s="156"/>
      <c r="U52" s="6"/>
    </row>
    <row r="53" spans="1:21">
      <c r="A53" s="163" t="s">
        <v>2972</v>
      </c>
      <c r="B53" s="100">
        <v>4.49</v>
      </c>
      <c r="C53" s="100">
        <v>12.48</v>
      </c>
      <c r="D53" s="100">
        <v>10.119999999999999</v>
      </c>
      <c r="E53" s="100">
        <v>5.24</v>
      </c>
      <c r="F53" s="100">
        <v>2.02</v>
      </c>
      <c r="G53" s="100">
        <v>3.16</v>
      </c>
      <c r="H53" s="100">
        <v>0.84</v>
      </c>
      <c r="I53" s="100">
        <v>2.5099999999999998</v>
      </c>
      <c r="J53" s="100">
        <v>0.97</v>
      </c>
      <c r="K53" s="100">
        <v>256.73</v>
      </c>
      <c r="L53" s="100">
        <v>25.03</v>
      </c>
      <c r="M53" s="100">
        <v>93.62</v>
      </c>
      <c r="N53" s="100">
        <v>85</v>
      </c>
      <c r="O53" s="100">
        <v>0</v>
      </c>
      <c r="P53" s="100">
        <v>0.12</v>
      </c>
      <c r="Q53" s="100">
        <v>10</v>
      </c>
      <c r="R53" s="6"/>
      <c r="S53" s="6"/>
      <c r="T53" s="156"/>
      <c r="U53" s="6"/>
    </row>
    <row r="54" spans="1:21">
      <c r="A54" s="163" t="s">
        <v>2973</v>
      </c>
      <c r="B54" s="100">
        <v>4.3899999999999997</v>
      </c>
      <c r="C54" s="100">
        <v>12.37</v>
      </c>
      <c r="D54" s="100">
        <v>9.98</v>
      </c>
      <c r="E54" s="100">
        <v>5.2</v>
      </c>
      <c r="F54" s="100">
        <v>2.1</v>
      </c>
      <c r="G54" s="100">
        <v>3.16</v>
      </c>
      <c r="H54" s="100">
        <v>0.84</v>
      </c>
      <c r="I54" s="100">
        <v>2.4900000000000002</v>
      </c>
      <c r="J54" s="100">
        <v>0.98</v>
      </c>
      <c r="K54" s="100">
        <v>253.5</v>
      </c>
      <c r="L54" s="100">
        <v>25.14</v>
      </c>
      <c r="M54" s="100">
        <v>93.45</v>
      </c>
      <c r="N54" s="100">
        <v>125.5</v>
      </c>
      <c r="O54" s="100">
        <v>0</v>
      </c>
      <c r="P54" s="100">
        <v>0.12</v>
      </c>
      <c r="Q54" s="100">
        <v>10</v>
      </c>
      <c r="R54" s="6"/>
      <c r="S54" s="6"/>
      <c r="T54" s="156"/>
      <c r="U54" s="6"/>
    </row>
    <row r="55" spans="1:21">
      <c r="A55" s="163" t="s">
        <v>2974</v>
      </c>
      <c r="B55" s="100">
        <v>4.3099999999999996</v>
      </c>
      <c r="C55" s="100">
        <v>12.35</v>
      </c>
      <c r="D55" s="100">
        <v>9.91</v>
      </c>
      <c r="E55" s="100">
        <v>5.31</v>
      </c>
      <c r="F55" s="100">
        <v>1.87</v>
      </c>
      <c r="G55" s="100">
        <v>3.16</v>
      </c>
      <c r="H55" s="100">
        <v>0.84</v>
      </c>
      <c r="I55" s="100">
        <v>2.48</v>
      </c>
      <c r="J55" s="100">
        <v>0.81</v>
      </c>
      <c r="K55" s="100">
        <v>256.79000000000002</v>
      </c>
      <c r="L55" s="100">
        <v>25.28</v>
      </c>
      <c r="M55" s="100">
        <v>93.61</v>
      </c>
      <c r="N55" s="100">
        <v>99.2</v>
      </c>
      <c r="O55" s="100">
        <v>0</v>
      </c>
      <c r="P55" s="100">
        <v>0.12</v>
      </c>
      <c r="Q55" s="100">
        <v>10</v>
      </c>
      <c r="R55" s="6"/>
      <c r="S55" s="6"/>
      <c r="T55" s="156"/>
      <c r="U55" s="6"/>
    </row>
    <row r="56" spans="1:21">
      <c r="A56" s="163" t="s">
        <v>2975</v>
      </c>
      <c r="B56" s="100">
        <v>4.3</v>
      </c>
      <c r="C56" s="100">
        <v>12.33</v>
      </c>
      <c r="D56" s="100">
        <v>9.89</v>
      </c>
      <c r="E56" s="100">
        <v>5.45</v>
      </c>
      <c r="F56" s="100">
        <v>2.4300000000000002</v>
      </c>
      <c r="G56" s="100">
        <v>3.23</v>
      </c>
      <c r="H56" s="100">
        <v>0.82</v>
      </c>
      <c r="I56" s="100">
        <v>2.4700000000000002</v>
      </c>
      <c r="J56" s="100">
        <v>1</v>
      </c>
      <c r="K56" s="100">
        <v>252.76</v>
      </c>
      <c r="L56" s="100">
        <v>25.22</v>
      </c>
      <c r="M56" s="100">
        <v>92.57</v>
      </c>
      <c r="N56" s="100">
        <v>87</v>
      </c>
      <c r="O56" s="100">
        <v>0</v>
      </c>
      <c r="P56" s="100">
        <v>0.13</v>
      </c>
      <c r="Q56" s="100">
        <v>10</v>
      </c>
      <c r="R56" s="6"/>
      <c r="S56" s="6"/>
      <c r="T56" s="156"/>
      <c r="U56" s="6"/>
    </row>
    <row r="57" spans="1:21">
      <c r="A57" s="163" t="s">
        <v>2976</v>
      </c>
      <c r="B57" s="100">
        <v>4.2300000000000004</v>
      </c>
      <c r="C57" s="100">
        <v>12.37</v>
      </c>
      <c r="D57" s="100">
        <v>9.85</v>
      </c>
      <c r="E57" s="100">
        <v>5.41</v>
      </c>
      <c r="F57" s="100">
        <v>2.08</v>
      </c>
      <c r="G57" s="100">
        <v>3.33</v>
      </c>
      <c r="H57" s="100">
        <v>0.8</v>
      </c>
      <c r="I57" s="100">
        <v>2.4900000000000002</v>
      </c>
      <c r="J57" s="100">
        <v>1.08</v>
      </c>
      <c r="K57" s="100">
        <v>254.56</v>
      </c>
      <c r="L57" s="100">
        <v>25.3</v>
      </c>
      <c r="M57" s="100">
        <v>91.73</v>
      </c>
      <c r="N57" s="100">
        <v>95.7</v>
      </c>
      <c r="O57" s="100">
        <v>0</v>
      </c>
      <c r="P57" s="100">
        <v>0.12</v>
      </c>
      <c r="Q57" s="100">
        <v>10</v>
      </c>
      <c r="R57" s="6"/>
      <c r="S57" s="6"/>
      <c r="T57" s="156"/>
      <c r="U57" s="6"/>
    </row>
    <row r="58" spans="1:21">
      <c r="A58" s="163" t="s">
        <v>2977</v>
      </c>
      <c r="B58" s="100">
        <v>4.1900000000000004</v>
      </c>
      <c r="C58" s="100">
        <v>12.34</v>
      </c>
      <c r="D58" s="100">
        <v>9.81</v>
      </c>
      <c r="E58" s="100">
        <v>5.35</v>
      </c>
      <c r="F58" s="100">
        <v>1.86</v>
      </c>
      <c r="G58" s="100">
        <v>3.33</v>
      </c>
      <c r="H58" s="100">
        <v>0.8</v>
      </c>
      <c r="I58" s="100">
        <v>2.5</v>
      </c>
      <c r="J58" s="100">
        <v>0.84</v>
      </c>
      <c r="K58" s="100">
        <v>255.88</v>
      </c>
      <c r="L58" s="100">
        <v>25.59</v>
      </c>
      <c r="M58" s="100">
        <v>90.87</v>
      </c>
      <c r="N58" s="100">
        <v>139.5</v>
      </c>
      <c r="O58" s="100">
        <v>0</v>
      </c>
      <c r="P58" s="100">
        <v>0.13</v>
      </c>
      <c r="Q58" s="100">
        <v>10</v>
      </c>
      <c r="R58" s="6"/>
      <c r="S58" s="6"/>
      <c r="T58" s="156"/>
      <c r="U58" s="6"/>
    </row>
    <row r="59" spans="1:21">
      <c r="A59" s="163" t="s">
        <v>2978</v>
      </c>
      <c r="B59" s="100">
        <v>4.1100000000000003</v>
      </c>
      <c r="C59" s="100">
        <v>12.31</v>
      </c>
      <c r="D59" s="100">
        <v>9.73</v>
      </c>
      <c r="E59" s="100">
        <v>5.43</v>
      </c>
      <c r="F59" s="100">
        <v>1.86</v>
      </c>
      <c r="G59" s="100">
        <v>3.33</v>
      </c>
      <c r="H59" s="100">
        <v>0.8</v>
      </c>
      <c r="I59" s="100">
        <v>2.5299999999999998</v>
      </c>
      <c r="J59" s="100">
        <v>1.03</v>
      </c>
      <c r="K59" s="100">
        <v>255.03</v>
      </c>
      <c r="L59" s="100">
        <v>25.63</v>
      </c>
      <c r="M59" s="100">
        <v>90.38</v>
      </c>
      <c r="N59" s="100">
        <v>123.6</v>
      </c>
      <c r="O59" s="100">
        <v>0</v>
      </c>
      <c r="P59" s="100">
        <v>0.13</v>
      </c>
      <c r="Q59" s="100">
        <v>10</v>
      </c>
      <c r="R59" s="6"/>
      <c r="S59" s="6"/>
      <c r="T59" s="156"/>
      <c r="U59" s="6"/>
    </row>
    <row r="60" spans="1:21">
      <c r="A60" s="163" t="s">
        <v>2979</v>
      </c>
      <c r="B60" s="100">
        <v>4.04</v>
      </c>
      <c r="C60" s="100">
        <v>12.16</v>
      </c>
      <c r="D60" s="100">
        <v>9.59</v>
      </c>
      <c r="E60" s="100">
        <v>5.37</v>
      </c>
      <c r="F60" s="100">
        <v>2.34</v>
      </c>
      <c r="G60" s="100">
        <v>3.13</v>
      </c>
      <c r="H60" s="100">
        <v>0.81</v>
      </c>
      <c r="I60" s="100">
        <v>2.5299999999999998</v>
      </c>
      <c r="J60" s="100">
        <v>1</v>
      </c>
      <c r="K60" s="100">
        <v>253.28</v>
      </c>
      <c r="L60" s="100">
        <v>25.59</v>
      </c>
      <c r="M60" s="100">
        <v>90.69</v>
      </c>
      <c r="N60" s="100">
        <v>116.5</v>
      </c>
      <c r="O60" s="100">
        <v>0</v>
      </c>
      <c r="P60" s="100">
        <v>0.12</v>
      </c>
      <c r="Q60" s="100">
        <v>10</v>
      </c>
      <c r="R60" s="6"/>
      <c r="S60" s="6"/>
      <c r="T60" s="156"/>
      <c r="U60" s="6"/>
    </row>
    <row r="61" spans="1:21">
      <c r="A61" s="163" t="s">
        <v>2980</v>
      </c>
      <c r="B61" s="100">
        <v>4.0199999999999996</v>
      </c>
      <c r="C61" s="100">
        <v>11.99</v>
      </c>
      <c r="D61" s="100">
        <v>9.48</v>
      </c>
      <c r="E61" s="100">
        <v>5.17</v>
      </c>
      <c r="F61" s="100">
        <v>2.17</v>
      </c>
      <c r="G61" s="100">
        <v>2.85</v>
      </c>
      <c r="H61" s="100">
        <v>0.83</v>
      </c>
      <c r="I61" s="100">
        <v>2.5299999999999998</v>
      </c>
      <c r="J61" s="100">
        <v>0.88</v>
      </c>
      <c r="K61" s="100">
        <v>255.33</v>
      </c>
      <c r="L61" s="100">
        <v>25.46</v>
      </c>
      <c r="M61" s="100">
        <v>91</v>
      </c>
      <c r="N61" s="100">
        <v>92.2</v>
      </c>
      <c r="O61" s="100">
        <v>0</v>
      </c>
      <c r="P61" s="100">
        <v>0.08</v>
      </c>
      <c r="Q61" s="100">
        <v>10</v>
      </c>
      <c r="R61" s="6"/>
      <c r="S61" s="6"/>
      <c r="T61" s="156"/>
      <c r="U61" s="6"/>
    </row>
    <row r="62" spans="1:21">
      <c r="A62" s="163" t="s">
        <v>2981</v>
      </c>
      <c r="B62" s="100">
        <v>4.0599999999999996</v>
      </c>
      <c r="C62" s="100">
        <v>11.88</v>
      </c>
      <c r="D62" s="100">
        <v>9.4600000000000009</v>
      </c>
      <c r="E62" s="100">
        <v>4.45</v>
      </c>
      <c r="F62" s="100">
        <v>2.91</v>
      </c>
      <c r="G62" s="100">
        <v>2.85</v>
      </c>
      <c r="H62" s="100">
        <v>0.83</v>
      </c>
      <c r="I62" s="100">
        <v>2.5099999999999998</v>
      </c>
      <c r="J62" s="100">
        <v>1.1000000000000001</v>
      </c>
      <c r="K62" s="100">
        <v>253.75</v>
      </c>
      <c r="L62" s="100">
        <v>25.51</v>
      </c>
      <c r="M62" s="100">
        <v>90.8</v>
      </c>
      <c r="N62" s="100">
        <v>104.2</v>
      </c>
      <c r="O62" s="100">
        <v>0</v>
      </c>
      <c r="P62" s="100">
        <v>0.06</v>
      </c>
      <c r="Q62" s="100">
        <v>10</v>
      </c>
      <c r="R62" s="6"/>
      <c r="S62" s="6"/>
      <c r="T62" s="156"/>
      <c r="U62" s="6"/>
    </row>
    <row r="63" spans="1:21">
      <c r="A63" s="163" t="s">
        <v>2982</v>
      </c>
      <c r="B63" s="100">
        <v>4.2300000000000004</v>
      </c>
      <c r="C63" s="100">
        <v>12.4</v>
      </c>
      <c r="D63" s="100">
        <v>9.8699999999999992</v>
      </c>
      <c r="E63" s="100">
        <v>4.5999999999999996</v>
      </c>
      <c r="F63" s="100">
        <v>2.5299999999999998</v>
      </c>
      <c r="G63" s="100">
        <v>2.85</v>
      </c>
      <c r="H63" s="100">
        <v>0.83</v>
      </c>
      <c r="I63" s="100">
        <v>2.52</v>
      </c>
      <c r="J63" s="100">
        <v>0.94</v>
      </c>
      <c r="K63" s="100">
        <v>252.19</v>
      </c>
      <c r="L63" s="100">
        <v>25.19</v>
      </c>
      <c r="M63" s="100">
        <v>92.71</v>
      </c>
      <c r="N63" s="100">
        <v>69.7</v>
      </c>
      <c r="O63" s="100">
        <v>0</v>
      </c>
      <c r="P63" s="100">
        <v>0.09</v>
      </c>
      <c r="Q63" s="100">
        <v>10</v>
      </c>
      <c r="R63" s="6"/>
      <c r="S63" s="6"/>
      <c r="T63" s="156"/>
      <c r="U63" s="6"/>
    </row>
    <row r="64" spans="1:21">
      <c r="A64" s="163" t="s">
        <v>2983</v>
      </c>
      <c r="B64" s="100">
        <v>4.28</v>
      </c>
      <c r="C64" s="100">
        <v>12.25</v>
      </c>
      <c r="D64" s="100">
        <v>9.83</v>
      </c>
      <c r="E64" s="100">
        <v>4.82</v>
      </c>
      <c r="F64" s="100">
        <v>1.56</v>
      </c>
      <c r="G64" s="100">
        <v>2.73</v>
      </c>
      <c r="H64" s="100">
        <v>0.82</v>
      </c>
      <c r="I64" s="100">
        <v>2.54</v>
      </c>
      <c r="J64" s="100">
        <v>0.91</v>
      </c>
      <c r="K64" s="100">
        <v>253.31</v>
      </c>
      <c r="L64" s="100">
        <v>24.76</v>
      </c>
      <c r="M64" s="100">
        <v>96.19</v>
      </c>
      <c r="N64" s="100">
        <v>74.400000000000006</v>
      </c>
      <c r="O64" s="100">
        <v>0.4</v>
      </c>
      <c r="P64" s="100">
        <v>0.09</v>
      </c>
      <c r="Q64" s="100">
        <v>10</v>
      </c>
      <c r="R64" s="6"/>
      <c r="S64" s="6"/>
      <c r="T64" s="156"/>
      <c r="U64" s="6"/>
    </row>
    <row r="65" spans="1:21">
      <c r="A65" s="163" t="s">
        <v>2984</v>
      </c>
      <c r="B65" s="100">
        <v>4.2699999999999996</v>
      </c>
      <c r="C65" s="100">
        <v>12.03</v>
      </c>
      <c r="D65" s="100">
        <v>9.7100000000000009</v>
      </c>
      <c r="E65" s="100">
        <v>4.57</v>
      </c>
      <c r="F65" s="100">
        <v>2.19</v>
      </c>
      <c r="G65" s="100">
        <v>2.5499999999999998</v>
      </c>
      <c r="H65" s="100">
        <v>0.82</v>
      </c>
      <c r="I65" s="100">
        <v>2.59</v>
      </c>
      <c r="J65" s="100">
        <v>0.76</v>
      </c>
      <c r="K65" s="100">
        <v>252.07</v>
      </c>
      <c r="L65" s="100">
        <v>24.73</v>
      </c>
      <c r="M65" s="100">
        <v>97.1</v>
      </c>
      <c r="N65" s="100">
        <v>65.400000000000006</v>
      </c>
      <c r="O65" s="100">
        <v>0</v>
      </c>
      <c r="P65" s="100">
        <v>0.05</v>
      </c>
      <c r="Q65" s="100">
        <v>10</v>
      </c>
      <c r="R65" s="6"/>
      <c r="S65" s="6"/>
      <c r="T65" s="156"/>
      <c r="U65" s="6"/>
    </row>
    <row r="66" spans="1:21">
      <c r="A66" s="163" t="s">
        <v>2985</v>
      </c>
      <c r="B66" s="100">
        <v>4.45</v>
      </c>
      <c r="C66" s="100">
        <v>12.34</v>
      </c>
      <c r="D66" s="100">
        <v>10.01</v>
      </c>
      <c r="E66" s="100">
        <v>4.5199999999999996</v>
      </c>
      <c r="F66" s="100">
        <v>2.5</v>
      </c>
      <c r="G66" s="100">
        <v>2.5499999999999998</v>
      </c>
      <c r="H66" s="100">
        <v>0.82</v>
      </c>
      <c r="I66" s="100">
        <v>2.59</v>
      </c>
      <c r="J66" s="100">
        <v>0.78</v>
      </c>
      <c r="K66" s="100">
        <v>258.68</v>
      </c>
      <c r="L66" s="100">
        <v>24.75</v>
      </c>
      <c r="M66" s="100">
        <v>96.46</v>
      </c>
      <c r="N66" s="100">
        <v>53.2</v>
      </c>
      <c r="O66" s="100">
        <v>0</v>
      </c>
      <c r="P66" s="100">
        <v>0.08</v>
      </c>
      <c r="Q66" s="100">
        <v>10</v>
      </c>
      <c r="R66" s="6"/>
      <c r="S66" s="6"/>
      <c r="T66" s="156"/>
      <c r="U66" s="6"/>
    </row>
    <row r="67" spans="1:21">
      <c r="A67" s="163" t="s">
        <v>2986</v>
      </c>
      <c r="B67" s="100">
        <v>4.5999999999999996</v>
      </c>
      <c r="C67" s="100">
        <v>12.32</v>
      </c>
      <c r="D67" s="100">
        <v>10.119999999999999</v>
      </c>
      <c r="E67" s="100">
        <v>4.74</v>
      </c>
      <c r="F67" s="100">
        <v>0.76</v>
      </c>
      <c r="G67" s="100">
        <v>2.5499999999999998</v>
      </c>
      <c r="H67" s="100">
        <v>0.82</v>
      </c>
      <c r="I67" s="100">
        <v>2.61</v>
      </c>
      <c r="J67" s="100">
        <v>0.64</v>
      </c>
      <c r="K67" s="100">
        <v>254.07</v>
      </c>
      <c r="L67" s="100">
        <v>24.78</v>
      </c>
      <c r="M67" s="100">
        <v>96.52</v>
      </c>
      <c r="N67" s="100">
        <v>44.9</v>
      </c>
      <c r="O67" s="100">
        <v>0</v>
      </c>
      <c r="P67" s="100">
        <v>0.09</v>
      </c>
      <c r="Q67" s="100">
        <v>10</v>
      </c>
      <c r="R67" s="6"/>
      <c r="S67" s="6"/>
      <c r="T67" s="156"/>
      <c r="U67" s="6"/>
    </row>
    <row r="68" spans="1:21">
      <c r="A68" s="163" t="s">
        <v>2987</v>
      </c>
      <c r="B68" s="100">
        <v>4.6500000000000004</v>
      </c>
      <c r="C68" s="100">
        <v>11.99</v>
      </c>
      <c r="D68" s="100">
        <v>9.99</v>
      </c>
      <c r="E68" s="100">
        <v>4.4800000000000004</v>
      </c>
      <c r="F68" s="100">
        <v>2.2599999999999998</v>
      </c>
      <c r="G68" s="100">
        <v>2.79</v>
      </c>
      <c r="H68" s="100">
        <v>0.82</v>
      </c>
      <c r="I68" s="100">
        <v>2.63</v>
      </c>
      <c r="J68" s="100">
        <v>0.68</v>
      </c>
      <c r="K68" s="100">
        <v>254.51</v>
      </c>
      <c r="L68" s="100">
        <v>24.68</v>
      </c>
      <c r="M68" s="100">
        <v>96.57</v>
      </c>
      <c r="N68" s="100">
        <v>36</v>
      </c>
      <c r="O68" s="100">
        <v>0</v>
      </c>
      <c r="P68" s="100">
        <v>0.08</v>
      </c>
      <c r="Q68" s="100">
        <v>10</v>
      </c>
      <c r="R68" s="6"/>
      <c r="S68" s="6"/>
      <c r="T68" s="156"/>
      <c r="U68" s="6"/>
    </row>
    <row r="69" spans="1:21">
      <c r="A69" s="163" t="s">
        <v>2988</v>
      </c>
      <c r="B69" s="100">
        <v>4.8899999999999997</v>
      </c>
      <c r="C69" s="100">
        <v>12.48</v>
      </c>
      <c r="D69" s="100">
        <v>10.44</v>
      </c>
      <c r="E69" s="100">
        <v>4.67</v>
      </c>
      <c r="F69" s="100">
        <v>2.4500000000000002</v>
      </c>
      <c r="G69" s="100">
        <v>3.14</v>
      </c>
      <c r="H69" s="100">
        <v>0.82</v>
      </c>
      <c r="I69" s="100">
        <v>2.64</v>
      </c>
      <c r="J69" s="100">
        <v>0.76</v>
      </c>
      <c r="K69" s="100">
        <v>255.59</v>
      </c>
      <c r="L69" s="100">
        <v>24.64</v>
      </c>
      <c r="M69" s="100">
        <v>97</v>
      </c>
      <c r="N69" s="100">
        <v>45.7</v>
      </c>
      <c r="O69" s="100">
        <v>0</v>
      </c>
      <c r="P69" s="100">
        <v>0.09</v>
      </c>
      <c r="Q69" s="100">
        <v>10</v>
      </c>
      <c r="R69" s="6"/>
      <c r="S69" s="6"/>
      <c r="T69" s="156"/>
      <c r="U69" s="6"/>
    </row>
    <row r="70" spans="1:21">
      <c r="A70" s="163" t="s">
        <v>2989</v>
      </c>
      <c r="B70" s="100">
        <v>4.95</v>
      </c>
      <c r="C70" s="100">
        <v>12.23</v>
      </c>
      <c r="D70" s="100">
        <v>10.36</v>
      </c>
      <c r="E70" s="100">
        <v>4.76</v>
      </c>
      <c r="F70" s="100">
        <v>1.44</v>
      </c>
      <c r="G70" s="100">
        <v>3.14</v>
      </c>
      <c r="H70" s="100">
        <v>0.82</v>
      </c>
      <c r="I70" s="100">
        <v>2.66</v>
      </c>
      <c r="J70" s="100">
        <v>0.81</v>
      </c>
      <c r="K70" s="100">
        <v>253.15</v>
      </c>
      <c r="L70" s="100">
        <v>24.64</v>
      </c>
      <c r="M70" s="100">
        <v>97.36</v>
      </c>
      <c r="N70" s="100">
        <v>40.299999999999997</v>
      </c>
      <c r="O70" s="100">
        <v>0</v>
      </c>
      <c r="P70" s="100">
        <v>0.08</v>
      </c>
      <c r="Q70" s="100">
        <v>10</v>
      </c>
      <c r="R70" s="6"/>
      <c r="S70" s="6"/>
      <c r="T70" s="156"/>
      <c r="U70" s="6"/>
    </row>
    <row r="71" spans="1:21">
      <c r="A71" s="163" t="s">
        <v>2990</v>
      </c>
      <c r="B71" s="100">
        <v>4.93</v>
      </c>
      <c r="C71" s="100">
        <v>12.04</v>
      </c>
      <c r="D71" s="100">
        <v>10.24</v>
      </c>
      <c r="E71" s="100">
        <v>4.5999999999999996</v>
      </c>
      <c r="F71" s="100">
        <v>1.89</v>
      </c>
      <c r="G71" s="100">
        <v>3.14</v>
      </c>
      <c r="H71" s="100">
        <v>0.82</v>
      </c>
      <c r="I71" s="100">
        <v>2.76</v>
      </c>
      <c r="J71" s="100">
        <v>0.65</v>
      </c>
      <c r="K71" s="100">
        <v>253.01</v>
      </c>
      <c r="L71" s="100">
        <v>24.67</v>
      </c>
      <c r="M71" s="100">
        <v>97.43</v>
      </c>
      <c r="N71" s="100">
        <v>32.700000000000003</v>
      </c>
      <c r="O71" s="100">
        <v>0</v>
      </c>
      <c r="P71" s="100">
        <v>7.0000000000000007E-2</v>
      </c>
      <c r="Q71" s="100">
        <v>10</v>
      </c>
      <c r="R71" s="6"/>
      <c r="S71" s="6"/>
      <c r="T71" s="156"/>
      <c r="U71" s="6"/>
    </row>
    <row r="72" spans="1:21">
      <c r="A72" s="163" t="s">
        <v>2991</v>
      </c>
      <c r="B72" s="100">
        <v>5.13</v>
      </c>
      <c r="C72" s="100">
        <v>12.54</v>
      </c>
      <c r="D72" s="100">
        <v>10.67</v>
      </c>
      <c r="E72" s="100">
        <v>4.57</v>
      </c>
      <c r="F72" s="100">
        <v>1.86</v>
      </c>
      <c r="G72" s="100">
        <v>2.93</v>
      </c>
      <c r="H72" s="100">
        <v>0.83</v>
      </c>
      <c r="I72" s="100">
        <v>2.69</v>
      </c>
      <c r="J72" s="100">
        <v>0.57999999999999996</v>
      </c>
      <c r="K72" s="100">
        <v>254.79</v>
      </c>
      <c r="L72" s="100">
        <v>24.71</v>
      </c>
      <c r="M72" s="100">
        <v>97.4</v>
      </c>
      <c r="N72" s="100">
        <v>28.8</v>
      </c>
      <c r="O72" s="100">
        <v>0</v>
      </c>
      <c r="P72" s="100">
        <v>0.09</v>
      </c>
      <c r="Q72" s="100">
        <v>10</v>
      </c>
      <c r="R72" s="6"/>
      <c r="S72" s="6"/>
      <c r="T72" s="156"/>
      <c r="U72" s="6"/>
    </row>
    <row r="73" spans="1:21">
      <c r="A73" s="163" t="s">
        <v>2992</v>
      </c>
      <c r="B73" s="100">
        <v>5.19</v>
      </c>
      <c r="C73" s="100">
        <v>12.38</v>
      </c>
      <c r="D73" s="100">
        <v>10.63</v>
      </c>
      <c r="E73" s="100">
        <v>4.9800000000000004</v>
      </c>
      <c r="F73" s="100">
        <v>0.94</v>
      </c>
      <c r="G73" s="100">
        <v>2.62</v>
      </c>
      <c r="H73" s="100">
        <v>0.83</v>
      </c>
      <c r="I73" s="100">
        <v>2.66</v>
      </c>
      <c r="J73" s="100">
        <v>0.64</v>
      </c>
      <c r="K73" s="100">
        <v>259.97000000000003</v>
      </c>
      <c r="L73" s="100">
        <v>24.79</v>
      </c>
      <c r="M73" s="100">
        <v>96.89</v>
      </c>
      <c r="N73" s="100">
        <v>28.9</v>
      </c>
      <c r="O73" s="100">
        <v>0</v>
      </c>
      <c r="P73" s="100">
        <v>0.08</v>
      </c>
      <c r="Q73" s="100">
        <v>10</v>
      </c>
      <c r="R73" s="6"/>
      <c r="S73" s="6"/>
      <c r="T73" s="156"/>
      <c r="U73" s="6"/>
    </row>
    <row r="74" spans="1:21">
      <c r="A74" s="163" t="s">
        <v>2993</v>
      </c>
      <c r="B74" s="100">
        <v>5.22</v>
      </c>
      <c r="C74" s="100">
        <v>12.23</v>
      </c>
      <c r="D74" s="100">
        <v>10.58</v>
      </c>
      <c r="E74" s="100">
        <v>4.5199999999999996</v>
      </c>
      <c r="F74" s="100">
        <v>1.99</v>
      </c>
      <c r="G74" s="100">
        <v>2.62</v>
      </c>
      <c r="H74" s="100">
        <v>0.83</v>
      </c>
      <c r="I74" s="100">
        <v>2.74</v>
      </c>
      <c r="J74" s="100">
        <v>0.64</v>
      </c>
      <c r="K74" s="100">
        <v>253.02</v>
      </c>
      <c r="L74" s="100">
        <v>24.86</v>
      </c>
      <c r="M74" s="100">
        <v>95.96</v>
      </c>
      <c r="N74" s="100">
        <v>24.3</v>
      </c>
      <c r="O74" s="100">
        <v>0</v>
      </c>
      <c r="P74" s="100">
        <v>0.08</v>
      </c>
      <c r="Q74" s="100">
        <v>10</v>
      </c>
      <c r="R74" s="6"/>
      <c r="S74" s="6"/>
      <c r="T74" s="156"/>
      <c r="U74" s="6"/>
    </row>
    <row r="75" spans="1:21">
      <c r="A75" s="163" t="s">
        <v>2994</v>
      </c>
      <c r="B75" s="100">
        <v>5.4</v>
      </c>
      <c r="C75" s="100">
        <v>12.68</v>
      </c>
      <c r="D75" s="100">
        <v>10.95</v>
      </c>
      <c r="E75" s="100">
        <v>4.59</v>
      </c>
      <c r="F75" s="100">
        <v>1.86</v>
      </c>
      <c r="G75" s="100">
        <v>2.62</v>
      </c>
      <c r="H75" s="100">
        <v>0.83</v>
      </c>
      <c r="I75" s="100">
        <v>2.71</v>
      </c>
      <c r="J75" s="100">
        <v>0.75</v>
      </c>
      <c r="K75" s="100">
        <v>255.62</v>
      </c>
      <c r="L75" s="100">
        <v>24.9</v>
      </c>
      <c r="M75" s="100">
        <v>94.83</v>
      </c>
      <c r="N75" s="100">
        <v>21</v>
      </c>
      <c r="O75" s="100">
        <v>0</v>
      </c>
      <c r="P75" s="100">
        <v>0.1</v>
      </c>
      <c r="Q75" s="100">
        <v>10</v>
      </c>
      <c r="R75" s="6"/>
      <c r="S75" s="6"/>
      <c r="T75" s="156"/>
      <c r="U75" s="6"/>
    </row>
    <row r="76" spans="1:21">
      <c r="A76" s="163" t="s">
        <v>2995</v>
      </c>
      <c r="B76" s="100">
        <v>5.36</v>
      </c>
      <c r="C76" s="100">
        <v>12.28</v>
      </c>
      <c r="D76" s="100">
        <v>10.71</v>
      </c>
      <c r="E76" s="100">
        <v>4.5599999999999996</v>
      </c>
      <c r="F76" s="100">
        <v>1.66</v>
      </c>
      <c r="G76" s="100">
        <v>2.5299999999999998</v>
      </c>
      <c r="H76" s="100">
        <v>0.83</v>
      </c>
      <c r="I76" s="100">
        <v>2.69</v>
      </c>
      <c r="J76" s="100">
        <v>0.88</v>
      </c>
      <c r="K76" s="100">
        <v>253.9</v>
      </c>
      <c r="L76" s="100">
        <v>24.92</v>
      </c>
      <c r="M76" s="100">
        <v>94.26</v>
      </c>
      <c r="N76" s="100">
        <v>26.5</v>
      </c>
      <c r="O76" s="100">
        <v>0</v>
      </c>
      <c r="P76" s="100">
        <v>0.08</v>
      </c>
      <c r="Q76" s="100">
        <v>10</v>
      </c>
      <c r="R76" s="6"/>
      <c r="S76" s="6"/>
      <c r="T76" s="156"/>
      <c r="U76" s="6"/>
    </row>
    <row r="77" spans="1:21">
      <c r="A77" s="163" t="s">
        <v>2996</v>
      </c>
      <c r="B77" s="100">
        <v>5.39</v>
      </c>
      <c r="C77" s="100">
        <v>12.36</v>
      </c>
      <c r="D77" s="100">
        <v>10.78</v>
      </c>
      <c r="E77" s="100">
        <v>4.51</v>
      </c>
      <c r="F77" s="100">
        <v>2.58</v>
      </c>
      <c r="G77" s="100">
        <v>2.4</v>
      </c>
      <c r="H77" s="100">
        <v>0.83</v>
      </c>
      <c r="I77" s="100">
        <v>2.82</v>
      </c>
      <c r="J77" s="100">
        <v>0.88</v>
      </c>
      <c r="K77" s="100">
        <v>254.67</v>
      </c>
      <c r="L77" s="100">
        <v>24.84</v>
      </c>
      <c r="M77" s="100">
        <v>95.15</v>
      </c>
      <c r="N77" s="100">
        <v>28.7</v>
      </c>
      <c r="O77" s="100">
        <v>0</v>
      </c>
      <c r="P77" s="100">
        <v>0.08</v>
      </c>
      <c r="Q77" s="100">
        <v>10</v>
      </c>
      <c r="R77" s="6"/>
      <c r="S77" s="6"/>
      <c r="T77" s="156"/>
      <c r="U77" s="6"/>
    </row>
    <row r="78" spans="1:21">
      <c r="A78" s="163" t="s">
        <v>2997</v>
      </c>
      <c r="B78" s="100">
        <v>5.51</v>
      </c>
      <c r="C78" s="100">
        <v>12.74</v>
      </c>
      <c r="D78" s="100">
        <v>11.08</v>
      </c>
      <c r="E78" s="100">
        <v>4.66</v>
      </c>
      <c r="F78" s="100">
        <v>1.98</v>
      </c>
      <c r="G78" s="100">
        <v>2.4</v>
      </c>
      <c r="H78" s="100">
        <v>0.83</v>
      </c>
      <c r="I78" s="100">
        <v>2.76</v>
      </c>
      <c r="J78" s="100">
        <v>0.83</v>
      </c>
      <c r="K78" s="100">
        <v>254.56</v>
      </c>
      <c r="L78" s="100">
        <v>24.76</v>
      </c>
      <c r="M78" s="100">
        <v>95.83</v>
      </c>
      <c r="N78" s="100">
        <v>26.7</v>
      </c>
      <c r="O78" s="100">
        <v>0.2</v>
      </c>
      <c r="P78" s="100">
        <v>0.09</v>
      </c>
      <c r="Q78" s="100">
        <v>10</v>
      </c>
      <c r="R78" s="6"/>
      <c r="S78" s="6"/>
      <c r="T78" s="156"/>
      <c r="U78" s="6"/>
    </row>
    <row r="79" spans="1:21">
      <c r="A79" s="163" t="s">
        <v>2998</v>
      </c>
      <c r="B79" s="100">
        <v>5.44</v>
      </c>
      <c r="C79" s="100">
        <v>12.67</v>
      </c>
      <c r="D79" s="100">
        <v>10.99</v>
      </c>
      <c r="E79" s="100">
        <v>4.76</v>
      </c>
      <c r="F79" s="100">
        <v>2.19</v>
      </c>
      <c r="G79" s="100">
        <v>2.4</v>
      </c>
      <c r="H79" s="100">
        <v>0.83</v>
      </c>
      <c r="I79" s="100">
        <v>2.79</v>
      </c>
      <c r="J79" s="100">
        <v>0.84</v>
      </c>
      <c r="K79" s="100">
        <v>252.77</v>
      </c>
      <c r="L79" s="100">
        <v>24.75</v>
      </c>
      <c r="M79" s="100">
        <v>96.27</v>
      </c>
      <c r="N79" s="100">
        <v>16.8</v>
      </c>
      <c r="O79" s="100">
        <v>0</v>
      </c>
      <c r="P79" s="100">
        <v>0.1</v>
      </c>
      <c r="Q79" s="100">
        <v>10</v>
      </c>
      <c r="R79" s="6"/>
      <c r="S79" s="6"/>
      <c r="T79" s="156"/>
      <c r="U79" s="6"/>
    </row>
    <row r="80" spans="1:21">
      <c r="A80" s="163" t="s">
        <v>2999</v>
      </c>
      <c r="B80" s="100">
        <v>5.31</v>
      </c>
      <c r="C80" s="100">
        <v>13.09</v>
      </c>
      <c r="D80" s="100">
        <v>11.1</v>
      </c>
      <c r="E80" s="100">
        <v>4.88</v>
      </c>
      <c r="F80" s="100">
        <v>2.64</v>
      </c>
      <c r="G80" s="100">
        <v>2.65</v>
      </c>
      <c r="H80" s="100">
        <v>0.82</v>
      </c>
      <c r="I80" s="100">
        <v>2.92</v>
      </c>
      <c r="J80" s="100">
        <v>0.69</v>
      </c>
      <c r="K80" s="100">
        <v>250.67</v>
      </c>
      <c r="L80" s="100">
        <v>24.78</v>
      </c>
      <c r="M80" s="100">
        <v>96.35</v>
      </c>
      <c r="N80" s="100">
        <v>12</v>
      </c>
      <c r="O80" s="100">
        <v>0</v>
      </c>
      <c r="P80" s="100">
        <v>0.12</v>
      </c>
      <c r="Q80" s="100">
        <v>10</v>
      </c>
      <c r="R80" s="6"/>
      <c r="S80" s="6"/>
      <c r="T80" s="156"/>
      <c r="U80" s="6"/>
    </row>
    <row r="81" spans="1:21">
      <c r="A81" s="163" t="s">
        <v>3000</v>
      </c>
      <c r="B81" s="100">
        <v>5.2</v>
      </c>
      <c r="C81" s="100">
        <v>13.3</v>
      </c>
      <c r="D81" s="100">
        <v>11.12</v>
      </c>
      <c r="E81" s="100">
        <v>3.97</v>
      </c>
      <c r="F81" s="100">
        <v>2.2400000000000002</v>
      </c>
      <c r="G81" s="100">
        <v>3.03</v>
      </c>
      <c r="H81" s="100">
        <v>0.82</v>
      </c>
      <c r="I81" s="100">
        <v>2.88</v>
      </c>
      <c r="J81" s="100">
        <v>0.73</v>
      </c>
      <c r="K81" s="100">
        <v>254.45</v>
      </c>
      <c r="L81" s="100">
        <v>24.82</v>
      </c>
      <c r="M81" s="100">
        <v>95.78</v>
      </c>
      <c r="N81" s="100">
        <v>6.6</v>
      </c>
      <c r="O81" s="100">
        <v>0</v>
      </c>
      <c r="P81" s="100">
        <v>0.13</v>
      </c>
      <c r="Q81" s="100">
        <v>10</v>
      </c>
      <c r="R81" s="6"/>
      <c r="S81" s="6"/>
      <c r="T81" s="156"/>
      <c r="U81" s="6"/>
    </row>
    <row r="82" spans="1:21">
      <c r="A82" s="163" t="s">
        <v>3001</v>
      </c>
      <c r="B82" s="100">
        <v>5.05</v>
      </c>
      <c r="C82" s="100">
        <v>13.44</v>
      </c>
      <c r="D82" s="100">
        <v>11.07</v>
      </c>
      <c r="E82" s="100">
        <v>4.9400000000000004</v>
      </c>
      <c r="F82" s="100">
        <v>2.3199999999999998</v>
      </c>
      <c r="G82" s="100">
        <v>3.03</v>
      </c>
      <c r="H82" s="100">
        <v>0.82</v>
      </c>
      <c r="I82" s="100">
        <v>2.83</v>
      </c>
      <c r="J82" s="100">
        <v>0.73</v>
      </c>
      <c r="K82" s="100">
        <v>254.71</v>
      </c>
      <c r="L82" s="100">
        <v>24.87</v>
      </c>
      <c r="M82" s="100">
        <v>94.63</v>
      </c>
      <c r="N82" s="100">
        <v>4.3</v>
      </c>
      <c r="O82" s="100">
        <v>0</v>
      </c>
      <c r="P82" s="100">
        <v>0.13</v>
      </c>
      <c r="Q82" s="100">
        <v>10</v>
      </c>
      <c r="R82" s="6"/>
      <c r="S82" s="6"/>
      <c r="T82" s="156"/>
      <c r="U82" s="6"/>
    </row>
    <row r="83" spans="1:21">
      <c r="A83" s="163" t="s">
        <v>3002</v>
      </c>
      <c r="B83" s="100">
        <v>4.9000000000000004</v>
      </c>
      <c r="C83" s="100">
        <v>13.48</v>
      </c>
      <c r="D83" s="100">
        <v>10.97</v>
      </c>
      <c r="E83" s="100">
        <v>4.97</v>
      </c>
      <c r="F83" s="100">
        <v>1.89</v>
      </c>
      <c r="G83" s="100">
        <v>3.03</v>
      </c>
      <c r="H83" s="100">
        <v>0.82</v>
      </c>
      <c r="I83" s="100">
        <v>2.84</v>
      </c>
      <c r="J83" s="100">
        <v>0.73</v>
      </c>
      <c r="K83" s="100">
        <v>254.01</v>
      </c>
      <c r="L83" s="100">
        <v>24.95</v>
      </c>
      <c r="M83" s="100">
        <v>93.81</v>
      </c>
      <c r="N83" s="100">
        <v>3</v>
      </c>
      <c r="O83" s="100">
        <v>0</v>
      </c>
      <c r="P83" s="100">
        <v>0.13</v>
      </c>
      <c r="Q83" s="100">
        <v>10</v>
      </c>
      <c r="R83" s="6"/>
      <c r="S83" s="6"/>
      <c r="T83" s="156"/>
      <c r="U83" s="6"/>
    </row>
    <row r="84" spans="1:21">
      <c r="A84" s="163" t="s">
        <v>3003</v>
      </c>
      <c r="B84" s="100">
        <v>4.78</v>
      </c>
      <c r="C84" s="100">
        <v>13.46</v>
      </c>
      <c r="D84" s="100">
        <v>10.86</v>
      </c>
      <c r="E84" s="100">
        <v>5.13</v>
      </c>
      <c r="F84" s="100">
        <v>1.6</v>
      </c>
      <c r="G84" s="100">
        <v>3.2</v>
      </c>
      <c r="H84" s="100">
        <v>0.82</v>
      </c>
      <c r="I84" s="100">
        <v>2.83</v>
      </c>
      <c r="J84" s="100">
        <v>0.64</v>
      </c>
      <c r="K84" s="100">
        <v>253.1</v>
      </c>
      <c r="L84" s="100">
        <v>24.99</v>
      </c>
      <c r="M84" s="100">
        <v>93.36</v>
      </c>
      <c r="N84" s="100">
        <v>2.6</v>
      </c>
      <c r="O84" s="100">
        <v>0</v>
      </c>
      <c r="P84" s="100">
        <v>0.13</v>
      </c>
      <c r="Q84" s="100">
        <v>10</v>
      </c>
      <c r="R84" s="6"/>
      <c r="S84" s="6"/>
      <c r="T84" s="156"/>
      <c r="U84" s="6"/>
    </row>
    <row r="85" spans="1:21">
      <c r="A85" s="163" t="s">
        <v>3004</v>
      </c>
      <c r="B85" s="100">
        <v>4.68</v>
      </c>
      <c r="C85" s="100">
        <v>13.43</v>
      </c>
      <c r="D85" s="100">
        <v>10.77</v>
      </c>
      <c r="E85" s="100">
        <v>5.01</v>
      </c>
      <c r="F85" s="100">
        <v>1.95</v>
      </c>
      <c r="G85" s="100">
        <v>3.47</v>
      </c>
      <c r="H85" s="100">
        <v>0.82</v>
      </c>
      <c r="I85" s="100">
        <v>2.84</v>
      </c>
      <c r="J85" s="100">
        <v>0.83</v>
      </c>
      <c r="K85" s="100">
        <v>253.51</v>
      </c>
      <c r="L85" s="100">
        <v>25.02</v>
      </c>
      <c r="M85" s="100">
        <v>92.66</v>
      </c>
      <c r="N85" s="100">
        <v>2.6</v>
      </c>
      <c r="O85" s="100">
        <v>0</v>
      </c>
      <c r="P85" s="100">
        <v>0.13</v>
      </c>
      <c r="Q85" s="100">
        <v>10</v>
      </c>
      <c r="R85" s="6"/>
      <c r="S85" s="6"/>
      <c r="T85" s="156"/>
      <c r="U85" s="6"/>
    </row>
    <row r="86" spans="1:21">
      <c r="A86" s="163" t="s">
        <v>3005</v>
      </c>
      <c r="B86" s="100">
        <v>4.58</v>
      </c>
      <c r="C86" s="100">
        <v>13.38</v>
      </c>
      <c r="D86" s="100">
        <v>10.67</v>
      </c>
      <c r="E86" s="100">
        <v>4.96</v>
      </c>
      <c r="F86" s="100">
        <v>1.81</v>
      </c>
      <c r="G86" s="100">
        <v>3.47</v>
      </c>
      <c r="H86" s="100">
        <v>0.82</v>
      </c>
      <c r="I86" s="100">
        <v>2.82</v>
      </c>
      <c r="J86" s="100">
        <v>0.75</v>
      </c>
      <c r="K86" s="100">
        <v>252.92</v>
      </c>
      <c r="L86" s="100">
        <v>25.05</v>
      </c>
      <c r="M86" s="100">
        <v>92.28</v>
      </c>
      <c r="N86" s="100">
        <v>2.7</v>
      </c>
      <c r="O86" s="100">
        <v>0</v>
      </c>
      <c r="P86" s="100">
        <v>0.13</v>
      </c>
      <c r="Q86" s="100">
        <v>10</v>
      </c>
      <c r="R86" s="6"/>
      <c r="S86" s="6"/>
      <c r="T86" s="156"/>
      <c r="U86" s="6"/>
    </row>
    <row r="87" spans="1:21">
      <c r="A87" s="163" t="s">
        <v>3006</v>
      </c>
      <c r="B87" s="100">
        <v>4.47</v>
      </c>
      <c r="C87" s="100">
        <v>13.28</v>
      </c>
      <c r="D87" s="100">
        <v>10.52</v>
      </c>
      <c r="E87" s="100">
        <v>5.17</v>
      </c>
      <c r="F87" s="100">
        <v>1.58</v>
      </c>
      <c r="G87" s="100">
        <v>3.47</v>
      </c>
      <c r="H87" s="100">
        <v>0.82</v>
      </c>
      <c r="I87" s="100">
        <v>2.79</v>
      </c>
      <c r="J87" s="100">
        <v>0.78</v>
      </c>
      <c r="K87" s="100">
        <v>254.87</v>
      </c>
      <c r="L87" s="100">
        <v>25.02</v>
      </c>
      <c r="M87" s="100">
        <v>92.3</v>
      </c>
      <c r="N87" s="100">
        <v>2.7</v>
      </c>
      <c r="O87" s="100">
        <v>0</v>
      </c>
      <c r="P87" s="100">
        <v>0.13</v>
      </c>
      <c r="Q87" s="100">
        <v>10</v>
      </c>
      <c r="R87" s="6"/>
      <c r="S87" s="6"/>
      <c r="T87" s="156"/>
      <c r="U87" s="6"/>
    </row>
    <row r="88" spans="1:21">
      <c r="A88" s="163" t="s">
        <v>3007</v>
      </c>
      <c r="B88" s="100">
        <v>4.42</v>
      </c>
      <c r="C88" s="100">
        <v>13.15</v>
      </c>
      <c r="D88" s="100">
        <v>10.42</v>
      </c>
      <c r="E88" s="100">
        <v>5.29</v>
      </c>
      <c r="F88" s="100">
        <v>1.86</v>
      </c>
      <c r="G88" s="100">
        <v>3.15</v>
      </c>
      <c r="H88" s="100">
        <v>0.82</v>
      </c>
      <c r="I88" s="100">
        <v>2.76</v>
      </c>
      <c r="J88" s="100">
        <v>0.74</v>
      </c>
      <c r="K88" s="100">
        <v>252.15</v>
      </c>
      <c r="L88" s="100">
        <v>25.08</v>
      </c>
      <c r="M88" s="100">
        <v>91.63</v>
      </c>
      <c r="N88" s="100">
        <v>2.5</v>
      </c>
      <c r="O88" s="100">
        <v>0</v>
      </c>
      <c r="P88" s="100">
        <v>0.13</v>
      </c>
      <c r="Q88" s="100">
        <v>10</v>
      </c>
      <c r="R88" s="6"/>
      <c r="S88" s="6"/>
      <c r="T88" s="156"/>
      <c r="U88" s="6"/>
    </row>
    <row r="89" spans="1:21">
      <c r="A89" s="163" t="s">
        <v>3008</v>
      </c>
      <c r="B89" s="100">
        <v>4.38</v>
      </c>
      <c r="C89" s="100">
        <v>13.18</v>
      </c>
      <c r="D89" s="100">
        <v>10.39</v>
      </c>
      <c r="E89" s="100">
        <v>5.1100000000000003</v>
      </c>
      <c r="F89" s="100">
        <v>1.73</v>
      </c>
      <c r="G89" s="100">
        <v>2.67</v>
      </c>
      <c r="H89" s="100">
        <v>0.83</v>
      </c>
      <c r="I89" s="100">
        <v>2.76</v>
      </c>
      <c r="J89" s="100">
        <v>0.74</v>
      </c>
      <c r="K89" s="100">
        <v>252.91</v>
      </c>
      <c r="L89" s="100">
        <v>25.06</v>
      </c>
      <c r="M89" s="100">
        <v>91.53</v>
      </c>
      <c r="N89" s="100">
        <v>2.4</v>
      </c>
      <c r="O89" s="100">
        <v>0</v>
      </c>
      <c r="P89" s="100">
        <v>0.13</v>
      </c>
      <c r="Q89" s="100">
        <v>10</v>
      </c>
      <c r="R89" s="6"/>
      <c r="S89" s="6"/>
      <c r="T89" s="156"/>
      <c r="U89" s="6"/>
    </row>
    <row r="90" spans="1:21">
      <c r="A90" s="163" t="s">
        <v>3009</v>
      </c>
      <c r="B90" s="100">
        <v>4.3099999999999996</v>
      </c>
      <c r="C90" s="100">
        <v>13.03</v>
      </c>
      <c r="D90" s="100">
        <v>10.27</v>
      </c>
      <c r="E90" s="100">
        <v>5.01</v>
      </c>
      <c r="F90" s="100">
        <v>2</v>
      </c>
      <c r="G90" s="100">
        <v>2.67</v>
      </c>
      <c r="H90" s="100">
        <v>0.83</v>
      </c>
      <c r="I90" s="100">
        <v>2.76</v>
      </c>
      <c r="J90" s="100">
        <v>0.78</v>
      </c>
      <c r="K90" s="100">
        <v>253.47</v>
      </c>
      <c r="L90" s="100">
        <v>25.03</v>
      </c>
      <c r="M90" s="100">
        <v>91.34</v>
      </c>
      <c r="N90" s="100">
        <v>2.5</v>
      </c>
      <c r="O90" s="100">
        <v>0</v>
      </c>
      <c r="P90" s="100">
        <v>0.13</v>
      </c>
      <c r="Q90" s="100">
        <v>10</v>
      </c>
      <c r="R90" s="6"/>
      <c r="S90" s="6"/>
      <c r="T90" s="156"/>
      <c r="U90" s="6"/>
    </row>
    <row r="91" spans="1:21">
      <c r="A91" s="163" t="s">
        <v>3010</v>
      </c>
      <c r="B91" s="100">
        <v>4.2300000000000004</v>
      </c>
      <c r="C91" s="100">
        <v>12.91</v>
      </c>
      <c r="D91" s="100">
        <v>10.14</v>
      </c>
      <c r="E91" s="100">
        <v>5.17</v>
      </c>
      <c r="F91" s="100">
        <v>1.57</v>
      </c>
      <c r="G91" s="100">
        <v>2.67</v>
      </c>
      <c r="H91" s="100">
        <v>0.83</v>
      </c>
      <c r="I91" s="100">
        <v>2.72</v>
      </c>
      <c r="J91" s="100">
        <v>0.83</v>
      </c>
      <c r="K91" s="100">
        <v>253.89</v>
      </c>
      <c r="L91" s="100">
        <v>25.04</v>
      </c>
      <c r="M91" s="100">
        <v>91.11</v>
      </c>
      <c r="N91" s="100">
        <v>2.4</v>
      </c>
      <c r="O91" s="100">
        <v>0</v>
      </c>
      <c r="P91" s="100">
        <v>0.14000000000000001</v>
      </c>
      <c r="Q91" s="100">
        <v>10</v>
      </c>
      <c r="R91" s="6"/>
      <c r="S91" s="6"/>
      <c r="T91" s="156"/>
      <c r="U91" s="6"/>
    </row>
    <row r="92" spans="1:21">
      <c r="A92" s="163" t="s">
        <v>3011</v>
      </c>
      <c r="B92" s="100">
        <v>4.1500000000000004</v>
      </c>
      <c r="C92" s="100">
        <v>12.86</v>
      </c>
      <c r="D92" s="100">
        <v>10.050000000000001</v>
      </c>
      <c r="E92" s="100">
        <v>5.36</v>
      </c>
      <c r="F92" s="100">
        <v>2.1</v>
      </c>
      <c r="G92" s="100">
        <v>2.4500000000000002</v>
      </c>
      <c r="H92" s="100">
        <v>0.82</v>
      </c>
      <c r="I92" s="100">
        <v>2.75</v>
      </c>
      <c r="J92" s="100">
        <v>0.8</v>
      </c>
      <c r="K92" s="100">
        <v>254.44</v>
      </c>
      <c r="L92" s="100">
        <v>25</v>
      </c>
      <c r="M92" s="100">
        <v>91.11</v>
      </c>
      <c r="N92" s="100">
        <v>2.4</v>
      </c>
      <c r="O92" s="100">
        <v>0</v>
      </c>
      <c r="P92" s="100">
        <v>0.13</v>
      </c>
      <c r="Q92" s="100">
        <v>10</v>
      </c>
      <c r="R92" s="6"/>
      <c r="S92" s="6"/>
      <c r="T92" s="156"/>
      <c r="U92" s="6"/>
    </row>
    <row r="93" spans="1:21">
      <c r="A93" s="163" t="s">
        <v>3012</v>
      </c>
      <c r="B93" s="100">
        <v>4.12</v>
      </c>
      <c r="C93" s="100">
        <v>12.88</v>
      </c>
      <c r="D93" s="100">
        <v>10.029999999999999</v>
      </c>
      <c r="E93" s="100">
        <v>5.32</v>
      </c>
      <c r="F93" s="100">
        <v>1.55</v>
      </c>
      <c r="G93" s="100">
        <v>2.11</v>
      </c>
      <c r="H93" s="100">
        <v>0.82</v>
      </c>
      <c r="I93" s="100">
        <v>2.73</v>
      </c>
      <c r="J93" s="100">
        <v>0.85</v>
      </c>
      <c r="K93" s="100">
        <v>254.51</v>
      </c>
      <c r="L93" s="100">
        <v>25.05</v>
      </c>
      <c r="M93" s="100">
        <v>90.71</v>
      </c>
      <c r="N93" s="100">
        <v>2.2999999999999998</v>
      </c>
      <c r="O93" s="100">
        <v>0</v>
      </c>
      <c r="P93" s="100">
        <v>0.13</v>
      </c>
      <c r="Q93" s="100">
        <v>10</v>
      </c>
      <c r="R93" s="6"/>
      <c r="S93" s="6"/>
      <c r="T93" s="156"/>
      <c r="U93" s="6"/>
    </row>
    <row r="94" spans="1:21">
      <c r="A94" s="163" t="s">
        <v>3013</v>
      </c>
      <c r="B94" s="100">
        <v>4.07</v>
      </c>
      <c r="C94" s="100">
        <v>12.73</v>
      </c>
      <c r="D94" s="100">
        <v>9.92</v>
      </c>
      <c r="E94" s="100">
        <v>5.39</v>
      </c>
      <c r="F94" s="100">
        <v>1.82</v>
      </c>
      <c r="G94" s="100">
        <v>2.11</v>
      </c>
      <c r="H94" s="100">
        <v>0.82</v>
      </c>
      <c r="I94" s="100">
        <v>2.72</v>
      </c>
      <c r="J94" s="100">
        <v>0.88</v>
      </c>
      <c r="K94" s="100">
        <v>254.73</v>
      </c>
      <c r="L94" s="100">
        <v>25.02</v>
      </c>
      <c r="M94" s="100">
        <v>90.73</v>
      </c>
      <c r="N94" s="100">
        <v>2.4</v>
      </c>
      <c r="O94" s="100">
        <v>0</v>
      </c>
      <c r="P94" s="100">
        <v>0.13</v>
      </c>
      <c r="Q94" s="100">
        <v>10</v>
      </c>
      <c r="R94" s="6"/>
      <c r="S94" s="6"/>
      <c r="T94" s="156"/>
      <c r="U94" s="6"/>
    </row>
    <row r="95" spans="1:21">
      <c r="A95" s="163" t="s">
        <v>3014</v>
      </c>
      <c r="B95" s="100">
        <v>4.0199999999999996</v>
      </c>
      <c r="C95" s="100">
        <v>12.67</v>
      </c>
      <c r="D95" s="100">
        <v>9.84</v>
      </c>
      <c r="E95" s="100">
        <v>5.14</v>
      </c>
      <c r="F95" s="100">
        <v>2.19</v>
      </c>
      <c r="G95" s="100">
        <v>2.11</v>
      </c>
      <c r="H95" s="100">
        <v>0.82</v>
      </c>
      <c r="I95" s="100">
        <v>2.73</v>
      </c>
      <c r="J95" s="100">
        <v>0.87</v>
      </c>
      <c r="K95" s="100">
        <v>253.64</v>
      </c>
      <c r="L95" s="100">
        <v>24.98</v>
      </c>
      <c r="M95" s="100">
        <v>91.2</v>
      </c>
      <c r="N95" s="100">
        <v>2.5</v>
      </c>
      <c r="O95" s="100">
        <v>0</v>
      </c>
      <c r="P95" s="100">
        <v>0.13</v>
      </c>
      <c r="Q95" s="100">
        <v>10</v>
      </c>
      <c r="R95" s="6"/>
      <c r="S95" s="6"/>
      <c r="T95" s="156"/>
      <c r="U95" s="6"/>
    </row>
    <row r="96" spans="1:21">
      <c r="A96" s="163" t="s">
        <v>3015</v>
      </c>
      <c r="B96" s="100">
        <v>3.96</v>
      </c>
      <c r="C96" s="100">
        <v>12.61</v>
      </c>
      <c r="D96" s="100">
        <v>9.76</v>
      </c>
      <c r="E96" s="100">
        <v>5.29</v>
      </c>
      <c r="F96" s="100">
        <v>2.75</v>
      </c>
      <c r="G96" s="100">
        <v>1.95</v>
      </c>
      <c r="H96" s="100">
        <v>0.81</v>
      </c>
      <c r="I96" s="100">
        <v>2.73</v>
      </c>
      <c r="J96" s="100">
        <v>1.03</v>
      </c>
      <c r="K96" s="100">
        <v>253.78</v>
      </c>
      <c r="L96" s="100">
        <v>24.88</v>
      </c>
      <c r="M96" s="100">
        <v>91.64</v>
      </c>
      <c r="N96" s="100">
        <v>2.6</v>
      </c>
      <c r="O96" s="100">
        <v>0</v>
      </c>
      <c r="P96" s="100">
        <v>0.13</v>
      </c>
      <c r="Q96" s="100">
        <v>10</v>
      </c>
      <c r="R96" s="6"/>
      <c r="S96" s="6"/>
      <c r="T96" s="156"/>
      <c r="U96" s="6"/>
    </row>
    <row r="97" spans="1:21">
      <c r="A97" s="163" t="s">
        <v>3016</v>
      </c>
      <c r="B97" s="100">
        <v>3.9</v>
      </c>
      <c r="C97" s="100">
        <v>12.5</v>
      </c>
      <c r="D97" s="100">
        <v>9.66</v>
      </c>
      <c r="E97" s="100">
        <v>5.17</v>
      </c>
      <c r="F97" s="100">
        <v>1.84</v>
      </c>
      <c r="G97" s="100">
        <v>1.71</v>
      </c>
      <c r="H97" s="100">
        <v>0.79</v>
      </c>
      <c r="I97" s="100">
        <v>2.76</v>
      </c>
      <c r="J97" s="100">
        <v>0.92</v>
      </c>
      <c r="K97" s="100">
        <v>252.76</v>
      </c>
      <c r="L97" s="100">
        <v>24.83</v>
      </c>
      <c r="M97" s="100">
        <v>91.97</v>
      </c>
      <c r="N97" s="100">
        <v>2.5</v>
      </c>
      <c r="O97" s="100">
        <v>0</v>
      </c>
      <c r="P97" s="100">
        <v>0.13</v>
      </c>
      <c r="Q97" s="100">
        <v>10</v>
      </c>
      <c r="R97" s="6"/>
      <c r="S97" s="6"/>
      <c r="T97" s="156"/>
      <c r="U97" s="6"/>
    </row>
    <row r="98" spans="1:21">
      <c r="A98" s="163" t="s">
        <v>3017</v>
      </c>
      <c r="B98" s="100">
        <v>3.86</v>
      </c>
      <c r="C98" s="100">
        <v>12.45</v>
      </c>
      <c r="D98" s="100">
        <v>9.6</v>
      </c>
      <c r="E98" s="100">
        <v>5.37</v>
      </c>
      <c r="F98" s="100">
        <v>1.81</v>
      </c>
      <c r="G98" s="100">
        <v>1.71</v>
      </c>
      <c r="H98" s="100">
        <v>0.79</v>
      </c>
      <c r="I98" s="100">
        <v>2.65</v>
      </c>
      <c r="J98" s="100">
        <v>0.92</v>
      </c>
      <c r="K98" s="100">
        <v>252.46</v>
      </c>
      <c r="L98" s="100">
        <v>24.79</v>
      </c>
      <c r="M98" s="100">
        <v>91.91</v>
      </c>
      <c r="N98" s="100">
        <v>2.4</v>
      </c>
      <c r="O98" s="100">
        <v>0</v>
      </c>
      <c r="P98" s="100">
        <v>0.13</v>
      </c>
      <c r="Q98" s="100">
        <v>10</v>
      </c>
      <c r="R98" s="6"/>
      <c r="S98" s="6"/>
      <c r="T98" s="156"/>
      <c r="U98" s="6"/>
    </row>
    <row r="99" spans="1:21">
      <c r="A99" s="163" t="s">
        <v>3018</v>
      </c>
      <c r="B99" s="100">
        <v>3.82</v>
      </c>
      <c r="C99" s="100">
        <v>12.38</v>
      </c>
      <c r="D99" s="100">
        <v>9.5299999999999994</v>
      </c>
      <c r="E99" s="100">
        <v>5.23</v>
      </c>
      <c r="F99" s="100">
        <v>0.73</v>
      </c>
      <c r="G99" s="100">
        <v>1.71</v>
      </c>
      <c r="H99" s="100">
        <v>0.79</v>
      </c>
      <c r="I99" s="100">
        <v>2.65</v>
      </c>
      <c r="J99" s="100">
        <v>0.85</v>
      </c>
      <c r="K99" s="100">
        <v>254.43</v>
      </c>
      <c r="L99" s="100">
        <v>24.78</v>
      </c>
      <c r="M99" s="100">
        <v>91.51</v>
      </c>
      <c r="N99" s="100">
        <v>2.2999999999999998</v>
      </c>
      <c r="O99" s="100">
        <v>0</v>
      </c>
      <c r="P99" s="100">
        <v>0.12</v>
      </c>
      <c r="Q99" s="100">
        <v>10</v>
      </c>
      <c r="R99" s="6"/>
      <c r="S99" s="6"/>
      <c r="T99" s="156"/>
      <c r="U99" s="6"/>
    </row>
    <row r="100" spans="1:21">
      <c r="A100" s="163" t="s">
        <v>3019</v>
      </c>
      <c r="B100" s="100">
        <v>3.76</v>
      </c>
      <c r="C100" s="100">
        <v>12.08</v>
      </c>
      <c r="D100" s="100">
        <v>9.33</v>
      </c>
      <c r="E100" s="100">
        <v>5.1100000000000003</v>
      </c>
      <c r="F100" s="100">
        <v>1.96</v>
      </c>
      <c r="G100" s="100">
        <v>1.59</v>
      </c>
      <c r="H100" s="100">
        <v>0.78</v>
      </c>
      <c r="I100" s="100">
        <v>2.5299999999999998</v>
      </c>
      <c r="J100" s="100">
        <v>0.79</v>
      </c>
      <c r="K100" s="100">
        <v>255.89</v>
      </c>
      <c r="L100" s="100">
        <v>24.74</v>
      </c>
      <c r="M100" s="100">
        <v>91.56</v>
      </c>
      <c r="N100" s="100">
        <v>2.4</v>
      </c>
      <c r="O100" s="100">
        <v>0</v>
      </c>
      <c r="P100" s="100">
        <v>0.1</v>
      </c>
      <c r="Q100" s="100">
        <v>10</v>
      </c>
      <c r="R100" s="6"/>
      <c r="S100" s="6"/>
      <c r="T100" s="156"/>
      <c r="U100" s="6"/>
    </row>
    <row r="101" spans="1:21">
      <c r="A101" s="163" t="s">
        <v>3020</v>
      </c>
      <c r="B101" s="100">
        <v>3.78</v>
      </c>
      <c r="C101" s="100">
        <v>11.88</v>
      </c>
      <c r="D101" s="100">
        <v>9.24</v>
      </c>
      <c r="E101" s="100">
        <v>4.8899999999999997</v>
      </c>
      <c r="F101" s="100">
        <v>2.65</v>
      </c>
      <c r="G101" s="100">
        <v>1.42</v>
      </c>
      <c r="H101" s="100">
        <v>0.77</v>
      </c>
      <c r="I101" s="100">
        <v>2.52</v>
      </c>
      <c r="J101" s="100">
        <v>0.85</v>
      </c>
      <c r="K101" s="100">
        <v>252.92</v>
      </c>
      <c r="L101" s="100">
        <v>24.77</v>
      </c>
      <c r="M101" s="100">
        <v>90.78</v>
      </c>
      <c r="N101" s="100">
        <v>2.4</v>
      </c>
      <c r="O101" s="100">
        <v>0</v>
      </c>
      <c r="P101" s="100">
        <v>7.0000000000000007E-2</v>
      </c>
      <c r="Q101" s="100">
        <v>10</v>
      </c>
      <c r="R101" s="6"/>
      <c r="S101" s="6"/>
      <c r="T101" s="156"/>
      <c r="U101" s="6"/>
    </row>
    <row r="102" spans="1:21">
      <c r="A102" s="163" t="s">
        <v>3021</v>
      </c>
      <c r="B102" s="100">
        <v>3.93</v>
      </c>
      <c r="C102" s="100">
        <v>12.17</v>
      </c>
      <c r="D102" s="100">
        <v>9.51</v>
      </c>
      <c r="E102" s="100">
        <v>4.45</v>
      </c>
      <c r="F102" s="100">
        <v>3.19</v>
      </c>
      <c r="G102" s="100">
        <v>1.42</v>
      </c>
      <c r="H102" s="100">
        <v>0.77</v>
      </c>
      <c r="I102" s="100">
        <v>2.5299999999999998</v>
      </c>
      <c r="J102" s="100">
        <v>0.81</v>
      </c>
      <c r="K102" s="100">
        <v>252.35</v>
      </c>
      <c r="L102" s="100">
        <v>24.7</v>
      </c>
      <c r="M102" s="100">
        <v>91.05</v>
      </c>
      <c r="N102" s="100">
        <v>2.4</v>
      </c>
      <c r="O102" s="100">
        <v>0</v>
      </c>
      <c r="P102" s="100">
        <v>7.0000000000000007E-2</v>
      </c>
      <c r="Q102" s="100">
        <v>10</v>
      </c>
      <c r="R102" s="6"/>
      <c r="S102" s="6"/>
      <c r="T102" s="156"/>
      <c r="U102" s="6"/>
    </row>
    <row r="103" spans="1:21">
      <c r="A103" s="163" t="s">
        <v>3022</v>
      </c>
      <c r="B103" s="100">
        <v>4.12</v>
      </c>
      <c r="C103" s="100">
        <v>12.42</v>
      </c>
      <c r="D103" s="100">
        <v>9.7899999999999991</v>
      </c>
      <c r="E103" s="100">
        <v>4.5599999999999996</v>
      </c>
      <c r="F103" s="100">
        <v>1.58</v>
      </c>
      <c r="G103" s="100">
        <v>1.42</v>
      </c>
      <c r="H103" s="100">
        <v>0.77</v>
      </c>
      <c r="I103" s="100">
        <v>2.5299999999999998</v>
      </c>
      <c r="J103" s="100">
        <v>0.73</v>
      </c>
      <c r="K103" s="100">
        <v>252.19</v>
      </c>
      <c r="L103" s="100">
        <v>24.67</v>
      </c>
      <c r="M103" s="100">
        <v>91.2</v>
      </c>
      <c r="N103" s="100">
        <v>2.4</v>
      </c>
      <c r="O103" s="100">
        <v>0</v>
      </c>
      <c r="P103" s="100">
        <v>0.08</v>
      </c>
      <c r="Q103" s="100">
        <v>10</v>
      </c>
      <c r="R103" s="6"/>
      <c r="S103" s="6"/>
      <c r="T103" s="156"/>
      <c r="U103" s="6"/>
    </row>
    <row r="104" spans="1:21">
      <c r="A104" s="163" t="s">
        <v>3023</v>
      </c>
      <c r="B104" s="100">
        <v>4.1100000000000003</v>
      </c>
      <c r="C104" s="100">
        <v>12.07</v>
      </c>
      <c r="D104" s="100">
        <v>9.61</v>
      </c>
      <c r="E104" s="100">
        <v>4.6900000000000004</v>
      </c>
      <c r="F104" s="100">
        <v>2.2999999999999998</v>
      </c>
      <c r="G104" s="100">
        <v>1.34</v>
      </c>
      <c r="H104" s="100">
        <v>0.85</v>
      </c>
      <c r="I104" s="100">
        <v>2.5299999999999998</v>
      </c>
      <c r="J104" s="100">
        <v>0.84</v>
      </c>
      <c r="K104" s="100">
        <v>253.98</v>
      </c>
      <c r="L104" s="100">
        <v>24.67</v>
      </c>
      <c r="M104" s="100">
        <v>90.8</v>
      </c>
      <c r="N104" s="100">
        <v>2.4</v>
      </c>
      <c r="O104" s="100">
        <v>0</v>
      </c>
      <c r="P104" s="100">
        <v>7.0000000000000007E-2</v>
      </c>
      <c r="Q104" s="100">
        <v>10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3.63</v>
      </c>
      <c r="C106" s="158">
        <f>MIN(C9:C104)</f>
        <v>11.88</v>
      </c>
      <c r="D106" s="158">
        <f t="shared" ref="D106:Q106" si="0">MIN(D9:D104)</f>
        <v>9.24</v>
      </c>
      <c r="E106" s="158">
        <f t="shared" si="0"/>
        <v>3.07</v>
      </c>
      <c r="F106" s="158">
        <f t="shared" si="0"/>
        <v>0.73</v>
      </c>
      <c r="G106" s="158">
        <f t="shared" si="0"/>
        <v>1.34</v>
      </c>
      <c r="H106" s="158">
        <f t="shared" si="0"/>
        <v>0.71</v>
      </c>
      <c r="I106" s="158">
        <f t="shared" si="0"/>
        <v>2.3199999999999998</v>
      </c>
      <c r="J106" s="158">
        <f t="shared" si="0"/>
        <v>0.47</v>
      </c>
      <c r="K106" s="158">
        <f t="shared" si="0"/>
        <v>248.56</v>
      </c>
      <c r="L106" s="158">
        <f t="shared" si="0"/>
        <v>23.69</v>
      </c>
      <c r="M106" s="158">
        <f t="shared" si="0"/>
        <v>89.37</v>
      </c>
      <c r="N106" s="158">
        <f t="shared" si="0"/>
        <v>2</v>
      </c>
      <c r="O106" s="158">
        <f t="shared" si="0"/>
        <v>0</v>
      </c>
      <c r="P106" s="158">
        <f t="shared" si="0"/>
        <v>0.05</v>
      </c>
      <c r="Q106" s="158">
        <f t="shared" si="0"/>
        <v>10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5.93</v>
      </c>
      <c r="C107" s="157">
        <f t="shared" ref="C107:Q107" si="1">MAX(C9:C104)</f>
        <v>13.48</v>
      </c>
      <c r="D107" s="157">
        <f t="shared" si="1"/>
        <v>11.6</v>
      </c>
      <c r="E107" s="157">
        <f t="shared" si="1"/>
        <v>5.51</v>
      </c>
      <c r="F107" s="157">
        <f t="shared" si="1"/>
        <v>3.19</v>
      </c>
      <c r="G107" s="157">
        <f t="shared" si="1"/>
        <v>7.79</v>
      </c>
      <c r="H107" s="157">
        <f t="shared" si="1"/>
        <v>1.71</v>
      </c>
      <c r="I107" s="157">
        <f t="shared" si="1"/>
        <v>2.92</v>
      </c>
      <c r="J107" s="157">
        <f t="shared" si="1"/>
        <v>1.1499999999999999</v>
      </c>
      <c r="K107" s="157">
        <f t="shared" si="1"/>
        <v>259.97000000000003</v>
      </c>
      <c r="L107" s="157">
        <f t="shared" si="1"/>
        <v>25.63</v>
      </c>
      <c r="M107" s="157">
        <f t="shared" si="1"/>
        <v>98.88</v>
      </c>
      <c r="N107" s="157">
        <f t="shared" si="1"/>
        <v>139.5</v>
      </c>
      <c r="O107" s="157">
        <f t="shared" si="1"/>
        <v>8.6</v>
      </c>
      <c r="P107" s="157">
        <f t="shared" si="1"/>
        <v>0.14000000000000001</v>
      </c>
      <c r="Q107" s="157">
        <f t="shared" si="1"/>
        <v>10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4.5821874999999981</v>
      </c>
      <c r="C108" s="158">
        <f t="shared" ref="C108:Q108" si="2">AVERAGE(C9:C104)</f>
        <v>12.576875000000001</v>
      </c>
      <c r="D108" s="158">
        <f t="shared" si="2"/>
        <v>10.246041666666668</v>
      </c>
      <c r="E108" s="158">
        <f t="shared" si="2"/>
        <v>4.6604166666666673</v>
      </c>
      <c r="F108" s="158">
        <f t="shared" si="2"/>
        <v>2.0129166666666674</v>
      </c>
      <c r="G108" s="158">
        <f t="shared" si="2"/>
        <v>3.4304166666666642</v>
      </c>
      <c r="H108" s="158">
        <f t="shared" si="2"/>
        <v>0.91822916666666554</v>
      </c>
      <c r="I108" s="158">
        <f t="shared" si="2"/>
        <v>2.605624999999999</v>
      </c>
      <c r="J108" s="158">
        <f t="shared" si="2"/>
        <v>0.78947916666666662</v>
      </c>
      <c r="K108" s="158">
        <f t="shared" si="2"/>
        <v>253.67937499999979</v>
      </c>
      <c r="L108" s="158">
        <f t="shared" si="2"/>
        <v>24.638645833333339</v>
      </c>
      <c r="M108" s="158">
        <f t="shared" si="2"/>
        <v>95.019062499999961</v>
      </c>
      <c r="N108" s="158">
        <f t="shared" si="2"/>
        <v>32.719791666666673</v>
      </c>
      <c r="O108" s="158">
        <f t="shared" si="2"/>
        <v>0.30624999999999991</v>
      </c>
      <c r="P108" s="158">
        <f t="shared" si="2"/>
        <v>0.10395833333333339</v>
      </c>
      <c r="Q108" s="158">
        <f t="shared" si="2"/>
        <v>10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0.65193510029758173</v>
      </c>
      <c r="C109" s="158">
        <f t="shared" ref="C109:Q109" si="3">STDEV(C9:C104)</f>
        <v>0.36643750813531772</v>
      </c>
      <c r="D109" s="158">
        <f t="shared" si="3"/>
        <v>0.60180864097392039</v>
      </c>
      <c r="E109" s="158">
        <f t="shared" si="3"/>
        <v>0.60367631038437652</v>
      </c>
      <c r="F109" s="158">
        <f t="shared" si="3"/>
        <v>0.42229178405125462</v>
      </c>
      <c r="G109" s="158">
        <f t="shared" si="3"/>
        <v>1.3682242942216225</v>
      </c>
      <c r="H109" s="158">
        <f t="shared" si="3"/>
        <v>0.2323517967568621</v>
      </c>
      <c r="I109" s="158">
        <f t="shared" si="3"/>
        <v>0.1430996156528731</v>
      </c>
      <c r="J109" s="158">
        <f t="shared" si="3"/>
        <v>0.14755815832314761</v>
      </c>
      <c r="K109" s="158">
        <f t="shared" si="3"/>
        <v>1.7533371564563769</v>
      </c>
      <c r="L109" s="158">
        <f t="shared" si="3"/>
        <v>0.53775286789549048</v>
      </c>
      <c r="M109" s="158">
        <f t="shared" si="3"/>
        <v>3.3119083632520607</v>
      </c>
      <c r="N109" s="158">
        <f t="shared" si="3"/>
        <v>41.535016602460473</v>
      </c>
      <c r="O109" s="158">
        <f t="shared" si="3"/>
        <v>1.1076587447119453</v>
      </c>
      <c r="P109" s="158">
        <f t="shared" si="3"/>
        <v>2.5109409713100213E-2</v>
      </c>
      <c r="Q109" s="158">
        <f t="shared" si="3"/>
        <v>0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5" t="s">
        <v>56</v>
      </c>
      <c r="C115" s="165"/>
      <c r="D115" s="16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104" activePane="bottomLeft" state="frozen"/>
      <selection pane="bottomLeft" activeCell="G115" sqref="G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3024</v>
      </c>
      <c r="B9" s="100">
        <v>4.3600000000000003</v>
      </c>
      <c r="C9" s="100">
        <v>12.55</v>
      </c>
      <c r="D9" s="100">
        <v>10.050000000000001</v>
      </c>
      <c r="E9" s="100">
        <v>4.5199999999999996</v>
      </c>
      <c r="F9" s="100">
        <v>2.15</v>
      </c>
      <c r="G9" s="100">
        <v>1.21</v>
      </c>
      <c r="H9" s="100">
        <v>0.92</v>
      </c>
      <c r="I9" s="100">
        <v>2.59</v>
      </c>
      <c r="J9" s="100">
        <v>0.78</v>
      </c>
      <c r="K9" s="100">
        <v>252.78</v>
      </c>
      <c r="L9" s="100">
        <v>24.58</v>
      </c>
      <c r="M9" s="100">
        <v>91.38</v>
      </c>
      <c r="N9" s="100">
        <v>2.4</v>
      </c>
      <c r="O9" s="100">
        <v>0</v>
      </c>
      <c r="P9" s="100">
        <v>0.09</v>
      </c>
      <c r="Q9" s="100">
        <v>10</v>
      </c>
      <c r="R9" s="6"/>
      <c r="S9" s="6"/>
      <c r="T9" s="156"/>
      <c r="U9" s="6"/>
    </row>
    <row r="10" spans="1:21" customFormat="1">
      <c r="A10" s="163" t="s">
        <v>3025</v>
      </c>
      <c r="B10" s="100">
        <v>4.37</v>
      </c>
      <c r="C10" s="100">
        <v>12.16</v>
      </c>
      <c r="D10" s="100">
        <v>9.85</v>
      </c>
      <c r="E10" s="100">
        <v>4.9000000000000004</v>
      </c>
      <c r="F10" s="100">
        <v>1.48</v>
      </c>
      <c r="G10" s="100">
        <v>1.21</v>
      </c>
      <c r="H10" s="100">
        <v>0.92</v>
      </c>
      <c r="I10" s="100">
        <v>2.56</v>
      </c>
      <c r="J10" s="100">
        <v>0.87</v>
      </c>
      <c r="K10" s="100">
        <v>253.85</v>
      </c>
      <c r="L10" s="100">
        <v>24.56</v>
      </c>
      <c r="M10" s="100">
        <v>91.2</v>
      </c>
      <c r="N10" s="100">
        <v>2.2999999999999998</v>
      </c>
      <c r="O10" s="100">
        <v>0</v>
      </c>
      <c r="P10" s="100">
        <v>7.0000000000000007E-2</v>
      </c>
      <c r="Q10" s="100">
        <v>10</v>
      </c>
      <c r="R10" s="6"/>
      <c r="S10" s="6"/>
      <c r="T10" s="156"/>
      <c r="U10" s="6"/>
    </row>
    <row r="11" spans="1:21" customFormat="1">
      <c r="A11" s="163" t="s">
        <v>3026</v>
      </c>
      <c r="B11" s="100">
        <v>4.34</v>
      </c>
      <c r="C11" s="100">
        <v>11.93</v>
      </c>
      <c r="D11" s="100">
        <v>9.7100000000000009</v>
      </c>
      <c r="E11" s="100">
        <v>4.18</v>
      </c>
      <c r="F11" s="100">
        <v>2.5299999999999998</v>
      </c>
      <c r="G11" s="100">
        <v>1.21</v>
      </c>
      <c r="H11" s="100">
        <v>0.92</v>
      </c>
      <c r="I11" s="100">
        <v>2.62</v>
      </c>
      <c r="J11" s="100">
        <v>0.83</v>
      </c>
      <c r="K11" s="100">
        <v>254.78</v>
      </c>
      <c r="L11" s="100">
        <v>24.55</v>
      </c>
      <c r="M11" s="100">
        <v>90.78</v>
      </c>
      <c r="N11" s="100">
        <v>2.4</v>
      </c>
      <c r="O11" s="100">
        <v>0</v>
      </c>
      <c r="P11" s="100">
        <v>7.0000000000000007E-2</v>
      </c>
      <c r="Q11" s="100">
        <v>10</v>
      </c>
      <c r="R11" s="6"/>
      <c r="S11" s="6"/>
      <c r="T11" s="156"/>
      <c r="U11" s="6"/>
    </row>
    <row r="12" spans="1:21" customFormat="1">
      <c r="A12" s="163" t="s">
        <v>3027</v>
      </c>
      <c r="B12" s="100">
        <v>4.5</v>
      </c>
      <c r="C12" s="100">
        <v>12.48</v>
      </c>
      <c r="D12" s="100">
        <v>10.130000000000001</v>
      </c>
      <c r="E12" s="100">
        <v>4.5999999999999996</v>
      </c>
      <c r="F12" s="100">
        <v>2.0699999999999998</v>
      </c>
      <c r="G12" s="100">
        <v>1.49</v>
      </c>
      <c r="H12" s="100">
        <v>0.91</v>
      </c>
      <c r="I12" s="100">
        <v>2.6</v>
      </c>
      <c r="J12" s="100">
        <v>0.71</v>
      </c>
      <c r="K12" s="100">
        <v>256.11</v>
      </c>
      <c r="L12" s="100">
        <v>24.49</v>
      </c>
      <c r="M12" s="100">
        <v>90.89</v>
      </c>
      <c r="N12" s="100">
        <v>2.2999999999999998</v>
      </c>
      <c r="O12" s="100">
        <v>0</v>
      </c>
      <c r="P12" s="100">
        <v>0.09</v>
      </c>
      <c r="Q12" s="100">
        <v>10</v>
      </c>
      <c r="R12" s="6"/>
      <c r="S12" s="6"/>
      <c r="T12" s="156"/>
      <c r="U12" s="6"/>
    </row>
    <row r="13" spans="1:21" customFormat="1">
      <c r="A13" s="163" t="s">
        <v>3028</v>
      </c>
      <c r="B13" s="100">
        <v>4.58</v>
      </c>
      <c r="C13" s="100">
        <v>12.14</v>
      </c>
      <c r="D13" s="100">
        <v>10.02</v>
      </c>
      <c r="E13" s="100">
        <v>4.83</v>
      </c>
      <c r="F13" s="100">
        <v>1.19</v>
      </c>
      <c r="G13" s="100">
        <v>1.92</v>
      </c>
      <c r="H13" s="100">
        <v>0.9</v>
      </c>
      <c r="I13" s="100">
        <v>2.6</v>
      </c>
      <c r="J13" s="100">
        <v>0.85</v>
      </c>
      <c r="K13" s="100">
        <v>252.16</v>
      </c>
      <c r="L13" s="100">
        <v>24.51</v>
      </c>
      <c r="M13" s="100">
        <v>90.59</v>
      </c>
      <c r="N13" s="100">
        <v>2.4</v>
      </c>
      <c r="O13" s="100">
        <v>0</v>
      </c>
      <c r="P13" s="100">
        <v>7.0000000000000007E-2</v>
      </c>
      <c r="Q13" s="100">
        <v>10</v>
      </c>
      <c r="R13" s="6"/>
      <c r="S13" s="6"/>
      <c r="T13" s="156"/>
      <c r="U13" s="6"/>
    </row>
    <row r="14" spans="1:21" customFormat="1">
      <c r="A14" s="163" t="s">
        <v>3029</v>
      </c>
      <c r="B14" s="100">
        <v>4.6100000000000003</v>
      </c>
      <c r="C14" s="100">
        <v>12.1</v>
      </c>
      <c r="D14" s="100">
        <v>10.02</v>
      </c>
      <c r="E14" s="100">
        <v>4.4400000000000004</v>
      </c>
      <c r="F14" s="100">
        <v>2.36</v>
      </c>
      <c r="G14" s="100">
        <v>1.92</v>
      </c>
      <c r="H14" s="100">
        <v>0.9</v>
      </c>
      <c r="I14" s="100">
        <v>2.6</v>
      </c>
      <c r="J14" s="100">
        <v>0.65</v>
      </c>
      <c r="K14" s="100">
        <v>253.32</v>
      </c>
      <c r="L14" s="100">
        <v>24.45</v>
      </c>
      <c r="M14" s="100">
        <v>91.25</v>
      </c>
      <c r="N14" s="100">
        <v>2.4</v>
      </c>
      <c r="O14" s="100">
        <v>0</v>
      </c>
      <c r="P14" s="100">
        <v>7.0000000000000007E-2</v>
      </c>
      <c r="Q14" s="100">
        <v>10</v>
      </c>
      <c r="R14" s="6"/>
      <c r="S14" s="6"/>
      <c r="T14" s="156"/>
      <c r="U14" s="6"/>
    </row>
    <row r="15" spans="1:21" customFormat="1">
      <c r="A15" s="163" t="s">
        <v>3030</v>
      </c>
      <c r="B15" s="100">
        <v>4.7699999999999996</v>
      </c>
      <c r="C15" s="100">
        <v>12.37</v>
      </c>
      <c r="D15" s="100">
        <v>10.29</v>
      </c>
      <c r="E15" s="100">
        <v>4.54</v>
      </c>
      <c r="F15" s="100">
        <v>1.32</v>
      </c>
      <c r="G15" s="100">
        <v>1.92</v>
      </c>
      <c r="H15" s="100">
        <v>0.9</v>
      </c>
      <c r="I15" s="100">
        <v>2.57</v>
      </c>
      <c r="J15" s="100">
        <v>0.59</v>
      </c>
      <c r="K15" s="100">
        <v>252.59</v>
      </c>
      <c r="L15" s="100">
        <v>24.42</v>
      </c>
      <c r="M15" s="100">
        <v>91.4</v>
      </c>
      <c r="N15" s="100">
        <v>2.4</v>
      </c>
      <c r="O15" s="100">
        <v>0</v>
      </c>
      <c r="P15" s="100">
        <v>0.09</v>
      </c>
      <c r="Q15" s="100">
        <v>10</v>
      </c>
      <c r="R15" s="6"/>
      <c r="S15" s="6"/>
      <c r="T15" s="156"/>
      <c r="U15" s="6"/>
    </row>
    <row r="16" spans="1:21" customFormat="1">
      <c r="A16" s="163" t="s">
        <v>3031</v>
      </c>
      <c r="B16" s="100">
        <v>4.76</v>
      </c>
      <c r="C16" s="100">
        <v>11.92</v>
      </c>
      <c r="D16" s="100">
        <v>10.050000000000001</v>
      </c>
      <c r="E16" s="100">
        <v>4.5999999999999996</v>
      </c>
      <c r="F16" s="100">
        <v>2.0299999999999998</v>
      </c>
      <c r="G16" s="100">
        <v>1.89</v>
      </c>
      <c r="H16" s="100">
        <v>1</v>
      </c>
      <c r="I16" s="100">
        <v>2.62</v>
      </c>
      <c r="J16" s="100">
        <v>0.65</v>
      </c>
      <c r="K16" s="100">
        <v>255.25</v>
      </c>
      <c r="L16" s="100">
        <v>24.39</v>
      </c>
      <c r="M16" s="100">
        <v>91.42</v>
      </c>
      <c r="N16" s="100">
        <v>2.4</v>
      </c>
      <c r="O16" s="100">
        <v>0</v>
      </c>
      <c r="P16" s="100">
        <v>7.0000000000000007E-2</v>
      </c>
      <c r="Q16" s="100">
        <v>10</v>
      </c>
      <c r="R16" s="6"/>
      <c r="S16" s="6"/>
      <c r="T16" s="156"/>
      <c r="U16" s="6"/>
    </row>
    <row r="17" spans="1:21" customFormat="1">
      <c r="A17" s="163" t="s">
        <v>3032</v>
      </c>
      <c r="B17" s="100">
        <v>4.93</v>
      </c>
      <c r="C17" s="100">
        <v>12.4</v>
      </c>
      <c r="D17" s="100">
        <v>10.43</v>
      </c>
      <c r="E17" s="100">
        <v>4.54</v>
      </c>
      <c r="F17" s="100">
        <v>2.12</v>
      </c>
      <c r="G17" s="100">
        <v>1.85</v>
      </c>
      <c r="H17" s="100">
        <v>1.1000000000000001</v>
      </c>
      <c r="I17" s="100">
        <v>2.7</v>
      </c>
      <c r="J17" s="100">
        <v>0.76</v>
      </c>
      <c r="K17" s="100">
        <v>254.78</v>
      </c>
      <c r="L17" s="100">
        <v>24.35</v>
      </c>
      <c r="M17" s="100">
        <v>91.23</v>
      </c>
      <c r="N17" s="100">
        <v>2.4</v>
      </c>
      <c r="O17" s="100">
        <v>0</v>
      </c>
      <c r="P17" s="100">
        <v>0.09</v>
      </c>
      <c r="Q17" s="100">
        <v>10</v>
      </c>
      <c r="R17" s="6"/>
      <c r="S17" s="6"/>
      <c r="T17" s="156"/>
      <c r="U17" s="6"/>
    </row>
    <row r="18" spans="1:21" customFormat="1">
      <c r="A18" s="163" t="s">
        <v>3033</v>
      </c>
      <c r="B18" s="100">
        <v>4.93</v>
      </c>
      <c r="C18" s="100">
        <v>12.17</v>
      </c>
      <c r="D18" s="100">
        <v>10.31</v>
      </c>
      <c r="E18" s="100">
        <v>5.43</v>
      </c>
      <c r="F18" s="100">
        <v>1.74</v>
      </c>
      <c r="G18" s="100">
        <v>1.85</v>
      </c>
      <c r="H18" s="100">
        <v>1.1000000000000001</v>
      </c>
      <c r="I18" s="100">
        <v>2.59</v>
      </c>
      <c r="J18" s="100">
        <v>0.73</v>
      </c>
      <c r="K18" s="100">
        <v>252.95</v>
      </c>
      <c r="L18" s="100">
        <v>24.34</v>
      </c>
      <c r="M18" s="100">
        <v>91.14</v>
      </c>
      <c r="N18" s="100">
        <v>2.4</v>
      </c>
      <c r="O18" s="100">
        <v>0</v>
      </c>
      <c r="P18" s="100">
        <v>7.0000000000000007E-2</v>
      </c>
      <c r="Q18" s="100">
        <v>10</v>
      </c>
      <c r="R18" s="6"/>
      <c r="S18" s="6"/>
      <c r="T18" s="156"/>
      <c r="U18" s="6"/>
    </row>
    <row r="19" spans="1:21" customFormat="1">
      <c r="A19" s="163" t="s">
        <v>3034</v>
      </c>
      <c r="B19" s="100">
        <v>4.9000000000000004</v>
      </c>
      <c r="C19" s="100">
        <v>12.07</v>
      </c>
      <c r="D19" s="100">
        <v>10.23</v>
      </c>
      <c r="E19" s="100">
        <v>4.84</v>
      </c>
      <c r="F19" s="100">
        <v>2.42</v>
      </c>
      <c r="G19" s="100">
        <v>1.85</v>
      </c>
      <c r="H19" s="100">
        <v>1.1000000000000001</v>
      </c>
      <c r="I19" s="100">
        <v>2.72</v>
      </c>
      <c r="J19" s="100">
        <v>0.59</v>
      </c>
      <c r="K19" s="100">
        <v>258.14999999999998</v>
      </c>
      <c r="L19" s="100">
        <v>24.3</v>
      </c>
      <c r="M19" s="100">
        <v>91.46</v>
      </c>
      <c r="N19" s="100">
        <v>2.4</v>
      </c>
      <c r="O19" s="100">
        <v>0</v>
      </c>
      <c r="P19" s="100">
        <v>7.0000000000000007E-2</v>
      </c>
      <c r="Q19" s="100">
        <v>10</v>
      </c>
      <c r="R19" s="6"/>
      <c r="S19" s="6"/>
      <c r="T19" s="156"/>
      <c r="U19" s="6"/>
    </row>
    <row r="20" spans="1:21" customFormat="1">
      <c r="A20" s="163" t="s">
        <v>3035</v>
      </c>
      <c r="B20" s="100">
        <v>5.0599999999999996</v>
      </c>
      <c r="C20" s="100">
        <v>12.57</v>
      </c>
      <c r="D20" s="100">
        <v>10.63</v>
      </c>
      <c r="E20" s="100">
        <v>5.31</v>
      </c>
      <c r="F20" s="100">
        <v>1.9</v>
      </c>
      <c r="G20" s="100">
        <v>1.82</v>
      </c>
      <c r="H20" s="100">
        <v>1.0900000000000001</v>
      </c>
      <c r="I20" s="100">
        <v>2.68</v>
      </c>
      <c r="J20" s="100">
        <v>0.56000000000000005</v>
      </c>
      <c r="K20" s="100">
        <v>254.38</v>
      </c>
      <c r="L20" s="100">
        <v>24.26</v>
      </c>
      <c r="M20" s="100">
        <v>91.6</v>
      </c>
      <c r="N20" s="100">
        <v>2.4</v>
      </c>
      <c r="O20" s="100">
        <v>0</v>
      </c>
      <c r="P20" s="100">
        <v>0.09</v>
      </c>
      <c r="Q20" s="100">
        <v>10</v>
      </c>
      <c r="R20" s="6"/>
      <c r="S20" s="6"/>
      <c r="T20" s="156"/>
      <c r="U20" s="6"/>
    </row>
    <row r="21" spans="1:21" customFormat="1">
      <c r="A21" s="163" t="s">
        <v>3036</v>
      </c>
      <c r="B21" s="100">
        <v>5.05</v>
      </c>
      <c r="C21" s="100">
        <v>12.26</v>
      </c>
      <c r="D21" s="100">
        <v>10.45</v>
      </c>
      <c r="E21" s="100">
        <v>5.63</v>
      </c>
      <c r="F21" s="100">
        <v>1.65</v>
      </c>
      <c r="G21" s="100">
        <v>1.77</v>
      </c>
      <c r="H21" s="100">
        <v>1.0900000000000001</v>
      </c>
      <c r="I21" s="100">
        <v>2.57</v>
      </c>
      <c r="J21" s="100">
        <v>0.62</v>
      </c>
      <c r="K21" s="100">
        <v>251.07</v>
      </c>
      <c r="L21" s="100">
        <v>24.25</v>
      </c>
      <c r="M21" s="100">
        <v>91.65</v>
      </c>
      <c r="N21" s="100">
        <v>2.4</v>
      </c>
      <c r="O21" s="100">
        <v>0</v>
      </c>
      <c r="P21" s="100">
        <v>7.0000000000000007E-2</v>
      </c>
      <c r="Q21" s="100">
        <v>10</v>
      </c>
      <c r="R21" s="6"/>
      <c r="S21" s="6"/>
      <c r="T21" s="156"/>
      <c r="U21" s="6"/>
    </row>
    <row r="22" spans="1:21" customFormat="1">
      <c r="A22" s="163" t="s">
        <v>3037</v>
      </c>
      <c r="B22" s="100">
        <v>5.16</v>
      </c>
      <c r="C22" s="100">
        <v>12.57</v>
      </c>
      <c r="D22" s="100">
        <v>10.71</v>
      </c>
      <c r="E22" s="100">
        <v>5.53</v>
      </c>
      <c r="F22" s="100">
        <v>2.71</v>
      </c>
      <c r="G22" s="100">
        <v>1.77</v>
      </c>
      <c r="H22" s="100">
        <v>1.0900000000000001</v>
      </c>
      <c r="I22" s="100">
        <v>2.7</v>
      </c>
      <c r="J22" s="100">
        <v>0.51</v>
      </c>
      <c r="K22" s="100">
        <v>251.65</v>
      </c>
      <c r="L22" s="100">
        <v>24.24</v>
      </c>
      <c r="M22" s="100">
        <v>91.91</v>
      </c>
      <c r="N22" s="100">
        <v>2.4</v>
      </c>
      <c r="O22" s="100">
        <v>0</v>
      </c>
      <c r="P22" s="100">
        <v>0.09</v>
      </c>
      <c r="Q22" s="100">
        <v>10</v>
      </c>
      <c r="R22" s="6"/>
      <c r="S22" s="6"/>
      <c r="T22" s="156"/>
      <c r="U22" s="6"/>
    </row>
    <row r="23" spans="1:21" customFormat="1">
      <c r="A23" s="163" t="s">
        <v>3038</v>
      </c>
      <c r="B23" s="100">
        <v>5.14</v>
      </c>
      <c r="C23" s="100">
        <v>12.73</v>
      </c>
      <c r="D23" s="100">
        <v>10.78</v>
      </c>
      <c r="E23" s="100">
        <v>6.02</v>
      </c>
      <c r="F23" s="100">
        <v>1.91</v>
      </c>
      <c r="G23" s="100">
        <v>1.77</v>
      </c>
      <c r="H23" s="100">
        <v>1.0900000000000001</v>
      </c>
      <c r="I23" s="100">
        <v>2.7</v>
      </c>
      <c r="J23" s="100">
        <v>0.66</v>
      </c>
      <c r="K23" s="100">
        <v>252.08</v>
      </c>
      <c r="L23" s="100">
        <v>24.29</v>
      </c>
      <c r="M23" s="100">
        <v>91.64</v>
      </c>
      <c r="N23" s="100">
        <v>2.2999999999999998</v>
      </c>
      <c r="O23" s="100">
        <v>0</v>
      </c>
      <c r="P23" s="100">
        <v>0.11</v>
      </c>
      <c r="Q23" s="100">
        <v>10</v>
      </c>
      <c r="R23" s="6"/>
      <c r="S23" s="6"/>
      <c r="T23" s="156"/>
      <c r="U23" s="6"/>
    </row>
    <row r="24" spans="1:21" customFormat="1">
      <c r="A24" s="163" t="s">
        <v>3039</v>
      </c>
      <c r="B24" s="100">
        <v>4.99</v>
      </c>
      <c r="C24" s="100">
        <v>12.53</v>
      </c>
      <c r="D24" s="100">
        <v>10.55</v>
      </c>
      <c r="E24" s="100">
        <v>5.96</v>
      </c>
      <c r="F24" s="100">
        <v>1.65</v>
      </c>
      <c r="G24" s="100">
        <v>2.52</v>
      </c>
      <c r="H24" s="100">
        <v>1.08</v>
      </c>
      <c r="I24" s="100">
        <v>2.6</v>
      </c>
      <c r="J24" s="100">
        <v>0.56000000000000005</v>
      </c>
      <c r="K24" s="100">
        <v>253.2</v>
      </c>
      <c r="L24" s="100">
        <v>24.27</v>
      </c>
      <c r="M24" s="100">
        <v>91.75</v>
      </c>
      <c r="N24" s="100">
        <v>2.4</v>
      </c>
      <c r="O24" s="100">
        <v>0</v>
      </c>
      <c r="P24" s="100">
        <v>0.12</v>
      </c>
      <c r="Q24" s="100">
        <v>10</v>
      </c>
      <c r="R24" s="6"/>
      <c r="S24" s="6"/>
      <c r="T24" s="156"/>
      <c r="U24" s="6"/>
    </row>
    <row r="25" spans="1:21" customFormat="1">
      <c r="A25" s="163" t="s">
        <v>3040</v>
      </c>
      <c r="B25" s="100">
        <v>4.83</v>
      </c>
      <c r="C25" s="100">
        <v>12.52</v>
      </c>
      <c r="D25" s="100">
        <v>10.42</v>
      </c>
      <c r="E25" s="100">
        <v>5.99</v>
      </c>
      <c r="F25" s="100">
        <v>2.06</v>
      </c>
      <c r="G25" s="100">
        <v>3.65</v>
      </c>
      <c r="H25" s="100">
        <v>1.08</v>
      </c>
      <c r="I25" s="100">
        <v>2.5499999999999998</v>
      </c>
      <c r="J25" s="100">
        <v>0.61</v>
      </c>
      <c r="K25" s="100">
        <v>252.66</v>
      </c>
      <c r="L25" s="100">
        <v>24.29</v>
      </c>
      <c r="M25" s="100">
        <v>91.63</v>
      </c>
      <c r="N25" s="100">
        <v>2.2999999999999998</v>
      </c>
      <c r="O25" s="100">
        <v>0</v>
      </c>
      <c r="P25" s="100">
        <v>0.12</v>
      </c>
      <c r="Q25" s="100">
        <v>10</v>
      </c>
      <c r="R25" s="6"/>
      <c r="S25" s="6"/>
      <c r="T25" s="156"/>
      <c r="U25" s="6"/>
    </row>
    <row r="26" spans="1:21" customFormat="1">
      <c r="A26" s="163" t="s">
        <v>3041</v>
      </c>
      <c r="B26" s="100">
        <v>4.6900000000000004</v>
      </c>
      <c r="C26" s="100">
        <v>12.46</v>
      </c>
      <c r="D26" s="100">
        <v>10.27</v>
      </c>
      <c r="E26" s="100">
        <v>5.91</v>
      </c>
      <c r="F26" s="100">
        <v>2.12</v>
      </c>
      <c r="G26" s="100">
        <v>3.65</v>
      </c>
      <c r="H26" s="100">
        <v>1.08</v>
      </c>
      <c r="I26" s="100">
        <v>2.5299999999999998</v>
      </c>
      <c r="J26" s="100">
        <v>0.57999999999999996</v>
      </c>
      <c r="K26" s="100">
        <v>254.94</v>
      </c>
      <c r="L26" s="100">
        <v>24.28</v>
      </c>
      <c r="M26" s="100">
        <v>91.67</v>
      </c>
      <c r="N26" s="100">
        <v>2.4</v>
      </c>
      <c r="O26" s="100">
        <v>0</v>
      </c>
      <c r="P26" s="100">
        <v>0.12</v>
      </c>
      <c r="Q26" s="100">
        <v>10</v>
      </c>
      <c r="R26" s="6"/>
      <c r="S26" s="6"/>
      <c r="T26" s="156"/>
      <c r="U26" s="6"/>
    </row>
    <row r="27" spans="1:21" customFormat="1">
      <c r="A27" s="163" t="s">
        <v>3042</v>
      </c>
      <c r="B27" s="100">
        <v>4.5599999999999996</v>
      </c>
      <c r="C27" s="100">
        <v>12.53</v>
      </c>
      <c r="D27" s="100">
        <v>10.210000000000001</v>
      </c>
      <c r="E27" s="100">
        <v>6.04</v>
      </c>
      <c r="F27" s="100">
        <v>1.53</v>
      </c>
      <c r="G27" s="100">
        <v>3.65</v>
      </c>
      <c r="H27" s="100">
        <v>1.08</v>
      </c>
      <c r="I27" s="100">
        <v>2.41</v>
      </c>
      <c r="J27" s="100">
        <v>0.68</v>
      </c>
      <c r="K27" s="100">
        <v>253.38</v>
      </c>
      <c r="L27" s="100">
        <v>24.26</v>
      </c>
      <c r="M27" s="100">
        <v>91.63</v>
      </c>
      <c r="N27" s="100">
        <v>2.2999999999999998</v>
      </c>
      <c r="O27" s="100">
        <v>0</v>
      </c>
      <c r="P27" s="100">
        <v>0.12</v>
      </c>
      <c r="Q27" s="100">
        <v>10</v>
      </c>
      <c r="R27" s="6"/>
      <c r="S27" s="6"/>
      <c r="T27" s="156"/>
      <c r="U27" s="6"/>
    </row>
    <row r="28" spans="1:21" customFormat="1">
      <c r="A28" s="163" t="s">
        <v>3043</v>
      </c>
      <c r="B28" s="100">
        <v>4.4400000000000004</v>
      </c>
      <c r="C28" s="100">
        <v>12.59</v>
      </c>
      <c r="D28" s="100">
        <v>10.14</v>
      </c>
      <c r="E28" s="100">
        <v>6.3</v>
      </c>
      <c r="F28" s="100">
        <v>1.96</v>
      </c>
      <c r="G28" s="100">
        <v>3.95</v>
      </c>
      <c r="H28" s="100">
        <v>1.1000000000000001</v>
      </c>
      <c r="I28" s="100">
        <v>2.39</v>
      </c>
      <c r="J28" s="100">
        <v>0.56000000000000005</v>
      </c>
      <c r="K28" s="100">
        <v>253.97</v>
      </c>
      <c r="L28" s="100">
        <v>24.28</v>
      </c>
      <c r="M28" s="100">
        <v>91.8</v>
      </c>
      <c r="N28" s="100">
        <v>2.2999999999999998</v>
      </c>
      <c r="O28" s="100">
        <v>0</v>
      </c>
      <c r="P28" s="100">
        <v>0.12</v>
      </c>
      <c r="Q28" s="100">
        <v>10</v>
      </c>
      <c r="R28" s="6"/>
      <c r="S28" s="6"/>
      <c r="T28" s="156"/>
      <c r="U28" s="6"/>
    </row>
    <row r="29" spans="1:21" customFormat="1">
      <c r="A29" s="163" t="s">
        <v>3044</v>
      </c>
      <c r="B29" s="100">
        <v>4.43</v>
      </c>
      <c r="C29" s="100">
        <v>12.51</v>
      </c>
      <c r="D29" s="100">
        <v>10.09</v>
      </c>
      <c r="E29" s="100">
        <v>6.24</v>
      </c>
      <c r="F29" s="100">
        <v>1.83</v>
      </c>
      <c r="G29" s="100">
        <v>4.42</v>
      </c>
      <c r="H29" s="100">
        <v>1.18</v>
      </c>
      <c r="I29" s="100">
        <v>2.31</v>
      </c>
      <c r="J29" s="100">
        <v>0.65</v>
      </c>
      <c r="K29" s="100">
        <v>251.88</v>
      </c>
      <c r="L29" s="100">
        <v>24.25</v>
      </c>
      <c r="M29" s="100">
        <v>92.04</v>
      </c>
      <c r="N29" s="100">
        <v>2.2999999999999998</v>
      </c>
      <c r="O29" s="100">
        <v>0</v>
      </c>
      <c r="P29" s="100">
        <v>0.12</v>
      </c>
      <c r="Q29" s="100">
        <v>10</v>
      </c>
      <c r="R29" s="6"/>
      <c r="S29" s="6"/>
      <c r="T29" s="156"/>
      <c r="U29" s="6"/>
    </row>
    <row r="30" spans="1:21" customFormat="1">
      <c r="A30" s="163" t="s">
        <v>3045</v>
      </c>
      <c r="B30" s="100">
        <v>4.33</v>
      </c>
      <c r="C30" s="100">
        <v>12.5</v>
      </c>
      <c r="D30" s="100">
        <v>10</v>
      </c>
      <c r="E30" s="100">
        <v>6.08</v>
      </c>
      <c r="F30" s="100">
        <v>1.97</v>
      </c>
      <c r="G30" s="100">
        <v>4.42</v>
      </c>
      <c r="H30" s="100">
        <v>1.18</v>
      </c>
      <c r="I30" s="100">
        <v>2.2999999999999998</v>
      </c>
      <c r="J30" s="100">
        <v>0.47</v>
      </c>
      <c r="K30" s="100">
        <v>254.21</v>
      </c>
      <c r="L30" s="100">
        <v>24.23</v>
      </c>
      <c r="M30" s="100">
        <v>92.15</v>
      </c>
      <c r="N30" s="100">
        <v>2.5</v>
      </c>
      <c r="O30" s="100">
        <v>0</v>
      </c>
      <c r="P30" s="100">
        <v>0.12</v>
      </c>
      <c r="Q30" s="100">
        <v>10</v>
      </c>
      <c r="R30" s="6"/>
      <c r="S30" s="6"/>
      <c r="T30" s="156"/>
      <c r="U30" s="6"/>
    </row>
    <row r="31" spans="1:21" customFormat="1">
      <c r="A31" s="163" t="s">
        <v>3046</v>
      </c>
      <c r="B31" s="100">
        <v>4.25</v>
      </c>
      <c r="C31" s="100">
        <v>12.52</v>
      </c>
      <c r="D31" s="100">
        <v>9.9499999999999993</v>
      </c>
      <c r="E31" s="100">
        <v>6.13</v>
      </c>
      <c r="F31" s="100">
        <v>1.7</v>
      </c>
      <c r="G31" s="100">
        <v>4.42</v>
      </c>
      <c r="H31" s="100">
        <v>1.18</v>
      </c>
      <c r="I31" s="100">
        <v>2.34</v>
      </c>
      <c r="J31" s="100">
        <v>0.31</v>
      </c>
      <c r="K31" s="100">
        <v>245.06</v>
      </c>
      <c r="L31" s="100">
        <v>24.24</v>
      </c>
      <c r="M31" s="100">
        <v>92.63</v>
      </c>
      <c r="N31" s="100">
        <v>2.9</v>
      </c>
      <c r="O31" s="100">
        <v>0</v>
      </c>
      <c r="P31" s="100">
        <v>0.12</v>
      </c>
      <c r="Q31" s="100">
        <v>10</v>
      </c>
      <c r="R31" s="6"/>
      <c r="S31" s="6"/>
      <c r="T31" s="156"/>
      <c r="U31" s="6"/>
    </row>
    <row r="32" spans="1:21" customFormat="1">
      <c r="A32" s="163" t="s">
        <v>3047</v>
      </c>
      <c r="B32" s="100">
        <v>4.25</v>
      </c>
      <c r="C32" s="100">
        <v>12.43</v>
      </c>
      <c r="D32" s="100">
        <v>9.9</v>
      </c>
      <c r="E32" s="100">
        <v>6.22</v>
      </c>
      <c r="F32" s="100">
        <v>2.21</v>
      </c>
      <c r="G32" s="100">
        <v>4.93</v>
      </c>
      <c r="H32" s="100">
        <v>1.24</v>
      </c>
      <c r="I32" s="100">
        <v>2.34</v>
      </c>
      <c r="J32" s="100">
        <v>0.57999999999999996</v>
      </c>
      <c r="K32" s="100">
        <v>253.11</v>
      </c>
      <c r="L32" s="100">
        <v>24.21</v>
      </c>
      <c r="M32" s="100">
        <v>92.73</v>
      </c>
      <c r="N32" s="100">
        <v>5.0999999999999996</v>
      </c>
      <c r="O32" s="100">
        <v>0</v>
      </c>
      <c r="P32" s="100">
        <v>0.12</v>
      </c>
      <c r="Q32" s="100">
        <v>10</v>
      </c>
      <c r="R32" s="6"/>
      <c r="S32" s="6"/>
      <c r="T32" s="156"/>
      <c r="U32" s="6"/>
    </row>
    <row r="33" spans="1:21" customFormat="1">
      <c r="A33" s="163" t="s">
        <v>3048</v>
      </c>
      <c r="B33" s="100">
        <v>4.25</v>
      </c>
      <c r="C33" s="100">
        <v>12.38</v>
      </c>
      <c r="D33" s="100">
        <v>9.8699999999999992</v>
      </c>
      <c r="E33" s="100">
        <v>6.15</v>
      </c>
      <c r="F33" s="100">
        <v>2.31</v>
      </c>
      <c r="G33" s="100">
        <v>5.68</v>
      </c>
      <c r="H33" s="100">
        <v>1.3</v>
      </c>
      <c r="I33" s="100">
        <v>2.3199999999999998</v>
      </c>
      <c r="J33" s="100">
        <v>0.56000000000000005</v>
      </c>
      <c r="K33" s="100">
        <v>253.11</v>
      </c>
      <c r="L33" s="100">
        <v>24.25</v>
      </c>
      <c r="M33" s="100">
        <v>92.35</v>
      </c>
      <c r="N33" s="100">
        <v>7.6</v>
      </c>
      <c r="O33" s="100">
        <v>0</v>
      </c>
      <c r="P33" s="100">
        <v>0.11</v>
      </c>
      <c r="Q33" s="100">
        <v>10</v>
      </c>
      <c r="R33" s="6"/>
      <c r="S33" s="6"/>
      <c r="T33" s="156"/>
      <c r="U33" s="6"/>
    </row>
    <row r="34" spans="1:21" customFormat="1">
      <c r="A34" s="163" t="s">
        <v>3049</v>
      </c>
      <c r="B34" s="100">
        <v>4.1900000000000004</v>
      </c>
      <c r="C34" s="100">
        <v>12.3</v>
      </c>
      <c r="D34" s="100">
        <v>9.7899999999999991</v>
      </c>
      <c r="E34" s="100">
        <v>6.25</v>
      </c>
      <c r="F34" s="100">
        <v>2.0699999999999998</v>
      </c>
      <c r="G34" s="100">
        <v>5.68</v>
      </c>
      <c r="H34" s="100">
        <v>1.3</v>
      </c>
      <c r="I34" s="100">
        <v>2.2599999999999998</v>
      </c>
      <c r="J34" s="100">
        <v>0.63</v>
      </c>
      <c r="K34" s="100">
        <v>251.54</v>
      </c>
      <c r="L34" s="100">
        <v>24.31</v>
      </c>
      <c r="M34" s="100">
        <v>92.01</v>
      </c>
      <c r="N34" s="100">
        <v>11.3</v>
      </c>
      <c r="O34" s="100">
        <v>0</v>
      </c>
      <c r="P34" s="100">
        <v>0.11</v>
      </c>
      <c r="Q34" s="100">
        <v>10</v>
      </c>
      <c r="R34" s="6"/>
      <c r="S34" s="6"/>
      <c r="T34" s="156"/>
      <c r="U34" s="6"/>
    </row>
    <row r="35" spans="1:21" customFormat="1">
      <c r="A35" s="163" t="s">
        <v>3050</v>
      </c>
      <c r="B35" s="100">
        <v>4.16</v>
      </c>
      <c r="C35" s="100">
        <v>12.29</v>
      </c>
      <c r="D35" s="100">
        <v>9.76</v>
      </c>
      <c r="E35" s="100">
        <v>6.39</v>
      </c>
      <c r="F35" s="100">
        <v>1.8</v>
      </c>
      <c r="G35" s="100">
        <v>5.68</v>
      </c>
      <c r="H35" s="100">
        <v>1.3</v>
      </c>
      <c r="I35" s="100">
        <v>2.2200000000000002</v>
      </c>
      <c r="J35" s="100">
        <v>0.57999999999999996</v>
      </c>
      <c r="K35" s="100">
        <v>251.58</v>
      </c>
      <c r="L35" s="100">
        <v>24.31</v>
      </c>
      <c r="M35" s="100">
        <v>92.14</v>
      </c>
      <c r="N35" s="100">
        <v>13.9</v>
      </c>
      <c r="O35" s="100">
        <v>0</v>
      </c>
      <c r="P35" s="100">
        <v>0.11</v>
      </c>
      <c r="Q35" s="100">
        <v>10</v>
      </c>
      <c r="R35" s="6"/>
      <c r="S35" s="6"/>
      <c r="T35" s="156"/>
      <c r="U35" s="6"/>
    </row>
    <row r="36" spans="1:21" customFormat="1">
      <c r="A36" s="163" t="s">
        <v>3051</v>
      </c>
      <c r="B36" s="100">
        <v>4.1399999999999997</v>
      </c>
      <c r="C36" s="100">
        <v>12.28</v>
      </c>
      <c r="D36" s="100">
        <v>9.74</v>
      </c>
      <c r="E36" s="100">
        <v>6.24</v>
      </c>
      <c r="F36" s="100">
        <v>1.66</v>
      </c>
      <c r="G36" s="100">
        <v>5.79</v>
      </c>
      <c r="H36" s="100">
        <v>1.27</v>
      </c>
      <c r="I36" s="100">
        <v>2.25</v>
      </c>
      <c r="J36" s="100">
        <v>0.66</v>
      </c>
      <c r="K36" s="100">
        <v>250.45</v>
      </c>
      <c r="L36" s="100">
        <v>24.36</v>
      </c>
      <c r="M36" s="100">
        <v>92.07</v>
      </c>
      <c r="N36" s="100">
        <v>15.4</v>
      </c>
      <c r="O36" s="100">
        <v>0</v>
      </c>
      <c r="P36" s="100">
        <v>0.12</v>
      </c>
      <c r="Q36" s="100">
        <v>10</v>
      </c>
      <c r="R36" s="6"/>
      <c r="S36" s="6"/>
      <c r="T36" s="156"/>
      <c r="U36" s="6"/>
    </row>
    <row r="37" spans="1:21" customFormat="1">
      <c r="A37" s="163" t="s">
        <v>3052</v>
      </c>
      <c r="B37" s="100">
        <v>4.17</v>
      </c>
      <c r="C37" s="100">
        <v>12.27</v>
      </c>
      <c r="D37" s="100">
        <v>9.75</v>
      </c>
      <c r="E37" s="100">
        <v>6.72</v>
      </c>
      <c r="F37" s="100">
        <v>2</v>
      </c>
      <c r="G37" s="100">
        <v>5.97</v>
      </c>
      <c r="H37" s="100">
        <v>1.25</v>
      </c>
      <c r="I37" s="100">
        <v>2.29</v>
      </c>
      <c r="J37" s="100">
        <v>0.76</v>
      </c>
      <c r="K37" s="100">
        <v>251.46</v>
      </c>
      <c r="L37" s="100">
        <v>24.35</v>
      </c>
      <c r="M37" s="100">
        <v>91.73</v>
      </c>
      <c r="N37" s="100">
        <v>16.8</v>
      </c>
      <c r="O37" s="100">
        <v>0</v>
      </c>
      <c r="P37" s="100">
        <v>0.11</v>
      </c>
      <c r="Q37" s="100">
        <v>10</v>
      </c>
      <c r="R37" s="6"/>
      <c r="S37" s="6"/>
      <c r="T37" s="156"/>
      <c r="U37" s="6"/>
    </row>
    <row r="38" spans="1:21" customFormat="1">
      <c r="A38" s="163" t="s">
        <v>3053</v>
      </c>
      <c r="B38" s="100">
        <v>4.16</v>
      </c>
      <c r="C38" s="100">
        <v>12.17</v>
      </c>
      <c r="D38" s="100">
        <v>9.69</v>
      </c>
      <c r="E38" s="100">
        <v>6.83</v>
      </c>
      <c r="F38" s="100">
        <v>1.92</v>
      </c>
      <c r="G38" s="100">
        <v>5.97</v>
      </c>
      <c r="H38" s="100">
        <v>1.25</v>
      </c>
      <c r="I38" s="100">
        <v>2.33</v>
      </c>
      <c r="J38" s="100">
        <v>0.61</v>
      </c>
      <c r="K38" s="100">
        <v>252.51</v>
      </c>
      <c r="L38" s="100">
        <v>24.42</v>
      </c>
      <c r="M38" s="100">
        <v>91.51</v>
      </c>
      <c r="N38" s="100">
        <v>29</v>
      </c>
      <c r="O38" s="100">
        <v>0</v>
      </c>
      <c r="P38" s="100">
        <v>0.12</v>
      </c>
      <c r="Q38" s="100">
        <v>10</v>
      </c>
      <c r="R38" s="6"/>
      <c r="S38" s="6"/>
      <c r="T38" s="156"/>
      <c r="U38" s="6"/>
    </row>
    <row r="39" spans="1:21" customFormat="1">
      <c r="A39" s="163" t="s">
        <v>3054</v>
      </c>
      <c r="B39" s="100">
        <v>4.1100000000000003</v>
      </c>
      <c r="C39" s="100">
        <v>12.16</v>
      </c>
      <c r="D39" s="100">
        <v>9.65</v>
      </c>
      <c r="E39" s="100">
        <v>6.64</v>
      </c>
      <c r="F39" s="100">
        <v>1.67</v>
      </c>
      <c r="G39" s="100">
        <v>5.97</v>
      </c>
      <c r="H39" s="100">
        <v>1.25</v>
      </c>
      <c r="I39" s="100">
        <v>2.38</v>
      </c>
      <c r="J39" s="100">
        <v>0.73</v>
      </c>
      <c r="K39" s="100">
        <v>254.51</v>
      </c>
      <c r="L39" s="100">
        <v>24.58</v>
      </c>
      <c r="M39" s="100">
        <v>90.71</v>
      </c>
      <c r="N39" s="100">
        <v>70.7</v>
      </c>
      <c r="O39" s="100">
        <v>0</v>
      </c>
      <c r="P39" s="100">
        <v>0.12</v>
      </c>
      <c r="Q39" s="100">
        <v>10</v>
      </c>
      <c r="R39" s="6"/>
      <c r="S39" s="6"/>
      <c r="T39" s="156"/>
      <c r="U39" s="6"/>
    </row>
    <row r="40" spans="1:21" customFormat="1">
      <c r="A40" s="163" t="s">
        <v>3055</v>
      </c>
      <c r="B40" s="100">
        <v>4.0999999999999996</v>
      </c>
      <c r="C40" s="100">
        <v>12.14</v>
      </c>
      <c r="D40" s="100">
        <v>9.6300000000000008</v>
      </c>
      <c r="E40" s="100">
        <v>6.61</v>
      </c>
      <c r="F40" s="100">
        <v>2.29</v>
      </c>
      <c r="G40" s="100">
        <v>5.77</v>
      </c>
      <c r="H40" s="100">
        <v>1.25</v>
      </c>
      <c r="I40" s="100">
        <v>2.4</v>
      </c>
      <c r="J40" s="100">
        <v>0.78</v>
      </c>
      <c r="K40" s="100">
        <v>249.32</v>
      </c>
      <c r="L40" s="100">
        <v>24.92</v>
      </c>
      <c r="M40" s="100">
        <v>89.66</v>
      </c>
      <c r="N40" s="100">
        <v>100.4</v>
      </c>
      <c r="O40" s="100">
        <v>0</v>
      </c>
      <c r="P40" s="100">
        <v>0.12</v>
      </c>
      <c r="Q40" s="100">
        <v>10</v>
      </c>
      <c r="R40" s="6"/>
      <c r="S40" s="6"/>
      <c r="T40" s="156"/>
      <c r="U40" s="6"/>
    </row>
    <row r="41" spans="1:21" customFormat="1">
      <c r="A41" s="163" t="s">
        <v>3056</v>
      </c>
      <c r="B41" s="100">
        <v>4.08</v>
      </c>
      <c r="C41" s="100">
        <v>12.13</v>
      </c>
      <c r="D41" s="100">
        <v>9.61</v>
      </c>
      <c r="E41" s="100">
        <v>6.68</v>
      </c>
      <c r="F41" s="100">
        <v>2.12</v>
      </c>
      <c r="G41" s="100">
        <v>5.46</v>
      </c>
      <c r="H41" s="100">
        <v>1.24</v>
      </c>
      <c r="I41" s="100">
        <v>2.4</v>
      </c>
      <c r="J41" s="100">
        <v>0.66</v>
      </c>
      <c r="K41" s="100">
        <v>252.96</v>
      </c>
      <c r="L41" s="100">
        <v>25.14</v>
      </c>
      <c r="M41" s="100">
        <v>89.32</v>
      </c>
      <c r="N41" s="100">
        <v>99.8</v>
      </c>
      <c r="O41" s="100">
        <v>0</v>
      </c>
      <c r="P41" s="100">
        <v>0.12</v>
      </c>
      <c r="Q41" s="100">
        <v>10</v>
      </c>
      <c r="R41" s="6"/>
      <c r="S41" s="6"/>
      <c r="T41" s="156"/>
      <c r="U41" s="6"/>
    </row>
    <row r="42" spans="1:21" customFormat="1">
      <c r="A42" s="163" t="s">
        <v>3057</v>
      </c>
      <c r="B42" s="100">
        <v>4.0599999999999996</v>
      </c>
      <c r="C42" s="100">
        <v>12.05</v>
      </c>
      <c r="D42" s="100">
        <v>9.56</v>
      </c>
      <c r="E42" s="100">
        <v>6.79</v>
      </c>
      <c r="F42" s="100">
        <v>1.57</v>
      </c>
      <c r="G42" s="100">
        <v>5.46</v>
      </c>
      <c r="H42" s="100">
        <v>1.24</v>
      </c>
      <c r="I42" s="100">
        <v>2.38</v>
      </c>
      <c r="J42" s="100">
        <v>0.81</v>
      </c>
      <c r="K42" s="100">
        <v>251.81</v>
      </c>
      <c r="L42" s="100">
        <v>25.4</v>
      </c>
      <c r="M42" s="100">
        <v>87.87</v>
      </c>
      <c r="N42" s="100">
        <v>128.30000000000001</v>
      </c>
      <c r="O42" s="100">
        <v>0</v>
      </c>
      <c r="P42" s="100">
        <v>0.11</v>
      </c>
      <c r="Q42" s="100">
        <v>10</v>
      </c>
      <c r="R42" s="6"/>
      <c r="S42" s="6"/>
      <c r="T42" s="156"/>
      <c r="U42" s="6"/>
    </row>
    <row r="43" spans="1:21" customFormat="1">
      <c r="A43" s="163" t="s">
        <v>3058</v>
      </c>
      <c r="B43" s="100">
        <v>4.04</v>
      </c>
      <c r="C43" s="100">
        <v>11.83</v>
      </c>
      <c r="D43" s="100">
        <v>9.42</v>
      </c>
      <c r="E43" s="100">
        <v>6.7</v>
      </c>
      <c r="F43" s="100">
        <v>1.56</v>
      </c>
      <c r="G43" s="100">
        <v>5.46</v>
      </c>
      <c r="H43" s="100">
        <v>1.24</v>
      </c>
      <c r="I43" s="100">
        <v>2.35</v>
      </c>
      <c r="J43" s="100">
        <v>0.8</v>
      </c>
      <c r="K43" s="100">
        <v>250.11</v>
      </c>
      <c r="L43" s="100">
        <v>25.38</v>
      </c>
      <c r="M43" s="100">
        <v>87.69</v>
      </c>
      <c r="N43" s="100">
        <v>94.8</v>
      </c>
      <c r="O43" s="100">
        <v>0</v>
      </c>
      <c r="P43" s="100">
        <v>0.09</v>
      </c>
      <c r="Q43" s="100">
        <v>10</v>
      </c>
      <c r="R43" s="6"/>
      <c r="S43" s="6"/>
      <c r="T43" s="156"/>
      <c r="U43" s="6"/>
    </row>
    <row r="44" spans="1:21" customFormat="1">
      <c r="A44" s="163" t="s">
        <v>3059</v>
      </c>
      <c r="B44" s="100">
        <v>3.98</v>
      </c>
      <c r="C44" s="100">
        <v>11.63</v>
      </c>
      <c r="D44" s="100">
        <v>9.27</v>
      </c>
      <c r="E44" s="100">
        <v>6.28</v>
      </c>
      <c r="F44" s="100">
        <v>2.23</v>
      </c>
      <c r="G44" s="100">
        <v>4.82</v>
      </c>
      <c r="H44" s="100">
        <v>1.27</v>
      </c>
      <c r="I44" s="100">
        <v>2.36</v>
      </c>
      <c r="J44" s="100">
        <v>0.91</v>
      </c>
      <c r="K44" s="100">
        <v>257.12</v>
      </c>
      <c r="L44" s="100">
        <v>25.38</v>
      </c>
      <c r="M44" s="100">
        <v>87.54</v>
      </c>
      <c r="N44" s="100">
        <v>98.6</v>
      </c>
      <c r="O44" s="100">
        <v>0</v>
      </c>
      <c r="P44" s="100">
        <v>7.0000000000000007E-2</v>
      </c>
      <c r="Q44" s="100">
        <v>10</v>
      </c>
      <c r="R44" s="6"/>
      <c r="S44" s="6"/>
      <c r="T44" s="156"/>
      <c r="U44" s="6"/>
    </row>
    <row r="45" spans="1:21" customFormat="1">
      <c r="A45" s="163" t="s">
        <v>3060</v>
      </c>
      <c r="B45" s="100">
        <v>4.13</v>
      </c>
      <c r="C45" s="100">
        <v>11.9</v>
      </c>
      <c r="D45" s="100">
        <v>9.5299999999999994</v>
      </c>
      <c r="E45" s="100">
        <v>5.71</v>
      </c>
      <c r="F45" s="100">
        <v>2.84</v>
      </c>
      <c r="G45" s="100">
        <v>3.87</v>
      </c>
      <c r="H45" s="100">
        <v>1.34</v>
      </c>
      <c r="I45" s="100">
        <v>2.39</v>
      </c>
      <c r="J45" s="100">
        <v>0.76</v>
      </c>
      <c r="K45" s="100">
        <v>253.72</v>
      </c>
      <c r="L45" s="100">
        <v>25.5</v>
      </c>
      <c r="M45" s="100">
        <v>87.37</v>
      </c>
      <c r="N45" s="100">
        <v>103.1</v>
      </c>
      <c r="O45" s="100">
        <v>0</v>
      </c>
      <c r="P45" s="100">
        <v>7.0000000000000007E-2</v>
      </c>
      <c r="Q45" s="100">
        <v>10</v>
      </c>
      <c r="R45" s="6"/>
      <c r="S45" s="6"/>
      <c r="T45" s="156"/>
      <c r="U45" s="6"/>
    </row>
    <row r="46" spans="1:21" customFormat="1">
      <c r="A46" s="163" t="s">
        <v>3061</v>
      </c>
      <c r="B46" s="100">
        <v>4.32</v>
      </c>
      <c r="C46" s="100">
        <v>12.14</v>
      </c>
      <c r="D46" s="100">
        <v>9.81</v>
      </c>
      <c r="E46" s="100">
        <v>5.9</v>
      </c>
      <c r="F46" s="100">
        <v>2.0499999999999998</v>
      </c>
      <c r="G46" s="100">
        <v>3.87</v>
      </c>
      <c r="H46" s="100">
        <v>1.34</v>
      </c>
      <c r="I46" s="100">
        <v>2.41</v>
      </c>
      <c r="J46" s="100">
        <v>0.85</v>
      </c>
      <c r="K46" s="100">
        <v>255.41</v>
      </c>
      <c r="L46" s="100">
        <v>25.64</v>
      </c>
      <c r="M46" s="100">
        <v>86.98</v>
      </c>
      <c r="N46" s="100">
        <v>123.6</v>
      </c>
      <c r="O46" s="100">
        <v>0</v>
      </c>
      <c r="P46" s="100">
        <v>0.08</v>
      </c>
      <c r="Q46" s="100">
        <v>10</v>
      </c>
      <c r="R46" s="6"/>
      <c r="S46" s="6"/>
      <c r="T46" s="156"/>
      <c r="U46" s="6"/>
    </row>
    <row r="47" spans="1:21" customFormat="1">
      <c r="A47" s="163" t="s">
        <v>3062</v>
      </c>
      <c r="B47" s="100">
        <v>4.3</v>
      </c>
      <c r="C47" s="100">
        <v>11.7</v>
      </c>
      <c r="D47" s="100">
        <v>9.56</v>
      </c>
      <c r="E47" s="100">
        <v>5.91</v>
      </c>
      <c r="F47" s="100">
        <v>2.4700000000000002</v>
      </c>
      <c r="G47" s="100">
        <v>3.87</v>
      </c>
      <c r="H47" s="100">
        <v>1.34</v>
      </c>
      <c r="I47" s="100">
        <v>2.4300000000000002</v>
      </c>
      <c r="J47" s="100">
        <v>1.01</v>
      </c>
      <c r="K47" s="100">
        <v>259.45</v>
      </c>
      <c r="L47" s="100">
        <v>25.84</v>
      </c>
      <c r="M47" s="100">
        <v>85.67</v>
      </c>
      <c r="N47" s="100">
        <v>152.19999999999999</v>
      </c>
      <c r="O47" s="100">
        <v>0</v>
      </c>
      <c r="P47" s="100">
        <v>7.0000000000000007E-2</v>
      </c>
      <c r="Q47" s="100">
        <v>10</v>
      </c>
      <c r="R47" s="6"/>
      <c r="S47" s="6"/>
      <c r="T47" s="156"/>
      <c r="U47" s="6"/>
    </row>
    <row r="48" spans="1:21" customFormat="1">
      <c r="A48" s="163" t="s">
        <v>3063</v>
      </c>
      <c r="B48" s="100">
        <v>4.2699999999999996</v>
      </c>
      <c r="C48" s="100">
        <v>11.83</v>
      </c>
      <c r="D48" s="100">
        <v>9.6</v>
      </c>
      <c r="E48" s="100">
        <v>5.5</v>
      </c>
      <c r="F48" s="100">
        <v>2.5499999999999998</v>
      </c>
      <c r="G48" s="100">
        <v>6.07</v>
      </c>
      <c r="H48" s="100">
        <v>1.34</v>
      </c>
      <c r="I48" s="100">
        <v>2.52</v>
      </c>
      <c r="J48" s="100">
        <v>0.82</v>
      </c>
      <c r="K48" s="100">
        <v>256.77999999999997</v>
      </c>
      <c r="L48" s="100">
        <v>26.11</v>
      </c>
      <c r="M48" s="100">
        <v>85.63</v>
      </c>
      <c r="N48" s="100">
        <v>164.1</v>
      </c>
      <c r="O48" s="100">
        <v>0</v>
      </c>
      <c r="P48" s="100">
        <v>7.0000000000000007E-2</v>
      </c>
      <c r="Q48" s="100">
        <v>10</v>
      </c>
      <c r="R48" s="6"/>
      <c r="S48" s="6"/>
      <c r="T48" s="156"/>
      <c r="U48" s="6"/>
    </row>
    <row r="49" spans="1:21" customFormat="1">
      <c r="A49" s="163" t="s">
        <v>3064</v>
      </c>
      <c r="B49" s="100">
        <v>4.47</v>
      </c>
      <c r="C49" s="100">
        <v>12.3</v>
      </c>
      <c r="D49" s="100">
        <v>10.01</v>
      </c>
      <c r="E49" s="100">
        <v>3.9</v>
      </c>
      <c r="F49" s="100">
        <v>1.68</v>
      </c>
      <c r="G49" s="100">
        <v>9.3699999999999992</v>
      </c>
      <c r="H49" s="100">
        <v>1.33</v>
      </c>
      <c r="I49" s="100">
        <v>2.5</v>
      </c>
      <c r="J49" s="100">
        <v>0.78</v>
      </c>
      <c r="K49" s="100">
        <v>258.17</v>
      </c>
      <c r="L49" s="100">
        <v>26.15</v>
      </c>
      <c r="M49" s="100">
        <v>85.3</v>
      </c>
      <c r="N49" s="100">
        <v>122</v>
      </c>
      <c r="O49" s="100">
        <v>0</v>
      </c>
      <c r="P49" s="100">
        <v>0.09</v>
      </c>
      <c r="Q49" s="100">
        <v>10</v>
      </c>
      <c r="R49" s="6"/>
      <c r="S49" s="6"/>
      <c r="T49" s="156"/>
      <c r="U49" s="6"/>
    </row>
    <row r="50" spans="1:21" customFormat="1">
      <c r="A50" s="163" t="s">
        <v>3065</v>
      </c>
      <c r="B50" s="100">
        <v>4.47</v>
      </c>
      <c r="C50" s="100">
        <v>11.82</v>
      </c>
      <c r="D50" s="100">
        <v>9.75</v>
      </c>
      <c r="E50" s="100">
        <v>4.96</v>
      </c>
      <c r="F50" s="100">
        <v>1.75</v>
      </c>
      <c r="G50" s="100">
        <v>9.3699999999999992</v>
      </c>
      <c r="H50" s="100">
        <v>1.33</v>
      </c>
      <c r="I50" s="100">
        <v>2.4700000000000002</v>
      </c>
      <c r="J50" s="100">
        <v>0.61</v>
      </c>
      <c r="K50" s="100">
        <v>251.68</v>
      </c>
      <c r="L50" s="100">
        <v>26.03</v>
      </c>
      <c r="M50" s="100">
        <v>86.25</v>
      </c>
      <c r="N50" s="100">
        <v>81.5</v>
      </c>
      <c r="O50" s="100">
        <v>0</v>
      </c>
      <c r="P50" s="100">
        <v>0.08</v>
      </c>
      <c r="Q50" s="100">
        <v>10</v>
      </c>
      <c r="R50" s="6"/>
      <c r="S50" s="6"/>
      <c r="T50" s="156"/>
      <c r="U50" s="6"/>
    </row>
    <row r="51" spans="1:21" customFormat="1">
      <c r="A51" s="163" t="s">
        <v>3066</v>
      </c>
      <c r="B51" s="100">
        <v>4.4400000000000004</v>
      </c>
      <c r="C51" s="100">
        <v>11.74</v>
      </c>
      <c r="D51" s="100">
        <v>9.69</v>
      </c>
      <c r="E51" s="100">
        <v>4.4000000000000004</v>
      </c>
      <c r="F51" s="100">
        <v>2.31</v>
      </c>
      <c r="G51" s="100">
        <v>9.3699999999999992</v>
      </c>
      <c r="H51" s="100">
        <v>1.33</v>
      </c>
      <c r="I51" s="100">
        <v>2.63</v>
      </c>
      <c r="J51" s="100">
        <v>0.59</v>
      </c>
      <c r="K51" s="100">
        <v>261.32</v>
      </c>
      <c r="L51" s="100">
        <v>26.04</v>
      </c>
      <c r="M51" s="100">
        <v>87.04</v>
      </c>
      <c r="N51" s="100">
        <v>112.1</v>
      </c>
      <c r="O51" s="100">
        <v>0</v>
      </c>
      <c r="P51" s="100">
        <v>7.0000000000000007E-2</v>
      </c>
      <c r="Q51" s="100">
        <v>10</v>
      </c>
      <c r="R51" s="6"/>
      <c r="S51" s="6"/>
      <c r="T51" s="156"/>
      <c r="U51" s="6"/>
    </row>
    <row r="52" spans="1:21" customFormat="1">
      <c r="A52" s="163" t="s">
        <v>3067</v>
      </c>
      <c r="B52" s="100">
        <v>4.5199999999999996</v>
      </c>
      <c r="C52" s="100">
        <v>12.22</v>
      </c>
      <c r="D52" s="100">
        <v>10</v>
      </c>
      <c r="E52" s="100">
        <v>4.63</v>
      </c>
      <c r="F52" s="100">
        <v>3.33</v>
      </c>
      <c r="G52" s="100">
        <v>11.66</v>
      </c>
      <c r="H52" s="100">
        <v>1.36</v>
      </c>
      <c r="I52" s="100">
        <v>2.58</v>
      </c>
      <c r="J52" s="100">
        <v>0.55000000000000004</v>
      </c>
      <c r="K52" s="100">
        <v>256.19</v>
      </c>
      <c r="L52" s="100">
        <v>26.32</v>
      </c>
      <c r="M52" s="100">
        <v>86.41</v>
      </c>
      <c r="N52" s="100">
        <v>146.1</v>
      </c>
      <c r="O52" s="100">
        <v>0</v>
      </c>
      <c r="P52" s="100">
        <v>0.1</v>
      </c>
      <c r="Q52" s="100">
        <v>10</v>
      </c>
      <c r="R52" s="6"/>
      <c r="S52" s="6"/>
      <c r="T52" s="156"/>
      <c r="U52" s="6"/>
    </row>
    <row r="53" spans="1:21" customFormat="1">
      <c r="A53" s="163" t="s">
        <v>3068</v>
      </c>
      <c r="B53" s="100">
        <v>3.58</v>
      </c>
      <c r="C53" s="100">
        <v>11.25</v>
      </c>
      <c r="D53" s="100">
        <v>8.74</v>
      </c>
      <c r="E53" s="100">
        <v>4.01</v>
      </c>
      <c r="F53" s="100">
        <v>8.0399999999999991</v>
      </c>
      <c r="G53" s="100">
        <v>15.09</v>
      </c>
      <c r="H53" s="100">
        <v>1.38</v>
      </c>
      <c r="I53" s="100">
        <v>2.56</v>
      </c>
      <c r="J53" s="100">
        <v>0.81</v>
      </c>
      <c r="K53" s="100">
        <v>253.21</v>
      </c>
      <c r="L53" s="100">
        <v>26.59</v>
      </c>
      <c r="M53" s="100">
        <v>84.94</v>
      </c>
      <c r="N53" s="100">
        <v>173.8</v>
      </c>
      <c r="O53" s="100">
        <v>0</v>
      </c>
      <c r="P53" s="100">
        <v>0.1</v>
      </c>
      <c r="Q53" s="100">
        <v>10</v>
      </c>
      <c r="R53" s="6"/>
      <c r="S53" s="6"/>
      <c r="T53" s="156"/>
      <c r="U53" s="6"/>
    </row>
    <row r="54" spans="1:21" customFormat="1">
      <c r="A54" s="163" t="s">
        <v>3069</v>
      </c>
      <c r="B54" s="100">
        <v>2.71</v>
      </c>
      <c r="C54" s="100">
        <v>10.6</v>
      </c>
      <c r="D54" s="100">
        <v>7.71</v>
      </c>
      <c r="E54" s="100">
        <v>3.45</v>
      </c>
      <c r="F54" s="100">
        <v>9.92</v>
      </c>
      <c r="G54" s="100">
        <v>15.09</v>
      </c>
      <c r="H54" s="100">
        <v>1.38</v>
      </c>
      <c r="I54" s="100">
        <v>2.65</v>
      </c>
      <c r="J54" s="100">
        <v>0.71</v>
      </c>
      <c r="K54" s="100">
        <v>253.95</v>
      </c>
      <c r="L54" s="100">
        <v>26.87</v>
      </c>
      <c r="M54" s="100">
        <v>83.55</v>
      </c>
      <c r="N54" s="100">
        <v>211.6</v>
      </c>
      <c r="O54" s="100">
        <v>0</v>
      </c>
      <c r="P54" s="100">
        <v>0.1</v>
      </c>
      <c r="Q54" s="100">
        <v>10</v>
      </c>
      <c r="R54" s="6"/>
      <c r="S54" s="6"/>
      <c r="T54" s="156"/>
      <c r="U54" s="6"/>
    </row>
    <row r="55" spans="1:21" customFormat="1">
      <c r="A55" s="163" t="s">
        <v>3070</v>
      </c>
      <c r="B55" s="100">
        <v>2.25</v>
      </c>
      <c r="C55" s="100">
        <v>10.26</v>
      </c>
      <c r="D55" s="100">
        <v>7.16</v>
      </c>
      <c r="E55" s="100">
        <v>3.02</v>
      </c>
      <c r="F55" s="100">
        <v>10.85</v>
      </c>
      <c r="G55" s="100">
        <v>15.09</v>
      </c>
      <c r="H55" s="100">
        <v>1.38</v>
      </c>
      <c r="I55" s="100">
        <v>2.4900000000000002</v>
      </c>
      <c r="J55" s="100">
        <v>0.8</v>
      </c>
      <c r="K55" s="100">
        <v>252.04</v>
      </c>
      <c r="L55" s="100">
        <v>26.95</v>
      </c>
      <c r="M55" s="100">
        <v>82.63</v>
      </c>
      <c r="N55" s="100">
        <v>133.5</v>
      </c>
      <c r="O55" s="100">
        <v>0</v>
      </c>
      <c r="P55" s="100">
        <v>0.09</v>
      </c>
      <c r="Q55" s="100">
        <v>10</v>
      </c>
      <c r="R55" s="6"/>
      <c r="S55" s="6"/>
      <c r="T55" s="156"/>
      <c r="U55" s="6"/>
    </row>
    <row r="56" spans="1:21" customFormat="1">
      <c r="A56" s="163" t="s">
        <v>3071</v>
      </c>
      <c r="B56" s="100">
        <v>1.87</v>
      </c>
      <c r="C56" s="100">
        <v>9.8000000000000007</v>
      </c>
      <c r="D56" s="100">
        <v>6.62</v>
      </c>
      <c r="E56" s="100">
        <v>2.58</v>
      </c>
      <c r="F56" s="100">
        <v>12.3</v>
      </c>
      <c r="G56" s="100">
        <v>15.09</v>
      </c>
      <c r="H56" s="100">
        <v>1.38</v>
      </c>
      <c r="I56" s="100">
        <v>2.46</v>
      </c>
      <c r="J56" s="100">
        <v>0.75</v>
      </c>
      <c r="K56" s="100">
        <v>254.81</v>
      </c>
      <c r="L56" s="100">
        <v>26.66</v>
      </c>
      <c r="M56" s="100">
        <v>83.73</v>
      </c>
      <c r="N56" s="100">
        <v>135.69999999999999</v>
      </c>
      <c r="O56" s="100">
        <v>0</v>
      </c>
      <c r="P56" s="100">
        <v>0.09</v>
      </c>
      <c r="Q56" s="100">
        <v>10</v>
      </c>
      <c r="R56" s="6"/>
      <c r="S56" s="6"/>
      <c r="T56" s="156"/>
      <c r="U56" s="6"/>
    </row>
    <row r="57" spans="1:21" customFormat="1">
      <c r="A57" s="163" t="s">
        <v>3072</v>
      </c>
      <c r="B57" s="100">
        <v>1.81</v>
      </c>
      <c r="C57" s="100">
        <v>9.5500000000000007</v>
      </c>
      <c r="D57" s="100">
        <v>6.45</v>
      </c>
      <c r="E57" s="100">
        <v>2.29</v>
      </c>
      <c r="F57" s="100">
        <v>12.81</v>
      </c>
      <c r="G57" s="100">
        <v>15.09</v>
      </c>
      <c r="H57" s="100">
        <v>1.38</v>
      </c>
      <c r="I57" s="100">
        <v>2.31</v>
      </c>
      <c r="J57" s="100">
        <v>0.68</v>
      </c>
      <c r="K57" s="100">
        <v>253.44</v>
      </c>
      <c r="L57" s="100">
        <v>26.97</v>
      </c>
      <c r="M57" s="100">
        <v>82.94</v>
      </c>
      <c r="N57" s="100">
        <v>166</v>
      </c>
      <c r="O57" s="100">
        <v>0</v>
      </c>
      <c r="P57" s="100">
        <v>0.08</v>
      </c>
      <c r="Q57" s="100">
        <v>10</v>
      </c>
      <c r="R57" s="6"/>
      <c r="S57" s="6"/>
      <c r="T57" s="156"/>
      <c r="U57" s="6"/>
    </row>
    <row r="58" spans="1:21" customFormat="1">
      <c r="A58" s="163" t="s">
        <v>3073</v>
      </c>
      <c r="B58" s="100">
        <v>1.78</v>
      </c>
      <c r="C58" s="100">
        <v>9.67</v>
      </c>
      <c r="D58" s="100">
        <v>6.48</v>
      </c>
      <c r="E58" s="100">
        <v>2.4500000000000002</v>
      </c>
      <c r="F58" s="100">
        <v>10.63</v>
      </c>
      <c r="G58" s="100">
        <v>15.09</v>
      </c>
      <c r="H58" s="100">
        <v>1.38</v>
      </c>
      <c r="I58" s="100">
        <v>2.2400000000000002</v>
      </c>
      <c r="J58" s="100">
        <v>0.79</v>
      </c>
      <c r="K58" s="100">
        <v>255.56</v>
      </c>
      <c r="L58" s="100">
        <v>26.83</v>
      </c>
      <c r="M58" s="100">
        <v>83.07</v>
      </c>
      <c r="N58" s="100">
        <v>125.2</v>
      </c>
      <c r="O58" s="100">
        <v>0</v>
      </c>
      <c r="P58" s="100">
        <v>0.08</v>
      </c>
      <c r="Q58" s="100">
        <v>10</v>
      </c>
      <c r="R58" s="6"/>
      <c r="S58" s="6"/>
      <c r="T58" s="156"/>
      <c r="U58" s="6"/>
    </row>
    <row r="59" spans="1:21" customFormat="1">
      <c r="A59" s="163" t="s">
        <v>3074</v>
      </c>
      <c r="B59" s="100">
        <v>1.81</v>
      </c>
      <c r="C59" s="100">
        <v>10</v>
      </c>
      <c r="D59" s="100">
        <v>6.67</v>
      </c>
      <c r="E59" s="100">
        <v>1.41</v>
      </c>
      <c r="F59" s="100">
        <v>8.6300000000000008</v>
      </c>
      <c r="G59" s="100">
        <v>15.09</v>
      </c>
      <c r="H59" s="100">
        <v>1.38</v>
      </c>
      <c r="I59" s="100">
        <v>2.17</v>
      </c>
      <c r="J59" s="100">
        <v>0.63</v>
      </c>
      <c r="K59" s="100">
        <v>253.2</v>
      </c>
      <c r="L59" s="100">
        <v>26.77</v>
      </c>
      <c r="M59" s="100">
        <v>83.91</v>
      </c>
      <c r="N59" s="100">
        <v>130.9</v>
      </c>
      <c r="O59" s="100">
        <v>0</v>
      </c>
      <c r="P59" s="100">
        <v>0.1</v>
      </c>
      <c r="Q59" s="100">
        <v>10</v>
      </c>
      <c r="R59" s="6"/>
      <c r="S59" s="6"/>
      <c r="T59" s="156"/>
      <c r="U59" s="6"/>
    </row>
    <row r="60" spans="1:21" customFormat="1">
      <c r="A60" s="163" t="s">
        <v>3075</v>
      </c>
      <c r="B60" s="100">
        <v>1.71</v>
      </c>
      <c r="C60" s="100">
        <v>9.0299999999999994</v>
      </c>
      <c r="D60" s="100">
        <v>6.09</v>
      </c>
      <c r="E60" s="100">
        <v>1.54</v>
      </c>
      <c r="F60" s="100">
        <v>13.16</v>
      </c>
      <c r="G60" s="100">
        <v>15.09</v>
      </c>
      <c r="H60" s="100">
        <v>1.38</v>
      </c>
      <c r="I60" s="100">
        <v>2.16</v>
      </c>
      <c r="J60" s="100">
        <v>0.68</v>
      </c>
      <c r="K60" s="100">
        <v>253.01</v>
      </c>
      <c r="L60" s="100">
        <v>26.9</v>
      </c>
      <c r="M60" s="100">
        <v>83</v>
      </c>
      <c r="N60" s="100">
        <v>128.5</v>
      </c>
      <c r="O60" s="100">
        <v>0</v>
      </c>
      <c r="P60" s="100">
        <v>0.09</v>
      </c>
      <c r="Q60" s="100">
        <v>10</v>
      </c>
      <c r="R60" s="6"/>
      <c r="S60" s="6"/>
      <c r="T60" s="156"/>
      <c r="U60" s="6"/>
    </row>
    <row r="61" spans="1:21" customFormat="1">
      <c r="A61" s="163" t="s">
        <v>3076</v>
      </c>
      <c r="B61" s="100">
        <v>1.64</v>
      </c>
      <c r="C61" s="100">
        <v>8.6999999999999993</v>
      </c>
      <c r="D61" s="100">
        <v>5.86</v>
      </c>
      <c r="E61" s="100">
        <v>395.67</v>
      </c>
      <c r="F61" s="100">
        <v>12.94</v>
      </c>
      <c r="G61" s="135" t="s">
        <v>12</v>
      </c>
      <c r="H61" s="135" t="s">
        <v>12</v>
      </c>
      <c r="I61" s="100">
        <v>2.33</v>
      </c>
      <c r="J61" s="100">
        <v>0.56000000000000005</v>
      </c>
      <c r="K61" s="100">
        <v>250.77</v>
      </c>
      <c r="L61" s="100">
        <v>26.84</v>
      </c>
      <c r="M61" s="100">
        <v>83.37</v>
      </c>
      <c r="N61" s="100">
        <v>103.6</v>
      </c>
      <c r="O61" s="100">
        <v>0</v>
      </c>
      <c r="P61" s="100">
        <v>0.08</v>
      </c>
      <c r="Q61" s="100">
        <v>10</v>
      </c>
      <c r="R61" s="6"/>
      <c r="S61" s="6"/>
      <c r="T61" s="156"/>
      <c r="U61" s="6"/>
    </row>
    <row r="62" spans="1:21" customFormat="1">
      <c r="A62" s="163" t="s">
        <v>3077</v>
      </c>
      <c r="B62" s="100">
        <v>1.6</v>
      </c>
      <c r="C62" s="100">
        <v>9.19</v>
      </c>
      <c r="D62" s="100">
        <v>6.08</v>
      </c>
      <c r="E62" s="100">
        <v>934.49</v>
      </c>
      <c r="F62" s="100">
        <v>8.76</v>
      </c>
      <c r="G62" s="135" t="s">
        <v>12</v>
      </c>
      <c r="H62" s="135" t="s">
        <v>12</v>
      </c>
      <c r="I62" s="100">
        <v>3.43</v>
      </c>
      <c r="J62" s="100">
        <v>0.37</v>
      </c>
      <c r="K62" s="100">
        <v>250.98</v>
      </c>
      <c r="L62" s="100">
        <v>26.87</v>
      </c>
      <c r="M62" s="100">
        <v>84.23</v>
      </c>
      <c r="N62" s="100">
        <v>74.3</v>
      </c>
      <c r="O62" s="100">
        <v>0</v>
      </c>
      <c r="P62" s="100">
        <v>0.08</v>
      </c>
      <c r="Q62" s="100">
        <v>10</v>
      </c>
      <c r="R62" s="6"/>
      <c r="S62" s="6"/>
      <c r="T62" s="156"/>
      <c r="U62" s="6"/>
    </row>
    <row r="63" spans="1:21" customFormat="1">
      <c r="A63" s="163" t="s">
        <v>3078</v>
      </c>
      <c r="B63" s="100">
        <v>1.7</v>
      </c>
      <c r="C63" s="100">
        <v>9.61</v>
      </c>
      <c r="D63" s="100">
        <v>6.39</v>
      </c>
      <c r="E63" s="100">
        <v>554.16999999999996</v>
      </c>
      <c r="F63" s="100">
        <v>10.34</v>
      </c>
      <c r="G63" s="135" t="s">
        <v>12</v>
      </c>
      <c r="H63" s="135" t="s">
        <v>12</v>
      </c>
      <c r="I63" s="100">
        <v>5.84</v>
      </c>
      <c r="J63" s="100">
        <v>0.46</v>
      </c>
      <c r="K63" s="100">
        <v>252.3</v>
      </c>
      <c r="L63" s="100">
        <v>27.03</v>
      </c>
      <c r="M63" s="100">
        <v>83.95</v>
      </c>
      <c r="N63" s="100">
        <v>100.6</v>
      </c>
      <c r="O63" s="100">
        <v>0</v>
      </c>
      <c r="P63" s="100">
        <v>0.08</v>
      </c>
      <c r="Q63" s="100">
        <v>10</v>
      </c>
      <c r="R63" s="6"/>
      <c r="S63" s="6"/>
      <c r="T63" s="156"/>
      <c r="U63" s="6"/>
    </row>
    <row r="64" spans="1:21" customFormat="1">
      <c r="A64" s="163" t="s">
        <v>3079</v>
      </c>
      <c r="B64" s="100">
        <v>1.63</v>
      </c>
      <c r="C64" s="100">
        <v>8.59</v>
      </c>
      <c r="D64" s="100">
        <v>5.79</v>
      </c>
      <c r="E64" s="100">
        <v>61.13</v>
      </c>
      <c r="F64" s="100">
        <v>20.22</v>
      </c>
      <c r="G64" s="135" t="s">
        <v>12</v>
      </c>
      <c r="H64" s="135" t="s">
        <v>12</v>
      </c>
      <c r="I64" s="100">
        <v>7.93</v>
      </c>
      <c r="J64" s="100">
        <v>0.56000000000000005</v>
      </c>
      <c r="K64" s="100">
        <v>251.14</v>
      </c>
      <c r="L64" s="100">
        <v>27.05</v>
      </c>
      <c r="M64" s="100">
        <v>82.91</v>
      </c>
      <c r="N64" s="100">
        <v>84.3</v>
      </c>
      <c r="O64" s="100">
        <v>0</v>
      </c>
      <c r="P64" s="100">
        <v>0.08</v>
      </c>
      <c r="Q64" s="100">
        <v>10</v>
      </c>
      <c r="R64" s="6"/>
      <c r="S64" s="6"/>
      <c r="T64" s="156"/>
      <c r="U64" s="6"/>
    </row>
    <row r="65" spans="1:21" customFormat="1">
      <c r="A65" s="163" t="s">
        <v>3080</v>
      </c>
      <c r="B65" s="100">
        <v>1.61</v>
      </c>
      <c r="C65" s="100">
        <v>7.67</v>
      </c>
      <c r="D65" s="100">
        <v>5.3</v>
      </c>
      <c r="E65" s="100">
        <v>66.5</v>
      </c>
      <c r="F65" s="100">
        <v>21.85</v>
      </c>
      <c r="G65" s="100">
        <v>12.53</v>
      </c>
      <c r="H65" s="100">
        <v>9.52</v>
      </c>
      <c r="I65" s="100">
        <v>8.08</v>
      </c>
      <c r="J65" s="100">
        <v>0.74</v>
      </c>
      <c r="K65" s="100">
        <v>249.8</v>
      </c>
      <c r="L65" s="100">
        <v>27.62</v>
      </c>
      <c r="M65" s="100">
        <v>81.05</v>
      </c>
      <c r="N65" s="100">
        <v>240.9</v>
      </c>
      <c r="O65" s="100">
        <v>0</v>
      </c>
      <c r="P65" s="100">
        <v>0.08</v>
      </c>
      <c r="Q65" s="100">
        <v>10</v>
      </c>
      <c r="R65" s="6"/>
      <c r="S65" s="6"/>
      <c r="T65" s="156"/>
      <c r="U65" s="6"/>
    </row>
    <row r="66" spans="1:21" customFormat="1">
      <c r="A66" s="163" t="s">
        <v>3081</v>
      </c>
      <c r="B66" s="100">
        <v>1.53</v>
      </c>
      <c r="C66" s="100">
        <v>7.17</v>
      </c>
      <c r="D66" s="100">
        <v>4.97</v>
      </c>
      <c r="E66" s="100">
        <v>5.03</v>
      </c>
      <c r="F66" s="100">
        <v>21.59</v>
      </c>
      <c r="G66" s="100">
        <v>13.75</v>
      </c>
      <c r="H66" s="100">
        <v>9.52</v>
      </c>
      <c r="I66" s="100">
        <v>4.8600000000000003</v>
      </c>
      <c r="J66" s="100">
        <v>0.93</v>
      </c>
      <c r="K66" s="100">
        <v>251.33</v>
      </c>
      <c r="L66" s="100">
        <v>27.93</v>
      </c>
      <c r="M66" s="100">
        <v>78.930000000000007</v>
      </c>
      <c r="N66" s="100">
        <v>235.1</v>
      </c>
      <c r="O66" s="100">
        <v>0</v>
      </c>
      <c r="P66" s="100">
        <v>0.09</v>
      </c>
      <c r="Q66" s="100">
        <v>10</v>
      </c>
      <c r="R66" s="6"/>
      <c r="S66" s="6"/>
      <c r="T66" s="156"/>
      <c r="U66" s="6"/>
    </row>
    <row r="67" spans="1:21" customFormat="1">
      <c r="A67" s="163" t="s">
        <v>3082</v>
      </c>
      <c r="B67" s="100">
        <v>1.5</v>
      </c>
      <c r="C67" s="100">
        <v>7.26</v>
      </c>
      <c r="D67" s="100">
        <v>5</v>
      </c>
      <c r="E67" s="100">
        <v>1.74</v>
      </c>
      <c r="F67" s="100">
        <v>15.63</v>
      </c>
      <c r="G67" s="100">
        <v>13.75</v>
      </c>
      <c r="H67" s="100">
        <v>9.52</v>
      </c>
      <c r="I67" s="100">
        <v>4.0599999999999996</v>
      </c>
      <c r="J67" s="100">
        <v>0.7</v>
      </c>
      <c r="K67" s="100">
        <v>250.46</v>
      </c>
      <c r="L67" s="100">
        <v>28.13</v>
      </c>
      <c r="M67" s="100">
        <v>78.98</v>
      </c>
      <c r="N67" s="100">
        <v>176.1</v>
      </c>
      <c r="O67" s="100">
        <v>0</v>
      </c>
      <c r="P67" s="100">
        <v>3.73</v>
      </c>
      <c r="Q67" s="100">
        <v>10</v>
      </c>
      <c r="R67" s="6"/>
      <c r="S67" s="6"/>
      <c r="T67" s="156"/>
      <c r="U67" s="6"/>
    </row>
    <row r="68" spans="1:21" customFormat="1">
      <c r="A68" s="163" t="s">
        <v>3083</v>
      </c>
      <c r="B68" s="100">
        <v>1.61</v>
      </c>
      <c r="C68" s="100">
        <v>8.42</v>
      </c>
      <c r="D68" s="100">
        <v>5.69</v>
      </c>
      <c r="E68" s="100">
        <v>2.23</v>
      </c>
      <c r="F68" s="100">
        <v>8.9600000000000009</v>
      </c>
      <c r="G68" s="100">
        <v>13.75</v>
      </c>
      <c r="H68" s="100">
        <v>9.52</v>
      </c>
      <c r="I68" s="100">
        <v>4.04</v>
      </c>
      <c r="J68" s="100">
        <v>0.68</v>
      </c>
      <c r="K68" s="100">
        <v>249.77</v>
      </c>
      <c r="L68" s="100">
        <v>27.54</v>
      </c>
      <c r="M68" s="100">
        <v>81.58</v>
      </c>
      <c r="N68" s="100">
        <v>116.7</v>
      </c>
      <c r="O68" s="100">
        <v>0</v>
      </c>
      <c r="P68" s="100">
        <v>3.76</v>
      </c>
      <c r="Q68" s="100">
        <v>10</v>
      </c>
      <c r="R68" s="6"/>
      <c r="S68" s="6"/>
      <c r="T68" s="156"/>
      <c r="U68" s="6"/>
    </row>
    <row r="69" spans="1:21" customFormat="1">
      <c r="A69" s="163" t="s">
        <v>3084</v>
      </c>
      <c r="B69" s="100">
        <v>1.58</v>
      </c>
      <c r="C69" s="100">
        <v>8.6300000000000008</v>
      </c>
      <c r="D69" s="100">
        <v>5.77</v>
      </c>
      <c r="E69" s="100">
        <v>2.34</v>
      </c>
      <c r="F69" s="100">
        <v>11.97</v>
      </c>
      <c r="G69" s="100">
        <v>13.26</v>
      </c>
      <c r="H69" s="100">
        <v>8.91</v>
      </c>
      <c r="I69" s="100">
        <v>4.6100000000000003</v>
      </c>
      <c r="J69" s="100">
        <v>0.69</v>
      </c>
      <c r="K69" s="100">
        <v>252.47</v>
      </c>
      <c r="L69" s="100">
        <v>27.4</v>
      </c>
      <c r="M69" s="100">
        <v>81.7</v>
      </c>
      <c r="N69" s="100">
        <v>71</v>
      </c>
      <c r="O69" s="100">
        <v>0</v>
      </c>
      <c r="P69" s="100">
        <v>3.79</v>
      </c>
      <c r="Q69" s="100">
        <v>10</v>
      </c>
      <c r="R69" s="6"/>
      <c r="S69" s="6"/>
      <c r="T69" s="156"/>
      <c r="U69" s="6"/>
    </row>
    <row r="70" spans="1:21" customFormat="1">
      <c r="A70" s="163" t="s">
        <v>3085</v>
      </c>
      <c r="B70" s="100">
        <v>1.72</v>
      </c>
      <c r="C70" s="100">
        <v>9.3800000000000008</v>
      </c>
      <c r="D70" s="100">
        <v>6.28</v>
      </c>
      <c r="E70" s="100">
        <v>2.35</v>
      </c>
      <c r="F70" s="100">
        <v>7.98</v>
      </c>
      <c r="G70" s="100">
        <v>13.21</v>
      </c>
      <c r="H70" s="100">
        <v>8.91</v>
      </c>
      <c r="I70" s="100">
        <v>5.35</v>
      </c>
      <c r="J70" s="100">
        <v>0.53</v>
      </c>
      <c r="K70" s="100">
        <v>254.34</v>
      </c>
      <c r="L70" s="100">
        <v>27.37</v>
      </c>
      <c r="M70" s="100">
        <v>82.73</v>
      </c>
      <c r="N70" s="100">
        <v>78.5</v>
      </c>
      <c r="O70" s="100">
        <v>0</v>
      </c>
      <c r="P70" s="100">
        <v>3.81</v>
      </c>
      <c r="Q70" s="100">
        <v>10</v>
      </c>
      <c r="R70" s="6"/>
      <c r="S70" s="6"/>
      <c r="T70" s="156"/>
      <c r="U70" s="6"/>
    </row>
    <row r="71" spans="1:21" customFormat="1">
      <c r="A71" s="163" t="s">
        <v>3086</v>
      </c>
      <c r="B71" s="100">
        <v>1.81</v>
      </c>
      <c r="C71" s="100">
        <v>9.5</v>
      </c>
      <c r="D71" s="100">
        <v>6.42</v>
      </c>
      <c r="E71" s="100">
        <v>2.5099999999999998</v>
      </c>
      <c r="F71" s="100">
        <v>11.37</v>
      </c>
      <c r="G71" s="100">
        <v>13.21</v>
      </c>
      <c r="H71" s="100">
        <v>8.91</v>
      </c>
      <c r="I71" s="100">
        <v>5.56</v>
      </c>
      <c r="J71" s="100">
        <v>0.73</v>
      </c>
      <c r="K71" s="100">
        <v>254.33</v>
      </c>
      <c r="L71" s="100">
        <v>27.57</v>
      </c>
      <c r="M71" s="100">
        <v>81.66</v>
      </c>
      <c r="N71" s="100">
        <v>136.6</v>
      </c>
      <c r="O71" s="100">
        <v>0</v>
      </c>
      <c r="P71" s="100">
        <v>3.84</v>
      </c>
      <c r="Q71" s="100">
        <v>10</v>
      </c>
      <c r="R71" s="6"/>
      <c r="S71" s="6"/>
      <c r="T71" s="156"/>
      <c r="U71" s="6"/>
    </row>
    <row r="72" spans="1:21" customFormat="1">
      <c r="A72" s="163" t="s">
        <v>3087</v>
      </c>
      <c r="B72" s="100">
        <v>1.95</v>
      </c>
      <c r="C72" s="100">
        <v>10.25</v>
      </c>
      <c r="D72" s="100">
        <v>6.92</v>
      </c>
      <c r="E72" s="100">
        <v>2.5299999999999998</v>
      </c>
      <c r="F72" s="100">
        <v>8.1</v>
      </c>
      <c r="G72" s="100">
        <v>13.21</v>
      </c>
      <c r="H72" s="100">
        <v>8.91</v>
      </c>
      <c r="I72" s="100">
        <v>6.6</v>
      </c>
      <c r="J72" s="100">
        <v>0.66</v>
      </c>
      <c r="K72" s="100">
        <v>253.27</v>
      </c>
      <c r="L72" s="100">
        <v>27.65</v>
      </c>
      <c r="M72" s="100">
        <v>80.83</v>
      </c>
      <c r="N72" s="100">
        <v>134.9</v>
      </c>
      <c r="O72" s="100">
        <v>0</v>
      </c>
      <c r="P72" s="100">
        <v>3.87</v>
      </c>
      <c r="Q72" s="100">
        <v>10</v>
      </c>
      <c r="R72" s="6"/>
      <c r="S72" s="6"/>
      <c r="T72" s="156"/>
      <c r="U72" s="6"/>
    </row>
    <row r="73" spans="1:21" customFormat="1">
      <c r="A73" s="163" t="s">
        <v>3088</v>
      </c>
      <c r="B73" s="100">
        <v>1.8</v>
      </c>
      <c r="C73" s="100">
        <v>8.98</v>
      </c>
      <c r="D73" s="100">
        <v>6.14</v>
      </c>
      <c r="E73" s="100">
        <v>2.74</v>
      </c>
      <c r="F73" s="100">
        <v>23.05</v>
      </c>
      <c r="G73" s="100">
        <v>17.45</v>
      </c>
      <c r="H73" s="100">
        <v>6.36</v>
      </c>
      <c r="I73" s="100">
        <v>7.16</v>
      </c>
      <c r="J73" s="100">
        <v>0.78</v>
      </c>
      <c r="K73" s="100">
        <v>251</v>
      </c>
      <c r="L73" s="100">
        <v>27.94</v>
      </c>
      <c r="M73" s="100">
        <v>79.77</v>
      </c>
      <c r="N73" s="100">
        <v>130.5</v>
      </c>
      <c r="O73" s="100">
        <v>0</v>
      </c>
      <c r="P73" s="100">
        <v>0.09</v>
      </c>
      <c r="Q73" s="100">
        <v>10</v>
      </c>
      <c r="R73" s="6"/>
      <c r="S73" s="6"/>
      <c r="T73" s="156"/>
      <c r="U73" s="6"/>
    </row>
    <row r="74" spans="1:21" customFormat="1">
      <c r="A74" s="163" t="s">
        <v>3089</v>
      </c>
      <c r="B74" s="100">
        <v>1.58</v>
      </c>
      <c r="C74" s="100">
        <v>7.4</v>
      </c>
      <c r="D74" s="100">
        <v>5.13</v>
      </c>
      <c r="E74" s="100">
        <v>2.39</v>
      </c>
      <c r="F74" s="100">
        <v>26.64</v>
      </c>
      <c r="G74" s="100">
        <v>17.86</v>
      </c>
      <c r="H74" s="100">
        <v>6.36</v>
      </c>
      <c r="I74" s="100">
        <v>7.19</v>
      </c>
      <c r="J74" s="100">
        <v>0.66</v>
      </c>
      <c r="K74" s="100">
        <v>250.35</v>
      </c>
      <c r="L74" s="100">
        <v>27.75</v>
      </c>
      <c r="M74" s="100">
        <v>80.569999999999993</v>
      </c>
      <c r="N74" s="100">
        <v>93.5</v>
      </c>
      <c r="O74" s="100">
        <v>0</v>
      </c>
      <c r="P74" s="100">
        <v>0.08</v>
      </c>
      <c r="Q74" s="100">
        <v>10</v>
      </c>
      <c r="R74" s="6"/>
      <c r="S74" s="6"/>
      <c r="T74" s="156"/>
      <c r="U74" s="6"/>
    </row>
    <row r="75" spans="1:21" customFormat="1">
      <c r="A75" s="163" t="s">
        <v>3090</v>
      </c>
      <c r="B75" s="100">
        <v>1.56</v>
      </c>
      <c r="C75" s="100">
        <v>7.16</v>
      </c>
      <c r="D75" s="100">
        <v>4.99</v>
      </c>
      <c r="E75" s="100">
        <v>2.76</v>
      </c>
      <c r="F75" s="100">
        <v>23.46</v>
      </c>
      <c r="G75" s="100">
        <v>17.86</v>
      </c>
      <c r="H75" s="100">
        <v>6.36</v>
      </c>
      <c r="I75" s="100">
        <v>4.26</v>
      </c>
      <c r="J75" s="100">
        <v>0.75</v>
      </c>
      <c r="K75" s="100">
        <v>252.21</v>
      </c>
      <c r="L75" s="100">
        <v>27.92</v>
      </c>
      <c r="M75" s="100">
        <v>80.459999999999994</v>
      </c>
      <c r="N75" s="100">
        <v>107</v>
      </c>
      <c r="O75" s="100">
        <v>0</v>
      </c>
      <c r="P75" s="100">
        <v>0.08</v>
      </c>
      <c r="Q75" s="100">
        <v>10</v>
      </c>
      <c r="R75" s="6"/>
      <c r="S75" s="6"/>
      <c r="T75" s="156"/>
      <c r="U75" s="6"/>
    </row>
    <row r="76" spans="1:21" customFormat="1">
      <c r="A76" s="163" t="s">
        <v>3091</v>
      </c>
      <c r="B76" s="100">
        <v>1.51</v>
      </c>
      <c r="C76" s="100">
        <v>7.72</v>
      </c>
      <c r="D76" s="100">
        <v>5.25</v>
      </c>
      <c r="E76" s="100">
        <v>2.74</v>
      </c>
      <c r="F76" s="100">
        <v>14.85</v>
      </c>
      <c r="G76" s="100">
        <v>17.86</v>
      </c>
      <c r="H76" s="100">
        <v>6.36</v>
      </c>
      <c r="I76" s="100">
        <v>2.0499999999999998</v>
      </c>
      <c r="J76" s="100">
        <v>0.82</v>
      </c>
      <c r="K76" s="100">
        <v>254.73</v>
      </c>
      <c r="L76" s="100">
        <v>27.8</v>
      </c>
      <c r="M76" s="100">
        <v>80.459999999999994</v>
      </c>
      <c r="N76" s="100">
        <v>86.3</v>
      </c>
      <c r="O76" s="100">
        <v>0</v>
      </c>
      <c r="P76" s="100">
        <v>0.08</v>
      </c>
      <c r="Q76" s="100">
        <v>10</v>
      </c>
      <c r="R76" s="6"/>
      <c r="S76" s="6"/>
      <c r="T76" s="156"/>
      <c r="U76" s="6"/>
    </row>
    <row r="77" spans="1:21" customFormat="1">
      <c r="A77" s="163" t="s">
        <v>3092</v>
      </c>
      <c r="B77" s="100">
        <v>1.59</v>
      </c>
      <c r="C77" s="100">
        <v>8.2799999999999994</v>
      </c>
      <c r="D77" s="100">
        <v>5.6</v>
      </c>
      <c r="E77" s="100">
        <v>3.02</v>
      </c>
      <c r="F77" s="100">
        <v>12.33</v>
      </c>
      <c r="G77" s="100">
        <v>17.87</v>
      </c>
      <c r="H77" s="100">
        <v>8.69</v>
      </c>
      <c r="I77" s="100">
        <v>1.97</v>
      </c>
      <c r="J77" s="100">
        <v>0.68</v>
      </c>
      <c r="K77" s="100">
        <v>251.96</v>
      </c>
      <c r="L77" s="100">
        <v>27.76</v>
      </c>
      <c r="M77" s="100">
        <v>80.78</v>
      </c>
      <c r="N77" s="100">
        <v>91.4</v>
      </c>
      <c r="O77" s="100">
        <v>0</v>
      </c>
      <c r="P77" s="100">
        <v>0.09</v>
      </c>
      <c r="Q77" s="100">
        <v>10</v>
      </c>
      <c r="R77" s="6"/>
      <c r="S77" s="6"/>
      <c r="T77" s="156"/>
      <c r="U77" s="6"/>
    </row>
    <row r="78" spans="1:21" customFormat="1">
      <c r="A78" s="163" t="s">
        <v>3093</v>
      </c>
      <c r="B78" s="100">
        <v>1.61</v>
      </c>
      <c r="C78" s="100">
        <v>8.43</v>
      </c>
      <c r="D78" s="100">
        <v>5.7</v>
      </c>
      <c r="E78" s="100">
        <v>3.21</v>
      </c>
      <c r="F78" s="100">
        <v>12.52</v>
      </c>
      <c r="G78" s="100">
        <v>17.87</v>
      </c>
      <c r="H78" s="100">
        <v>8.69</v>
      </c>
      <c r="I78" s="100">
        <v>2.25</v>
      </c>
      <c r="J78" s="100">
        <v>0.72</v>
      </c>
      <c r="K78" s="100">
        <v>255.15</v>
      </c>
      <c r="L78" s="100">
        <v>27.69</v>
      </c>
      <c r="M78" s="100">
        <v>80.7</v>
      </c>
      <c r="N78" s="100">
        <v>59.1</v>
      </c>
      <c r="O78" s="100">
        <v>0</v>
      </c>
      <c r="P78" s="100">
        <v>0.08</v>
      </c>
      <c r="Q78" s="100">
        <v>10</v>
      </c>
      <c r="R78" s="6"/>
      <c r="S78" s="6"/>
      <c r="T78" s="156"/>
      <c r="U78" s="6"/>
    </row>
    <row r="79" spans="1:21" customFormat="1">
      <c r="A79" s="163" t="s">
        <v>3094</v>
      </c>
      <c r="B79" s="100">
        <v>1.5</v>
      </c>
      <c r="C79" s="100">
        <v>7.64</v>
      </c>
      <c r="D79" s="100">
        <v>5.19</v>
      </c>
      <c r="E79" s="100">
        <v>2.97</v>
      </c>
      <c r="F79" s="100">
        <v>17.59</v>
      </c>
      <c r="G79" s="100">
        <v>17.87</v>
      </c>
      <c r="H79" s="100">
        <v>8.69</v>
      </c>
      <c r="I79" s="100">
        <v>2.3199999999999998</v>
      </c>
      <c r="J79" s="100">
        <v>0.55000000000000004</v>
      </c>
      <c r="K79" s="100">
        <v>250.8</v>
      </c>
      <c r="L79" s="100">
        <v>27.61</v>
      </c>
      <c r="M79" s="100">
        <v>81.61</v>
      </c>
      <c r="N79" s="100">
        <v>54.9</v>
      </c>
      <c r="O79" s="100">
        <v>0</v>
      </c>
      <c r="P79" s="100">
        <v>0.08</v>
      </c>
      <c r="Q79" s="100">
        <v>10</v>
      </c>
      <c r="R79" s="6"/>
      <c r="S79" s="6"/>
      <c r="T79" s="156"/>
      <c r="U79" s="6"/>
    </row>
    <row r="80" spans="1:21" customFormat="1">
      <c r="A80" s="163" t="s">
        <v>3095</v>
      </c>
      <c r="B80" s="100">
        <v>1.56</v>
      </c>
      <c r="C80" s="100">
        <v>7.86</v>
      </c>
      <c r="D80" s="100">
        <v>5.36</v>
      </c>
      <c r="E80" s="100">
        <v>2.85</v>
      </c>
      <c r="F80" s="100">
        <v>13.46</v>
      </c>
      <c r="G80" s="100">
        <v>17.87</v>
      </c>
      <c r="H80" s="100">
        <v>8.69</v>
      </c>
      <c r="I80" s="100">
        <v>2.25</v>
      </c>
      <c r="J80" s="100">
        <v>0.71</v>
      </c>
      <c r="K80" s="100">
        <v>257.62</v>
      </c>
      <c r="L80" s="100">
        <v>27.45</v>
      </c>
      <c r="M80" s="100">
        <v>81.680000000000007</v>
      </c>
      <c r="N80" s="100">
        <v>39.299999999999997</v>
      </c>
      <c r="O80" s="100">
        <v>0</v>
      </c>
      <c r="P80" s="100">
        <v>0.09</v>
      </c>
      <c r="Q80" s="100">
        <v>10</v>
      </c>
      <c r="R80" s="6"/>
      <c r="S80" s="6"/>
      <c r="T80" s="156"/>
      <c r="U80" s="6"/>
    </row>
    <row r="81" spans="1:21" customFormat="1">
      <c r="A81" s="163" t="s">
        <v>3096</v>
      </c>
      <c r="B81" s="100">
        <v>1.61</v>
      </c>
      <c r="C81" s="100">
        <v>8.18</v>
      </c>
      <c r="D81" s="100">
        <v>5.57</v>
      </c>
      <c r="E81" s="100">
        <v>2.85</v>
      </c>
      <c r="F81" s="100">
        <v>10.01</v>
      </c>
      <c r="G81" s="100">
        <v>13.97</v>
      </c>
      <c r="H81" s="100">
        <v>9.93</v>
      </c>
      <c r="I81" s="100">
        <v>2.0699999999999998</v>
      </c>
      <c r="J81" s="100">
        <v>0.48</v>
      </c>
      <c r="K81" s="100">
        <v>257.77</v>
      </c>
      <c r="L81" s="100">
        <v>27.32</v>
      </c>
      <c r="M81" s="100">
        <v>83.04</v>
      </c>
      <c r="N81" s="100">
        <v>29.6</v>
      </c>
      <c r="O81" s="100">
        <v>0</v>
      </c>
      <c r="P81" s="100">
        <v>0.1</v>
      </c>
      <c r="Q81" s="100">
        <v>10</v>
      </c>
      <c r="R81" s="6"/>
      <c r="S81" s="6"/>
      <c r="T81" s="156"/>
      <c r="U81" s="6"/>
    </row>
    <row r="82" spans="1:21" customFormat="1">
      <c r="A82" s="163" t="s">
        <v>3097</v>
      </c>
      <c r="B82" s="100">
        <v>1.64</v>
      </c>
      <c r="C82" s="100">
        <v>8.65</v>
      </c>
      <c r="D82" s="100">
        <v>5.84</v>
      </c>
      <c r="E82" s="100">
        <v>2.97</v>
      </c>
      <c r="F82" s="100">
        <v>7.1</v>
      </c>
      <c r="G82" s="100">
        <v>13.59</v>
      </c>
      <c r="H82" s="100">
        <v>9.93</v>
      </c>
      <c r="I82" s="100">
        <v>2.17</v>
      </c>
      <c r="J82" s="100">
        <v>0.51</v>
      </c>
      <c r="K82" s="100">
        <v>254.65</v>
      </c>
      <c r="L82" s="100">
        <v>27.04</v>
      </c>
      <c r="M82" s="100">
        <v>84.15</v>
      </c>
      <c r="N82" s="100">
        <v>14.5</v>
      </c>
      <c r="O82" s="100">
        <v>0</v>
      </c>
      <c r="P82" s="100">
        <v>0.11</v>
      </c>
      <c r="Q82" s="100">
        <v>10</v>
      </c>
      <c r="R82" s="6"/>
      <c r="S82" s="6"/>
      <c r="T82" s="156"/>
      <c r="U82" s="6"/>
    </row>
    <row r="83" spans="1:21" customFormat="1">
      <c r="A83" s="163" t="s">
        <v>3098</v>
      </c>
      <c r="B83" s="100">
        <v>1.52</v>
      </c>
      <c r="C83" s="100">
        <v>8.86</v>
      </c>
      <c r="D83" s="100">
        <v>5.85</v>
      </c>
      <c r="E83" s="100">
        <v>2.91</v>
      </c>
      <c r="F83" s="100">
        <v>5.0199999999999996</v>
      </c>
      <c r="G83" s="100">
        <v>13.59</v>
      </c>
      <c r="H83" s="100">
        <v>9.93</v>
      </c>
      <c r="I83" s="100">
        <v>2.11</v>
      </c>
      <c r="J83" s="100">
        <v>0.49</v>
      </c>
      <c r="K83" s="100">
        <v>255</v>
      </c>
      <c r="L83" s="100">
        <v>26.8</v>
      </c>
      <c r="M83" s="100">
        <v>85.99</v>
      </c>
      <c r="N83" s="100">
        <v>5.4</v>
      </c>
      <c r="O83" s="100">
        <v>0</v>
      </c>
      <c r="P83" s="100">
        <v>0.11</v>
      </c>
      <c r="Q83" s="100">
        <v>10</v>
      </c>
      <c r="R83" s="6"/>
      <c r="S83" s="6"/>
      <c r="T83" s="156"/>
      <c r="U83" s="6"/>
    </row>
    <row r="84" spans="1:21" customFormat="1">
      <c r="A84" s="163" t="s">
        <v>3099</v>
      </c>
      <c r="B84" s="100">
        <v>1.66</v>
      </c>
      <c r="C84" s="100">
        <v>9.4700000000000006</v>
      </c>
      <c r="D84" s="100">
        <v>6.28</v>
      </c>
      <c r="E84" s="100">
        <v>2.5099999999999998</v>
      </c>
      <c r="F84" s="100">
        <v>3.7</v>
      </c>
      <c r="G84" s="100">
        <v>13.59</v>
      </c>
      <c r="H84" s="100">
        <v>9.93</v>
      </c>
      <c r="I84" s="100">
        <v>1.66</v>
      </c>
      <c r="J84" s="100">
        <v>0.62</v>
      </c>
      <c r="K84" s="100">
        <v>255.81</v>
      </c>
      <c r="L84" s="100">
        <v>26.67</v>
      </c>
      <c r="M84" s="100">
        <v>86.79</v>
      </c>
      <c r="N84" s="100">
        <v>2.7</v>
      </c>
      <c r="O84" s="100">
        <v>0</v>
      </c>
      <c r="P84" s="100">
        <v>0.11</v>
      </c>
      <c r="Q84" s="100">
        <v>10</v>
      </c>
      <c r="R84" s="6"/>
      <c r="S84" s="6"/>
      <c r="T84" s="156"/>
      <c r="U84" s="6"/>
    </row>
    <row r="85" spans="1:21" customFormat="1">
      <c r="A85" s="163" t="s">
        <v>3100</v>
      </c>
      <c r="B85" s="100">
        <v>1.92</v>
      </c>
      <c r="C85" s="100">
        <v>10.06</v>
      </c>
      <c r="D85" s="100">
        <v>6.8</v>
      </c>
      <c r="E85" s="100">
        <v>2.4900000000000002</v>
      </c>
      <c r="F85" s="100">
        <v>3.74</v>
      </c>
      <c r="G85" s="100">
        <v>18.12</v>
      </c>
      <c r="H85" s="100">
        <v>8.85</v>
      </c>
      <c r="I85" s="100">
        <v>2.15</v>
      </c>
      <c r="J85" s="100">
        <v>0.54</v>
      </c>
      <c r="K85" s="100">
        <v>257.26</v>
      </c>
      <c r="L85" s="100">
        <v>26.6</v>
      </c>
      <c r="M85" s="100">
        <v>86.75</v>
      </c>
      <c r="N85" s="100">
        <v>2.2999999999999998</v>
      </c>
      <c r="O85" s="100">
        <v>0</v>
      </c>
      <c r="P85" s="100">
        <v>0.11</v>
      </c>
      <c r="Q85" s="100">
        <v>10</v>
      </c>
      <c r="R85" s="6"/>
      <c r="S85" s="6"/>
      <c r="T85" s="156"/>
      <c r="U85" s="6"/>
    </row>
    <row r="86" spans="1:21" customFormat="1">
      <c r="A86" s="163" t="s">
        <v>3101</v>
      </c>
      <c r="B86" s="100">
        <v>2.11</v>
      </c>
      <c r="C86" s="100">
        <v>10.3</v>
      </c>
      <c r="D86" s="100">
        <v>7.08</v>
      </c>
      <c r="E86" s="100">
        <v>2.5499999999999998</v>
      </c>
      <c r="F86" s="100">
        <v>4.28</v>
      </c>
      <c r="G86" s="100">
        <v>18.559999999999999</v>
      </c>
      <c r="H86" s="100">
        <v>8.85</v>
      </c>
      <c r="I86" s="100">
        <v>2.2400000000000002</v>
      </c>
      <c r="J86" s="100">
        <v>0.3</v>
      </c>
      <c r="K86" s="100">
        <v>254.25</v>
      </c>
      <c r="L86" s="100">
        <v>26.4</v>
      </c>
      <c r="M86" s="100">
        <v>87.67</v>
      </c>
      <c r="N86" s="100">
        <v>2.2999999999999998</v>
      </c>
      <c r="O86" s="100">
        <v>0</v>
      </c>
      <c r="P86" s="100">
        <v>0.09</v>
      </c>
      <c r="Q86" s="100">
        <v>10</v>
      </c>
      <c r="R86" s="6"/>
      <c r="S86" s="6"/>
      <c r="T86" s="156"/>
      <c r="U86" s="6"/>
    </row>
    <row r="87" spans="1:21" customFormat="1">
      <c r="A87" s="163" t="s">
        <v>3102</v>
      </c>
      <c r="B87" s="100">
        <v>2.44</v>
      </c>
      <c r="C87" s="100">
        <v>10.87</v>
      </c>
      <c r="D87" s="100">
        <v>7.64</v>
      </c>
      <c r="E87" s="100">
        <v>2.83</v>
      </c>
      <c r="F87" s="100">
        <v>2.93</v>
      </c>
      <c r="G87" s="100">
        <v>18.559999999999999</v>
      </c>
      <c r="H87" s="100">
        <v>8.85</v>
      </c>
      <c r="I87" s="100">
        <v>2.35</v>
      </c>
      <c r="J87" s="100">
        <v>0.36</v>
      </c>
      <c r="K87" s="100">
        <v>253.35</v>
      </c>
      <c r="L87" s="100">
        <v>26.31</v>
      </c>
      <c r="M87" s="100">
        <v>88.28</v>
      </c>
      <c r="N87" s="100">
        <v>2.2000000000000002</v>
      </c>
      <c r="O87" s="100">
        <v>0</v>
      </c>
      <c r="P87" s="100">
        <v>0.11</v>
      </c>
      <c r="Q87" s="100">
        <v>10</v>
      </c>
      <c r="R87" s="6"/>
      <c r="S87" s="6"/>
      <c r="T87" s="156"/>
      <c r="U87" s="6"/>
    </row>
    <row r="88" spans="1:21" customFormat="1">
      <c r="A88" s="163" t="s">
        <v>3103</v>
      </c>
      <c r="B88" s="100">
        <v>2.6</v>
      </c>
      <c r="C88" s="100">
        <v>10.75</v>
      </c>
      <c r="D88" s="100">
        <v>7.7</v>
      </c>
      <c r="E88" s="100">
        <v>2.88</v>
      </c>
      <c r="F88" s="100">
        <v>3.67</v>
      </c>
      <c r="G88" s="100">
        <v>18.559999999999999</v>
      </c>
      <c r="H88" s="100">
        <v>8.85</v>
      </c>
      <c r="I88" s="100">
        <v>2.42</v>
      </c>
      <c r="J88" s="100">
        <v>0.34</v>
      </c>
      <c r="K88" s="100">
        <v>255.65</v>
      </c>
      <c r="L88" s="100">
        <v>26.29</v>
      </c>
      <c r="M88" s="100">
        <v>88.59</v>
      </c>
      <c r="N88" s="100">
        <v>2.1</v>
      </c>
      <c r="O88" s="100">
        <v>0</v>
      </c>
      <c r="P88" s="100">
        <v>0.1</v>
      </c>
      <c r="Q88" s="100">
        <v>10</v>
      </c>
      <c r="R88" s="6"/>
      <c r="S88" s="6"/>
      <c r="T88" s="156"/>
      <c r="U88" s="6"/>
    </row>
    <row r="89" spans="1:21" customFormat="1">
      <c r="A89" s="163" t="s">
        <v>3104</v>
      </c>
      <c r="B89" s="100">
        <v>2.85</v>
      </c>
      <c r="C89" s="100">
        <v>10.96</v>
      </c>
      <c r="D89" s="100">
        <v>8.01</v>
      </c>
      <c r="E89" s="100">
        <v>2.72</v>
      </c>
      <c r="F89" s="100">
        <v>3.85</v>
      </c>
      <c r="G89" s="100">
        <v>15.97</v>
      </c>
      <c r="H89" s="100">
        <v>9.4499999999999993</v>
      </c>
      <c r="I89" s="100">
        <v>2.57</v>
      </c>
      <c r="J89" s="100">
        <v>0.43</v>
      </c>
      <c r="K89" s="100">
        <v>258.52999999999997</v>
      </c>
      <c r="L89" s="100">
        <v>26.3</v>
      </c>
      <c r="M89" s="100">
        <v>88.01</v>
      </c>
      <c r="N89" s="100">
        <v>2.1</v>
      </c>
      <c r="O89" s="100">
        <v>0</v>
      </c>
      <c r="P89" s="100">
        <v>0.11</v>
      </c>
      <c r="Q89" s="100">
        <v>10</v>
      </c>
      <c r="R89" s="6"/>
      <c r="S89" s="6"/>
      <c r="T89" s="156"/>
      <c r="U89" s="6"/>
    </row>
    <row r="90" spans="1:21" customFormat="1">
      <c r="A90" s="163" t="s">
        <v>3105</v>
      </c>
      <c r="B90" s="100">
        <v>3.08</v>
      </c>
      <c r="C90" s="100">
        <v>11.04</v>
      </c>
      <c r="D90" s="100">
        <v>8.23</v>
      </c>
      <c r="E90" s="100">
        <v>3.01</v>
      </c>
      <c r="F90" s="100">
        <v>3.03</v>
      </c>
      <c r="G90" s="100">
        <v>15.71</v>
      </c>
      <c r="H90" s="100">
        <v>9.4499999999999993</v>
      </c>
      <c r="I90" s="100">
        <v>2.59</v>
      </c>
      <c r="J90" s="100">
        <v>0.51</v>
      </c>
      <c r="K90" s="100">
        <v>258.64999999999998</v>
      </c>
      <c r="L90" s="100">
        <v>26.33</v>
      </c>
      <c r="M90" s="100">
        <v>87.06</v>
      </c>
      <c r="N90" s="100">
        <v>2.2999999999999998</v>
      </c>
      <c r="O90" s="100">
        <v>0</v>
      </c>
      <c r="P90" s="100">
        <v>0.11</v>
      </c>
      <c r="Q90" s="100">
        <v>10</v>
      </c>
      <c r="R90" s="6"/>
      <c r="S90" s="6"/>
      <c r="T90" s="156"/>
      <c r="U90" s="6"/>
    </row>
    <row r="91" spans="1:21" customFormat="1">
      <c r="A91" s="163" t="s">
        <v>3106</v>
      </c>
      <c r="B91" s="100">
        <v>3.19</v>
      </c>
      <c r="C91" s="100">
        <v>11.07</v>
      </c>
      <c r="D91" s="100">
        <v>8.34</v>
      </c>
      <c r="E91" s="100">
        <v>3</v>
      </c>
      <c r="F91" s="100">
        <v>3.2</v>
      </c>
      <c r="G91" s="100">
        <v>15.71</v>
      </c>
      <c r="H91" s="100">
        <v>9.4499999999999993</v>
      </c>
      <c r="I91" s="100">
        <v>2.66</v>
      </c>
      <c r="J91" s="100">
        <v>0.64</v>
      </c>
      <c r="K91" s="100">
        <v>256.29000000000002</v>
      </c>
      <c r="L91" s="100">
        <v>26.33</v>
      </c>
      <c r="M91" s="100">
        <v>86.12</v>
      </c>
      <c r="N91" s="100">
        <v>2.2999999999999998</v>
      </c>
      <c r="O91" s="100">
        <v>0</v>
      </c>
      <c r="P91" s="100">
        <v>0.1</v>
      </c>
      <c r="Q91" s="100">
        <v>10</v>
      </c>
      <c r="R91" s="6"/>
      <c r="S91" s="6"/>
      <c r="T91" s="156"/>
      <c r="U91" s="6"/>
    </row>
    <row r="92" spans="1:21" customFormat="1">
      <c r="A92" s="163" t="s">
        <v>3107</v>
      </c>
      <c r="B92" s="100">
        <v>3.39</v>
      </c>
      <c r="C92" s="100">
        <v>11.39</v>
      </c>
      <c r="D92" s="100">
        <v>8.67</v>
      </c>
      <c r="E92" s="100">
        <v>3.32</v>
      </c>
      <c r="F92" s="100">
        <v>3.18</v>
      </c>
      <c r="G92" s="100">
        <v>15.71</v>
      </c>
      <c r="H92" s="100">
        <v>9.4499999999999993</v>
      </c>
      <c r="I92" s="100">
        <v>2.7</v>
      </c>
      <c r="J92" s="100">
        <v>0.6</v>
      </c>
      <c r="K92" s="100">
        <v>253.67</v>
      </c>
      <c r="L92" s="100">
        <v>26.26</v>
      </c>
      <c r="M92" s="100">
        <v>86.43</v>
      </c>
      <c r="N92" s="100">
        <v>2.5</v>
      </c>
      <c r="O92" s="100">
        <v>0</v>
      </c>
      <c r="P92" s="100">
        <v>0.12</v>
      </c>
      <c r="Q92" s="100">
        <v>10</v>
      </c>
      <c r="R92" s="6"/>
      <c r="S92" s="6"/>
      <c r="T92" s="156"/>
      <c r="U92" s="6"/>
    </row>
    <row r="93" spans="1:21" customFormat="1">
      <c r="A93" s="163" t="s">
        <v>3108</v>
      </c>
      <c r="B93" s="100">
        <v>3.42</v>
      </c>
      <c r="C93" s="100">
        <v>11.22</v>
      </c>
      <c r="D93" s="100">
        <v>8.6</v>
      </c>
      <c r="E93" s="100">
        <v>2.95</v>
      </c>
      <c r="F93" s="100">
        <v>3.6</v>
      </c>
      <c r="G93" s="100">
        <v>12.82</v>
      </c>
      <c r="H93" s="100">
        <v>8.9700000000000006</v>
      </c>
      <c r="I93" s="100">
        <v>2.7</v>
      </c>
      <c r="J93" s="100">
        <v>0.73</v>
      </c>
      <c r="K93" s="100">
        <v>254.28</v>
      </c>
      <c r="L93" s="100">
        <v>26.1</v>
      </c>
      <c r="M93" s="100">
        <v>87.19</v>
      </c>
      <c r="N93" s="100">
        <v>2.4</v>
      </c>
      <c r="O93" s="100">
        <v>0</v>
      </c>
      <c r="P93" s="100">
        <v>0.1</v>
      </c>
      <c r="Q93" s="100">
        <v>10</v>
      </c>
      <c r="R93" s="6"/>
      <c r="S93" s="6"/>
      <c r="T93" s="156"/>
      <c r="U93" s="6"/>
    </row>
    <row r="94" spans="1:21" customFormat="1">
      <c r="A94" s="163" t="s">
        <v>3109</v>
      </c>
      <c r="B94" s="100">
        <v>3.61</v>
      </c>
      <c r="C94" s="100">
        <v>11.68</v>
      </c>
      <c r="D94" s="100">
        <v>9</v>
      </c>
      <c r="E94" s="100">
        <v>3.41</v>
      </c>
      <c r="F94" s="100">
        <v>2.5</v>
      </c>
      <c r="G94" s="100">
        <v>12.57</v>
      </c>
      <c r="H94" s="100">
        <v>8.9700000000000006</v>
      </c>
      <c r="I94" s="100">
        <v>2.8</v>
      </c>
      <c r="J94" s="100">
        <v>0.49</v>
      </c>
      <c r="K94" s="100">
        <v>252.29</v>
      </c>
      <c r="L94" s="100">
        <v>26</v>
      </c>
      <c r="M94" s="100">
        <v>88.17</v>
      </c>
      <c r="N94" s="100">
        <v>2.4</v>
      </c>
      <c r="O94" s="100">
        <v>0</v>
      </c>
      <c r="P94" s="100">
        <v>0.12</v>
      </c>
      <c r="Q94" s="100">
        <v>10</v>
      </c>
      <c r="R94" s="6"/>
      <c r="S94" s="6"/>
      <c r="T94" s="156"/>
      <c r="U94" s="6"/>
    </row>
    <row r="95" spans="1:21" customFormat="1">
      <c r="A95" s="163" t="s">
        <v>3110</v>
      </c>
      <c r="B95" s="100">
        <v>3.66</v>
      </c>
      <c r="C95" s="100">
        <v>11.45</v>
      </c>
      <c r="D95" s="100">
        <v>8.92</v>
      </c>
      <c r="E95" s="100">
        <v>3.03</v>
      </c>
      <c r="F95" s="100">
        <v>2.69</v>
      </c>
      <c r="G95" s="100">
        <v>12.57</v>
      </c>
      <c r="H95" s="100">
        <v>8.9700000000000006</v>
      </c>
      <c r="I95" s="100">
        <v>2.76</v>
      </c>
      <c r="J95" s="100">
        <v>0.54</v>
      </c>
      <c r="K95" s="100">
        <v>257.02</v>
      </c>
      <c r="L95" s="100">
        <v>25.9</v>
      </c>
      <c r="M95" s="100">
        <v>89.21</v>
      </c>
      <c r="N95" s="100">
        <v>2.4</v>
      </c>
      <c r="O95" s="100">
        <v>0</v>
      </c>
      <c r="P95" s="100">
        <v>0.11</v>
      </c>
      <c r="Q95" s="100">
        <v>10</v>
      </c>
      <c r="R95" s="6"/>
      <c r="S95" s="6"/>
      <c r="T95" s="156"/>
      <c r="U95" s="6"/>
    </row>
    <row r="96" spans="1:21" customFormat="1">
      <c r="A96" s="163" t="s">
        <v>3111</v>
      </c>
      <c r="B96" s="100">
        <v>3.81</v>
      </c>
      <c r="C96" s="100">
        <v>11.65</v>
      </c>
      <c r="D96" s="100">
        <v>9.14</v>
      </c>
      <c r="E96" s="100">
        <v>3.43</v>
      </c>
      <c r="F96" s="100">
        <v>2.48</v>
      </c>
      <c r="G96" s="100">
        <v>12.57</v>
      </c>
      <c r="H96" s="100">
        <v>8.9700000000000006</v>
      </c>
      <c r="I96" s="100">
        <v>2.86</v>
      </c>
      <c r="J96" s="100">
        <v>0.66</v>
      </c>
      <c r="K96" s="100">
        <v>258.76</v>
      </c>
      <c r="L96" s="100">
        <v>25.86</v>
      </c>
      <c r="M96" s="100">
        <v>88.72</v>
      </c>
      <c r="N96" s="100">
        <v>2.2000000000000002</v>
      </c>
      <c r="O96" s="100">
        <v>0</v>
      </c>
      <c r="P96" s="100">
        <v>0.12</v>
      </c>
      <c r="Q96" s="100">
        <v>10</v>
      </c>
      <c r="R96" s="6"/>
      <c r="S96" s="6"/>
      <c r="T96" s="156"/>
      <c r="U96" s="6"/>
    </row>
    <row r="97" spans="1:28" customFormat="1">
      <c r="A97" s="163" t="s">
        <v>3112</v>
      </c>
      <c r="B97" s="100">
        <v>3.79</v>
      </c>
      <c r="C97" s="100">
        <v>11.5</v>
      </c>
      <c r="D97" s="100">
        <v>9.0399999999999991</v>
      </c>
      <c r="E97" s="100">
        <v>3.5</v>
      </c>
      <c r="F97" s="100">
        <v>2.95</v>
      </c>
      <c r="G97" s="100">
        <v>12.31</v>
      </c>
      <c r="H97" s="100">
        <v>6.81</v>
      </c>
      <c r="I97" s="100">
        <v>2.82</v>
      </c>
      <c r="J97" s="100">
        <v>0.64</v>
      </c>
      <c r="K97" s="100">
        <v>257.49</v>
      </c>
      <c r="L97" s="100">
        <v>25.78</v>
      </c>
      <c r="M97" s="100">
        <v>88.69</v>
      </c>
      <c r="N97" s="100">
        <v>2.2999999999999998</v>
      </c>
      <c r="O97" s="100">
        <v>0</v>
      </c>
      <c r="P97" s="100">
        <v>0.11</v>
      </c>
      <c r="Q97" s="100">
        <v>10</v>
      </c>
      <c r="R97" s="6"/>
      <c r="S97" s="6"/>
      <c r="T97" s="156"/>
      <c r="U97" s="6"/>
    </row>
    <row r="98" spans="1:28" customFormat="1">
      <c r="A98" s="163" t="s">
        <v>3113</v>
      </c>
      <c r="B98" s="100">
        <v>3.97</v>
      </c>
      <c r="C98" s="100">
        <v>11.84</v>
      </c>
      <c r="D98" s="100">
        <v>9.3699999999999992</v>
      </c>
      <c r="E98" s="100">
        <v>3.5</v>
      </c>
      <c r="F98" s="100">
        <v>2.08</v>
      </c>
      <c r="G98" s="100">
        <v>12.28</v>
      </c>
      <c r="H98" s="100">
        <v>6.81</v>
      </c>
      <c r="I98" s="100">
        <v>2.88</v>
      </c>
      <c r="J98" s="100">
        <v>0.57999999999999996</v>
      </c>
      <c r="K98" s="100">
        <v>254.26</v>
      </c>
      <c r="L98" s="100">
        <v>25.67</v>
      </c>
      <c r="M98" s="100">
        <v>89.35</v>
      </c>
      <c r="N98" s="100">
        <v>2.4</v>
      </c>
      <c r="O98" s="100">
        <v>0</v>
      </c>
      <c r="P98" s="100">
        <v>0.13</v>
      </c>
      <c r="Q98" s="100">
        <v>10</v>
      </c>
      <c r="R98" s="6"/>
      <c r="S98" s="6"/>
      <c r="T98" s="156"/>
      <c r="U98" s="6"/>
    </row>
    <row r="99" spans="1:28" customFormat="1">
      <c r="A99" s="163" t="s">
        <v>3114</v>
      </c>
      <c r="B99" s="100">
        <v>4</v>
      </c>
      <c r="C99" s="100">
        <v>11.55</v>
      </c>
      <c r="D99" s="100">
        <v>9.24</v>
      </c>
      <c r="E99" s="100">
        <v>3.95</v>
      </c>
      <c r="F99" s="100">
        <v>2.0299999999999998</v>
      </c>
      <c r="G99" s="100">
        <v>12.28</v>
      </c>
      <c r="H99" s="100">
        <v>6.81</v>
      </c>
      <c r="I99" s="100">
        <v>2.84</v>
      </c>
      <c r="J99" s="100">
        <v>0.55000000000000004</v>
      </c>
      <c r="K99" s="100">
        <v>258.13</v>
      </c>
      <c r="L99" s="100">
        <v>25.57</v>
      </c>
      <c r="M99" s="100">
        <v>90.08</v>
      </c>
      <c r="N99" s="100">
        <v>2.2999999999999998</v>
      </c>
      <c r="O99" s="100">
        <v>0</v>
      </c>
      <c r="P99" s="100">
        <v>0.11</v>
      </c>
      <c r="Q99" s="100">
        <v>10</v>
      </c>
      <c r="R99" s="6"/>
      <c r="S99" s="6"/>
      <c r="T99" s="156"/>
      <c r="U99" s="6"/>
    </row>
    <row r="100" spans="1:28" customFormat="1">
      <c r="A100" s="163" t="s">
        <v>3115</v>
      </c>
      <c r="B100" s="100">
        <v>4.13</v>
      </c>
      <c r="C100" s="100">
        <v>11.7</v>
      </c>
      <c r="D100" s="100">
        <v>9.43</v>
      </c>
      <c r="E100" s="100">
        <v>3.56</v>
      </c>
      <c r="F100" s="100">
        <v>2.64</v>
      </c>
      <c r="G100" s="100">
        <v>12.28</v>
      </c>
      <c r="H100" s="100">
        <v>6.81</v>
      </c>
      <c r="I100" s="100">
        <v>2.92</v>
      </c>
      <c r="J100" s="100">
        <v>0.56999999999999995</v>
      </c>
      <c r="K100" s="100">
        <v>256.54000000000002</v>
      </c>
      <c r="L100" s="100">
        <v>25.5</v>
      </c>
      <c r="M100" s="100">
        <v>90.78</v>
      </c>
      <c r="N100" s="100">
        <v>2.2999999999999998</v>
      </c>
      <c r="O100" s="100">
        <v>0</v>
      </c>
      <c r="P100" s="100">
        <v>0.12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3116</v>
      </c>
      <c r="B101" s="100">
        <v>4.33</v>
      </c>
      <c r="C101" s="100">
        <v>11.97</v>
      </c>
      <c r="D101" s="100">
        <v>9.73</v>
      </c>
      <c r="E101" s="100">
        <v>3.94</v>
      </c>
      <c r="F101" s="100">
        <v>1.75</v>
      </c>
      <c r="G101" s="100">
        <v>11.57</v>
      </c>
      <c r="H101" s="100">
        <v>6.44</v>
      </c>
      <c r="I101" s="100">
        <v>2.86</v>
      </c>
      <c r="J101" s="100">
        <v>0.63</v>
      </c>
      <c r="K101" s="100">
        <v>256.33</v>
      </c>
      <c r="L101" s="100">
        <v>25.48</v>
      </c>
      <c r="M101" s="100">
        <v>91.16</v>
      </c>
      <c r="N101" s="100">
        <v>2.2999999999999998</v>
      </c>
      <c r="O101" s="100">
        <v>0</v>
      </c>
      <c r="P101" s="100">
        <v>0.13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3117</v>
      </c>
      <c r="B102" s="100">
        <v>4.25</v>
      </c>
      <c r="C102" s="100">
        <v>11.53</v>
      </c>
      <c r="D102" s="100">
        <v>9.43</v>
      </c>
      <c r="E102" s="100">
        <v>3.86</v>
      </c>
      <c r="F102" s="100">
        <v>1.81</v>
      </c>
      <c r="G102" s="100">
        <v>11.51</v>
      </c>
      <c r="H102" s="100">
        <v>6.44</v>
      </c>
      <c r="I102" s="100">
        <v>2.92</v>
      </c>
      <c r="J102" s="100">
        <v>0.56000000000000005</v>
      </c>
      <c r="K102" s="100">
        <v>254.52</v>
      </c>
      <c r="L102" s="100">
        <v>25.46</v>
      </c>
      <c r="M102" s="100">
        <v>91.3</v>
      </c>
      <c r="N102" s="100">
        <v>2.4</v>
      </c>
      <c r="O102" s="100">
        <v>0</v>
      </c>
      <c r="P102" s="100">
        <v>0.12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3118</v>
      </c>
      <c r="B103" s="100">
        <v>4.12</v>
      </c>
      <c r="C103" s="100">
        <v>11.4</v>
      </c>
      <c r="D103" s="100">
        <v>9.26</v>
      </c>
      <c r="E103" s="100">
        <v>4.34</v>
      </c>
      <c r="F103" s="100">
        <v>1.46</v>
      </c>
      <c r="G103" s="100">
        <v>11.51</v>
      </c>
      <c r="H103" s="100">
        <v>6.44</v>
      </c>
      <c r="I103" s="100">
        <v>2.89</v>
      </c>
      <c r="J103" s="100">
        <v>0.48</v>
      </c>
      <c r="K103" s="100">
        <v>255.3</v>
      </c>
      <c r="L103" s="100">
        <v>25.42</v>
      </c>
      <c r="M103" s="100">
        <v>91.77</v>
      </c>
      <c r="N103" s="100">
        <v>2.2999999999999998</v>
      </c>
      <c r="O103" s="100">
        <v>0</v>
      </c>
      <c r="P103" s="100">
        <v>0.12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3119</v>
      </c>
      <c r="B104" s="100">
        <v>4.0599999999999996</v>
      </c>
      <c r="C104" s="100">
        <v>11.35</v>
      </c>
      <c r="D104" s="100">
        <v>9.18</v>
      </c>
      <c r="E104" s="100">
        <v>4.72</v>
      </c>
      <c r="F104" s="100">
        <v>1.21</v>
      </c>
      <c r="G104" s="100">
        <v>11.51</v>
      </c>
      <c r="H104" s="100">
        <v>6.44</v>
      </c>
      <c r="I104" s="100">
        <v>2.78</v>
      </c>
      <c r="J104" s="100">
        <v>0.45</v>
      </c>
      <c r="K104" s="100">
        <v>254.88</v>
      </c>
      <c r="L104" s="100">
        <v>25.43</v>
      </c>
      <c r="M104" s="100">
        <v>91.93</v>
      </c>
      <c r="N104" s="100">
        <v>2.2999999999999998</v>
      </c>
      <c r="O104" s="100">
        <v>0</v>
      </c>
      <c r="P104" s="100">
        <v>0.12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</v>
      </c>
      <c r="C106" s="158">
        <f>MIN(C9:C104)</f>
        <v>7.16</v>
      </c>
      <c r="D106" s="158">
        <f t="shared" ref="D106:Q106" si="0">MIN(D9:D104)</f>
        <v>4.97</v>
      </c>
      <c r="E106" s="158">
        <f t="shared" si="0"/>
        <v>1.41</v>
      </c>
      <c r="F106" s="158">
        <f t="shared" si="0"/>
        <v>1.19</v>
      </c>
      <c r="G106" s="158">
        <f t="shared" si="0"/>
        <v>1.21</v>
      </c>
      <c r="H106" s="158">
        <f t="shared" si="0"/>
        <v>0.9</v>
      </c>
      <c r="I106" s="158">
        <f t="shared" si="0"/>
        <v>1.66</v>
      </c>
      <c r="J106" s="158">
        <f t="shared" si="0"/>
        <v>0.3</v>
      </c>
      <c r="K106" s="158">
        <f t="shared" si="0"/>
        <v>245.06</v>
      </c>
      <c r="L106" s="158">
        <f t="shared" si="0"/>
        <v>24.21</v>
      </c>
      <c r="M106" s="158">
        <f t="shared" si="0"/>
        <v>78.930000000000007</v>
      </c>
      <c r="N106" s="158">
        <f t="shared" si="0"/>
        <v>2.1</v>
      </c>
      <c r="O106" s="158">
        <f t="shared" si="0"/>
        <v>0</v>
      </c>
      <c r="P106" s="158">
        <f t="shared" si="0"/>
        <v>7.0000000000000007E-2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5.16</v>
      </c>
      <c r="C107" s="157">
        <f t="shared" ref="C107:Q107" si="1">MAX(C9:C104)</f>
        <v>12.73</v>
      </c>
      <c r="D107" s="157">
        <f t="shared" si="1"/>
        <v>10.78</v>
      </c>
      <c r="E107" s="157">
        <f t="shared" si="1"/>
        <v>934.49</v>
      </c>
      <c r="F107" s="157">
        <f t="shared" si="1"/>
        <v>26.64</v>
      </c>
      <c r="G107" s="157">
        <f t="shared" si="1"/>
        <v>18.559999999999999</v>
      </c>
      <c r="H107" s="157">
        <f t="shared" si="1"/>
        <v>9.93</v>
      </c>
      <c r="I107" s="157">
        <f t="shared" si="1"/>
        <v>8.08</v>
      </c>
      <c r="J107" s="157">
        <f t="shared" si="1"/>
        <v>1.01</v>
      </c>
      <c r="K107" s="157">
        <f t="shared" si="1"/>
        <v>261.32</v>
      </c>
      <c r="L107" s="157">
        <f t="shared" si="1"/>
        <v>28.13</v>
      </c>
      <c r="M107" s="157">
        <f t="shared" si="1"/>
        <v>92.73</v>
      </c>
      <c r="N107" s="157">
        <f t="shared" si="1"/>
        <v>240.9</v>
      </c>
      <c r="O107" s="157">
        <f t="shared" si="1"/>
        <v>0</v>
      </c>
      <c r="P107" s="157">
        <f t="shared" si="1"/>
        <v>3.87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3.3527083333333345</v>
      </c>
      <c r="C108" s="158">
        <f t="shared" ref="C108:Q108" si="2">AVERAGE(C9:C104)</f>
        <v>10.903437499999995</v>
      </c>
      <c r="D108" s="158">
        <f t="shared" si="2"/>
        <v>8.3852083333333329</v>
      </c>
      <c r="E108" s="158">
        <f t="shared" si="2"/>
        <v>25.00333333333333</v>
      </c>
      <c r="F108" s="158">
        <f t="shared" si="2"/>
        <v>5.8296874999999995</v>
      </c>
      <c r="G108" s="158">
        <f t="shared" si="2"/>
        <v>9.7123913043478272</v>
      </c>
      <c r="H108" s="158">
        <f t="shared" si="2"/>
        <v>4.3245652173913065</v>
      </c>
      <c r="I108" s="158">
        <f t="shared" si="2"/>
        <v>2.9370833333333333</v>
      </c>
      <c r="J108" s="158">
        <f t="shared" si="2"/>
        <v>0.64218749999999991</v>
      </c>
      <c r="K108" s="158">
        <f t="shared" si="2"/>
        <v>253.8769791666667</v>
      </c>
      <c r="L108" s="158">
        <f t="shared" si="2"/>
        <v>25.843750000000004</v>
      </c>
      <c r="M108" s="158">
        <f t="shared" si="2"/>
        <v>87.351770833333305</v>
      </c>
      <c r="N108" s="158">
        <f t="shared" si="2"/>
        <v>54.891666666666659</v>
      </c>
      <c r="O108" s="158">
        <f t="shared" si="2"/>
        <v>0</v>
      </c>
      <c r="P108" s="158">
        <f t="shared" si="2"/>
        <v>0.32927083333333323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1.2786625242327172</v>
      </c>
      <c r="C109" s="158">
        <f t="shared" ref="C109:Q109" si="3">STDEV(C9:C104)</f>
        <v>1.6484652052423965</v>
      </c>
      <c r="D109" s="158">
        <f t="shared" si="3"/>
        <v>1.8576957878917839</v>
      </c>
      <c r="E109" s="158">
        <f t="shared" si="3"/>
        <v>116.39067534242879</v>
      </c>
      <c r="F109" s="158">
        <f t="shared" si="3"/>
        <v>6.0496596603923889</v>
      </c>
      <c r="G109" s="158">
        <f t="shared" si="3"/>
        <v>5.7788757736981653</v>
      </c>
      <c r="H109" s="158">
        <f t="shared" si="3"/>
        <v>3.6869682631834388</v>
      </c>
      <c r="I109" s="158">
        <f t="shared" si="3"/>
        <v>1.2773574009745898</v>
      </c>
      <c r="J109" s="158">
        <f t="shared" si="3"/>
        <v>0.13690721502651368</v>
      </c>
      <c r="K109" s="158">
        <f t="shared" si="3"/>
        <v>2.6320158853270668</v>
      </c>
      <c r="L109" s="158">
        <f t="shared" si="3"/>
        <v>1.2506236339059844</v>
      </c>
      <c r="M109" s="158">
        <f t="shared" si="3"/>
        <v>4.1121514396626129</v>
      </c>
      <c r="N109" s="158">
        <f t="shared" si="3"/>
        <v>64.413352108274623</v>
      </c>
      <c r="O109" s="158">
        <f t="shared" si="3"/>
        <v>0</v>
      </c>
      <c r="P109" s="158">
        <f t="shared" si="3"/>
        <v>0.90109669414163474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117"/>
  <sheetViews>
    <sheetView zoomScale="85" zoomScaleNormal="85" workbookViewId="0">
      <pane ySplit="8" topLeftCell="A93" activePane="bottomLeft" state="frozen"/>
      <selection pane="bottomLeft" activeCell="L12" sqref="L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31/07/2025 00:15</v>
      </c>
      <c r="C2" s="164" t="s">
        <v>3</v>
      </c>
      <c r="D2" s="164"/>
      <c r="E2" s="164"/>
      <c r="F2" s="164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4" t="s">
        <v>11</v>
      </c>
      <c r="D3" s="164"/>
      <c r="E3" s="164"/>
      <c r="F3" s="164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4" t="s">
        <v>18</v>
      </c>
      <c r="D4" s="164"/>
      <c r="E4" s="164"/>
      <c r="F4" s="164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62" t="s">
        <v>39</v>
      </c>
      <c r="C8" s="162" t="s">
        <v>39</v>
      </c>
      <c r="D8" s="162" t="s">
        <v>40</v>
      </c>
      <c r="E8" s="162" t="s">
        <v>39</v>
      </c>
      <c r="F8" s="162" t="s">
        <v>39</v>
      </c>
      <c r="G8" s="162" t="s">
        <v>39</v>
      </c>
      <c r="H8" s="162" t="s">
        <v>39</v>
      </c>
      <c r="I8" s="162" t="s">
        <v>39</v>
      </c>
      <c r="J8" s="162" t="s">
        <v>41</v>
      </c>
      <c r="K8" s="162" t="s">
        <v>42</v>
      </c>
      <c r="L8" s="162" t="s">
        <v>43</v>
      </c>
      <c r="M8" s="162" t="s">
        <v>44</v>
      </c>
      <c r="N8" s="162" t="s">
        <v>45</v>
      </c>
      <c r="O8" s="162" t="s">
        <v>46</v>
      </c>
      <c r="P8" s="162" t="s">
        <v>47</v>
      </c>
      <c r="Q8" s="162" t="s">
        <v>39</v>
      </c>
      <c r="R8" s="132"/>
      <c r="S8" s="132"/>
      <c r="T8" s="132"/>
      <c r="U8" s="132"/>
    </row>
    <row r="9" spans="1:21" customFormat="1">
      <c r="A9" s="163" t="s">
        <v>3120</v>
      </c>
      <c r="B9" s="100">
        <v>4.04</v>
      </c>
      <c r="C9" s="100">
        <v>11.31</v>
      </c>
      <c r="D9" s="100">
        <v>9.15</v>
      </c>
      <c r="E9" s="100">
        <v>4.66</v>
      </c>
      <c r="F9" s="100">
        <v>2.42</v>
      </c>
      <c r="G9" s="100">
        <v>13.91</v>
      </c>
      <c r="H9" s="100">
        <v>7</v>
      </c>
      <c r="I9" s="100">
        <v>2.78</v>
      </c>
      <c r="J9" s="100">
        <v>0.28000000000000003</v>
      </c>
      <c r="K9" s="100">
        <v>253.08</v>
      </c>
      <c r="L9" s="100">
        <v>25.36</v>
      </c>
      <c r="M9" s="100">
        <v>92.56</v>
      </c>
      <c r="N9" s="100">
        <v>2.2999999999999998</v>
      </c>
      <c r="O9" s="100">
        <v>0</v>
      </c>
      <c r="P9" s="100">
        <v>0.12</v>
      </c>
      <c r="Q9" s="100">
        <v>10</v>
      </c>
      <c r="R9" s="6"/>
      <c r="S9" s="6"/>
      <c r="T9" s="156"/>
      <c r="U9" s="6"/>
    </row>
    <row r="10" spans="1:21" customFormat="1">
      <c r="A10" s="163" t="s">
        <v>3121</v>
      </c>
      <c r="B10" s="100">
        <v>4.04</v>
      </c>
      <c r="C10" s="100">
        <v>11.14</v>
      </c>
      <c r="D10" s="100">
        <v>9.06</v>
      </c>
      <c r="E10" s="100">
        <v>4.74</v>
      </c>
      <c r="F10" s="100">
        <v>2.0499999999999998</v>
      </c>
      <c r="G10" s="100">
        <v>14.14</v>
      </c>
      <c r="H10" s="100">
        <v>7</v>
      </c>
      <c r="I10" s="100">
        <v>2.82</v>
      </c>
      <c r="J10" s="100">
        <v>0.37</v>
      </c>
      <c r="K10" s="100">
        <v>254.28</v>
      </c>
      <c r="L10" s="100">
        <v>25.33</v>
      </c>
      <c r="M10" s="100">
        <v>92.9</v>
      </c>
      <c r="N10" s="100">
        <v>2.2999999999999998</v>
      </c>
      <c r="O10" s="100">
        <v>0</v>
      </c>
      <c r="P10" s="100">
        <v>0.11</v>
      </c>
      <c r="Q10" s="100">
        <v>10</v>
      </c>
      <c r="R10" s="6"/>
      <c r="S10" s="6"/>
      <c r="T10" s="156"/>
      <c r="U10" s="6"/>
    </row>
    <row r="11" spans="1:21" customFormat="1">
      <c r="A11" s="163" t="s">
        <v>3122</v>
      </c>
      <c r="B11" s="100">
        <v>4.1100000000000003</v>
      </c>
      <c r="C11" s="100">
        <v>11.01</v>
      </c>
      <c r="D11" s="100">
        <v>9.0500000000000007</v>
      </c>
      <c r="E11" s="100">
        <v>4.83</v>
      </c>
      <c r="F11" s="100">
        <v>1.34</v>
      </c>
      <c r="G11" s="100">
        <v>14.14</v>
      </c>
      <c r="H11" s="100">
        <v>7</v>
      </c>
      <c r="I11" s="100">
        <v>2.77</v>
      </c>
      <c r="J11" s="100">
        <v>0.44</v>
      </c>
      <c r="K11" s="100">
        <v>254.43</v>
      </c>
      <c r="L11" s="100">
        <v>25.39</v>
      </c>
      <c r="M11" s="100">
        <v>92.73</v>
      </c>
      <c r="N11" s="100">
        <v>2.2000000000000002</v>
      </c>
      <c r="O11" s="100">
        <v>0</v>
      </c>
      <c r="P11" s="100">
        <v>0.12</v>
      </c>
      <c r="Q11" s="100">
        <v>10</v>
      </c>
      <c r="R11" s="6"/>
      <c r="S11" s="6"/>
      <c r="T11" s="156"/>
      <c r="U11" s="6"/>
    </row>
    <row r="12" spans="1:21" customFormat="1">
      <c r="A12" s="163" t="s">
        <v>3123</v>
      </c>
      <c r="B12" s="100">
        <v>4.1100000000000003</v>
      </c>
      <c r="C12" s="100">
        <v>10.92</v>
      </c>
      <c r="D12" s="100">
        <v>9</v>
      </c>
      <c r="E12" s="100">
        <v>4.78</v>
      </c>
      <c r="F12" s="100">
        <v>1.79</v>
      </c>
      <c r="G12" s="100">
        <v>14.14</v>
      </c>
      <c r="H12" s="100">
        <v>7</v>
      </c>
      <c r="I12" s="100">
        <v>2.71</v>
      </c>
      <c r="J12" s="100">
        <v>0.56000000000000005</v>
      </c>
      <c r="K12" s="100">
        <v>256.02</v>
      </c>
      <c r="L12" s="100">
        <v>25.36</v>
      </c>
      <c r="M12" s="100">
        <v>92.73</v>
      </c>
      <c r="N12" s="100">
        <v>2.2000000000000002</v>
      </c>
      <c r="O12" s="100">
        <v>0</v>
      </c>
      <c r="P12" s="100">
        <v>0.12</v>
      </c>
      <c r="Q12" s="100">
        <v>10</v>
      </c>
      <c r="R12" s="6"/>
      <c r="S12" s="6"/>
      <c r="T12" s="156"/>
      <c r="U12" s="6"/>
    </row>
    <row r="13" spans="1:21" customFormat="1">
      <c r="A13" s="163" t="s">
        <v>3124</v>
      </c>
      <c r="B13" s="100">
        <v>4.08</v>
      </c>
      <c r="C13" s="100">
        <v>10.79</v>
      </c>
      <c r="D13" s="100">
        <v>8.91</v>
      </c>
      <c r="E13" s="100">
        <v>5.03</v>
      </c>
      <c r="F13" s="100">
        <v>2.31</v>
      </c>
      <c r="G13" s="100">
        <v>10.6</v>
      </c>
      <c r="H13" s="100">
        <v>8.3699999999999992</v>
      </c>
      <c r="I13" s="100">
        <v>2.73</v>
      </c>
      <c r="J13" s="100">
        <v>0.6</v>
      </c>
      <c r="K13" s="100">
        <v>256.24</v>
      </c>
      <c r="L13" s="100">
        <v>25.37</v>
      </c>
      <c r="M13" s="100">
        <v>92.36</v>
      </c>
      <c r="N13" s="100">
        <v>2.4</v>
      </c>
      <c r="O13" s="100">
        <v>0</v>
      </c>
      <c r="P13" s="100">
        <v>0.12</v>
      </c>
      <c r="Q13" s="100">
        <v>10</v>
      </c>
      <c r="R13" s="6"/>
      <c r="S13" s="6"/>
      <c r="T13" s="156"/>
      <c r="U13" s="6"/>
    </row>
    <row r="14" spans="1:21" customFormat="1">
      <c r="A14" s="163" t="s">
        <v>3125</v>
      </c>
      <c r="B14" s="100">
        <v>4.05</v>
      </c>
      <c r="C14" s="100">
        <v>10.73</v>
      </c>
      <c r="D14" s="100">
        <v>8.86</v>
      </c>
      <c r="E14" s="100">
        <v>4.95</v>
      </c>
      <c r="F14" s="100">
        <v>1.78</v>
      </c>
      <c r="G14" s="100">
        <v>10.26</v>
      </c>
      <c r="H14" s="100">
        <v>8.3699999999999992</v>
      </c>
      <c r="I14" s="100">
        <v>2.74</v>
      </c>
      <c r="J14" s="100">
        <v>0.51</v>
      </c>
      <c r="K14" s="100">
        <v>255.93</v>
      </c>
      <c r="L14" s="100">
        <v>25.37</v>
      </c>
      <c r="M14" s="100">
        <v>92.49</v>
      </c>
      <c r="N14" s="100">
        <v>2.2999999999999998</v>
      </c>
      <c r="O14" s="100">
        <v>0</v>
      </c>
      <c r="P14" s="100">
        <v>0.11</v>
      </c>
      <c r="Q14" s="100">
        <v>10</v>
      </c>
      <c r="R14" s="6"/>
      <c r="S14" s="6"/>
      <c r="T14" s="156"/>
      <c r="U14" s="6"/>
    </row>
    <row r="15" spans="1:21" customFormat="1">
      <c r="A15" s="163" t="s">
        <v>3126</v>
      </c>
      <c r="B15" s="100">
        <v>4.0599999999999996</v>
      </c>
      <c r="C15" s="100">
        <v>10.68</v>
      </c>
      <c r="D15" s="100">
        <v>8.83</v>
      </c>
      <c r="E15" s="100">
        <v>5.08</v>
      </c>
      <c r="F15" s="100">
        <v>1.44</v>
      </c>
      <c r="G15" s="100">
        <v>10.26</v>
      </c>
      <c r="H15" s="100">
        <v>8.3699999999999992</v>
      </c>
      <c r="I15" s="100">
        <v>2.69</v>
      </c>
      <c r="J15" s="100">
        <v>0.54</v>
      </c>
      <c r="K15" s="100">
        <v>255.46</v>
      </c>
      <c r="L15" s="100">
        <v>25.33</v>
      </c>
      <c r="M15" s="100">
        <v>92.81</v>
      </c>
      <c r="N15" s="100">
        <v>2.4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 customFormat="1">
      <c r="A16" s="163" t="s">
        <v>3127</v>
      </c>
      <c r="B16" s="100">
        <v>4.0599999999999996</v>
      </c>
      <c r="C16" s="100">
        <v>10.53</v>
      </c>
      <c r="D16" s="100">
        <v>8.75</v>
      </c>
      <c r="E16" s="100">
        <v>4.79</v>
      </c>
      <c r="F16" s="100">
        <v>2.2599999999999998</v>
      </c>
      <c r="G16" s="100">
        <v>10.26</v>
      </c>
      <c r="H16" s="100">
        <v>8.3699999999999992</v>
      </c>
      <c r="I16" s="100">
        <v>2.68</v>
      </c>
      <c r="J16" s="100">
        <v>0.35</v>
      </c>
      <c r="K16" s="100">
        <v>254.87</v>
      </c>
      <c r="L16" s="100">
        <v>25.29</v>
      </c>
      <c r="M16" s="100">
        <v>93.27</v>
      </c>
      <c r="N16" s="100">
        <v>2.4</v>
      </c>
      <c r="O16" s="100">
        <v>0</v>
      </c>
      <c r="P16" s="100">
        <v>0.12</v>
      </c>
      <c r="Q16" s="100">
        <v>10</v>
      </c>
      <c r="R16" s="6"/>
      <c r="S16" s="6"/>
      <c r="T16" s="156"/>
      <c r="U16" s="6"/>
    </row>
    <row r="17" spans="1:21" customFormat="1">
      <c r="A17" s="163" t="s">
        <v>3128</v>
      </c>
      <c r="B17" s="100">
        <v>4.09</v>
      </c>
      <c r="C17" s="100">
        <v>10.43</v>
      </c>
      <c r="D17" s="100">
        <v>8.73</v>
      </c>
      <c r="E17" s="100">
        <v>3.65</v>
      </c>
      <c r="F17" s="100">
        <v>2.37</v>
      </c>
      <c r="G17" s="100">
        <v>8.23</v>
      </c>
      <c r="H17" s="100">
        <v>5.91</v>
      </c>
      <c r="I17" s="100">
        <v>2.7</v>
      </c>
      <c r="J17" s="100">
        <v>0.4</v>
      </c>
      <c r="K17" s="100">
        <v>256.41000000000003</v>
      </c>
      <c r="L17" s="100">
        <v>25.24</v>
      </c>
      <c r="M17" s="100">
        <v>93.66</v>
      </c>
      <c r="N17" s="100">
        <v>2.2000000000000002</v>
      </c>
      <c r="O17" s="100">
        <v>0</v>
      </c>
      <c r="P17" s="100">
        <v>0.12</v>
      </c>
      <c r="Q17" s="100">
        <v>10</v>
      </c>
      <c r="R17" s="6"/>
      <c r="S17" s="6"/>
      <c r="T17" s="156"/>
      <c r="U17" s="6"/>
    </row>
    <row r="18" spans="1:21" customFormat="1">
      <c r="A18" s="163" t="s">
        <v>3129</v>
      </c>
      <c r="B18" s="100">
        <v>4.09</v>
      </c>
      <c r="C18" s="100">
        <v>10.36</v>
      </c>
      <c r="D18" s="100">
        <v>8.69</v>
      </c>
      <c r="E18" s="100">
        <v>4.3600000000000003</v>
      </c>
      <c r="F18" s="100">
        <v>1.67</v>
      </c>
      <c r="G18" s="100">
        <v>8.0399999999999991</v>
      </c>
      <c r="H18" s="100">
        <v>5.91</v>
      </c>
      <c r="I18" s="100">
        <v>2.66</v>
      </c>
      <c r="J18" s="100">
        <v>0.43</v>
      </c>
      <c r="K18" s="100">
        <v>256.39999999999998</v>
      </c>
      <c r="L18" s="100">
        <v>25.29</v>
      </c>
      <c r="M18" s="100">
        <v>93.27</v>
      </c>
      <c r="N18" s="100">
        <v>2.2000000000000002</v>
      </c>
      <c r="O18" s="100">
        <v>0</v>
      </c>
      <c r="P18" s="100">
        <v>0.11</v>
      </c>
      <c r="Q18" s="100">
        <v>10</v>
      </c>
      <c r="R18" s="6"/>
      <c r="S18" s="6"/>
      <c r="T18" s="156"/>
      <c r="U18" s="6"/>
    </row>
    <row r="19" spans="1:21" customFormat="1">
      <c r="A19" s="163" t="s">
        <v>3130</v>
      </c>
      <c r="B19" s="100">
        <v>4.1100000000000003</v>
      </c>
      <c r="C19" s="100">
        <v>10.38</v>
      </c>
      <c r="D19" s="100">
        <v>8.7200000000000006</v>
      </c>
      <c r="E19" s="100">
        <v>4.3499999999999996</v>
      </c>
      <c r="F19" s="100">
        <v>1.29</v>
      </c>
      <c r="G19" s="100">
        <v>8.0399999999999991</v>
      </c>
      <c r="H19" s="100">
        <v>5.91</v>
      </c>
      <c r="I19" s="100">
        <v>2.63</v>
      </c>
      <c r="J19" s="100">
        <v>0.4</v>
      </c>
      <c r="K19" s="100">
        <v>256.94</v>
      </c>
      <c r="L19" s="100">
        <v>25.23</v>
      </c>
      <c r="M19" s="100">
        <v>93.69</v>
      </c>
      <c r="N19" s="100">
        <v>2.2000000000000002</v>
      </c>
      <c r="O19" s="100">
        <v>0</v>
      </c>
      <c r="P19" s="100">
        <v>0.12</v>
      </c>
      <c r="Q19" s="100">
        <v>10</v>
      </c>
      <c r="R19" s="6"/>
      <c r="S19" s="6"/>
      <c r="T19" s="156"/>
      <c r="U19" s="6"/>
    </row>
    <row r="20" spans="1:21" customFormat="1">
      <c r="A20" s="163" t="s">
        <v>3131</v>
      </c>
      <c r="B20" s="100">
        <v>4.0999999999999996</v>
      </c>
      <c r="C20" s="100">
        <v>10.37</v>
      </c>
      <c r="D20" s="100">
        <v>8.7100000000000009</v>
      </c>
      <c r="E20" s="100">
        <v>4.63</v>
      </c>
      <c r="F20" s="100">
        <v>1.81</v>
      </c>
      <c r="G20" s="100">
        <v>8.0399999999999991</v>
      </c>
      <c r="H20" s="100">
        <v>5.91</v>
      </c>
      <c r="I20" s="100">
        <v>2.63</v>
      </c>
      <c r="J20" s="100">
        <v>0.47</v>
      </c>
      <c r="K20" s="100">
        <v>254.13</v>
      </c>
      <c r="L20" s="100">
        <v>25.26</v>
      </c>
      <c r="M20" s="100">
        <v>93.46</v>
      </c>
      <c r="N20" s="100">
        <v>2.1</v>
      </c>
      <c r="O20" s="100">
        <v>0</v>
      </c>
      <c r="P20" s="100">
        <v>0.12</v>
      </c>
      <c r="Q20" s="100">
        <v>10</v>
      </c>
      <c r="R20" s="6"/>
      <c r="S20" s="6"/>
      <c r="T20" s="156"/>
      <c r="U20" s="6"/>
    </row>
    <row r="21" spans="1:21" customFormat="1">
      <c r="A21" s="163" t="s">
        <v>3132</v>
      </c>
      <c r="B21" s="100">
        <v>4.0999999999999996</v>
      </c>
      <c r="C21" s="100">
        <v>10.24</v>
      </c>
      <c r="D21" s="100">
        <v>8.64</v>
      </c>
      <c r="E21" s="100">
        <v>4.6100000000000003</v>
      </c>
      <c r="F21" s="100">
        <v>2.5099999999999998</v>
      </c>
      <c r="G21" s="100">
        <v>11.38</v>
      </c>
      <c r="H21" s="100">
        <v>6.89</v>
      </c>
      <c r="I21" s="100">
        <v>2.65</v>
      </c>
      <c r="J21" s="100">
        <v>0.55000000000000004</v>
      </c>
      <c r="K21" s="100">
        <v>256.25</v>
      </c>
      <c r="L21" s="100">
        <v>25.25</v>
      </c>
      <c r="M21" s="100">
        <v>93.25</v>
      </c>
      <c r="N21" s="100">
        <v>2.2000000000000002</v>
      </c>
      <c r="O21" s="100">
        <v>0</v>
      </c>
      <c r="P21" s="100">
        <v>0.11</v>
      </c>
      <c r="Q21" s="100">
        <v>10</v>
      </c>
      <c r="R21" s="6"/>
      <c r="S21" s="6"/>
      <c r="T21" s="156"/>
      <c r="U21" s="6"/>
    </row>
    <row r="22" spans="1:21" customFormat="1">
      <c r="A22" s="163" t="s">
        <v>3133</v>
      </c>
      <c r="B22" s="100">
        <v>4.13</v>
      </c>
      <c r="C22" s="100">
        <v>10.16</v>
      </c>
      <c r="D22" s="100">
        <v>8.6300000000000008</v>
      </c>
      <c r="E22" s="100">
        <v>4.55</v>
      </c>
      <c r="F22" s="100">
        <v>1.94</v>
      </c>
      <c r="G22" s="100">
        <v>11.71</v>
      </c>
      <c r="H22" s="100">
        <v>6.89</v>
      </c>
      <c r="I22" s="100">
        <v>2.63</v>
      </c>
      <c r="J22" s="100">
        <v>0.36</v>
      </c>
      <c r="K22" s="100">
        <v>253.14</v>
      </c>
      <c r="L22" s="100">
        <v>25.21</v>
      </c>
      <c r="M22" s="100">
        <v>93.56</v>
      </c>
      <c r="N22" s="100">
        <v>2.2000000000000002</v>
      </c>
      <c r="O22" s="100">
        <v>0</v>
      </c>
      <c r="P22" s="100">
        <v>0.11</v>
      </c>
      <c r="Q22" s="100">
        <v>10</v>
      </c>
      <c r="R22" s="6"/>
      <c r="S22" s="6"/>
      <c r="T22" s="156"/>
      <c r="U22" s="6"/>
    </row>
    <row r="23" spans="1:21" customFormat="1">
      <c r="A23" s="163" t="s">
        <v>3134</v>
      </c>
      <c r="B23" s="100">
        <v>4.18</v>
      </c>
      <c r="C23" s="100">
        <v>10.18</v>
      </c>
      <c r="D23" s="100">
        <v>8.68</v>
      </c>
      <c r="E23" s="100">
        <v>4.7</v>
      </c>
      <c r="F23" s="100">
        <v>1.19</v>
      </c>
      <c r="G23" s="100">
        <v>11.71</v>
      </c>
      <c r="H23" s="100">
        <v>6.89</v>
      </c>
      <c r="I23" s="100">
        <v>2.57</v>
      </c>
      <c r="J23" s="100">
        <v>0.31</v>
      </c>
      <c r="K23" s="100">
        <v>253.85</v>
      </c>
      <c r="L23" s="100">
        <v>25.19</v>
      </c>
      <c r="M23" s="100">
        <v>93.77</v>
      </c>
      <c r="N23" s="100">
        <v>2.2000000000000002</v>
      </c>
      <c r="O23" s="100">
        <v>0</v>
      </c>
      <c r="P23" s="100">
        <v>0.12</v>
      </c>
      <c r="Q23" s="100">
        <v>10</v>
      </c>
      <c r="R23" s="6"/>
      <c r="S23" s="6"/>
      <c r="T23" s="156"/>
      <c r="U23" s="6"/>
    </row>
    <row r="24" spans="1:21" customFormat="1">
      <c r="A24" s="163" t="s">
        <v>3135</v>
      </c>
      <c r="B24" s="100">
        <v>4.22</v>
      </c>
      <c r="C24" s="100">
        <v>10.19</v>
      </c>
      <c r="D24" s="100">
        <v>8.7100000000000009</v>
      </c>
      <c r="E24" s="100">
        <v>4.68</v>
      </c>
      <c r="F24" s="100">
        <v>1.58</v>
      </c>
      <c r="G24" s="100">
        <v>11.71</v>
      </c>
      <c r="H24" s="100">
        <v>6.89</v>
      </c>
      <c r="I24" s="100">
        <v>2.61</v>
      </c>
      <c r="J24" s="100">
        <v>0.52</v>
      </c>
      <c r="K24" s="100">
        <v>254.41</v>
      </c>
      <c r="L24" s="100">
        <v>25.17</v>
      </c>
      <c r="M24" s="100">
        <v>93.84</v>
      </c>
      <c r="N24" s="100">
        <v>2.2000000000000002</v>
      </c>
      <c r="O24" s="100">
        <v>0</v>
      </c>
      <c r="P24" s="100">
        <v>0.12</v>
      </c>
      <c r="Q24" s="100">
        <v>10</v>
      </c>
      <c r="R24" s="6"/>
      <c r="S24" s="6"/>
      <c r="T24" s="156"/>
      <c r="U24" s="6"/>
    </row>
    <row r="25" spans="1:21" customFormat="1">
      <c r="A25" s="163" t="s">
        <v>3136</v>
      </c>
      <c r="B25" s="100">
        <v>4.21</v>
      </c>
      <c r="C25" s="100">
        <v>10.11</v>
      </c>
      <c r="D25" s="100">
        <v>8.66</v>
      </c>
      <c r="E25" s="100">
        <v>4.5599999999999996</v>
      </c>
      <c r="F25" s="100">
        <v>1.79</v>
      </c>
      <c r="G25" s="100">
        <v>9.76</v>
      </c>
      <c r="H25" s="100">
        <v>5.92</v>
      </c>
      <c r="I25" s="100">
        <v>2.68</v>
      </c>
      <c r="J25" s="100">
        <v>0.47</v>
      </c>
      <c r="K25" s="100">
        <v>259.25</v>
      </c>
      <c r="L25" s="100">
        <v>25.18</v>
      </c>
      <c r="M25" s="100">
        <v>93.51</v>
      </c>
      <c r="N25" s="100">
        <v>2.2000000000000002</v>
      </c>
      <c r="O25" s="100">
        <v>0</v>
      </c>
      <c r="P25" s="100">
        <v>0.12</v>
      </c>
      <c r="Q25" s="100">
        <v>10</v>
      </c>
      <c r="R25" s="6"/>
      <c r="S25" s="6"/>
      <c r="T25" s="156"/>
      <c r="U25" s="6"/>
    </row>
    <row r="26" spans="1:21" customFormat="1">
      <c r="A26" s="163" t="s">
        <v>3137</v>
      </c>
      <c r="B26" s="100">
        <v>4.29</v>
      </c>
      <c r="C26" s="100">
        <v>9.8699999999999992</v>
      </c>
      <c r="D26" s="100">
        <v>8.6</v>
      </c>
      <c r="E26" s="100">
        <v>4.62</v>
      </c>
      <c r="F26" s="100">
        <v>1.18</v>
      </c>
      <c r="G26" s="100">
        <v>9.57</v>
      </c>
      <c r="H26" s="100">
        <v>5.92</v>
      </c>
      <c r="I26" s="100">
        <v>2.59</v>
      </c>
      <c r="J26" s="100">
        <v>0.44</v>
      </c>
      <c r="K26" s="100">
        <v>256.76</v>
      </c>
      <c r="L26" s="100">
        <v>25.14</v>
      </c>
      <c r="M26" s="100">
        <v>93.76</v>
      </c>
      <c r="N26" s="100">
        <v>2.2000000000000002</v>
      </c>
      <c r="O26" s="100">
        <v>0</v>
      </c>
      <c r="P26" s="100">
        <v>0.11</v>
      </c>
      <c r="Q26" s="100">
        <v>10</v>
      </c>
      <c r="R26" s="6"/>
      <c r="S26" s="6"/>
      <c r="T26" s="156"/>
      <c r="U26" s="6"/>
    </row>
    <row r="27" spans="1:21" customFormat="1">
      <c r="A27" s="163" t="s">
        <v>3138</v>
      </c>
      <c r="B27" s="100">
        <v>4.3899999999999997</v>
      </c>
      <c r="C27" s="100">
        <v>9.9</v>
      </c>
      <c r="D27" s="100">
        <v>8.6999999999999993</v>
      </c>
      <c r="E27" s="100">
        <v>4.09</v>
      </c>
      <c r="F27" s="100">
        <v>2.0499999999999998</v>
      </c>
      <c r="G27" s="100">
        <v>9.57</v>
      </c>
      <c r="H27" s="100">
        <v>5.92</v>
      </c>
      <c r="I27" s="100">
        <v>2.5499999999999998</v>
      </c>
      <c r="J27" s="100">
        <v>0.49</v>
      </c>
      <c r="K27" s="100">
        <v>255.69</v>
      </c>
      <c r="L27" s="100">
        <v>25.12</v>
      </c>
      <c r="M27" s="100">
        <v>93.95</v>
      </c>
      <c r="N27" s="100">
        <v>2.2000000000000002</v>
      </c>
      <c r="O27" s="100">
        <v>0</v>
      </c>
      <c r="P27" s="100">
        <v>0.1</v>
      </c>
      <c r="Q27" s="100">
        <v>10</v>
      </c>
      <c r="R27" s="6"/>
      <c r="S27" s="6"/>
      <c r="T27" s="156"/>
      <c r="U27" s="6"/>
    </row>
    <row r="28" spans="1:21" customFormat="1">
      <c r="A28" s="163" t="s">
        <v>3139</v>
      </c>
      <c r="B28" s="100">
        <v>4.67</v>
      </c>
      <c r="C28" s="100">
        <v>10.28</v>
      </c>
      <c r="D28" s="100">
        <v>9.1199999999999992</v>
      </c>
      <c r="E28" s="100">
        <v>4.0199999999999996</v>
      </c>
      <c r="F28" s="100">
        <v>1.55</v>
      </c>
      <c r="G28" s="100">
        <v>9.57</v>
      </c>
      <c r="H28" s="100">
        <v>5.92</v>
      </c>
      <c r="I28" s="100">
        <v>2.5099999999999998</v>
      </c>
      <c r="J28" s="100">
        <v>0.55000000000000004</v>
      </c>
      <c r="K28" s="100">
        <v>257.16000000000003</v>
      </c>
      <c r="L28" s="100">
        <v>25.12</v>
      </c>
      <c r="M28" s="100">
        <v>93.73</v>
      </c>
      <c r="N28" s="100">
        <v>2.2000000000000002</v>
      </c>
      <c r="O28" s="100">
        <v>0</v>
      </c>
      <c r="P28" s="100">
        <v>0.12</v>
      </c>
      <c r="Q28" s="100">
        <v>10</v>
      </c>
      <c r="R28" s="6"/>
      <c r="S28" s="6"/>
      <c r="T28" s="156"/>
      <c r="U28" s="6"/>
    </row>
    <row r="29" spans="1:21" customFormat="1">
      <c r="A29" s="163" t="s">
        <v>3140</v>
      </c>
      <c r="B29" s="100">
        <v>4.78</v>
      </c>
      <c r="C29" s="100">
        <v>10.24</v>
      </c>
      <c r="D29" s="100">
        <v>9.18</v>
      </c>
      <c r="E29" s="100">
        <v>4.3099999999999996</v>
      </c>
      <c r="F29" s="100">
        <v>2.2599999999999998</v>
      </c>
      <c r="G29" s="100">
        <v>9.2899999999999991</v>
      </c>
      <c r="H29" s="100">
        <v>7.92</v>
      </c>
      <c r="I29" s="100">
        <v>2.5299999999999998</v>
      </c>
      <c r="J29" s="100">
        <v>0.48</v>
      </c>
      <c r="K29" s="100">
        <v>255.21</v>
      </c>
      <c r="L29" s="100">
        <v>25.14</v>
      </c>
      <c r="M29" s="100">
        <v>93.48</v>
      </c>
      <c r="N29" s="100">
        <v>2.2000000000000002</v>
      </c>
      <c r="O29" s="100">
        <v>0</v>
      </c>
      <c r="P29" s="100">
        <v>0.11</v>
      </c>
      <c r="Q29" s="100">
        <v>10</v>
      </c>
      <c r="R29" s="6"/>
      <c r="S29" s="6"/>
      <c r="T29" s="156"/>
      <c r="U29" s="6"/>
    </row>
    <row r="30" spans="1:21" customFormat="1">
      <c r="A30" s="163" t="s">
        <v>3141</v>
      </c>
      <c r="B30" s="100">
        <v>5</v>
      </c>
      <c r="C30" s="100">
        <v>10.4</v>
      </c>
      <c r="D30" s="100">
        <v>9.4499999999999993</v>
      </c>
      <c r="E30" s="100">
        <v>4.17</v>
      </c>
      <c r="F30" s="100">
        <v>1.96</v>
      </c>
      <c r="G30" s="100">
        <v>9.26</v>
      </c>
      <c r="H30" s="100">
        <v>7.92</v>
      </c>
      <c r="I30" s="100">
        <v>2.63</v>
      </c>
      <c r="J30" s="100">
        <v>0.39</v>
      </c>
      <c r="K30" s="100">
        <v>256.01</v>
      </c>
      <c r="L30" s="100">
        <v>25.13</v>
      </c>
      <c r="M30" s="100">
        <v>93.52</v>
      </c>
      <c r="N30" s="100">
        <v>2.4</v>
      </c>
      <c r="O30" s="100">
        <v>0</v>
      </c>
      <c r="P30" s="100">
        <v>0.11</v>
      </c>
      <c r="Q30" s="100">
        <v>10</v>
      </c>
      <c r="R30" s="6"/>
      <c r="S30" s="6"/>
      <c r="T30" s="156"/>
      <c r="U30" s="6"/>
    </row>
    <row r="31" spans="1:21" customFormat="1">
      <c r="A31" s="163" t="s">
        <v>3142</v>
      </c>
      <c r="B31" s="100">
        <v>5.12</v>
      </c>
      <c r="C31" s="100">
        <v>10.35</v>
      </c>
      <c r="D31" s="100">
        <v>9.51</v>
      </c>
      <c r="E31" s="100">
        <v>3.97</v>
      </c>
      <c r="F31" s="100">
        <v>2.23</v>
      </c>
      <c r="G31" s="100">
        <v>9.26</v>
      </c>
      <c r="H31" s="100">
        <v>7.92</v>
      </c>
      <c r="I31" s="100">
        <v>2.5499999999999998</v>
      </c>
      <c r="J31" s="100">
        <v>0.56999999999999995</v>
      </c>
      <c r="K31" s="100">
        <v>259.70999999999998</v>
      </c>
      <c r="L31" s="100">
        <v>25.12</v>
      </c>
      <c r="M31" s="100">
        <v>93.64</v>
      </c>
      <c r="N31" s="100">
        <v>3.6</v>
      </c>
      <c r="O31" s="100">
        <v>0</v>
      </c>
      <c r="P31" s="100">
        <v>0.11</v>
      </c>
      <c r="Q31" s="100">
        <v>10</v>
      </c>
      <c r="R31" s="6"/>
      <c r="S31" s="6"/>
      <c r="T31" s="156"/>
      <c r="U31" s="6"/>
    </row>
    <row r="32" spans="1:21" customFormat="1">
      <c r="A32" s="163" t="s">
        <v>3143</v>
      </c>
      <c r="B32" s="100">
        <v>5.26</v>
      </c>
      <c r="C32" s="100">
        <v>10.54</v>
      </c>
      <c r="D32" s="100">
        <v>9.7200000000000006</v>
      </c>
      <c r="E32" s="100">
        <v>3.9</v>
      </c>
      <c r="F32" s="100">
        <v>1.51</v>
      </c>
      <c r="G32" s="100">
        <v>9.26</v>
      </c>
      <c r="H32" s="100">
        <v>7.92</v>
      </c>
      <c r="I32" s="100">
        <v>2.63</v>
      </c>
      <c r="J32" s="100">
        <v>0.5</v>
      </c>
      <c r="K32" s="100">
        <v>258.95999999999998</v>
      </c>
      <c r="L32" s="100">
        <v>25.12</v>
      </c>
      <c r="M32" s="100">
        <v>93.51</v>
      </c>
      <c r="N32" s="100">
        <v>7.1</v>
      </c>
      <c r="O32" s="100">
        <v>0</v>
      </c>
      <c r="P32" s="100">
        <v>0.11</v>
      </c>
      <c r="Q32" s="100">
        <v>10</v>
      </c>
      <c r="R32" s="6"/>
      <c r="S32" s="6"/>
      <c r="T32" s="156"/>
      <c r="U32" s="6"/>
    </row>
    <row r="33" spans="1:21" customFormat="1">
      <c r="A33" s="163" t="s">
        <v>3144</v>
      </c>
      <c r="B33" s="100">
        <v>5.3</v>
      </c>
      <c r="C33" s="100">
        <v>10.51</v>
      </c>
      <c r="D33" s="100">
        <v>9.74</v>
      </c>
      <c r="E33" s="100">
        <v>4.24</v>
      </c>
      <c r="F33" s="100">
        <v>2.66</v>
      </c>
      <c r="G33" s="100">
        <v>9.43</v>
      </c>
      <c r="H33" s="100">
        <v>5.75</v>
      </c>
      <c r="I33" s="100">
        <v>2.63</v>
      </c>
      <c r="J33" s="100">
        <v>0.53</v>
      </c>
      <c r="K33" s="100">
        <v>258.16000000000003</v>
      </c>
      <c r="L33" s="100">
        <v>25.14</v>
      </c>
      <c r="M33" s="100">
        <v>93.26</v>
      </c>
      <c r="N33" s="100">
        <v>10.8</v>
      </c>
      <c r="O33" s="100">
        <v>0</v>
      </c>
      <c r="P33" s="100">
        <v>0.11</v>
      </c>
      <c r="Q33" s="100">
        <v>10</v>
      </c>
      <c r="R33" s="6"/>
      <c r="S33" s="6"/>
      <c r="T33" s="156"/>
      <c r="U33" s="6"/>
    </row>
    <row r="34" spans="1:21" customFormat="1">
      <c r="A34" s="163" t="s">
        <v>3145</v>
      </c>
      <c r="B34" s="100">
        <v>5.48</v>
      </c>
      <c r="C34" s="100">
        <v>10.71</v>
      </c>
      <c r="D34" s="100">
        <v>9.99</v>
      </c>
      <c r="E34" s="100">
        <v>4.01</v>
      </c>
      <c r="F34" s="100">
        <v>1.5</v>
      </c>
      <c r="G34" s="100">
        <v>9.4499999999999993</v>
      </c>
      <c r="H34" s="100">
        <v>5.75</v>
      </c>
      <c r="I34" s="100">
        <v>2.71</v>
      </c>
      <c r="J34" s="100">
        <v>0.52</v>
      </c>
      <c r="K34" s="100">
        <v>256.76</v>
      </c>
      <c r="L34" s="100">
        <v>25.21</v>
      </c>
      <c r="M34" s="100">
        <v>92.83</v>
      </c>
      <c r="N34" s="100">
        <v>17.899999999999999</v>
      </c>
      <c r="O34" s="100">
        <v>0</v>
      </c>
      <c r="P34" s="100">
        <v>0.11</v>
      </c>
      <c r="Q34" s="100">
        <v>10</v>
      </c>
      <c r="R34" s="6"/>
      <c r="S34" s="6"/>
      <c r="T34" s="156"/>
      <c r="U34" s="6"/>
    </row>
    <row r="35" spans="1:21" customFormat="1">
      <c r="A35" s="163" t="s">
        <v>3146</v>
      </c>
      <c r="B35" s="100">
        <v>5.52</v>
      </c>
      <c r="C35" s="100">
        <v>10.68</v>
      </c>
      <c r="D35" s="100">
        <v>10.01</v>
      </c>
      <c r="E35" s="100">
        <v>3.95</v>
      </c>
      <c r="F35" s="100">
        <v>2.15</v>
      </c>
      <c r="G35" s="100">
        <v>9.4499999999999993</v>
      </c>
      <c r="H35" s="100">
        <v>5.75</v>
      </c>
      <c r="I35" s="100">
        <v>2.64</v>
      </c>
      <c r="J35" s="100">
        <v>0.56999999999999995</v>
      </c>
      <c r="K35" s="100">
        <v>256.77</v>
      </c>
      <c r="L35" s="100">
        <v>25.27</v>
      </c>
      <c r="M35" s="100">
        <v>92.52</v>
      </c>
      <c r="N35" s="100">
        <v>25.1</v>
      </c>
      <c r="O35" s="100">
        <v>0</v>
      </c>
      <c r="P35" s="100">
        <v>0.11</v>
      </c>
      <c r="Q35" s="100">
        <v>10</v>
      </c>
      <c r="R35" s="6"/>
      <c r="S35" s="6"/>
      <c r="T35" s="156"/>
      <c r="U35" s="6"/>
    </row>
    <row r="36" spans="1:21" customFormat="1">
      <c r="A36" s="163" t="s">
        <v>3147</v>
      </c>
      <c r="B36" s="100">
        <v>5.72</v>
      </c>
      <c r="C36" s="100">
        <v>10.81</v>
      </c>
      <c r="D36" s="100">
        <v>10.23</v>
      </c>
      <c r="E36" s="100">
        <v>4.13</v>
      </c>
      <c r="F36" s="100">
        <v>1.55</v>
      </c>
      <c r="G36" s="100">
        <v>9.4499999999999993</v>
      </c>
      <c r="H36" s="100">
        <v>5.75</v>
      </c>
      <c r="I36" s="100">
        <v>2.69</v>
      </c>
      <c r="J36" s="100">
        <v>0.55000000000000004</v>
      </c>
      <c r="K36" s="100">
        <v>255.76</v>
      </c>
      <c r="L36" s="100">
        <v>25.34</v>
      </c>
      <c r="M36" s="100">
        <v>92.16</v>
      </c>
      <c r="N36" s="100">
        <v>35.5</v>
      </c>
      <c r="O36" s="100">
        <v>0</v>
      </c>
      <c r="P36" s="100">
        <v>0.12</v>
      </c>
      <c r="Q36" s="100">
        <v>10</v>
      </c>
      <c r="R36" s="6"/>
      <c r="S36" s="6"/>
      <c r="T36" s="156"/>
      <c r="U36" s="6"/>
    </row>
    <row r="37" spans="1:21" customFormat="1">
      <c r="A37" s="163" t="s">
        <v>3148</v>
      </c>
      <c r="B37" s="100">
        <v>5.76</v>
      </c>
      <c r="C37" s="100">
        <v>10.63</v>
      </c>
      <c r="D37" s="100">
        <v>10.17</v>
      </c>
      <c r="E37" s="100">
        <v>3.86</v>
      </c>
      <c r="F37" s="100">
        <v>2.2200000000000002</v>
      </c>
      <c r="G37" s="100">
        <v>16.059999999999999</v>
      </c>
      <c r="H37" s="100">
        <v>4.41</v>
      </c>
      <c r="I37" s="100">
        <v>2.69</v>
      </c>
      <c r="J37" s="100">
        <v>0.74</v>
      </c>
      <c r="K37" s="100">
        <v>256.56</v>
      </c>
      <c r="L37" s="100">
        <v>25.48</v>
      </c>
      <c r="M37" s="100">
        <v>91.6</v>
      </c>
      <c r="N37" s="100">
        <v>56.5</v>
      </c>
      <c r="O37" s="100">
        <v>0</v>
      </c>
      <c r="P37" s="100">
        <v>0.11</v>
      </c>
      <c r="Q37" s="100">
        <v>10</v>
      </c>
      <c r="R37" s="6"/>
      <c r="S37" s="6"/>
      <c r="T37" s="156"/>
      <c r="U37" s="6"/>
    </row>
    <row r="38" spans="1:21" customFormat="1">
      <c r="A38" s="163" t="s">
        <v>3149</v>
      </c>
      <c r="B38" s="100">
        <v>5.89</v>
      </c>
      <c r="C38" s="100">
        <v>10.99</v>
      </c>
      <c r="D38" s="100">
        <v>10.47</v>
      </c>
      <c r="E38" s="100">
        <v>4.0199999999999996</v>
      </c>
      <c r="F38" s="100">
        <v>1.57</v>
      </c>
      <c r="G38" s="100">
        <v>16.7</v>
      </c>
      <c r="H38" s="100">
        <v>4.41</v>
      </c>
      <c r="I38" s="100">
        <v>2.76</v>
      </c>
      <c r="J38" s="100">
        <v>0.67</v>
      </c>
      <c r="K38" s="100">
        <v>256.85000000000002</v>
      </c>
      <c r="L38" s="100">
        <v>25.78</v>
      </c>
      <c r="M38" s="100">
        <v>90.33</v>
      </c>
      <c r="N38" s="100">
        <v>86.5</v>
      </c>
      <c r="O38" s="100">
        <v>0</v>
      </c>
      <c r="P38" s="100">
        <v>0.12</v>
      </c>
      <c r="Q38" s="100">
        <v>10</v>
      </c>
      <c r="R38" s="6"/>
      <c r="S38" s="6"/>
      <c r="T38" s="156"/>
      <c r="U38" s="6"/>
    </row>
    <row r="39" spans="1:21" customFormat="1">
      <c r="A39" s="163" t="s">
        <v>3150</v>
      </c>
      <c r="B39" s="100">
        <v>5.87</v>
      </c>
      <c r="C39" s="100">
        <v>10.88</v>
      </c>
      <c r="D39" s="100">
        <v>10.39</v>
      </c>
      <c r="E39" s="100">
        <v>3.97</v>
      </c>
      <c r="F39" s="100">
        <v>1.88</v>
      </c>
      <c r="G39" s="100">
        <v>16.7</v>
      </c>
      <c r="H39" s="100">
        <v>4.41</v>
      </c>
      <c r="I39" s="100">
        <v>2.75</v>
      </c>
      <c r="J39" s="100">
        <v>0.69</v>
      </c>
      <c r="K39" s="100">
        <v>256.29000000000002</v>
      </c>
      <c r="L39" s="100">
        <v>26.13</v>
      </c>
      <c r="M39" s="100">
        <v>88.9</v>
      </c>
      <c r="N39" s="100">
        <v>117.6</v>
      </c>
      <c r="O39" s="100">
        <v>0</v>
      </c>
      <c r="P39" s="100">
        <v>0.11</v>
      </c>
      <c r="Q39" s="100">
        <v>10</v>
      </c>
      <c r="R39" s="6"/>
      <c r="S39" s="6"/>
      <c r="T39" s="156"/>
      <c r="U39" s="6"/>
    </row>
    <row r="40" spans="1:21" customFormat="1">
      <c r="A40" s="163" t="s">
        <v>3151</v>
      </c>
      <c r="B40" s="100">
        <v>5.93</v>
      </c>
      <c r="C40" s="100">
        <v>11.03</v>
      </c>
      <c r="D40" s="100">
        <v>10.52</v>
      </c>
      <c r="E40" s="100">
        <v>3.95</v>
      </c>
      <c r="F40" s="100">
        <v>1.95</v>
      </c>
      <c r="G40" s="100">
        <v>16.7</v>
      </c>
      <c r="H40" s="100">
        <v>4.41</v>
      </c>
      <c r="I40" s="100">
        <v>2.84</v>
      </c>
      <c r="J40" s="100">
        <v>0.84</v>
      </c>
      <c r="K40" s="100">
        <v>258.02999999999997</v>
      </c>
      <c r="L40" s="100">
        <v>26.54</v>
      </c>
      <c r="M40" s="100">
        <v>86.79</v>
      </c>
      <c r="N40" s="100">
        <v>124.2</v>
      </c>
      <c r="O40" s="100">
        <v>0</v>
      </c>
      <c r="P40" s="100">
        <v>0.12</v>
      </c>
      <c r="Q40" s="100">
        <v>10</v>
      </c>
      <c r="R40" s="6"/>
      <c r="S40" s="6"/>
      <c r="T40" s="156"/>
      <c r="U40" s="6"/>
    </row>
    <row r="41" spans="1:21" customFormat="1">
      <c r="A41" s="163" t="s">
        <v>3152</v>
      </c>
      <c r="B41" s="100">
        <v>5.83</v>
      </c>
      <c r="C41" s="100">
        <v>10.99</v>
      </c>
      <c r="D41" s="100">
        <v>10.42</v>
      </c>
      <c r="E41" s="100">
        <v>3.9</v>
      </c>
      <c r="F41" s="100">
        <v>2.2200000000000002</v>
      </c>
      <c r="G41" s="100">
        <v>18.309999999999999</v>
      </c>
      <c r="H41" s="100">
        <v>6.41</v>
      </c>
      <c r="I41" s="100">
        <v>2.81</v>
      </c>
      <c r="J41" s="100">
        <v>0.91</v>
      </c>
      <c r="K41" s="100">
        <v>258.36</v>
      </c>
      <c r="L41" s="100">
        <v>26.88</v>
      </c>
      <c r="M41" s="100">
        <v>85.24</v>
      </c>
      <c r="N41" s="100">
        <v>143.1</v>
      </c>
      <c r="O41" s="100">
        <v>0</v>
      </c>
      <c r="P41" s="100">
        <v>0.11</v>
      </c>
      <c r="Q41" s="100">
        <v>10</v>
      </c>
      <c r="R41" s="6"/>
      <c r="S41" s="6"/>
      <c r="T41" s="156"/>
      <c r="U41" s="6"/>
    </row>
    <row r="42" spans="1:21" customFormat="1">
      <c r="A42" s="163" t="s">
        <v>3153</v>
      </c>
      <c r="B42" s="100">
        <v>5.92</v>
      </c>
      <c r="C42" s="100">
        <v>11.29</v>
      </c>
      <c r="D42" s="100">
        <v>10.65</v>
      </c>
      <c r="E42" s="100">
        <v>3.85</v>
      </c>
      <c r="F42" s="100">
        <v>1.83</v>
      </c>
      <c r="G42" s="100">
        <v>18.47</v>
      </c>
      <c r="H42" s="100">
        <v>6.41</v>
      </c>
      <c r="I42" s="100">
        <v>2.91</v>
      </c>
      <c r="J42" s="100">
        <v>0.97</v>
      </c>
      <c r="K42" s="100">
        <v>256.42</v>
      </c>
      <c r="L42" s="100">
        <v>27.16</v>
      </c>
      <c r="M42" s="100">
        <v>83.9</v>
      </c>
      <c r="N42" s="100">
        <v>167.2</v>
      </c>
      <c r="O42" s="100">
        <v>0</v>
      </c>
      <c r="P42" s="100">
        <v>0.12</v>
      </c>
      <c r="Q42" s="100">
        <v>10</v>
      </c>
      <c r="R42" s="6"/>
      <c r="S42" s="6"/>
      <c r="T42" s="156"/>
      <c r="U42" s="6"/>
    </row>
    <row r="43" spans="1:21" customFormat="1">
      <c r="A43" s="163" t="s">
        <v>3154</v>
      </c>
      <c r="B43" s="100">
        <v>5.83</v>
      </c>
      <c r="C43" s="100">
        <v>11.22</v>
      </c>
      <c r="D43" s="100">
        <v>10.54</v>
      </c>
      <c r="E43" s="100">
        <v>3.93</v>
      </c>
      <c r="F43" s="100">
        <v>1.42</v>
      </c>
      <c r="G43" s="100">
        <v>18.47</v>
      </c>
      <c r="H43" s="100">
        <v>6.41</v>
      </c>
      <c r="I43" s="100">
        <v>2.85</v>
      </c>
      <c r="J43" s="100">
        <v>0.91</v>
      </c>
      <c r="K43" s="100">
        <v>258.70999999999998</v>
      </c>
      <c r="L43" s="100">
        <v>27.42</v>
      </c>
      <c r="M43" s="100">
        <v>82.64</v>
      </c>
      <c r="N43" s="100">
        <v>184</v>
      </c>
      <c r="O43" s="100">
        <v>0</v>
      </c>
      <c r="P43" s="100">
        <v>0.11</v>
      </c>
      <c r="Q43" s="100">
        <v>10</v>
      </c>
      <c r="R43" s="6"/>
      <c r="S43" s="6"/>
      <c r="T43" s="156"/>
      <c r="U43" s="6"/>
    </row>
    <row r="44" spans="1:21" customFormat="1">
      <c r="A44" s="163" t="s">
        <v>3155</v>
      </c>
      <c r="B44" s="100">
        <v>5.78</v>
      </c>
      <c r="C44" s="100">
        <v>11.46</v>
      </c>
      <c r="D44" s="100">
        <v>10.62</v>
      </c>
      <c r="E44" s="100">
        <v>3.58</v>
      </c>
      <c r="F44" s="100">
        <v>2.48</v>
      </c>
      <c r="G44" s="100">
        <v>18.47</v>
      </c>
      <c r="H44" s="100">
        <v>6.41</v>
      </c>
      <c r="I44" s="100">
        <v>2.96</v>
      </c>
      <c r="J44" s="100">
        <v>0.83</v>
      </c>
      <c r="K44" s="100">
        <v>261.14</v>
      </c>
      <c r="L44" s="100">
        <v>27.83</v>
      </c>
      <c r="M44" s="100">
        <v>81.06</v>
      </c>
      <c r="N44" s="100">
        <v>194.1</v>
      </c>
      <c r="O44" s="100">
        <v>0</v>
      </c>
      <c r="P44" s="100">
        <v>0.12</v>
      </c>
      <c r="Q44" s="100">
        <v>10</v>
      </c>
      <c r="R44" s="6"/>
      <c r="S44" s="6"/>
      <c r="T44" s="156"/>
      <c r="U44" s="6"/>
    </row>
    <row r="45" spans="1:21" customFormat="1">
      <c r="A45" s="163" t="s">
        <v>3156</v>
      </c>
      <c r="B45" s="100">
        <v>5.7</v>
      </c>
      <c r="C45" s="100">
        <v>11.87</v>
      </c>
      <c r="D45" s="100">
        <v>10.78</v>
      </c>
      <c r="E45" s="100">
        <v>3.58</v>
      </c>
      <c r="F45" s="100">
        <v>2.15</v>
      </c>
      <c r="G45" s="100">
        <v>21.48</v>
      </c>
      <c r="H45" s="100">
        <v>9.49</v>
      </c>
      <c r="I45" s="100">
        <v>3.02</v>
      </c>
      <c r="J45" s="100">
        <v>0.91</v>
      </c>
      <c r="K45" s="100">
        <v>263.45999999999998</v>
      </c>
      <c r="L45" s="100">
        <v>28.04</v>
      </c>
      <c r="M45" s="100">
        <v>79.89</v>
      </c>
      <c r="N45" s="100">
        <v>180.2</v>
      </c>
      <c r="O45" s="100">
        <v>0</v>
      </c>
      <c r="P45" s="100">
        <v>0.13</v>
      </c>
      <c r="Q45" s="100">
        <v>10</v>
      </c>
      <c r="R45" s="6"/>
      <c r="S45" s="6"/>
      <c r="T45" s="156"/>
      <c r="U45" s="6"/>
    </row>
    <row r="46" spans="1:21" customFormat="1">
      <c r="A46" s="163" t="s">
        <v>3157</v>
      </c>
      <c r="B46" s="100">
        <v>5.53</v>
      </c>
      <c r="C46" s="100">
        <v>11.9</v>
      </c>
      <c r="D46" s="100">
        <v>10.66</v>
      </c>
      <c r="E46" s="100">
        <v>3.84</v>
      </c>
      <c r="F46" s="100">
        <v>1.87</v>
      </c>
      <c r="G46" s="100">
        <v>21.78</v>
      </c>
      <c r="H46" s="100">
        <v>9.49</v>
      </c>
      <c r="I46" s="100">
        <v>3.02</v>
      </c>
      <c r="J46" s="100">
        <v>0.9</v>
      </c>
      <c r="K46" s="100">
        <v>262.49</v>
      </c>
      <c r="L46" s="100">
        <v>28.36</v>
      </c>
      <c r="M46" s="100">
        <v>78.31</v>
      </c>
      <c r="N46" s="100">
        <v>205.4</v>
      </c>
      <c r="O46" s="100">
        <v>0</v>
      </c>
      <c r="P46" s="100">
        <v>0.13</v>
      </c>
      <c r="Q46" s="100">
        <v>10</v>
      </c>
      <c r="R46" s="6"/>
      <c r="S46" s="6"/>
      <c r="T46" s="156"/>
      <c r="U46" s="6"/>
    </row>
    <row r="47" spans="1:21" customFormat="1">
      <c r="A47" s="163" t="s">
        <v>3158</v>
      </c>
      <c r="B47" s="100">
        <v>5.35</v>
      </c>
      <c r="C47" s="100">
        <v>11.95</v>
      </c>
      <c r="D47" s="100">
        <v>10.53</v>
      </c>
      <c r="E47" s="100">
        <v>4.03</v>
      </c>
      <c r="F47" s="100">
        <v>1.46</v>
      </c>
      <c r="G47" s="100">
        <v>21.78</v>
      </c>
      <c r="H47" s="100">
        <v>9.49</v>
      </c>
      <c r="I47" s="100">
        <v>3.14</v>
      </c>
      <c r="J47" s="100">
        <v>0.74</v>
      </c>
      <c r="K47" s="100">
        <v>263.73</v>
      </c>
      <c r="L47" s="100">
        <v>28.77</v>
      </c>
      <c r="M47" s="100">
        <v>76.61</v>
      </c>
      <c r="N47" s="100">
        <v>214</v>
      </c>
      <c r="O47" s="100">
        <v>0</v>
      </c>
      <c r="P47" s="100">
        <v>0.15</v>
      </c>
      <c r="Q47" s="100">
        <v>10</v>
      </c>
      <c r="R47" s="6"/>
      <c r="S47" s="6"/>
      <c r="T47" s="156"/>
      <c r="U47" s="6"/>
    </row>
    <row r="48" spans="1:21" customFormat="1">
      <c r="A48" s="163" t="s">
        <v>3159</v>
      </c>
      <c r="B48" s="100">
        <v>5.16</v>
      </c>
      <c r="C48" s="100">
        <v>11.93</v>
      </c>
      <c r="D48" s="100">
        <v>10.37</v>
      </c>
      <c r="E48" s="100">
        <v>4.26</v>
      </c>
      <c r="F48" s="100">
        <v>1.1399999999999999</v>
      </c>
      <c r="G48" s="100">
        <v>21.78</v>
      </c>
      <c r="H48" s="100">
        <v>9.49</v>
      </c>
      <c r="I48" s="100">
        <v>3.31</v>
      </c>
      <c r="J48" s="100">
        <v>0.89</v>
      </c>
      <c r="K48" s="100">
        <v>263.41000000000003</v>
      </c>
      <c r="L48" s="100">
        <v>28.96</v>
      </c>
      <c r="M48" s="100">
        <v>76.3</v>
      </c>
      <c r="N48" s="100">
        <v>277.10000000000002</v>
      </c>
      <c r="O48" s="100">
        <v>0</v>
      </c>
      <c r="P48" s="100">
        <v>0.15</v>
      </c>
      <c r="Q48" s="100">
        <v>10</v>
      </c>
      <c r="R48" s="6"/>
      <c r="S48" s="6"/>
      <c r="T48" s="156"/>
      <c r="U48" s="6"/>
    </row>
    <row r="49" spans="1:21" customFormat="1">
      <c r="A49" s="163" t="s">
        <v>3160</v>
      </c>
      <c r="B49" s="100">
        <v>5</v>
      </c>
      <c r="C49" s="100">
        <v>12.06</v>
      </c>
      <c r="D49" s="100">
        <v>10.31</v>
      </c>
      <c r="E49" s="100">
        <v>4.45</v>
      </c>
      <c r="F49" s="100">
        <v>1.41</v>
      </c>
      <c r="G49" s="100">
        <v>21.56</v>
      </c>
      <c r="H49" s="100">
        <v>7.25</v>
      </c>
      <c r="I49" s="100">
        <v>3.61</v>
      </c>
      <c r="J49" s="100">
        <v>0.84</v>
      </c>
      <c r="K49" s="100">
        <v>277.69</v>
      </c>
      <c r="L49" s="100">
        <v>29.51</v>
      </c>
      <c r="M49" s="100">
        <v>74</v>
      </c>
      <c r="N49" s="100">
        <v>318.3</v>
      </c>
      <c r="O49" s="100">
        <v>0</v>
      </c>
      <c r="P49" s="100">
        <v>0.17</v>
      </c>
      <c r="Q49" s="100">
        <v>10</v>
      </c>
      <c r="R49" s="6"/>
      <c r="S49" s="6"/>
      <c r="T49" s="156"/>
      <c r="U49" s="6"/>
    </row>
    <row r="50" spans="1:21" customFormat="1">
      <c r="A50" s="163" t="s">
        <v>3161</v>
      </c>
      <c r="B50" s="100">
        <v>4.8899999999999997</v>
      </c>
      <c r="C50" s="100">
        <v>11.99</v>
      </c>
      <c r="D50" s="100">
        <v>10.18</v>
      </c>
      <c r="E50" s="100">
        <v>5.27</v>
      </c>
      <c r="F50" s="100">
        <v>1.95</v>
      </c>
      <c r="G50" s="100">
        <v>21.54</v>
      </c>
      <c r="H50" s="100">
        <v>7.25</v>
      </c>
      <c r="I50" s="100">
        <v>3.77</v>
      </c>
      <c r="J50" s="100">
        <v>0.8</v>
      </c>
      <c r="K50" s="100">
        <v>261.18</v>
      </c>
      <c r="L50" s="100">
        <v>29.26</v>
      </c>
      <c r="M50" s="100">
        <v>74.86</v>
      </c>
      <c r="N50" s="100">
        <v>175.4</v>
      </c>
      <c r="O50" s="100">
        <v>0</v>
      </c>
      <c r="P50" s="100">
        <v>0.17</v>
      </c>
      <c r="Q50" s="100">
        <v>10</v>
      </c>
      <c r="R50" s="6"/>
      <c r="S50" s="6"/>
      <c r="T50" s="156"/>
      <c r="U50" s="6"/>
    </row>
    <row r="51" spans="1:21" customFormat="1">
      <c r="A51" s="163" t="s">
        <v>3162</v>
      </c>
      <c r="B51" s="100">
        <v>4.7</v>
      </c>
      <c r="C51" s="100">
        <v>11.98</v>
      </c>
      <c r="D51" s="100">
        <v>10.02</v>
      </c>
      <c r="E51" s="100">
        <v>5.35</v>
      </c>
      <c r="F51" s="100">
        <v>1.35</v>
      </c>
      <c r="G51" s="100">
        <v>21.54</v>
      </c>
      <c r="H51" s="100">
        <v>7.25</v>
      </c>
      <c r="I51" s="100">
        <v>3.97</v>
      </c>
      <c r="J51" s="100">
        <v>0.92</v>
      </c>
      <c r="K51" s="100">
        <v>278.18</v>
      </c>
      <c r="L51" s="100">
        <v>29.64</v>
      </c>
      <c r="M51" s="100">
        <v>72.78</v>
      </c>
      <c r="N51" s="100">
        <v>253.2</v>
      </c>
      <c r="O51" s="100">
        <v>0</v>
      </c>
      <c r="P51" s="100">
        <v>0.17</v>
      </c>
      <c r="Q51" s="100">
        <v>10</v>
      </c>
      <c r="R51" s="6"/>
      <c r="S51" s="6"/>
      <c r="T51" s="156"/>
      <c r="U51" s="6"/>
    </row>
    <row r="52" spans="1:21" customFormat="1">
      <c r="A52" s="163" t="s">
        <v>3163</v>
      </c>
      <c r="B52" s="100">
        <v>4.53</v>
      </c>
      <c r="C52" s="100">
        <v>12.05</v>
      </c>
      <c r="D52" s="100">
        <v>9.93</v>
      </c>
      <c r="E52" s="100">
        <v>5.38</v>
      </c>
      <c r="F52" s="100">
        <v>1.1100000000000001</v>
      </c>
      <c r="G52" s="100">
        <v>21.54</v>
      </c>
      <c r="H52" s="100">
        <v>7.25</v>
      </c>
      <c r="I52" s="100">
        <v>4.01</v>
      </c>
      <c r="J52" s="100">
        <v>0.84</v>
      </c>
      <c r="K52" s="100">
        <v>260</v>
      </c>
      <c r="L52" s="100">
        <v>29.67</v>
      </c>
      <c r="M52" s="100">
        <v>72.75</v>
      </c>
      <c r="N52" s="100">
        <v>290.8</v>
      </c>
      <c r="O52" s="100">
        <v>0</v>
      </c>
      <c r="P52" s="100">
        <v>0.18</v>
      </c>
      <c r="Q52" s="100">
        <v>10</v>
      </c>
      <c r="R52" s="6"/>
      <c r="S52" s="6"/>
      <c r="T52" s="156"/>
      <c r="U52" s="6"/>
    </row>
    <row r="53" spans="1:21" customFormat="1">
      <c r="A53" s="163" t="s">
        <v>3164</v>
      </c>
      <c r="B53" s="100">
        <v>4.3600000000000003</v>
      </c>
      <c r="C53" s="100">
        <v>12.03</v>
      </c>
      <c r="D53" s="100">
        <v>9.7799999999999994</v>
      </c>
      <c r="E53" s="100">
        <v>5.15</v>
      </c>
      <c r="F53" s="100">
        <v>2.09</v>
      </c>
      <c r="G53" s="100">
        <v>30.33</v>
      </c>
      <c r="H53" s="100">
        <v>10.35</v>
      </c>
      <c r="I53" s="100">
        <v>4.12</v>
      </c>
      <c r="J53" s="100">
        <v>0.64</v>
      </c>
      <c r="K53" s="100">
        <v>252.88</v>
      </c>
      <c r="L53" s="100">
        <v>29.52</v>
      </c>
      <c r="M53" s="100">
        <v>74.819999999999993</v>
      </c>
      <c r="N53" s="100">
        <v>227.8</v>
      </c>
      <c r="O53" s="100">
        <v>0</v>
      </c>
      <c r="P53" s="100">
        <v>0.18</v>
      </c>
      <c r="Q53" s="100">
        <v>10</v>
      </c>
      <c r="R53" s="6"/>
      <c r="S53" s="6"/>
      <c r="T53" s="156"/>
      <c r="U53" s="6"/>
    </row>
    <row r="54" spans="1:21" customFormat="1">
      <c r="A54" s="163" t="s">
        <v>3165</v>
      </c>
      <c r="B54" s="100">
        <v>4.17</v>
      </c>
      <c r="C54" s="100">
        <v>11.95</v>
      </c>
      <c r="D54" s="100">
        <v>9.59</v>
      </c>
      <c r="E54" s="100">
        <v>5.22</v>
      </c>
      <c r="F54" s="100">
        <v>1.99</v>
      </c>
      <c r="G54" s="100">
        <v>31.18</v>
      </c>
      <c r="H54" s="100">
        <v>10.35</v>
      </c>
      <c r="I54" s="100">
        <v>4.2300000000000004</v>
      </c>
      <c r="J54" s="100">
        <v>0.64</v>
      </c>
      <c r="K54" s="100">
        <v>260.86</v>
      </c>
      <c r="L54" s="100">
        <v>29.72</v>
      </c>
      <c r="M54" s="100">
        <v>74.56</v>
      </c>
      <c r="N54" s="100">
        <v>307.10000000000002</v>
      </c>
      <c r="O54" s="100">
        <v>0</v>
      </c>
      <c r="P54" s="100">
        <v>0.17</v>
      </c>
      <c r="Q54" s="100">
        <v>10</v>
      </c>
      <c r="R54" s="6"/>
      <c r="S54" s="6"/>
      <c r="T54" s="156"/>
      <c r="U54" s="6"/>
    </row>
    <row r="55" spans="1:21" customFormat="1">
      <c r="A55" s="163" t="s">
        <v>3166</v>
      </c>
      <c r="B55" s="100">
        <v>4.01</v>
      </c>
      <c r="C55" s="100">
        <v>11.84</v>
      </c>
      <c r="D55" s="100">
        <v>9.4</v>
      </c>
      <c r="E55" s="100">
        <v>5.15</v>
      </c>
      <c r="F55" s="100">
        <v>0.8</v>
      </c>
      <c r="G55" s="100">
        <v>31.18</v>
      </c>
      <c r="H55" s="100">
        <v>10.35</v>
      </c>
      <c r="I55" s="100">
        <v>4.1500000000000004</v>
      </c>
      <c r="J55" s="100">
        <v>0.53</v>
      </c>
      <c r="K55" s="100">
        <v>258.20999999999998</v>
      </c>
      <c r="L55" s="100">
        <v>29.82</v>
      </c>
      <c r="M55" s="100">
        <v>75.349999999999994</v>
      </c>
      <c r="N55" s="100">
        <v>409.3</v>
      </c>
      <c r="O55" s="100">
        <v>0</v>
      </c>
      <c r="P55" s="100">
        <v>0.18</v>
      </c>
      <c r="Q55" s="100">
        <v>10</v>
      </c>
      <c r="R55" s="6"/>
      <c r="S55" s="6"/>
      <c r="T55" s="156"/>
      <c r="U55" s="6"/>
    </row>
    <row r="56" spans="1:21" customFormat="1">
      <c r="A56" s="163" t="s">
        <v>3167</v>
      </c>
      <c r="B56" s="100">
        <v>3.86</v>
      </c>
      <c r="C56" s="100">
        <v>11.76</v>
      </c>
      <c r="D56" s="100">
        <v>9.24</v>
      </c>
      <c r="E56" s="100">
        <v>5.13</v>
      </c>
      <c r="F56" s="100">
        <v>2.61</v>
      </c>
      <c r="G56" s="100">
        <v>31.18</v>
      </c>
      <c r="H56" s="100">
        <v>10.35</v>
      </c>
      <c r="I56" s="100">
        <v>4.1500000000000004</v>
      </c>
      <c r="J56" s="100">
        <v>0.67</v>
      </c>
      <c r="K56" s="100">
        <v>261.88</v>
      </c>
      <c r="L56" s="100">
        <v>30</v>
      </c>
      <c r="M56" s="100">
        <v>72.44</v>
      </c>
      <c r="N56" s="100">
        <v>485.3</v>
      </c>
      <c r="O56" s="100">
        <v>0</v>
      </c>
      <c r="P56" s="100">
        <v>0.18</v>
      </c>
      <c r="Q56" s="100">
        <v>10</v>
      </c>
      <c r="R56" s="6"/>
      <c r="S56" s="6"/>
      <c r="T56" s="156"/>
      <c r="U56" s="6"/>
    </row>
    <row r="57" spans="1:21" customFormat="1">
      <c r="A57" s="163" t="s">
        <v>3168</v>
      </c>
      <c r="B57" s="100">
        <v>3.69</v>
      </c>
      <c r="C57" s="100">
        <v>11.67</v>
      </c>
      <c r="D57" s="100">
        <v>9.06</v>
      </c>
      <c r="E57" s="100">
        <v>5.31</v>
      </c>
      <c r="F57" s="100">
        <v>3.7</v>
      </c>
      <c r="G57" s="100">
        <v>33.79</v>
      </c>
      <c r="H57" s="100">
        <v>12.06</v>
      </c>
      <c r="I57" s="100">
        <v>4.28</v>
      </c>
      <c r="J57" s="100">
        <v>0.85</v>
      </c>
      <c r="K57" s="100">
        <v>256.54000000000002</v>
      </c>
      <c r="L57" s="100">
        <v>30.88</v>
      </c>
      <c r="M57" s="100">
        <v>67.58</v>
      </c>
      <c r="N57" s="100">
        <v>595.29999999999995</v>
      </c>
      <c r="O57" s="100">
        <v>0</v>
      </c>
      <c r="P57" s="100">
        <v>0.18</v>
      </c>
      <c r="Q57" s="100">
        <v>10</v>
      </c>
      <c r="R57" s="6"/>
      <c r="S57" s="6"/>
      <c r="T57" s="156"/>
      <c r="U57" s="6"/>
    </row>
    <row r="58" spans="1:21" customFormat="1">
      <c r="A58" s="163" t="s">
        <v>3169</v>
      </c>
      <c r="B58" s="100">
        <v>3.48</v>
      </c>
      <c r="C58" s="100">
        <v>11.77</v>
      </c>
      <c r="D58" s="100">
        <v>8.94</v>
      </c>
      <c r="E58" s="100">
        <v>5.57</v>
      </c>
      <c r="F58" s="100">
        <v>1.42</v>
      </c>
      <c r="G58" s="100">
        <v>34.049999999999997</v>
      </c>
      <c r="H58" s="100">
        <v>12.06</v>
      </c>
      <c r="I58" s="100">
        <v>4.25</v>
      </c>
      <c r="J58" s="100">
        <v>0.79</v>
      </c>
      <c r="K58" s="100">
        <v>262.54000000000002</v>
      </c>
      <c r="L58" s="100">
        <v>30.78</v>
      </c>
      <c r="M58" s="100">
        <v>68.510000000000005</v>
      </c>
      <c r="N58" s="100">
        <v>627.29999999999995</v>
      </c>
      <c r="O58" s="100">
        <v>0</v>
      </c>
      <c r="P58" s="100">
        <v>0.19</v>
      </c>
      <c r="Q58" s="100">
        <v>10</v>
      </c>
      <c r="R58" s="6"/>
      <c r="S58" s="6"/>
      <c r="T58" s="156"/>
      <c r="U58" s="6"/>
    </row>
    <row r="59" spans="1:21" customFormat="1">
      <c r="A59" s="163" t="s">
        <v>3170</v>
      </c>
      <c r="B59" s="100">
        <v>3.24</v>
      </c>
      <c r="C59" s="100">
        <v>11.64</v>
      </c>
      <c r="D59" s="100">
        <v>8.68</v>
      </c>
      <c r="E59" s="100">
        <v>5.08</v>
      </c>
      <c r="F59" s="100">
        <v>2.97</v>
      </c>
      <c r="G59" s="100">
        <v>34.049999999999997</v>
      </c>
      <c r="H59" s="100">
        <v>12.06</v>
      </c>
      <c r="I59" s="100">
        <v>4.38</v>
      </c>
      <c r="J59" s="100">
        <v>0.69</v>
      </c>
      <c r="K59" s="100">
        <v>267.49</v>
      </c>
      <c r="L59" s="100">
        <v>31.4</v>
      </c>
      <c r="M59" s="100">
        <v>67.849999999999994</v>
      </c>
      <c r="N59" s="100">
        <v>687.4</v>
      </c>
      <c r="O59" s="100">
        <v>0</v>
      </c>
      <c r="P59" s="100">
        <v>0.19</v>
      </c>
      <c r="Q59" s="100">
        <v>10</v>
      </c>
      <c r="R59" s="6"/>
      <c r="S59" s="6"/>
      <c r="T59" s="156"/>
      <c r="U59" s="6"/>
    </row>
    <row r="60" spans="1:21" customFormat="1">
      <c r="A60" s="163" t="s">
        <v>3171</v>
      </c>
      <c r="B60" s="100">
        <v>3.05</v>
      </c>
      <c r="C60" s="100">
        <v>11.47</v>
      </c>
      <c r="D60" s="100">
        <v>8.44</v>
      </c>
      <c r="E60" s="100">
        <v>5.41</v>
      </c>
      <c r="F60" s="100">
        <v>2.38</v>
      </c>
      <c r="G60" s="100">
        <v>34.049999999999997</v>
      </c>
      <c r="H60" s="100">
        <v>12.06</v>
      </c>
      <c r="I60" s="100">
        <v>4.46</v>
      </c>
      <c r="J60" s="100">
        <v>0.82</v>
      </c>
      <c r="K60" s="100">
        <v>255.86</v>
      </c>
      <c r="L60" s="100">
        <v>31.52</v>
      </c>
      <c r="M60" s="100">
        <v>66.77</v>
      </c>
      <c r="N60" s="100">
        <v>493.2</v>
      </c>
      <c r="O60" s="100">
        <v>0</v>
      </c>
      <c r="P60" s="100">
        <v>0.18</v>
      </c>
      <c r="Q60" s="100">
        <v>10</v>
      </c>
      <c r="R60" s="6"/>
      <c r="S60" s="6"/>
      <c r="T60" s="156"/>
      <c r="U60" s="6"/>
    </row>
    <row r="61" spans="1:21" customFormat="1">
      <c r="A61" s="163" t="s">
        <v>3172</v>
      </c>
      <c r="B61" s="100">
        <v>2.93</v>
      </c>
      <c r="C61" s="100">
        <v>11.53</v>
      </c>
      <c r="D61" s="100">
        <v>8.3800000000000008</v>
      </c>
      <c r="E61" s="100">
        <v>5.35</v>
      </c>
      <c r="F61" s="100">
        <v>2.93</v>
      </c>
      <c r="G61" s="100">
        <v>33.89</v>
      </c>
      <c r="H61" s="100">
        <v>13.08</v>
      </c>
      <c r="I61" s="100">
        <v>4.45</v>
      </c>
      <c r="J61" s="100">
        <v>0.71</v>
      </c>
      <c r="K61" s="100">
        <v>254.2</v>
      </c>
      <c r="L61" s="100">
        <v>30.92</v>
      </c>
      <c r="M61" s="100">
        <v>67.900000000000006</v>
      </c>
      <c r="N61" s="100">
        <v>287.60000000000002</v>
      </c>
      <c r="O61" s="100">
        <v>0</v>
      </c>
      <c r="P61" s="100">
        <v>0.19</v>
      </c>
      <c r="Q61" s="100">
        <v>10</v>
      </c>
      <c r="R61" s="6"/>
      <c r="S61" s="6"/>
      <c r="T61" s="156"/>
      <c r="U61" s="6"/>
    </row>
    <row r="62" spans="1:21" customFormat="1">
      <c r="A62" s="163" t="s">
        <v>3173</v>
      </c>
      <c r="B62" s="100">
        <v>2.78</v>
      </c>
      <c r="C62" s="100">
        <v>11.32</v>
      </c>
      <c r="D62" s="100">
        <v>8.15</v>
      </c>
      <c r="E62" s="100">
        <v>5.44</v>
      </c>
      <c r="F62" s="100">
        <v>2.4</v>
      </c>
      <c r="G62" s="100">
        <v>33.880000000000003</v>
      </c>
      <c r="H62" s="100">
        <v>13.08</v>
      </c>
      <c r="I62" s="100">
        <v>4.4800000000000004</v>
      </c>
      <c r="J62" s="100">
        <v>0.8</v>
      </c>
      <c r="K62" s="100">
        <v>260.64</v>
      </c>
      <c r="L62" s="100">
        <v>30.68</v>
      </c>
      <c r="M62" s="100">
        <v>68.72</v>
      </c>
      <c r="N62" s="100">
        <v>187.4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163" t="s">
        <v>3174</v>
      </c>
      <c r="B63" s="100">
        <v>2.74</v>
      </c>
      <c r="C63" s="100">
        <v>11.35</v>
      </c>
      <c r="D63" s="100">
        <v>8.1300000000000008</v>
      </c>
      <c r="E63" s="100">
        <v>5.51</v>
      </c>
      <c r="F63" s="100">
        <v>2.04</v>
      </c>
      <c r="G63" s="100">
        <v>33.880000000000003</v>
      </c>
      <c r="H63" s="100">
        <v>13.08</v>
      </c>
      <c r="I63" s="100">
        <v>4.59</v>
      </c>
      <c r="J63" s="100">
        <v>0.83</v>
      </c>
      <c r="K63" s="100">
        <v>258.13</v>
      </c>
      <c r="L63" s="100">
        <v>30.04</v>
      </c>
      <c r="M63" s="100">
        <v>69.209999999999994</v>
      </c>
      <c r="N63" s="100">
        <v>129.80000000000001</v>
      </c>
      <c r="O63" s="100">
        <v>0</v>
      </c>
      <c r="P63" s="100">
        <v>0.19</v>
      </c>
      <c r="Q63" s="100">
        <v>10</v>
      </c>
      <c r="R63" s="6"/>
      <c r="S63" s="6"/>
      <c r="T63" s="156"/>
      <c r="U63" s="6"/>
    </row>
    <row r="64" spans="1:21" customFormat="1">
      <c r="A64" s="163" t="s">
        <v>3175</v>
      </c>
      <c r="B64" s="100">
        <v>2.71</v>
      </c>
      <c r="C64" s="100">
        <v>11.19</v>
      </c>
      <c r="D64" s="100">
        <v>8.02</v>
      </c>
      <c r="E64" s="100">
        <v>5.39</v>
      </c>
      <c r="F64" s="100">
        <v>3.7</v>
      </c>
      <c r="G64" s="100">
        <v>33.880000000000003</v>
      </c>
      <c r="H64" s="100">
        <v>13.08</v>
      </c>
      <c r="I64" s="100">
        <v>4.6399999999999997</v>
      </c>
      <c r="J64" s="100">
        <v>0.68</v>
      </c>
      <c r="K64" s="100">
        <v>262.24</v>
      </c>
      <c r="L64" s="100">
        <v>29.49</v>
      </c>
      <c r="M64" s="100">
        <v>71.5</v>
      </c>
      <c r="N64" s="100">
        <v>86</v>
      </c>
      <c r="O64" s="100">
        <v>0</v>
      </c>
      <c r="P64" s="100">
        <v>0.2</v>
      </c>
      <c r="Q64" s="100">
        <v>10</v>
      </c>
      <c r="R64" s="6"/>
      <c r="S64" s="6"/>
      <c r="T64" s="156"/>
      <c r="U64" s="6"/>
    </row>
    <row r="65" spans="1:21" customFormat="1">
      <c r="A65" s="163" t="s">
        <v>3176</v>
      </c>
      <c r="B65" s="100">
        <v>2.78</v>
      </c>
      <c r="C65" s="100">
        <v>11.25</v>
      </c>
      <c r="D65" s="100">
        <v>8.11</v>
      </c>
      <c r="E65" s="100">
        <v>5.59</v>
      </c>
      <c r="F65" s="100">
        <v>5.04</v>
      </c>
      <c r="G65" s="100">
        <v>34.590000000000003</v>
      </c>
      <c r="H65" s="100">
        <v>13.58</v>
      </c>
      <c r="I65" s="100">
        <v>4.71</v>
      </c>
      <c r="J65" s="100">
        <v>0.73</v>
      </c>
      <c r="K65" s="100">
        <v>258.74</v>
      </c>
      <c r="L65" s="100">
        <v>29.63</v>
      </c>
      <c r="M65" s="100">
        <v>71.41</v>
      </c>
      <c r="N65" s="100">
        <v>204.9</v>
      </c>
      <c r="O65" s="100">
        <v>0</v>
      </c>
      <c r="P65" s="100">
        <v>0.2</v>
      </c>
      <c r="Q65" s="100">
        <v>10</v>
      </c>
      <c r="R65" s="6"/>
      <c r="S65" s="6"/>
      <c r="T65" s="156"/>
      <c r="U65" s="6"/>
    </row>
    <row r="66" spans="1:21" customFormat="1">
      <c r="A66" s="163" t="s">
        <v>3177</v>
      </c>
      <c r="B66" s="100">
        <v>2.82</v>
      </c>
      <c r="C66" s="100">
        <v>10.89</v>
      </c>
      <c r="D66" s="100">
        <v>7.95</v>
      </c>
      <c r="E66" s="100">
        <v>5.23</v>
      </c>
      <c r="F66" s="100">
        <v>4.68</v>
      </c>
      <c r="G66" s="100">
        <v>34.659999999999997</v>
      </c>
      <c r="H66" s="100">
        <v>13.58</v>
      </c>
      <c r="I66" s="100">
        <v>4.83</v>
      </c>
      <c r="J66" s="100">
        <v>0.73</v>
      </c>
      <c r="K66" s="100">
        <v>259.83999999999997</v>
      </c>
      <c r="L66" s="100">
        <v>30.88</v>
      </c>
      <c r="M66" s="100">
        <v>67.88</v>
      </c>
      <c r="N66" s="100">
        <v>202.4</v>
      </c>
      <c r="O66" s="100">
        <v>0</v>
      </c>
      <c r="P66" s="100">
        <v>0.2</v>
      </c>
      <c r="Q66" s="100">
        <v>10</v>
      </c>
      <c r="R66" s="6"/>
      <c r="S66" s="6"/>
      <c r="T66" s="156"/>
      <c r="U66" s="6"/>
    </row>
    <row r="67" spans="1:21" customFormat="1">
      <c r="A67" s="163" t="s">
        <v>3178</v>
      </c>
      <c r="B67" s="100">
        <v>2.88</v>
      </c>
      <c r="C67" s="100">
        <v>10.87</v>
      </c>
      <c r="D67" s="100">
        <v>7.99</v>
      </c>
      <c r="E67" s="100">
        <v>4.99</v>
      </c>
      <c r="F67" s="100">
        <v>4.33</v>
      </c>
      <c r="G67" s="100">
        <v>34.659999999999997</v>
      </c>
      <c r="H67" s="100">
        <v>13.58</v>
      </c>
      <c r="I67" s="100">
        <v>5.07</v>
      </c>
      <c r="J67" s="100">
        <v>0.82</v>
      </c>
      <c r="K67" s="100">
        <v>257.83999999999997</v>
      </c>
      <c r="L67" s="100">
        <v>30.99</v>
      </c>
      <c r="M67" s="100">
        <v>65.77</v>
      </c>
      <c r="N67" s="100">
        <v>152.5</v>
      </c>
      <c r="O67" s="100">
        <v>0</v>
      </c>
      <c r="P67" s="100">
        <v>0.21</v>
      </c>
      <c r="Q67" s="100">
        <v>10</v>
      </c>
      <c r="R67" s="6"/>
      <c r="S67" s="6"/>
      <c r="T67" s="156"/>
      <c r="U67" s="6"/>
    </row>
    <row r="68" spans="1:21" customFormat="1">
      <c r="A68" s="163" t="s">
        <v>3179</v>
      </c>
      <c r="B68" s="100">
        <v>2.98</v>
      </c>
      <c r="C68" s="100">
        <v>11.11</v>
      </c>
      <c r="D68" s="100">
        <v>8.19</v>
      </c>
      <c r="E68" s="100">
        <v>4.95</v>
      </c>
      <c r="F68" s="100">
        <v>4.99</v>
      </c>
      <c r="G68" s="100">
        <v>34.659999999999997</v>
      </c>
      <c r="H68" s="100">
        <v>13.58</v>
      </c>
      <c r="I68" s="100">
        <v>4.8899999999999997</v>
      </c>
      <c r="J68" s="100">
        <v>0.89</v>
      </c>
      <c r="K68" s="100">
        <v>260.27</v>
      </c>
      <c r="L68" s="100">
        <v>31.17</v>
      </c>
      <c r="M68" s="100">
        <v>64.89</v>
      </c>
      <c r="N68" s="100">
        <v>181.5</v>
      </c>
      <c r="O68" s="100">
        <v>0</v>
      </c>
      <c r="P68" s="100">
        <v>0.2</v>
      </c>
      <c r="Q68" s="100">
        <v>10</v>
      </c>
      <c r="R68" s="6"/>
      <c r="S68" s="6"/>
      <c r="T68" s="156"/>
      <c r="U68" s="6"/>
    </row>
    <row r="69" spans="1:21" customFormat="1">
      <c r="A69" s="163" t="s">
        <v>3180</v>
      </c>
      <c r="B69" s="100">
        <v>2.99</v>
      </c>
      <c r="C69" s="100">
        <v>11.25</v>
      </c>
      <c r="D69" s="100">
        <v>8.2799999999999994</v>
      </c>
      <c r="E69" s="100">
        <v>4.6500000000000004</v>
      </c>
      <c r="F69" s="100">
        <v>5.68</v>
      </c>
      <c r="G69" s="100">
        <v>35.33</v>
      </c>
      <c r="H69" s="100">
        <v>13.35</v>
      </c>
      <c r="I69" s="100">
        <v>4.93</v>
      </c>
      <c r="J69" s="100">
        <v>0.89</v>
      </c>
      <c r="K69" s="100">
        <v>255.57</v>
      </c>
      <c r="L69" s="100">
        <v>31.06</v>
      </c>
      <c r="M69" s="100">
        <v>65.900000000000006</v>
      </c>
      <c r="N69" s="100">
        <v>191.6</v>
      </c>
      <c r="O69" s="100">
        <v>0</v>
      </c>
      <c r="P69" s="100">
        <v>0.2</v>
      </c>
      <c r="Q69" s="100">
        <v>10</v>
      </c>
      <c r="R69" s="6"/>
      <c r="S69" s="6"/>
      <c r="T69" s="156"/>
      <c r="U69" s="6"/>
    </row>
    <row r="70" spans="1:21" customFormat="1">
      <c r="A70" s="163" t="s">
        <v>3181</v>
      </c>
      <c r="B70" s="100">
        <v>3</v>
      </c>
      <c r="C70" s="100">
        <v>11.31</v>
      </c>
      <c r="D70" s="100">
        <v>8.32</v>
      </c>
      <c r="E70" s="100">
        <v>4.1900000000000004</v>
      </c>
      <c r="F70" s="100">
        <v>4.62</v>
      </c>
      <c r="G70" s="100">
        <v>35.39</v>
      </c>
      <c r="H70" s="100">
        <v>13.35</v>
      </c>
      <c r="I70" s="100">
        <v>5.04</v>
      </c>
      <c r="J70" s="100">
        <v>0.81</v>
      </c>
      <c r="K70" s="100">
        <v>264.35000000000002</v>
      </c>
      <c r="L70" s="100">
        <v>30.92</v>
      </c>
      <c r="M70" s="100">
        <v>65.540000000000006</v>
      </c>
      <c r="N70" s="100">
        <v>305.5</v>
      </c>
      <c r="O70" s="100">
        <v>0</v>
      </c>
      <c r="P70" s="100">
        <v>0.2</v>
      </c>
      <c r="Q70" s="100">
        <v>10</v>
      </c>
      <c r="R70" s="6"/>
      <c r="S70" s="6"/>
      <c r="T70" s="156"/>
      <c r="U70" s="6"/>
    </row>
    <row r="71" spans="1:21" customFormat="1">
      <c r="A71" s="163" t="s">
        <v>3182</v>
      </c>
      <c r="B71" s="100">
        <v>3.04</v>
      </c>
      <c r="C71" s="100">
        <v>11.46</v>
      </c>
      <c r="D71" s="100">
        <v>8.42</v>
      </c>
      <c r="E71" s="100">
        <v>4.55</v>
      </c>
      <c r="F71" s="100">
        <v>5.36</v>
      </c>
      <c r="G71" s="100">
        <v>35.39</v>
      </c>
      <c r="H71" s="100">
        <v>13.35</v>
      </c>
      <c r="I71" s="100">
        <v>5.0599999999999996</v>
      </c>
      <c r="J71" s="100">
        <v>0.63</v>
      </c>
      <c r="K71" s="100">
        <v>265.64999999999998</v>
      </c>
      <c r="L71" s="100">
        <v>31.21</v>
      </c>
      <c r="M71" s="100">
        <v>65.11</v>
      </c>
      <c r="N71" s="100">
        <v>299.60000000000002</v>
      </c>
      <c r="O71" s="100">
        <v>0</v>
      </c>
      <c r="P71" s="100">
        <v>0.21</v>
      </c>
      <c r="Q71" s="100">
        <v>10</v>
      </c>
      <c r="R71" s="6"/>
      <c r="S71" s="6"/>
      <c r="T71" s="156"/>
      <c r="U71" s="6"/>
    </row>
    <row r="72" spans="1:21" customFormat="1">
      <c r="A72" s="163" t="s">
        <v>3183</v>
      </c>
      <c r="B72" s="100">
        <v>3.04</v>
      </c>
      <c r="C72" s="100">
        <v>11.46</v>
      </c>
      <c r="D72" s="100">
        <v>8.43</v>
      </c>
      <c r="E72" s="100">
        <v>4.25</v>
      </c>
      <c r="F72" s="100">
        <v>8.24</v>
      </c>
      <c r="G72" s="100">
        <v>35.39</v>
      </c>
      <c r="H72" s="100">
        <v>13.35</v>
      </c>
      <c r="I72" s="100">
        <v>5.0999999999999996</v>
      </c>
      <c r="J72" s="100">
        <v>0.65</v>
      </c>
      <c r="K72" s="100">
        <v>267.06</v>
      </c>
      <c r="L72" s="100">
        <v>31.12</v>
      </c>
      <c r="M72" s="100">
        <v>65.290000000000006</v>
      </c>
      <c r="N72" s="100">
        <v>152.5</v>
      </c>
      <c r="O72" s="100">
        <v>0</v>
      </c>
      <c r="P72" s="100">
        <v>0.21</v>
      </c>
      <c r="Q72" s="100">
        <v>10</v>
      </c>
      <c r="R72" s="6"/>
      <c r="S72" s="6"/>
      <c r="T72" s="156"/>
      <c r="U72" s="6"/>
    </row>
    <row r="73" spans="1:21" customFormat="1">
      <c r="A73" s="163" t="s">
        <v>3184</v>
      </c>
      <c r="B73" s="100">
        <v>3.17</v>
      </c>
      <c r="C73" s="100">
        <v>11.58</v>
      </c>
      <c r="D73" s="100">
        <v>8.59</v>
      </c>
      <c r="E73" s="100">
        <v>4.42</v>
      </c>
      <c r="F73" s="100">
        <v>4.71</v>
      </c>
      <c r="G73" s="100">
        <v>32.68</v>
      </c>
      <c r="H73" s="100">
        <v>12.73</v>
      </c>
      <c r="I73" s="100">
        <v>5.18</v>
      </c>
      <c r="J73" s="100">
        <v>0.83</v>
      </c>
      <c r="K73" s="100">
        <v>254.2</v>
      </c>
      <c r="L73" s="100">
        <v>31.05</v>
      </c>
      <c r="M73" s="100">
        <v>65.97</v>
      </c>
      <c r="N73" s="100">
        <v>111</v>
      </c>
      <c r="O73" s="100">
        <v>0</v>
      </c>
      <c r="P73" s="100">
        <v>0.21</v>
      </c>
      <c r="Q73" s="100">
        <v>10</v>
      </c>
      <c r="R73" s="6"/>
      <c r="S73" s="6"/>
      <c r="T73" s="156"/>
      <c r="U73" s="6"/>
    </row>
    <row r="74" spans="1:21" customFormat="1">
      <c r="A74" s="163" t="s">
        <v>3185</v>
      </c>
      <c r="B74" s="100">
        <v>3.26</v>
      </c>
      <c r="C74" s="100">
        <v>11.38</v>
      </c>
      <c r="D74" s="100">
        <v>8.56</v>
      </c>
      <c r="E74" s="100">
        <v>4.6500000000000004</v>
      </c>
      <c r="F74" s="100">
        <v>5.31</v>
      </c>
      <c r="G74" s="100">
        <v>32.409999999999997</v>
      </c>
      <c r="H74" s="100">
        <v>12.73</v>
      </c>
      <c r="I74" s="100">
        <v>5.14</v>
      </c>
      <c r="J74" s="100">
        <v>0.78</v>
      </c>
      <c r="K74" s="100">
        <v>257.45999999999998</v>
      </c>
      <c r="L74" s="100">
        <v>30.84</v>
      </c>
      <c r="M74" s="100">
        <v>66.33</v>
      </c>
      <c r="N74" s="100">
        <v>95.6</v>
      </c>
      <c r="O74" s="100">
        <v>0</v>
      </c>
      <c r="P74" s="100">
        <v>0.22</v>
      </c>
      <c r="Q74" s="100">
        <v>10</v>
      </c>
      <c r="R74" s="6"/>
      <c r="S74" s="6"/>
      <c r="T74" s="156"/>
      <c r="U74" s="6"/>
    </row>
    <row r="75" spans="1:21" customFormat="1">
      <c r="A75" s="163" t="s">
        <v>3186</v>
      </c>
      <c r="B75" s="100">
        <v>3.23</v>
      </c>
      <c r="C75" s="100">
        <v>11.44</v>
      </c>
      <c r="D75" s="100">
        <v>8.57</v>
      </c>
      <c r="E75" s="100">
        <v>3.74</v>
      </c>
      <c r="F75" s="100">
        <v>4.82</v>
      </c>
      <c r="G75" s="100">
        <v>32.409999999999997</v>
      </c>
      <c r="H75" s="100">
        <v>12.73</v>
      </c>
      <c r="I75" s="100">
        <v>5.29</v>
      </c>
      <c r="J75" s="100">
        <v>0.85</v>
      </c>
      <c r="K75" s="100">
        <v>260.44</v>
      </c>
      <c r="L75" s="100">
        <v>30.63</v>
      </c>
      <c r="M75" s="100">
        <v>64.56</v>
      </c>
      <c r="N75" s="100">
        <v>76.2</v>
      </c>
      <c r="O75" s="100">
        <v>0</v>
      </c>
      <c r="P75" s="100">
        <v>0.22</v>
      </c>
      <c r="Q75" s="100">
        <v>10</v>
      </c>
      <c r="R75" s="6"/>
      <c r="S75" s="6"/>
      <c r="T75" s="156"/>
      <c r="U75" s="6"/>
    </row>
    <row r="76" spans="1:21" customFormat="1">
      <c r="A76" s="163" t="s">
        <v>3187</v>
      </c>
      <c r="B76" s="100">
        <v>3.2</v>
      </c>
      <c r="C76" s="100">
        <v>11.41</v>
      </c>
      <c r="D76" s="100">
        <v>8.52</v>
      </c>
      <c r="E76" s="100">
        <v>4.26</v>
      </c>
      <c r="F76" s="100">
        <v>5.68</v>
      </c>
      <c r="G76" s="100">
        <v>32.409999999999997</v>
      </c>
      <c r="H76" s="100">
        <v>12.73</v>
      </c>
      <c r="I76" s="100">
        <v>5.34</v>
      </c>
      <c r="J76" s="100">
        <v>0.74</v>
      </c>
      <c r="K76" s="100">
        <v>258.58999999999997</v>
      </c>
      <c r="L76" s="100">
        <v>30.45</v>
      </c>
      <c r="M76" s="100">
        <v>66.05</v>
      </c>
      <c r="N76" s="100">
        <v>63.7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163" t="s">
        <v>3188</v>
      </c>
      <c r="B77" s="100">
        <v>3.21</v>
      </c>
      <c r="C77" s="100">
        <v>11.45</v>
      </c>
      <c r="D77" s="100">
        <v>8.56</v>
      </c>
      <c r="E77" s="100">
        <v>3.88</v>
      </c>
      <c r="F77" s="100">
        <v>6.11</v>
      </c>
      <c r="G77" s="100">
        <v>36.82</v>
      </c>
      <c r="H77" s="100">
        <v>11.52</v>
      </c>
      <c r="I77" s="100">
        <v>5.41</v>
      </c>
      <c r="J77" s="100">
        <v>0.71</v>
      </c>
      <c r="K77" s="100">
        <v>259</v>
      </c>
      <c r="L77" s="100">
        <v>30.4</v>
      </c>
      <c r="M77" s="100">
        <v>64.41</v>
      </c>
      <c r="N77" s="100">
        <v>55.5</v>
      </c>
      <c r="O77" s="100">
        <v>0</v>
      </c>
      <c r="P77" s="100">
        <v>0.2</v>
      </c>
      <c r="Q77" s="100">
        <v>10</v>
      </c>
      <c r="R77" s="6"/>
      <c r="S77" s="6"/>
      <c r="T77" s="156"/>
      <c r="U77" s="6"/>
    </row>
    <row r="78" spans="1:21" customFormat="1">
      <c r="A78" s="163" t="s">
        <v>3189</v>
      </c>
      <c r="B78" s="100">
        <v>3.38</v>
      </c>
      <c r="C78" s="100">
        <v>11.74</v>
      </c>
      <c r="D78" s="100">
        <v>8.85</v>
      </c>
      <c r="E78" s="100">
        <v>4.17</v>
      </c>
      <c r="F78" s="100">
        <v>5.0599999999999996</v>
      </c>
      <c r="G78" s="100">
        <v>37.25</v>
      </c>
      <c r="H78" s="100">
        <v>11.52</v>
      </c>
      <c r="I78" s="100">
        <v>5.22</v>
      </c>
      <c r="J78" s="100">
        <v>0.78</v>
      </c>
      <c r="K78" s="100">
        <v>261.06</v>
      </c>
      <c r="L78" s="100">
        <v>30.26</v>
      </c>
      <c r="M78" s="100">
        <v>64.19</v>
      </c>
      <c r="N78" s="100">
        <v>46.5</v>
      </c>
      <c r="O78" s="100">
        <v>0</v>
      </c>
      <c r="P78" s="100">
        <v>0.21</v>
      </c>
      <c r="Q78" s="100">
        <v>10</v>
      </c>
      <c r="R78" s="6"/>
      <c r="S78" s="6"/>
      <c r="T78" s="156"/>
      <c r="U78" s="6"/>
    </row>
    <row r="79" spans="1:21" customFormat="1">
      <c r="A79" s="163" t="s">
        <v>3190</v>
      </c>
      <c r="B79" s="100">
        <v>3.26</v>
      </c>
      <c r="C79" s="100">
        <v>11.39</v>
      </c>
      <c r="D79" s="100">
        <v>8.56</v>
      </c>
      <c r="E79" s="100">
        <v>4.13</v>
      </c>
      <c r="F79" s="100">
        <v>6.69</v>
      </c>
      <c r="G79" s="100">
        <v>37.25</v>
      </c>
      <c r="H79" s="100">
        <v>11.52</v>
      </c>
      <c r="I79" s="100">
        <v>5.07</v>
      </c>
      <c r="J79" s="100">
        <v>0.74</v>
      </c>
      <c r="K79" s="100">
        <v>256.75</v>
      </c>
      <c r="L79" s="100">
        <v>29.96</v>
      </c>
      <c r="M79" s="100">
        <v>65.47</v>
      </c>
      <c r="N79" s="100">
        <v>37.6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163" t="s">
        <v>3191</v>
      </c>
      <c r="B80" s="100">
        <v>3.15</v>
      </c>
      <c r="C80" s="100">
        <v>11.12</v>
      </c>
      <c r="D80" s="100">
        <v>8.34</v>
      </c>
      <c r="E80" s="100">
        <v>4.05</v>
      </c>
      <c r="F80" s="100">
        <v>9.1</v>
      </c>
      <c r="G80" s="100">
        <v>37.25</v>
      </c>
      <c r="H80" s="100">
        <v>11.52</v>
      </c>
      <c r="I80" s="100">
        <v>5.09</v>
      </c>
      <c r="J80" s="100">
        <v>0.55000000000000004</v>
      </c>
      <c r="K80" s="100">
        <v>254.84</v>
      </c>
      <c r="L80" s="100">
        <v>29.64</v>
      </c>
      <c r="M80" s="100">
        <v>67.38</v>
      </c>
      <c r="N80" s="100">
        <v>28.7</v>
      </c>
      <c r="O80" s="100">
        <v>0</v>
      </c>
      <c r="P80" s="100">
        <v>0.17</v>
      </c>
      <c r="Q80" s="100">
        <v>10</v>
      </c>
      <c r="R80" s="6"/>
      <c r="S80" s="6"/>
      <c r="T80" s="156"/>
      <c r="U80" s="6"/>
    </row>
    <row r="81" spans="1:21" customFormat="1">
      <c r="A81" s="163" t="s">
        <v>3192</v>
      </c>
      <c r="B81" s="100">
        <v>3.23</v>
      </c>
      <c r="C81" s="100">
        <v>11.42</v>
      </c>
      <c r="D81" s="100">
        <v>8.56</v>
      </c>
      <c r="E81" s="100">
        <v>3.41</v>
      </c>
      <c r="F81" s="100">
        <v>4.7</v>
      </c>
      <c r="G81" s="100">
        <v>32.049999999999997</v>
      </c>
      <c r="H81" s="100">
        <v>9.65</v>
      </c>
      <c r="I81" s="100">
        <v>4.8600000000000003</v>
      </c>
      <c r="J81" s="100">
        <v>0.62</v>
      </c>
      <c r="K81" s="100">
        <v>260.11</v>
      </c>
      <c r="L81" s="100">
        <v>29.44</v>
      </c>
      <c r="M81" s="100">
        <v>68.53</v>
      </c>
      <c r="N81" s="100">
        <v>19.7</v>
      </c>
      <c r="O81" s="100">
        <v>0</v>
      </c>
      <c r="P81" s="100">
        <v>0.19</v>
      </c>
      <c r="Q81" s="100">
        <v>10</v>
      </c>
      <c r="R81" s="6"/>
      <c r="S81" s="6"/>
      <c r="T81" s="156"/>
      <c r="U81" s="6"/>
    </row>
    <row r="82" spans="1:21" customFormat="1">
      <c r="A82" s="163" t="s">
        <v>3193</v>
      </c>
      <c r="B82" s="100">
        <v>3.23</v>
      </c>
      <c r="C82" s="100">
        <v>11.4</v>
      </c>
      <c r="D82" s="100">
        <v>8.5500000000000007</v>
      </c>
      <c r="E82" s="100">
        <v>4.4800000000000004</v>
      </c>
      <c r="F82" s="100">
        <v>7.72</v>
      </c>
      <c r="G82" s="100">
        <v>31.54</v>
      </c>
      <c r="H82" s="100">
        <v>9.65</v>
      </c>
      <c r="I82" s="100">
        <v>4.8</v>
      </c>
      <c r="J82" s="100">
        <v>0.37</v>
      </c>
      <c r="K82" s="100">
        <v>254.54</v>
      </c>
      <c r="L82" s="100">
        <v>29.23</v>
      </c>
      <c r="M82" s="100">
        <v>70.760000000000005</v>
      </c>
      <c r="N82" s="100">
        <v>10.199999999999999</v>
      </c>
      <c r="O82" s="100">
        <v>0</v>
      </c>
      <c r="P82" s="100">
        <v>0.19</v>
      </c>
      <c r="Q82" s="100">
        <v>10</v>
      </c>
      <c r="R82" s="6"/>
      <c r="S82" s="6"/>
      <c r="T82" s="156"/>
      <c r="U82" s="6"/>
    </row>
    <row r="83" spans="1:21" customFormat="1">
      <c r="A83" s="163" t="s">
        <v>3194</v>
      </c>
      <c r="B83" s="100">
        <v>3.26</v>
      </c>
      <c r="C83" s="100">
        <v>11.47</v>
      </c>
      <c r="D83" s="100">
        <v>8.61</v>
      </c>
      <c r="E83" s="100">
        <v>4.55</v>
      </c>
      <c r="F83" s="100">
        <v>5.74</v>
      </c>
      <c r="G83" s="100">
        <v>31.54</v>
      </c>
      <c r="H83" s="100">
        <v>9.65</v>
      </c>
      <c r="I83" s="100">
        <v>4.8</v>
      </c>
      <c r="J83" s="100">
        <v>0.52</v>
      </c>
      <c r="K83" s="100">
        <v>261.12</v>
      </c>
      <c r="L83" s="100">
        <v>29</v>
      </c>
      <c r="M83" s="100">
        <v>71.72</v>
      </c>
      <c r="N83" s="100">
        <v>4.7</v>
      </c>
      <c r="O83" s="100">
        <v>0</v>
      </c>
      <c r="P83" s="100">
        <v>0.18</v>
      </c>
      <c r="Q83" s="100">
        <v>10</v>
      </c>
      <c r="R83" s="6"/>
      <c r="S83" s="6"/>
      <c r="T83" s="156"/>
      <c r="U83" s="6"/>
    </row>
    <row r="84" spans="1:21" customFormat="1">
      <c r="A84" s="163" t="s">
        <v>3195</v>
      </c>
      <c r="B84" s="100">
        <v>3.35</v>
      </c>
      <c r="C84" s="100">
        <v>12.23</v>
      </c>
      <c r="D84" s="100">
        <v>9.08</v>
      </c>
      <c r="E84" s="100">
        <v>4.87</v>
      </c>
      <c r="F84" s="100">
        <v>3.9</v>
      </c>
      <c r="G84" s="100">
        <v>31.54</v>
      </c>
      <c r="H84" s="100">
        <v>9.65</v>
      </c>
      <c r="I84" s="100">
        <v>4.62</v>
      </c>
      <c r="J84" s="100">
        <v>0.52</v>
      </c>
      <c r="K84" s="100">
        <v>256.7</v>
      </c>
      <c r="L84" s="100">
        <v>28.92</v>
      </c>
      <c r="M84" s="100">
        <v>71.599999999999994</v>
      </c>
      <c r="N84" s="100">
        <v>2.7</v>
      </c>
      <c r="O84" s="100">
        <v>0</v>
      </c>
      <c r="P84" s="100">
        <v>0.18</v>
      </c>
      <c r="Q84" s="100">
        <v>10</v>
      </c>
      <c r="R84" s="6"/>
      <c r="S84" s="6"/>
      <c r="T84" s="156"/>
      <c r="U84" s="6"/>
    </row>
    <row r="85" spans="1:21" customFormat="1">
      <c r="A85" s="163" t="s">
        <v>3196</v>
      </c>
      <c r="B85" s="100">
        <v>3.27</v>
      </c>
      <c r="C85" s="100">
        <v>12.28</v>
      </c>
      <c r="D85" s="100">
        <v>9.0399999999999991</v>
      </c>
      <c r="E85" s="100">
        <v>4.83</v>
      </c>
      <c r="F85" s="100">
        <v>4.6399999999999997</v>
      </c>
      <c r="G85" s="100">
        <v>31.05</v>
      </c>
      <c r="H85" s="100">
        <v>10.46</v>
      </c>
      <c r="I85" s="100">
        <v>4.68</v>
      </c>
      <c r="J85" s="100">
        <v>0.5</v>
      </c>
      <c r="K85" s="100">
        <v>256.98</v>
      </c>
      <c r="L85" s="100">
        <v>28.81</v>
      </c>
      <c r="M85" s="100">
        <v>72.38</v>
      </c>
      <c r="N85" s="100">
        <v>2.2999999999999998</v>
      </c>
      <c r="O85" s="100">
        <v>0</v>
      </c>
      <c r="P85" s="100">
        <v>0.18</v>
      </c>
      <c r="Q85" s="100">
        <v>10</v>
      </c>
      <c r="R85" s="6"/>
      <c r="S85" s="6"/>
      <c r="T85" s="156"/>
      <c r="U85" s="6"/>
    </row>
    <row r="86" spans="1:21" customFormat="1">
      <c r="A86" s="163" t="s">
        <v>3197</v>
      </c>
      <c r="B86" s="100">
        <v>3.22</v>
      </c>
      <c r="C86" s="100">
        <v>12.35</v>
      </c>
      <c r="D86" s="100">
        <v>9.0399999999999991</v>
      </c>
      <c r="E86" s="100">
        <v>4.8899999999999997</v>
      </c>
      <c r="F86" s="100">
        <v>2.84</v>
      </c>
      <c r="G86" s="100">
        <v>31</v>
      </c>
      <c r="H86" s="100">
        <v>10.46</v>
      </c>
      <c r="I86" s="100">
        <v>4.68</v>
      </c>
      <c r="J86" s="100">
        <v>0.3</v>
      </c>
      <c r="K86" s="100">
        <v>254.46</v>
      </c>
      <c r="L86" s="100">
        <v>28.55</v>
      </c>
      <c r="M86" s="100">
        <v>74.89</v>
      </c>
      <c r="N86" s="100">
        <v>2.2999999999999998</v>
      </c>
      <c r="O86" s="100">
        <v>0</v>
      </c>
      <c r="P86" s="100">
        <v>0.18</v>
      </c>
      <c r="Q86" s="100">
        <v>10</v>
      </c>
      <c r="R86" s="6"/>
      <c r="S86" s="6"/>
      <c r="T86" s="156"/>
      <c r="U86" s="6"/>
    </row>
    <row r="87" spans="1:21" customFormat="1">
      <c r="A87" s="163" t="s">
        <v>3198</v>
      </c>
      <c r="B87" s="100">
        <v>3.18</v>
      </c>
      <c r="C87" s="100">
        <v>12.24</v>
      </c>
      <c r="D87" s="100">
        <v>8.94</v>
      </c>
      <c r="E87" s="100">
        <v>4.9800000000000004</v>
      </c>
      <c r="F87" s="100">
        <v>2.54</v>
      </c>
      <c r="G87" s="100">
        <v>31</v>
      </c>
      <c r="H87" s="100">
        <v>10.46</v>
      </c>
      <c r="I87" s="100">
        <v>4.55</v>
      </c>
      <c r="J87" s="100">
        <v>0.22</v>
      </c>
      <c r="K87" s="100">
        <v>250.06</v>
      </c>
      <c r="L87" s="100">
        <v>28.47</v>
      </c>
      <c r="M87" s="100">
        <v>76.150000000000006</v>
      </c>
      <c r="N87" s="100">
        <v>2.2000000000000002</v>
      </c>
      <c r="O87" s="100">
        <v>0</v>
      </c>
      <c r="P87" s="100">
        <v>0.18</v>
      </c>
      <c r="Q87" s="100">
        <v>10</v>
      </c>
      <c r="R87" s="6"/>
      <c r="S87" s="6"/>
      <c r="T87" s="156"/>
      <c r="U87" s="6"/>
    </row>
    <row r="88" spans="1:21" customFormat="1">
      <c r="A88" s="163" t="s">
        <v>3199</v>
      </c>
      <c r="B88" s="100">
        <v>3.21</v>
      </c>
      <c r="C88" s="100">
        <v>12.15</v>
      </c>
      <c r="D88" s="100">
        <v>8.92</v>
      </c>
      <c r="E88" s="100">
        <v>5.29</v>
      </c>
      <c r="F88" s="100">
        <v>2.2200000000000002</v>
      </c>
      <c r="G88" s="100">
        <v>31</v>
      </c>
      <c r="H88" s="100">
        <v>10.46</v>
      </c>
      <c r="I88" s="100">
        <v>4.53</v>
      </c>
      <c r="J88" s="100">
        <v>1.32</v>
      </c>
      <c r="K88" s="100">
        <v>282.64999999999998</v>
      </c>
      <c r="L88" s="100">
        <v>28.13</v>
      </c>
      <c r="M88" s="100">
        <v>74.459999999999994</v>
      </c>
      <c r="N88" s="100">
        <v>2.7</v>
      </c>
      <c r="O88" s="100">
        <v>0</v>
      </c>
      <c r="P88" s="100">
        <v>0.18</v>
      </c>
      <c r="Q88" s="100">
        <v>10</v>
      </c>
      <c r="R88" s="6"/>
      <c r="S88" s="6"/>
      <c r="T88" s="156"/>
      <c r="U88" s="6"/>
    </row>
    <row r="89" spans="1:21" customFormat="1">
      <c r="A89" s="163" t="s">
        <v>3200</v>
      </c>
      <c r="B89" s="100">
        <v>3.31</v>
      </c>
      <c r="C89" s="100">
        <v>12.2</v>
      </c>
      <c r="D89" s="100">
        <v>9.0299999999999994</v>
      </c>
      <c r="E89" s="100">
        <v>5.35</v>
      </c>
      <c r="F89" s="100">
        <v>1.77</v>
      </c>
      <c r="G89" s="100">
        <v>36.08</v>
      </c>
      <c r="H89" s="100">
        <v>12.14</v>
      </c>
      <c r="I89" s="100">
        <v>4.51</v>
      </c>
      <c r="J89" s="100">
        <v>1.38</v>
      </c>
      <c r="K89" s="100">
        <v>303.39999999999998</v>
      </c>
      <c r="L89" s="100">
        <v>27.3</v>
      </c>
      <c r="M89" s="100">
        <v>73.67</v>
      </c>
      <c r="N89" s="100">
        <v>3.5</v>
      </c>
      <c r="O89" s="100">
        <v>0</v>
      </c>
      <c r="P89" s="100">
        <v>0.18</v>
      </c>
      <c r="Q89" s="100">
        <v>10</v>
      </c>
      <c r="R89" s="6"/>
      <c r="S89" s="6"/>
      <c r="T89" s="156"/>
      <c r="U89" s="6"/>
    </row>
    <row r="90" spans="1:21" customFormat="1">
      <c r="A90" s="163" t="s">
        <v>3201</v>
      </c>
      <c r="B90" s="100">
        <v>3.41</v>
      </c>
      <c r="C90" s="100">
        <v>12.21</v>
      </c>
      <c r="D90" s="100">
        <v>9.11</v>
      </c>
      <c r="E90" s="100">
        <v>5.38</v>
      </c>
      <c r="F90" s="100">
        <v>1.58</v>
      </c>
      <c r="G90" s="100">
        <v>36.57</v>
      </c>
      <c r="H90" s="100">
        <v>12.14</v>
      </c>
      <c r="I90" s="100">
        <v>4.55</v>
      </c>
      <c r="J90" s="100">
        <v>1.1000000000000001</v>
      </c>
      <c r="K90" s="100">
        <v>290.77</v>
      </c>
      <c r="L90" s="100">
        <v>26.75</v>
      </c>
      <c r="M90" s="100">
        <v>73.88</v>
      </c>
      <c r="N90" s="100">
        <v>3.2</v>
      </c>
      <c r="O90" s="100">
        <v>0</v>
      </c>
      <c r="P90" s="100">
        <v>0.19</v>
      </c>
      <c r="Q90" s="100">
        <v>10</v>
      </c>
      <c r="R90" s="6"/>
      <c r="S90" s="6"/>
      <c r="T90" s="156"/>
      <c r="U90" s="6"/>
    </row>
    <row r="91" spans="1:21" customFormat="1">
      <c r="A91" s="163" t="s">
        <v>3202</v>
      </c>
      <c r="B91" s="100">
        <v>3.47</v>
      </c>
      <c r="C91" s="100">
        <v>12.16</v>
      </c>
      <c r="D91" s="100">
        <v>9.14</v>
      </c>
      <c r="E91" s="100">
        <v>5.56</v>
      </c>
      <c r="F91" s="100">
        <v>2.58</v>
      </c>
      <c r="G91" s="100">
        <v>36.57</v>
      </c>
      <c r="H91" s="100">
        <v>12.14</v>
      </c>
      <c r="I91" s="100">
        <v>4.58</v>
      </c>
      <c r="J91" s="100">
        <v>1.01</v>
      </c>
      <c r="K91" s="100">
        <v>297.12</v>
      </c>
      <c r="L91" s="100">
        <v>26.36</v>
      </c>
      <c r="M91" s="100">
        <v>75.41</v>
      </c>
      <c r="N91" s="100">
        <v>2.8</v>
      </c>
      <c r="O91" s="100">
        <v>0</v>
      </c>
      <c r="P91" s="100">
        <v>0.19</v>
      </c>
      <c r="Q91" s="100">
        <v>10</v>
      </c>
      <c r="R91" s="6"/>
      <c r="S91" s="6"/>
      <c r="T91" s="156"/>
      <c r="U91" s="6"/>
    </row>
    <row r="92" spans="1:21" customFormat="1">
      <c r="A92" s="163" t="s">
        <v>3203</v>
      </c>
      <c r="B92" s="100">
        <v>3.62</v>
      </c>
      <c r="C92" s="100">
        <v>12.14</v>
      </c>
      <c r="D92" s="100">
        <v>9.25</v>
      </c>
      <c r="E92" s="100">
        <v>5.51</v>
      </c>
      <c r="F92" s="100">
        <v>2.44</v>
      </c>
      <c r="G92" s="100">
        <v>36.57</v>
      </c>
      <c r="H92" s="100">
        <v>12.14</v>
      </c>
      <c r="I92" s="100">
        <v>4.51</v>
      </c>
      <c r="J92" s="100">
        <v>1.1200000000000001</v>
      </c>
      <c r="K92" s="100">
        <v>297.8</v>
      </c>
      <c r="L92" s="100">
        <v>26.34</v>
      </c>
      <c r="M92" s="100">
        <v>75.290000000000006</v>
      </c>
      <c r="N92" s="100">
        <v>2.2000000000000002</v>
      </c>
      <c r="O92" s="100">
        <v>0</v>
      </c>
      <c r="P92" s="100">
        <v>0.18</v>
      </c>
      <c r="Q92" s="100">
        <v>10</v>
      </c>
      <c r="R92" s="6"/>
      <c r="S92" s="6"/>
      <c r="T92" s="156"/>
      <c r="U92" s="6"/>
    </row>
    <row r="93" spans="1:21" customFormat="1">
      <c r="A93" s="163" t="s">
        <v>3204</v>
      </c>
      <c r="B93" s="100">
        <v>3.78</v>
      </c>
      <c r="C93" s="100">
        <v>12.28</v>
      </c>
      <c r="D93" s="100">
        <v>9.4499999999999993</v>
      </c>
      <c r="E93" s="100">
        <v>5.78</v>
      </c>
      <c r="F93" s="100">
        <v>1.88</v>
      </c>
      <c r="G93" s="100">
        <v>32.590000000000003</v>
      </c>
      <c r="H93" s="100">
        <v>9.41</v>
      </c>
      <c r="I93" s="100">
        <v>4.42</v>
      </c>
      <c r="J93" s="100">
        <v>0.42</v>
      </c>
      <c r="K93" s="100">
        <v>294.42</v>
      </c>
      <c r="L93" s="100">
        <v>26.38</v>
      </c>
      <c r="M93" s="100">
        <v>76.89</v>
      </c>
      <c r="N93" s="100">
        <v>2.1</v>
      </c>
      <c r="O93" s="100">
        <v>0</v>
      </c>
      <c r="P93" s="100">
        <v>0.19</v>
      </c>
      <c r="Q93" s="100">
        <v>10</v>
      </c>
      <c r="R93" s="6"/>
      <c r="S93" s="6"/>
      <c r="T93" s="156"/>
      <c r="U93" s="6"/>
    </row>
    <row r="94" spans="1:21" customFormat="1">
      <c r="A94" s="163" t="s">
        <v>3205</v>
      </c>
      <c r="B94" s="100">
        <v>3.91</v>
      </c>
      <c r="C94" s="100">
        <v>12.39</v>
      </c>
      <c r="D94" s="100">
        <v>9.61</v>
      </c>
      <c r="E94" s="100">
        <v>5.84</v>
      </c>
      <c r="F94" s="100">
        <v>1.78</v>
      </c>
      <c r="G94" s="100">
        <v>32.21</v>
      </c>
      <c r="H94" s="100">
        <v>9.41</v>
      </c>
      <c r="I94" s="100">
        <v>4.3600000000000003</v>
      </c>
      <c r="J94" s="100">
        <v>0.34</v>
      </c>
      <c r="K94" s="100">
        <v>258.7</v>
      </c>
      <c r="L94" s="100">
        <v>26.46</v>
      </c>
      <c r="M94" s="100">
        <v>78.98</v>
      </c>
      <c r="N94" s="100">
        <v>2.2000000000000002</v>
      </c>
      <c r="O94" s="100">
        <v>0</v>
      </c>
      <c r="P94" s="100">
        <v>0.19</v>
      </c>
      <c r="Q94" s="100">
        <v>10</v>
      </c>
      <c r="R94" s="6"/>
      <c r="S94" s="6"/>
      <c r="T94" s="156"/>
      <c r="U94" s="6"/>
    </row>
    <row r="95" spans="1:21" customFormat="1">
      <c r="A95" s="163" t="s">
        <v>3206</v>
      </c>
      <c r="B95" s="100">
        <v>4.01</v>
      </c>
      <c r="C95" s="100">
        <v>12.41</v>
      </c>
      <c r="D95" s="100">
        <v>9.69</v>
      </c>
      <c r="E95" s="100">
        <v>5.74</v>
      </c>
      <c r="F95" s="100">
        <v>1.33</v>
      </c>
      <c r="G95" s="100">
        <v>32.21</v>
      </c>
      <c r="H95" s="100">
        <v>9.41</v>
      </c>
      <c r="I95" s="100">
        <v>4.37</v>
      </c>
      <c r="J95" s="100">
        <v>0.32</v>
      </c>
      <c r="K95" s="100">
        <v>249.94</v>
      </c>
      <c r="L95" s="100">
        <v>26.37</v>
      </c>
      <c r="M95" s="100">
        <v>80.66</v>
      </c>
      <c r="N95" s="100">
        <v>2.2999999999999998</v>
      </c>
      <c r="O95" s="100">
        <v>0</v>
      </c>
      <c r="P95" s="100">
        <v>0.19</v>
      </c>
      <c r="Q95" s="100">
        <v>10</v>
      </c>
      <c r="R95" s="6"/>
      <c r="S95" s="6"/>
      <c r="T95" s="156"/>
      <c r="U95" s="6"/>
    </row>
    <row r="96" spans="1:21" customFormat="1">
      <c r="A96" s="163" t="s">
        <v>3207</v>
      </c>
      <c r="B96" s="100">
        <v>4.0599999999999996</v>
      </c>
      <c r="C96" s="100">
        <v>12.26</v>
      </c>
      <c r="D96" s="100">
        <v>9.66</v>
      </c>
      <c r="E96" s="100">
        <v>5.85</v>
      </c>
      <c r="F96" s="100">
        <v>1.34</v>
      </c>
      <c r="G96" s="100">
        <v>32.21</v>
      </c>
      <c r="H96" s="100">
        <v>9.41</v>
      </c>
      <c r="I96" s="100">
        <v>4.32</v>
      </c>
      <c r="J96" s="100">
        <v>0.12</v>
      </c>
      <c r="K96" s="100">
        <v>191.85</v>
      </c>
      <c r="L96" s="100">
        <v>26.27</v>
      </c>
      <c r="M96" s="100">
        <v>82.85</v>
      </c>
      <c r="N96" s="100">
        <v>2.4</v>
      </c>
      <c r="O96" s="100">
        <v>0</v>
      </c>
      <c r="P96" s="100">
        <v>0.19</v>
      </c>
      <c r="Q96" s="100">
        <v>10</v>
      </c>
      <c r="R96" s="6"/>
      <c r="S96" s="6"/>
      <c r="T96" s="156"/>
      <c r="U96" s="6"/>
    </row>
    <row r="97" spans="1:28" customFormat="1">
      <c r="A97" s="163" t="s">
        <v>3208</v>
      </c>
      <c r="B97" s="100">
        <v>4.1100000000000003</v>
      </c>
      <c r="C97" s="100">
        <v>12.06</v>
      </c>
      <c r="D97" s="100">
        <v>9.59</v>
      </c>
      <c r="E97" s="100">
        <v>5.67</v>
      </c>
      <c r="F97" s="100">
        <v>1.78</v>
      </c>
      <c r="G97" s="100">
        <v>30.62</v>
      </c>
      <c r="H97" s="100">
        <v>6.65</v>
      </c>
      <c r="I97" s="100">
        <v>4.41</v>
      </c>
      <c r="J97" s="100">
        <v>0.16</v>
      </c>
      <c r="K97" s="100">
        <v>169.62</v>
      </c>
      <c r="L97" s="100">
        <v>26.18</v>
      </c>
      <c r="M97" s="100">
        <v>83.66</v>
      </c>
      <c r="N97" s="100">
        <v>2.4</v>
      </c>
      <c r="O97" s="100">
        <v>0</v>
      </c>
      <c r="P97" s="100">
        <v>0.19</v>
      </c>
      <c r="Q97" s="100">
        <v>10</v>
      </c>
      <c r="R97" s="6"/>
      <c r="S97" s="6"/>
      <c r="T97" s="156"/>
      <c r="U97" s="6"/>
    </row>
    <row r="98" spans="1:28" customFormat="1">
      <c r="A98" s="163" t="s">
        <v>3209</v>
      </c>
      <c r="B98" s="100">
        <v>4.13</v>
      </c>
      <c r="C98" s="100">
        <v>11.79</v>
      </c>
      <c r="D98" s="100">
        <v>9.48</v>
      </c>
      <c r="E98" s="100">
        <v>5.56</v>
      </c>
      <c r="F98" s="100">
        <v>1.97</v>
      </c>
      <c r="G98" s="100">
        <v>30.46</v>
      </c>
      <c r="H98" s="100">
        <v>6.65</v>
      </c>
      <c r="I98" s="100">
        <v>4.3899999999999997</v>
      </c>
      <c r="J98" s="100">
        <v>0.15</v>
      </c>
      <c r="K98" s="100">
        <v>143.76</v>
      </c>
      <c r="L98" s="100">
        <v>26.15</v>
      </c>
      <c r="M98" s="100">
        <v>85.73</v>
      </c>
      <c r="N98" s="100">
        <v>2.2000000000000002</v>
      </c>
      <c r="O98" s="100">
        <v>0</v>
      </c>
      <c r="P98" s="100">
        <v>0.19</v>
      </c>
      <c r="Q98" s="100">
        <v>10</v>
      </c>
      <c r="R98" s="6"/>
      <c r="S98" s="6"/>
      <c r="T98" s="156"/>
      <c r="U98" s="6"/>
    </row>
    <row r="99" spans="1:28" customFormat="1">
      <c r="A99" s="163" t="s">
        <v>3210</v>
      </c>
      <c r="B99" s="100">
        <v>4.1500000000000004</v>
      </c>
      <c r="C99" s="100">
        <v>11.64</v>
      </c>
      <c r="D99" s="100">
        <v>9.41</v>
      </c>
      <c r="E99" s="100">
        <v>5.63</v>
      </c>
      <c r="F99" s="100">
        <v>1.43</v>
      </c>
      <c r="G99" s="100">
        <v>30.46</v>
      </c>
      <c r="H99" s="100">
        <v>6.65</v>
      </c>
      <c r="I99" s="100">
        <v>4.28</v>
      </c>
      <c r="J99" s="100">
        <v>0.19</v>
      </c>
      <c r="K99" s="100">
        <v>169.26</v>
      </c>
      <c r="L99" s="100">
        <v>26.24</v>
      </c>
      <c r="M99" s="100">
        <v>86.76</v>
      </c>
      <c r="N99" s="100">
        <v>2.2000000000000002</v>
      </c>
      <c r="O99" s="100">
        <v>0</v>
      </c>
      <c r="P99" s="100">
        <v>0.2</v>
      </c>
      <c r="Q99" s="100">
        <v>10</v>
      </c>
      <c r="R99" s="6"/>
      <c r="S99" s="6"/>
      <c r="T99" s="156"/>
      <c r="U99" s="6"/>
    </row>
    <row r="100" spans="1:28" customFormat="1">
      <c r="A100" s="163" t="s">
        <v>3211</v>
      </c>
      <c r="B100" s="100">
        <v>4.24</v>
      </c>
      <c r="C100" s="100">
        <v>11.58</v>
      </c>
      <c r="D100" s="100">
        <v>9.4499999999999993</v>
      </c>
      <c r="E100" s="100">
        <v>5.66</v>
      </c>
      <c r="F100" s="100">
        <v>1.25</v>
      </c>
      <c r="G100" s="100">
        <v>30.46</v>
      </c>
      <c r="H100" s="100">
        <v>6.65</v>
      </c>
      <c r="I100" s="100">
        <v>4.28</v>
      </c>
      <c r="J100" s="100">
        <v>0.16</v>
      </c>
      <c r="K100" s="100">
        <v>160.37</v>
      </c>
      <c r="L100" s="100">
        <v>26.19</v>
      </c>
      <c r="M100" s="100">
        <v>87.81</v>
      </c>
      <c r="N100" s="100">
        <v>2.2000000000000002</v>
      </c>
      <c r="O100" s="100">
        <v>0</v>
      </c>
      <c r="P100" s="100">
        <v>0.21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163" t="s">
        <v>3212</v>
      </c>
      <c r="B101" s="100">
        <v>4.4000000000000004</v>
      </c>
      <c r="C101" s="100">
        <v>11.61</v>
      </c>
      <c r="D101" s="100">
        <v>9.59</v>
      </c>
      <c r="E101" s="100">
        <v>5.57</v>
      </c>
      <c r="F101" s="100">
        <v>1.67</v>
      </c>
      <c r="G101" s="100">
        <v>29.56</v>
      </c>
      <c r="H101" s="100">
        <v>8.2799999999999994</v>
      </c>
      <c r="I101" s="100">
        <v>4.4400000000000004</v>
      </c>
      <c r="J101" s="100">
        <v>0.14000000000000001</v>
      </c>
      <c r="K101" s="100">
        <v>166.93</v>
      </c>
      <c r="L101" s="100">
        <v>26.19</v>
      </c>
      <c r="M101" s="100">
        <v>88.21</v>
      </c>
      <c r="N101" s="100">
        <v>2.1</v>
      </c>
      <c r="O101" s="100">
        <v>0</v>
      </c>
      <c r="P101" s="100">
        <v>0.23</v>
      </c>
      <c r="Q101" s="100">
        <v>10</v>
      </c>
      <c r="R101" s="6"/>
      <c r="S101" s="6"/>
      <c r="T101" s="156"/>
      <c r="U101" s="6"/>
    </row>
    <row r="102" spans="1:28" customFormat="1">
      <c r="A102" s="163" t="s">
        <v>3213</v>
      </c>
      <c r="B102" s="100">
        <v>4.6100000000000003</v>
      </c>
      <c r="C102" s="100">
        <v>11.65</v>
      </c>
      <c r="D102" s="100">
        <v>9.7799999999999994</v>
      </c>
      <c r="E102" s="100">
        <v>5.73</v>
      </c>
      <c r="F102" s="100">
        <v>2.13</v>
      </c>
      <c r="G102" s="100">
        <v>29.49</v>
      </c>
      <c r="H102" s="100">
        <v>8.2799999999999994</v>
      </c>
      <c r="I102" s="100">
        <v>4.76</v>
      </c>
      <c r="J102" s="100">
        <v>0.14000000000000001</v>
      </c>
      <c r="K102" s="100">
        <v>173.94</v>
      </c>
      <c r="L102" s="100">
        <v>25.79</v>
      </c>
      <c r="M102" s="100">
        <v>91.71</v>
      </c>
      <c r="N102" s="100">
        <v>2.5</v>
      </c>
      <c r="O102" s="100">
        <v>0</v>
      </c>
      <c r="P102" s="100">
        <v>0.24</v>
      </c>
      <c r="Q102" s="100">
        <v>10</v>
      </c>
      <c r="R102" s="6"/>
      <c r="S102" s="6"/>
      <c r="T102" s="156"/>
      <c r="U102" s="6"/>
    </row>
    <row r="103" spans="1:28" customFormat="1">
      <c r="A103" s="163" t="s">
        <v>3214</v>
      </c>
      <c r="B103" s="100">
        <v>4.78</v>
      </c>
      <c r="C103" s="100">
        <v>11.59</v>
      </c>
      <c r="D103" s="100">
        <v>9.89</v>
      </c>
      <c r="E103" s="100">
        <v>5.81</v>
      </c>
      <c r="F103" s="100">
        <v>2.12</v>
      </c>
      <c r="G103" s="100">
        <v>29.49</v>
      </c>
      <c r="H103" s="100">
        <v>8.2799999999999994</v>
      </c>
      <c r="I103" s="100">
        <v>5</v>
      </c>
      <c r="J103" s="100">
        <v>0.09</v>
      </c>
      <c r="K103" s="100">
        <v>191.07</v>
      </c>
      <c r="L103" s="100">
        <v>25.52</v>
      </c>
      <c r="M103" s="100">
        <v>93.5</v>
      </c>
      <c r="N103" s="100">
        <v>2.2999999999999998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163" t="s">
        <v>3215</v>
      </c>
      <c r="B104" s="100">
        <v>4.97</v>
      </c>
      <c r="C104" s="100">
        <v>11.3</v>
      </c>
      <c r="D104" s="100">
        <v>9.89</v>
      </c>
      <c r="E104" s="100">
        <v>5.92</v>
      </c>
      <c r="F104" s="100">
        <v>0.39</v>
      </c>
      <c r="G104" s="100">
        <v>29.49</v>
      </c>
      <c r="H104" s="100">
        <v>8.2799999999999994</v>
      </c>
      <c r="I104" s="100">
        <v>5.34</v>
      </c>
      <c r="J104" s="100">
        <v>0.1</v>
      </c>
      <c r="K104" s="100">
        <v>249.06</v>
      </c>
      <c r="L104" s="100">
        <v>25.27</v>
      </c>
      <c r="M104" s="100">
        <v>94.96</v>
      </c>
      <c r="N104" s="100">
        <v>2.4</v>
      </c>
      <c r="O104" s="100">
        <v>0</v>
      </c>
      <c r="P104" s="100">
        <v>0.28000000000000003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2.71</v>
      </c>
      <c r="C106" s="158">
        <f>MIN(C9:C104)</f>
        <v>9.8699999999999992</v>
      </c>
      <c r="D106" s="158">
        <f t="shared" ref="D106:Q106" si="0">MIN(D9:D104)</f>
        <v>7.95</v>
      </c>
      <c r="E106" s="158">
        <f t="shared" si="0"/>
        <v>3.41</v>
      </c>
      <c r="F106" s="158">
        <f t="shared" si="0"/>
        <v>0.39</v>
      </c>
      <c r="G106" s="158">
        <f t="shared" si="0"/>
        <v>8.0399999999999991</v>
      </c>
      <c r="H106" s="158">
        <f t="shared" si="0"/>
        <v>4.41</v>
      </c>
      <c r="I106" s="158">
        <f t="shared" si="0"/>
        <v>2.5099999999999998</v>
      </c>
      <c r="J106" s="158">
        <f t="shared" si="0"/>
        <v>0.09</v>
      </c>
      <c r="K106" s="158">
        <f t="shared" si="0"/>
        <v>143.76</v>
      </c>
      <c r="L106" s="158">
        <f t="shared" si="0"/>
        <v>25.12</v>
      </c>
      <c r="M106" s="158">
        <f t="shared" si="0"/>
        <v>64.19</v>
      </c>
      <c r="N106" s="158">
        <f t="shared" si="0"/>
        <v>2.1</v>
      </c>
      <c r="O106" s="158">
        <f t="shared" si="0"/>
        <v>0</v>
      </c>
      <c r="P106" s="158">
        <f t="shared" si="0"/>
        <v>0.1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5.93</v>
      </c>
      <c r="C107" s="157">
        <f t="shared" ref="C107:Q107" si="1">MAX(C9:C104)</f>
        <v>12.41</v>
      </c>
      <c r="D107" s="157">
        <f t="shared" si="1"/>
        <v>10.78</v>
      </c>
      <c r="E107" s="157">
        <f t="shared" si="1"/>
        <v>5.92</v>
      </c>
      <c r="F107" s="157">
        <f t="shared" si="1"/>
        <v>9.1</v>
      </c>
      <c r="G107" s="157">
        <f t="shared" si="1"/>
        <v>37.25</v>
      </c>
      <c r="H107" s="157">
        <f t="shared" si="1"/>
        <v>13.58</v>
      </c>
      <c r="I107" s="157">
        <f t="shared" si="1"/>
        <v>5.41</v>
      </c>
      <c r="J107" s="157">
        <f t="shared" si="1"/>
        <v>1.38</v>
      </c>
      <c r="K107" s="157">
        <f t="shared" si="1"/>
        <v>303.39999999999998</v>
      </c>
      <c r="L107" s="157">
        <f t="shared" si="1"/>
        <v>31.52</v>
      </c>
      <c r="M107" s="157">
        <f t="shared" si="1"/>
        <v>94.96</v>
      </c>
      <c r="N107" s="157">
        <f t="shared" si="1"/>
        <v>687.4</v>
      </c>
      <c r="O107" s="157">
        <f t="shared" si="1"/>
        <v>0</v>
      </c>
      <c r="P107" s="157">
        <f t="shared" si="1"/>
        <v>0.28000000000000003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4.1072916666666677</v>
      </c>
      <c r="C108" s="158">
        <f t="shared" ref="C108:Q108" si="2">AVERAGE(C9:C104)</f>
        <v>11.307083333333331</v>
      </c>
      <c r="D108" s="158">
        <f t="shared" si="2"/>
        <v>9.2020833333333325</v>
      </c>
      <c r="E108" s="158">
        <f t="shared" si="2"/>
        <v>4.7380208333333345</v>
      </c>
      <c r="F108" s="158">
        <f t="shared" si="2"/>
        <v>2.7222916666666674</v>
      </c>
      <c r="G108" s="158">
        <f t="shared" si="2"/>
        <v>24.191874999999985</v>
      </c>
      <c r="H108" s="158">
        <f t="shared" si="2"/>
        <v>9.1074999999999964</v>
      </c>
      <c r="I108" s="158">
        <f t="shared" si="2"/>
        <v>3.8369791666666653</v>
      </c>
      <c r="J108" s="158">
        <f t="shared" si="2"/>
        <v>0.61083333333333334</v>
      </c>
      <c r="K108" s="158">
        <f t="shared" si="2"/>
        <v>253.2114583333333</v>
      </c>
      <c r="L108" s="158">
        <f t="shared" si="2"/>
        <v>27.681145833333346</v>
      </c>
      <c r="M108" s="158">
        <f t="shared" si="2"/>
        <v>80.395833333333357</v>
      </c>
      <c r="N108" s="158">
        <f t="shared" si="2"/>
        <v>103.66250000000008</v>
      </c>
      <c r="O108" s="158">
        <f t="shared" si="2"/>
        <v>0</v>
      </c>
      <c r="P108" s="158">
        <f t="shared" si="2"/>
        <v>0.16260416666666663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0.92685033046749576</v>
      </c>
      <c r="C109" s="158">
        <f t="shared" ref="C109:Q109" si="3">STDEV(C9:C104)</f>
        <v>0.66637103094086636</v>
      </c>
      <c r="D109" s="158">
        <f t="shared" si="3"/>
        <v>0.7400169509675425</v>
      </c>
      <c r="E109" s="158">
        <f t="shared" si="3"/>
        <v>0.6629687930921172</v>
      </c>
      <c r="F109" s="158">
        <f t="shared" si="3"/>
        <v>1.7156747815773083</v>
      </c>
      <c r="G109" s="158">
        <f t="shared" si="3"/>
        <v>10.386322920831512</v>
      </c>
      <c r="H109" s="158">
        <f t="shared" si="3"/>
        <v>2.7301918189792356</v>
      </c>
      <c r="I109" s="158">
        <f t="shared" si="3"/>
        <v>0.99261708289028694</v>
      </c>
      <c r="J109" s="158">
        <f t="shared" si="3"/>
        <v>0.26595870936617089</v>
      </c>
      <c r="K109" s="158">
        <f t="shared" si="3"/>
        <v>27.201056248035666</v>
      </c>
      <c r="L109" s="158">
        <f t="shared" si="3"/>
        <v>2.2574050634775396</v>
      </c>
      <c r="M109" s="158">
        <f t="shared" si="3"/>
        <v>10.89325756378099</v>
      </c>
      <c r="N109" s="158">
        <f t="shared" si="3"/>
        <v>151.67177529472181</v>
      </c>
      <c r="O109" s="158">
        <f t="shared" si="3"/>
        <v>0</v>
      </c>
      <c r="P109" s="158">
        <f t="shared" si="3"/>
        <v>4.2233555919600686E-2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5" t="s">
        <v>56</v>
      </c>
      <c r="C115" s="165"/>
      <c r="D115" s="165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tabSelected="1" zoomScale="85" zoomScaleNormal="85" workbookViewId="0">
      <pane xSplit="1" ySplit="8" topLeftCell="B33" activePane="bottomRight" state="frozen"/>
      <selection pane="topRight"/>
      <selection pane="bottomLeft"/>
      <selection pane="bottomRight" activeCell="Q46" sqref="Q4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01/07/2025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01/07/2025 00:15</v>
      </c>
      <c r="B9" s="83">
        <f>'01'!B108</f>
        <v>7.1415625000000036</v>
      </c>
      <c r="C9" s="83">
        <f>'01'!C108</f>
        <v>9.3271874999999991</v>
      </c>
      <c r="D9" s="83">
        <f>'01'!D108</f>
        <v>3.9414583333333346</v>
      </c>
      <c r="E9" s="83">
        <f>'01'!E108</f>
        <v>8.2967708333333352</v>
      </c>
      <c r="F9" s="83">
        <f>'01'!F108</f>
        <v>4.72</v>
      </c>
      <c r="G9" s="83">
        <f>'01'!G108</f>
        <v>24.37836956521739</v>
      </c>
      <c r="H9" s="83">
        <f>'01'!H108</f>
        <v>8.2033695652173844</v>
      </c>
      <c r="I9" s="83">
        <f>'01'!I108</f>
        <v>5.5642708333333353</v>
      </c>
      <c r="J9" s="83">
        <f>'01'!J108</f>
        <v>0.78114583333333343</v>
      </c>
      <c r="K9" s="83">
        <f>'01'!K108</f>
        <v>266.32583333333338</v>
      </c>
      <c r="L9" s="83">
        <f>'01'!L108</f>
        <v>26.438645833333322</v>
      </c>
      <c r="M9" s="83">
        <f>'01'!M108</f>
        <v>87.54354166666667</v>
      </c>
      <c r="N9" s="83">
        <f>'01'!N108</f>
        <v>73.671874999999986</v>
      </c>
      <c r="O9" s="83">
        <f>'01'!O108</f>
        <v>4.1666666666666666E-3</v>
      </c>
      <c r="P9" s="83">
        <f>'01'!P108</f>
        <v>0.31552083333333336</v>
      </c>
      <c r="Q9" s="83">
        <f>'01'!Q108</f>
        <v>9.9215686274509842</v>
      </c>
      <c r="R9" s="76"/>
      <c r="S9" s="76"/>
      <c r="T9" s="76"/>
      <c r="U9" s="76"/>
    </row>
    <row r="10" spans="1:21">
      <c r="A10" s="139" t="str">
        <f>'02'!$B$2</f>
        <v>02/07/2025 00:15</v>
      </c>
      <c r="B10" s="83">
        <f>'02'!B108</f>
        <v>8.2405208333333295</v>
      </c>
      <c r="C10" s="83">
        <f>'02'!C108</f>
        <v>8.9328125000000007</v>
      </c>
      <c r="D10" s="83">
        <f>'02'!D108</f>
        <v>2.4639583333333341</v>
      </c>
      <c r="E10" s="83">
        <f>'02'!E108</f>
        <v>4.5046875000000002</v>
      </c>
      <c r="F10" s="83">
        <f>'02'!F108</f>
        <v>3.2222916666666683</v>
      </c>
      <c r="G10" s="83">
        <f>'02'!G108</f>
        <v>29.924687500000015</v>
      </c>
      <c r="H10" s="83">
        <f>'02'!H108</f>
        <v>12.227291666666673</v>
      </c>
      <c r="I10" s="83">
        <f>'02'!I108</f>
        <v>7.4896874999999996</v>
      </c>
      <c r="J10" s="83">
        <f>'02'!J108</f>
        <v>0.58260416666666648</v>
      </c>
      <c r="K10" s="83">
        <f>'02'!K108</f>
        <v>260.96500000000003</v>
      </c>
      <c r="L10" s="83">
        <f>'02'!L108</f>
        <v>25.999166666666671</v>
      </c>
      <c r="M10" s="83">
        <f>'02'!M108</f>
        <v>91.289999999999978</v>
      </c>
      <c r="N10" s="83">
        <f>'02'!N108</f>
        <v>44.77812500000001</v>
      </c>
      <c r="O10" s="83">
        <f>'02'!O108</f>
        <v>1.8749999999999999E-2</v>
      </c>
      <c r="P10" s="83">
        <f>'02'!P108</f>
        <v>0.17041666666666663</v>
      </c>
      <c r="Q10" s="83">
        <f>'02'!Q108</f>
        <v>9.9297916666666577</v>
      </c>
      <c r="R10" s="76"/>
      <c r="S10" s="76"/>
      <c r="T10" s="76"/>
      <c r="U10" s="76"/>
    </row>
    <row r="11" spans="1:21">
      <c r="A11" s="139" t="str">
        <f>'03'!$B$2</f>
        <v>03/07/2025 00:15</v>
      </c>
      <c r="B11" s="83">
        <f>'03'!B108</f>
        <v>2.8685416666666668</v>
      </c>
      <c r="C11" s="83">
        <f>'03'!C108</f>
        <v>4.7195833333333335</v>
      </c>
      <c r="D11" s="83">
        <f>'03'!D108</f>
        <v>1.9300000000000004</v>
      </c>
      <c r="E11" s="83">
        <f>'03'!E108</f>
        <v>5.0810416666666685</v>
      </c>
      <c r="F11" s="83">
        <f>'03'!F108</f>
        <v>2.1301041666666669</v>
      </c>
      <c r="G11" s="83">
        <f>'03'!G108</f>
        <v>22.229062500000008</v>
      </c>
      <c r="H11" s="83">
        <f>'03'!H108</f>
        <v>10.256458333333326</v>
      </c>
      <c r="I11" s="83">
        <f>'03'!I108</f>
        <v>3.6643749999999993</v>
      </c>
      <c r="J11" s="83">
        <f>'03'!J108</f>
        <v>0.52052083333333321</v>
      </c>
      <c r="K11" s="83">
        <f>'03'!K108</f>
        <v>258.67874999999998</v>
      </c>
      <c r="L11" s="83">
        <f>'03'!L108</f>
        <v>25.7309375</v>
      </c>
      <c r="M11" s="83">
        <f>'03'!M108</f>
        <v>91.821562500000013</v>
      </c>
      <c r="N11" s="83">
        <f>'03'!N108</f>
        <v>30.559375000000014</v>
      </c>
      <c r="O11" s="83">
        <f>'03'!O108</f>
        <v>1.6666666666666666E-2</v>
      </c>
      <c r="P11" s="83">
        <f>'03'!P108</f>
        <v>8.8020833333333312E-2</v>
      </c>
      <c r="Q11" s="83">
        <f>'03'!Q108</f>
        <v>9.9113541666666567</v>
      </c>
      <c r="R11" s="76"/>
      <c r="S11" s="76"/>
      <c r="T11" s="76"/>
      <c r="U11" s="76"/>
    </row>
    <row r="12" spans="1:21">
      <c r="A12" s="139" t="str">
        <f>'04'!$B$2</f>
        <v>04/07/2025 00:15</v>
      </c>
      <c r="B12" s="83">
        <f>'04'!B108</f>
        <v>2.5924731182795693</v>
      </c>
      <c r="C12" s="83">
        <f>'04'!C108</f>
        <v>4.4915053763440858</v>
      </c>
      <c r="D12" s="83">
        <f>'04'!D108</f>
        <v>1.9255913978494625</v>
      </c>
      <c r="E12" s="83">
        <f>'04'!E108</f>
        <v>3.5072043010752703</v>
      </c>
      <c r="F12" s="83">
        <f>'04'!F108</f>
        <v>2.2179787234042547</v>
      </c>
      <c r="G12" s="83">
        <f>'04'!G108</f>
        <v>27.846170212765948</v>
      </c>
      <c r="H12" s="83">
        <f>'04'!H108</f>
        <v>8.6968085106382951</v>
      </c>
      <c r="I12" s="83">
        <f>'04'!I108</f>
        <v>3.8905319148936188</v>
      </c>
      <c r="J12" s="83">
        <f>'04'!J108</f>
        <v>0.68968085106382992</v>
      </c>
      <c r="K12" s="83">
        <f>'04'!K108</f>
        <v>258.21585106382986</v>
      </c>
      <c r="L12" s="83">
        <f>'04'!L108</f>
        <v>26.307872340425529</v>
      </c>
      <c r="M12" s="83">
        <f>'04'!M108</f>
        <v>86.955319148936155</v>
      </c>
      <c r="N12" s="83">
        <f>'04'!N108</f>
        <v>64.352127659574478</v>
      </c>
      <c r="O12" s="83">
        <f>'04'!O108</f>
        <v>2.7659574468085108E-2</v>
      </c>
      <c r="P12" s="83">
        <f>'04'!P108</f>
        <v>0.11914893617021276</v>
      </c>
      <c r="Q12" s="83">
        <f>'04'!Q108</f>
        <v>10.521195652173921</v>
      </c>
      <c r="R12" s="76"/>
      <c r="S12" s="76"/>
      <c r="T12" s="76"/>
      <c r="U12" s="76"/>
    </row>
    <row r="13" spans="1:21">
      <c r="A13" s="139" t="str">
        <f>'05'!$B$2</f>
        <v>05/07/2025 00:15</v>
      </c>
      <c r="B13" s="83">
        <f>'05'!B108</f>
        <v>2.9838541666666667</v>
      </c>
      <c r="C13" s="83">
        <f>'05'!C108</f>
        <v>4.9101041666666658</v>
      </c>
      <c r="D13" s="83">
        <f>'05'!D108</f>
        <v>2.0087500000000005</v>
      </c>
      <c r="E13" s="83">
        <f>'05'!E108</f>
        <v>5.2744791666666684</v>
      </c>
      <c r="F13" s="83">
        <f>'05'!F108</f>
        <v>2.1378125000000003</v>
      </c>
      <c r="G13" s="83">
        <f>'05'!G108</f>
        <v>31.524895833333336</v>
      </c>
      <c r="H13" s="83">
        <f>'05'!H108</f>
        <v>10.972708333333328</v>
      </c>
      <c r="I13" s="83">
        <f>'05'!I108</f>
        <v>4.5225000000000009</v>
      </c>
      <c r="J13" s="83">
        <f>'05'!J108</f>
        <v>0.61666666666666659</v>
      </c>
      <c r="K13" s="83">
        <f>'05'!K108</f>
        <v>260.26</v>
      </c>
      <c r="L13" s="83">
        <f>'05'!L108</f>
        <v>26.027187499999997</v>
      </c>
      <c r="M13" s="83">
        <f>'05'!M108</f>
        <v>89.736666666666679</v>
      </c>
      <c r="N13" s="83">
        <f>'05'!N108</f>
        <v>58.506250000000023</v>
      </c>
      <c r="O13" s="83">
        <f>'05'!O108</f>
        <v>0.13333333333333333</v>
      </c>
      <c r="P13" s="83">
        <f>'05'!P108</f>
        <v>0.13166666666666668</v>
      </c>
      <c r="Q13" s="151" t="s">
        <v>8</v>
      </c>
      <c r="R13" s="76"/>
      <c r="S13" s="76"/>
      <c r="T13" s="76"/>
      <c r="U13" s="76"/>
    </row>
    <row r="14" spans="1:21">
      <c r="A14" s="139" t="str">
        <f>'06'!$B$2</f>
        <v>06/07/2025 00:15</v>
      </c>
      <c r="B14" s="83">
        <f>'06'!B108</f>
        <v>2.9607291666666664</v>
      </c>
      <c r="C14" s="83">
        <f>'06'!C108</f>
        <v>4.9103125000000007</v>
      </c>
      <c r="D14" s="83">
        <f>'06'!D108</f>
        <v>2.023124999999999</v>
      </c>
      <c r="E14" s="83">
        <f>'06'!E108</f>
        <v>5.393229166666667</v>
      </c>
      <c r="F14" s="83">
        <f>'06'!F108</f>
        <v>1.9597916666666662</v>
      </c>
      <c r="G14" s="83">
        <f>'06'!G108</f>
        <v>17.284062500000001</v>
      </c>
      <c r="H14" s="83">
        <f>'06'!H108</f>
        <v>7.2310416666666599</v>
      </c>
      <c r="I14" s="83">
        <f>'06'!I108</f>
        <v>6.6957291666666663</v>
      </c>
      <c r="J14" s="83">
        <f>'06'!J108</f>
        <v>0.74364583333333345</v>
      </c>
      <c r="K14" s="83">
        <f>'06'!K108</f>
        <v>261.42739583333338</v>
      </c>
      <c r="L14" s="83">
        <f>'06'!L108</f>
        <v>25.014270833333342</v>
      </c>
      <c r="M14" s="83">
        <f>'06'!M108</f>
        <v>95.919791666666683</v>
      </c>
      <c r="N14" s="83">
        <f>'06'!N108</f>
        <v>31.120833333333334</v>
      </c>
      <c r="O14" s="83">
        <f>'06'!O108</f>
        <v>0.2208333333333333</v>
      </c>
      <c r="P14" s="83">
        <f>'06'!P108</f>
        <v>0.25614583333333341</v>
      </c>
      <c r="Q14" s="151" t="s">
        <v>8</v>
      </c>
      <c r="R14" s="76"/>
      <c r="S14" s="76"/>
      <c r="T14" s="76"/>
      <c r="U14" s="76"/>
    </row>
    <row r="15" spans="1:21">
      <c r="A15" s="139" t="str">
        <f>'07'!$B$2</f>
        <v>07/07/2025 00:15</v>
      </c>
      <c r="B15" s="83">
        <f>'07'!B108</f>
        <v>6.958854166666665</v>
      </c>
      <c r="C15" s="83">
        <f>'07'!C108</f>
        <v>9.1596875000000022</v>
      </c>
      <c r="D15" s="83">
        <f>'07'!D108</f>
        <v>2.4819791666666666</v>
      </c>
      <c r="E15" s="83">
        <f>'07'!E108</f>
        <v>4.3751041666666666</v>
      </c>
      <c r="F15" s="83">
        <f>'07'!F108</f>
        <v>2.4826041666666665</v>
      </c>
      <c r="G15" s="83">
        <f>'07'!G108</f>
        <v>9.7302083333333371</v>
      </c>
      <c r="H15" s="83">
        <f>'07'!H108</f>
        <v>4.2077083333333309</v>
      </c>
      <c r="I15" s="83">
        <f>'07'!I108</f>
        <v>6.235104166666666</v>
      </c>
      <c r="J15" s="83">
        <f>'07'!J108</f>
        <v>0.67979166666666668</v>
      </c>
      <c r="K15" s="83">
        <f>'07'!K108</f>
        <v>269.42458333333326</v>
      </c>
      <c r="L15" s="83">
        <f>'07'!L108</f>
        <v>24.254375000000007</v>
      </c>
      <c r="M15" s="83">
        <f>'07'!M108</f>
        <v>99.378749999999968</v>
      </c>
      <c r="N15" s="83">
        <f>'07'!N108</f>
        <v>19.140625000000007</v>
      </c>
      <c r="O15" s="83">
        <f>'07'!O108</f>
        <v>0.81250000000000044</v>
      </c>
      <c r="P15" s="83">
        <f>'07'!P108</f>
        <v>0.4513541666666665</v>
      </c>
      <c r="Q15" s="83">
        <f>'07'!Q108</f>
        <v>9.8362000000000034</v>
      </c>
      <c r="R15" s="76"/>
      <c r="S15" s="76"/>
      <c r="T15" s="76"/>
      <c r="U15" s="76"/>
    </row>
    <row r="16" spans="1:21">
      <c r="A16" s="139" t="str">
        <f>'08'!$B$2</f>
        <v>08/07/2025 00:15</v>
      </c>
      <c r="B16" s="83">
        <f>'08'!B108</f>
        <v>2.7523958333333329</v>
      </c>
      <c r="C16" s="83">
        <f>'08'!C108</f>
        <v>4.6738541666666675</v>
      </c>
      <c r="D16" s="83">
        <f>'08'!D108</f>
        <v>1.9216666666666653</v>
      </c>
      <c r="E16" s="83">
        <f>'08'!E108</f>
        <v>5.5793749999999989</v>
      </c>
      <c r="F16" s="83">
        <f>'08'!F108</f>
        <v>2.2376041666666677</v>
      </c>
      <c r="G16" s="83">
        <f>'08'!G108</f>
        <v>4.6861458333333346</v>
      </c>
      <c r="H16" s="83">
        <f>'08'!H108</f>
        <v>1.8190625000000005</v>
      </c>
      <c r="I16" s="83">
        <f>'08'!I108</f>
        <v>3.4130208333333338</v>
      </c>
      <c r="J16" s="83">
        <f>'08'!J108</f>
        <v>0.77416666666666645</v>
      </c>
      <c r="K16" s="83">
        <f>'08'!K108</f>
        <v>260.16312500000015</v>
      </c>
      <c r="L16" s="83">
        <f>'08'!L108</f>
        <v>23.703020833333337</v>
      </c>
      <c r="M16" s="83">
        <f>'08'!M108</f>
        <v>96.309583333333379</v>
      </c>
      <c r="N16" s="83">
        <f>'08'!N108</f>
        <v>35.38333333333334</v>
      </c>
      <c r="O16" s="83">
        <f>'08'!O108</f>
        <v>0.25624999999999998</v>
      </c>
      <c r="P16" s="83">
        <f>'08'!P108</f>
        <v>0.10281249999999993</v>
      </c>
      <c r="Q16" s="83">
        <f>'08'!Q108</f>
        <v>9.918229166666654</v>
      </c>
      <c r="R16" s="76"/>
      <c r="S16" s="76"/>
      <c r="T16" s="76"/>
      <c r="U16" s="76"/>
    </row>
    <row r="17" spans="1:21">
      <c r="A17" s="139" t="str">
        <f>'09'!$B$2</f>
        <v>09/07/2025 00:15</v>
      </c>
      <c r="B17" s="83">
        <f>'09'!B108</f>
        <v>14.245466666666662</v>
      </c>
      <c r="C17" s="83">
        <f>'09'!C108</f>
        <v>13.84386666666666</v>
      </c>
      <c r="D17" s="83">
        <f>'09'!D108</f>
        <v>1.9662666666666666</v>
      </c>
      <c r="E17" s="83">
        <f>'09'!E108</f>
        <v>3.826666666666668</v>
      </c>
      <c r="F17" s="83">
        <f>'09'!F108</f>
        <v>5.1878124999999997</v>
      </c>
      <c r="G17" s="83">
        <f>'09'!G108</f>
        <v>5.0252083333333308</v>
      </c>
      <c r="H17" s="83">
        <f>'09'!H108</f>
        <v>3.1881249999999972</v>
      </c>
      <c r="I17" s="83">
        <f>'09'!I108</f>
        <v>3.6153125000000004</v>
      </c>
      <c r="J17" s="83">
        <f>'09'!J108</f>
        <v>0.77364583333333325</v>
      </c>
      <c r="K17" s="83">
        <f>'09'!K108</f>
        <v>258.75666666666672</v>
      </c>
      <c r="L17" s="83">
        <f>'09'!L108</f>
        <v>24.055312500000003</v>
      </c>
      <c r="M17" s="83">
        <f>'09'!M108</f>
        <v>96.69041666666665</v>
      </c>
      <c r="N17" s="83">
        <f>'09'!N108</f>
        <v>52.828125</v>
      </c>
      <c r="O17" s="83">
        <f>'09'!O108</f>
        <v>0.24791666666666659</v>
      </c>
      <c r="P17" s="83">
        <f>'09'!P108</f>
        <v>0.10625</v>
      </c>
      <c r="Q17" s="83">
        <f>'09'!Q108</f>
        <v>9.9118749999999896</v>
      </c>
      <c r="R17" s="76"/>
      <c r="S17" s="76"/>
      <c r="T17" s="76"/>
      <c r="U17" s="76"/>
    </row>
    <row r="18" spans="1:21">
      <c r="A18" s="139" t="str">
        <f>'10'!$B$2</f>
        <v>10/07/2025 00:15</v>
      </c>
      <c r="B18" s="83">
        <f>'10'!B108</f>
        <v>4.9035443037974726</v>
      </c>
      <c r="C18" s="83">
        <f>'10'!C108</f>
        <v>11.602405063291139</v>
      </c>
      <c r="D18" s="83">
        <f>'10'!D108</f>
        <v>5.2575949367088599</v>
      </c>
      <c r="E18" s="83">
        <f>'10'!E108</f>
        <v>7.8140624999999986</v>
      </c>
      <c r="F18" s="83">
        <f>'10'!F108</f>
        <v>6.9692708333333364</v>
      </c>
      <c r="G18" s="83">
        <f>'10'!G108</f>
        <v>19.324375000000007</v>
      </c>
      <c r="H18" s="83">
        <f>'10'!H108</f>
        <v>7.4496874999999996</v>
      </c>
      <c r="I18" s="83">
        <f>'10'!I108</f>
        <v>4.6130208333333336</v>
      </c>
      <c r="J18" s="83">
        <f>'10'!J108</f>
        <v>0.50760416666666652</v>
      </c>
      <c r="K18" s="83">
        <f>'10'!K108</f>
        <v>239.87635416666663</v>
      </c>
      <c r="L18" s="83">
        <f>'10'!L108</f>
        <v>25.338854166666678</v>
      </c>
      <c r="M18" s="83">
        <f>'10'!M108</f>
        <v>95.969791666666723</v>
      </c>
      <c r="N18" s="83">
        <f>'10'!N108</f>
        <v>53.908333333333339</v>
      </c>
      <c r="O18" s="83">
        <f>'10'!O108</f>
        <v>0.40416666666666695</v>
      </c>
      <c r="P18" s="83">
        <f>'10'!P108</f>
        <v>0.19677083333333337</v>
      </c>
      <c r="Q18" s="83">
        <f>'10'!Q108</f>
        <v>9.3991666666666678</v>
      </c>
      <c r="R18" s="76"/>
      <c r="S18" s="76"/>
      <c r="T18" s="76"/>
      <c r="U18" s="76"/>
    </row>
    <row r="19" spans="1:21">
      <c r="A19" s="139" t="str">
        <f>'11'!$B$2</f>
        <v>11/07/2025 00:15</v>
      </c>
      <c r="B19" s="83">
        <f>'11'!B108</f>
        <v>1.2940624999999979</v>
      </c>
      <c r="C19" s="83">
        <f>'11'!C108</f>
        <v>2.1741666666666677</v>
      </c>
      <c r="D19" s="83">
        <f>'11'!D108</f>
        <v>0.7736000000000004</v>
      </c>
      <c r="E19" s="83">
        <f>'11'!E108</f>
        <v>4.3881249999999996</v>
      </c>
      <c r="F19" s="83">
        <f>'11'!F108</f>
        <v>2.6055208333333328</v>
      </c>
      <c r="G19" s="83">
        <f>'11'!G108</f>
        <v>32.838645833333331</v>
      </c>
      <c r="H19" s="83">
        <f>'11'!H108</f>
        <v>11.627604166666663</v>
      </c>
      <c r="I19" s="83">
        <f>'11'!I108</f>
        <v>5.6360416666666664</v>
      </c>
      <c r="J19" s="83">
        <f>'11'!J108</f>
        <v>0.66166666666666651</v>
      </c>
      <c r="K19" s="83">
        <f>'11'!K108</f>
        <v>256.73124999999999</v>
      </c>
      <c r="L19" s="83">
        <f>'11'!L108</f>
        <v>27.420104166666665</v>
      </c>
      <c r="M19" s="83">
        <f>'11'!M108</f>
        <v>86.220520833333296</v>
      </c>
      <c r="N19" s="83">
        <f>'11'!N108</f>
        <v>101.40937500000005</v>
      </c>
      <c r="O19" s="83">
        <f>'11'!O108</f>
        <v>0</v>
      </c>
      <c r="P19" s="83">
        <f>'11'!P108</f>
        <v>0.24552083333333327</v>
      </c>
      <c r="Q19" s="83">
        <f>'11'!Q108</f>
        <v>10</v>
      </c>
      <c r="R19" s="76"/>
      <c r="S19" s="76"/>
      <c r="T19" s="76"/>
      <c r="U19" s="76"/>
    </row>
    <row r="20" spans="1:21">
      <c r="A20" s="139" t="str">
        <f>'12'!$B$2</f>
        <v>12/07/2025 00:15</v>
      </c>
      <c r="B20" s="83">
        <f>'12'!B108</f>
        <v>1.3658333333333312</v>
      </c>
      <c r="C20" s="83">
        <f>'12'!C108</f>
        <v>3.1965624999999993</v>
      </c>
      <c r="D20" s="83">
        <f>'12'!D108</f>
        <v>2.0389583333333343</v>
      </c>
      <c r="E20" s="83">
        <f>'12'!E108</f>
        <v>5.2656250000000027</v>
      </c>
      <c r="F20" s="83">
        <f>'12'!F108</f>
        <v>4.5610416666666671</v>
      </c>
      <c r="G20" s="83">
        <f>'12'!G108</f>
        <v>29.463020833333342</v>
      </c>
      <c r="H20" s="83">
        <f>'12'!H108</f>
        <v>12.243333333333327</v>
      </c>
      <c r="I20" s="83">
        <f>'12'!I108</f>
        <v>5.5633333333333326</v>
      </c>
      <c r="J20" s="83">
        <f>'12'!J108</f>
        <v>0.49395833333333333</v>
      </c>
      <c r="K20" s="83">
        <f>'12'!K108</f>
        <v>240.54458333333332</v>
      </c>
      <c r="L20" s="83">
        <f>'12'!L108</f>
        <v>28.667708333333348</v>
      </c>
      <c r="M20" s="83">
        <f>'12'!M108</f>
        <v>80.015104166666674</v>
      </c>
      <c r="N20" s="83">
        <f>'12'!N108</f>
        <v>126.3614583333334</v>
      </c>
      <c r="O20" s="83">
        <f>'12'!O108</f>
        <v>0</v>
      </c>
      <c r="P20" s="83">
        <f>'12'!P108</f>
        <v>0.22635416666666672</v>
      </c>
      <c r="Q20" s="83">
        <f>'12'!Q108</f>
        <v>10</v>
      </c>
      <c r="R20" s="76"/>
      <c r="S20" s="76"/>
      <c r="T20" s="76"/>
      <c r="U20" s="76"/>
    </row>
    <row r="21" spans="1:21">
      <c r="A21" s="139" t="str">
        <f>'13'!$B$2</f>
        <v>13/07/2025 00:15</v>
      </c>
      <c r="B21" s="83">
        <f>'13'!B108</f>
        <v>1.6395833333333334</v>
      </c>
      <c r="C21" s="83">
        <f>'13'!C108</f>
        <v>3.7768750000000004</v>
      </c>
      <c r="D21" s="83">
        <f>'13'!D108</f>
        <v>2.7312500000000006</v>
      </c>
      <c r="E21" s="83">
        <f>'13'!E108</f>
        <v>4.9965624999999987</v>
      </c>
      <c r="F21" s="83">
        <f>'13'!F108</f>
        <v>4.0361458333333333</v>
      </c>
      <c r="G21" s="83">
        <f>'13'!G108</f>
        <v>32.584687500000001</v>
      </c>
      <c r="H21" s="83">
        <f>'13'!H108</f>
        <v>13.143020833333338</v>
      </c>
      <c r="I21" s="83">
        <f>'13'!I108</f>
        <v>4.984583333333334</v>
      </c>
      <c r="J21" s="83">
        <f>'13'!J108</f>
        <v>0.50989583333333355</v>
      </c>
      <c r="K21" s="83">
        <f>'13'!K108</f>
        <v>242.77864583333334</v>
      </c>
      <c r="L21" s="83">
        <f>'13'!L108</f>
        <v>29.372083333333332</v>
      </c>
      <c r="M21" s="83">
        <f>'13'!M108</f>
        <v>74.882083333333341</v>
      </c>
      <c r="N21" s="83">
        <f>'13'!N108</f>
        <v>104.12500000000004</v>
      </c>
      <c r="O21" s="83">
        <f>'13'!O108</f>
        <v>0</v>
      </c>
      <c r="P21" s="83">
        <f>'13'!P108</f>
        <v>0.16958333333333322</v>
      </c>
      <c r="Q21" s="83">
        <f>'13'!Q108</f>
        <v>10</v>
      </c>
      <c r="R21" s="76"/>
      <c r="S21" s="76"/>
      <c r="T21" s="76"/>
      <c r="U21" s="76"/>
    </row>
    <row r="22" spans="1:21">
      <c r="A22" s="139" t="str">
        <f>'14'!$B$2</f>
        <v>14/07/2025 00:15</v>
      </c>
      <c r="B22" s="140">
        <f>'14'!B108</f>
        <v>1.3180208333333319</v>
      </c>
      <c r="C22" s="140">
        <f>'14'!C108</f>
        <v>2.9512499999999999</v>
      </c>
      <c r="D22" s="140">
        <f>'14'!D108</f>
        <v>1.6433333333333333</v>
      </c>
      <c r="E22" s="140">
        <f>'14'!E108</f>
        <v>4.6331249999999988</v>
      </c>
      <c r="F22" s="140">
        <f>'14'!F108</f>
        <v>9.8664583333333358</v>
      </c>
      <c r="G22" s="140">
        <f>'14'!G108</f>
        <v>28.889062499999984</v>
      </c>
      <c r="H22" s="140">
        <f>'14'!H108</f>
        <v>9.8806249999999913</v>
      </c>
      <c r="I22" s="140">
        <f>'14'!I108</f>
        <v>5.2462499999999972</v>
      </c>
      <c r="J22" s="140">
        <f>'14'!J108</f>
        <v>0.43124999999999997</v>
      </c>
      <c r="K22" s="140">
        <f>'14'!K108</f>
        <v>229.40458333333325</v>
      </c>
      <c r="L22" s="140">
        <f>'14'!L108</f>
        <v>28.728020833333332</v>
      </c>
      <c r="M22" s="140">
        <f>'14'!M108</f>
        <v>78.450937500000023</v>
      </c>
      <c r="N22" s="140">
        <f>'14'!N108</f>
        <v>82.168750000000031</v>
      </c>
      <c r="O22" s="140">
        <f>'14'!O108</f>
        <v>2.0833333333333333E-3</v>
      </c>
      <c r="P22" s="140">
        <f>'14'!P108</f>
        <v>0.19354166666666664</v>
      </c>
      <c r="Q22" s="140">
        <f>'14'!Q108</f>
        <v>10</v>
      </c>
      <c r="R22" s="153"/>
      <c r="S22" s="153"/>
      <c r="T22" s="153"/>
      <c r="U22" s="153"/>
    </row>
    <row r="23" spans="1:21">
      <c r="A23" s="139" t="str">
        <f>'15'!$B$2</f>
        <v>15/07/2025 00:15</v>
      </c>
      <c r="B23" s="83">
        <f>'15'!B108</f>
        <v>2.3791666666666669</v>
      </c>
      <c r="C23" s="83">
        <f>'15'!C108</f>
        <v>4.2105208333333328</v>
      </c>
      <c r="D23" s="83">
        <f>'15'!D108</f>
        <v>2.4254166666666657</v>
      </c>
      <c r="E23" s="83">
        <f>'15'!E108</f>
        <v>4.8547916666666673</v>
      </c>
      <c r="F23" s="83">
        <f>'15'!F108</f>
        <v>4.4751041666666644</v>
      </c>
      <c r="G23" s="83">
        <f>'15'!G108</f>
        <v>33.782708333333325</v>
      </c>
      <c r="H23" s="83">
        <f>'15'!H108</f>
        <v>12.45052083333332</v>
      </c>
      <c r="I23" s="83">
        <f>'15'!I108</f>
        <v>7.3935416666666649</v>
      </c>
      <c r="J23" s="83">
        <f>'15'!J108</f>
        <v>0.35656249999999967</v>
      </c>
      <c r="K23" s="83">
        <f>'15'!K108</f>
        <v>175.64427083333331</v>
      </c>
      <c r="L23" s="83">
        <f>'15'!L108</f>
        <v>27.892812500000002</v>
      </c>
      <c r="M23" s="83">
        <f>'15'!M108</f>
        <v>85.817291666666691</v>
      </c>
      <c r="N23" s="83">
        <f>'15'!N108</f>
        <v>75.088541666666671</v>
      </c>
      <c r="O23" s="83">
        <f>'15'!O108</f>
        <v>5.4166666666666669E-2</v>
      </c>
      <c r="P23" s="83">
        <f>'15'!P108</f>
        <v>0.27875000000000005</v>
      </c>
      <c r="Q23" s="83">
        <f>'15'!Q108</f>
        <v>10</v>
      </c>
      <c r="R23" s="76"/>
      <c r="S23" s="76"/>
      <c r="T23" s="76"/>
      <c r="U23" s="76"/>
    </row>
    <row r="24" spans="1:21">
      <c r="A24" s="139" t="str">
        <f>'16'!$B$2</f>
        <v>16/07/2025 00:15</v>
      </c>
      <c r="B24" s="83">
        <f>'16'!B108</f>
        <v>2.0472916666666672</v>
      </c>
      <c r="C24" s="83">
        <f>'16'!C108</f>
        <v>3.9846874999999962</v>
      </c>
      <c r="D24" s="83">
        <f>'16'!D108</f>
        <v>2.5026041666666665</v>
      </c>
      <c r="E24" s="83">
        <f>'16'!E108</f>
        <v>4.0806250000000004</v>
      </c>
      <c r="F24" s="83">
        <f>'16'!F108</f>
        <v>3.3359375</v>
      </c>
      <c r="G24" s="83">
        <f>'16'!G108</f>
        <v>20.902499999999993</v>
      </c>
      <c r="H24" s="83">
        <f>'16'!H108</f>
        <v>8.3339583333333334</v>
      </c>
      <c r="I24" s="83">
        <f>'16'!I108</f>
        <v>6.5305208333333331</v>
      </c>
      <c r="J24" s="83">
        <f>'16'!J108</f>
        <v>0.3411458333333332</v>
      </c>
      <c r="K24" s="83">
        <f>'16'!K108</f>
        <v>233.65770833333332</v>
      </c>
      <c r="L24" s="83">
        <f>'16'!L108</f>
        <v>27.234062500000004</v>
      </c>
      <c r="M24" s="83">
        <f>'16'!M108</f>
        <v>90.724166666666648</v>
      </c>
      <c r="N24" s="83">
        <f>'16'!N108</f>
        <v>81.627083333333374</v>
      </c>
      <c r="O24" s="83">
        <f>'16'!O108</f>
        <v>0.11249999999999999</v>
      </c>
      <c r="P24" s="83">
        <f>'16'!P108</f>
        <v>0.21635416666666685</v>
      </c>
      <c r="Q24" s="83">
        <f>'16'!Q108</f>
        <v>10</v>
      </c>
      <c r="R24" s="76"/>
      <c r="S24" s="76"/>
      <c r="T24" s="76"/>
      <c r="U24" s="76"/>
    </row>
    <row r="25" spans="1:21">
      <c r="A25" s="139" t="str">
        <f>'17'!$B$2</f>
        <v>17/07/2025 00:15</v>
      </c>
      <c r="B25" s="83">
        <f>'17'!B108</f>
        <v>1.3867708333333315</v>
      </c>
      <c r="C25" s="83">
        <f>'17'!C108</f>
        <v>3.1888541666666668</v>
      </c>
      <c r="D25" s="83">
        <f>'17'!D108</f>
        <v>1.9922916666666666</v>
      </c>
      <c r="E25" s="83">
        <f>'17'!E108</f>
        <v>5.123854166666665</v>
      </c>
      <c r="F25" s="83">
        <f>'17'!F108</f>
        <v>3.3387499999999988</v>
      </c>
      <c r="G25" s="83">
        <f>'17'!G108</f>
        <v>20.980625</v>
      </c>
      <c r="H25" s="83">
        <f>'17'!H108</f>
        <v>9.2809374999999985</v>
      </c>
      <c r="I25" s="83">
        <f>'17'!I108</f>
        <v>3.8423958333333341</v>
      </c>
      <c r="J25" s="83">
        <f>'17'!J108</f>
        <v>0.27625000000000005</v>
      </c>
      <c r="K25" s="83">
        <f>'17'!K108</f>
        <v>214.41635416666659</v>
      </c>
      <c r="L25" s="83">
        <f>'17'!L108</f>
        <v>28.393749999999986</v>
      </c>
      <c r="M25" s="83">
        <f>'17'!M108</f>
        <v>84.481874999999988</v>
      </c>
      <c r="N25" s="83">
        <f>'17'!N108</f>
        <v>111.05624999999999</v>
      </c>
      <c r="O25" s="83">
        <f>'17'!O108</f>
        <v>6.2500000000000012E-3</v>
      </c>
      <c r="P25" s="83">
        <f>'17'!P108</f>
        <v>0.12354166666666661</v>
      </c>
      <c r="Q25" s="83">
        <f>'17'!Q108</f>
        <v>10</v>
      </c>
      <c r="R25" s="76"/>
      <c r="S25" s="76"/>
      <c r="T25" s="76"/>
      <c r="U25" s="76"/>
    </row>
    <row r="26" spans="1:21">
      <c r="A26" s="139" t="str">
        <f>'18'!$B$2</f>
        <v>18/07/2025 00:15</v>
      </c>
      <c r="B26" s="83">
        <f>'18'!B108</f>
        <v>1.7026041666666665</v>
      </c>
      <c r="C26" s="83">
        <f>'18'!C108</f>
        <v>3.6190625000000005</v>
      </c>
      <c r="D26" s="83">
        <f>'18'!D108</f>
        <v>2.3303124999999993</v>
      </c>
      <c r="E26" s="83">
        <f>'18'!E108</f>
        <v>4.8502083333333337</v>
      </c>
      <c r="F26" s="83">
        <f>'18'!F108</f>
        <v>3.6942708333333329</v>
      </c>
      <c r="G26" s="83">
        <f>'18'!G108</f>
        <v>27.281041666666685</v>
      </c>
      <c r="H26" s="83">
        <f>'18'!H108</f>
        <v>11.777291666666665</v>
      </c>
      <c r="I26" s="83">
        <f>'18'!I108</f>
        <v>4.6666666666666652</v>
      </c>
      <c r="J26" s="83">
        <f>'18'!J108</f>
        <v>0.20635416666666673</v>
      </c>
      <c r="K26" s="83">
        <f>'18'!K108</f>
        <v>173.22322916666675</v>
      </c>
      <c r="L26" s="83">
        <f>'18'!L108</f>
        <v>28.071250000000006</v>
      </c>
      <c r="M26" s="83">
        <f>'18'!M108</f>
        <v>84.568750000000023</v>
      </c>
      <c r="N26" s="83">
        <f>'18'!N108</f>
        <v>80.436458333333334</v>
      </c>
      <c r="O26" s="83">
        <f>'18'!O108</f>
        <v>4.1666666666666666E-3</v>
      </c>
      <c r="P26" s="83">
        <f>'18'!P108</f>
        <v>0.19229166666666675</v>
      </c>
      <c r="Q26" s="83">
        <f>'18'!Q108</f>
        <v>10</v>
      </c>
      <c r="R26" s="76"/>
      <c r="S26" s="76"/>
      <c r="T26" s="76"/>
      <c r="U26" s="76"/>
    </row>
    <row r="27" spans="1:21">
      <c r="A27" s="139" t="str">
        <f>'19'!$B$2</f>
        <v>19/07/2025 00:15</v>
      </c>
      <c r="B27" s="83">
        <f>'19'!B108</f>
        <v>2.6310416666666669</v>
      </c>
      <c r="C27" s="83">
        <f>'19'!C108</f>
        <v>4.4606249999999976</v>
      </c>
      <c r="D27" s="83">
        <f>'19'!D108</f>
        <v>2.5173958333333331</v>
      </c>
      <c r="E27" s="83">
        <f>'19'!E108</f>
        <v>6.1893750000000018</v>
      </c>
      <c r="F27" s="83">
        <f>'19'!F108</f>
        <v>2.9097916666666657</v>
      </c>
      <c r="G27" s="83">
        <f>'19'!G108</f>
        <v>46.736666666666657</v>
      </c>
      <c r="H27" s="83">
        <f>'19'!H108</f>
        <v>18.664270833333337</v>
      </c>
      <c r="I27" s="83">
        <f>'19'!I108</f>
        <v>6.5634374999999991</v>
      </c>
      <c r="J27" s="83">
        <f>'19'!J108</f>
        <v>0.28833333333333339</v>
      </c>
      <c r="K27" s="83">
        <f>'19'!K108</f>
        <v>164.45447916666663</v>
      </c>
      <c r="L27" s="83">
        <f>'19'!L108</f>
        <v>28.279895833333324</v>
      </c>
      <c r="M27" s="83">
        <f>'19'!M108</f>
        <v>87.410833333333358</v>
      </c>
      <c r="N27" s="83">
        <f>'19'!N108</f>
        <v>80.348958333333385</v>
      </c>
      <c r="O27" s="83">
        <f>'19'!O108</f>
        <v>0.13541666666666666</v>
      </c>
      <c r="P27" s="83">
        <f>'19'!P108</f>
        <v>0.27687500000000004</v>
      </c>
      <c r="Q27" s="83">
        <f>'19'!Q108</f>
        <v>10</v>
      </c>
      <c r="R27" s="76"/>
      <c r="S27" s="76"/>
      <c r="T27" s="76"/>
      <c r="U27" s="76"/>
    </row>
    <row r="28" spans="1:21">
      <c r="A28" s="139" t="str">
        <f>'20'!$B$2</f>
        <v>20/07/2025 00:15</v>
      </c>
      <c r="B28" s="83">
        <f>'20'!B108</f>
        <v>2.7308333333333334</v>
      </c>
      <c r="C28" s="83">
        <f>'20'!C108</f>
        <v>4.4923958333333331</v>
      </c>
      <c r="D28" s="83">
        <f>'20'!D108</f>
        <v>2.4247916666666658</v>
      </c>
      <c r="E28" s="83">
        <f>'20'!E108</f>
        <v>5.047395833333332</v>
      </c>
      <c r="F28" s="83">
        <f>'20'!F108</f>
        <v>2.6685416666666661</v>
      </c>
      <c r="G28" s="83">
        <f>'20'!G108</f>
        <v>33.67625000000001</v>
      </c>
      <c r="H28" s="83">
        <f>'20'!H108</f>
        <v>14.308333333333337</v>
      </c>
      <c r="I28" s="83">
        <f>'20'!I108</f>
        <v>5.909374999999998</v>
      </c>
      <c r="J28" s="83">
        <f>'20'!J108</f>
        <v>0.32333333333333336</v>
      </c>
      <c r="K28" s="83">
        <f>'20'!K108</f>
        <v>196.81937499999989</v>
      </c>
      <c r="L28" s="83">
        <f>'20'!L108</f>
        <v>26.489583333333325</v>
      </c>
      <c r="M28" s="83">
        <f>'20'!M108</f>
        <v>90.445104166666695</v>
      </c>
      <c r="N28" s="83">
        <f>'20'!N108</f>
        <v>64.189583333333331</v>
      </c>
      <c r="O28" s="83">
        <f>'20'!O108</f>
        <v>0.27499999999999997</v>
      </c>
      <c r="P28" s="83">
        <f>'20'!P108</f>
        <v>0.26010416666666664</v>
      </c>
      <c r="Q28" s="83">
        <f>'20'!Q108</f>
        <v>10</v>
      </c>
      <c r="R28" s="76"/>
      <c r="S28" s="76"/>
      <c r="T28" s="76"/>
      <c r="U28" s="76"/>
    </row>
    <row r="29" spans="1:21">
      <c r="A29" s="139" t="str">
        <f>'21'!$B$2</f>
        <v>21/07/2025 00:15</v>
      </c>
      <c r="B29" s="83">
        <f>'21'!B108</f>
        <v>2.7042708333333323</v>
      </c>
      <c r="C29" s="83">
        <f>'21'!C108</f>
        <v>4.6073958333333325</v>
      </c>
      <c r="D29" s="83">
        <f>'21'!D108</f>
        <v>2.686145833333335</v>
      </c>
      <c r="E29" s="83">
        <f>'21'!E108</f>
        <v>5.6258333333333317</v>
      </c>
      <c r="F29" s="83">
        <f>'21'!F108</f>
        <v>3.2690625</v>
      </c>
      <c r="G29" s="83">
        <f>'21'!G108</f>
        <v>50.613020833333358</v>
      </c>
      <c r="H29" s="83">
        <f>'21'!H108</f>
        <v>21.608020833333342</v>
      </c>
      <c r="I29" s="83">
        <f>'21'!I108</f>
        <v>6.1642708333333296</v>
      </c>
      <c r="J29" s="83">
        <f>'21'!J108</f>
        <v>0.29260416666666661</v>
      </c>
      <c r="K29" s="83">
        <f>'21'!K108</f>
        <v>129.20447916666666</v>
      </c>
      <c r="L29" s="83">
        <f>'21'!L108</f>
        <v>27.659999999999986</v>
      </c>
      <c r="M29" s="83">
        <f>'21'!M108</f>
        <v>89.342812499999965</v>
      </c>
      <c r="N29" s="83">
        <f>'21'!N108</f>
        <v>70.061458333333363</v>
      </c>
      <c r="O29" s="83">
        <f>'21'!O108</f>
        <v>3.7500000000000006E-2</v>
      </c>
      <c r="P29" s="83">
        <f>'21'!P108</f>
        <v>0.28177083333333325</v>
      </c>
      <c r="Q29" s="83">
        <f>'21'!Q108</f>
        <v>10</v>
      </c>
      <c r="R29" s="76"/>
      <c r="S29" s="76"/>
      <c r="T29" s="76"/>
      <c r="U29" s="76"/>
    </row>
    <row r="30" spans="1:21">
      <c r="A30" s="139" t="str">
        <f>'22'!$B$2</f>
        <v>22/07/2025 00:15</v>
      </c>
      <c r="B30" s="83">
        <f>'22'!B108</f>
        <v>2.5842708333333335</v>
      </c>
      <c r="C30" s="83">
        <f>'22'!C108</f>
        <v>4.0824999999999996</v>
      </c>
      <c r="D30" s="83">
        <f>'22'!D108</f>
        <v>1.8646875000000003</v>
      </c>
      <c r="E30" s="83">
        <f>'22'!E108</f>
        <v>5.3401041666666664</v>
      </c>
      <c r="F30" s="83">
        <f>'22'!F108</f>
        <v>4.4217708333333325</v>
      </c>
      <c r="G30" s="83">
        <f>'22'!G108</f>
        <v>53.103437499999984</v>
      </c>
      <c r="H30" s="83">
        <f>'22'!H108</f>
        <v>26.309895833333353</v>
      </c>
      <c r="I30" s="83">
        <f>'22'!I108</f>
        <v>7.545520833333331</v>
      </c>
      <c r="J30" s="83">
        <f>'22'!J108</f>
        <v>0.25333333333333347</v>
      </c>
      <c r="K30" s="83">
        <f>'22'!K108</f>
        <v>190.31739583333331</v>
      </c>
      <c r="L30" s="83">
        <f>'22'!L108</f>
        <v>28.439062499999988</v>
      </c>
      <c r="M30" s="83">
        <f>'22'!M108</f>
        <v>85.327499999999972</v>
      </c>
      <c r="N30" s="83">
        <f>'22'!N108</f>
        <v>97.983333333333348</v>
      </c>
      <c r="O30" s="83">
        <f>'22'!O108</f>
        <v>0</v>
      </c>
      <c r="P30" s="83">
        <f>'22'!P108</f>
        <v>0.38062499999999982</v>
      </c>
      <c r="Q30" s="83">
        <f>'22'!Q108</f>
        <v>10</v>
      </c>
      <c r="R30" s="76"/>
      <c r="S30" s="76"/>
      <c r="T30" s="76"/>
      <c r="U30" s="76"/>
    </row>
    <row r="31" spans="1:21">
      <c r="A31" s="139" t="str">
        <f>'23'!$B$2</f>
        <v>23/07/2025 00:15</v>
      </c>
      <c r="B31" s="83">
        <f>'23'!B108</f>
        <v>1.6134374999999992</v>
      </c>
      <c r="C31" s="83">
        <f>'23'!C108</f>
        <v>2.9216666666666664</v>
      </c>
      <c r="D31" s="83">
        <f>'23'!D108</f>
        <v>1.1340625000000002</v>
      </c>
      <c r="E31" s="83">
        <f>'23'!E108</f>
        <v>5.6730208333333323</v>
      </c>
      <c r="F31" s="83">
        <f>'23'!F108</f>
        <v>4.1759375000000007</v>
      </c>
      <c r="G31" s="83">
        <f>'23'!G108</f>
        <v>29.049062499999994</v>
      </c>
      <c r="H31" s="83">
        <f>'23'!H108</f>
        <v>14.760833333333338</v>
      </c>
      <c r="I31" s="83">
        <f>'23'!I108</f>
        <v>5.8050000000000024</v>
      </c>
      <c r="J31" s="83">
        <f>'23'!J108</f>
        <v>0.44</v>
      </c>
      <c r="K31" s="83">
        <f>'23'!K108</f>
        <v>229.5873958333332</v>
      </c>
      <c r="L31" s="83">
        <f>'23'!L108</f>
        <v>28.175312500000008</v>
      </c>
      <c r="M31" s="83">
        <f>'23'!M108</f>
        <v>85.654166666666683</v>
      </c>
      <c r="N31" s="83">
        <f>'23'!N108</f>
        <v>94.345833333333374</v>
      </c>
      <c r="O31" s="83">
        <f>'23'!O108</f>
        <v>7.2916666666666671E-2</v>
      </c>
      <c r="P31" s="83">
        <f>'23'!P108</f>
        <v>0.2421875</v>
      </c>
      <c r="Q31" s="83">
        <f>'23'!Q108</f>
        <v>10</v>
      </c>
      <c r="R31" s="76"/>
      <c r="S31" s="154"/>
      <c r="T31" s="76"/>
      <c r="U31" s="76"/>
    </row>
    <row r="32" spans="1:21">
      <c r="A32" s="139" t="str">
        <f>'24'!$B$2</f>
        <v>24/07/2025 00:15</v>
      </c>
      <c r="B32" s="83">
        <f>'24'!B108</f>
        <v>1.9490625000000001</v>
      </c>
      <c r="C32" s="83">
        <f>'24'!C108</f>
        <v>7.6795833333333325</v>
      </c>
      <c r="D32" s="83">
        <f>'24'!D108</f>
        <v>4.3203125000000009</v>
      </c>
      <c r="E32" s="83">
        <f>'24'!E108</f>
        <v>14.392604166666665</v>
      </c>
      <c r="F32" s="83">
        <f>'24'!F108</f>
        <v>7.1786458333333334</v>
      </c>
      <c r="G32" s="83">
        <f>'24'!G108</f>
        <v>18.716195652173905</v>
      </c>
      <c r="H32" s="83">
        <f>'24'!H108</f>
        <v>5.4301136363636404</v>
      </c>
      <c r="I32" s="83">
        <f>'24'!I108</f>
        <v>5.2710416666666653</v>
      </c>
      <c r="J32" s="83">
        <f>'24'!J108</f>
        <v>0.59864583333333332</v>
      </c>
      <c r="K32" s="83">
        <f>'24'!K108</f>
        <v>250.31114583333317</v>
      </c>
      <c r="L32" s="83">
        <f>'24'!L108</f>
        <v>27.36427083333334</v>
      </c>
      <c r="M32" s="83">
        <f>'24'!M108</f>
        <v>85.456458333333316</v>
      </c>
      <c r="N32" s="83">
        <f>'24'!N108</f>
        <v>80.41562500000002</v>
      </c>
      <c r="O32" s="83">
        <f>'24'!O108</f>
        <v>5.6250000000000015E-2</v>
      </c>
      <c r="P32" s="83">
        <f>'24'!P108</f>
        <v>0.22666666666666666</v>
      </c>
      <c r="Q32" s="83">
        <f>'24'!Q108</f>
        <v>9.6038541666666664</v>
      </c>
      <c r="R32" s="76"/>
      <c r="S32" s="76"/>
      <c r="T32" s="76"/>
      <c r="U32" s="76"/>
    </row>
    <row r="33" spans="1:21">
      <c r="A33" s="139" t="str">
        <f>'25'!$B$2</f>
        <v>25/07/2025 00:15</v>
      </c>
      <c r="B33" s="83">
        <f>'25'!B108</f>
        <v>6.9717708333333315</v>
      </c>
      <c r="C33" s="83">
        <f>'25'!C108</f>
        <v>15.250833333333331</v>
      </c>
      <c r="D33" s="83">
        <f>'25'!D108</f>
        <v>13.559270833333331</v>
      </c>
      <c r="E33" s="83">
        <f>'25'!E108</f>
        <v>4.6018750000000006</v>
      </c>
      <c r="F33" s="83">
        <f>'25'!F108</f>
        <v>1.9717708333333339</v>
      </c>
      <c r="G33" s="83">
        <f>'25'!G108</f>
        <v>18.27281249999999</v>
      </c>
      <c r="H33" s="83">
        <f>'25'!H108</f>
        <v>6.6532291666666659</v>
      </c>
      <c r="I33" s="83">
        <f>'25'!I108</f>
        <v>8.1487500000000015</v>
      </c>
      <c r="J33" s="83">
        <f>'25'!J108</f>
        <v>0.62989583333333343</v>
      </c>
      <c r="K33" s="83">
        <f>'25'!K108</f>
        <v>253.23041666666668</v>
      </c>
      <c r="L33" s="83">
        <f>'25'!L108</f>
        <v>25.698333333333338</v>
      </c>
      <c r="M33" s="83">
        <f>'25'!M108</f>
        <v>93.67812499999998</v>
      </c>
      <c r="N33" s="83">
        <f>'25'!N108</f>
        <v>27.133333333333336</v>
      </c>
      <c r="O33" s="83">
        <f>'25'!O108</f>
        <v>0.16041666666666668</v>
      </c>
      <c r="P33" s="83">
        <f>'25'!P108</f>
        <v>0.36895833333333333</v>
      </c>
      <c r="Q33" s="83">
        <f>'25'!Q108</f>
        <v>10</v>
      </c>
      <c r="R33" s="76"/>
      <c r="S33" s="154"/>
      <c r="T33" s="76"/>
      <c r="U33" s="76"/>
    </row>
    <row r="34" spans="1:21">
      <c r="A34" s="139" t="str">
        <f>'26'!$B$2</f>
        <v>26/07/2025 00:15</v>
      </c>
      <c r="B34" s="83">
        <f>'26'!B108</f>
        <v>4.7529166666666667</v>
      </c>
      <c r="C34" s="83">
        <f>'26'!C108</f>
        <v>14.014062500000001</v>
      </c>
      <c r="D34" s="83">
        <f>'26'!D108</f>
        <v>11.132916666666659</v>
      </c>
      <c r="E34" s="83">
        <f>'26'!E108</f>
        <v>5.539270833333334</v>
      </c>
      <c r="F34" s="83">
        <f>'26'!F108</f>
        <v>2.1111458333333339</v>
      </c>
      <c r="G34" s="83">
        <f>'26'!G108</f>
        <v>2.8133333333333344</v>
      </c>
      <c r="H34" s="83">
        <f>'26'!H108</f>
        <v>1.369270833333333</v>
      </c>
      <c r="I34" s="83">
        <f>'26'!I108</f>
        <v>3.6786458333333312</v>
      </c>
      <c r="J34" s="83">
        <f>'26'!J108</f>
        <v>0.90281250000000002</v>
      </c>
      <c r="K34" s="83">
        <f>'26'!K108</f>
        <v>254.28729166666668</v>
      </c>
      <c r="L34" s="83">
        <f>'26'!L108</f>
        <v>25.255416666666676</v>
      </c>
      <c r="M34" s="83">
        <f>'26'!M108</f>
        <v>94.396875000000009</v>
      </c>
      <c r="N34" s="83">
        <f>'26'!N108</f>
        <v>31.090625000000017</v>
      </c>
      <c r="O34" s="83">
        <f>'26'!O108</f>
        <v>0.96458333333333357</v>
      </c>
      <c r="P34" s="83">
        <f>'26'!P108</f>
        <v>0.12229166666666674</v>
      </c>
      <c r="Q34" s="83">
        <f>'26'!Q108</f>
        <v>10</v>
      </c>
      <c r="R34" s="76"/>
      <c r="S34" s="76"/>
      <c r="T34" s="76"/>
      <c r="U34" s="76"/>
    </row>
    <row r="35" spans="1:21">
      <c r="A35" s="139" t="str">
        <f>'27'!$B$2</f>
        <v>27/07/2025 00:15</v>
      </c>
      <c r="B35" s="83">
        <f>'27'!B108</f>
        <v>4.3459374999999989</v>
      </c>
      <c r="C35" s="83">
        <f>'27'!C108</f>
        <v>13.375000000000002</v>
      </c>
      <c r="D35" s="83">
        <f>'27'!D108</f>
        <v>10.473854166666667</v>
      </c>
      <c r="E35" s="83">
        <f>'27'!E108</f>
        <v>4.5859375000000009</v>
      </c>
      <c r="F35" s="83">
        <f>'27'!F108</f>
        <v>2.3114583333333325</v>
      </c>
      <c r="G35" s="83">
        <f>'27'!G108</f>
        <v>6.6917708333333339</v>
      </c>
      <c r="H35" s="83">
        <f>'27'!H108</f>
        <v>2.8420833333333331</v>
      </c>
      <c r="I35" s="83">
        <f>'27'!I108</f>
        <v>2.666770833333334</v>
      </c>
      <c r="J35" s="83">
        <f>'27'!J108</f>
        <v>0.75906249999999964</v>
      </c>
      <c r="K35" s="83">
        <f>'27'!K108</f>
        <v>254.16958333333332</v>
      </c>
      <c r="L35" s="83">
        <f>'27'!L108</f>
        <v>26.215729166666673</v>
      </c>
      <c r="M35" s="83">
        <f>'27'!M108</f>
        <v>87.168229166666663</v>
      </c>
      <c r="N35" s="83">
        <f>'27'!N108</f>
        <v>60.895833333333314</v>
      </c>
      <c r="O35" s="83">
        <f>'27'!O108</f>
        <v>1.2499999999999999E-2</v>
      </c>
      <c r="P35" s="83">
        <f>'27'!P108</f>
        <v>0.1066666666666667</v>
      </c>
      <c r="Q35" s="83">
        <f>'27'!Q108</f>
        <v>10</v>
      </c>
      <c r="R35" s="76"/>
      <c r="S35" s="76"/>
      <c r="T35" s="76"/>
      <c r="U35" s="76"/>
    </row>
    <row r="36" spans="1:21">
      <c r="A36" s="139" t="str">
        <f>'28'!$B$2</f>
        <v>28/07/2025 00:15</v>
      </c>
      <c r="B36" s="83">
        <f>'28'!B108</f>
        <v>4.67875</v>
      </c>
      <c r="C36" s="83">
        <f>'28'!C108</f>
        <v>13.305624999999997</v>
      </c>
      <c r="D36" s="83">
        <f>'28'!D108</f>
        <v>10.703749999999998</v>
      </c>
      <c r="E36" s="83">
        <f>'28'!E108</f>
        <v>5.122395833333333</v>
      </c>
      <c r="F36" s="83">
        <f>'28'!F108</f>
        <v>2.3275000000000001</v>
      </c>
      <c r="G36" s="83">
        <f>'28'!G108</f>
        <v>7.7450000000000001</v>
      </c>
      <c r="H36" s="83">
        <f>'28'!H108</f>
        <v>2.6781250000000014</v>
      </c>
      <c r="I36" s="83">
        <f>'28'!I108</f>
        <v>2.8235416666666668</v>
      </c>
      <c r="J36" s="83">
        <f>'28'!J108</f>
        <v>0.71739583333333334</v>
      </c>
      <c r="K36" s="83">
        <f>'28'!K108</f>
        <v>254.65916666666658</v>
      </c>
      <c r="L36" s="83">
        <f>'28'!L108</f>
        <v>26.011666666666667</v>
      </c>
      <c r="M36" s="83">
        <f>'28'!M108</f>
        <v>87.283229166666658</v>
      </c>
      <c r="N36" s="83">
        <f>'28'!N108</f>
        <v>51.323958333333316</v>
      </c>
      <c r="O36" s="83">
        <f>'28'!O108</f>
        <v>6.2500000000000012E-3</v>
      </c>
      <c r="P36" s="83">
        <f>'28'!P108</f>
        <v>0.10895833333333334</v>
      </c>
      <c r="Q36" s="83">
        <f>'28'!Q108</f>
        <v>10</v>
      </c>
      <c r="R36" s="76"/>
      <c r="S36" s="76"/>
      <c r="T36" s="76"/>
      <c r="U36" s="76"/>
    </row>
    <row r="37" spans="1:21" s="2" customFormat="1">
      <c r="A37" s="139" t="str">
        <f>'29'!$B$2</f>
        <v>29/07/2025 00:15</v>
      </c>
      <c r="B37" s="83">
        <f>'29'!B108</f>
        <v>4.5821874999999981</v>
      </c>
      <c r="C37" s="83">
        <f>'29'!C108</f>
        <v>12.576875000000001</v>
      </c>
      <c r="D37" s="83">
        <f>'29'!D108</f>
        <v>10.246041666666668</v>
      </c>
      <c r="E37" s="83">
        <f>'29'!E108</f>
        <v>4.6604166666666673</v>
      </c>
      <c r="F37" s="83">
        <f>'29'!F108</f>
        <v>2.0129166666666674</v>
      </c>
      <c r="G37" s="83">
        <f>'29'!G108</f>
        <v>3.4304166666666642</v>
      </c>
      <c r="H37" s="83">
        <f>'29'!H108</f>
        <v>0.91822916666666554</v>
      </c>
      <c r="I37" s="83">
        <f>'29'!I108</f>
        <v>2.605624999999999</v>
      </c>
      <c r="J37" s="83">
        <f>'29'!J108</f>
        <v>0.78947916666666662</v>
      </c>
      <c r="K37" s="83">
        <f>'29'!K108</f>
        <v>253.67937499999979</v>
      </c>
      <c r="L37" s="83">
        <f>'29'!L108</f>
        <v>24.638645833333339</v>
      </c>
      <c r="M37" s="83">
        <f>'29'!M108</f>
        <v>95.019062499999961</v>
      </c>
      <c r="N37" s="83">
        <f>'29'!N108</f>
        <v>32.719791666666673</v>
      </c>
      <c r="O37" s="83">
        <f>'29'!O108</f>
        <v>0.30624999999999991</v>
      </c>
      <c r="P37" s="83">
        <f>'29'!P108</f>
        <v>0.10395833333333339</v>
      </c>
      <c r="Q37" s="83">
        <f>'29'!Q108</f>
        <v>10</v>
      </c>
      <c r="R37" s="76"/>
      <c r="S37" s="76"/>
      <c r="T37" s="76"/>
      <c r="U37" s="76"/>
    </row>
    <row r="38" spans="1:21" s="2" customFormat="1">
      <c r="A38" s="139" t="str">
        <f>'30'!$B$2</f>
        <v>30/07/2025 00:15</v>
      </c>
      <c r="B38" s="83">
        <f>'30'!B108</f>
        <v>3.3527083333333345</v>
      </c>
      <c r="C38" s="83">
        <f>'30'!C108</f>
        <v>10.903437499999995</v>
      </c>
      <c r="D38" s="83">
        <f>'30'!D108</f>
        <v>8.3852083333333329</v>
      </c>
      <c r="E38" s="83">
        <f>'30'!E108</f>
        <v>25.00333333333333</v>
      </c>
      <c r="F38" s="83">
        <f>'30'!F108</f>
        <v>5.8296874999999995</v>
      </c>
      <c r="G38" s="83">
        <f>'30'!G108</f>
        <v>9.7123913043478272</v>
      </c>
      <c r="H38" s="83">
        <f>'30'!H108</f>
        <v>4.3245652173913065</v>
      </c>
      <c r="I38" s="83">
        <f>'30'!I108</f>
        <v>2.9370833333333333</v>
      </c>
      <c r="J38" s="83">
        <f>'30'!J108</f>
        <v>0.64218749999999991</v>
      </c>
      <c r="K38" s="83">
        <f>'30'!K108</f>
        <v>253.8769791666667</v>
      </c>
      <c r="L38" s="83">
        <f>'30'!L108</f>
        <v>25.843750000000004</v>
      </c>
      <c r="M38" s="83">
        <f>'30'!M108</f>
        <v>87.351770833333305</v>
      </c>
      <c r="N38" s="83">
        <f>'30'!N108</f>
        <v>54.891666666666659</v>
      </c>
      <c r="O38" s="83">
        <f>'30'!O108</f>
        <v>0</v>
      </c>
      <c r="P38" s="83">
        <f>'30'!P108</f>
        <v>0.32927083333333323</v>
      </c>
      <c r="Q38" s="83">
        <f>'30'!Q108</f>
        <v>10</v>
      </c>
      <c r="R38" s="76"/>
      <c r="S38" s="76"/>
      <c r="T38" s="76"/>
      <c r="U38" s="76"/>
    </row>
    <row r="39" spans="1:21" s="2" customFormat="1">
      <c r="A39" s="139" t="str">
        <f>'31'!$B$2</f>
        <v>31/07/2025 00:15</v>
      </c>
      <c r="B39" s="83">
        <f>'31'!B108</f>
        <v>4.1072916666666677</v>
      </c>
      <c r="C39" s="83">
        <f>'31'!C108</f>
        <v>11.307083333333331</v>
      </c>
      <c r="D39" s="83">
        <f>'31'!D108</f>
        <v>9.2020833333333325</v>
      </c>
      <c r="E39" s="83">
        <f>'31'!E108</f>
        <v>4.7380208333333345</v>
      </c>
      <c r="F39" s="83">
        <f>'31'!F108</f>
        <v>2.7222916666666674</v>
      </c>
      <c r="G39" s="83">
        <f>'31'!G108</f>
        <v>24.191874999999985</v>
      </c>
      <c r="H39" s="83">
        <f>'31'!H108</f>
        <v>9.1074999999999964</v>
      </c>
      <c r="I39" s="83">
        <f>'31'!I108</f>
        <v>3.8369791666666653</v>
      </c>
      <c r="J39" s="83">
        <f>'31'!J108</f>
        <v>0.61083333333333334</v>
      </c>
      <c r="K39" s="83">
        <f>'31'!K108</f>
        <v>253.2114583333333</v>
      </c>
      <c r="L39" s="83">
        <f>'31'!L108</f>
        <v>27.681145833333346</v>
      </c>
      <c r="M39" s="83">
        <f>'31'!M108</f>
        <v>80.395833333333357</v>
      </c>
      <c r="N39" s="83">
        <f>'31'!N108</f>
        <v>103.66250000000008</v>
      </c>
      <c r="O39" s="83">
        <f>'31'!O108</f>
        <v>0</v>
      </c>
      <c r="P39" s="83">
        <f>'31'!P108</f>
        <v>0.16260416666666663</v>
      </c>
      <c r="Q39" s="83">
        <f>'31'!Q108</f>
        <v>10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1.2940624999999979</v>
      </c>
      <c r="C41" s="141">
        <f t="shared" si="0"/>
        <v>2.1741666666666677</v>
      </c>
      <c r="D41" s="141">
        <f t="shared" si="0"/>
        <v>0.7736000000000004</v>
      </c>
      <c r="E41" s="141">
        <f t="shared" si="0"/>
        <v>3.5072043010752703</v>
      </c>
      <c r="F41" s="141">
        <f t="shared" si="0"/>
        <v>1.9597916666666662</v>
      </c>
      <c r="G41" s="141">
        <f t="shared" si="0"/>
        <v>2.8133333333333344</v>
      </c>
      <c r="H41" s="141">
        <f t="shared" si="0"/>
        <v>0.91822916666666554</v>
      </c>
      <c r="I41" s="141">
        <f t="shared" si="0"/>
        <v>2.605624999999999</v>
      </c>
      <c r="J41" s="141">
        <f t="shared" si="0"/>
        <v>0.20635416666666673</v>
      </c>
      <c r="K41" s="141">
        <f t="shared" si="0"/>
        <v>129.20447916666666</v>
      </c>
      <c r="L41" s="141">
        <f t="shared" si="0"/>
        <v>23.703020833333337</v>
      </c>
      <c r="M41" s="141">
        <f t="shared" si="0"/>
        <v>74.882083333333341</v>
      </c>
      <c r="N41" s="141">
        <f t="shared" si="0"/>
        <v>19.140625000000007</v>
      </c>
      <c r="O41" s="141">
        <f t="shared" si="0"/>
        <v>0</v>
      </c>
      <c r="P41" s="141">
        <f t="shared" si="0"/>
        <v>8.8020833333333312E-2</v>
      </c>
      <c r="Q41" s="141">
        <f t="shared" si="0"/>
        <v>9.3991666666666678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14.245466666666662</v>
      </c>
      <c r="C42" s="141">
        <f t="shared" si="1"/>
        <v>15.250833333333331</v>
      </c>
      <c r="D42" s="141">
        <f t="shared" si="1"/>
        <v>13.559270833333331</v>
      </c>
      <c r="E42" s="141">
        <f t="shared" si="1"/>
        <v>25.00333333333333</v>
      </c>
      <c r="F42" s="141">
        <f t="shared" si="1"/>
        <v>9.8664583333333358</v>
      </c>
      <c r="G42" s="141">
        <f t="shared" si="1"/>
        <v>53.103437499999984</v>
      </c>
      <c r="H42" s="141">
        <f t="shared" si="1"/>
        <v>26.309895833333353</v>
      </c>
      <c r="I42" s="141">
        <f t="shared" si="1"/>
        <v>8.1487500000000015</v>
      </c>
      <c r="J42" s="141">
        <f t="shared" si="1"/>
        <v>0.90281250000000002</v>
      </c>
      <c r="K42" s="141">
        <f t="shared" si="1"/>
        <v>269.42458333333326</v>
      </c>
      <c r="L42" s="141">
        <f t="shared" si="1"/>
        <v>29.372083333333332</v>
      </c>
      <c r="M42" s="141">
        <f t="shared" si="1"/>
        <v>99.378749999999968</v>
      </c>
      <c r="N42" s="141">
        <f t="shared" si="1"/>
        <v>126.3614583333334</v>
      </c>
      <c r="O42" s="141">
        <f t="shared" si="1"/>
        <v>0.96458333333333357</v>
      </c>
      <c r="P42" s="141">
        <f t="shared" si="1"/>
        <v>0.4513541666666665</v>
      </c>
      <c r="Q42" s="141">
        <f t="shared" si="1"/>
        <v>10.521195652173921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3.7350243523250657</v>
      </c>
      <c r="C43" s="141">
        <f t="shared" si="2"/>
        <v>7.1822703636441458</v>
      </c>
      <c r="D43" s="141">
        <f t="shared" si="2"/>
        <v>4.2260863871362897</v>
      </c>
      <c r="E43" s="141">
        <f t="shared" si="2"/>
        <v>6.0762942247658689</v>
      </c>
      <c r="F43" s="141">
        <f t="shared" si="2"/>
        <v>3.6480329158087401</v>
      </c>
      <c r="G43" s="141">
        <f t="shared" si="2"/>
        <v>23.336377744123826</v>
      </c>
      <c r="H43" s="141">
        <f t="shared" si="2"/>
        <v>9.4181943095573324</v>
      </c>
      <c r="I43" s="141">
        <f t="shared" si="2"/>
        <v>5.081384766071837</v>
      </c>
      <c r="J43" s="141">
        <f t="shared" si="2"/>
        <v>0.55466040379775783</v>
      </c>
      <c r="K43" s="141">
        <f t="shared" si="2"/>
        <v>235.4291201956074</v>
      </c>
      <c r="L43" s="141">
        <f t="shared" si="2"/>
        <v>26.658137010981466</v>
      </c>
      <c r="M43" s="141">
        <f t="shared" si="2"/>
        <v>88.571166209105456</v>
      </c>
      <c r="N43" s="141">
        <f t="shared" si="2"/>
        <v>66.954336107298133</v>
      </c>
      <c r="O43" s="141">
        <f t="shared" si="2"/>
        <v>0.1402739647677877</v>
      </c>
      <c r="P43" s="141">
        <f t="shared" si="2"/>
        <v>0.21145104095172729</v>
      </c>
      <c r="Q43" s="141">
        <f t="shared" si="2"/>
        <v>9.9639046590675253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2.7113157428056103</v>
      </c>
      <c r="C44" s="141">
        <f t="shared" si="3"/>
        <v>4.1650974088237307</v>
      </c>
      <c r="D44" s="141">
        <f t="shared" si="3"/>
        <v>3.6342604868725212</v>
      </c>
      <c r="E44" s="141">
        <f t="shared" si="3"/>
        <v>4.0030198022845926</v>
      </c>
      <c r="F44" s="141">
        <f t="shared" si="3"/>
        <v>1.8363149317495622</v>
      </c>
      <c r="G44" s="141">
        <f t="shared" si="3"/>
        <v>13.319867309305584</v>
      </c>
      <c r="H44" s="141">
        <f t="shared" si="3"/>
        <v>5.8749440548886138</v>
      </c>
      <c r="I44" s="141">
        <f t="shared" si="3"/>
        <v>1.5690474264302474</v>
      </c>
      <c r="J44" s="141">
        <f t="shared" si="3"/>
        <v>0.19158614369419122</v>
      </c>
      <c r="K44" s="141">
        <f t="shared" si="3"/>
        <v>35.230043344245445</v>
      </c>
      <c r="L44" s="141">
        <f t="shared" si="3"/>
        <v>1.523706319236775</v>
      </c>
      <c r="M44" s="141">
        <f t="shared" si="3"/>
        <v>5.7606905634402246</v>
      </c>
      <c r="N44" s="141">
        <f t="shared" si="3"/>
        <v>28.001757081516587</v>
      </c>
      <c r="O44" s="141">
        <f t="shared" si="3"/>
        <v>0.22936506482720392</v>
      </c>
      <c r="P44" s="141">
        <f t="shared" si="3"/>
        <v>9.3955429814061825E-2</v>
      </c>
      <c r="Q44" s="141">
        <f t="shared" si="3"/>
        <v>0.17029548762252789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31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41">
        <f>COUNT(Q9:Q39)+2</f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5" t="s">
        <v>56</v>
      </c>
      <c r="C50" s="165"/>
      <c r="D50" s="16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opLeftCell="F1" zoomScale="85" zoomScaleNormal="85" workbookViewId="0">
      <selection activeCell="U33" sqref="U33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8" t="s">
        <v>61</v>
      </c>
      <c r="E1" s="168"/>
      <c r="F1" s="168"/>
      <c r="G1" s="168"/>
      <c r="H1" s="168"/>
      <c r="I1" s="168"/>
      <c r="J1" s="169"/>
    </row>
    <row r="2" spans="2:24" ht="22.5" customHeight="1">
      <c r="B2" s="2"/>
      <c r="C2" s="79" t="s">
        <v>2</v>
      </c>
      <c r="D2" s="170" t="s">
        <v>238</v>
      </c>
      <c r="E2" s="171"/>
      <c r="F2" s="171"/>
      <c r="G2" s="171"/>
      <c r="H2" s="171"/>
      <c r="I2" s="171"/>
      <c r="J2" s="172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73" t="s">
        <v>62</v>
      </c>
      <c r="H5" s="173"/>
      <c r="I5" s="81"/>
      <c r="J5" s="81"/>
      <c r="K5" s="81"/>
      <c r="L5" s="81"/>
      <c r="M5" s="95"/>
      <c r="O5" s="96"/>
      <c r="P5" s="97"/>
      <c r="Q5" s="97"/>
      <c r="R5" s="97"/>
      <c r="S5" s="114" t="s">
        <v>63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64</v>
      </c>
      <c r="C7" s="85" t="s">
        <v>65</v>
      </c>
      <c r="D7" s="85" t="s">
        <v>66</v>
      </c>
      <c r="E7" s="85" t="s">
        <v>67</v>
      </c>
      <c r="F7" s="85" t="s">
        <v>68</v>
      </c>
      <c r="G7" s="85" t="s">
        <v>69</v>
      </c>
      <c r="H7" s="86" t="s">
        <v>70</v>
      </c>
      <c r="I7" s="85" t="s">
        <v>71</v>
      </c>
      <c r="J7" s="85" t="s">
        <v>72</v>
      </c>
      <c r="K7" s="85" t="s">
        <v>73</v>
      </c>
      <c r="L7" s="85" t="s">
        <v>54</v>
      </c>
      <c r="M7" s="33" t="s">
        <v>74</v>
      </c>
      <c r="O7" s="101" t="s">
        <v>64</v>
      </c>
      <c r="P7" s="102" t="s">
        <v>65</v>
      </c>
      <c r="Q7" s="102" t="s">
        <v>75</v>
      </c>
      <c r="R7" s="102" t="s">
        <v>11</v>
      </c>
      <c r="S7" s="102" t="s">
        <v>76</v>
      </c>
      <c r="T7" s="102" t="s">
        <v>77</v>
      </c>
      <c r="U7" s="119" t="s">
        <v>78</v>
      </c>
      <c r="V7" s="119" t="s">
        <v>79</v>
      </c>
      <c r="W7" s="102" t="s">
        <v>54</v>
      </c>
      <c r="X7" s="120" t="s">
        <v>74</v>
      </c>
    </row>
    <row r="8" spans="2:24" ht="15.75">
      <c r="B8" s="72">
        <v>45839</v>
      </c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80</v>
      </c>
      <c r="M8" s="103" t="s">
        <v>239</v>
      </c>
      <c r="O8" s="72">
        <v>45839</v>
      </c>
      <c r="P8" s="100" t="s">
        <v>63</v>
      </c>
      <c r="Q8" s="100">
        <v>4666.66</v>
      </c>
      <c r="R8" s="100">
        <v>3575.18</v>
      </c>
      <c r="S8" s="100" t="s">
        <v>81</v>
      </c>
      <c r="T8" s="100">
        <v>861.05</v>
      </c>
      <c r="U8" s="117">
        <v>0.9657</v>
      </c>
      <c r="V8" s="117">
        <v>0.96909999999999996</v>
      </c>
      <c r="W8" s="6" t="s">
        <v>80</v>
      </c>
      <c r="X8" s="103" t="s">
        <v>239</v>
      </c>
    </row>
    <row r="9" spans="2:24" ht="15.75">
      <c r="B9" s="72">
        <v>45845</v>
      </c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80</v>
      </c>
      <c r="M9" s="103" t="s">
        <v>239</v>
      </c>
      <c r="O9" s="72">
        <v>45845</v>
      </c>
      <c r="P9" s="100" t="s">
        <v>63</v>
      </c>
      <c r="Q9" s="100">
        <v>5253.28</v>
      </c>
      <c r="R9" s="100">
        <v>4031.42</v>
      </c>
      <c r="S9" s="100" t="s">
        <v>81</v>
      </c>
      <c r="T9" s="100">
        <v>851.04</v>
      </c>
      <c r="U9" s="117">
        <v>0.96909999999999996</v>
      </c>
      <c r="V9" s="117">
        <v>0.98380000000000001</v>
      </c>
      <c r="W9" s="6" t="s">
        <v>80</v>
      </c>
      <c r="X9" s="103" t="s">
        <v>239</v>
      </c>
    </row>
    <row r="10" spans="2:24" ht="15.75">
      <c r="B10" s="72">
        <v>45862</v>
      </c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80</v>
      </c>
      <c r="M10" s="103" t="s">
        <v>239</v>
      </c>
      <c r="O10" s="72">
        <v>45862</v>
      </c>
      <c r="P10" s="100" t="s">
        <v>63</v>
      </c>
      <c r="Q10" s="100"/>
      <c r="R10" s="100"/>
      <c r="S10" s="100" t="s">
        <v>81</v>
      </c>
      <c r="T10" s="100"/>
      <c r="U10" s="117"/>
      <c r="V10" s="117"/>
      <c r="W10" s="6" t="s">
        <v>80</v>
      </c>
      <c r="X10" s="103" t="s">
        <v>239</v>
      </c>
    </row>
    <row r="11" spans="2:24" ht="15.75">
      <c r="B11" s="72">
        <v>45868</v>
      </c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80</v>
      </c>
      <c r="M11" s="103"/>
      <c r="O11" s="72">
        <v>45868</v>
      </c>
      <c r="P11" s="100" t="s">
        <v>63</v>
      </c>
      <c r="Q11" s="100"/>
      <c r="R11" s="100"/>
      <c r="S11" s="100" t="s">
        <v>81</v>
      </c>
      <c r="T11" s="100"/>
      <c r="U11" s="117"/>
      <c r="V11" s="117"/>
      <c r="W11" s="6" t="s">
        <v>80</v>
      </c>
      <c r="X11" s="103" t="s">
        <v>239</v>
      </c>
    </row>
    <row r="12" spans="2:24" ht="15.75">
      <c r="B12" s="7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80</v>
      </c>
      <c r="M12" s="103"/>
      <c r="O12" s="72"/>
      <c r="P12" s="100" t="s">
        <v>63</v>
      </c>
      <c r="Q12" s="100"/>
      <c r="R12" s="100"/>
      <c r="S12" s="100" t="s">
        <v>81</v>
      </c>
      <c r="T12" s="100"/>
      <c r="U12" s="117"/>
      <c r="V12" s="117"/>
      <c r="W12" s="6" t="s">
        <v>80</v>
      </c>
      <c r="X12" s="103" t="s">
        <v>239</v>
      </c>
    </row>
    <row r="13" spans="2:24" ht="15.75">
      <c r="B13" s="7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80</v>
      </c>
      <c r="M13" s="103"/>
      <c r="O13" s="72"/>
      <c r="P13" s="100" t="s">
        <v>63</v>
      </c>
      <c r="Q13" s="100"/>
      <c r="R13" s="100"/>
      <c r="S13" s="100" t="s">
        <v>81</v>
      </c>
      <c r="T13" s="100"/>
      <c r="U13" s="117"/>
      <c r="V13" s="117"/>
      <c r="W13" s="6" t="s">
        <v>80</v>
      </c>
      <c r="X13" s="103" t="s">
        <v>239</v>
      </c>
    </row>
    <row r="14" spans="2:24" ht="15.75">
      <c r="B14" s="7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80</v>
      </c>
      <c r="M14" s="103"/>
      <c r="O14" s="72"/>
      <c r="P14" s="100" t="s">
        <v>63</v>
      </c>
      <c r="Q14" s="100"/>
      <c r="R14" s="100"/>
      <c r="S14" s="100" t="s">
        <v>81</v>
      </c>
      <c r="T14" s="100"/>
      <c r="U14" s="117"/>
      <c r="V14" s="117"/>
      <c r="W14" s="6" t="s">
        <v>80</v>
      </c>
      <c r="X14" s="103" t="s">
        <v>239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63</v>
      </c>
      <c r="Q15" s="100"/>
      <c r="R15" s="100"/>
      <c r="S15" s="100" t="s">
        <v>81</v>
      </c>
      <c r="T15" s="100"/>
      <c r="U15" s="117"/>
      <c r="V15" s="117"/>
      <c r="W15" s="6" t="s">
        <v>80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63</v>
      </c>
      <c r="Q16" s="100"/>
      <c r="R16" s="100"/>
      <c r="S16" s="100" t="s">
        <v>81</v>
      </c>
      <c r="T16" s="100"/>
      <c r="U16" s="117"/>
      <c r="V16" s="117"/>
      <c r="W16" s="6" t="s">
        <v>80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63</v>
      </c>
      <c r="Q17" s="100"/>
      <c r="R17" s="100"/>
      <c r="S17" s="100" t="s">
        <v>81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4" t="s">
        <v>82</v>
      </c>
      <c r="D21" s="174"/>
      <c r="E21" s="174"/>
      <c r="F21" s="174"/>
      <c r="G21" s="174"/>
      <c r="H21" s="174"/>
      <c r="I21" s="106">
        <f>COUNT(B8:B20)</f>
        <v>4</v>
      </c>
      <c r="J21" s="107"/>
      <c r="K21" s="107"/>
      <c r="L21" s="94"/>
      <c r="M21" s="108"/>
      <c r="O21" s="109"/>
      <c r="P21" s="175" t="s">
        <v>83</v>
      </c>
      <c r="Q21" s="175"/>
      <c r="R21" s="175"/>
      <c r="S21" s="175"/>
      <c r="T21" s="121">
        <f>COUNT(O8:O20)</f>
        <v>4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6" t="s">
        <v>84</v>
      </c>
      <c r="H24" s="176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64</v>
      </c>
      <c r="C26" s="85" t="s">
        <v>65</v>
      </c>
      <c r="D26" s="85" t="s">
        <v>66</v>
      </c>
      <c r="E26" s="85" t="s">
        <v>67</v>
      </c>
      <c r="F26" s="85" t="s">
        <v>68</v>
      </c>
      <c r="G26" s="85" t="s">
        <v>69</v>
      </c>
      <c r="H26" s="86" t="s">
        <v>70</v>
      </c>
      <c r="I26" s="85" t="s">
        <v>71</v>
      </c>
      <c r="J26" s="85" t="s">
        <v>72</v>
      </c>
      <c r="K26" s="85" t="s">
        <v>73</v>
      </c>
      <c r="L26" s="85" t="s">
        <v>54</v>
      </c>
      <c r="M26" s="33" t="s">
        <v>74</v>
      </c>
      <c r="O26" s="101" t="s">
        <v>64</v>
      </c>
      <c r="P26" s="102" t="s">
        <v>65</v>
      </c>
      <c r="Q26" s="102" t="s">
        <v>75</v>
      </c>
      <c r="R26" s="102" t="s">
        <v>11</v>
      </c>
      <c r="S26" s="102" t="s">
        <v>76</v>
      </c>
      <c r="T26" s="102" t="s">
        <v>77</v>
      </c>
      <c r="U26" s="119" t="s">
        <v>78</v>
      </c>
      <c r="V26" s="119" t="s">
        <v>79</v>
      </c>
      <c r="W26" s="102" t="s">
        <v>54</v>
      </c>
      <c r="X26" s="120" t="s">
        <v>74</v>
      </c>
    </row>
    <row r="27" spans="2:24" ht="15.75">
      <c r="B27" s="72">
        <v>45839</v>
      </c>
      <c r="C27" s="6" t="s">
        <v>85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80</v>
      </c>
      <c r="M27" s="103" t="s">
        <v>239</v>
      </c>
      <c r="O27" s="72">
        <v>45839</v>
      </c>
      <c r="P27" s="100" t="s">
        <v>29</v>
      </c>
      <c r="Q27" s="100">
        <v>4556.62</v>
      </c>
      <c r="R27" s="100">
        <v>3526.02</v>
      </c>
      <c r="S27" s="100" t="s">
        <v>86</v>
      </c>
      <c r="T27" s="100">
        <v>786.21</v>
      </c>
      <c r="U27" s="117">
        <v>0.91869999999999996</v>
      </c>
      <c r="V27" s="117">
        <v>0.92200000000000004</v>
      </c>
      <c r="W27" s="6" t="s">
        <v>80</v>
      </c>
      <c r="X27" s="103" t="s">
        <v>239</v>
      </c>
    </row>
    <row r="28" spans="2:24" ht="15.75">
      <c r="B28" s="72">
        <v>45845</v>
      </c>
      <c r="C28" s="6" t="s">
        <v>85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80</v>
      </c>
      <c r="M28" s="103" t="s">
        <v>239</v>
      </c>
      <c r="O28" s="72">
        <v>45845</v>
      </c>
      <c r="P28" s="100" t="s">
        <v>29</v>
      </c>
      <c r="Q28" s="100">
        <v>4844.66</v>
      </c>
      <c r="R28" s="100">
        <v>3747.83</v>
      </c>
      <c r="S28" s="100" t="s">
        <v>86</v>
      </c>
      <c r="T28" s="100">
        <v>783.65</v>
      </c>
      <c r="U28" s="117">
        <v>0.92200000000000004</v>
      </c>
      <c r="V28" s="117">
        <v>0.92830000000000001</v>
      </c>
      <c r="W28" s="6" t="s">
        <v>80</v>
      </c>
      <c r="X28" s="103" t="s">
        <v>239</v>
      </c>
    </row>
    <row r="29" spans="2:24" ht="15.75">
      <c r="B29" s="72">
        <v>45862</v>
      </c>
      <c r="C29" s="6" t="s">
        <v>85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80</v>
      </c>
      <c r="M29" s="103" t="s">
        <v>239</v>
      </c>
      <c r="O29" s="72">
        <v>45862</v>
      </c>
      <c r="P29" s="100" t="s">
        <v>29</v>
      </c>
      <c r="Q29" s="100"/>
      <c r="R29" s="100"/>
      <c r="S29" s="100" t="s">
        <v>86</v>
      </c>
      <c r="T29" s="100"/>
      <c r="U29" s="117"/>
      <c r="V29" s="117"/>
      <c r="W29" s="6" t="s">
        <v>80</v>
      </c>
      <c r="X29" s="103" t="s">
        <v>239</v>
      </c>
    </row>
    <row r="30" spans="2:24" ht="15.75">
      <c r="B30" s="72">
        <v>45868</v>
      </c>
      <c r="C30" s="6" t="s">
        <v>85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80</v>
      </c>
      <c r="M30" s="103" t="s">
        <v>239</v>
      </c>
      <c r="O30" s="72">
        <v>45868</v>
      </c>
      <c r="P30" s="100" t="s">
        <v>29</v>
      </c>
      <c r="Q30" s="100"/>
      <c r="R30" s="100"/>
      <c r="S30" s="100" t="s">
        <v>86</v>
      </c>
      <c r="T30" s="100"/>
      <c r="U30" s="117"/>
      <c r="V30" s="117"/>
      <c r="W30" s="6" t="s">
        <v>80</v>
      </c>
      <c r="X30" s="103" t="s">
        <v>239</v>
      </c>
    </row>
    <row r="31" spans="2:24" ht="15.75">
      <c r="B31" s="72"/>
      <c r="C31" s="6" t="s">
        <v>85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80</v>
      </c>
      <c r="M31" s="103" t="s">
        <v>239</v>
      </c>
      <c r="O31" s="72"/>
      <c r="P31" s="100" t="s">
        <v>29</v>
      </c>
      <c r="Q31" s="100"/>
      <c r="R31" s="100"/>
      <c r="S31" s="100" t="s">
        <v>86</v>
      </c>
      <c r="T31" s="100"/>
      <c r="U31" s="117"/>
      <c r="V31" s="117"/>
      <c r="W31" s="6" t="s">
        <v>80</v>
      </c>
      <c r="X31" s="103" t="s">
        <v>239</v>
      </c>
    </row>
    <row r="32" spans="2:24" ht="15.75">
      <c r="B32" s="72"/>
      <c r="C32" s="6" t="s">
        <v>85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80</v>
      </c>
      <c r="M32" s="103" t="s">
        <v>239</v>
      </c>
      <c r="O32" s="72"/>
      <c r="P32" s="100" t="s">
        <v>29</v>
      </c>
      <c r="Q32" s="100"/>
      <c r="R32" s="100"/>
      <c r="S32" s="100" t="s">
        <v>86</v>
      </c>
      <c r="T32" s="100"/>
      <c r="U32" s="117"/>
      <c r="V32" s="117"/>
      <c r="W32" s="6" t="s">
        <v>80</v>
      </c>
      <c r="X32" s="103" t="s">
        <v>239</v>
      </c>
    </row>
    <row r="33" spans="2:24" ht="15.75">
      <c r="B33" s="72"/>
      <c r="C33" s="6" t="s">
        <v>85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80</v>
      </c>
      <c r="M33" s="103" t="s">
        <v>239</v>
      </c>
      <c r="O33" s="72"/>
      <c r="P33" s="100" t="s">
        <v>29</v>
      </c>
      <c r="Q33" s="100"/>
      <c r="R33" s="100"/>
      <c r="S33" s="100" t="s">
        <v>86</v>
      </c>
      <c r="T33" s="100"/>
      <c r="U33" s="117"/>
      <c r="V33" s="117"/>
      <c r="W33" s="6" t="s">
        <v>80</v>
      </c>
      <c r="X33" s="103" t="s">
        <v>239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86</v>
      </c>
      <c r="T34" s="100"/>
      <c r="U34" s="117"/>
      <c r="V34" s="117"/>
      <c r="W34" s="6" t="s">
        <v>80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86</v>
      </c>
      <c r="T35" s="100"/>
      <c r="U35" s="117"/>
      <c r="V35" s="117"/>
      <c r="W35" s="6" t="s">
        <v>80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86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86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5" t="s">
        <v>87</v>
      </c>
      <c r="Q40" s="175"/>
      <c r="R40" s="175"/>
      <c r="S40" s="175"/>
      <c r="T40" s="121">
        <f>COUNT(O27:O39)</f>
        <v>4</v>
      </c>
      <c r="U40" s="122"/>
      <c r="V40" s="122"/>
      <c r="W40" s="123"/>
      <c r="X40" s="124"/>
    </row>
    <row r="41" spans="2:24">
      <c r="B41" s="87"/>
      <c r="C41" s="94"/>
      <c r="D41" s="174" t="s">
        <v>88</v>
      </c>
      <c r="E41" s="174"/>
      <c r="F41" s="174"/>
      <c r="G41" s="174"/>
      <c r="H41" s="174"/>
      <c r="I41" s="174"/>
      <c r="J41" s="113">
        <f>COUNT(B27:B39)</f>
        <v>4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6" t="s">
        <v>38</v>
      </c>
      <c r="H44" s="176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64</v>
      </c>
      <c r="C46" s="85" t="s">
        <v>65</v>
      </c>
      <c r="D46" s="85" t="s">
        <v>66</v>
      </c>
      <c r="E46" s="85" t="s">
        <v>67</v>
      </c>
      <c r="F46" s="85" t="s">
        <v>68</v>
      </c>
      <c r="G46" s="85" t="s">
        <v>69</v>
      </c>
      <c r="H46" s="86" t="s">
        <v>70</v>
      </c>
      <c r="I46" s="85" t="s">
        <v>71</v>
      </c>
      <c r="J46" s="85" t="s">
        <v>72</v>
      </c>
      <c r="K46" s="85" t="s">
        <v>73</v>
      </c>
      <c r="L46" s="85" t="s">
        <v>54</v>
      </c>
      <c r="M46" s="33" t="s">
        <v>74</v>
      </c>
    </row>
    <row r="47" spans="2:24" ht="15.75">
      <c r="B47" s="72">
        <v>45839</v>
      </c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80</v>
      </c>
      <c r="M47" s="103" t="s">
        <v>239</v>
      </c>
    </row>
    <row r="48" spans="2:24" ht="15.75">
      <c r="B48" s="72">
        <v>45845</v>
      </c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80</v>
      </c>
      <c r="M48" s="103" t="s">
        <v>239</v>
      </c>
    </row>
    <row r="49" spans="2:13" ht="15.75">
      <c r="B49" s="72">
        <v>45862</v>
      </c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80</v>
      </c>
      <c r="M49" s="103" t="s">
        <v>239</v>
      </c>
    </row>
    <row r="50" spans="2:13" ht="15.75">
      <c r="B50" s="72">
        <v>45868</v>
      </c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80</v>
      </c>
      <c r="M50" s="103" t="s">
        <v>239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80</v>
      </c>
      <c r="M51" s="103" t="s">
        <v>239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239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239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4" t="s">
        <v>89</v>
      </c>
      <c r="E61" s="174"/>
      <c r="F61" s="174"/>
      <c r="G61" s="174"/>
      <c r="H61" s="174"/>
      <c r="I61" s="174"/>
      <c r="J61" s="113">
        <f>COUNT(B47:B59)</f>
        <v>4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6" t="s">
        <v>37</v>
      </c>
      <c r="H64" s="176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64</v>
      </c>
      <c r="C66" s="85" t="s">
        <v>65</v>
      </c>
      <c r="D66" s="85" t="s">
        <v>66</v>
      </c>
      <c r="E66" s="85" t="s">
        <v>67</v>
      </c>
      <c r="F66" s="85" t="s">
        <v>68</v>
      </c>
      <c r="G66" s="85" t="s">
        <v>69</v>
      </c>
      <c r="H66" s="86" t="s">
        <v>70</v>
      </c>
      <c r="I66" s="85" t="s">
        <v>71</v>
      </c>
      <c r="J66" s="85" t="s">
        <v>72</v>
      </c>
      <c r="K66" s="85" t="s">
        <v>73</v>
      </c>
      <c r="L66" s="85" t="s">
        <v>54</v>
      </c>
      <c r="M66" s="33" t="s">
        <v>74</v>
      </c>
    </row>
    <row r="67" spans="2:13" ht="15.75">
      <c r="B67" s="72">
        <v>45839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80</v>
      </c>
      <c r="M67" s="103" t="s">
        <v>239</v>
      </c>
    </row>
    <row r="68" spans="2:13" ht="15.75">
      <c r="B68" s="72">
        <v>45845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80</v>
      </c>
      <c r="M68" s="103" t="s">
        <v>239</v>
      </c>
    </row>
    <row r="69" spans="2:13" ht="15.75">
      <c r="B69" s="72">
        <v>45862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80</v>
      </c>
      <c r="M69" s="103" t="s">
        <v>239</v>
      </c>
    </row>
    <row r="70" spans="2:13" ht="15.75">
      <c r="B70" s="72">
        <v>45868</v>
      </c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80</v>
      </c>
      <c r="M70" s="103" t="s">
        <v>239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80</v>
      </c>
      <c r="M71" s="103" t="s">
        <v>239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80</v>
      </c>
      <c r="M72" s="103" t="s">
        <v>239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80</v>
      </c>
      <c r="M73" s="103" t="s">
        <v>239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3" t="s">
        <v>239</v>
      </c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4" t="s">
        <v>90</v>
      </c>
      <c r="E81" s="174"/>
      <c r="F81" s="174"/>
      <c r="G81" s="174"/>
      <c r="H81" s="174"/>
      <c r="I81" s="174"/>
      <c r="J81" s="113">
        <f>COUNT(B67:B79)</f>
        <v>4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6" t="s">
        <v>91</v>
      </c>
      <c r="H84" s="176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64</v>
      </c>
      <c r="C86" s="85" t="s">
        <v>65</v>
      </c>
      <c r="D86" s="85" t="s">
        <v>66</v>
      </c>
      <c r="E86" s="85" t="s">
        <v>67</v>
      </c>
      <c r="F86" s="85" t="s">
        <v>68</v>
      </c>
      <c r="G86" s="85" t="s">
        <v>69</v>
      </c>
      <c r="H86" s="86" t="s">
        <v>70</v>
      </c>
      <c r="I86" s="85" t="s">
        <v>71</v>
      </c>
      <c r="J86" s="85" t="s">
        <v>72</v>
      </c>
      <c r="K86" s="85" t="s">
        <v>73</v>
      </c>
      <c r="L86" s="85" t="s">
        <v>54</v>
      </c>
      <c r="M86" s="33" t="s">
        <v>74</v>
      </c>
    </row>
    <row r="87" spans="2:13" ht="15.75">
      <c r="B87" s="72">
        <v>45839</v>
      </c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80</v>
      </c>
      <c r="M87" s="103" t="s">
        <v>239</v>
      </c>
    </row>
    <row r="88" spans="2:13" ht="15.75">
      <c r="B88" s="72">
        <v>45845</v>
      </c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80</v>
      </c>
      <c r="M88" s="103" t="s">
        <v>239</v>
      </c>
    </row>
    <row r="89" spans="2:13" ht="15.75">
      <c r="B89" s="72">
        <v>45862</v>
      </c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80</v>
      </c>
      <c r="M89" s="103" t="s">
        <v>239</v>
      </c>
    </row>
    <row r="90" spans="2:13" ht="15.75">
      <c r="B90" s="72">
        <v>45868</v>
      </c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80</v>
      </c>
      <c r="M90" s="103" t="s">
        <v>239</v>
      </c>
    </row>
    <row r="91" spans="2:13" ht="15.75">
      <c r="B91" s="7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80</v>
      </c>
      <c r="M91" s="103" t="s">
        <v>239</v>
      </c>
    </row>
    <row r="92" spans="2:13" ht="15.75">
      <c r="B92" s="7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80</v>
      </c>
      <c r="M92" s="103" t="s">
        <v>239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239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4" t="s">
        <v>92</v>
      </c>
      <c r="E101" s="174"/>
      <c r="F101" s="174"/>
      <c r="G101" s="174"/>
      <c r="H101" s="174"/>
      <c r="I101" s="174"/>
      <c r="J101" s="113">
        <f>COUNT(B87:B99)</f>
        <v>4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73" t="s">
        <v>93</v>
      </c>
      <c r="H104" s="173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64</v>
      </c>
      <c r="C106" s="85" t="s">
        <v>65</v>
      </c>
      <c r="D106" s="85" t="s">
        <v>66</v>
      </c>
      <c r="E106" s="85" t="s">
        <v>67</v>
      </c>
      <c r="F106" s="85" t="s">
        <v>68</v>
      </c>
      <c r="G106" s="85" t="s">
        <v>69</v>
      </c>
      <c r="H106" s="86" t="s">
        <v>70</v>
      </c>
      <c r="I106" s="85" t="s">
        <v>71</v>
      </c>
      <c r="J106" s="85" t="s">
        <v>72</v>
      </c>
      <c r="K106" s="85" t="s">
        <v>73</v>
      </c>
      <c r="L106" s="85" t="s">
        <v>54</v>
      </c>
      <c r="M106" s="127" t="s">
        <v>74</v>
      </c>
    </row>
    <row r="107" spans="2:13" ht="15.75">
      <c r="B107" s="72">
        <v>45839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80</v>
      </c>
      <c r="M107" s="103" t="s">
        <v>239</v>
      </c>
    </row>
    <row r="108" spans="2:13" ht="15.75">
      <c r="B108" s="72">
        <v>45845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80</v>
      </c>
      <c r="M108" s="103" t="s">
        <v>239</v>
      </c>
    </row>
    <row r="109" spans="2:13" ht="15.75">
      <c r="B109" s="72">
        <v>45862</v>
      </c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80</v>
      </c>
      <c r="M109" s="103" t="s">
        <v>239</v>
      </c>
    </row>
    <row r="110" spans="2:13" ht="15.75">
      <c r="B110" s="72">
        <v>45868</v>
      </c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80</v>
      </c>
      <c r="M110" s="103" t="s">
        <v>239</v>
      </c>
    </row>
    <row r="111" spans="2:13" ht="15.75">
      <c r="B111" s="7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80</v>
      </c>
      <c r="M111" s="103" t="s">
        <v>239</v>
      </c>
    </row>
    <row r="112" spans="2:13" ht="15.75">
      <c r="B112" s="7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80</v>
      </c>
      <c r="M112" s="103" t="s">
        <v>239</v>
      </c>
    </row>
    <row r="113" spans="2:13" ht="15.75">
      <c r="B113" s="7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80</v>
      </c>
      <c r="M113" s="103" t="s">
        <v>239</v>
      </c>
    </row>
    <row r="114" spans="2:13" ht="15.75">
      <c r="B114" s="7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80</v>
      </c>
      <c r="M114" s="104"/>
    </row>
    <row r="115" spans="2:13" ht="15.75">
      <c r="B115" s="7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80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4" t="s">
        <v>94</v>
      </c>
      <c r="D119" s="174"/>
      <c r="E119" s="174"/>
      <c r="F119" s="174"/>
      <c r="G119" s="174"/>
      <c r="H119" s="174"/>
      <c r="I119" s="113">
        <f>COUNT(B107:B118)</f>
        <v>4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7" t="s">
        <v>95</v>
      </c>
      <c r="C2" s="177"/>
      <c r="D2" s="179" t="str">
        <f>'MONTHLY 31'!$B$2</f>
        <v>01/07/2025 00:15</v>
      </c>
      <c r="E2" s="179"/>
    </row>
    <row r="3" spans="2:5">
      <c r="B3" s="177" t="s">
        <v>96</v>
      </c>
      <c r="C3" s="177"/>
      <c r="D3" s="179"/>
      <c r="E3" s="179"/>
    </row>
    <row r="7" spans="2:5" s="2" customFormat="1">
      <c r="B7" s="68" t="s">
        <v>97</v>
      </c>
      <c r="C7" s="68" t="s">
        <v>98</v>
      </c>
      <c r="D7" s="69" t="s">
        <v>99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100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8" t="s">
        <v>100</v>
      </c>
      <c r="C44" s="178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80" t="s">
        <v>101</v>
      </c>
      <c r="C2" s="180"/>
      <c r="D2" s="180"/>
      <c r="E2" s="180"/>
      <c r="F2" s="181">
        <v>1</v>
      </c>
      <c r="G2" s="182"/>
      <c r="H2" s="182"/>
    </row>
    <row r="3" spans="2:24" customFormat="1" ht="15" customHeight="1">
      <c r="B3" s="180"/>
      <c r="C3" s="180"/>
      <c r="D3" s="180"/>
      <c r="E3" s="180"/>
      <c r="F3" s="182"/>
      <c r="G3" s="182"/>
      <c r="H3" s="182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5" t="s">
        <v>93</v>
      </c>
      <c r="C12" s="196" t="s">
        <v>102</v>
      </c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40"/>
      <c r="U12" s="39"/>
    </row>
    <row r="13" spans="2:24" ht="15" customHeight="1">
      <c r="B13" s="186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0" t="s">
        <v>116</v>
      </c>
      <c r="Q13" s="4" t="s">
        <v>117</v>
      </c>
      <c r="R13" s="41"/>
      <c r="U13" s="39"/>
    </row>
    <row r="14" spans="2:24" ht="15" customHeight="1">
      <c r="B14" s="186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6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1" t="s">
        <v>131</v>
      </c>
      <c r="Q15" s="8" t="s">
        <v>132</v>
      </c>
      <c r="R15" s="43" t="s">
        <v>74</v>
      </c>
      <c r="X15" s="42"/>
    </row>
    <row r="16" spans="2:24" ht="15.75" customHeight="1">
      <c r="B16" s="186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6"/>
      <c r="C17" s="10"/>
      <c r="P17" s="1"/>
      <c r="Q17" s="1"/>
      <c r="R17" s="45"/>
      <c r="X17" s="42"/>
    </row>
    <row r="18" spans="2:28" ht="15.75" customHeight="1">
      <c r="B18" s="186"/>
      <c r="C18" s="8" t="s">
        <v>103</v>
      </c>
      <c r="D18" s="8" t="s">
        <v>104</v>
      </c>
      <c r="E18" s="8" t="s">
        <v>105</v>
      </c>
      <c r="F18" s="8" t="s">
        <v>133</v>
      </c>
      <c r="G18" s="8" t="s">
        <v>107</v>
      </c>
      <c r="H18" s="8" t="s">
        <v>108</v>
      </c>
      <c r="I18" s="8" t="s">
        <v>109</v>
      </c>
      <c r="J18" s="8" t="s">
        <v>110</v>
      </c>
      <c r="K18" s="8" t="s">
        <v>111</v>
      </c>
      <c r="L18" s="8" t="s">
        <v>112</v>
      </c>
      <c r="M18" s="8" t="s">
        <v>113</v>
      </c>
      <c r="N18" s="8" t="s">
        <v>114</v>
      </c>
      <c r="O18" s="8" t="s">
        <v>115</v>
      </c>
      <c r="P18" s="31" t="s">
        <v>116</v>
      </c>
      <c r="Q18" s="8" t="s">
        <v>117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1" t="s">
        <v>131</v>
      </c>
      <c r="Q20" s="8" t="s">
        <v>132</v>
      </c>
      <c r="R20" s="46" t="s">
        <v>74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7" t="s">
        <v>84</v>
      </c>
      <c r="C25" s="198" t="s">
        <v>102</v>
      </c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83"/>
      <c r="S25" s="49"/>
      <c r="T25" s="50"/>
    </row>
    <row r="26" spans="2:28" ht="15" customHeight="1">
      <c r="B26" s="187"/>
      <c r="C26" s="14" t="s">
        <v>103</v>
      </c>
      <c r="D26" s="15" t="s">
        <v>134</v>
      </c>
      <c r="E26" s="15" t="s">
        <v>135</v>
      </c>
      <c r="F26" s="15" t="s">
        <v>136</v>
      </c>
      <c r="G26" s="15" t="s">
        <v>137</v>
      </c>
      <c r="H26" s="15" t="s">
        <v>138</v>
      </c>
      <c r="I26" s="15" t="s">
        <v>139</v>
      </c>
      <c r="J26" s="15" t="s">
        <v>140</v>
      </c>
      <c r="K26" s="15" t="s">
        <v>141</v>
      </c>
      <c r="L26" s="15" t="s">
        <v>142</v>
      </c>
      <c r="M26" s="15" t="s">
        <v>143</v>
      </c>
      <c r="N26" s="15" t="s">
        <v>144</v>
      </c>
      <c r="O26" s="15" t="s">
        <v>145</v>
      </c>
      <c r="P26" s="15" t="s">
        <v>146</v>
      </c>
      <c r="Q26" s="15" t="s">
        <v>147</v>
      </c>
      <c r="R26" s="15" t="s">
        <v>148</v>
      </c>
      <c r="S26" s="15" t="s">
        <v>149</v>
      </c>
      <c r="T26" s="51" t="s">
        <v>74</v>
      </c>
      <c r="Z26" s="1"/>
      <c r="AA26" s="1"/>
      <c r="AB26" s="1"/>
    </row>
    <row r="27" spans="2:28" ht="15.75" customHeight="1">
      <c r="B27" s="187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7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8"/>
      <c r="C29" s="18" t="s">
        <v>103</v>
      </c>
      <c r="D29" s="19" t="s">
        <v>134</v>
      </c>
      <c r="E29" s="19" t="s">
        <v>135</v>
      </c>
      <c r="F29" s="19" t="s">
        <v>136</v>
      </c>
      <c r="G29" s="19" t="s">
        <v>137</v>
      </c>
      <c r="H29" s="19" t="s">
        <v>138</v>
      </c>
      <c r="I29" s="19" t="s">
        <v>139</v>
      </c>
      <c r="J29" s="19" t="s">
        <v>140</v>
      </c>
      <c r="K29" s="19" t="s">
        <v>141</v>
      </c>
      <c r="L29" s="19" t="s">
        <v>142</v>
      </c>
      <c r="M29" s="19" t="s">
        <v>143</v>
      </c>
      <c r="N29" s="19" t="s">
        <v>144</v>
      </c>
      <c r="O29" s="19" t="s">
        <v>145</v>
      </c>
      <c r="P29" s="19" t="s">
        <v>146</v>
      </c>
      <c r="Q29" s="19" t="s">
        <v>147</v>
      </c>
      <c r="R29" s="19" t="s">
        <v>148</v>
      </c>
      <c r="S29" s="19" t="s">
        <v>149</v>
      </c>
      <c r="T29" s="53" t="s">
        <v>74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9" t="s">
        <v>37</v>
      </c>
      <c r="C36" s="200" t="s">
        <v>102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1"/>
    </row>
    <row r="37" spans="2:25" ht="15.75" customHeight="1">
      <c r="B37" s="190"/>
      <c r="C37" s="22" t="s">
        <v>103</v>
      </c>
      <c r="D37" s="8" t="s">
        <v>134</v>
      </c>
      <c r="E37" s="8" t="s">
        <v>135</v>
      </c>
      <c r="F37" s="8" t="s">
        <v>150</v>
      </c>
      <c r="G37" s="8" t="s">
        <v>151</v>
      </c>
      <c r="H37" s="8" t="s">
        <v>152</v>
      </c>
      <c r="I37" s="8" t="s">
        <v>153</v>
      </c>
      <c r="J37" s="8" t="s">
        <v>154</v>
      </c>
      <c r="K37" s="8" t="s">
        <v>155</v>
      </c>
      <c r="L37" s="8" t="s">
        <v>156</v>
      </c>
      <c r="M37" s="8" t="s">
        <v>157</v>
      </c>
      <c r="N37" s="8" t="s">
        <v>158</v>
      </c>
      <c r="O37" s="32" t="s">
        <v>159</v>
      </c>
    </row>
    <row r="38" spans="2:25">
      <c r="B38" s="190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90"/>
      <c r="C39" s="22" t="s">
        <v>160</v>
      </c>
      <c r="D39" s="8" t="s">
        <v>161</v>
      </c>
      <c r="E39" s="8" t="s">
        <v>162</v>
      </c>
      <c r="F39" s="8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3" t="s">
        <v>74</v>
      </c>
      <c r="W39" s="1"/>
      <c r="X39" s="1"/>
      <c r="Y39" s="1"/>
    </row>
    <row r="40" spans="2:25">
      <c r="B40" s="190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103</v>
      </c>
      <c r="D42" s="8" t="s">
        <v>134</v>
      </c>
      <c r="E42" s="8" t="s">
        <v>135</v>
      </c>
      <c r="F42" s="8" t="s">
        <v>150</v>
      </c>
      <c r="G42" s="8" t="s">
        <v>151</v>
      </c>
      <c r="H42" s="8" t="s">
        <v>152</v>
      </c>
      <c r="I42" s="8" t="s">
        <v>153</v>
      </c>
      <c r="J42" s="8" t="s">
        <v>154</v>
      </c>
      <c r="K42" s="8" t="s">
        <v>155</v>
      </c>
      <c r="L42" s="8" t="s">
        <v>156</v>
      </c>
      <c r="M42" s="8" t="s">
        <v>157</v>
      </c>
      <c r="N42" s="8" t="s">
        <v>158</v>
      </c>
      <c r="O42" s="32" t="s">
        <v>159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160</v>
      </c>
      <c r="D44" s="8" t="s">
        <v>161</v>
      </c>
      <c r="E44" s="8" t="s">
        <v>162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3" t="s">
        <v>74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91" t="s">
        <v>62</v>
      </c>
      <c r="C48" s="25" t="s">
        <v>102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2"/>
      <c r="C49" s="22" t="s">
        <v>103</v>
      </c>
      <c r="D49" s="8" t="s">
        <v>125</v>
      </c>
      <c r="E49" s="8" t="s">
        <v>172</v>
      </c>
      <c r="F49" s="8" t="s">
        <v>173</v>
      </c>
      <c r="G49" s="8" t="s">
        <v>174</v>
      </c>
      <c r="H49" s="8" t="s">
        <v>175</v>
      </c>
      <c r="I49" s="8" t="s">
        <v>176</v>
      </c>
      <c r="J49" s="8" t="s">
        <v>110</v>
      </c>
      <c r="K49" s="8" t="s">
        <v>177</v>
      </c>
      <c r="L49" s="8" t="s">
        <v>178</v>
      </c>
      <c r="M49" s="8" t="s">
        <v>179</v>
      </c>
      <c r="N49" s="8" t="s">
        <v>180</v>
      </c>
      <c r="O49" s="8" t="s">
        <v>181</v>
      </c>
      <c r="P49" s="8" t="s">
        <v>182</v>
      </c>
      <c r="Q49" s="32" t="s">
        <v>183</v>
      </c>
    </row>
    <row r="50" spans="2:20">
      <c r="B50" s="192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2"/>
      <c r="C51" s="22" t="s">
        <v>184</v>
      </c>
      <c r="D51" s="8" t="s">
        <v>185</v>
      </c>
      <c r="E51" s="8" t="s">
        <v>186</v>
      </c>
      <c r="F51" s="8" t="s">
        <v>187</v>
      </c>
      <c r="G51" s="8" t="s">
        <v>188</v>
      </c>
      <c r="H51" s="8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3" t="s">
        <v>74</v>
      </c>
    </row>
    <row r="52" spans="2:20" ht="15.75">
      <c r="B52" s="192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103</v>
      </c>
      <c r="D54" s="8" t="s">
        <v>125</v>
      </c>
      <c r="E54" s="8" t="s">
        <v>172</v>
      </c>
      <c r="F54" s="8" t="s">
        <v>173</v>
      </c>
      <c r="G54" s="8" t="s">
        <v>174</v>
      </c>
      <c r="H54" s="8" t="s">
        <v>175</v>
      </c>
      <c r="I54" s="8" t="s">
        <v>176</v>
      </c>
      <c r="J54" s="8" t="s">
        <v>110</v>
      </c>
      <c r="K54" s="8" t="s">
        <v>177</v>
      </c>
      <c r="L54" s="8" t="s">
        <v>178</v>
      </c>
      <c r="M54" s="8" t="s">
        <v>179</v>
      </c>
      <c r="N54" s="8" t="s">
        <v>180</v>
      </c>
      <c r="O54" s="8" t="s">
        <v>181</v>
      </c>
      <c r="P54" s="8" t="s">
        <v>182</v>
      </c>
      <c r="Q54" s="32" t="s">
        <v>183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184</v>
      </c>
      <c r="D56" s="8" t="s">
        <v>185</v>
      </c>
      <c r="E56" s="8" t="s">
        <v>186</v>
      </c>
      <c r="F56" s="8" t="s">
        <v>187</v>
      </c>
      <c r="G56" s="8" t="s">
        <v>188</v>
      </c>
      <c r="H56" s="8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3" t="s">
        <v>74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7" t="s">
        <v>196</v>
      </c>
      <c r="C61" s="198" t="s">
        <v>102</v>
      </c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83"/>
      <c r="S61" s="57"/>
      <c r="T61" s="58"/>
    </row>
    <row r="62" spans="2:20" ht="15.75">
      <c r="B62" s="187"/>
      <c r="C62" s="27" t="s">
        <v>103</v>
      </c>
      <c r="D62" s="27" t="s">
        <v>197</v>
      </c>
      <c r="E62" s="27" t="s">
        <v>198</v>
      </c>
      <c r="F62" s="27" t="s">
        <v>199</v>
      </c>
      <c r="G62" s="27" t="s">
        <v>200</v>
      </c>
      <c r="H62" s="27" t="s">
        <v>201</v>
      </c>
      <c r="I62" s="27" t="s">
        <v>202</v>
      </c>
      <c r="J62" s="27" t="s">
        <v>203</v>
      </c>
      <c r="K62" s="27" t="s">
        <v>204</v>
      </c>
      <c r="L62" s="27" t="s">
        <v>205</v>
      </c>
      <c r="M62" s="27" t="s">
        <v>206</v>
      </c>
      <c r="N62" s="27" t="s">
        <v>207</v>
      </c>
      <c r="O62" s="27" t="s">
        <v>208</v>
      </c>
      <c r="P62" s="27" t="s">
        <v>209</v>
      </c>
      <c r="Q62" s="27" t="s">
        <v>210</v>
      </c>
      <c r="R62" s="27" t="s">
        <v>211</v>
      </c>
      <c r="S62" s="27" t="s">
        <v>212</v>
      </c>
      <c r="T62" s="51" t="s">
        <v>74</v>
      </c>
    </row>
    <row r="63" spans="2:20" ht="15.75">
      <c r="B63" s="193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3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8"/>
      <c r="C65" s="60" t="s">
        <v>103</v>
      </c>
      <c r="D65" s="60" t="s">
        <v>197</v>
      </c>
      <c r="E65" s="60" t="s">
        <v>198</v>
      </c>
      <c r="F65" s="60" t="s">
        <v>199</v>
      </c>
      <c r="G65" s="60" t="s">
        <v>200</v>
      </c>
      <c r="H65" s="60" t="s">
        <v>201</v>
      </c>
      <c r="I65" s="60" t="s">
        <v>202</v>
      </c>
      <c r="J65" s="60" t="s">
        <v>203</v>
      </c>
      <c r="K65" s="60" t="s">
        <v>204</v>
      </c>
      <c r="L65" s="60" t="s">
        <v>205</v>
      </c>
      <c r="M65" s="60" t="s">
        <v>206</v>
      </c>
      <c r="N65" s="60" t="s">
        <v>207</v>
      </c>
      <c r="O65" s="60" t="s">
        <v>208</v>
      </c>
      <c r="P65" s="60" t="s">
        <v>209</v>
      </c>
      <c r="Q65" s="60" t="s">
        <v>210</v>
      </c>
      <c r="R65" s="60" t="s">
        <v>211</v>
      </c>
      <c r="S65" s="60" t="s">
        <v>212</v>
      </c>
      <c r="T65" s="53" t="s">
        <v>74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7" t="s">
        <v>213</v>
      </c>
      <c r="C69" s="198" t="s">
        <v>102</v>
      </c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83"/>
      <c r="S69" s="57"/>
      <c r="T69" s="58"/>
    </row>
    <row r="70" spans="2:20" ht="15.75">
      <c r="B70" s="187"/>
      <c r="C70" s="60" t="s">
        <v>103</v>
      </c>
      <c r="D70" s="60" t="s">
        <v>197</v>
      </c>
      <c r="E70" s="60" t="s">
        <v>198</v>
      </c>
      <c r="F70" s="60" t="s">
        <v>199</v>
      </c>
      <c r="G70" s="60" t="s">
        <v>200</v>
      </c>
      <c r="H70" s="60" t="s">
        <v>201</v>
      </c>
      <c r="I70" s="60" t="s">
        <v>202</v>
      </c>
      <c r="J70" s="60" t="s">
        <v>203</v>
      </c>
      <c r="K70" s="60" t="s">
        <v>204</v>
      </c>
      <c r="L70" s="60" t="s">
        <v>205</v>
      </c>
      <c r="M70" s="60" t="s">
        <v>206</v>
      </c>
      <c r="N70" s="60" t="s">
        <v>207</v>
      </c>
      <c r="O70" s="60" t="s">
        <v>208</v>
      </c>
      <c r="P70" s="60" t="s">
        <v>209</v>
      </c>
      <c r="Q70" s="60" t="s">
        <v>210</v>
      </c>
      <c r="R70" s="60" t="s">
        <v>211</v>
      </c>
      <c r="S70" s="60" t="s">
        <v>212</v>
      </c>
      <c r="T70" s="53" t="s">
        <v>74</v>
      </c>
    </row>
    <row r="71" spans="2:20" ht="15.75">
      <c r="B71" s="187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3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8"/>
      <c r="C73" s="60" t="s">
        <v>103</v>
      </c>
      <c r="D73" s="60" t="s">
        <v>197</v>
      </c>
      <c r="E73" s="60" t="s">
        <v>198</v>
      </c>
      <c r="F73" s="60" t="s">
        <v>199</v>
      </c>
      <c r="G73" s="60" t="s">
        <v>200</v>
      </c>
      <c r="H73" s="60" t="s">
        <v>201</v>
      </c>
      <c r="I73" s="60" t="s">
        <v>202</v>
      </c>
      <c r="J73" s="60" t="s">
        <v>203</v>
      </c>
      <c r="K73" s="60" t="s">
        <v>204</v>
      </c>
      <c r="L73" s="60" t="s">
        <v>205</v>
      </c>
      <c r="M73" s="60" t="s">
        <v>206</v>
      </c>
      <c r="N73" s="60" t="s">
        <v>207</v>
      </c>
      <c r="O73" s="60" t="s">
        <v>208</v>
      </c>
      <c r="P73" s="60" t="s">
        <v>209</v>
      </c>
      <c r="Q73" s="60" t="s">
        <v>210</v>
      </c>
      <c r="R73" s="60" t="s">
        <v>211</v>
      </c>
      <c r="S73" s="60" t="s">
        <v>212</v>
      </c>
      <c r="T73" s="53" t="s">
        <v>74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4" t="s">
        <v>91</v>
      </c>
      <c r="C77" s="183" t="s">
        <v>102</v>
      </c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61"/>
      <c r="S77" s="61"/>
      <c r="T77" s="13"/>
    </row>
    <row r="78" spans="2:20">
      <c r="B78" s="195"/>
      <c r="C78" s="15" t="s">
        <v>103</v>
      </c>
      <c r="D78" s="15" t="s">
        <v>214</v>
      </c>
      <c r="E78" s="15" t="s">
        <v>215</v>
      </c>
      <c r="F78" s="15" t="s">
        <v>216</v>
      </c>
      <c r="G78" s="15" t="s">
        <v>217</v>
      </c>
      <c r="H78" s="62" t="s">
        <v>218</v>
      </c>
      <c r="I78" s="62" t="s">
        <v>219</v>
      </c>
      <c r="J78" s="62" t="s">
        <v>220</v>
      </c>
      <c r="K78" s="62" t="s">
        <v>221</v>
      </c>
      <c r="L78" s="62" t="s">
        <v>134</v>
      </c>
      <c r="M78" s="15" t="s">
        <v>222</v>
      </c>
      <c r="N78" s="62" t="s">
        <v>223</v>
      </c>
      <c r="O78" s="62" t="s">
        <v>215</v>
      </c>
      <c r="P78" s="62" t="s">
        <v>224</v>
      </c>
      <c r="Q78" s="62" t="s">
        <v>225</v>
      </c>
      <c r="R78" s="62" t="s">
        <v>215</v>
      </c>
      <c r="S78" s="62" t="s">
        <v>226</v>
      </c>
      <c r="T78" s="60" t="s">
        <v>215</v>
      </c>
    </row>
    <row r="79" spans="2:20">
      <c r="B79" s="19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5"/>
      <c r="C80" s="60" t="s">
        <v>227</v>
      </c>
      <c r="D80" s="60" t="s">
        <v>228</v>
      </c>
      <c r="E80" s="60" t="s">
        <v>229</v>
      </c>
      <c r="F80" s="60" t="s">
        <v>215</v>
      </c>
      <c r="G80" s="60" t="s">
        <v>224</v>
      </c>
      <c r="H80" s="60" t="s">
        <v>230</v>
      </c>
      <c r="I80" s="60" t="s">
        <v>215</v>
      </c>
      <c r="J80" s="60" t="s">
        <v>231</v>
      </c>
      <c r="K80" s="60" t="s">
        <v>232</v>
      </c>
      <c r="L80" s="60" t="s">
        <v>233</v>
      </c>
      <c r="M80" s="60" t="s">
        <v>215</v>
      </c>
      <c r="N80" s="60" t="s">
        <v>234</v>
      </c>
      <c r="O80" s="60" t="s">
        <v>215</v>
      </c>
      <c r="P80" s="60" t="s">
        <v>235</v>
      </c>
      <c r="Q80" s="60" t="s">
        <v>215</v>
      </c>
      <c r="R80" s="60" t="s">
        <v>236</v>
      </c>
      <c r="S80" s="60" t="s">
        <v>215</v>
      </c>
      <c r="T80" s="53" t="s">
        <v>74</v>
      </c>
    </row>
    <row r="81" spans="2:20" ht="15.75">
      <c r="B81" s="19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237</v>
      </c>
    </row>
    <row r="82" spans="2:20">
      <c r="B82" s="195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5"/>
      <c r="C83" s="19" t="s">
        <v>103</v>
      </c>
      <c r="D83" s="19" t="s">
        <v>214</v>
      </c>
      <c r="E83" s="19" t="s">
        <v>215</v>
      </c>
      <c r="F83" s="19" t="s">
        <v>216</v>
      </c>
      <c r="G83" s="19" t="s">
        <v>217</v>
      </c>
      <c r="H83" s="60" t="s">
        <v>218</v>
      </c>
      <c r="I83" s="60" t="s">
        <v>219</v>
      </c>
      <c r="J83" s="60" t="s">
        <v>220</v>
      </c>
      <c r="K83" s="60" t="s">
        <v>221</v>
      </c>
      <c r="L83" s="60" t="s">
        <v>134</v>
      </c>
      <c r="M83" s="19" t="s">
        <v>222</v>
      </c>
      <c r="N83" s="60" t="s">
        <v>223</v>
      </c>
      <c r="O83" s="60" t="s">
        <v>215</v>
      </c>
      <c r="P83" s="60" t="s">
        <v>224</v>
      </c>
      <c r="Q83" s="60" t="s">
        <v>225</v>
      </c>
      <c r="R83" s="60" t="s">
        <v>215</v>
      </c>
      <c r="S83" s="60" t="s">
        <v>226</v>
      </c>
      <c r="T83" s="60" t="s">
        <v>215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227</v>
      </c>
      <c r="D85" s="60" t="s">
        <v>228</v>
      </c>
      <c r="E85" s="60" t="s">
        <v>229</v>
      </c>
      <c r="F85" s="60" t="s">
        <v>215</v>
      </c>
      <c r="G85" s="60" t="s">
        <v>224</v>
      </c>
      <c r="H85" s="60" t="s">
        <v>230</v>
      </c>
      <c r="I85" s="60" t="s">
        <v>215</v>
      </c>
      <c r="J85" s="60" t="s">
        <v>231</v>
      </c>
      <c r="K85" s="60" t="s">
        <v>232</v>
      </c>
      <c r="L85" s="60" t="s">
        <v>233</v>
      </c>
      <c r="M85" s="60" t="s">
        <v>215</v>
      </c>
      <c r="N85" s="60" t="s">
        <v>234</v>
      </c>
      <c r="O85" s="60" t="s">
        <v>215</v>
      </c>
      <c r="P85" s="60" t="s">
        <v>235</v>
      </c>
      <c r="Q85" s="60" t="s">
        <v>215</v>
      </c>
      <c r="R85" s="60" t="s">
        <v>236</v>
      </c>
      <c r="S85" s="60" t="s">
        <v>215</v>
      </c>
      <c r="T85" s="51" t="s">
        <v>74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2026-01-10T15:57:04Z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