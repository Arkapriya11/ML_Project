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jun 2025\"/>
    </mc:Choice>
  </mc:AlternateContent>
  <xr:revisionPtr revIDLastSave="0" documentId="13_ncr:1_{9220C615-4F24-4023-AD94-3A68F3D80E57}" xr6:coauthVersionLast="47" xr6:coauthVersionMax="47" xr10:uidLastSave="{00000000-0000-0000-0000-000000000000}"/>
  <bookViews>
    <workbookView xWindow="-120" yWindow="-120" windowWidth="20730" windowHeight="11040" tabRatio="913" firstSheet="5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91029"/>
</workbook>
</file>

<file path=xl/calcChain.xml><?xml version="1.0" encoding="utf-8"?>
<calcChain xmlns="http://schemas.openxmlformats.org/spreadsheetml/2006/main">
  <c r="Q44" i="39" l="1"/>
  <c r="Q38" i="40"/>
  <c r="Q38" i="43"/>
  <c r="Q40" i="43" s="1"/>
  <c r="Q38" i="33"/>
  <c r="Q40" i="33" s="1"/>
  <c r="Q38" i="32"/>
  <c r="K38" i="32"/>
  <c r="K39" i="32" s="1"/>
  <c r="L38" i="32"/>
  <c r="M38" i="32"/>
  <c r="N38" i="32"/>
  <c r="O38" i="32"/>
  <c r="P38" i="32"/>
  <c r="J38" i="32"/>
  <c r="J40" i="32" s="1"/>
  <c r="C38" i="32"/>
  <c r="D38" i="32"/>
  <c r="D40" i="32" s="1"/>
  <c r="E38" i="32"/>
  <c r="E40" i="32" s="1"/>
  <c r="F38" i="32"/>
  <c r="G38" i="32"/>
  <c r="G39" i="32" s="1"/>
  <c r="H38" i="32"/>
  <c r="H40" i="32" s="1"/>
  <c r="I38" i="32"/>
  <c r="O40" i="32"/>
  <c r="B38" i="32"/>
  <c r="H38" i="17"/>
  <c r="H40" i="17" s="1"/>
  <c r="G38" i="17"/>
  <c r="E38" i="17"/>
  <c r="H38" i="10"/>
  <c r="G38" i="10"/>
  <c r="E38" i="10"/>
  <c r="C38" i="10"/>
  <c r="D38" i="10"/>
  <c r="B38" i="10"/>
  <c r="M38" i="39"/>
  <c r="N37" i="39"/>
  <c r="P21" i="39"/>
  <c r="M39" i="40"/>
  <c r="Q39" i="40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P36" i="40"/>
  <c r="P38" i="39" s="1"/>
  <c r="O36" i="40"/>
  <c r="O38" i="39" s="1"/>
  <c r="N36" i="40"/>
  <c r="N38" i="39" s="1"/>
  <c r="M36" i="40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B40" i="43"/>
  <c r="P39" i="43"/>
  <c r="N39" i="43"/>
  <c r="I39" i="43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P36" i="43"/>
  <c r="P37" i="39" s="1"/>
  <c r="O36" i="43"/>
  <c r="O37" i="39" s="1"/>
  <c r="N36" i="43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F40" i="33"/>
  <c r="E40" i="33"/>
  <c r="C40" i="33"/>
  <c r="K39" i="33"/>
  <c r="E39" i="33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40" i="32"/>
  <c r="P39" i="32"/>
  <c r="N40" i="32"/>
  <c r="M40" i="32"/>
  <c r="L39" i="32"/>
  <c r="J39" i="32"/>
  <c r="I39" i="32"/>
  <c r="F39" i="32"/>
  <c r="C40" i="32"/>
  <c r="B39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L40" i="31"/>
  <c r="J40" i="31"/>
  <c r="L39" i="31"/>
  <c r="K39" i="31"/>
  <c r="J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K38" i="31"/>
  <c r="K40" i="31" s="1"/>
  <c r="J38" i="3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B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40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I40" i="29"/>
  <c r="G40" i="29"/>
  <c r="I39" i="29"/>
  <c r="F39" i="29"/>
  <c r="C39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40" i="29" s="1"/>
  <c r="K38" i="29"/>
  <c r="K39" i="29" s="1"/>
  <c r="J38" i="29"/>
  <c r="J40" i="29" s="1"/>
  <c r="I38" i="29"/>
  <c r="H38" i="29"/>
  <c r="H40" i="29" s="1"/>
  <c r="G38" i="29"/>
  <c r="G39" i="29" s="1"/>
  <c r="F38" i="29"/>
  <c r="F40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F40" i="28"/>
  <c r="L39" i="28"/>
  <c r="D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40" i="28" s="1"/>
  <c r="F38" i="28"/>
  <c r="F39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H40" i="27"/>
  <c r="H39" i="27"/>
  <c r="G39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40" i="25"/>
  <c r="Q39" i="25"/>
  <c r="Q38" i="25"/>
  <c r="P38" i="25"/>
  <c r="P39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N40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M40" i="23"/>
  <c r="L40" i="23"/>
  <c r="C40" i="23"/>
  <c r="B40" i="23"/>
  <c r="Q39" i="23"/>
  <c r="L39" i="23"/>
  <c r="Q38" i="23"/>
  <c r="Q40" i="23" s="1"/>
  <c r="P38" i="23"/>
  <c r="P39" i="23" s="1"/>
  <c r="O38" i="23"/>
  <c r="O40" i="23" s="1"/>
  <c r="N38" i="23"/>
  <c r="N40" i="23" s="1"/>
  <c r="M38" i="23"/>
  <c r="M39" i="23" s="1"/>
  <c r="L38" i="23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C40" i="22"/>
  <c r="N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39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P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P40" i="19"/>
  <c r="K40" i="19"/>
  <c r="J40" i="19"/>
  <c r="K39" i="19"/>
  <c r="Q38" i="19"/>
  <c r="Q39" i="19" s="1"/>
  <c r="P38" i="19"/>
  <c r="P39" i="19" s="1"/>
  <c r="O38" i="19"/>
  <c r="O39" i="19" s="1"/>
  <c r="N38" i="19"/>
  <c r="N40" i="19" s="1"/>
  <c r="M38" i="19"/>
  <c r="M39" i="19" s="1"/>
  <c r="L38" i="19"/>
  <c r="L40" i="19" s="1"/>
  <c r="K38" i="19"/>
  <c r="J38" i="19"/>
  <c r="J39" i="19" s="1"/>
  <c r="I38" i="19"/>
  <c r="I40" i="19" s="1"/>
  <c r="H38" i="19"/>
  <c r="H40" i="19" s="1"/>
  <c r="G38" i="19"/>
  <c r="G39" i="19" s="1"/>
  <c r="F38" i="19"/>
  <c r="F40" i="19" s="1"/>
  <c r="E38" i="19"/>
  <c r="E39" i="19" s="1"/>
  <c r="D38" i="19"/>
  <c r="D40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N40" i="18"/>
  <c r="M40" i="18"/>
  <c r="L40" i="18"/>
  <c r="B40" i="18"/>
  <c r="M39" i="18"/>
  <c r="L39" i="18"/>
  <c r="K39" i="18"/>
  <c r="I39" i="18"/>
  <c r="H39" i="18"/>
  <c r="Q38" i="18"/>
  <c r="Q39" i="18" s="1"/>
  <c r="P38" i="18"/>
  <c r="P39" i="18" s="1"/>
  <c r="O38" i="18"/>
  <c r="O40" i="18" s="1"/>
  <c r="N38" i="18"/>
  <c r="N39" i="18" s="1"/>
  <c r="M38" i="18"/>
  <c r="L38" i="18"/>
  <c r="K38" i="18"/>
  <c r="K40" i="18" s="1"/>
  <c r="J38" i="18"/>
  <c r="J39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N40" i="17"/>
  <c r="K40" i="17"/>
  <c r="J40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G39" i="17"/>
  <c r="F38" i="17"/>
  <c r="F40" i="17" s="1"/>
  <c r="E40" i="17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N40" i="16"/>
  <c r="M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H40" i="15"/>
  <c r="G40" i="15"/>
  <c r="F40" i="15"/>
  <c r="K39" i="15"/>
  <c r="Q38" i="15"/>
  <c r="Q39" i="15" s="1"/>
  <c r="P38" i="15"/>
  <c r="P39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O40" i="14"/>
  <c r="L40" i="14"/>
  <c r="K40" i="14"/>
  <c r="F39" i="14"/>
  <c r="E39" i="14"/>
  <c r="D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40" i="14" s="1"/>
  <c r="G38" i="14"/>
  <c r="G39" i="14" s="1"/>
  <c r="F38" i="14"/>
  <c r="F40" i="14" s="1"/>
  <c r="E38" i="14"/>
  <c r="E40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40" i="10"/>
  <c r="G40" i="10"/>
  <c r="F38" i="10"/>
  <c r="F40" i="10" s="1"/>
  <c r="E40" i="10"/>
  <c r="D40" i="10"/>
  <c r="C40" i="10"/>
  <c r="B40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0" l="1"/>
  <c r="F39" i="40"/>
  <c r="H39" i="40"/>
  <c r="I39" i="40"/>
  <c r="O39" i="40"/>
  <c r="E39" i="43"/>
  <c r="J39" i="33"/>
  <c r="Q39" i="33"/>
  <c r="I40" i="33"/>
  <c r="G40" i="32"/>
  <c r="B40" i="32"/>
  <c r="I40" i="32"/>
  <c r="H39" i="32"/>
  <c r="D39" i="32"/>
  <c r="F40" i="32"/>
  <c r="K40" i="32"/>
  <c r="M40" i="31"/>
  <c r="C39" i="31"/>
  <c r="G39" i="31"/>
  <c r="H39" i="31"/>
  <c r="I39" i="31"/>
  <c r="D39" i="30"/>
  <c r="I39" i="30"/>
  <c r="J39" i="30"/>
  <c r="L39" i="30"/>
  <c r="M39" i="30"/>
  <c r="N39" i="30"/>
  <c r="M40" i="29"/>
  <c r="J39" i="29"/>
  <c r="L39" i="29"/>
  <c r="E40" i="29"/>
  <c r="K40" i="29"/>
  <c r="G39" i="28"/>
  <c r="M39" i="28"/>
  <c r="O39" i="28"/>
  <c r="P39" i="28"/>
  <c r="Q39" i="28"/>
  <c r="P40" i="27"/>
  <c r="I39" i="27"/>
  <c r="K39" i="27"/>
  <c r="L39" i="27"/>
  <c r="M39" i="27"/>
  <c r="N39" i="27"/>
  <c r="O39" i="27"/>
  <c r="F39" i="26"/>
  <c r="H39" i="26"/>
  <c r="I39" i="26"/>
  <c r="N39" i="26"/>
  <c r="O39" i="26"/>
  <c r="Q39" i="26"/>
  <c r="B40" i="26"/>
  <c r="C40" i="26"/>
  <c r="L40" i="26"/>
  <c r="P40" i="25"/>
  <c r="I39" i="25"/>
  <c r="J39" i="25"/>
  <c r="K39" i="25"/>
  <c r="M39" i="25"/>
  <c r="N39" i="25"/>
  <c r="O39" i="25"/>
  <c r="J40" i="24"/>
  <c r="H39" i="24"/>
  <c r="K40" i="24"/>
  <c r="P39" i="24"/>
  <c r="Q39" i="24"/>
  <c r="C40" i="24"/>
  <c r="D40" i="24"/>
  <c r="E40" i="24"/>
  <c r="P40" i="23"/>
  <c r="K39" i="23"/>
  <c r="O39" i="23"/>
  <c r="D40" i="22"/>
  <c r="F40" i="22"/>
  <c r="G40" i="22"/>
  <c r="I40" i="22"/>
  <c r="J40" i="22"/>
  <c r="M40" i="22"/>
  <c r="N39" i="21"/>
  <c r="O39" i="21"/>
  <c r="B40" i="21"/>
  <c r="D40" i="21"/>
  <c r="E40" i="21"/>
  <c r="F40" i="21"/>
  <c r="G40" i="21"/>
  <c r="H40" i="21"/>
  <c r="K40" i="21"/>
  <c r="Q40" i="21"/>
  <c r="N40" i="20"/>
  <c r="O39" i="20"/>
  <c r="B40" i="20"/>
  <c r="C40" i="20"/>
  <c r="D40" i="20"/>
  <c r="E40" i="20"/>
  <c r="H40" i="20"/>
  <c r="I40" i="20"/>
  <c r="L40" i="20"/>
  <c r="M40" i="19"/>
  <c r="O40" i="19"/>
  <c r="D39" i="19"/>
  <c r="Q40" i="19"/>
  <c r="F39" i="19"/>
  <c r="H39" i="19"/>
  <c r="I39" i="19"/>
  <c r="L39" i="19"/>
  <c r="M41" i="39"/>
  <c r="E39" i="18"/>
  <c r="F39" i="18"/>
  <c r="G40" i="18"/>
  <c r="J40" i="18"/>
  <c r="I40" i="17"/>
  <c r="L40" i="17"/>
  <c r="F39" i="17"/>
  <c r="H39" i="17"/>
  <c r="O39" i="17"/>
  <c r="C40" i="17"/>
  <c r="G40" i="17"/>
  <c r="J40" i="16"/>
  <c r="C40" i="16"/>
  <c r="D40" i="16"/>
  <c r="F40" i="16"/>
  <c r="G40" i="16"/>
  <c r="H40" i="16"/>
  <c r="I40" i="16"/>
  <c r="E40" i="15"/>
  <c r="I40" i="15"/>
  <c r="C39" i="15"/>
  <c r="L40" i="15"/>
  <c r="M40" i="15"/>
  <c r="P40" i="15"/>
  <c r="Q40" i="15"/>
  <c r="O39" i="15"/>
  <c r="H39" i="14"/>
  <c r="P40" i="14"/>
  <c r="J39" i="14"/>
  <c r="N39" i="14"/>
  <c r="Q39" i="14"/>
  <c r="B40" i="14"/>
  <c r="G40" i="14"/>
  <c r="D39" i="10"/>
  <c r="O40" i="39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G39" i="33"/>
  <c r="F39" i="43"/>
  <c r="E39" i="40"/>
  <c r="O39" i="30"/>
  <c r="N39" i="31"/>
  <c r="M39" i="32"/>
  <c r="L39" i="33"/>
  <c r="K39" i="43"/>
  <c r="J39" i="40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E39" i="30"/>
  <c r="D39" i="31"/>
  <c r="C39" i="32"/>
  <c r="B39" i="33"/>
  <c r="Q39" i="43"/>
  <c r="P39" i="40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<sst xmlns="http://schemas.openxmlformats.org/spreadsheetml/2006/main" count="2900" uniqueCount="780">
  <si>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</si>
  <si>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</si>
  <si>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</si>
  <si>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</si>
  <si>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</si>
  <si>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</si>
  <si>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</si>
  <si>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</si>
  <si>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</si>
  <si>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</si>
  <si>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</si>
  <si>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</si>
  <si>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</si>
  <si>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</si>
  <si>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</si>
  <si>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</si>
  <si>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</si>
  <si>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</si>
  <si>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</si>
  <si>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</si>
  <si>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</si>
  <si>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</si>
  <si>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</si>
  <si>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</si>
  <si>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</si>
  <si>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</si>
  <si>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</si>
  <si>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</si>
  <si>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</si>
  <si>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</si>
  <si>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</si>
  <si>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</si>
  <si>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</si>
  <si>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</si>
  <si>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</si>
  <si>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</si>
  <si>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</si>
  <si>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</si>
  <si>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</si>
  <si>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</si>
  <si>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</si>
  <si>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</si>
  <si>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</si>
  <si>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</si>
  <si>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</si>
  <si>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</si>
  <si>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</si>
  <si>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</si>
  <si>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</si>
  <si>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</si>
  <si>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</si>
  <si>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</si>
  <si>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</si>
  <si>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</si>
  <si>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</si>
  <si>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</si>
  <si>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Comment</t>
  </si>
  <si>
    <t>IGKV, RAIPUR</t>
  </si>
  <si>
    <t>24 HRS</t>
  </si>
  <si>
    <t>animesh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</si>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</sst>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36" activePane="bottomRight" state="frozen"/>
      <selection pane="topRight"/>
      <selection pane="bottomLeft"/>
      <selection pane="bottomRight" activeCell="D51" sqref="D51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39"/>
      <c r="B8" s="39" t="s">
        <v>39</v>
      </c>
      <c r="C8" s="39" t="s">
        <v>39</v>
      </c>
      <c r="D8" s="39" t="s">
        <v>40</v>
      </c>
      <c r="E8" s="39" t="s">
        <v>39</v>
      </c>
      <c r="F8" s="39" t="s">
        <v>39</v>
      </c>
      <c r="G8" s="39" t="s">
        <v>39</v>
      </c>
      <c r="H8" s="39" t="s">
        <v>39</v>
      </c>
      <c r="I8" s="39" t="s">
        <v>39</v>
      </c>
      <c r="J8" s="39" t="s">
        <v>42</v>
      </c>
      <c r="K8" s="39" t="s">
        <v>43</v>
      </c>
      <c r="L8" s="39" t="s">
        <v>44</v>
      </c>
      <c r="M8" s="39" t="s">
        <v>45</v>
      </c>
      <c r="N8" s="39" t="s">
        <v>46</v>
      </c>
      <c r="O8" s="39" t="s">
        <v>47</v>
      </c>
      <c r="P8" s="39" t="s">
        <v>41</v>
      </c>
      <c r="Q8" s="39" t="s">
        <v>39</v>
      </c>
      <c r="R8" s="3"/>
      <c r="S8" s="3"/>
      <c r="T8" s="3"/>
      <c r="U8" s="3"/>
    </row>
    <row r="9" spans="1:21" customFormat="1">
      <c r="A9" s="40" t="s">
        <v>60</v>
      </c>
      <c r="B9" s="41">
        <v>6.63</v>
      </c>
      <c r="C9" s="41">
        <v>9.93</v>
      </c>
      <c r="D9" s="41">
        <v>6.23</v>
      </c>
      <c r="E9" s="41">
        <v>7.3</v>
      </c>
      <c r="F9" s="41">
        <v>9.1999999999999993</v>
      </c>
      <c r="G9" s="41">
        <v>55.02</v>
      </c>
      <c r="H9" s="41">
        <v>27.37</v>
      </c>
      <c r="I9" s="41">
        <v>7.89</v>
      </c>
      <c r="J9" s="41">
        <v>0.68</v>
      </c>
      <c r="K9" s="41">
        <v>242.7</v>
      </c>
      <c r="L9" s="41">
        <v>27.36</v>
      </c>
      <c r="M9" s="41">
        <v>92.03</v>
      </c>
      <c r="N9" s="41">
        <v>2</v>
      </c>
      <c r="O9" s="41">
        <v>0</v>
      </c>
      <c r="P9" s="41">
        <v>0.65</v>
      </c>
      <c r="Q9" s="41">
        <v>28</v>
      </c>
      <c r="R9" s="41"/>
      <c r="S9" s="38"/>
      <c r="T9" s="38"/>
      <c r="U9" s="38"/>
    </row>
    <row r="10" spans="1:21" customFormat="1">
      <c r="A10" s="40" t="s">
        <v>61</v>
      </c>
      <c r="B10" s="41">
        <v>8.16</v>
      </c>
      <c r="C10" s="41">
        <v>11</v>
      </c>
      <c r="D10" s="41">
        <v>6.72</v>
      </c>
      <c r="E10" s="41">
        <v>7.22</v>
      </c>
      <c r="F10" s="41">
        <v>2.33</v>
      </c>
      <c r="G10" s="41">
        <v>59.3</v>
      </c>
      <c r="H10" s="41">
        <v>28.24</v>
      </c>
      <c r="I10" s="41">
        <v>7.73</v>
      </c>
      <c r="J10" s="41">
        <v>0.32</v>
      </c>
      <c r="K10" s="41">
        <v>201.99</v>
      </c>
      <c r="L10" s="41">
        <v>27.12</v>
      </c>
      <c r="M10" s="41">
        <v>97.25</v>
      </c>
      <c r="N10" s="41">
        <v>2</v>
      </c>
      <c r="O10" s="41">
        <v>0</v>
      </c>
      <c r="P10" s="41">
        <v>0.64</v>
      </c>
      <c r="Q10" s="41">
        <v>28</v>
      </c>
      <c r="R10" s="41"/>
      <c r="S10" s="38"/>
      <c r="T10" s="38"/>
      <c r="U10" s="38"/>
    </row>
    <row r="11" spans="1:21" customFormat="1">
      <c r="A11" s="40" t="s">
        <v>62</v>
      </c>
      <c r="B11" s="41">
        <v>7.52</v>
      </c>
      <c r="C11" s="41">
        <v>10.58</v>
      </c>
      <c r="D11" s="41">
        <v>6.13</v>
      </c>
      <c r="E11" s="41">
        <v>8.81</v>
      </c>
      <c r="F11" s="41">
        <v>2.12</v>
      </c>
      <c r="G11" s="41">
        <v>59.83</v>
      </c>
      <c r="H11" s="41">
        <v>28.24</v>
      </c>
      <c r="I11" s="41">
        <v>8.0500000000000007</v>
      </c>
      <c r="J11" s="41">
        <v>0.18</v>
      </c>
      <c r="K11" s="41">
        <v>213.91</v>
      </c>
      <c r="L11" s="41">
        <v>26.54</v>
      </c>
      <c r="M11" s="41">
        <v>100.28</v>
      </c>
      <c r="N11" s="41">
        <v>2</v>
      </c>
      <c r="O11" s="41">
        <v>0</v>
      </c>
      <c r="P11" s="41">
        <v>0.63</v>
      </c>
      <c r="Q11" s="41">
        <v>28</v>
      </c>
      <c r="R11" s="41"/>
      <c r="S11" s="38"/>
      <c r="T11" s="38"/>
      <c r="U11" s="38"/>
    </row>
    <row r="12" spans="1:21" customFormat="1">
      <c r="A12" s="40" t="s">
        <v>63</v>
      </c>
      <c r="B12" s="41">
        <v>7.43</v>
      </c>
      <c r="C12" s="41">
        <v>10</v>
      </c>
      <c r="D12" s="41">
        <v>5.15</v>
      </c>
      <c r="E12" s="41">
        <v>9.2100000000000009</v>
      </c>
      <c r="F12" s="41">
        <v>2.42</v>
      </c>
      <c r="G12" s="41">
        <v>58.2</v>
      </c>
      <c r="H12" s="41">
        <v>27.98</v>
      </c>
      <c r="I12" s="41">
        <v>8.18</v>
      </c>
      <c r="J12" s="41">
        <v>0.25</v>
      </c>
      <c r="K12" s="41">
        <v>232.11</v>
      </c>
      <c r="L12" s="41">
        <v>26.17</v>
      </c>
      <c r="M12" s="41">
        <v>101.66</v>
      </c>
      <c r="N12" s="41">
        <v>1.7</v>
      </c>
      <c r="O12" s="41">
        <v>0</v>
      </c>
      <c r="P12" s="41">
        <v>0.62</v>
      </c>
      <c r="Q12" s="41">
        <v>28</v>
      </c>
      <c r="R12" s="41"/>
      <c r="S12" s="38"/>
      <c r="T12" s="38"/>
      <c r="U12" s="38"/>
    </row>
    <row r="13" spans="1:21" customFormat="1">
      <c r="A13" s="40" t="s">
        <v>64</v>
      </c>
      <c r="B13" s="41">
        <v>7.28</v>
      </c>
      <c r="C13" s="41">
        <v>9.58</v>
      </c>
      <c r="D13" s="41">
        <v>4.57</v>
      </c>
      <c r="E13" s="41">
        <v>9.49</v>
      </c>
      <c r="F13" s="41">
        <v>2.85</v>
      </c>
      <c r="G13" s="41">
        <v>53.36</v>
      </c>
      <c r="H13" s="41">
        <v>23.84</v>
      </c>
      <c r="I13" s="41">
        <v>8.0299999999999994</v>
      </c>
      <c r="J13" s="41">
        <v>0.15</v>
      </c>
      <c r="K13" s="41">
        <v>218.93</v>
      </c>
      <c r="L13" s="41">
        <v>26</v>
      </c>
      <c r="M13" s="41">
        <v>101.51</v>
      </c>
      <c r="N13" s="41">
        <v>1.7</v>
      </c>
      <c r="O13" s="41">
        <v>0</v>
      </c>
      <c r="P13" s="41">
        <v>0.61</v>
      </c>
      <c r="Q13" s="41">
        <v>28</v>
      </c>
      <c r="R13" s="41"/>
      <c r="S13" s="38"/>
      <c r="T13" s="38"/>
      <c r="U13" s="38"/>
    </row>
    <row r="14" spans="1:21" customFormat="1">
      <c r="A14" s="40" t="s">
        <v>65</v>
      </c>
      <c r="B14" s="41">
        <v>6.76</v>
      </c>
      <c r="C14" s="41">
        <v>8.9499999999999993</v>
      </c>
      <c r="D14" s="41">
        <v>4.2</v>
      </c>
      <c r="E14" s="41">
        <v>9.61</v>
      </c>
      <c r="F14" s="41">
        <v>3.43</v>
      </c>
      <c r="G14" s="41">
        <v>51.79</v>
      </c>
      <c r="H14" s="41">
        <v>23.11</v>
      </c>
      <c r="I14" s="41">
        <v>7.63</v>
      </c>
      <c r="J14" s="41">
        <v>0.23</v>
      </c>
      <c r="K14" s="41">
        <v>242.63</v>
      </c>
      <c r="L14" s="41">
        <v>25.85</v>
      </c>
      <c r="M14" s="41">
        <v>104.28</v>
      </c>
      <c r="N14" s="41">
        <v>22.2</v>
      </c>
      <c r="O14" s="41">
        <v>0</v>
      </c>
      <c r="P14" s="41">
        <v>0.56999999999999995</v>
      </c>
      <c r="Q14" s="41">
        <v>28</v>
      </c>
      <c r="R14" s="41"/>
      <c r="S14" s="38"/>
      <c r="T14" s="38"/>
      <c r="U14" s="38"/>
    </row>
    <row r="15" spans="1:21" customFormat="1">
      <c r="A15" s="40" t="s">
        <v>66</v>
      </c>
      <c r="B15" s="41">
        <v>6.4</v>
      </c>
      <c r="C15" s="41">
        <v>8.52</v>
      </c>
      <c r="D15" s="41">
        <v>3.89</v>
      </c>
      <c r="E15" s="41">
        <v>9.68</v>
      </c>
      <c r="F15" s="41">
        <v>3.61</v>
      </c>
      <c r="G15" s="41">
        <v>48.65</v>
      </c>
      <c r="H15" s="41">
        <v>20.77</v>
      </c>
      <c r="I15" s="41">
        <v>7.16</v>
      </c>
      <c r="J15" s="41">
        <v>0.44</v>
      </c>
      <c r="K15" s="41">
        <v>247.69</v>
      </c>
      <c r="L15" s="41">
        <v>27.34</v>
      </c>
      <c r="M15" s="41">
        <v>103.7</v>
      </c>
      <c r="N15" s="41">
        <v>81.599999999999994</v>
      </c>
      <c r="O15" s="41">
        <v>0</v>
      </c>
      <c r="P15" s="41">
        <v>0.56000000000000005</v>
      </c>
      <c r="Q15" s="41">
        <v>28</v>
      </c>
      <c r="R15" s="41"/>
      <c r="S15" s="38"/>
      <c r="T15" s="38"/>
      <c r="U15" s="38"/>
    </row>
    <row r="16" spans="1:21" customFormat="1">
      <c r="A16" s="40" t="s">
        <v>67</v>
      </c>
      <c r="B16" s="41">
        <v>6.26</v>
      </c>
      <c r="C16" s="41">
        <v>8.15</v>
      </c>
      <c r="D16" s="41">
        <v>3.47</v>
      </c>
      <c r="E16" s="41">
        <v>9.51</v>
      </c>
      <c r="F16" s="41">
        <v>3.46</v>
      </c>
      <c r="G16" s="41">
        <v>48.87</v>
      </c>
      <c r="H16" s="41">
        <v>22</v>
      </c>
      <c r="I16" s="41">
        <v>7.24</v>
      </c>
      <c r="J16" s="41">
        <v>0.62</v>
      </c>
      <c r="K16" s="41">
        <v>252.27</v>
      </c>
      <c r="L16" s="41">
        <v>29.55</v>
      </c>
      <c r="M16" s="41">
        <v>84.49</v>
      </c>
      <c r="N16" s="41">
        <v>130</v>
      </c>
      <c r="O16" s="41">
        <v>0</v>
      </c>
      <c r="P16" s="41">
        <v>0.56999999999999995</v>
      </c>
      <c r="Q16" s="41">
        <v>28</v>
      </c>
      <c r="R16" s="41"/>
      <c r="S16" s="38"/>
      <c r="T16" s="38"/>
      <c r="U16" s="38"/>
    </row>
    <row r="17" spans="1:21" customFormat="1">
      <c r="A17" s="40" t="s">
        <v>68</v>
      </c>
      <c r="B17" s="41">
        <v>5.98</v>
      </c>
      <c r="C17" s="41">
        <v>8.17</v>
      </c>
      <c r="D17" s="41">
        <v>4.43</v>
      </c>
      <c r="E17" s="41">
        <v>8.8699999999999992</v>
      </c>
      <c r="F17" s="41">
        <v>4.1500000000000004</v>
      </c>
      <c r="G17" s="41">
        <v>58.2</v>
      </c>
      <c r="H17" s="41">
        <v>27.21</v>
      </c>
      <c r="I17" s="41">
        <v>7.83</v>
      </c>
      <c r="J17" s="41">
        <v>0.9</v>
      </c>
      <c r="K17" s="41">
        <v>272.57</v>
      </c>
      <c r="L17" s="41">
        <v>31.45</v>
      </c>
      <c r="M17" s="41">
        <v>69.98</v>
      </c>
      <c r="N17" s="41">
        <v>170.2</v>
      </c>
      <c r="O17" s="41">
        <v>0</v>
      </c>
      <c r="P17" s="41">
        <v>0.63</v>
      </c>
      <c r="Q17" s="41">
        <v>28</v>
      </c>
      <c r="R17" s="41"/>
      <c r="S17" s="38"/>
      <c r="T17" s="38"/>
      <c r="U17" s="38"/>
    </row>
    <row r="18" spans="1:21" customFormat="1">
      <c r="A18" s="40" t="s">
        <v>69</v>
      </c>
      <c r="B18" s="41">
        <v>5.44</v>
      </c>
      <c r="C18" s="41">
        <v>8.1999999999999993</v>
      </c>
      <c r="D18" s="41">
        <v>5.03</v>
      </c>
      <c r="E18" s="41">
        <v>8.86</v>
      </c>
      <c r="F18" s="41">
        <v>5.25</v>
      </c>
      <c r="G18" s="41">
        <v>63.6</v>
      </c>
      <c r="H18" s="41">
        <v>28.56</v>
      </c>
      <c r="I18" s="41">
        <v>8.86</v>
      </c>
      <c r="J18" s="41">
        <v>1.0900000000000001</v>
      </c>
      <c r="K18" s="41">
        <v>278.23</v>
      </c>
      <c r="L18" s="41">
        <v>32.770000000000003</v>
      </c>
      <c r="M18" s="41">
        <v>63.15</v>
      </c>
      <c r="N18" s="41">
        <v>200.8</v>
      </c>
      <c r="O18" s="41">
        <v>0</v>
      </c>
      <c r="P18" s="41">
        <v>0.68</v>
      </c>
      <c r="Q18" s="41">
        <v>28</v>
      </c>
      <c r="R18" s="41"/>
      <c r="S18" s="38"/>
      <c r="T18" s="38"/>
      <c r="U18" s="38"/>
    </row>
    <row r="19" spans="1:21" customFormat="1">
      <c r="A19" s="40" t="s">
        <v>70</v>
      </c>
      <c r="B19" s="41">
        <v>4.6399999999999997</v>
      </c>
      <c r="C19" s="41">
        <v>7.7</v>
      </c>
      <c r="D19" s="41">
        <v>5.04</v>
      </c>
      <c r="E19" s="41">
        <v>8.93</v>
      </c>
      <c r="F19" s="41">
        <v>7.19</v>
      </c>
      <c r="G19" s="41">
        <v>67.13</v>
      </c>
      <c r="H19" s="41">
        <v>28.56</v>
      </c>
      <c r="I19" s="41">
        <v>9.0500000000000007</v>
      </c>
      <c r="J19" s="41">
        <v>1.92</v>
      </c>
      <c r="K19" s="41">
        <v>297.99</v>
      </c>
      <c r="L19" s="41">
        <v>34.21</v>
      </c>
      <c r="M19" s="41">
        <v>57.66</v>
      </c>
      <c r="N19" s="41">
        <v>219.7</v>
      </c>
      <c r="O19" s="41">
        <v>0</v>
      </c>
      <c r="P19" s="41">
        <v>0.68</v>
      </c>
      <c r="Q19" s="41">
        <v>28</v>
      </c>
      <c r="R19" s="41"/>
      <c r="S19" s="38"/>
      <c r="T19" s="38"/>
      <c r="U19" s="38"/>
    </row>
    <row r="20" spans="1:21" customFormat="1">
      <c r="A20" s="40" t="s">
        <v>71</v>
      </c>
      <c r="B20" s="41">
        <v>4.47</v>
      </c>
      <c r="C20" s="41">
        <v>7.89</v>
      </c>
      <c r="D20" s="41">
        <v>6.08</v>
      </c>
      <c r="E20" s="41">
        <v>8.74</v>
      </c>
      <c r="F20" s="41">
        <v>5.9</v>
      </c>
      <c r="G20" s="41">
        <v>67.510000000000005</v>
      </c>
      <c r="H20" s="41">
        <v>25.75</v>
      </c>
      <c r="I20" s="41">
        <v>8.64</v>
      </c>
      <c r="J20" s="41">
        <v>1.52</v>
      </c>
      <c r="K20" s="41">
        <v>299.67</v>
      </c>
      <c r="L20" s="41">
        <v>35.200000000000003</v>
      </c>
      <c r="M20" s="41">
        <v>48.16</v>
      </c>
      <c r="N20" s="41">
        <v>591.6</v>
      </c>
      <c r="O20" s="41">
        <v>0</v>
      </c>
      <c r="P20" s="41">
        <v>0.65</v>
      </c>
      <c r="Q20" s="41">
        <v>28</v>
      </c>
      <c r="R20" s="41"/>
      <c r="S20" s="38"/>
      <c r="T20" s="38"/>
      <c r="U20" s="38"/>
    </row>
    <row r="21" spans="1:21" customFormat="1">
      <c r="A21" s="40" t="s">
        <v>72</v>
      </c>
      <c r="B21" s="41">
        <v>4.03</v>
      </c>
      <c r="C21" s="41">
        <v>7.72</v>
      </c>
      <c r="D21" s="41">
        <v>6.02</v>
      </c>
      <c r="E21" s="41">
        <v>8.98</v>
      </c>
      <c r="F21" s="41">
        <v>5.61</v>
      </c>
      <c r="G21" s="41">
        <v>71.41</v>
      </c>
      <c r="H21" s="41">
        <v>26.24</v>
      </c>
      <c r="I21" s="41">
        <v>8.06</v>
      </c>
      <c r="J21" s="41">
        <v>1.25</v>
      </c>
      <c r="K21" s="41">
        <v>272.83999999999997</v>
      </c>
      <c r="L21" s="41">
        <v>36.76</v>
      </c>
      <c r="M21" s="41">
        <v>45.39</v>
      </c>
      <c r="N21" s="41">
        <v>847.7</v>
      </c>
      <c r="O21" s="41">
        <v>0</v>
      </c>
      <c r="P21" s="41">
        <v>0.52</v>
      </c>
      <c r="Q21" s="41">
        <v>28</v>
      </c>
      <c r="R21" s="41"/>
      <c r="S21" s="38"/>
      <c r="T21" s="38"/>
      <c r="U21" s="38"/>
    </row>
    <row r="22" spans="1:21" customFormat="1">
      <c r="A22" s="40" t="s">
        <v>73</v>
      </c>
      <c r="B22" s="41">
        <v>3.79</v>
      </c>
      <c r="C22" s="41">
        <v>7.59</v>
      </c>
      <c r="D22" s="41">
        <v>6.14</v>
      </c>
      <c r="E22" s="41">
        <v>9</v>
      </c>
      <c r="F22" s="41">
        <v>5.79</v>
      </c>
      <c r="G22" s="41">
        <v>74</v>
      </c>
      <c r="H22" s="41">
        <v>26.24</v>
      </c>
      <c r="I22" s="41">
        <v>6.91</v>
      </c>
      <c r="J22" s="41">
        <v>1.51</v>
      </c>
      <c r="K22" s="41">
        <v>281.74</v>
      </c>
      <c r="L22" s="41">
        <v>36.909999999999997</v>
      </c>
      <c r="M22" s="41">
        <v>39.979999999999997</v>
      </c>
      <c r="N22" s="41">
        <v>744.6</v>
      </c>
      <c r="O22" s="41">
        <v>0</v>
      </c>
      <c r="P22" s="41">
        <v>0.47</v>
      </c>
      <c r="Q22" s="41">
        <v>28</v>
      </c>
      <c r="R22" s="41"/>
      <c r="S22" s="38"/>
      <c r="T22" s="38"/>
      <c r="U22" s="38"/>
    </row>
    <row r="23" spans="1:21" customFormat="1">
      <c r="A23" s="40" t="s">
        <v>74</v>
      </c>
      <c r="B23" s="41">
        <v>3.79</v>
      </c>
      <c r="C23" s="41">
        <v>7.2</v>
      </c>
      <c r="D23" s="41">
        <v>5.58</v>
      </c>
      <c r="E23" s="41">
        <v>9.24</v>
      </c>
      <c r="F23" s="41">
        <v>7.24</v>
      </c>
      <c r="G23" s="41">
        <v>74.25</v>
      </c>
      <c r="H23" s="41">
        <v>24.65</v>
      </c>
      <c r="I23" s="41">
        <v>6.2</v>
      </c>
      <c r="J23" s="41">
        <v>1.18</v>
      </c>
      <c r="K23" s="41">
        <v>262.81</v>
      </c>
      <c r="L23" s="41">
        <v>36.61</v>
      </c>
      <c r="M23" s="41">
        <v>37.78</v>
      </c>
      <c r="N23" s="41">
        <v>490.8</v>
      </c>
      <c r="O23" s="41">
        <v>0</v>
      </c>
      <c r="P23" s="41">
        <v>0.38</v>
      </c>
      <c r="Q23" s="41">
        <v>28</v>
      </c>
      <c r="R23" s="41"/>
      <c r="S23" s="38"/>
      <c r="T23" s="38"/>
      <c r="U23" s="38"/>
    </row>
    <row r="24" spans="1:21" customFormat="1">
      <c r="A24" s="40" t="s">
        <v>75</v>
      </c>
      <c r="B24" s="41">
        <v>3.69</v>
      </c>
      <c r="C24" s="41">
        <v>6.98</v>
      </c>
      <c r="D24" s="41">
        <v>5.24</v>
      </c>
      <c r="E24" s="41">
        <v>9.3699999999999992</v>
      </c>
      <c r="F24" s="41">
        <v>6.13</v>
      </c>
      <c r="G24" s="41">
        <v>74.67</v>
      </c>
      <c r="H24" s="41">
        <v>27.49</v>
      </c>
      <c r="I24" s="41">
        <v>5.7</v>
      </c>
      <c r="J24" s="41">
        <v>1.1599999999999999</v>
      </c>
      <c r="K24" s="41">
        <v>266.95999999999998</v>
      </c>
      <c r="L24" s="41">
        <v>36.520000000000003</v>
      </c>
      <c r="M24" s="41">
        <v>37.96</v>
      </c>
      <c r="N24" s="41">
        <v>445.6</v>
      </c>
      <c r="O24" s="41">
        <v>0</v>
      </c>
      <c r="P24" s="41">
        <v>0.38</v>
      </c>
      <c r="Q24" s="41">
        <v>28</v>
      </c>
      <c r="R24" s="41"/>
      <c r="S24" s="38"/>
      <c r="T24" s="38"/>
      <c r="U24" s="38"/>
    </row>
    <row r="25" spans="1:21" customFormat="1">
      <c r="A25" s="40" t="s">
        <v>76</v>
      </c>
      <c r="B25" s="41">
        <v>3.68</v>
      </c>
      <c r="C25" s="41">
        <v>6.84</v>
      </c>
      <c r="D25" s="41">
        <v>4.93</v>
      </c>
      <c r="E25" s="41">
        <v>9.2899999999999991</v>
      </c>
      <c r="F25" s="41">
        <v>16.28</v>
      </c>
      <c r="G25" s="41">
        <v>75.040000000000006</v>
      </c>
      <c r="H25" s="41">
        <v>28.37</v>
      </c>
      <c r="I25" s="41">
        <v>5.51</v>
      </c>
      <c r="J25" s="41">
        <v>0.95</v>
      </c>
      <c r="K25" s="41">
        <v>251.99</v>
      </c>
      <c r="L25" s="41">
        <v>35.79</v>
      </c>
      <c r="M25" s="41">
        <v>40.01</v>
      </c>
      <c r="N25" s="41">
        <v>137.6</v>
      </c>
      <c r="O25" s="41">
        <v>0</v>
      </c>
      <c r="P25" s="41">
        <v>0.36</v>
      </c>
      <c r="Q25" s="41">
        <v>28</v>
      </c>
      <c r="R25" s="41"/>
      <c r="S25" s="38"/>
      <c r="T25" s="38"/>
      <c r="U25" s="38"/>
    </row>
    <row r="26" spans="1:21" customFormat="1">
      <c r="A26" s="40" t="s">
        <v>77</v>
      </c>
      <c r="B26" s="41">
        <v>3.74</v>
      </c>
      <c r="C26" s="41">
        <v>6.2</v>
      </c>
      <c r="D26" s="41">
        <v>3.53</v>
      </c>
      <c r="E26" s="41">
        <v>9.6300000000000008</v>
      </c>
      <c r="F26" s="41">
        <v>24.98</v>
      </c>
      <c r="G26" s="41">
        <v>74.14</v>
      </c>
      <c r="H26" s="41">
        <v>28.37</v>
      </c>
      <c r="I26" s="41">
        <v>4.78</v>
      </c>
      <c r="J26" s="41">
        <v>0.76</v>
      </c>
      <c r="K26" s="41">
        <v>246.81</v>
      </c>
      <c r="L26" s="41">
        <v>34.99</v>
      </c>
      <c r="M26" s="41">
        <v>43.77</v>
      </c>
      <c r="N26" s="41">
        <v>128.1</v>
      </c>
      <c r="O26" s="41">
        <v>0</v>
      </c>
      <c r="P26" s="41">
        <v>0.37</v>
      </c>
      <c r="Q26" s="41">
        <v>28</v>
      </c>
      <c r="R26" s="41"/>
      <c r="S26" s="38"/>
      <c r="T26" s="38"/>
      <c r="U26" s="38"/>
    </row>
    <row r="27" spans="1:21" customFormat="1">
      <c r="A27" s="40" t="s">
        <v>78</v>
      </c>
      <c r="B27" s="41">
        <v>3.68</v>
      </c>
      <c r="C27" s="41">
        <v>6.35</v>
      </c>
      <c r="D27" s="41">
        <v>3.97</v>
      </c>
      <c r="E27" s="41">
        <v>8.15</v>
      </c>
      <c r="F27" s="41">
        <v>27.3</v>
      </c>
      <c r="G27" s="41">
        <v>71.02</v>
      </c>
      <c r="H27" s="41">
        <v>26.97</v>
      </c>
      <c r="I27" s="41">
        <v>4.4800000000000004</v>
      </c>
      <c r="J27" s="41">
        <v>0.6</v>
      </c>
      <c r="K27" s="41">
        <v>248.32</v>
      </c>
      <c r="L27" s="41">
        <v>33.74</v>
      </c>
      <c r="M27" s="41">
        <v>49.73</v>
      </c>
      <c r="N27" s="41">
        <v>38.299999999999997</v>
      </c>
      <c r="O27" s="41">
        <v>0</v>
      </c>
      <c r="P27" s="41">
        <v>0.34</v>
      </c>
      <c r="Q27" s="41">
        <v>28</v>
      </c>
      <c r="R27" s="41"/>
      <c r="S27" s="38"/>
      <c r="T27" s="38"/>
      <c r="U27" s="38"/>
    </row>
    <row r="28" spans="1:21" customFormat="1">
      <c r="A28" s="40" t="s">
        <v>79</v>
      </c>
      <c r="B28" s="41">
        <v>3.79</v>
      </c>
      <c r="C28" s="41">
        <v>6.68</v>
      </c>
      <c r="D28" s="41">
        <v>4.42</v>
      </c>
      <c r="E28" s="41">
        <v>7.78</v>
      </c>
      <c r="F28" s="41">
        <v>22.19</v>
      </c>
      <c r="G28" s="41">
        <v>71.7</v>
      </c>
      <c r="H28" s="41">
        <v>29.86</v>
      </c>
      <c r="I28" s="41">
        <v>5.3</v>
      </c>
      <c r="J28" s="41">
        <v>0.43</v>
      </c>
      <c r="K28" s="41">
        <v>240.25</v>
      </c>
      <c r="L28" s="41">
        <v>31.74</v>
      </c>
      <c r="M28" s="41">
        <v>56.2</v>
      </c>
      <c r="N28" s="41">
        <v>2.2000000000000002</v>
      </c>
      <c r="O28" s="41">
        <v>0</v>
      </c>
      <c r="P28" s="41">
        <v>0.38</v>
      </c>
      <c r="Q28" s="41">
        <v>28</v>
      </c>
      <c r="R28" s="41"/>
      <c r="S28" s="38"/>
      <c r="T28" s="38"/>
      <c r="U28" s="38"/>
    </row>
    <row r="29" spans="1:21" customFormat="1">
      <c r="A29" s="40" t="s">
        <v>80</v>
      </c>
      <c r="B29" s="41">
        <v>3.97</v>
      </c>
      <c r="C29" s="41">
        <v>6.55</v>
      </c>
      <c r="D29" s="41">
        <v>3.89</v>
      </c>
      <c r="E29" s="41">
        <v>7.83</v>
      </c>
      <c r="F29" s="41">
        <v>15.99</v>
      </c>
      <c r="G29" s="41">
        <v>71.78</v>
      </c>
      <c r="H29" s="41">
        <v>29.91</v>
      </c>
      <c r="I29" s="41">
        <v>6.24</v>
      </c>
      <c r="J29" s="41">
        <v>0.66</v>
      </c>
      <c r="K29" s="41">
        <v>249.71</v>
      </c>
      <c r="L29" s="41">
        <v>31.14</v>
      </c>
      <c r="M29" s="41">
        <v>57.48</v>
      </c>
      <c r="N29" s="41">
        <v>1.9</v>
      </c>
      <c r="O29" s="41">
        <v>0</v>
      </c>
      <c r="P29" s="41">
        <v>0.39</v>
      </c>
      <c r="Q29" s="41">
        <v>28</v>
      </c>
      <c r="R29" s="41"/>
      <c r="S29" s="38"/>
      <c r="T29" s="38"/>
      <c r="U29" s="38"/>
    </row>
    <row r="30" spans="1:21" customFormat="1">
      <c r="A30" s="40" t="s">
        <v>81</v>
      </c>
      <c r="B30" s="41">
        <v>4.07</v>
      </c>
      <c r="C30" s="41">
        <v>7.22</v>
      </c>
      <c r="D30" s="41">
        <v>5.26</v>
      </c>
      <c r="E30" s="41">
        <v>8.2200000000000006</v>
      </c>
      <c r="F30" s="41">
        <v>7.66</v>
      </c>
      <c r="G30" s="41">
        <v>67.319999999999993</v>
      </c>
      <c r="H30" s="41">
        <v>29.91</v>
      </c>
      <c r="I30" s="41">
        <v>5.4</v>
      </c>
      <c r="J30" s="41">
        <v>0.62</v>
      </c>
      <c r="K30" s="41">
        <v>250.32</v>
      </c>
      <c r="L30" s="41">
        <v>30.64</v>
      </c>
      <c r="M30" s="41">
        <v>57.44</v>
      </c>
      <c r="N30" s="41">
        <v>2</v>
      </c>
      <c r="O30" s="41">
        <v>0</v>
      </c>
      <c r="P30" s="41">
        <v>0.36</v>
      </c>
      <c r="Q30" s="41">
        <v>28</v>
      </c>
      <c r="R30" s="41"/>
      <c r="S30" s="38"/>
      <c r="T30" s="38"/>
      <c r="U30" s="38"/>
    </row>
    <row r="31" spans="1:21" customFormat="1">
      <c r="A31" s="40" t="s">
        <v>82</v>
      </c>
      <c r="B31" s="41">
        <v>3.91</v>
      </c>
      <c r="C31" s="41">
        <v>7.27</v>
      </c>
      <c r="D31" s="41">
        <v>5.33</v>
      </c>
      <c r="E31" s="41">
        <v>8.75</v>
      </c>
      <c r="F31" s="41">
        <v>4.7</v>
      </c>
      <c r="G31" s="41">
        <v>65.31</v>
      </c>
      <c r="H31" s="41">
        <v>26.71</v>
      </c>
      <c r="I31" s="41">
        <v>5.34</v>
      </c>
      <c r="J31" s="41">
        <v>0.36</v>
      </c>
      <c r="K31" s="41">
        <v>239.94</v>
      </c>
      <c r="L31" s="41">
        <v>29.76</v>
      </c>
      <c r="M31" s="41">
        <v>62.89</v>
      </c>
      <c r="N31" s="41">
        <v>2.1</v>
      </c>
      <c r="O31" s="41">
        <v>0</v>
      </c>
      <c r="P31" s="41">
        <v>0.34</v>
      </c>
      <c r="Q31" s="41">
        <v>28</v>
      </c>
      <c r="R31" s="41"/>
      <c r="S31" s="38"/>
      <c r="T31" s="38"/>
      <c r="U31" s="38"/>
    </row>
    <row r="32" spans="1:21" customFormat="1">
      <c r="A32" s="40" t="s">
        <v>83</v>
      </c>
      <c r="B32" s="41">
        <v>4.01</v>
      </c>
      <c r="C32" s="41">
        <v>7.29</v>
      </c>
      <c r="D32" s="41">
        <v>5.27</v>
      </c>
      <c r="E32" s="41">
        <v>8.99</v>
      </c>
      <c r="F32" s="41">
        <v>3.36</v>
      </c>
      <c r="G32" s="41">
        <v>65.569999999999993</v>
      </c>
      <c r="H32" s="41">
        <v>26.71</v>
      </c>
      <c r="I32" s="41">
        <v>5.03</v>
      </c>
      <c r="J32" s="41">
        <v>0.35</v>
      </c>
      <c r="K32" s="41">
        <v>245.09</v>
      </c>
      <c r="L32" s="41">
        <v>29.13</v>
      </c>
      <c r="M32" s="41">
        <v>63.6</v>
      </c>
      <c r="N32" s="41">
        <v>2.1</v>
      </c>
      <c r="O32" s="41">
        <v>0</v>
      </c>
      <c r="P32" s="41">
        <v>0.34</v>
      </c>
      <c r="Q32" s="41">
        <v>28</v>
      </c>
      <c r="R32" s="41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3.68</v>
      </c>
      <c r="C34" s="18">
        <f t="shared" si="0"/>
        <v>6.2</v>
      </c>
      <c r="D34" s="18">
        <f t="shared" si="0"/>
        <v>3.47</v>
      </c>
      <c r="E34" s="18">
        <f t="shared" si="0"/>
        <v>7.22</v>
      </c>
      <c r="F34" s="18">
        <f t="shared" si="0"/>
        <v>2.12</v>
      </c>
      <c r="G34" s="18">
        <f t="shared" si="0"/>
        <v>48.65</v>
      </c>
      <c r="H34" s="18">
        <f t="shared" si="0"/>
        <v>20.77</v>
      </c>
      <c r="I34" s="18">
        <f t="shared" si="0"/>
        <v>4.4800000000000004</v>
      </c>
      <c r="J34" s="18">
        <f t="shared" si="0"/>
        <v>0.15</v>
      </c>
      <c r="K34" s="18">
        <f t="shared" si="0"/>
        <v>201.99</v>
      </c>
      <c r="L34" s="18">
        <f t="shared" si="0"/>
        <v>25.85</v>
      </c>
      <c r="M34" s="18">
        <f t="shared" si="0"/>
        <v>37.78</v>
      </c>
      <c r="N34" s="18">
        <f t="shared" si="0"/>
        <v>1.7</v>
      </c>
      <c r="O34" s="18">
        <f t="shared" si="0"/>
        <v>0</v>
      </c>
      <c r="P34" s="18">
        <f t="shared" si="0"/>
        <v>0.34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8.16</v>
      </c>
      <c r="C35" s="3">
        <f t="shared" si="1"/>
        <v>11</v>
      </c>
      <c r="D35" s="3">
        <f t="shared" si="1"/>
        <v>6.72</v>
      </c>
      <c r="E35" s="3">
        <f t="shared" si="1"/>
        <v>9.68</v>
      </c>
      <c r="F35" s="3">
        <f t="shared" si="1"/>
        <v>27.3</v>
      </c>
      <c r="G35" s="3">
        <f t="shared" si="1"/>
        <v>75.040000000000006</v>
      </c>
      <c r="H35" s="3">
        <f t="shared" si="1"/>
        <v>29.91</v>
      </c>
      <c r="I35" s="3">
        <f t="shared" si="1"/>
        <v>9.0500000000000007</v>
      </c>
      <c r="J35" s="3">
        <f t="shared" si="1"/>
        <v>1.92</v>
      </c>
      <c r="K35" s="3">
        <f t="shared" si="1"/>
        <v>299.67</v>
      </c>
      <c r="L35" s="3">
        <f t="shared" si="1"/>
        <v>36.909999999999997</v>
      </c>
      <c r="M35" s="3">
        <f t="shared" si="1"/>
        <v>104.28</v>
      </c>
      <c r="N35" s="3">
        <f t="shared" si="1"/>
        <v>847.7</v>
      </c>
      <c r="O35" s="3">
        <f t="shared" si="1"/>
        <v>0</v>
      </c>
      <c r="P35" s="3">
        <f t="shared" si="1"/>
        <v>0.68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5.1300000000000008</v>
      </c>
      <c r="C36" s="18">
        <f t="shared" si="2"/>
        <v>8.0233333333333334</v>
      </c>
      <c r="D36" s="18">
        <f t="shared" si="2"/>
        <v>5.0216666666666665</v>
      </c>
      <c r="E36" s="18">
        <f t="shared" si="2"/>
        <v>8.8108333333333348</v>
      </c>
      <c r="F36" s="18">
        <f t="shared" si="2"/>
        <v>8.2975000000000012</v>
      </c>
      <c r="G36" s="18">
        <f t="shared" si="2"/>
        <v>64.486249999999998</v>
      </c>
      <c r="H36" s="18">
        <f t="shared" si="2"/>
        <v>26.794166666666669</v>
      </c>
      <c r="I36" s="18">
        <f t="shared" si="2"/>
        <v>6.8850000000000016</v>
      </c>
      <c r="J36" s="18">
        <f t="shared" si="2"/>
        <v>0.75541666666666674</v>
      </c>
      <c r="K36" s="18">
        <f t="shared" si="2"/>
        <v>252.39458333333334</v>
      </c>
      <c r="L36" s="18">
        <f t="shared" si="2"/>
        <v>31.387083333333326</v>
      </c>
      <c r="M36" s="18">
        <f t="shared" si="2"/>
        <v>67.349166666666676</v>
      </c>
      <c r="N36" s="18">
        <f t="shared" si="2"/>
        <v>177.85416666666666</v>
      </c>
      <c r="O36" s="18">
        <f t="shared" si="2"/>
        <v>0</v>
      </c>
      <c r="P36" s="18">
        <f t="shared" si="2"/>
        <v>0.505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1.533906635104427</v>
      </c>
      <c r="C37" s="18">
        <f t="shared" ref="C37:Q37" si="3">STDEV(C9:C32)</f>
        <v>1.3506251907161664</v>
      </c>
      <c r="D37" s="18">
        <f t="shared" si="3"/>
        <v>0.91911425540721592</v>
      </c>
      <c r="E37" s="18">
        <f t="shared" si="3"/>
        <v>0.71170900664873393</v>
      </c>
      <c r="F37" s="18">
        <f t="shared" si="3"/>
        <v>7.3829670305313604</v>
      </c>
      <c r="G37" s="18">
        <f t="shared" si="3"/>
        <v>8.6317355867247638</v>
      </c>
      <c r="H37" s="18">
        <f t="shared" si="3"/>
        <v>2.4183769560284172</v>
      </c>
      <c r="I37" s="18">
        <f t="shared" si="3"/>
        <v>1.4097301622774332</v>
      </c>
      <c r="J37" s="18">
        <f t="shared" si="3"/>
        <v>0.47958296345948259</v>
      </c>
      <c r="K37" s="18">
        <f t="shared" si="3"/>
        <v>23.927573139384194</v>
      </c>
      <c r="L37" s="18">
        <f t="shared" si="3"/>
        <v>3.891908528312837</v>
      </c>
      <c r="M37" s="18">
        <f t="shared" si="3"/>
        <v>24.078303948046067</v>
      </c>
      <c r="N37" s="18">
        <f t="shared" si="3"/>
        <v>253.81831739012381</v>
      </c>
      <c r="O37" s="18">
        <f t="shared" si="3"/>
        <v>0</v>
      </c>
      <c r="P37" s="18">
        <f t="shared" si="3"/>
        <v>0.13055067315364383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84</v>
      </c>
      <c r="B9" s="41">
        <v>4.1500000000000004</v>
      </c>
      <c r="C9" s="41">
        <v>7.34</v>
      </c>
      <c r="D9" s="41">
        <v>5.17</v>
      </c>
      <c r="E9" s="41">
        <v>9.49</v>
      </c>
      <c r="F9" s="41">
        <v>3.18</v>
      </c>
      <c r="G9" s="41">
        <v>61.71</v>
      </c>
      <c r="H9" s="41">
        <v>23.5</v>
      </c>
      <c r="I9" s="41">
        <v>4.97</v>
      </c>
      <c r="J9" s="41">
        <v>0.25</v>
      </c>
      <c r="K9" s="41">
        <v>229.97</v>
      </c>
      <c r="L9" s="41">
        <v>28.34</v>
      </c>
      <c r="M9" s="41">
        <v>67.78</v>
      </c>
      <c r="N9" s="41">
        <v>2</v>
      </c>
      <c r="O9" s="41">
        <v>0</v>
      </c>
      <c r="P9" s="41">
        <v>0.34</v>
      </c>
      <c r="Q9" s="41">
        <v>28</v>
      </c>
      <c r="R9" s="38"/>
      <c r="S9" s="38"/>
      <c r="T9" s="38"/>
      <c r="U9" s="38"/>
    </row>
    <row r="10" spans="1:21" customFormat="1">
      <c r="A10" s="40" t="s">
        <v>85</v>
      </c>
      <c r="B10" s="41">
        <v>4.2300000000000004</v>
      </c>
      <c r="C10" s="41">
        <v>7.32</v>
      </c>
      <c r="D10" s="41">
        <v>4.9800000000000004</v>
      </c>
      <c r="E10" s="41">
        <v>9.35</v>
      </c>
      <c r="F10" s="41">
        <v>3.34</v>
      </c>
      <c r="G10" s="41">
        <v>57.9</v>
      </c>
      <c r="H10" s="41">
        <v>21.93</v>
      </c>
      <c r="I10" s="41">
        <v>4.93</v>
      </c>
      <c r="J10" s="41">
        <v>0.4</v>
      </c>
      <c r="K10" s="41">
        <v>248.97</v>
      </c>
      <c r="L10" s="41">
        <v>27.56</v>
      </c>
      <c r="M10" s="41">
        <v>65.8</v>
      </c>
      <c r="N10" s="41">
        <v>1.6</v>
      </c>
      <c r="O10" s="41">
        <v>0</v>
      </c>
      <c r="P10" s="41">
        <v>0.33</v>
      </c>
      <c r="Q10" s="41">
        <v>28</v>
      </c>
      <c r="R10" s="38"/>
      <c r="S10" s="38"/>
      <c r="T10" s="38"/>
      <c r="U10" s="38"/>
    </row>
    <row r="11" spans="1:21" customFormat="1">
      <c r="A11" s="40" t="s">
        <v>86</v>
      </c>
      <c r="B11" s="41">
        <v>4.45</v>
      </c>
      <c r="C11" s="41">
        <v>7.31</v>
      </c>
      <c r="D11" s="41">
        <v>4.9800000000000004</v>
      </c>
      <c r="E11" s="41">
        <v>7.87</v>
      </c>
      <c r="F11" s="41">
        <v>5.09</v>
      </c>
      <c r="G11" s="41">
        <v>57.97</v>
      </c>
      <c r="H11" s="41">
        <v>22.84</v>
      </c>
      <c r="I11" s="41">
        <v>4.87</v>
      </c>
      <c r="J11" s="41">
        <v>0.27</v>
      </c>
      <c r="K11" s="41">
        <v>241.63</v>
      </c>
      <c r="L11" s="41">
        <v>27.03</v>
      </c>
      <c r="M11" s="41">
        <v>64.55</v>
      </c>
      <c r="N11" s="41">
        <v>1.7</v>
      </c>
      <c r="O11" s="41">
        <v>0</v>
      </c>
      <c r="P11" s="41">
        <v>0.35</v>
      </c>
      <c r="Q11" s="41">
        <v>28</v>
      </c>
      <c r="R11" s="38"/>
      <c r="S11" s="38"/>
      <c r="T11" s="38"/>
      <c r="U11" s="38"/>
    </row>
    <row r="12" spans="1:21" customFormat="1">
      <c r="A12" s="40" t="s">
        <v>87</v>
      </c>
      <c r="B12" s="41">
        <v>4.9400000000000004</v>
      </c>
      <c r="C12" s="41">
        <v>7.03</v>
      </c>
      <c r="D12" s="41">
        <v>3.63</v>
      </c>
      <c r="E12" s="41">
        <v>7.26</v>
      </c>
      <c r="F12" s="41">
        <v>2.88</v>
      </c>
      <c r="G12" s="41">
        <v>52.32</v>
      </c>
      <c r="H12" s="41">
        <v>23.2</v>
      </c>
      <c r="I12" s="41">
        <v>4.91</v>
      </c>
      <c r="J12" s="41">
        <v>0.53</v>
      </c>
      <c r="K12" s="41">
        <v>250.68</v>
      </c>
      <c r="L12" s="41">
        <v>26.61</v>
      </c>
      <c r="M12" s="41">
        <v>66.33</v>
      </c>
      <c r="N12" s="41">
        <v>1.4</v>
      </c>
      <c r="O12" s="41">
        <v>0</v>
      </c>
      <c r="P12" s="41">
        <v>0.36</v>
      </c>
      <c r="Q12" s="41">
        <v>28</v>
      </c>
      <c r="R12" s="38"/>
      <c r="S12" s="38"/>
      <c r="T12" s="38"/>
      <c r="U12" s="38"/>
    </row>
    <row r="13" spans="1:21" customFormat="1">
      <c r="A13" s="40" t="s">
        <v>88</v>
      </c>
      <c r="B13" s="41">
        <v>5.1100000000000003</v>
      </c>
      <c r="C13" s="41">
        <v>7.19</v>
      </c>
      <c r="D13" s="41">
        <v>3.41</v>
      </c>
      <c r="E13" s="41">
        <v>7.28</v>
      </c>
      <c r="F13" s="41">
        <v>4.13</v>
      </c>
      <c r="G13" s="41">
        <v>49.16</v>
      </c>
      <c r="H13" s="41">
        <v>23.2</v>
      </c>
      <c r="I13" s="41">
        <v>5.0199999999999996</v>
      </c>
      <c r="J13" s="41">
        <v>0.44</v>
      </c>
      <c r="K13" s="41">
        <v>247.38</v>
      </c>
      <c r="L13" s="41">
        <v>26.62</v>
      </c>
      <c r="M13" s="41">
        <v>72.33</v>
      </c>
      <c r="N13" s="41">
        <v>2</v>
      </c>
      <c r="O13" s="41">
        <v>0</v>
      </c>
      <c r="P13" s="41">
        <v>0.36</v>
      </c>
      <c r="Q13" s="41">
        <v>28</v>
      </c>
      <c r="R13" s="38"/>
      <c r="S13" s="38"/>
      <c r="T13" s="38"/>
      <c r="U13" s="38"/>
    </row>
    <row r="14" spans="1:21" customFormat="1">
      <c r="A14" s="40" t="s">
        <v>89</v>
      </c>
      <c r="B14" s="41">
        <v>5.61</v>
      </c>
      <c r="C14" s="41">
        <v>7.52</v>
      </c>
      <c r="D14" s="41">
        <v>3.41</v>
      </c>
      <c r="E14" s="41">
        <v>7.29</v>
      </c>
      <c r="F14" s="41">
        <v>2.25</v>
      </c>
      <c r="G14" s="41">
        <v>48.36</v>
      </c>
      <c r="H14" s="41">
        <v>20.74</v>
      </c>
      <c r="I14" s="41">
        <v>5.08</v>
      </c>
      <c r="J14" s="41">
        <v>0.19</v>
      </c>
      <c r="K14" s="41">
        <v>210.07</v>
      </c>
      <c r="L14" s="41">
        <v>25.52</v>
      </c>
      <c r="M14" s="41">
        <v>74.849999999999994</v>
      </c>
      <c r="N14" s="41">
        <v>26.3</v>
      </c>
      <c r="O14" s="41">
        <v>0</v>
      </c>
      <c r="P14" s="41">
        <v>0.36</v>
      </c>
      <c r="Q14" s="41">
        <v>28</v>
      </c>
      <c r="R14" s="38"/>
      <c r="S14" s="38"/>
      <c r="T14" s="38"/>
      <c r="U14" s="38"/>
    </row>
    <row r="15" spans="1:21" customFormat="1">
      <c r="A15" s="40" t="s">
        <v>90</v>
      </c>
      <c r="B15" s="41">
        <v>6.05</v>
      </c>
      <c r="C15" s="41">
        <v>7.94</v>
      </c>
      <c r="D15" s="41">
        <v>3.43</v>
      </c>
      <c r="E15" s="41">
        <v>7.07</v>
      </c>
      <c r="F15" s="41">
        <v>2.12</v>
      </c>
      <c r="G15" s="41">
        <v>45.28</v>
      </c>
      <c r="H15" s="41">
        <v>19.7</v>
      </c>
      <c r="I15" s="41">
        <v>5.18</v>
      </c>
      <c r="J15" s="41">
        <v>0.51</v>
      </c>
      <c r="K15" s="41">
        <v>252.58</v>
      </c>
      <c r="L15" s="41">
        <v>27</v>
      </c>
      <c r="M15" s="41">
        <v>75.930000000000007</v>
      </c>
      <c r="N15" s="41">
        <v>75.8</v>
      </c>
      <c r="O15" s="41">
        <v>0</v>
      </c>
      <c r="P15" s="41">
        <v>0.37</v>
      </c>
      <c r="Q15" s="41">
        <v>28</v>
      </c>
      <c r="R15" s="38"/>
      <c r="S15" s="38"/>
      <c r="T15" s="38"/>
      <c r="U15" s="38"/>
    </row>
    <row r="16" spans="1:21" customFormat="1">
      <c r="A16" s="40" t="s">
        <v>91</v>
      </c>
      <c r="B16" s="41">
        <v>6.06</v>
      </c>
      <c r="C16" s="41">
        <v>8.44</v>
      </c>
      <c r="D16" s="41">
        <v>5.19</v>
      </c>
      <c r="E16" s="41">
        <v>7.22</v>
      </c>
      <c r="F16" s="41">
        <v>2.4</v>
      </c>
      <c r="G16" s="41">
        <v>45.38</v>
      </c>
      <c r="H16" s="41">
        <v>17.98</v>
      </c>
      <c r="I16" s="41">
        <v>5.17</v>
      </c>
      <c r="J16" s="41">
        <v>0.73</v>
      </c>
      <c r="K16" s="41">
        <v>251.64</v>
      </c>
      <c r="L16" s="41">
        <v>29.91</v>
      </c>
      <c r="M16" s="41">
        <v>64.989999999999995</v>
      </c>
      <c r="N16" s="41">
        <v>112.1</v>
      </c>
      <c r="O16" s="41">
        <v>0</v>
      </c>
      <c r="P16" s="41">
        <v>0.35</v>
      </c>
      <c r="Q16" s="41">
        <v>28</v>
      </c>
      <c r="R16" s="38"/>
      <c r="S16" s="38"/>
      <c r="T16" s="38"/>
      <c r="U16" s="38"/>
    </row>
    <row r="17" spans="1:21" customFormat="1">
      <c r="A17" s="40" t="s">
        <v>92</v>
      </c>
      <c r="B17" s="41">
        <v>4.67</v>
      </c>
      <c r="C17" s="41">
        <v>7.89</v>
      </c>
      <c r="D17" s="41">
        <v>5.35</v>
      </c>
      <c r="E17" s="41">
        <v>6.99</v>
      </c>
      <c r="F17" s="41">
        <v>3.34</v>
      </c>
      <c r="G17" s="41">
        <v>40.78</v>
      </c>
      <c r="H17" s="41">
        <v>20.99</v>
      </c>
      <c r="I17" s="41">
        <v>5.24</v>
      </c>
      <c r="J17" s="41">
        <v>1.1000000000000001</v>
      </c>
      <c r="K17" s="41">
        <v>255.31</v>
      </c>
      <c r="L17" s="41">
        <v>31.7</v>
      </c>
      <c r="M17" s="41">
        <v>60.24</v>
      </c>
      <c r="N17" s="41">
        <v>139.5</v>
      </c>
      <c r="O17" s="41">
        <v>0</v>
      </c>
      <c r="P17" s="41">
        <v>0.32</v>
      </c>
      <c r="Q17" s="41">
        <v>28</v>
      </c>
      <c r="R17" s="38"/>
      <c r="S17" s="38"/>
      <c r="T17" s="38"/>
      <c r="U17" s="38"/>
    </row>
    <row r="18" spans="1:21" customFormat="1">
      <c r="A18" s="40" t="s">
        <v>93</v>
      </c>
      <c r="B18" s="41">
        <v>3.9</v>
      </c>
      <c r="C18" s="41">
        <v>7.11</v>
      </c>
      <c r="D18" s="41">
        <v>5.03</v>
      </c>
      <c r="E18" s="41">
        <v>7.34</v>
      </c>
      <c r="F18" s="41">
        <v>3.86</v>
      </c>
      <c r="G18" s="41">
        <v>43.56</v>
      </c>
      <c r="H18" s="41">
        <v>20.99</v>
      </c>
      <c r="I18" s="41">
        <v>5.04</v>
      </c>
      <c r="J18" s="41">
        <v>1.08</v>
      </c>
      <c r="K18" s="41">
        <v>265.75</v>
      </c>
      <c r="L18" s="41">
        <v>33.729999999999997</v>
      </c>
      <c r="M18" s="41">
        <v>55.05</v>
      </c>
      <c r="N18" s="41">
        <v>181</v>
      </c>
      <c r="O18" s="41">
        <v>0</v>
      </c>
      <c r="P18" s="41">
        <v>0.31</v>
      </c>
      <c r="Q18" s="41">
        <v>28</v>
      </c>
      <c r="R18" s="38"/>
      <c r="S18" s="38"/>
      <c r="T18" s="38"/>
      <c r="U18" s="38"/>
    </row>
    <row r="19" spans="1:21" customFormat="1">
      <c r="A19" s="40" t="s">
        <v>94</v>
      </c>
      <c r="B19" s="41">
        <v>3.72</v>
      </c>
      <c r="C19" s="41">
        <v>6.76</v>
      </c>
      <c r="D19" s="41">
        <v>4.6500000000000004</v>
      </c>
      <c r="E19" s="41">
        <v>8.93</v>
      </c>
      <c r="F19" s="41">
        <v>5.22</v>
      </c>
      <c r="G19" s="41">
        <v>43.89</v>
      </c>
      <c r="H19" s="41">
        <v>19.690000000000001</v>
      </c>
      <c r="I19" s="41">
        <v>4.7699999999999996</v>
      </c>
      <c r="J19" s="41">
        <v>1.2</v>
      </c>
      <c r="K19" s="41">
        <v>263.69</v>
      </c>
      <c r="L19" s="41">
        <v>34.83</v>
      </c>
      <c r="M19" s="41">
        <v>49.85</v>
      </c>
      <c r="N19" s="41">
        <v>310.2</v>
      </c>
      <c r="O19" s="41">
        <v>0</v>
      </c>
      <c r="P19" s="41">
        <v>0.3</v>
      </c>
      <c r="Q19" s="41">
        <v>28</v>
      </c>
      <c r="R19" s="38"/>
      <c r="S19" s="38"/>
      <c r="T19" s="38"/>
      <c r="U19" s="38"/>
    </row>
    <row r="20" spans="1:21" customFormat="1">
      <c r="A20" s="40" t="s">
        <v>95</v>
      </c>
      <c r="B20" s="41">
        <v>3.66</v>
      </c>
      <c r="C20" s="41">
        <v>6.53</v>
      </c>
      <c r="D20" s="41">
        <v>4.32</v>
      </c>
      <c r="E20" s="41">
        <v>8.7899999999999991</v>
      </c>
      <c r="F20" s="41">
        <v>5.68</v>
      </c>
      <c r="G20" s="41">
        <v>41.27</v>
      </c>
      <c r="H20" s="41">
        <v>19.45</v>
      </c>
      <c r="I20" s="41">
        <v>4.59</v>
      </c>
      <c r="J20" s="41">
        <v>1.1499999999999999</v>
      </c>
      <c r="K20" s="41">
        <v>264.10000000000002</v>
      </c>
      <c r="L20" s="41">
        <v>36.29</v>
      </c>
      <c r="M20" s="41">
        <v>47.91</v>
      </c>
      <c r="N20" s="41">
        <v>573</v>
      </c>
      <c r="O20" s="41">
        <v>0</v>
      </c>
      <c r="P20" s="41">
        <v>0.28000000000000003</v>
      </c>
      <c r="Q20" s="41">
        <v>28</v>
      </c>
      <c r="R20" s="38"/>
      <c r="S20" s="38"/>
      <c r="T20" s="38"/>
      <c r="U20" s="38"/>
    </row>
    <row r="21" spans="1:21" customFormat="1">
      <c r="A21" s="40" t="s">
        <v>96</v>
      </c>
      <c r="B21" s="41">
        <v>3.79</v>
      </c>
      <c r="C21" s="41">
        <v>6.32</v>
      </c>
      <c r="D21" s="41">
        <v>3.89</v>
      </c>
      <c r="E21" s="41">
        <v>9.06</v>
      </c>
      <c r="F21" s="41">
        <v>8.75</v>
      </c>
      <c r="G21" s="41">
        <v>35.369999999999997</v>
      </c>
      <c r="H21" s="41">
        <v>15.46</v>
      </c>
      <c r="I21" s="41">
        <v>4.4400000000000004</v>
      </c>
      <c r="J21" s="41">
        <v>1.17</v>
      </c>
      <c r="K21" s="41">
        <v>265.14999999999998</v>
      </c>
      <c r="L21" s="41">
        <v>36.83</v>
      </c>
      <c r="M21" s="41">
        <v>40.53</v>
      </c>
      <c r="N21" s="41">
        <v>887.5</v>
      </c>
      <c r="O21" s="41">
        <v>0</v>
      </c>
      <c r="P21" s="41">
        <v>0.33</v>
      </c>
      <c r="Q21" s="41">
        <v>28</v>
      </c>
      <c r="R21" s="38"/>
      <c r="S21" s="38"/>
      <c r="T21" s="38"/>
      <c r="U21" s="38"/>
    </row>
    <row r="22" spans="1:21" customFormat="1">
      <c r="A22" s="40" t="s">
        <v>97</v>
      </c>
      <c r="B22" s="41">
        <v>3.86</v>
      </c>
      <c r="C22" s="41">
        <v>6.19</v>
      </c>
      <c r="D22" s="41">
        <v>3.4</v>
      </c>
      <c r="E22" s="41">
        <v>8.34</v>
      </c>
      <c r="F22" s="41">
        <v>10.07</v>
      </c>
      <c r="G22" s="41">
        <v>31.96</v>
      </c>
      <c r="H22" s="41">
        <v>17.03</v>
      </c>
      <c r="I22" s="41">
        <v>4.37</v>
      </c>
      <c r="J22" s="41">
        <v>1.07</v>
      </c>
      <c r="K22" s="41">
        <v>251.25</v>
      </c>
      <c r="L22" s="41">
        <v>37.42</v>
      </c>
      <c r="M22" s="41">
        <v>39.549999999999997</v>
      </c>
      <c r="N22" s="41">
        <v>815.6</v>
      </c>
      <c r="O22" s="41">
        <v>0</v>
      </c>
      <c r="P22" s="41">
        <v>0.33</v>
      </c>
      <c r="Q22" s="41">
        <v>28</v>
      </c>
      <c r="R22" s="38"/>
      <c r="S22" s="38"/>
      <c r="T22" s="38"/>
      <c r="U22" s="38"/>
    </row>
    <row r="23" spans="1:21" customFormat="1">
      <c r="A23" s="40" t="s">
        <v>98</v>
      </c>
      <c r="B23" s="41">
        <v>3.82</v>
      </c>
      <c r="C23" s="41">
        <v>6.05</v>
      </c>
      <c r="D23" s="41">
        <v>3.14</v>
      </c>
      <c r="E23" s="41">
        <v>7.92</v>
      </c>
      <c r="F23" s="41">
        <v>9.44</v>
      </c>
      <c r="G23" s="41">
        <v>34.130000000000003</v>
      </c>
      <c r="H23" s="41">
        <v>17.350000000000001</v>
      </c>
      <c r="I23" s="41">
        <v>4.41</v>
      </c>
      <c r="J23" s="41">
        <v>1.1100000000000001</v>
      </c>
      <c r="K23" s="41">
        <v>260.64</v>
      </c>
      <c r="L23" s="41">
        <v>36.96</v>
      </c>
      <c r="M23" s="41">
        <v>41.5</v>
      </c>
      <c r="N23" s="41">
        <v>546.29999999999995</v>
      </c>
      <c r="O23" s="41">
        <v>0</v>
      </c>
      <c r="P23" s="41">
        <v>0.33</v>
      </c>
      <c r="Q23" s="41">
        <v>28</v>
      </c>
      <c r="R23" s="38"/>
      <c r="S23" s="38"/>
      <c r="T23" s="38"/>
      <c r="U23" s="38"/>
    </row>
    <row r="24" spans="1:21" customFormat="1">
      <c r="A24" s="40" t="s">
        <v>99</v>
      </c>
      <c r="B24" s="41">
        <v>3.77</v>
      </c>
      <c r="C24" s="41">
        <v>6.04</v>
      </c>
      <c r="D24" s="41">
        <v>3.18</v>
      </c>
      <c r="E24" s="41">
        <v>7.67</v>
      </c>
      <c r="F24" s="41">
        <v>8.44</v>
      </c>
      <c r="G24" s="41">
        <v>34.64</v>
      </c>
      <c r="H24" s="41">
        <v>17.350000000000001</v>
      </c>
      <c r="I24" s="41">
        <v>4.5</v>
      </c>
      <c r="J24" s="41">
        <v>1.08</v>
      </c>
      <c r="K24" s="41">
        <v>261.45999999999998</v>
      </c>
      <c r="L24" s="41">
        <v>36.93</v>
      </c>
      <c r="M24" s="41">
        <v>39.75</v>
      </c>
      <c r="N24" s="41">
        <v>613.29999999999995</v>
      </c>
      <c r="O24" s="41">
        <v>0</v>
      </c>
      <c r="P24" s="41">
        <v>0.33</v>
      </c>
      <c r="Q24" s="41">
        <v>28</v>
      </c>
      <c r="R24" s="38"/>
      <c r="S24" s="38"/>
      <c r="T24" s="38"/>
      <c r="U24" s="38"/>
    </row>
    <row r="25" spans="1:21" customFormat="1">
      <c r="A25" s="40" t="s">
        <v>100</v>
      </c>
      <c r="B25" s="41">
        <v>3.73</v>
      </c>
      <c r="C25" s="41">
        <v>6.03</v>
      </c>
      <c r="D25" s="41">
        <v>3.24</v>
      </c>
      <c r="E25" s="41">
        <v>7.53</v>
      </c>
      <c r="F25" s="41">
        <v>10.91</v>
      </c>
      <c r="G25" s="41">
        <v>29</v>
      </c>
      <c r="H25" s="41">
        <v>17.899999999999999</v>
      </c>
      <c r="I25" s="41">
        <v>4.4400000000000004</v>
      </c>
      <c r="J25" s="41">
        <v>1.04</v>
      </c>
      <c r="K25" s="41">
        <v>253.75</v>
      </c>
      <c r="L25" s="41">
        <v>36.35</v>
      </c>
      <c r="M25" s="41">
        <v>41.32</v>
      </c>
      <c r="N25" s="41">
        <v>174.4</v>
      </c>
      <c r="O25" s="41">
        <v>0</v>
      </c>
      <c r="P25" s="41">
        <v>0.31</v>
      </c>
      <c r="Q25" s="41">
        <v>28</v>
      </c>
      <c r="R25" s="38"/>
      <c r="S25" s="38"/>
      <c r="T25" s="38"/>
      <c r="U25" s="38"/>
    </row>
    <row r="26" spans="1:21" customFormat="1">
      <c r="A26" s="40" t="s">
        <v>101</v>
      </c>
      <c r="B26" s="41">
        <v>3.72</v>
      </c>
      <c r="C26" s="41">
        <v>6.75</v>
      </c>
      <c r="D26" s="41">
        <v>4.79</v>
      </c>
      <c r="E26" s="41">
        <v>7.82</v>
      </c>
      <c r="F26" s="41">
        <v>8.75</v>
      </c>
      <c r="G26" s="41">
        <v>28.15</v>
      </c>
      <c r="H26" s="41">
        <v>17.899999999999999</v>
      </c>
      <c r="I26" s="41">
        <v>4.3499999999999996</v>
      </c>
      <c r="J26" s="41">
        <v>0.85</v>
      </c>
      <c r="K26" s="41">
        <v>249.15</v>
      </c>
      <c r="L26" s="41">
        <v>35.619999999999997</v>
      </c>
      <c r="M26" s="41">
        <v>45.03</v>
      </c>
      <c r="N26" s="41">
        <v>137.5</v>
      </c>
      <c r="O26" s="41">
        <v>0</v>
      </c>
      <c r="P26" s="41">
        <v>0.26</v>
      </c>
      <c r="Q26" s="41">
        <v>28</v>
      </c>
      <c r="R26" s="38"/>
      <c r="S26" s="38"/>
      <c r="T26" s="38"/>
      <c r="U26" s="38"/>
    </row>
    <row r="27" spans="1:21" customFormat="1">
      <c r="A27" s="40" t="s">
        <v>102</v>
      </c>
      <c r="B27" s="41">
        <v>3.62</v>
      </c>
      <c r="C27" s="41">
        <v>6.89</v>
      </c>
      <c r="D27" s="41">
        <v>5.05</v>
      </c>
      <c r="E27" s="41">
        <v>7.97</v>
      </c>
      <c r="F27" s="41">
        <v>8.82</v>
      </c>
      <c r="G27" s="41">
        <v>30.76</v>
      </c>
      <c r="H27" s="41">
        <v>15.67</v>
      </c>
      <c r="I27" s="41">
        <v>4.07</v>
      </c>
      <c r="J27" s="41">
        <v>0.86</v>
      </c>
      <c r="K27" s="41">
        <v>251.65</v>
      </c>
      <c r="L27" s="41">
        <v>34.1</v>
      </c>
      <c r="M27" s="41">
        <v>46.45</v>
      </c>
      <c r="N27" s="41">
        <v>26.6</v>
      </c>
      <c r="O27" s="41">
        <v>0</v>
      </c>
      <c r="P27" s="41">
        <v>0.25</v>
      </c>
      <c r="Q27" s="41">
        <v>28</v>
      </c>
      <c r="R27" s="38"/>
      <c r="S27" s="38"/>
      <c r="T27" s="38"/>
      <c r="U27" s="38"/>
    </row>
    <row r="28" spans="1:21" customFormat="1">
      <c r="A28" s="40" t="s">
        <v>103</v>
      </c>
      <c r="B28" s="41">
        <v>3.65</v>
      </c>
      <c r="C28" s="41">
        <v>6.89</v>
      </c>
      <c r="D28" s="41">
        <v>5</v>
      </c>
      <c r="E28" s="41">
        <v>7.84</v>
      </c>
      <c r="F28" s="41">
        <v>8.27</v>
      </c>
      <c r="G28" s="41">
        <v>35.46</v>
      </c>
      <c r="H28" s="41">
        <v>19.14</v>
      </c>
      <c r="I28" s="41">
        <v>3.99</v>
      </c>
      <c r="J28" s="41">
        <v>0.65</v>
      </c>
      <c r="K28" s="41">
        <v>250.91</v>
      </c>
      <c r="L28" s="41">
        <v>33.21</v>
      </c>
      <c r="M28" s="41">
        <v>49.19</v>
      </c>
      <c r="N28" s="41">
        <v>2.1</v>
      </c>
      <c r="O28" s="41">
        <v>0</v>
      </c>
      <c r="P28" s="41">
        <v>0.28000000000000003</v>
      </c>
      <c r="Q28" s="41">
        <v>28</v>
      </c>
      <c r="R28" s="38"/>
      <c r="S28" s="38"/>
      <c r="T28" s="38"/>
      <c r="U28" s="38"/>
    </row>
    <row r="29" spans="1:21" customFormat="1">
      <c r="A29" s="40" t="s">
        <v>104</v>
      </c>
      <c r="B29" s="41">
        <v>3.73</v>
      </c>
      <c r="C29" s="41">
        <v>7</v>
      </c>
      <c r="D29" s="41">
        <v>5.07</v>
      </c>
      <c r="E29" s="41">
        <v>8.24</v>
      </c>
      <c r="F29" s="41">
        <v>6.19</v>
      </c>
      <c r="G29" s="41">
        <v>36</v>
      </c>
      <c r="H29" s="41">
        <v>22.28</v>
      </c>
      <c r="I29" s="41">
        <v>4.13</v>
      </c>
      <c r="J29" s="41">
        <v>0.55000000000000004</v>
      </c>
      <c r="K29" s="41">
        <v>247.03</v>
      </c>
      <c r="L29" s="41">
        <v>32.28</v>
      </c>
      <c r="M29" s="41">
        <v>54.32</v>
      </c>
      <c r="N29" s="41">
        <v>2</v>
      </c>
      <c r="O29" s="41">
        <v>0</v>
      </c>
      <c r="P29" s="41">
        <v>0.3</v>
      </c>
      <c r="Q29" s="41">
        <v>28</v>
      </c>
      <c r="R29" s="38"/>
      <c r="S29" s="38"/>
      <c r="T29" s="38"/>
      <c r="U29" s="38"/>
    </row>
    <row r="30" spans="1:21" customFormat="1">
      <c r="A30" s="40" t="s">
        <v>105</v>
      </c>
      <c r="B30" s="41">
        <v>3.88</v>
      </c>
      <c r="C30" s="41">
        <v>7.09</v>
      </c>
      <c r="D30" s="41">
        <v>5.0199999999999996</v>
      </c>
      <c r="E30" s="41">
        <v>8.86</v>
      </c>
      <c r="F30" s="41">
        <v>3.89</v>
      </c>
      <c r="G30" s="41">
        <v>39.49</v>
      </c>
      <c r="H30" s="41">
        <v>22.28</v>
      </c>
      <c r="I30" s="41">
        <v>4.1900000000000004</v>
      </c>
      <c r="J30" s="41">
        <v>0.48</v>
      </c>
      <c r="K30" s="41">
        <v>244.51</v>
      </c>
      <c r="L30" s="41">
        <v>31.39</v>
      </c>
      <c r="M30" s="41">
        <v>57.89</v>
      </c>
      <c r="N30" s="41">
        <v>2</v>
      </c>
      <c r="O30" s="41">
        <v>0</v>
      </c>
      <c r="P30" s="41">
        <v>0.32</v>
      </c>
      <c r="Q30" s="41">
        <v>28</v>
      </c>
      <c r="R30" s="38"/>
      <c r="S30" s="38"/>
      <c r="T30" s="38"/>
      <c r="U30" s="38"/>
    </row>
    <row r="31" spans="1:21" customFormat="1">
      <c r="A31" s="40" t="s">
        <v>106</v>
      </c>
      <c r="B31" s="41">
        <v>4.04</v>
      </c>
      <c r="C31" s="41">
        <v>6.89</v>
      </c>
      <c r="D31" s="41">
        <v>4.5999999999999996</v>
      </c>
      <c r="E31" s="41">
        <v>8.2200000000000006</v>
      </c>
      <c r="F31" s="41">
        <v>12.74</v>
      </c>
      <c r="G31" s="41">
        <v>40</v>
      </c>
      <c r="H31" s="41">
        <v>21.34</v>
      </c>
      <c r="I31" s="41">
        <v>4.5</v>
      </c>
      <c r="J31" s="41">
        <v>0.25</v>
      </c>
      <c r="K31" s="41">
        <v>230.3</v>
      </c>
      <c r="L31" s="41">
        <v>30.03</v>
      </c>
      <c r="M31" s="41">
        <v>63.11</v>
      </c>
      <c r="N31" s="41">
        <v>2</v>
      </c>
      <c r="O31" s="41">
        <v>0</v>
      </c>
      <c r="P31" s="41">
        <v>0.34</v>
      </c>
      <c r="Q31" s="41">
        <v>28</v>
      </c>
      <c r="R31" s="38"/>
      <c r="S31" s="38"/>
      <c r="T31" s="38"/>
      <c r="U31" s="38"/>
    </row>
    <row r="32" spans="1:21" customFormat="1">
      <c r="A32" s="40" t="s">
        <v>107</v>
      </c>
      <c r="B32" s="41">
        <v>4.34</v>
      </c>
      <c r="C32" s="41">
        <v>6.79</v>
      </c>
      <c r="D32" s="41">
        <v>4.05</v>
      </c>
      <c r="E32" s="41">
        <v>7.92</v>
      </c>
      <c r="F32" s="41">
        <v>10.29</v>
      </c>
      <c r="G32" s="41">
        <v>33.28</v>
      </c>
      <c r="H32" s="41">
        <v>20.49</v>
      </c>
      <c r="I32" s="41">
        <v>4.4400000000000004</v>
      </c>
      <c r="J32" s="41">
        <v>0.24</v>
      </c>
      <c r="K32" s="41">
        <v>231.07</v>
      </c>
      <c r="L32" s="41">
        <v>29.09</v>
      </c>
      <c r="M32" s="41">
        <v>64.180000000000007</v>
      </c>
      <c r="N32" s="41">
        <v>1.7</v>
      </c>
      <c r="O32" s="41">
        <v>0</v>
      </c>
      <c r="P32" s="41">
        <v>0.35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3.62</v>
      </c>
      <c r="C34" s="18">
        <f t="shared" si="0"/>
        <v>6.03</v>
      </c>
      <c r="D34" s="18">
        <f t="shared" si="0"/>
        <v>3.14</v>
      </c>
      <c r="E34" s="18">
        <f t="shared" si="0"/>
        <v>6.99</v>
      </c>
      <c r="F34" s="18">
        <f t="shared" si="0"/>
        <v>2.12</v>
      </c>
      <c r="G34" s="18">
        <f t="shared" si="0"/>
        <v>28.15</v>
      </c>
      <c r="H34" s="18">
        <f t="shared" si="0"/>
        <v>15.46</v>
      </c>
      <c r="I34" s="18">
        <f t="shared" si="0"/>
        <v>3.99</v>
      </c>
      <c r="J34" s="18">
        <f t="shared" si="0"/>
        <v>0.19</v>
      </c>
      <c r="K34" s="18">
        <f t="shared" si="0"/>
        <v>210.07</v>
      </c>
      <c r="L34" s="18">
        <f t="shared" si="0"/>
        <v>25.52</v>
      </c>
      <c r="M34" s="18">
        <f t="shared" si="0"/>
        <v>39.549999999999997</v>
      </c>
      <c r="N34" s="18">
        <f t="shared" si="0"/>
        <v>1.4</v>
      </c>
      <c r="O34" s="18">
        <f t="shared" si="0"/>
        <v>0</v>
      </c>
      <c r="P34" s="18">
        <f t="shared" si="0"/>
        <v>0.25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6.06</v>
      </c>
      <c r="C35" s="3">
        <f t="shared" si="1"/>
        <v>8.44</v>
      </c>
      <c r="D35" s="3">
        <f t="shared" si="1"/>
        <v>5.35</v>
      </c>
      <c r="E35" s="3">
        <f t="shared" si="1"/>
        <v>9.49</v>
      </c>
      <c r="F35" s="3">
        <f t="shared" si="1"/>
        <v>12.74</v>
      </c>
      <c r="G35" s="3">
        <f t="shared" si="1"/>
        <v>61.71</v>
      </c>
      <c r="H35" s="3">
        <f t="shared" si="1"/>
        <v>23.5</v>
      </c>
      <c r="I35" s="3">
        <f t="shared" si="1"/>
        <v>5.24</v>
      </c>
      <c r="J35" s="3">
        <f t="shared" si="1"/>
        <v>1.2</v>
      </c>
      <c r="K35" s="3">
        <f t="shared" si="1"/>
        <v>265.75</v>
      </c>
      <c r="L35" s="3">
        <f t="shared" si="1"/>
        <v>37.42</v>
      </c>
      <c r="M35" s="3">
        <f t="shared" si="1"/>
        <v>75.930000000000007</v>
      </c>
      <c r="N35" s="3">
        <f t="shared" si="1"/>
        <v>887.5</v>
      </c>
      <c r="O35" s="3">
        <f t="shared" si="1"/>
        <v>0</v>
      </c>
      <c r="P35" s="3">
        <f t="shared" si="1"/>
        <v>0.37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4.2708333333333339</v>
      </c>
      <c r="C36" s="18">
        <f t="shared" si="2"/>
        <v>6.9712499999999977</v>
      </c>
      <c r="D36" s="18">
        <f t="shared" si="2"/>
        <v>4.3324999999999996</v>
      </c>
      <c r="E36" s="18">
        <f t="shared" si="2"/>
        <v>8.0112499999999986</v>
      </c>
      <c r="F36" s="18">
        <f t="shared" si="2"/>
        <v>6.2520833333333323</v>
      </c>
      <c r="G36" s="18">
        <f t="shared" si="2"/>
        <v>41.4925</v>
      </c>
      <c r="H36" s="18">
        <f t="shared" si="2"/>
        <v>19.93333333333333</v>
      </c>
      <c r="I36" s="18">
        <f t="shared" si="2"/>
        <v>4.6499999999999995</v>
      </c>
      <c r="J36" s="18">
        <f t="shared" si="2"/>
        <v>0.71666666666666667</v>
      </c>
      <c r="K36" s="18">
        <f t="shared" si="2"/>
        <v>249.10999999999999</v>
      </c>
      <c r="L36" s="18">
        <f t="shared" si="2"/>
        <v>31.889583333333334</v>
      </c>
      <c r="M36" s="18">
        <f t="shared" si="2"/>
        <v>56.184583333333329</v>
      </c>
      <c r="N36" s="18">
        <f t="shared" si="2"/>
        <v>193.23333333333335</v>
      </c>
      <c r="O36" s="18">
        <f t="shared" si="2"/>
        <v>0</v>
      </c>
      <c r="P36" s="18">
        <f t="shared" si="2"/>
        <v>0.32333333333333331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0.75457973714521187</v>
      </c>
      <c r="C37" s="18">
        <f t="shared" ref="C37:Q37" si="3">STDEV(C9:C32)</f>
        <v>0.61418247182384833</v>
      </c>
      <c r="D37" s="18">
        <f t="shared" si="3"/>
        <v>0.78725858963654582</v>
      </c>
      <c r="E37" s="18">
        <f t="shared" si="3"/>
        <v>0.7381193051910051</v>
      </c>
      <c r="F37" s="18">
        <f t="shared" si="3"/>
        <v>3.2101442188470473</v>
      </c>
      <c r="G37" s="18">
        <f t="shared" si="3"/>
        <v>9.3986961399140529</v>
      </c>
      <c r="H37" s="18">
        <f t="shared" si="3"/>
        <v>2.4290733009626226</v>
      </c>
      <c r="I37" s="18">
        <f t="shared" si="3"/>
        <v>0.38138192656842484</v>
      </c>
      <c r="J37" s="18">
        <f t="shared" si="3"/>
        <v>0.35769390201152701</v>
      </c>
      <c r="K37" s="18">
        <f t="shared" si="3"/>
        <v>13.19787268760617</v>
      </c>
      <c r="L37" s="18">
        <f t="shared" si="3"/>
        <v>4.003697724730765</v>
      </c>
      <c r="M37" s="18">
        <f t="shared" si="3"/>
        <v>11.827539704901245</v>
      </c>
      <c r="N37" s="18">
        <f t="shared" si="3"/>
        <v>277.96959431261331</v>
      </c>
      <c r="O37" s="18">
        <f t="shared" si="3"/>
        <v>0</v>
      </c>
      <c r="P37" s="18">
        <f t="shared" si="3"/>
        <v>3.2122952198871978E-2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108</v>
      </c>
      <c r="B9" s="41">
        <v>4.58</v>
      </c>
      <c r="C9" s="41">
        <v>6.77</v>
      </c>
      <c r="D9" s="41">
        <v>3.48</v>
      </c>
      <c r="E9" s="41">
        <v>8.2100000000000009</v>
      </c>
      <c r="F9" s="41">
        <v>7.5</v>
      </c>
      <c r="G9" s="41">
        <v>30.13</v>
      </c>
      <c r="H9" s="41">
        <v>17.34</v>
      </c>
      <c r="I9" s="41">
        <v>4.5999999999999996</v>
      </c>
      <c r="J9" s="41">
        <v>0.27</v>
      </c>
      <c r="K9" s="41">
        <v>236</v>
      </c>
      <c r="L9" s="41">
        <v>28.64</v>
      </c>
      <c r="M9" s="41">
        <v>64.39</v>
      </c>
      <c r="N9" s="41">
        <v>1.8</v>
      </c>
      <c r="O9" s="41">
        <v>0</v>
      </c>
      <c r="P9" s="41">
        <v>0.35</v>
      </c>
      <c r="Q9" s="41">
        <v>28</v>
      </c>
      <c r="R9" s="38"/>
      <c r="S9" s="38"/>
      <c r="T9" s="38"/>
      <c r="U9" s="38"/>
    </row>
    <row r="10" spans="1:21" customFormat="1">
      <c r="A10" s="40" t="s">
        <v>109</v>
      </c>
      <c r="B10" s="41">
        <v>4.79</v>
      </c>
      <c r="C10" s="41">
        <v>6.94</v>
      </c>
      <c r="D10" s="41">
        <v>3.59</v>
      </c>
      <c r="E10" s="41">
        <v>7.8</v>
      </c>
      <c r="F10" s="41">
        <v>7.54</v>
      </c>
      <c r="G10" s="41">
        <v>26.6</v>
      </c>
      <c r="H10" s="41">
        <v>15.32</v>
      </c>
      <c r="I10" s="41">
        <v>4.63</v>
      </c>
      <c r="J10" s="41">
        <v>0.2</v>
      </c>
      <c r="K10" s="41">
        <v>234.22</v>
      </c>
      <c r="L10" s="41">
        <v>28.31</v>
      </c>
      <c r="M10" s="41">
        <v>69.92</v>
      </c>
      <c r="N10" s="41">
        <v>1.8</v>
      </c>
      <c r="O10" s="41">
        <v>0</v>
      </c>
      <c r="P10" s="41">
        <v>0.35</v>
      </c>
      <c r="Q10" s="41">
        <v>28</v>
      </c>
      <c r="R10" s="38"/>
      <c r="S10" s="38"/>
      <c r="T10" s="38"/>
      <c r="U10" s="38"/>
    </row>
    <row r="11" spans="1:21" customFormat="1">
      <c r="A11" s="40" t="s">
        <v>110</v>
      </c>
      <c r="B11" s="41">
        <v>5.29</v>
      </c>
      <c r="C11" s="41">
        <v>7.74</v>
      </c>
      <c r="D11" s="41">
        <v>4.1100000000000003</v>
      </c>
      <c r="E11" s="41">
        <v>8.9600000000000009</v>
      </c>
      <c r="F11" s="41">
        <v>4.21</v>
      </c>
      <c r="G11" s="41">
        <v>26.66</v>
      </c>
      <c r="H11" s="41">
        <v>15.32</v>
      </c>
      <c r="I11" s="41">
        <v>4.7300000000000004</v>
      </c>
      <c r="J11" s="41">
        <v>0.15</v>
      </c>
      <c r="K11" s="41">
        <v>185.93</v>
      </c>
      <c r="L11" s="41">
        <v>27.42</v>
      </c>
      <c r="M11" s="41">
        <v>73.23</v>
      </c>
      <c r="N11" s="41">
        <v>1.8</v>
      </c>
      <c r="O11" s="41">
        <v>0</v>
      </c>
      <c r="P11" s="41">
        <v>0.34</v>
      </c>
      <c r="Q11" s="41">
        <v>28</v>
      </c>
      <c r="R11" s="38"/>
      <c r="S11" s="38"/>
      <c r="T11" s="38"/>
      <c r="U11" s="38"/>
    </row>
    <row r="12" spans="1:21" customFormat="1">
      <c r="A12" s="40" t="s">
        <v>111</v>
      </c>
      <c r="B12" s="41">
        <v>5.38</v>
      </c>
      <c r="C12" s="41">
        <v>8.2100000000000009</v>
      </c>
      <c r="D12" s="41">
        <v>4.87</v>
      </c>
      <c r="E12" s="41">
        <v>9.33</v>
      </c>
      <c r="F12" s="41">
        <v>2.12</v>
      </c>
      <c r="G12" s="41">
        <v>26.57</v>
      </c>
      <c r="H12" s="41">
        <v>14.98</v>
      </c>
      <c r="I12" s="41">
        <v>4.8</v>
      </c>
      <c r="J12" s="41">
        <v>0.14000000000000001</v>
      </c>
      <c r="K12" s="41">
        <v>193.58</v>
      </c>
      <c r="L12" s="41">
        <v>27.31</v>
      </c>
      <c r="M12" s="41">
        <v>75.11</v>
      </c>
      <c r="N12" s="41">
        <v>1.7</v>
      </c>
      <c r="O12" s="41">
        <v>0</v>
      </c>
      <c r="P12" s="41">
        <v>0.31</v>
      </c>
      <c r="Q12" s="41">
        <v>28</v>
      </c>
      <c r="R12" s="38"/>
      <c r="S12" s="38"/>
      <c r="T12" s="38"/>
      <c r="U12" s="38"/>
    </row>
    <row r="13" spans="1:21" customFormat="1">
      <c r="A13" s="40" t="s">
        <v>112</v>
      </c>
      <c r="B13" s="41">
        <v>6.01</v>
      </c>
      <c r="C13" s="41">
        <v>8.9499999999999993</v>
      </c>
      <c r="D13" s="41">
        <v>5.32</v>
      </c>
      <c r="E13" s="41">
        <v>9.56</v>
      </c>
      <c r="F13" s="41">
        <v>2.21</v>
      </c>
      <c r="G13" s="41">
        <v>29.7</v>
      </c>
      <c r="H13" s="41">
        <v>15.25</v>
      </c>
      <c r="I13" s="41">
        <v>4.6500000000000004</v>
      </c>
      <c r="J13" s="41">
        <v>0.27</v>
      </c>
      <c r="K13" s="41">
        <v>195.06</v>
      </c>
      <c r="L13" s="41">
        <v>27.22</v>
      </c>
      <c r="M13" s="41">
        <v>82.69</v>
      </c>
      <c r="N13" s="41">
        <v>2</v>
      </c>
      <c r="O13" s="41">
        <v>0</v>
      </c>
      <c r="P13" s="41">
        <v>0.3</v>
      </c>
      <c r="Q13" s="41">
        <v>28</v>
      </c>
      <c r="R13" s="38"/>
      <c r="S13" s="38"/>
      <c r="T13" s="38"/>
      <c r="U13" s="38"/>
    </row>
    <row r="14" spans="1:21" customFormat="1">
      <c r="A14" s="40" t="s">
        <v>113</v>
      </c>
      <c r="B14" s="41">
        <v>6.13</v>
      </c>
      <c r="C14" s="41">
        <v>8.91</v>
      </c>
      <c r="D14" s="41">
        <v>5.13</v>
      </c>
      <c r="E14" s="41">
        <v>9.73</v>
      </c>
      <c r="F14" s="41">
        <v>2.4900000000000002</v>
      </c>
      <c r="G14" s="41">
        <v>30.07</v>
      </c>
      <c r="H14" s="41">
        <v>15.25</v>
      </c>
      <c r="I14" s="41">
        <v>4.47</v>
      </c>
      <c r="J14" s="41">
        <v>0.22</v>
      </c>
      <c r="K14" s="41">
        <v>188.9</v>
      </c>
      <c r="L14" s="41">
        <v>26.25</v>
      </c>
      <c r="M14" s="41">
        <v>83.03</v>
      </c>
      <c r="N14" s="41">
        <v>23.8</v>
      </c>
      <c r="O14" s="41">
        <v>0</v>
      </c>
      <c r="P14" s="41">
        <v>0.28999999999999998</v>
      </c>
      <c r="Q14" s="41">
        <v>28</v>
      </c>
      <c r="R14" s="38"/>
      <c r="S14" s="38"/>
      <c r="T14" s="38"/>
      <c r="U14" s="38"/>
    </row>
    <row r="15" spans="1:21" customFormat="1">
      <c r="A15" s="40" t="s">
        <v>114</v>
      </c>
      <c r="B15" s="41">
        <v>6.18</v>
      </c>
      <c r="C15" s="41">
        <v>8.7799999999999994</v>
      </c>
      <c r="D15" s="41">
        <v>4.82</v>
      </c>
      <c r="E15" s="41">
        <v>9.7100000000000009</v>
      </c>
      <c r="F15" s="41">
        <v>2.94</v>
      </c>
      <c r="G15" s="41">
        <v>27.99</v>
      </c>
      <c r="H15" s="41">
        <v>11.62</v>
      </c>
      <c r="I15" s="41">
        <v>4.45</v>
      </c>
      <c r="J15" s="41">
        <v>0.28999999999999998</v>
      </c>
      <c r="K15" s="41">
        <v>226.59</v>
      </c>
      <c r="L15" s="41">
        <v>28.37</v>
      </c>
      <c r="M15" s="41">
        <v>82.71</v>
      </c>
      <c r="N15" s="41">
        <v>73.8</v>
      </c>
      <c r="O15" s="41">
        <v>0</v>
      </c>
      <c r="P15" s="41">
        <v>0.3</v>
      </c>
      <c r="Q15" s="41">
        <v>28</v>
      </c>
      <c r="R15" s="38"/>
      <c r="S15" s="38"/>
      <c r="T15" s="38"/>
      <c r="U15" s="38"/>
    </row>
    <row r="16" spans="1:21" customFormat="1">
      <c r="A16" s="40" t="s">
        <v>115</v>
      </c>
      <c r="B16" s="41">
        <v>5.9</v>
      </c>
      <c r="C16" s="41">
        <v>8.6199999999999992</v>
      </c>
      <c r="D16" s="41">
        <v>5</v>
      </c>
      <c r="E16" s="41">
        <v>9.85</v>
      </c>
      <c r="F16" s="41">
        <v>3.2</v>
      </c>
      <c r="G16" s="41">
        <v>28.02</v>
      </c>
      <c r="H16" s="41">
        <v>11.84</v>
      </c>
      <c r="I16" s="41">
        <v>4.6100000000000003</v>
      </c>
      <c r="J16" s="41">
        <v>0.9</v>
      </c>
      <c r="K16" s="41">
        <v>253.16</v>
      </c>
      <c r="L16" s="41">
        <v>30.25</v>
      </c>
      <c r="M16" s="41">
        <v>67.47</v>
      </c>
      <c r="N16" s="41">
        <v>111.5</v>
      </c>
      <c r="O16" s="41">
        <v>0</v>
      </c>
      <c r="P16" s="41">
        <v>0.33</v>
      </c>
      <c r="Q16" s="41">
        <v>28</v>
      </c>
      <c r="R16" s="38"/>
      <c r="S16" s="38"/>
      <c r="T16" s="38"/>
      <c r="U16" s="38"/>
    </row>
    <row r="17" spans="1:21" customFormat="1">
      <c r="A17" s="40" t="s">
        <v>116</v>
      </c>
      <c r="B17" s="41">
        <v>4.8099999999999996</v>
      </c>
      <c r="C17" s="41">
        <v>7.6</v>
      </c>
      <c r="D17" s="41">
        <v>4.59</v>
      </c>
      <c r="E17" s="41">
        <v>9.6199999999999992</v>
      </c>
      <c r="F17" s="41">
        <v>3.93</v>
      </c>
      <c r="G17" s="41">
        <v>29.6</v>
      </c>
      <c r="H17" s="41">
        <v>13.3</v>
      </c>
      <c r="I17" s="41">
        <v>4.6100000000000003</v>
      </c>
      <c r="J17" s="41">
        <v>1.32</v>
      </c>
      <c r="K17" s="41">
        <v>257.52999999999997</v>
      </c>
      <c r="L17" s="41">
        <v>31.93</v>
      </c>
      <c r="M17" s="41">
        <v>62.96</v>
      </c>
      <c r="N17" s="41">
        <v>152.30000000000001</v>
      </c>
      <c r="O17" s="41">
        <v>0</v>
      </c>
      <c r="P17" s="41">
        <v>0.33</v>
      </c>
      <c r="Q17" s="41">
        <v>28</v>
      </c>
      <c r="R17" s="38"/>
      <c r="S17" s="38"/>
      <c r="T17" s="38"/>
      <c r="U17" s="38"/>
    </row>
    <row r="18" spans="1:21" customFormat="1">
      <c r="A18" s="40" t="s">
        <v>117</v>
      </c>
      <c r="B18" s="41">
        <v>4.13</v>
      </c>
      <c r="C18" s="41">
        <v>6.9</v>
      </c>
      <c r="D18" s="41">
        <v>4.2699999999999996</v>
      </c>
      <c r="E18" s="41">
        <v>9.1199999999999992</v>
      </c>
      <c r="F18" s="41">
        <v>6.09</v>
      </c>
      <c r="G18" s="41">
        <v>33.22</v>
      </c>
      <c r="H18" s="41">
        <v>17.7</v>
      </c>
      <c r="I18" s="41">
        <v>4.8099999999999996</v>
      </c>
      <c r="J18" s="41">
        <v>1.18</v>
      </c>
      <c r="K18" s="41">
        <v>262.58999999999997</v>
      </c>
      <c r="L18" s="41">
        <v>33.4</v>
      </c>
      <c r="M18" s="41">
        <v>52.78</v>
      </c>
      <c r="N18" s="41">
        <v>173.1</v>
      </c>
      <c r="O18" s="41">
        <v>0</v>
      </c>
      <c r="P18" s="41">
        <v>0.38</v>
      </c>
      <c r="Q18" s="41">
        <v>28</v>
      </c>
      <c r="R18" s="38"/>
      <c r="S18" s="38"/>
      <c r="T18" s="38"/>
      <c r="U18" s="38"/>
    </row>
    <row r="19" spans="1:21" customFormat="1">
      <c r="A19" s="40" t="s">
        <v>118</v>
      </c>
      <c r="B19" s="41">
        <v>3.9</v>
      </c>
      <c r="C19" s="41">
        <v>6.65</v>
      </c>
      <c r="D19" s="41">
        <v>4.22</v>
      </c>
      <c r="E19" s="41">
        <v>8.3699999999999992</v>
      </c>
      <c r="F19" s="41">
        <v>9.6300000000000008</v>
      </c>
      <c r="G19" s="41">
        <v>44.11</v>
      </c>
      <c r="H19" s="41">
        <v>19.63</v>
      </c>
      <c r="I19" s="41">
        <v>5.28</v>
      </c>
      <c r="J19" s="41">
        <v>1.54</v>
      </c>
      <c r="K19" s="41">
        <v>285.70999999999998</v>
      </c>
      <c r="L19" s="41">
        <v>34.82</v>
      </c>
      <c r="M19" s="41">
        <v>46.44</v>
      </c>
      <c r="N19" s="41">
        <v>191.8</v>
      </c>
      <c r="O19" s="41">
        <v>0</v>
      </c>
      <c r="P19" s="41">
        <v>0.38</v>
      </c>
      <c r="Q19" s="41">
        <v>28</v>
      </c>
      <c r="R19" s="38"/>
      <c r="S19" s="38"/>
      <c r="T19" s="38"/>
      <c r="U19" s="38"/>
    </row>
    <row r="20" spans="1:21" customFormat="1">
      <c r="A20" s="40" t="s">
        <v>119</v>
      </c>
      <c r="B20" s="41">
        <v>4.0199999999999996</v>
      </c>
      <c r="C20" s="41">
        <v>7</v>
      </c>
      <c r="D20" s="41">
        <v>4.6399999999999997</v>
      </c>
      <c r="E20" s="41">
        <v>8.1</v>
      </c>
      <c r="F20" s="41">
        <v>8.89</v>
      </c>
      <c r="G20" s="41">
        <v>47.14</v>
      </c>
      <c r="H20" s="41">
        <v>19.89</v>
      </c>
      <c r="I20" s="41">
        <v>5.31</v>
      </c>
      <c r="J20" s="41">
        <v>1.74</v>
      </c>
      <c r="K20" s="41">
        <v>291.32</v>
      </c>
      <c r="L20" s="41">
        <v>36.049999999999997</v>
      </c>
      <c r="M20" s="41">
        <v>40.44</v>
      </c>
      <c r="N20" s="41">
        <v>519.29999999999995</v>
      </c>
      <c r="O20" s="41">
        <v>0</v>
      </c>
      <c r="P20" s="41">
        <v>0.39</v>
      </c>
      <c r="Q20" s="41">
        <v>28</v>
      </c>
      <c r="R20" s="38"/>
      <c r="S20" s="38"/>
      <c r="T20" s="38"/>
      <c r="U20" s="38"/>
    </row>
    <row r="21" spans="1:21" customFormat="1">
      <c r="A21" s="40" t="s">
        <v>120</v>
      </c>
      <c r="B21" s="41">
        <v>4.16</v>
      </c>
      <c r="C21" s="41">
        <v>7.51</v>
      </c>
      <c r="D21" s="41">
        <v>5.87</v>
      </c>
      <c r="E21" s="41">
        <v>7.71</v>
      </c>
      <c r="F21" s="41">
        <v>8.8699999999999992</v>
      </c>
      <c r="G21" s="41">
        <v>48.85</v>
      </c>
      <c r="H21" s="41">
        <v>19.89</v>
      </c>
      <c r="I21" s="41">
        <v>5.24</v>
      </c>
      <c r="J21" s="41">
        <v>1.4</v>
      </c>
      <c r="K21" s="41">
        <v>295.39</v>
      </c>
      <c r="L21" s="41">
        <v>36.729999999999997</v>
      </c>
      <c r="M21" s="41">
        <v>36.590000000000003</v>
      </c>
      <c r="N21" s="41">
        <v>845.7</v>
      </c>
      <c r="O21" s="41">
        <v>0</v>
      </c>
      <c r="P21" s="41">
        <v>0.39</v>
      </c>
      <c r="Q21" s="41">
        <v>28</v>
      </c>
      <c r="R21" s="38"/>
      <c r="S21" s="38"/>
      <c r="T21" s="38"/>
      <c r="U21" s="38"/>
    </row>
    <row r="22" spans="1:21" customFormat="1">
      <c r="A22" s="40" t="s">
        <v>121</v>
      </c>
      <c r="B22" s="41">
        <v>3.82</v>
      </c>
      <c r="C22" s="41">
        <v>7.5</v>
      </c>
      <c r="D22" s="41">
        <v>6.09</v>
      </c>
      <c r="E22" s="41">
        <v>7.8</v>
      </c>
      <c r="F22" s="41">
        <v>7.22</v>
      </c>
      <c r="G22" s="41">
        <v>49.04</v>
      </c>
      <c r="H22" s="41">
        <v>19.48</v>
      </c>
      <c r="I22" s="41">
        <v>5.37</v>
      </c>
      <c r="J22" s="41">
        <v>1.25</v>
      </c>
      <c r="K22" s="41">
        <v>279.02</v>
      </c>
      <c r="L22" s="41">
        <v>37.33</v>
      </c>
      <c r="M22" s="41">
        <v>35.28</v>
      </c>
      <c r="N22" s="41">
        <v>805.1</v>
      </c>
      <c r="O22" s="41">
        <v>0</v>
      </c>
      <c r="P22" s="41">
        <v>0.32</v>
      </c>
      <c r="Q22" s="41">
        <v>28</v>
      </c>
      <c r="R22" s="38"/>
      <c r="S22" s="38"/>
      <c r="T22" s="38"/>
      <c r="U22" s="38"/>
    </row>
    <row r="23" spans="1:21" customFormat="1">
      <c r="A23" s="40" t="s">
        <v>122</v>
      </c>
      <c r="B23" s="41">
        <v>3.77</v>
      </c>
      <c r="C23" s="41">
        <v>7.69</v>
      </c>
      <c r="D23" s="41">
        <v>6.39</v>
      </c>
      <c r="E23" s="41">
        <v>8.34</v>
      </c>
      <c r="F23" s="41">
        <v>7.64</v>
      </c>
      <c r="G23" s="41">
        <v>50.98</v>
      </c>
      <c r="H23" s="41">
        <v>20.02</v>
      </c>
      <c r="I23" s="41">
        <v>5.13</v>
      </c>
      <c r="J23" s="41">
        <v>1.34</v>
      </c>
      <c r="K23" s="41">
        <v>280.60000000000002</v>
      </c>
      <c r="L23" s="41">
        <v>37.71</v>
      </c>
      <c r="M23" s="41">
        <v>33.78</v>
      </c>
      <c r="N23" s="41">
        <v>523.79999999999995</v>
      </c>
      <c r="O23" s="41">
        <v>0</v>
      </c>
      <c r="P23" s="41">
        <v>0.4</v>
      </c>
      <c r="Q23" s="41">
        <v>28</v>
      </c>
      <c r="R23" s="38"/>
      <c r="S23" s="38"/>
      <c r="T23" s="38"/>
      <c r="U23" s="38"/>
    </row>
    <row r="24" spans="1:21" customFormat="1">
      <c r="A24" s="40" t="s">
        <v>123</v>
      </c>
      <c r="B24" s="41">
        <v>3.67</v>
      </c>
      <c r="C24" s="41">
        <v>7.42</v>
      </c>
      <c r="D24" s="41">
        <v>6.12</v>
      </c>
      <c r="E24" s="41">
        <v>8.4700000000000006</v>
      </c>
      <c r="F24" s="41">
        <v>9.67</v>
      </c>
      <c r="G24" s="41">
        <v>51.76</v>
      </c>
      <c r="H24" s="41">
        <v>21.75</v>
      </c>
      <c r="I24" s="41">
        <v>5.04</v>
      </c>
      <c r="J24" s="41">
        <v>1.06</v>
      </c>
      <c r="K24" s="41">
        <v>270.52999999999997</v>
      </c>
      <c r="L24" s="41">
        <v>37.9</v>
      </c>
      <c r="M24" s="41">
        <v>33.94</v>
      </c>
      <c r="N24" s="41">
        <v>570.9</v>
      </c>
      <c r="O24" s="41">
        <v>0</v>
      </c>
      <c r="P24" s="41">
        <v>0.44</v>
      </c>
      <c r="Q24" s="41">
        <v>28</v>
      </c>
      <c r="R24" s="38"/>
      <c r="S24" s="38"/>
      <c r="T24" s="38"/>
      <c r="U24" s="38"/>
    </row>
    <row r="25" spans="1:21" customFormat="1">
      <c r="A25" s="40" t="s">
        <v>124</v>
      </c>
      <c r="B25" s="41">
        <v>3.56</v>
      </c>
      <c r="C25" s="41">
        <v>7.02</v>
      </c>
      <c r="D25" s="41">
        <v>5.43</v>
      </c>
      <c r="E25" s="41">
        <v>8.3699999999999992</v>
      </c>
      <c r="F25" s="41">
        <v>9.11</v>
      </c>
      <c r="G25" s="41">
        <v>52.22</v>
      </c>
      <c r="H25" s="41">
        <v>23.08</v>
      </c>
      <c r="I25" s="41">
        <v>5.09</v>
      </c>
      <c r="J25" s="41">
        <v>0.82</v>
      </c>
      <c r="K25" s="41">
        <v>254.78</v>
      </c>
      <c r="L25" s="41">
        <v>36.81</v>
      </c>
      <c r="M25" s="41">
        <v>34.08</v>
      </c>
      <c r="N25" s="41">
        <v>161.80000000000001</v>
      </c>
      <c r="O25" s="41">
        <v>0</v>
      </c>
      <c r="P25" s="41">
        <v>0.41</v>
      </c>
      <c r="Q25" s="41">
        <v>28</v>
      </c>
      <c r="R25" s="38"/>
      <c r="S25" s="38"/>
      <c r="T25" s="38"/>
      <c r="U25" s="38"/>
    </row>
    <row r="26" spans="1:21" customFormat="1">
      <c r="A26" s="40" t="s">
        <v>125</v>
      </c>
      <c r="B26" s="41">
        <v>3.64</v>
      </c>
      <c r="C26" s="41">
        <v>6.9</v>
      </c>
      <c r="D26" s="41">
        <v>5.16</v>
      </c>
      <c r="E26" s="41">
        <v>8.56</v>
      </c>
      <c r="F26" s="41">
        <v>15.81</v>
      </c>
      <c r="G26" s="41">
        <v>52.48</v>
      </c>
      <c r="H26" s="41">
        <v>23.08</v>
      </c>
      <c r="I26" s="41">
        <v>4.68</v>
      </c>
      <c r="J26" s="41">
        <v>0.8</v>
      </c>
      <c r="K26" s="41">
        <v>256.10000000000002</v>
      </c>
      <c r="L26" s="41">
        <v>36.21</v>
      </c>
      <c r="M26" s="41">
        <v>35.01</v>
      </c>
      <c r="N26" s="41">
        <v>121</v>
      </c>
      <c r="O26" s="41">
        <v>0</v>
      </c>
      <c r="P26" s="41">
        <v>0.42</v>
      </c>
      <c r="Q26" s="41">
        <v>28</v>
      </c>
      <c r="R26" s="38"/>
      <c r="S26" s="38"/>
      <c r="T26" s="38"/>
      <c r="U26" s="38"/>
    </row>
    <row r="27" spans="1:21" customFormat="1">
      <c r="A27" s="40" t="s">
        <v>126</v>
      </c>
      <c r="B27" s="41">
        <v>3.64</v>
      </c>
      <c r="C27" s="41">
        <v>6.31</v>
      </c>
      <c r="D27" s="41">
        <v>3.9</v>
      </c>
      <c r="E27" s="41">
        <v>7.19</v>
      </c>
      <c r="F27" s="41">
        <v>22.96</v>
      </c>
      <c r="G27" s="41">
        <v>48.88</v>
      </c>
      <c r="H27" s="41">
        <v>19.73</v>
      </c>
      <c r="I27" s="41">
        <v>4.34</v>
      </c>
      <c r="J27" s="41">
        <v>0.61</v>
      </c>
      <c r="K27" s="41">
        <v>248.79</v>
      </c>
      <c r="L27" s="41">
        <v>34.99</v>
      </c>
      <c r="M27" s="41">
        <v>39.22</v>
      </c>
      <c r="N27" s="41">
        <v>28.3</v>
      </c>
      <c r="O27" s="41">
        <v>0</v>
      </c>
      <c r="P27" s="41">
        <v>0.42</v>
      </c>
      <c r="Q27" s="41">
        <v>28</v>
      </c>
      <c r="R27" s="38"/>
      <c r="S27" s="38"/>
      <c r="T27" s="38"/>
      <c r="U27" s="38"/>
    </row>
    <row r="28" spans="1:21" customFormat="1">
      <c r="A28" s="40" t="s">
        <v>127</v>
      </c>
      <c r="B28" s="41">
        <v>3.65</v>
      </c>
      <c r="C28" s="41">
        <v>6.66</v>
      </c>
      <c r="D28" s="41">
        <v>4.59</v>
      </c>
      <c r="E28" s="41">
        <v>7.18</v>
      </c>
      <c r="F28" s="41">
        <v>23.46</v>
      </c>
      <c r="G28" s="41">
        <v>50.23</v>
      </c>
      <c r="H28" s="41">
        <v>20.84</v>
      </c>
      <c r="I28" s="41">
        <v>4.2300000000000004</v>
      </c>
      <c r="J28" s="41">
        <v>0.64</v>
      </c>
      <c r="K28" s="41">
        <v>247.74</v>
      </c>
      <c r="L28" s="41">
        <v>33.53</v>
      </c>
      <c r="M28" s="41">
        <v>44.66</v>
      </c>
      <c r="N28" s="41">
        <v>1.9</v>
      </c>
      <c r="O28" s="41">
        <v>0</v>
      </c>
      <c r="P28" s="41">
        <v>0.43</v>
      </c>
      <c r="Q28" s="41">
        <v>28</v>
      </c>
      <c r="R28" s="38"/>
      <c r="S28" s="38"/>
      <c r="T28" s="38"/>
      <c r="U28" s="38"/>
    </row>
    <row r="29" spans="1:21" customFormat="1">
      <c r="A29" s="40" t="s">
        <v>128</v>
      </c>
      <c r="B29" s="41">
        <v>3.77</v>
      </c>
      <c r="C29" s="41">
        <v>7.19</v>
      </c>
      <c r="D29" s="41">
        <v>5.39</v>
      </c>
      <c r="E29" s="41">
        <v>7.16</v>
      </c>
      <c r="F29" s="41">
        <v>18.309999999999999</v>
      </c>
      <c r="G29" s="41">
        <v>51.89</v>
      </c>
      <c r="H29" s="41">
        <v>25.14</v>
      </c>
      <c r="I29" s="41">
        <v>4.82</v>
      </c>
      <c r="J29" s="41">
        <v>0.42</v>
      </c>
      <c r="K29" s="41">
        <v>248.63</v>
      </c>
      <c r="L29" s="41">
        <v>31.99</v>
      </c>
      <c r="M29" s="41">
        <v>49.41</v>
      </c>
      <c r="N29" s="41">
        <v>1.9</v>
      </c>
      <c r="O29" s="41">
        <v>0</v>
      </c>
      <c r="P29" s="41">
        <v>0.47</v>
      </c>
      <c r="Q29" s="41">
        <v>28</v>
      </c>
      <c r="R29" s="38"/>
      <c r="S29" s="38"/>
      <c r="T29" s="38"/>
      <c r="U29" s="38"/>
    </row>
    <row r="30" spans="1:21" customFormat="1">
      <c r="A30" s="40" t="s">
        <v>129</v>
      </c>
      <c r="B30" s="41">
        <v>3.99</v>
      </c>
      <c r="C30" s="41">
        <v>7.58</v>
      </c>
      <c r="D30" s="41">
        <v>5.92</v>
      </c>
      <c r="E30" s="41">
        <v>6.98</v>
      </c>
      <c r="F30" s="41">
        <v>13.04</v>
      </c>
      <c r="G30" s="41">
        <v>54.62</v>
      </c>
      <c r="H30" s="41">
        <v>25.14</v>
      </c>
      <c r="I30" s="41">
        <v>5.09</v>
      </c>
      <c r="J30" s="41">
        <v>0.22</v>
      </c>
      <c r="K30" s="41">
        <v>226.44</v>
      </c>
      <c r="L30" s="41">
        <v>30.98</v>
      </c>
      <c r="M30" s="41">
        <v>53.49</v>
      </c>
      <c r="N30" s="41">
        <v>1.7</v>
      </c>
      <c r="O30" s="41">
        <v>0</v>
      </c>
      <c r="P30" s="41">
        <v>0.49</v>
      </c>
      <c r="Q30" s="41">
        <v>28</v>
      </c>
      <c r="R30" s="38"/>
      <c r="S30" s="38"/>
      <c r="T30" s="38"/>
      <c r="U30" s="38"/>
    </row>
    <row r="31" spans="1:21" customFormat="1">
      <c r="A31" s="40" t="s">
        <v>130</v>
      </c>
      <c r="B31" s="41">
        <v>4.21</v>
      </c>
      <c r="C31" s="41">
        <v>7.19</v>
      </c>
      <c r="D31" s="41">
        <v>4.9400000000000004</v>
      </c>
      <c r="E31" s="41">
        <v>7.34</v>
      </c>
      <c r="F31" s="41">
        <v>11.96</v>
      </c>
      <c r="G31" s="41">
        <v>55.46</v>
      </c>
      <c r="H31" s="41">
        <v>24.01</v>
      </c>
      <c r="I31" s="41">
        <v>5.22</v>
      </c>
      <c r="J31" s="41">
        <v>0.43</v>
      </c>
      <c r="K31" s="41">
        <v>248.5</v>
      </c>
      <c r="L31" s="41">
        <v>30.46</v>
      </c>
      <c r="M31" s="41">
        <v>54.68</v>
      </c>
      <c r="N31" s="41">
        <v>1.4</v>
      </c>
      <c r="O31" s="41">
        <v>0</v>
      </c>
      <c r="P31" s="41">
        <v>0.47</v>
      </c>
      <c r="Q31" s="41">
        <v>28</v>
      </c>
      <c r="R31" s="38"/>
      <c r="S31" s="38"/>
      <c r="T31" s="38"/>
      <c r="U31" s="38"/>
    </row>
    <row r="32" spans="1:21" customFormat="1">
      <c r="A32" s="40" t="s">
        <v>131</v>
      </c>
      <c r="B32" s="41">
        <v>4.62</v>
      </c>
      <c r="C32" s="41">
        <v>8.64</v>
      </c>
      <c r="D32" s="41">
        <v>6.87</v>
      </c>
      <c r="E32" s="41">
        <v>7.62</v>
      </c>
      <c r="F32" s="41">
        <v>4.97</v>
      </c>
      <c r="G32" s="41">
        <v>55.52</v>
      </c>
      <c r="H32" s="41">
        <v>24.01</v>
      </c>
      <c r="I32" s="41">
        <v>5.24</v>
      </c>
      <c r="J32" s="41">
        <v>0.56000000000000005</v>
      </c>
      <c r="K32" s="41">
        <v>303.48</v>
      </c>
      <c r="L32" s="41">
        <v>30.56</v>
      </c>
      <c r="M32" s="41">
        <v>55.26</v>
      </c>
      <c r="N32" s="41">
        <v>1.5</v>
      </c>
      <c r="O32" s="41">
        <v>0</v>
      </c>
      <c r="P32" s="41">
        <v>0.45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3.56</v>
      </c>
      <c r="C34" s="18">
        <f t="shared" si="0"/>
        <v>6.31</v>
      </c>
      <c r="D34" s="18">
        <f t="shared" si="0"/>
        <v>3.48</v>
      </c>
      <c r="E34" s="18">
        <f t="shared" si="0"/>
        <v>6.98</v>
      </c>
      <c r="F34" s="18">
        <f t="shared" si="0"/>
        <v>2.12</v>
      </c>
      <c r="G34" s="18">
        <f t="shared" si="0"/>
        <v>26.57</v>
      </c>
      <c r="H34" s="18">
        <f t="shared" si="0"/>
        <v>11.62</v>
      </c>
      <c r="I34" s="18">
        <f t="shared" si="0"/>
        <v>4.2300000000000004</v>
      </c>
      <c r="J34" s="18">
        <f t="shared" si="0"/>
        <v>0.14000000000000001</v>
      </c>
      <c r="K34" s="18">
        <f t="shared" si="0"/>
        <v>185.93</v>
      </c>
      <c r="L34" s="18">
        <f t="shared" si="0"/>
        <v>26.25</v>
      </c>
      <c r="M34" s="18">
        <f t="shared" si="0"/>
        <v>33.78</v>
      </c>
      <c r="N34" s="18">
        <f t="shared" si="0"/>
        <v>1.4</v>
      </c>
      <c r="O34" s="18">
        <f t="shared" si="0"/>
        <v>0</v>
      </c>
      <c r="P34" s="18">
        <f t="shared" si="0"/>
        <v>0.28999999999999998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6.18</v>
      </c>
      <c r="C35" s="3">
        <f t="shared" si="1"/>
        <v>8.9499999999999993</v>
      </c>
      <c r="D35" s="3">
        <f t="shared" si="1"/>
        <v>6.87</v>
      </c>
      <c r="E35" s="3">
        <f t="shared" si="1"/>
        <v>9.85</v>
      </c>
      <c r="F35" s="3">
        <f t="shared" si="1"/>
        <v>23.46</v>
      </c>
      <c r="G35" s="3">
        <f t="shared" si="1"/>
        <v>55.52</v>
      </c>
      <c r="H35" s="3">
        <f t="shared" si="1"/>
        <v>25.14</v>
      </c>
      <c r="I35" s="3">
        <f t="shared" si="1"/>
        <v>5.37</v>
      </c>
      <c r="J35" s="3">
        <f t="shared" si="1"/>
        <v>1.74</v>
      </c>
      <c r="K35" s="3">
        <f t="shared" si="1"/>
        <v>303.48</v>
      </c>
      <c r="L35" s="3">
        <f t="shared" si="1"/>
        <v>37.9</v>
      </c>
      <c r="M35" s="3">
        <f t="shared" si="1"/>
        <v>83.03</v>
      </c>
      <c r="N35" s="3">
        <f t="shared" si="1"/>
        <v>845.7</v>
      </c>
      <c r="O35" s="3">
        <f t="shared" si="1"/>
        <v>0</v>
      </c>
      <c r="P35" s="3">
        <f t="shared" si="1"/>
        <v>0.49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4.484166666666666</v>
      </c>
      <c r="C36" s="18">
        <f t="shared" si="2"/>
        <v>7.5283333333333333</v>
      </c>
      <c r="D36" s="18">
        <f t="shared" si="2"/>
        <v>5.029583333333334</v>
      </c>
      <c r="E36" s="18">
        <f t="shared" si="2"/>
        <v>8.3783333333333339</v>
      </c>
      <c r="F36" s="18">
        <f t="shared" si="2"/>
        <v>8.9070833333333344</v>
      </c>
      <c r="G36" s="18">
        <f t="shared" si="2"/>
        <v>41.739166666666669</v>
      </c>
      <c r="H36" s="18">
        <f t="shared" si="2"/>
        <v>18.900416666666661</v>
      </c>
      <c r="I36" s="18">
        <f t="shared" si="2"/>
        <v>4.8516666666666683</v>
      </c>
      <c r="J36" s="18">
        <f t="shared" si="2"/>
        <v>0.74041666666666661</v>
      </c>
      <c r="K36" s="18">
        <f t="shared" si="2"/>
        <v>248.77458333333334</v>
      </c>
      <c r="L36" s="18">
        <f t="shared" si="2"/>
        <v>32.298750000000005</v>
      </c>
      <c r="M36" s="18">
        <f t="shared" si="2"/>
        <v>54.440416666666671</v>
      </c>
      <c r="N36" s="18">
        <f t="shared" si="2"/>
        <v>179.98749999999995</v>
      </c>
      <c r="O36" s="18">
        <f t="shared" si="2"/>
        <v>0</v>
      </c>
      <c r="P36" s="18">
        <f t="shared" si="2"/>
        <v>0.38166666666666665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0.8797821700095243</v>
      </c>
      <c r="C37" s="18">
        <f t="shared" ref="C37:Q37" si="3">STDEV(C9:C32)</f>
        <v>0.77928990345262472</v>
      </c>
      <c r="D37" s="18">
        <f t="shared" si="3"/>
        <v>0.88209966491353886</v>
      </c>
      <c r="E37" s="18">
        <f t="shared" si="3"/>
        <v>0.9255722867345435</v>
      </c>
      <c r="F37" s="18">
        <f t="shared" si="3"/>
        <v>6.0853641091211372</v>
      </c>
      <c r="G37" s="18">
        <f t="shared" si="3"/>
        <v>11.458140799436428</v>
      </c>
      <c r="H37" s="18">
        <f t="shared" si="3"/>
        <v>4.1042019604162041</v>
      </c>
      <c r="I37" s="18">
        <f t="shared" si="3"/>
        <v>0.33627973172793879</v>
      </c>
      <c r="J37" s="18">
        <f t="shared" si="3"/>
        <v>0.50244168311112125</v>
      </c>
      <c r="K37" s="18">
        <f t="shared" si="3"/>
        <v>33.590065428203623</v>
      </c>
      <c r="L37" s="18">
        <f t="shared" si="3"/>
        <v>3.8449801407300259</v>
      </c>
      <c r="M37" s="18">
        <f t="shared" si="3"/>
        <v>17.09031596603295</v>
      </c>
      <c r="N37" s="18">
        <f t="shared" si="3"/>
        <v>264.23898654602351</v>
      </c>
      <c r="O37" s="18">
        <f t="shared" si="3"/>
        <v>0</v>
      </c>
      <c r="P37" s="18">
        <f t="shared" si="3"/>
        <v>5.9612273806706723E-2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132</v>
      </c>
      <c r="B9" s="41">
        <v>5.03</v>
      </c>
      <c r="C9" s="41">
        <v>9.56</v>
      </c>
      <c r="D9" s="41">
        <v>7.99</v>
      </c>
      <c r="E9" s="41">
        <v>7.82</v>
      </c>
      <c r="F9" s="41">
        <v>3.14</v>
      </c>
      <c r="G9" s="41">
        <v>57.3</v>
      </c>
      <c r="H9" s="41">
        <v>23.98</v>
      </c>
      <c r="I9" s="41">
        <v>5.31</v>
      </c>
      <c r="J9" s="41">
        <v>0.7</v>
      </c>
      <c r="K9" s="41">
        <v>298.20999999999998</v>
      </c>
      <c r="L9" s="41">
        <v>30.66</v>
      </c>
      <c r="M9" s="41">
        <v>56.93</v>
      </c>
      <c r="N9" s="41">
        <v>1.9</v>
      </c>
      <c r="O9" s="41">
        <v>0</v>
      </c>
      <c r="P9" s="41">
        <v>0.47</v>
      </c>
      <c r="Q9" s="41">
        <v>28</v>
      </c>
      <c r="R9" s="38"/>
      <c r="S9" s="38"/>
      <c r="T9" s="38"/>
      <c r="U9" s="38"/>
    </row>
    <row r="10" spans="1:21" customFormat="1">
      <c r="A10" s="40" t="s">
        <v>133</v>
      </c>
      <c r="B10" s="41">
        <v>4.6900000000000004</v>
      </c>
      <c r="C10" s="41">
        <v>8.89</v>
      </c>
      <c r="D10" s="41">
        <v>7.24</v>
      </c>
      <c r="E10" s="41">
        <v>8.18</v>
      </c>
      <c r="F10" s="41">
        <v>2.93</v>
      </c>
      <c r="G10" s="41">
        <v>59.95</v>
      </c>
      <c r="H10" s="41">
        <v>25.2</v>
      </c>
      <c r="I10" s="41">
        <v>6.97</v>
      </c>
      <c r="J10" s="41">
        <v>0.42</v>
      </c>
      <c r="K10" s="41">
        <v>242.34</v>
      </c>
      <c r="L10" s="41">
        <v>29.92</v>
      </c>
      <c r="M10" s="41">
        <v>64.17</v>
      </c>
      <c r="N10" s="41">
        <v>2.1</v>
      </c>
      <c r="O10" s="41">
        <v>0</v>
      </c>
      <c r="P10" s="41">
        <v>0.56000000000000005</v>
      </c>
      <c r="Q10" s="41">
        <v>28</v>
      </c>
      <c r="R10" s="38"/>
      <c r="S10" s="38"/>
      <c r="T10" s="38"/>
      <c r="U10" s="38"/>
    </row>
    <row r="11" spans="1:21" customFormat="1">
      <c r="A11" s="40" t="s">
        <v>134</v>
      </c>
      <c r="B11" s="41">
        <v>4.4400000000000004</v>
      </c>
      <c r="C11" s="41">
        <v>8.35</v>
      </c>
      <c r="D11" s="41">
        <v>6.58</v>
      </c>
      <c r="E11" s="41">
        <v>8.31</v>
      </c>
      <c r="F11" s="41">
        <v>2.67</v>
      </c>
      <c r="G11" s="41">
        <v>60.2</v>
      </c>
      <c r="H11" s="41">
        <v>27.19</v>
      </c>
      <c r="I11" s="41">
        <v>8.07</v>
      </c>
      <c r="J11" s="41">
        <v>0.34</v>
      </c>
      <c r="K11" s="41">
        <v>256.02999999999997</v>
      </c>
      <c r="L11" s="41">
        <v>28.51</v>
      </c>
      <c r="M11" s="41">
        <v>65.28</v>
      </c>
      <c r="N11" s="41">
        <v>1.7</v>
      </c>
      <c r="O11" s="41">
        <v>0</v>
      </c>
      <c r="P11" s="41">
        <v>0.56999999999999995</v>
      </c>
      <c r="Q11" s="41">
        <v>28</v>
      </c>
      <c r="R11" s="38"/>
      <c r="S11" s="38"/>
      <c r="T11" s="38"/>
      <c r="U11" s="38"/>
    </row>
    <row r="12" spans="1:21" customFormat="1">
      <c r="A12" s="40" t="s">
        <v>135</v>
      </c>
      <c r="B12" s="41">
        <v>4.37</v>
      </c>
      <c r="C12" s="41">
        <v>7.77</v>
      </c>
      <c r="D12" s="41">
        <v>5.77</v>
      </c>
      <c r="E12" s="41">
        <v>8.51</v>
      </c>
      <c r="F12" s="41">
        <v>5.75</v>
      </c>
      <c r="G12" s="41">
        <v>56.89</v>
      </c>
      <c r="H12" s="41">
        <v>27.19</v>
      </c>
      <c r="I12" s="41">
        <v>7.92</v>
      </c>
      <c r="J12" s="41">
        <v>0.3</v>
      </c>
      <c r="K12" s="41">
        <v>203.57</v>
      </c>
      <c r="L12" s="41">
        <v>28.48</v>
      </c>
      <c r="M12" s="41">
        <v>72.760000000000005</v>
      </c>
      <c r="N12" s="41">
        <v>2.1</v>
      </c>
      <c r="O12" s="41">
        <v>0</v>
      </c>
      <c r="P12" s="41">
        <v>0.56000000000000005</v>
      </c>
      <c r="Q12" s="41">
        <v>28</v>
      </c>
      <c r="R12" s="38"/>
      <c r="S12" s="38"/>
      <c r="T12" s="38"/>
      <c r="U12" s="38"/>
    </row>
    <row r="13" spans="1:21" customFormat="1">
      <c r="A13" s="40" t="s">
        <v>136</v>
      </c>
      <c r="B13" s="41">
        <v>4.91</v>
      </c>
      <c r="C13" s="41">
        <v>7.31</v>
      </c>
      <c r="D13" s="41">
        <v>4.3600000000000003</v>
      </c>
      <c r="E13" s="41">
        <v>7.94</v>
      </c>
      <c r="F13" s="41">
        <v>4.74</v>
      </c>
      <c r="G13" s="41">
        <v>53.81</v>
      </c>
      <c r="H13" s="41">
        <v>25.06</v>
      </c>
      <c r="I13" s="41">
        <v>7.39</v>
      </c>
      <c r="J13" s="41">
        <v>0.15</v>
      </c>
      <c r="K13" s="41">
        <v>193.98</v>
      </c>
      <c r="L13" s="41">
        <v>26.83</v>
      </c>
      <c r="M13" s="41">
        <v>75.459999999999994</v>
      </c>
      <c r="N13" s="41">
        <v>1.7</v>
      </c>
      <c r="O13" s="41">
        <v>0</v>
      </c>
      <c r="P13" s="41">
        <v>0.56999999999999995</v>
      </c>
      <c r="Q13" s="41">
        <v>28</v>
      </c>
      <c r="R13" s="38"/>
      <c r="S13" s="38"/>
      <c r="T13" s="38"/>
      <c r="U13" s="38"/>
    </row>
    <row r="14" spans="1:21" customFormat="1">
      <c r="A14" s="40" t="s">
        <v>137</v>
      </c>
      <c r="B14" s="41">
        <v>5.38</v>
      </c>
      <c r="C14" s="41">
        <v>7.6</v>
      </c>
      <c r="D14" s="41">
        <v>3.87</v>
      </c>
      <c r="E14" s="41">
        <v>8.25</v>
      </c>
      <c r="F14" s="41">
        <v>3.57</v>
      </c>
      <c r="G14" s="41">
        <v>52.69</v>
      </c>
      <c r="H14" s="41">
        <v>24.58</v>
      </c>
      <c r="I14" s="41">
        <v>7.44</v>
      </c>
      <c r="J14" s="41">
        <v>0.19</v>
      </c>
      <c r="K14" s="41">
        <v>190.52</v>
      </c>
      <c r="L14" s="41">
        <v>26.67</v>
      </c>
      <c r="M14" s="41">
        <v>75</v>
      </c>
      <c r="N14" s="41">
        <v>22</v>
      </c>
      <c r="O14" s="41">
        <v>0</v>
      </c>
      <c r="P14" s="41">
        <v>0.56999999999999995</v>
      </c>
      <c r="Q14" s="41">
        <v>28</v>
      </c>
      <c r="R14" s="38"/>
      <c r="S14" s="38"/>
      <c r="T14" s="38"/>
      <c r="U14" s="38"/>
    </row>
    <row r="15" spans="1:21" customFormat="1">
      <c r="A15" s="40" t="s">
        <v>138</v>
      </c>
      <c r="B15" s="41">
        <v>5.61</v>
      </c>
      <c r="C15" s="41">
        <v>7.85</v>
      </c>
      <c r="D15" s="41">
        <v>3.91</v>
      </c>
      <c r="E15" s="41">
        <v>8.2899999999999991</v>
      </c>
      <c r="F15" s="41">
        <v>3.68</v>
      </c>
      <c r="G15" s="41">
        <v>48.86</v>
      </c>
      <c r="H15" s="41">
        <v>23.08</v>
      </c>
      <c r="I15" s="41">
        <v>7.38</v>
      </c>
      <c r="J15" s="41">
        <v>0.37</v>
      </c>
      <c r="K15" s="41">
        <v>242.78</v>
      </c>
      <c r="L15" s="41">
        <v>28.24</v>
      </c>
      <c r="M15" s="41">
        <v>68.84</v>
      </c>
      <c r="N15" s="41">
        <v>39.200000000000003</v>
      </c>
      <c r="O15" s="41">
        <v>0</v>
      </c>
      <c r="P15" s="41">
        <v>0.56000000000000005</v>
      </c>
      <c r="Q15" s="41">
        <v>28</v>
      </c>
      <c r="R15" s="38"/>
      <c r="S15" s="38"/>
      <c r="T15" s="38"/>
      <c r="U15" s="38"/>
    </row>
    <row r="16" spans="1:21" customFormat="1">
      <c r="A16" s="40" t="s">
        <v>139</v>
      </c>
      <c r="B16" s="41">
        <v>5.79</v>
      </c>
      <c r="C16" s="41">
        <v>7.85</v>
      </c>
      <c r="D16" s="41">
        <v>4.1100000000000003</v>
      </c>
      <c r="E16" s="41">
        <v>8.18</v>
      </c>
      <c r="F16" s="41">
        <v>3.71</v>
      </c>
      <c r="G16" s="41">
        <v>49.47</v>
      </c>
      <c r="H16" s="41">
        <v>24.59</v>
      </c>
      <c r="I16" s="41">
        <v>7.38</v>
      </c>
      <c r="J16" s="41">
        <v>0.76</v>
      </c>
      <c r="K16" s="41">
        <v>257.11</v>
      </c>
      <c r="L16" s="41">
        <v>29.78</v>
      </c>
      <c r="M16" s="41">
        <v>63.73</v>
      </c>
      <c r="N16" s="41">
        <v>171.9</v>
      </c>
      <c r="O16" s="41">
        <v>0</v>
      </c>
      <c r="P16" s="41">
        <v>0.56000000000000005</v>
      </c>
      <c r="Q16" s="41">
        <v>28</v>
      </c>
      <c r="R16" s="38"/>
      <c r="S16" s="38"/>
      <c r="T16" s="38"/>
      <c r="U16" s="38"/>
    </row>
    <row r="17" spans="1:21" customFormat="1">
      <c r="A17" s="40" t="s">
        <v>140</v>
      </c>
      <c r="B17" s="41">
        <v>5.2</v>
      </c>
      <c r="C17" s="41">
        <v>7.71</v>
      </c>
      <c r="D17" s="41">
        <v>5.3</v>
      </c>
      <c r="E17" s="41">
        <v>8.11</v>
      </c>
      <c r="F17" s="41">
        <v>3.23</v>
      </c>
      <c r="G17" s="41">
        <v>49.53</v>
      </c>
      <c r="H17" s="41">
        <v>24.59</v>
      </c>
      <c r="I17" s="41">
        <v>7.37</v>
      </c>
      <c r="J17" s="41">
        <v>0.72</v>
      </c>
      <c r="K17" s="41">
        <v>258.67</v>
      </c>
      <c r="L17" s="41">
        <v>32.119999999999997</v>
      </c>
      <c r="M17" s="41">
        <v>59.6</v>
      </c>
      <c r="N17" s="41">
        <v>172.8</v>
      </c>
      <c r="O17" s="41">
        <v>0</v>
      </c>
      <c r="P17" s="41">
        <v>0.55000000000000004</v>
      </c>
      <c r="Q17" s="41">
        <v>28</v>
      </c>
      <c r="R17" s="38"/>
      <c r="S17" s="38"/>
      <c r="T17" s="38"/>
      <c r="U17" s="38"/>
    </row>
    <row r="18" spans="1:21" customFormat="1">
      <c r="A18" s="40" t="s">
        <v>141</v>
      </c>
      <c r="B18" s="41">
        <v>3.87</v>
      </c>
      <c r="C18" s="41">
        <v>7.8</v>
      </c>
      <c r="D18" s="41">
        <v>6.68</v>
      </c>
      <c r="E18" s="41">
        <v>8.06</v>
      </c>
      <c r="F18" s="41">
        <v>4.76</v>
      </c>
      <c r="G18" s="41">
        <v>61.05</v>
      </c>
      <c r="H18" s="41">
        <v>28.83</v>
      </c>
      <c r="I18" s="41">
        <v>10.44</v>
      </c>
      <c r="J18" s="41">
        <v>1.04</v>
      </c>
      <c r="K18" s="41">
        <v>280.41000000000003</v>
      </c>
      <c r="L18" s="41">
        <v>34.1</v>
      </c>
      <c r="M18" s="41">
        <v>51.13</v>
      </c>
      <c r="N18" s="41">
        <v>183.4</v>
      </c>
      <c r="O18" s="41">
        <v>0</v>
      </c>
      <c r="P18" s="41">
        <v>0.67</v>
      </c>
      <c r="Q18" s="41">
        <v>28</v>
      </c>
      <c r="R18" s="38"/>
      <c r="S18" s="38"/>
      <c r="T18" s="38"/>
      <c r="U18" s="38"/>
    </row>
    <row r="19" spans="1:21" customFormat="1">
      <c r="A19" s="40" t="s">
        <v>142</v>
      </c>
      <c r="B19" s="41">
        <v>3.64</v>
      </c>
      <c r="C19" s="41">
        <v>7.78</v>
      </c>
      <c r="D19" s="41">
        <v>6.71</v>
      </c>
      <c r="E19" s="41">
        <v>8.2799999999999994</v>
      </c>
      <c r="F19" s="41">
        <v>5.82</v>
      </c>
      <c r="G19" s="41">
        <v>62.92</v>
      </c>
      <c r="H19" s="41">
        <v>28.83</v>
      </c>
      <c r="I19" s="41">
        <v>11.11</v>
      </c>
      <c r="J19" s="41">
        <v>1.04</v>
      </c>
      <c r="K19" s="41">
        <v>285.08</v>
      </c>
      <c r="L19" s="41">
        <v>35.1</v>
      </c>
      <c r="M19" s="41">
        <v>43.72</v>
      </c>
      <c r="N19" s="41">
        <v>207.3</v>
      </c>
      <c r="O19" s="41">
        <v>0</v>
      </c>
      <c r="P19" s="41">
        <v>0.65</v>
      </c>
      <c r="Q19" s="41">
        <v>28</v>
      </c>
      <c r="R19" s="38"/>
      <c r="S19" s="38"/>
      <c r="T19" s="38"/>
      <c r="U19" s="38"/>
    </row>
    <row r="20" spans="1:21" customFormat="1">
      <c r="A20" s="40" t="s">
        <v>143</v>
      </c>
      <c r="B20" s="41">
        <v>3.69</v>
      </c>
      <c r="C20" s="41">
        <v>7.48</v>
      </c>
      <c r="D20" s="41">
        <v>6.24</v>
      </c>
      <c r="E20" s="41">
        <v>8.27</v>
      </c>
      <c r="F20" s="41">
        <v>5.82</v>
      </c>
      <c r="G20" s="41">
        <v>51.79</v>
      </c>
      <c r="H20" s="41">
        <v>26.03</v>
      </c>
      <c r="I20" s="41">
        <v>10.06</v>
      </c>
      <c r="J20" s="41">
        <v>1.5</v>
      </c>
      <c r="K20" s="41">
        <v>295.02999999999997</v>
      </c>
      <c r="L20" s="41">
        <v>36.020000000000003</v>
      </c>
      <c r="M20" s="41">
        <v>40.81</v>
      </c>
      <c r="N20" s="41">
        <v>532.6</v>
      </c>
      <c r="O20" s="41">
        <v>0</v>
      </c>
      <c r="P20" s="41">
        <v>0.57999999999999996</v>
      </c>
      <c r="Q20" s="41">
        <v>28</v>
      </c>
      <c r="R20" s="38"/>
      <c r="S20" s="38"/>
      <c r="T20" s="38"/>
      <c r="U20" s="38"/>
    </row>
    <row r="21" spans="1:21" customFormat="1">
      <c r="A21" s="40" t="s">
        <v>144</v>
      </c>
      <c r="B21" s="41">
        <v>3.61</v>
      </c>
      <c r="C21" s="41">
        <v>7.58</v>
      </c>
      <c r="D21" s="41">
        <v>6.37</v>
      </c>
      <c r="E21" s="41">
        <v>8.31</v>
      </c>
      <c r="F21" s="41">
        <v>7.83</v>
      </c>
      <c r="G21" s="41">
        <v>43.77</v>
      </c>
      <c r="H21" s="41">
        <v>24.01</v>
      </c>
      <c r="I21" s="41">
        <v>8.76</v>
      </c>
      <c r="J21" s="41">
        <v>1.17</v>
      </c>
      <c r="K21" s="41">
        <v>287.27</v>
      </c>
      <c r="L21" s="41">
        <v>36.53</v>
      </c>
      <c r="M21" s="41">
        <v>37.97</v>
      </c>
      <c r="N21" s="41">
        <v>814.4</v>
      </c>
      <c r="O21" s="41">
        <v>0</v>
      </c>
      <c r="P21" s="41">
        <v>0.53</v>
      </c>
      <c r="Q21" s="41">
        <v>28</v>
      </c>
      <c r="R21" s="38"/>
      <c r="S21" s="38"/>
      <c r="T21" s="38"/>
      <c r="U21" s="38"/>
    </row>
    <row r="22" spans="1:21" customFormat="1">
      <c r="A22" s="40" t="s">
        <v>145</v>
      </c>
      <c r="B22" s="41">
        <v>3.88</v>
      </c>
      <c r="C22" s="41">
        <v>8.0399999999999991</v>
      </c>
      <c r="D22" s="41">
        <v>6.85</v>
      </c>
      <c r="E22" s="41">
        <v>10.44</v>
      </c>
      <c r="F22" s="41">
        <v>13.63</v>
      </c>
      <c r="G22" s="41">
        <v>49.53</v>
      </c>
      <c r="H22" s="41">
        <v>28.45</v>
      </c>
      <c r="I22" s="41">
        <v>8.07</v>
      </c>
      <c r="J22" s="41">
        <v>1.22</v>
      </c>
      <c r="K22" s="41">
        <v>294.89999999999998</v>
      </c>
      <c r="L22" s="41">
        <v>36.979999999999997</v>
      </c>
      <c r="M22" s="41">
        <v>36.67</v>
      </c>
      <c r="N22" s="41">
        <v>761.8</v>
      </c>
      <c r="O22" s="41">
        <v>0</v>
      </c>
      <c r="P22" s="41">
        <v>0.61</v>
      </c>
      <c r="Q22" s="41">
        <v>28</v>
      </c>
      <c r="R22" s="38"/>
      <c r="S22" s="38"/>
      <c r="T22" s="38"/>
      <c r="U22" s="38"/>
    </row>
    <row r="23" spans="1:21" customFormat="1">
      <c r="A23" s="40" t="s">
        <v>146</v>
      </c>
      <c r="B23" s="41">
        <v>3.73</v>
      </c>
      <c r="C23" s="41">
        <v>7.56</v>
      </c>
      <c r="D23" s="41">
        <v>6.15</v>
      </c>
      <c r="E23" s="41">
        <v>10.06</v>
      </c>
      <c r="F23" s="41">
        <v>13.44</v>
      </c>
      <c r="G23" s="41">
        <v>50.47</v>
      </c>
      <c r="H23" s="41">
        <v>28.45</v>
      </c>
      <c r="I23" s="41">
        <v>8.16</v>
      </c>
      <c r="J23" s="41">
        <v>1.54</v>
      </c>
      <c r="K23" s="41">
        <v>297.13</v>
      </c>
      <c r="L23" s="41">
        <v>37.18</v>
      </c>
      <c r="M23" s="41">
        <v>34.94</v>
      </c>
      <c r="N23" s="41">
        <v>531</v>
      </c>
      <c r="O23" s="41">
        <v>0</v>
      </c>
      <c r="P23" s="41">
        <v>0.45</v>
      </c>
      <c r="Q23" s="41">
        <v>28</v>
      </c>
      <c r="R23" s="38"/>
      <c r="S23" s="38"/>
      <c r="T23" s="38"/>
      <c r="U23" s="38"/>
    </row>
    <row r="24" spans="1:21" customFormat="1">
      <c r="A24" s="40" t="s">
        <v>147</v>
      </c>
      <c r="B24" s="41">
        <v>3.91</v>
      </c>
      <c r="C24" s="41">
        <v>7.59</v>
      </c>
      <c r="D24" s="41">
        <v>5.94</v>
      </c>
      <c r="E24" s="41">
        <v>8.43</v>
      </c>
      <c r="F24" s="41">
        <v>10.25</v>
      </c>
      <c r="G24" s="41">
        <v>49.61</v>
      </c>
      <c r="H24" s="41">
        <v>26.89</v>
      </c>
      <c r="I24" s="41">
        <v>7.86</v>
      </c>
      <c r="J24" s="41">
        <v>1.54</v>
      </c>
      <c r="K24" s="41">
        <v>280.95999999999998</v>
      </c>
      <c r="L24" s="41">
        <v>37.36</v>
      </c>
      <c r="M24" s="41">
        <v>33.04</v>
      </c>
      <c r="N24" s="41">
        <v>570.1</v>
      </c>
      <c r="O24" s="41">
        <v>0</v>
      </c>
      <c r="P24" s="41">
        <v>0.43</v>
      </c>
      <c r="Q24" s="41">
        <v>28</v>
      </c>
      <c r="R24" s="38"/>
      <c r="S24" s="38"/>
      <c r="T24" s="38"/>
      <c r="U24" s="38"/>
    </row>
    <row r="25" spans="1:21" customFormat="1">
      <c r="A25" s="40" t="s">
        <v>148</v>
      </c>
      <c r="B25" s="41">
        <v>3.81</v>
      </c>
      <c r="C25" s="41">
        <v>7.36</v>
      </c>
      <c r="D25" s="41">
        <v>5.65</v>
      </c>
      <c r="E25" s="41">
        <v>9.6</v>
      </c>
      <c r="F25" s="41">
        <v>16.93</v>
      </c>
      <c r="G25" s="41">
        <v>49.28</v>
      </c>
      <c r="H25" s="41">
        <v>27.75</v>
      </c>
      <c r="I25" s="41">
        <v>7.22</v>
      </c>
      <c r="J25" s="41">
        <v>1.37</v>
      </c>
      <c r="K25" s="41">
        <v>280.97000000000003</v>
      </c>
      <c r="L25" s="41">
        <v>36.729999999999997</v>
      </c>
      <c r="M25" s="41">
        <v>33.729999999999997</v>
      </c>
      <c r="N25" s="41">
        <v>176.4</v>
      </c>
      <c r="O25" s="41">
        <v>0</v>
      </c>
      <c r="P25" s="41">
        <v>0.42</v>
      </c>
      <c r="Q25" s="41">
        <v>28</v>
      </c>
      <c r="R25" s="38"/>
      <c r="S25" s="38"/>
      <c r="T25" s="38"/>
      <c r="U25" s="38"/>
    </row>
    <row r="26" spans="1:21" customFormat="1">
      <c r="A26" s="40" t="s">
        <v>149</v>
      </c>
      <c r="B26" s="41">
        <v>3.69</v>
      </c>
      <c r="C26" s="41">
        <v>7.11</v>
      </c>
      <c r="D26" s="41">
        <v>5.44</v>
      </c>
      <c r="E26" s="41">
        <v>11.36</v>
      </c>
      <c r="F26" s="41">
        <v>18.96</v>
      </c>
      <c r="G26" s="41">
        <v>51.38</v>
      </c>
      <c r="H26" s="41">
        <v>27.75</v>
      </c>
      <c r="I26" s="41">
        <v>7.87</v>
      </c>
      <c r="J26" s="41">
        <v>0.99</v>
      </c>
      <c r="K26" s="41">
        <v>261.82</v>
      </c>
      <c r="L26" s="41">
        <v>35.880000000000003</v>
      </c>
      <c r="M26" s="41">
        <v>32.69</v>
      </c>
      <c r="N26" s="41">
        <v>100.8</v>
      </c>
      <c r="O26" s="41">
        <v>0</v>
      </c>
      <c r="P26" s="41">
        <v>0.42</v>
      </c>
      <c r="Q26" s="41">
        <v>28</v>
      </c>
      <c r="R26" s="38"/>
      <c r="S26" s="38"/>
      <c r="T26" s="38"/>
      <c r="U26" s="38"/>
    </row>
    <row r="27" spans="1:21" customFormat="1">
      <c r="A27" s="40" t="s">
        <v>150</v>
      </c>
      <c r="B27" s="41">
        <v>5.33</v>
      </c>
      <c r="C27" s="41">
        <v>13.72</v>
      </c>
      <c r="D27" s="41">
        <v>15.92</v>
      </c>
      <c r="E27" s="41">
        <v>13.45</v>
      </c>
      <c r="F27" s="41">
        <v>40.049999999999997</v>
      </c>
      <c r="G27" s="41">
        <v>56.82</v>
      </c>
      <c r="H27" s="41">
        <v>22.79</v>
      </c>
      <c r="I27" s="41">
        <v>7.27</v>
      </c>
      <c r="J27" s="41">
        <v>1.17</v>
      </c>
      <c r="K27" s="41">
        <v>284.75</v>
      </c>
      <c r="L27" s="41">
        <v>35.130000000000003</v>
      </c>
      <c r="M27" s="41">
        <v>37.85</v>
      </c>
      <c r="N27" s="41">
        <v>30.5</v>
      </c>
      <c r="O27" s="41">
        <v>0</v>
      </c>
      <c r="P27" s="41">
        <v>0.37</v>
      </c>
      <c r="Q27" s="41">
        <v>28</v>
      </c>
      <c r="R27" s="38"/>
      <c r="S27" s="38"/>
      <c r="T27" s="38"/>
      <c r="U27" s="38"/>
    </row>
    <row r="28" spans="1:21" customFormat="1">
      <c r="A28" s="40" t="s">
        <v>151</v>
      </c>
      <c r="B28" s="41">
        <v>5.75</v>
      </c>
      <c r="C28" s="41">
        <v>16.5</v>
      </c>
      <c r="D28" s="41">
        <v>20.18</v>
      </c>
      <c r="E28" s="41">
        <v>13.59</v>
      </c>
      <c r="F28" s="41">
        <v>36.700000000000003</v>
      </c>
      <c r="G28" s="41">
        <v>58.55</v>
      </c>
      <c r="H28" s="41">
        <v>26.01</v>
      </c>
      <c r="I28" s="41">
        <v>6.32</v>
      </c>
      <c r="J28" s="41">
        <v>1.06</v>
      </c>
      <c r="K28" s="41">
        <v>304.70999999999998</v>
      </c>
      <c r="L28" s="41">
        <v>33.97</v>
      </c>
      <c r="M28" s="41">
        <v>42.25</v>
      </c>
      <c r="N28" s="41">
        <v>1.9</v>
      </c>
      <c r="O28" s="41">
        <v>0</v>
      </c>
      <c r="P28" s="41">
        <v>0.5</v>
      </c>
      <c r="Q28" s="41">
        <v>28</v>
      </c>
      <c r="R28" s="38"/>
      <c r="S28" s="38"/>
      <c r="T28" s="38"/>
      <c r="U28" s="38"/>
    </row>
    <row r="29" spans="1:21" customFormat="1">
      <c r="A29" s="40" t="s">
        <v>152</v>
      </c>
      <c r="B29" s="41">
        <v>4.0999999999999996</v>
      </c>
      <c r="C29" s="41">
        <v>12.16</v>
      </c>
      <c r="D29" s="41">
        <v>14.62</v>
      </c>
      <c r="E29" s="41">
        <v>10.31</v>
      </c>
      <c r="F29" s="41">
        <v>7.64</v>
      </c>
      <c r="G29" s="41">
        <v>66.83</v>
      </c>
      <c r="H29" s="41">
        <v>29.13</v>
      </c>
      <c r="I29" s="41">
        <v>6.73</v>
      </c>
      <c r="J29" s="41">
        <v>0.59</v>
      </c>
      <c r="K29" s="41">
        <v>292.97000000000003</v>
      </c>
      <c r="L29" s="41">
        <v>32.9</v>
      </c>
      <c r="M29" s="41">
        <v>43.26</v>
      </c>
      <c r="N29" s="41">
        <v>1.6</v>
      </c>
      <c r="O29" s="41">
        <v>0</v>
      </c>
      <c r="P29" s="41">
        <v>0.5</v>
      </c>
      <c r="Q29" s="41">
        <v>28</v>
      </c>
      <c r="R29" s="38"/>
      <c r="S29" s="38"/>
      <c r="T29" s="38"/>
      <c r="U29" s="38"/>
    </row>
    <row r="30" spans="1:21" customFormat="1">
      <c r="A30" s="40" t="s">
        <v>153</v>
      </c>
      <c r="B30" s="41">
        <v>4.74</v>
      </c>
      <c r="C30" s="41">
        <v>12.22</v>
      </c>
      <c r="D30" s="41">
        <v>13.53</v>
      </c>
      <c r="E30" s="41">
        <v>10.39</v>
      </c>
      <c r="F30" s="41">
        <v>5.32</v>
      </c>
      <c r="G30" s="41">
        <v>67.73</v>
      </c>
      <c r="H30" s="41">
        <v>33.770000000000003</v>
      </c>
      <c r="I30" s="41">
        <v>6.71</v>
      </c>
      <c r="J30" s="41">
        <v>1.04</v>
      </c>
      <c r="K30" s="41">
        <v>306.12</v>
      </c>
      <c r="L30" s="41">
        <v>32.729999999999997</v>
      </c>
      <c r="M30" s="41">
        <v>45.17</v>
      </c>
      <c r="N30" s="41">
        <v>2</v>
      </c>
      <c r="O30" s="41">
        <v>0</v>
      </c>
      <c r="P30" s="41">
        <v>0.53</v>
      </c>
      <c r="Q30" s="41">
        <v>28</v>
      </c>
      <c r="R30" s="38"/>
      <c r="S30" s="38"/>
      <c r="T30" s="38"/>
      <c r="U30" s="38"/>
    </row>
    <row r="31" spans="1:21" customFormat="1">
      <c r="A31" s="40" t="s">
        <v>154</v>
      </c>
      <c r="B31" s="41">
        <v>5.0199999999999996</v>
      </c>
      <c r="C31" s="41">
        <v>11.56</v>
      </c>
      <c r="D31" s="41">
        <v>11.84</v>
      </c>
      <c r="E31" s="41">
        <v>11.11</v>
      </c>
      <c r="F31" s="41">
        <v>3.45</v>
      </c>
      <c r="G31" s="41">
        <v>81.14</v>
      </c>
      <c r="H31" s="41">
        <v>37.75</v>
      </c>
      <c r="I31" s="41">
        <v>7.13</v>
      </c>
      <c r="J31" s="41">
        <v>1.03</v>
      </c>
      <c r="K31" s="41">
        <v>298.86</v>
      </c>
      <c r="L31" s="41">
        <v>31.88</v>
      </c>
      <c r="M31" s="41">
        <v>49.77</v>
      </c>
      <c r="N31" s="41">
        <v>2</v>
      </c>
      <c r="O31" s="41">
        <v>0</v>
      </c>
      <c r="P31" s="41">
        <v>0.56999999999999995</v>
      </c>
      <c r="Q31" s="41">
        <v>28</v>
      </c>
      <c r="R31" s="38"/>
      <c r="S31" s="38"/>
      <c r="T31" s="38"/>
      <c r="U31" s="38"/>
    </row>
    <row r="32" spans="1:21" customFormat="1">
      <c r="A32" s="40" t="s">
        <v>155</v>
      </c>
      <c r="B32" s="41">
        <v>8.07</v>
      </c>
      <c r="C32" s="41">
        <v>15.02</v>
      </c>
      <c r="D32" s="41">
        <v>13.77</v>
      </c>
      <c r="E32" s="41">
        <v>12.35</v>
      </c>
      <c r="F32" s="41">
        <v>12.23</v>
      </c>
      <c r="G32" s="41">
        <v>82.82</v>
      </c>
      <c r="H32" s="41">
        <v>41.41</v>
      </c>
      <c r="I32" s="41">
        <v>7.51</v>
      </c>
      <c r="J32" s="41">
        <v>0.57999999999999996</v>
      </c>
      <c r="K32" s="41">
        <v>356.34</v>
      </c>
      <c r="L32" s="41">
        <v>31.37</v>
      </c>
      <c r="M32" s="41">
        <v>53.12</v>
      </c>
      <c r="N32" s="41">
        <v>1.9</v>
      </c>
      <c r="O32" s="41">
        <v>0</v>
      </c>
      <c r="P32" s="41">
        <v>0.59</v>
      </c>
      <c r="Q32" s="41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3.61</v>
      </c>
      <c r="C34" s="18">
        <f t="shared" si="0"/>
        <v>7.11</v>
      </c>
      <c r="D34" s="18">
        <f t="shared" si="0"/>
        <v>3.87</v>
      </c>
      <c r="E34" s="18">
        <f t="shared" si="0"/>
        <v>7.82</v>
      </c>
      <c r="F34" s="18">
        <f t="shared" si="0"/>
        <v>2.67</v>
      </c>
      <c r="G34" s="18">
        <f t="shared" si="0"/>
        <v>43.77</v>
      </c>
      <c r="H34" s="18">
        <f t="shared" si="0"/>
        <v>22.79</v>
      </c>
      <c r="I34" s="18">
        <f t="shared" si="0"/>
        <v>5.31</v>
      </c>
      <c r="J34" s="18">
        <f t="shared" si="0"/>
        <v>0.15</v>
      </c>
      <c r="K34" s="18">
        <f t="shared" si="0"/>
        <v>190.52</v>
      </c>
      <c r="L34" s="18">
        <f t="shared" si="0"/>
        <v>26.67</v>
      </c>
      <c r="M34" s="18">
        <f t="shared" si="0"/>
        <v>32.69</v>
      </c>
      <c r="N34" s="18">
        <f t="shared" si="0"/>
        <v>1.6</v>
      </c>
      <c r="O34" s="18">
        <f t="shared" si="0"/>
        <v>0</v>
      </c>
      <c r="P34" s="18">
        <f t="shared" si="0"/>
        <v>0.37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8.07</v>
      </c>
      <c r="C35" s="3">
        <f t="shared" si="1"/>
        <v>16.5</v>
      </c>
      <c r="D35" s="3">
        <f t="shared" si="1"/>
        <v>20.18</v>
      </c>
      <c r="E35" s="3">
        <f t="shared" si="1"/>
        <v>13.59</v>
      </c>
      <c r="F35" s="3">
        <f t="shared" si="1"/>
        <v>40.049999999999997</v>
      </c>
      <c r="G35" s="3">
        <f t="shared" si="1"/>
        <v>82.82</v>
      </c>
      <c r="H35" s="3">
        <f t="shared" si="1"/>
        <v>41.41</v>
      </c>
      <c r="I35" s="3">
        <f t="shared" si="1"/>
        <v>11.11</v>
      </c>
      <c r="J35" s="3">
        <f t="shared" si="1"/>
        <v>1.54</v>
      </c>
      <c r="K35" s="3">
        <f t="shared" si="1"/>
        <v>356.34</v>
      </c>
      <c r="L35" s="3">
        <f t="shared" si="1"/>
        <v>37.36</v>
      </c>
      <c r="M35" s="3">
        <f t="shared" si="1"/>
        <v>75.459999999999994</v>
      </c>
      <c r="N35" s="3">
        <f t="shared" si="1"/>
        <v>814.4</v>
      </c>
      <c r="O35" s="3">
        <f t="shared" si="1"/>
        <v>0</v>
      </c>
      <c r="P35" s="3">
        <f t="shared" si="1"/>
        <v>0.67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4.6774999999999993</v>
      </c>
      <c r="C36" s="18">
        <f t="shared" si="2"/>
        <v>9.2654166666666686</v>
      </c>
      <c r="D36" s="18">
        <f t="shared" si="2"/>
        <v>8.1258333333333344</v>
      </c>
      <c r="E36" s="18">
        <f t="shared" si="2"/>
        <v>9.4833333333333325</v>
      </c>
      <c r="F36" s="18">
        <f t="shared" si="2"/>
        <v>9.8437499999999982</v>
      </c>
      <c r="G36" s="18">
        <f t="shared" si="2"/>
        <v>57.182916666666664</v>
      </c>
      <c r="H36" s="18">
        <f t="shared" si="2"/>
        <v>27.637916666666666</v>
      </c>
      <c r="I36" s="18">
        <f t="shared" si="2"/>
        <v>7.7687500000000007</v>
      </c>
      <c r="J36" s="18">
        <f t="shared" si="2"/>
        <v>0.86791666666666656</v>
      </c>
      <c r="K36" s="18">
        <f t="shared" si="2"/>
        <v>272.93874999999997</v>
      </c>
      <c r="L36" s="18">
        <f t="shared" si="2"/>
        <v>32.71125</v>
      </c>
      <c r="M36" s="18">
        <f t="shared" si="2"/>
        <v>50.745416666666671</v>
      </c>
      <c r="N36" s="18">
        <f t="shared" si="2"/>
        <v>180.54583333333335</v>
      </c>
      <c r="O36" s="18">
        <f t="shared" si="2"/>
        <v>0</v>
      </c>
      <c r="P36" s="18">
        <f t="shared" si="2"/>
        <v>0.53291666666666659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1.0307584797023333</v>
      </c>
      <c r="C37" s="18">
        <f t="shared" ref="C37:Q37" si="3">STDEV(C9:C32)</f>
        <v>2.717673204218551</v>
      </c>
      <c r="D37" s="18">
        <f t="shared" si="3"/>
        <v>4.3757830769168482</v>
      </c>
      <c r="E37" s="18">
        <f t="shared" si="3"/>
        <v>1.780145735769896</v>
      </c>
      <c r="F37" s="18">
        <f t="shared" si="3"/>
        <v>9.9440446728945133</v>
      </c>
      <c r="G37" s="18">
        <f t="shared" si="3"/>
        <v>9.7517590293580856</v>
      </c>
      <c r="H37" s="18">
        <f t="shared" si="3"/>
        <v>4.4403005961373934</v>
      </c>
      <c r="I37" s="18">
        <f t="shared" si="3"/>
        <v>1.2790598194529956</v>
      </c>
      <c r="J37" s="18">
        <f t="shared" si="3"/>
        <v>0.43112571723103121</v>
      </c>
      <c r="K37" s="18">
        <f t="shared" si="3"/>
        <v>38.198191888975209</v>
      </c>
      <c r="L37" s="18">
        <f t="shared" si="3"/>
        <v>3.4684457269602986</v>
      </c>
      <c r="M37" s="18">
        <f t="shared" si="3"/>
        <v>14.307809658020515</v>
      </c>
      <c r="N37" s="18">
        <f t="shared" si="3"/>
        <v>258.10210311823874</v>
      </c>
      <c r="O37" s="18">
        <f t="shared" si="3"/>
        <v>0</v>
      </c>
      <c r="P37" s="18">
        <f t="shared" si="3"/>
        <v>7.4686543032497166E-2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156</v>
      </c>
      <c r="B9" s="41">
        <v>7.78</v>
      </c>
      <c r="C9" s="41">
        <v>12.88</v>
      </c>
      <c r="D9" s="41">
        <v>10.45</v>
      </c>
      <c r="E9" s="41">
        <v>14.3</v>
      </c>
      <c r="F9" s="41">
        <v>10.77</v>
      </c>
      <c r="G9" s="41">
        <v>77.55</v>
      </c>
      <c r="H9" s="41">
        <v>41.41</v>
      </c>
      <c r="I9" s="41">
        <v>7.68</v>
      </c>
      <c r="J9" s="41">
        <v>0.93</v>
      </c>
      <c r="K9" s="41">
        <v>304.48</v>
      </c>
      <c r="L9" s="41">
        <v>30.46</v>
      </c>
      <c r="M9" s="41">
        <v>57.27</v>
      </c>
      <c r="N9" s="41">
        <v>2.1</v>
      </c>
      <c r="O9" s="41">
        <v>0</v>
      </c>
      <c r="P9" s="41">
        <v>0.57999999999999996</v>
      </c>
      <c r="Q9" s="41">
        <v>28</v>
      </c>
      <c r="R9" s="38"/>
      <c r="S9" s="38"/>
      <c r="T9" s="38"/>
      <c r="U9" s="38"/>
    </row>
    <row r="10" spans="1:21" customFormat="1">
      <c r="A10" s="40" t="s">
        <v>157</v>
      </c>
      <c r="B10" s="41">
        <v>6.21</v>
      </c>
      <c r="C10" s="41">
        <v>11.4</v>
      </c>
      <c r="D10" s="41">
        <v>9.69</v>
      </c>
      <c r="E10" s="41">
        <v>11.16</v>
      </c>
      <c r="F10" s="41">
        <v>6.87</v>
      </c>
      <c r="G10" s="41">
        <v>71.739999999999995</v>
      </c>
      <c r="H10" s="41">
        <v>35.06</v>
      </c>
      <c r="I10" s="41">
        <v>7.06</v>
      </c>
      <c r="J10" s="41">
        <v>0.27</v>
      </c>
      <c r="K10" s="41">
        <v>190.45</v>
      </c>
      <c r="L10" s="41">
        <v>28.92</v>
      </c>
      <c r="M10" s="41">
        <v>66.16</v>
      </c>
      <c r="N10" s="41">
        <v>2.2000000000000002</v>
      </c>
      <c r="O10" s="41">
        <v>0</v>
      </c>
      <c r="P10" s="41">
        <v>0.54</v>
      </c>
      <c r="Q10" s="41">
        <v>28</v>
      </c>
      <c r="R10" s="38"/>
      <c r="S10" s="38"/>
      <c r="T10" s="38"/>
      <c r="U10" s="38"/>
    </row>
    <row r="11" spans="1:21" customFormat="1">
      <c r="A11" s="40" t="s">
        <v>158</v>
      </c>
      <c r="B11" s="41">
        <v>5.71</v>
      </c>
      <c r="C11" s="41">
        <v>9.5</v>
      </c>
      <c r="D11" s="41">
        <v>6.92</v>
      </c>
      <c r="E11" s="41">
        <v>8.34</v>
      </c>
      <c r="F11" s="41">
        <v>8.0399999999999991</v>
      </c>
      <c r="G11" s="41">
        <v>59.99</v>
      </c>
      <c r="H11" s="41">
        <v>35.06</v>
      </c>
      <c r="I11" s="41">
        <v>6.98</v>
      </c>
      <c r="J11" s="41">
        <v>0.35</v>
      </c>
      <c r="K11" s="41">
        <v>254.68</v>
      </c>
      <c r="L11" s="41">
        <v>28.48</v>
      </c>
      <c r="M11" s="41">
        <v>67.510000000000005</v>
      </c>
      <c r="N11" s="41">
        <v>1.9</v>
      </c>
      <c r="O11" s="41">
        <v>0</v>
      </c>
      <c r="P11" s="41">
        <v>0.5</v>
      </c>
      <c r="Q11" s="41">
        <v>28</v>
      </c>
      <c r="R11" s="38"/>
      <c r="S11" s="38"/>
      <c r="T11" s="38"/>
      <c r="U11" s="38"/>
    </row>
    <row r="12" spans="1:21" customFormat="1">
      <c r="A12" s="40" t="s">
        <v>159</v>
      </c>
      <c r="B12" s="41">
        <v>5.73</v>
      </c>
      <c r="C12" s="41">
        <v>8.69</v>
      </c>
      <c r="D12" s="41">
        <v>5.28</v>
      </c>
      <c r="E12" s="41">
        <v>8.27</v>
      </c>
      <c r="F12" s="41">
        <v>8.4600000000000009</v>
      </c>
      <c r="G12" s="41">
        <v>60.01</v>
      </c>
      <c r="H12" s="41">
        <v>31.38</v>
      </c>
      <c r="I12" s="41">
        <v>7.1</v>
      </c>
      <c r="J12" s="41">
        <v>0.48</v>
      </c>
      <c r="K12" s="41">
        <v>253.39</v>
      </c>
      <c r="L12" s="41">
        <v>28.81</v>
      </c>
      <c r="M12" s="41">
        <v>64.069999999999993</v>
      </c>
      <c r="N12" s="41">
        <v>2</v>
      </c>
      <c r="O12" s="41">
        <v>0</v>
      </c>
      <c r="P12" s="41">
        <v>0.5</v>
      </c>
      <c r="Q12" s="41">
        <v>28</v>
      </c>
      <c r="R12" s="38"/>
      <c r="S12" s="38"/>
      <c r="T12" s="38"/>
      <c r="U12" s="38"/>
    </row>
    <row r="13" spans="1:21" customFormat="1">
      <c r="A13" s="40" t="s">
        <v>160</v>
      </c>
      <c r="B13" s="41">
        <v>5.0999999999999996</v>
      </c>
      <c r="C13" s="41">
        <v>8.56</v>
      </c>
      <c r="D13" s="41">
        <v>6.17</v>
      </c>
      <c r="E13" s="41">
        <v>8.39</v>
      </c>
      <c r="F13" s="41">
        <v>2.99</v>
      </c>
      <c r="G13" s="41">
        <v>53.31</v>
      </c>
      <c r="H13" s="41">
        <v>29.29</v>
      </c>
      <c r="I13" s="41">
        <v>6.98</v>
      </c>
      <c r="J13" s="41">
        <v>0.25</v>
      </c>
      <c r="K13" s="41">
        <v>200.92</v>
      </c>
      <c r="L13" s="41">
        <v>28.24</v>
      </c>
      <c r="M13" s="41">
        <v>68.2</v>
      </c>
      <c r="N13" s="41">
        <v>2</v>
      </c>
      <c r="O13" s="41">
        <v>0</v>
      </c>
      <c r="P13" s="41">
        <v>0.41</v>
      </c>
      <c r="Q13" s="41">
        <v>28</v>
      </c>
      <c r="R13" s="38"/>
      <c r="S13" s="38"/>
      <c r="T13" s="38"/>
      <c r="U13" s="38"/>
    </row>
    <row r="14" spans="1:21" customFormat="1">
      <c r="A14" s="40" t="s">
        <v>161</v>
      </c>
      <c r="B14" s="41">
        <v>4.3099999999999996</v>
      </c>
      <c r="C14" s="41">
        <v>7.99</v>
      </c>
      <c r="D14" s="41">
        <v>6.2</v>
      </c>
      <c r="E14" s="41">
        <v>8.77</v>
      </c>
      <c r="F14" s="41">
        <v>2.82</v>
      </c>
      <c r="G14" s="41">
        <v>46.76</v>
      </c>
      <c r="H14" s="41">
        <v>26.62</v>
      </c>
      <c r="I14" s="41">
        <v>6.55</v>
      </c>
      <c r="J14" s="41">
        <v>0.39</v>
      </c>
      <c r="K14" s="41">
        <v>287.91000000000003</v>
      </c>
      <c r="L14" s="41">
        <v>27.95</v>
      </c>
      <c r="M14" s="41">
        <v>70.58</v>
      </c>
      <c r="N14" s="41">
        <v>20.9</v>
      </c>
      <c r="O14" s="41">
        <v>0</v>
      </c>
      <c r="P14" s="41">
        <v>0.35</v>
      </c>
      <c r="Q14" s="41">
        <v>28</v>
      </c>
      <c r="R14" s="38"/>
      <c r="S14" s="38"/>
      <c r="T14" s="38"/>
      <c r="U14" s="38"/>
    </row>
    <row r="15" spans="1:21" customFormat="1">
      <c r="A15" s="40" t="s">
        <v>162</v>
      </c>
      <c r="B15" s="41">
        <v>5.62</v>
      </c>
      <c r="C15" s="41">
        <v>9.8699999999999992</v>
      </c>
      <c r="D15" s="41">
        <v>7.67</v>
      </c>
      <c r="E15" s="41">
        <v>8.8699999999999992</v>
      </c>
      <c r="F15" s="41">
        <v>2.4900000000000002</v>
      </c>
      <c r="G15" s="41">
        <v>56.97</v>
      </c>
      <c r="H15" s="41">
        <v>25.35</v>
      </c>
      <c r="I15" s="41">
        <v>6.86</v>
      </c>
      <c r="J15" s="41">
        <v>0.57999999999999996</v>
      </c>
      <c r="K15" s="41">
        <v>295.87</v>
      </c>
      <c r="L15" s="41">
        <v>29.07</v>
      </c>
      <c r="M15" s="41">
        <v>64.55</v>
      </c>
      <c r="N15" s="41">
        <v>102.1</v>
      </c>
      <c r="O15" s="41">
        <v>0</v>
      </c>
      <c r="P15" s="41">
        <v>0.38</v>
      </c>
      <c r="Q15" s="41">
        <v>28</v>
      </c>
      <c r="R15" s="38"/>
      <c r="S15" s="38"/>
      <c r="T15" s="38"/>
      <c r="U15" s="38"/>
    </row>
    <row r="16" spans="1:21" customFormat="1">
      <c r="A16" s="40" t="s">
        <v>163</v>
      </c>
      <c r="B16" s="41">
        <v>5.43</v>
      </c>
      <c r="C16" s="41">
        <v>9.67</v>
      </c>
      <c r="D16" s="41">
        <v>8.0299999999999994</v>
      </c>
      <c r="E16" s="41">
        <v>8.83</v>
      </c>
      <c r="F16" s="41">
        <v>3.03</v>
      </c>
      <c r="G16" s="41">
        <v>58.99</v>
      </c>
      <c r="H16" s="41">
        <v>30.83</v>
      </c>
      <c r="I16" s="41">
        <v>7.41</v>
      </c>
      <c r="J16" s="41">
        <v>0.71</v>
      </c>
      <c r="K16" s="41">
        <v>264.58</v>
      </c>
      <c r="L16" s="41">
        <v>29.72</v>
      </c>
      <c r="M16" s="41">
        <v>62.65</v>
      </c>
      <c r="N16" s="41">
        <v>130.9</v>
      </c>
      <c r="O16" s="41">
        <v>0</v>
      </c>
      <c r="P16" s="41">
        <v>0.52</v>
      </c>
      <c r="Q16" s="41">
        <v>28</v>
      </c>
      <c r="R16" s="38"/>
      <c r="S16" s="38"/>
      <c r="T16" s="38"/>
      <c r="U16" s="38"/>
    </row>
    <row r="17" spans="1:21" customFormat="1">
      <c r="A17" s="40" t="s">
        <v>164</v>
      </c>
      <c r="B17" s="41">
        <v>4.58</v>
      </c>
      <c r="C17" s="41">
        <v>9.26</v>
      </c>
      <c r="D17" s="41">
        <v>8.17</v>
      </c>
      <c r="E17" s="41">
        <v>8.9600000000000009</v>
      </c>
      <c r="F17" s="41">
        <v>3.33</v>
      </c>
      <c r="G17" s="41">
        <v>58.18</v>
      </c>
      <c r="H17" s="41">
        <v>31.46</v>
      </c>
      <c r="I17" s="41">
        <v>12.3</v>
      </c>
      <c r="J17" s="41">
        <v>0.96</v>
      </c>
      <c r="K17" s="41">
        <v>300.01</v>
      </c>
      <c r="L17" s="41">
        <v>32.31</v>
      </c>
      <c r="M17" s="41">
        <v>59.62</v>
      </c>
      <c r="N17" s="41">
        <v>141.1</v>
      </c>
      <c r="O17" s="41">
        <v>0</v>
      </c>
      <c r="P17" s="41">
        <v>0.59</v>
      </c>
      <c r="Q17" s="41">
        <v>28</v>
      </c>
      <c r="R17" s="38"/>
      <c r="S17" s="38"/>
      <c r="T17" s="38"/>
      <c r="U17" s="38"/>
    </row>
    <row r="18" spans="1:21" customFormat="1">
      <c r="A18" s="40" t="s">
        <v>165</v>
      </c>
      <c r="B18" s="41">
        <v>4.84</v>
      </c>
      <c r="C18" s="41">
        <v>9.1300000000000008</v>
      </c>
      <c r="D18" s="41">
        <v>7.76</v>
      </c>
      <c r="E18" s="41">
        <v>9.5399999999999991</v>
      </c>
      <c r="F18" s="41">
        <v>9.8000000000000007</v>
      </c>
      <c r="G18" s="41">
        <v>53.25</v>
      </c>
      <c r="H18" s="41">
        <v>31.46</v>
      </c>
      <c r="I18" s="41">
        <v>12.58</v>
      </c>
      <c r="J18" s="41">
        <v>0.93</v>
      </c>
      <c r="K18" s="41">
        <v>320.20999999999998</v>
      </c>
      <c r="L18" s="41">
        <v>34.36</v>
      </c>
      <c r="M18" s="41">
        <v>50.27</v>
      </c>
      <c r="N18" s="41">
        <v>207.9</v>
      </c>
      <c r="O18" s="41">
        <v>0</v>
      </c>
      <c r="P18" s="41">
        <v>0.61</v>
      </c>
      <c r="Q18" s="41">
        <v>28</v>
      </c>
      <c r="R18" s="38"/>
      <c r="S18" s="38"/>
      <c r="T18" s="38"/>
      <c r="U18" s="38"/>
    </row>
    <row r="19" spans="1:21" customFormat="1">
      <c r="A19" s="40" t="s">
        <v>166</v>
      </c>
      <c r="B19" s="41">
        <v>4.62</v>
      </c>
      <c r="C19" s="41">
        <v>10.51</v>
      </c>
      <c r="D19" s="41">
        <v>10.95</v>
      </c>
      <c r="E19" s="41">
        <v>13.06</v>
      </c>
      <c r="F19" s="41">
        <v>42.27</v>
      </c>
      <c r="G19" s="41">
        <v>53.05</v>
      </c>
      <c r="H19" s="41">
        <v>29.11</v>
      </c>
      <c r="I19" s="41">
        <v>11.72</v>
      </c>
      <c r="J19" s="41">
        <v>0.73</v>
      </c>
      <c r="K19" s="41">
        <v>353.32</v>
      </c>
      <c r="L19" s="41">
        <v>35.19</v>
      </c>
      <c r="M19" s="41">
        <v>43.3</v>
      </c>
      <c r="N19" s="41">
        <v>211.9</v>
      </c>
      <c r="O19" s="41">
        <v>0</v>
      </c>
      <c r="P19" s="41">
        <v>0.56999999999999995</v>
      </c>
      <c r="Q19" s="41">
        <v>28</v>
      </c>
      <c r="R19" s="38"/>
      <c r="S19" s="38"/>
      <c r="T19" s="38"/>
      <c r="U19" s="38"/>
    </row>
    <row r="20" spans="1:21" customFormat="1">
      <c r="A20" s="40" t="s">
        <v>167</v>
      </c>
      <c r="B20" s="41">
        <v>4.72</v>
      </c>
      <c r="C20" s="41">
        <v>11.98</v>
      </c>
      <c r="D20" s="41">
        <v>13.1</v>
      </c>
      <c r="E20" s="41">
        <v>12.19</v>
      </c>
      <c r="F20" s="41">
        <v>66.64</v>
      </c>
      <c r="G20" s="41">
        <v>53.17</v>
      </c>
      <c r="H20" s="41">
        <v>29.11</v>
      </c>
      <c r="I20" s="41">
        <v>9.5</v>
      </c>
      <c r="J20" s="41">
        <v>0.81</v>
      </c>
      <c r="K20" s="41">
        <v>342.05</v>
      </c>
      <c r="L20" s="41">
        <v>36.770000000000003</v>
      </c>
      <c r="M20" s="41">
        <v>41.44</v>
      </c>
      <c r="N20" s="41">
        <v>493.4</v>
      </c>
      <c r="O20" s="41">
        <v>0</v>
      </c>
      <c r="P20" s="41">
        <v>0.53</v>
      </c>
      <c r="Q20" s="41">
        <v>28</v>
      </c>
      <c r="R20" s="38"/>
      <c r="S20" s="38"/>
      <c r="T20" s="38"/>
      <c r="U20" s="38"/>
    </row>
    <row r="21" spans="1:21" customFormat="1">
      <c r="A21" s="40" t="s">
        <v>168</v>
      </c>
      <c r="B21" s="41">
        <v>7.99</v>
      </c>
      <c r="C21" s="41">
        <v>11.78</v>
      </c>
      <c r="D21" s="41">
        <v>7.69</v>
      </c>
      <c r="E21" s="10" t="s">
        <v>12</v>
      </c>
      <c r="F21" s="41">
        <v>81.760000000000005</v>
      </c>
      <c r="G21" s="10" t="s">
        <v>12</v>
      </c>
      <c r="H21" s="10" t="s">
        <v>12</v>
      </c>
      <c r="I21" s="41">
        <v>16.27</v>
      </c>
      <c r="J21" s="41">
        <v>0.82</v>
      </c>
      <c r="K21" s="41">
        <v>330.38</v>
      </c>
      <c r="L21" s="41">
        <v>37.770000000000003</v>
      </c>
      <c r="M21" s="41">
        <v>38.21</v>
      </c>
      <c r="N21" s="41">
        <v>811.3</v>
      </c>
      <c r="O21" s="41">
        <v>0</v>
      </c>
      <c r="P21" s="41">
        <v>0.39</v>
      </c>
      <c r="Q21" s="41">
        <v>28</v>
      </c>
      <c r="R21" s="38"/>
      <c r="S21" s="38"/>
      <c r="T21" s="38"/>
      <c r="U21" s="38"/>
    </row>
    <row r="22" spans="1:21" customFormat="1">
      <c r="A22" s="40" t="s">
        <v>169</v>
      </c>
      <c r="B22" s="41">
        <v>9.1</v>
      </c>
      <c r="C22" s="41">
        <v>13.78</v>
      </c>
      <c r="D22" s="41">
        <v>13.79</v>
      </c>
      <c r="E22" s="10" t="s">
        <v>12</v>
      </c>
      <c r="F22" s="41">
        <v>36.299999999999997</v>
      </c>
      <c r="G22" s="41">
        <v>59.88</v>
      </c>
      <c r="H22" s="41">
        <v>21.16</v>
      </c>
      <c r="I22" s="41">
        <v>18.05</v>
      </c>
      <c r="J22" s="41">
        <v>1.1599999999999999</v>
      </c>
      <c r="K22" s="41">
        <v>340.99</v>
      </c>
      <c r="L22" s="41">
        <v>37.840000000000003</v>
      </c>
      <c r="M22" s="41">
        <v>36.04</v>
      </c>
      <c r="N22" s="41">
        <v>764.6</v>
      </c>
      <c r="O22" s="41">
        <v>0</v>
      </c>
      <c r="P22" s="41">
        <v>0.46</v>
      </c>
      <c r="Q22" s="41">
        <v>28</v>
      </c>
      <c r="R22" s="38"/>
      <c r="S22" s="38"/>
      <c r="T22" s="38"/>
      <c r="U22" s="38"/>
    </row>
    <row r="23" spans="1:21" customFormat="1">
      <c r="A23" s="40" t="s">
        <v>170</v>
      </c>
      <c r="B23" s="10" t="s">
        <v>12</v>
      </c>
      <c r="C23" s="10" t="s">
        <v>12</v>
      </c>
      <c r="D23" s="10" t="s">
        <v>12</v>
      </c>
      <c r="E23" s="10" t="s">
        <v>12</v>
      </c>
      <c r="F23" s="41">
        <v>22.62</v>
      </c>
      <c r="G23" s="41">
        <v>60.94</v>
      </c>
      <c r="H23" s="41">
        <v>20.27</v>
      </c>
      <c r="I23" s="41">
        <v>20.97</v>
      </c>
      <c r="J23" s="41">
        <v>0.63</v>
      </c>
      <c r="K23" s="41">
        <v>239.04</v>
      </c>
      <c r="L23" s="41">
        <v>37.31</v>
      </c>
      <c r="M23" s="41">
        <v>35.549999999999997</v>
      </c>
      <c r="N23" s="41">
        <v>354.8</v>
      </c>
      <c r="O23" s="41">
        <v>0</v>
      </c>
      <c r="P23" s="41">
        <v>0.46</v>
      </c>
      <c r="Q23" s="41">
        <v>28</v>
      </c>
      <c r="R23" s="38"/>
      <c r="S23" s="38"/>
      <c r="T23" s="38"/>
      <c r="U23" s="38"/>
    </row>
    <row r="24" spans="1:21" customFormat="1">
      <c r="A24" s="40" t="s">
        <v>171</v>
      </c>
      <c r="B24" s="41">
        <v>3.69</v>
      </c>
      <c r="C24" s="41">
        <v>8.91</v>
      </c>
      <c r="D24" s="41">
        <v>5.4</v>
      </c>
      <c r="E24" s="10" t="s">
        <v>12</v>
      </c>
      <c r="F24" s="41">
        <v>54.44</v>
      </c>
      <c r="G24" s="41">
        <v>61.66</v>
      </c>
      <c r="H24" s="41">
        <v>25.12</v>
      </c>
      <c r="I24" s="41">
        <v>23.07</v>
      </c>
      <c r="J24" s="41">
        <v>0.4</v>
      </c>
      <c r="K24" s="41">
        <v>239.46</v>
      </c>
      <c r="L24" s="41">
        <v>36.94</v>
      </c>
      <c r="M24" s="41">
        <v>41.26</v>
      </c>
      <c r="N24" s="41">
        <v>218.9</v>
      </c>
      <c r="O24" s="41">
        <v>0</v>
      </c>
      <c r="P24" s="41">
        <v>0.48</v>
      </c>
      <c r="Q24" s="41">
        <v>28</v>
      </c>
      <c r="R24" s="38"/>
      <c r="S24" s="38"/>
      <c r="T24" s="38"/>
      <c r="U24" s="38"/>
    </row>
    <row r="25" spans="1:21" customFormat="1">
      <c r="A25" s="40" t="s">
        <v>172</v>
      </c>
      <c r="B25" s="41">
        <v>5.01</v>
      </c>
      <c r="C25" s="41">
        <v>14.49</v>
      </c>
      <c r="D25" s="41">
        <v>12.44</v>
      </c>
      <c r="E25" s="41">
        <v>3.56</v>
      </c>
      <c r="F25" s="41">
        <v>45.39</v>
      </c>
      <c r="G25" s="41">
        <v>76.67</v>
      </c>
      <c r="H25" s="41">
        <v>27.05</v>
      </c>
      <c r="I25" s="41">
        <v>12.41</v>
      </c>
      <c r="J25" s="41">
        <v>1.23</v>
      </c>
      <c r="K25" s="41">
        <v>81.010000000000005</v>
      </c>
      <c r="L25" s="41">
        <v>34.9</v>
      </c>
      <c r="M25" s="41">
        <v>46.13</v>
      </c>
      <c r="N25" s="41">
        <v>119.2</v>
      </c>
      <c r="O25" s="41">
        <v>0</v>
      </c>
      <c r="P25" s="41">
        <v>0.41</v>
      </c>
      <c r="Q25" s="41">
        <v>9.99</v>
      </c>
      <c r="R25" s="38"/>
      <c r="S25" s="38"/>
      <c r="T25" s="38"/>
      <c r="U25" s="38"/>
    </row>
    <row r="26" spans="1:21" customFormat="1">
      <c r="A26" s="40" t="s">
        <v>173</v>
      </c>
      <c r="B26" s="41">
        <v>5.09</v>
      </c>
      <c r="C26" s="41">
        <v>15.84</v>
      </c>
      <c r="D26" s="41">
        <v>11.1</v>
      </c>
      <c r="E26" s="41">
        <v>3.57</v>
      </c>
      <c r="F26" s="41">
        <v>27.91</v>
      </c>
      <c r="G26" s="41">
        <v>68.150000000000006</v>
      </c>
      <c r="H26" s="41">
        <v>29.79</v>
      </c>
      <c r="I26" s="41">
        <v>8.6999999999999993</v>
      </c>
      <c r="J26" s="41">
        <v>0.72</v>
      </c>
      <c r="K26" s="41">
        <v>85.4</v>
      </c>
      <c r="L26" s="41">
        <v>33.520000000000003</v>
      </c>
      <c r="M26" s="41">
        <v>45.71</v>
      </c>
      <c r="N26" s="41">
        <v>56.3</v>
      </c>
      <c r="O26" s="41">
        <v>0</v>
      </c>
      <c r="P26" s="41">
        <v>0.41</v>
      </c>
      <c r="Q26" s="41">
        <v>9.98</v>
      </c>
      <c r="R26" s="38"/>
      <c r="S26" s="38"/>
      <c r="T26" s="38"/>
      <c r="U26" s="38"/>
    </row>
    <row r="27" spans="1:21" customFormat="1">
      <c r="A27" s="40" t="s">
        <v>174</v>
      </c>
      <c r="B27" s="41">
        <v>6.49</v>
      </c>
      <c r="C27" s="41">
        <v>19.48</v>
      </c>
      <c r="D27" s="41">
        <v>12.99</v>
      </c>
      <c r="E27" s="41">
        <v>3.92</v>
      </c>
      <c r="F27" s="41">
        <v>19.329999999999998</v>
      </c>
      <c r="G27" s="41">
        <v>69.56</v>
      </c>
      <c r="H27" s="41">
        <v>30.12</v>
      </c>
      <c r="I27" s="41">
        <v>6.84</v>
      </c>
      <c r="J27" s="41">
        <v>0.75</v>
      </c>
      <c r="K27" s="41">
        <v>177.52</v>
      </c>
      <c r="L27" s="41">
        <v>33.44</v>
      </c>
      <c r="M27" s="41">
        <v>48.32</v>
      </c>
      <c r="N27" s="41">
        <v>35.299999999999997</v>
      </c>
      <c r="O27" s="41">
        <v>0</v>
      </c>
      <c r="P27" s="41">
        <v>0.46</v>
      </c>
      <c r="Q27" s="41">
        <v>9.99</v>
      </c>
      <c r="R27" s="38"/>
      <c r="S27" s="38"/>
      <c r="T27" s="38"/>
      <c r="U27" s="38"/>
    </row>
    <row r="28" spans="1:21" customFormat="1">
      <c r="A28" s="40" t="s">
        <v>175</v>
      </c>
      <c r="B28" s="41">
        <v>4.3099999999999996</v>
      </c>
      <c r="C28" s="41">
        <v>13.14</v>
      </c>
      <c r="D28" s="41">
        <v>8.82</v>
      </c>
      <c r="E28" s="41">
        <v>3.79</v>
      </c>
      <c r="F28" s="41">
        <v>23.03</v>
      </c>
      <c r="G28" s="41">
        <v>74.8</v>
      </c>
      <c r="H28" s="41">
        <v>29.26</v>
      </c>
      <c r="I28" s="41">
        <v>6.87</v>
      </c>
      <c r="J28" s="41">
        <v>0.22</v>
      </c>
      <c r="K28" s="41">
        <v>195.96</v>
      </c>
      <c r="L28" s="41">
        <v>31.41</v>
      </c>
      <c r="M28" s="41">
        <v>55.75</v>
      </c>
      <c r="N28" s="41">
        <v>2.1</v>
      </c>
      <c r="O28" s="41">
        <v>0</v>
      </c>
      <c r="P28" s="41">
        <v>0.46</v>
      </c>
      <c r="Q28" s="41">
        <v>10</v>
      </c>
      <c r="R28" s="38"/>
      <c r="S28" s="38"/>
      <c r="T28" s="38"/>
      <c r="U28" s="38"/>
    </row>
    <row r="29" spans="1:21" customFormat="1">
      <c r="A29" s="40" t="s">
        <v>176</v>
      </c>
      <c r="B29" s="41">
        <v>4.21</v>
      </c>
      <c r="C29" s="41">
        <v>12.69</v>
      </c>
      <c r="D29" s="41">
        <v>8.59</v>
      </c>
      <c r="E29" s="41">
        <v>4.29</v>
      </c>
      <c r="F29" s="41">
        <v>20.68</v>
      </c>
      <c r="G29" s="41">
        <v>77.44</v>
      </c>
      <c r="H29" s="41">
        <v>26.78</v>
      </c>
      <c r="I29" s="41">
        <v>6.61</v>
      </c>
      <c r="J29" s="41">
        <v>0.19</v>
      </c>
      <c r="K29" s="41">
        <v>217.34</v>
      </c>
      <c r="L29" s="41">
        <v>30.73</v>
      </c>
      <c r="M29" s="41">
        <v>57.44</v>
      </c>
      <c r="N29" s="41">
        <v>1.9</v>
      </c>
      <c r="O29" s="41">
        <v>0</v>
      </c>
      <c r="P29" s="41">
        <v>0.5</v>
      </c>
      <c r="Q29" s="41">
        <v>10</v>
      </c>
      <c r="R29" s="38"/>
      <c r="S29" s="38"/>
      <c r="T29" s="38"/>
      <c r="U29" s="38"/>
    </row>
    <row r="30" spans="1:21" customFormat="1">
      <c r="A30" s="40" t="s">
        <v>177</v>
      </c>
      <c r="B30" s="41">
        <v>9.89</v>
      </c>
      <c r="C30" s="41">
        <v>25.31</v>
      </c>
      <c r="D30" s="41">
        <v>15.41</v>
      </c>
      <c r="E30" s="41">
        <v>4.4400000000000004</v>
      </c>
      <c r="F30" s="41">
        <v>17.649999999999999</v>
      </c>
      <c r="G30" s="41">
        <v>92.45</v>
      </c>
      <c r="H30" s="41">
        <v>34.75</v>
      </c>
      <c r="I30" s="41">
        <v>7.25</v>
      </c>
      <c r="J30" s="41">
        <v>0.26</v>
      </c>
      <c r="K30" s="41">
        <v>188.79</v>
      </c>
      <c r="L30" s="41">
        <v>30.38</v>
      </c>
      <c r="M30" s="41">
        <v>60.28</v>
      </c>
      <c r="N30" s="41">
        <v>2</v>
      </c>
      <c r="O30" s="41">
        <v>0</v>
      </c>
      <c r="P30" s="41">
        <v>0.63</v>
      </c>
      <c r="Q30" s="41">
        <v>9.99</v>
      </c>
      <c r="R30" s="38"/>
      <c r="S30" s="38"/>
      <c r="T30" s="38"/>
      <c r="U30" s="38"/>
    </row>
    <row r="31" spans="1:21" customFormat="1">
      <c r="A31" s="40" t="s">
        <v>178</v>
      </c>
      <c r="B31" s="41">
        <v>7.86</v>
      </c>
      <c r="C31" s="41">
        <v>19.73</v>
      </c>
      <c r="D31" s="41">
        <v>11.87</v>
      </c>
      <c r="E31" s="41">
        <v>4.4400000000000004</v>
      </c>
      <c r="F31" s="41">
        <v>11.78</v>
      </c>
      <c r="G31" s="41">
        <v>100.49</v>
      </c>
      <c r="H31" s="41">
        <v>39.24</v>
      </c>
      <c r="I31" s="41">
        <v>8.2100000000000009</v>
      </c>
      <c r="J31" s="41">
        <v>0.24</v>
      </c>
      <c r="K31" s="41">
        <v>178.78</v>
      </c>
      <c r="L31" s="41">
        <v>29.93</v>
      </c>
      <c r="M31" s="41">
        <v>65.06</v>
      </c>
      <c r="N31" s="41">
        <v>2.1</v>
      </c>
      <c r="O31" s="41">
        <v>0</v>
      </c>
      <c r="P31" s="41">
        <v>0.56999999999999995</v>
      </c>
      <c r="Q31" s="41">
        <v>9.98</v>
      </c>
      <c r="R31" s="38"/>
      <c r="S31" s="38"/>
      <c r="T31" s="38"/>
      <c r="U31" s="38"/>
    </row>
    <row r="32" spans="1:21" customFormat="1">
      <c r="A32" s="40" t="s">
        <v>179</v>
      </c>
      <c r="B32" s="41">
        <v>5.0999999999999996</v>
      </c>
      <c r="C32" s="41">
        <v>13.59</v>
      </c>
      <c r="D32" s="41">
        <v>8.51</v>
      </c>
      <c r="E32" s="41">
        <v>5.16</v>
      </c>
      <c r="F32" s="41">
        <v>11.65</v>
      </c>
      <c r="G32" s="41">
        <v>109.03</v>
      </c>
      <c r="H32" s="41">
        <v>39.950000000000003</v>
      </c>
      <c r="I32" s="41">
        <v>7.96</v>
      </c>
      <c r="J32" s="41">
        <v>0.19</v>
      </c>
      <c r="K32" s="41">
        <v>202.84</v>
      </c>
      <c r="L32" s="41">
        <v>29.74</v>
      </c>
      <c r="M32" s="41">
        <v>65.36</v>
      </c>
      <c r="N32" s="41">
        <v>2</v>
      </c>
      <c r="O32" s="41">
        <v>0</v>
      </c>
      <c r="P32" s="41">
        <v>0.55000000000000004</v>
      </c>
      <c r="Q32" s="41">
        <v>9.98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3.69</v>
      </c>
      <c r="C34" s="18">
        <f t="shared" si="0"/>
        <v>7.99</v>
      </c>
      <c r="D34" s="18">
        <f t="shared" si="0"/>
        <v>5.28</v>
      </c>
      <c r="E34" s="18">
        <f t="shared" si="0"/>
        <v>3.56</v>
      </c>
      <c r="F34" s="18">
        <f t="shared" si="0"/>
        <v>2.4900000000000002</v>
      </c>
      <c r="G34" s="18">
        <f t="shared" si="0"/>
        <v>46.76</v>
      </c>
      <c r="H34" s="18">
        <f t="shared" si="0"/>
        <v>20.27</v>
      </c>
      <c r="I34" s="18">
        <f t="shared" si="0"/>
        <v>6.55</v>
      </c>
      <c r="J34" s="18">
        <f t="shared" si="0"/>
        <v>0.19</v>
      </c>
      <c r="K34" s="18">
        <f t="shared" si="0"/>
        <v>81.010000000000005</v>
      </c>
      <c r="L34" s="18">
        <f t="shared" si="0"/>
        <v>27.95</v>
      </c>
      <c r="M34" s="18">
        <f t="shared" si="0"/>
        <v>35.549999999999997</v>
      </c>
      <c r="N34" s="18">
        <f t="shared" si="0"/>
        <v>1.9</v>
      </c>
      <c r="O34" s="18">
        <f t="shared" si="0"/>
        <v>0</v>
      </c>
      <c r="P34" s="18">
        <f t="shared" si="0"/>
        <v>0.35</v>
      </c>
      <c r="Q34" s="18">
        <f t="shared" si="0"/>
        <v>9.98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9.89</v>
      </c>
      <c r="C35" s="3">
        <f t="shared" si="1"/>
        <v>25.31</v>
      </c>
      <c r="D35" s="3">
        <f t="shared" si="1"/>
        <v>15.41</v>
      </c>
      <c r="E35" s="3">
        <f t="shared" si="1"/>
        <v>14.3</v>
      </c>
      <c r="F35" s="3">
        <f t="shared" si="1"/>
        <v>81.760000000000005</v>
      </c>
      <c r="G35" s="3">
        <f t="shared" si="1"/>
        <v>109.03</v>
      </c>
      <c r="H35" s="3">
        <f t="shared" si="1"/>
        <v>41.41</v>
      </c>
      <c r="I35" s="3">
        <f t="shared" si="1"/>
        <v>23.07</v>
      </c>
      <c r="J35" s="3">
        <f t="shared" si="1"/>
        <v>1.23</v>
      </c>
      <c r="K35" s="3">
        <f t="shared" si="1"/>
        <v>353.32</v>
      </c>
      <c r="L35" s="3">
        <f t="shared" si="1"/>
        <v>37.840000000000003</v>
      </c>
      <c r="M35" s="3">
        <f t="shared" si="1"/>
        <v>70.58</v>
      </c>
      <c r="N35" s="3">
        <f t="shared" si="1"/>
        <v>811.3</v>
      </c>
      <c r="O35" s="3">
        <f t="shared" si="1"/>
        <v>0</v>
      </c>
      <c r="P35" s="3">
        <f t="shared" si="1"/>
        <v>0.63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5.7995652173913035</v>
      </c>
      <c r="C36" s="18">
        <f t="shared" si="2"/>
        <v>12.529565217391305</v>
      </c>
      <c r="D36" s="18">
        <f t="shared" si="2"/>
        <v>9.4347826086956523</v>
      </c>
      <c r="E36" s="18">
        <f t="shared" si="2"/>
        <v>7.6924999999999972</v>
      </c>
      <c r="F36" s="18">
        <f t="shared" si="2"/>
        <v>22.502083333333331</v>
      </c>
      <c r="G36" s="18">
        <f t="shared" si="2"/>
        <v>67.566956521739129</v>
      </c>
      <c r="H36" s="18">
        <f t="shared" si="2"/>
        <v>30.418695652173913</v>
      </c>
      <c r="I36" s="18">
        <f t="shared" si="2"/>
        <v>10.247083333333334</v>
      </c>
      <c r="J36" s="18">
        <f t="shared" si="2"/>
        <v>0.59166666666666679</v>
      </c>
      <c r="K36" s="18">
        <f t="shared" si="2"/>
        <v>243.55750000000003</v>
      </c>
      <c r="L36" s="18">
        <f t="shared" si="2"/>
        <v>32.257916666666667</v>
      </c>
      <c r="M36" s="18">
        <f t="shared" si="2"/>
        <v>54.613749999999989</v>
      </c>
      <c r="N36" s="18">
        <f t="shared" si="2"/>
        <v>153.70416666666668</v>
      </c>
      <c r="O36" s="18">
        <f t="shared" si="2"/>
        <v>0</v>
      </c>
      <c r="P36" s="18">
        <f t="shared" si="2"/>
        <v>0.49416666666666687</v>
      </c>
      <c r="Q36" s="18">
        <f t="shared" si="2"/>
        <v>21.996250000000003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1.6500977333613511</v>
      </c>
      <c r="C37" s="18">
        <f t="shared" ref="C37:Q37" si="3">STDEV(C9:C32)</f>
        <v>4.256592190367642</v>
      </c>
      <c r="D37" s="18">
        <f t="shared" si="3"/>
        <v>2.8391962203880219</v>
      </c>
      <c r="E37" s="18">
        <f t="shared" si="3"/>
        <v>3.3834160174841759</v>
      </c>
      <c r="F37" s="18">
        <f t="shared" si="3"/>
        <v>21.618117598775637</v>
      </c>
      <c r="G37" s="18">
        <f t="shared" si="3"/>
        <v>15.900105612794595</v>
      </c>
      <c r="H37" s="18">
        <f t="shared" si="3"/>
        <v>5.404574917560641</v>
      </c>
      <c r="I37" s="18">
        <f t="shared" si="3"/>
        <v>4.8085914770079663</v>
      </c>
      <c r="J37" s="18">
        <f t="shared" si="3"/>
        <v>0.31856562584656611</v>
      </c>
      <c r="K37" s="18">
        <f t="shared" si="3"/>
        <v>74.948773360615021</v>
      </c>
      <c r="L37" s="18">
        <f t="shared" si="3"/>
        <v>3.3784238403326294</v>
      </c>
      <c r="M37" s="18">
        <f t="shared" si="3"/>
        <v>11.338798652913175</v>
      </c>
      <c r="N37" s="18">
        <f t="shared" si="3"/>
        <v>232.91725808174633</v>
      </c>
      <c r="O37" s="18">
        <f t="shared" si="3"/>
        <v>0</v>
      </c>
      <c r="P37" s="18">
        <f t="shared" si="3"/>
        <v>7.7454989266790175E-2</v>
      </c>
      <c r="Q37" s="18">
        <f t="shared" si="3"/>
        <v>8.6732000074692728</v>
      </c>
      <c r="R37" s="18"/>
      <c r="S37" s="18"/>
      <c r="T37" s="18"/>
      <c r="U37" s="18"/>
    </row>
    <row r="38" spans="1:21">
      <c r="A38" s="34" t="s">
        <v>52</v>
      </c>
      <c r="B38" s="34">
        <f>COUNT(B9:B32)+1</f>
        <v>24</v>
      </c>
      <c r="C38" s="34">
        <f t="shared" ref="C38:D38" si="4">COUNT(C9:C32)+1</f>
        <v>24</v>
      </c>
      <c r="D38" s="34">
        <f t="shared" si="4"/>
        <v>24</v>
      </c>
      <c r="E38" s="34">
        <f>COUNT(E9:E32)+4</f>
        <v>24</v>
      </c>
      <c r="F38" s="34">
        <f t="shared" ref="F38:Q38" si="5">COUNT(F9:F32)</f>
        <v>24</v>
      </c>
      <c r="G38" s="34">
        <f>COUNT(G9:G32)+1</f>
        <v>24</v>
      </c>
      <c r="H38" s="34">
        <f>COUNT(H9:H32)+1</f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180</v>
      </c>
      <c r="B9" s="41">
        <v>5</v>
      </c>
      <c r="C9" s="41">
        <v>13.49</v>
      </c>
      <c r="D9" s="41">
        <v>8.5299999999999994</v>
      </c>
      <c r="E9" s="41">
        <v>5.47</v>
      </c>
      <c r="F9" s="41">
        <v>2.5</v>
      </c>
      <c r="G9" s="41">
        <v>102.93</v>
      </c>
      <c r="H9" s="41">
        <v>40.69</v>
      </c>
      <c r="I9" s="41">
        <v>8.08</v>
      </c>
      <c r="J9" s="41">
        <v>0.19</v>
      </c>
      <c r="K9" s="41">
        <v>188.19</v>
      </c>
      <c r="L9" s="41">
        <v>29.5</v>
      </c>
      <c r="M9" s="41">
        <v>67.05</v>
      </c>
      <c r="N9" s="41">
        <v>1.9</v>
      </c>
      <c r="O9" s="41">
        <v>0</v>
      </c>
      <c r="P9" s="41">
        <v>0.52</v>
      </c>
      <c r="Q9" s="41">
        <v>9.9700000000000006</v>
      </c>
      <c r="R9" s="38"/>
      <c r="S9" s="38"/>
      <c r="T9" s="38"/>
      <c r="U9" s="38"/>
    </row>
    <row r="10" spans="1:21" customFormat="1">
      <c r="A10" s="40" t="s">
        <v>181</v>
      </c>
      <c r="B10" s="41">
        <v>7.57</v>
      </c>
      <c r="C10" s="41">
        <v>17.940000000000001</v>
      </c>
      <c r="D10" s="41">
        <v>10.95</v>
      </c>
      <c r="E10" s="41">
        <v>5.53</v>
      </c>
      <c r="F10" s="41">
        <v>2.77</v>
      </c>
      <c r="G10" s="41">
        <v>89.07</v>
      </c>
      <c r="H10" s="41">
        <v>35.64</v>
      </c>
      <c r="I10" s="41">
        <v>8.64</v>
      </c>
      <c r="J10" s="41">
        <v>0.42</v>
      </c>
      <c r="K10" s="41">
        <v>171.06</v>
      </c>
      <c r="L10" s="41">
        <v>30.03</v>
      </c>
      <c r="M10" s="41">
        <v>67.33</v>
      </c>
      <c r="N10" s="41">
        <v>2.2000000000000002</v>
      </c>
      <c r="O10" s="41">
        <v>0</v>
      </c>
      <c r="P10" s="41">
        <v>0.6</v>
      </c>
      <c r="Q10" s="41">
        <v>10.02</v>
      </c>
      <c r="R10" s="38"/>
      <c r="S10" s="38"/>
      <c r="T10" s="38"/>
      <c r="U10" s="38"/>
    </row>
    <row r="11" spans="1:21" customFormat="1">
      <c r="A11" s="40" t="s">
        <v>182</v>
      </c>
      <c r="B11" s="41">
        <v>8.48</v>
      </c>
      <c r="C11" s="41">
        <v>17.41</v>
      </c>
      <c r="D11" s="41">
        <v>8.93</v>
      </c>
      <c r="E11" s="41">
        <v>4.78</v>
      </c>
      <c r="F11" s="41">
        <v>2.91</v>
      </c>
      <c r="G11" s="41">
        <v>110.81</v>
      </c>
      <c r="H11" s="41">
        <v>46.15</v>
      </c>
      <c r="I11" s="41">
        <v>9.42</v>
      </c>
      <c r="J11" s="41">
        <v>0.27</v>
      </c>
      <c r="K11" s="41">
        <v>223.32</v>
      </c>
      <c r="L11" s="41">
        <v>28.72</v>
      </c>
      <c r="M11" s="41">
        <v>72.12</v>
      </c>
      <c r="N11" s="41">
        <v>2.2000000000000002</v>
      </c>
      <c r="O11" s="41">
        <v>0</v>
      </c>
      <c r="P11" s="41">
        <v>0.66</v>
      </c>
      <c r="Q11" s="41">
        <v>10.029999999999999</v>
      </c>
      <c r="R11" s="38"/>
      <c r="S11" s="38"/>
      <c r="T11" s="38"/>
      <c r="U11" s="38"/>
    </row>
    <row r="12" spans="1:21" customFormat="1">
      <c r="A12" s="40" t="s">
        <v>183</v>
      </c>
      <c r="B12" s="41">
        <v>10.38</v>
      </c>
      <c r="C12" s="41">
        <v>18.22</v>
      </c>
      <c r="D12" s="41">
        <v>8.69</v>
      </c>
      <c r="E12" s="41">
        <v>5.09</v>
      </c>
      <c r="F12" s="41">
        <v>3.1</v>
      </c>
      <c r="G12" s="41">
        <v>118.26</v>
      </c>
      <c r="H12" s="41">
        <v>52.03</v>
      </c>
      <c r="I12" s="41">
        <v>10.02</v>
      </c>
      <c r="J12" s="41">
        <v>0.21</v>
      </c>
      <c r="K12" s="41">
        <v>233.15</v>
      </c>
      <c r="L12" s="41">
        <v>28.53</v>
      </c>
      <c r="M12" s="41">
        <v>77.180000000000007</v>
      </c>
      <c r="N12" s="41">
        <v>2.1</v>
      </c>
      <c r="O12" s="41">
        <v>0</v>
      </c>
      <c r="P12" s="41">
        <v>0.69</v>
      </c>
      <c r="Q12" s="41">
        <v>10.050000000000001</v>
      </c>
      <c r="R12" s="38"/>
      <c r="S12" s="38"/>
      <c r="T12" s="38"/>
      <c r="U12" s="38"/>
    </row>
    <row r="13" spans="1:21" customFormat="1">
      <c r="A13" s="40" t="s">
        <v>184</v>
      </c>
      <c r="B13" s="41">
        <v>11.07</v>
      </c>
      <c r="C13" s="41">
        <v>18.37</v>
      </c>
      <c r="D13" s="41">
        <v>7.7</v>
      </c>
      <c r="E13" s="41">
        <v>5.08</v>
      </c>
      <c r="F13" s="41">
        <v>2.91</v>
      </c>
      <c r="G13" s="41">
        <v>116.87</v>
      </c>
      <c r="H13" s="41">
        <v>51.19</v>
      </c>
      <c r="I13" s="41">
        <v>10.57</v>
      </c>
      <c r="J13" s="41">
        <v>0.3</v>
      </c>
      <c r="K13" s="41">
        <v>216.48</v>
      </c>
      <c r="L13" s="41">
        <v>27.37</v>
      </c>
      <c r="M13" s="41">
        <v>80.52</v>
      </c>
      <c r="N13" s="41">
        <v>1.9</v>
      </c>
      <c r="O13" s="41">
        <v>0</v>
      </c>
      <c r="P13" s="41">
        <v>0.78</v>
      </c>
      <c r="Q13" s="41">
        <v>10.07</v>
      </c>
      <c r="R13" s="38"/>
      <c r="S13" s="38"/>
      <c r="T13" s="38"/>
      <c r="U13" s="38"/>
    </row>
    <row r="14" spans="1:21" customFormat="1">
      <c r="A14" s="40" t="s">
        <v>185</v>
      </c>
      <c r="B14" s="41">
        <v>11.39</v>
      </c>
      <c r="C14" s="41">
        <v>18.190000000000001</v>
      </c>
      <c r="D14" s="41">
        <v>7.51</v>
      </c>
      <c r="E14" s="41">
        <v>4.6399999999999997</v>
      </c>
      <c r="F14" s="41">
        <v>2.13</v>
      </c>
      <c r="G14" s="41">
        <v>112.52</v>
      </c>
      <c r="H14" s="41">
        <v>47.03</v>
      </c>
      <c r="I14" s="41">
        <v>11.14</v>
      </c>
      <c r="J14" s="41">
        <v>0.21</v>
      </c>
      <c r="K14" s="41">
        <v>191.04</v>
      </c>
      <c r="L14" s="41">
        <v>27.05</v>
      </c>
      <c r="M14" s="41">
        <v>82.01</v>
      </c>
      <c r="N14" s="41">
        <v>23.2</v>
      </c>
      <c r="O14" s="41">
        <v>0</v>
      </c>
      <c r="P14" s="41">
        <v>0.78</v>
      </c>
      <c r="Q14" s="41">
        <v>10.07</v>
      </c>
      <c r="R14" s="38"/>
      <c r="S14" s="38"/>
      <c r="T14" s="38"/>
      <c r="U14" s="38"/>
    </row>
    <row r="15" spans="1:21" customFormat="1">
      <c r="A15" s="40" t="s">
        <v>186</v>
      </c>
      <c r="B15" s="41">
        <v>11.27</v>
      </c>
      <c r="C15" s="41">
        <v>17.239999999999998</v>
      </c>
      <c r="D15" s="41">
        <v>6.57</v>
      </c>
      <c r="E15" s="41">
        <v>4.2</v>
      </c>
      <c r="F15" s="41">
        <v>5.48</v>
      </c>
      <c r="G15" s="41">
        <v>105.69</v>
      </c>
      <c r="H15" s="41">
        <v>45.88</v>
      </c>
      <c r="I15" s="41">
        <v>12.17</v>
      </c>
      <c r="J15" s="41">
        <v>0.27</v>
      </c>
      <c r="K15" s="41">
        <v>243.03</v>
      </c>
      <c r="L15" s="41">
        <v>29.75</v>
      </c>
      <c r="M15" s="41">
        <v>79.180000000000007</v>
      </c>
      <c r="N15" s="41">
        <v>77.3</v>
      </c>
      <c r="O15" s="41">
        <v>0</v>
      </c>
      <c r="P15" s="41">
        <v>0.8</v>
      </c>
      <c r="Q15" s="41">
        <v>10.07</v>
      </c>
      <c r="R15" s="38"/>
      <c r="S15" s="38"/>
      <c r="T15" s="38"/>
      <c r="U15" s="38"/>
    </row>
    <row r="16" spans="1:21" customFormat="1">
      <c r="A16" s="40" t="s">
        <v>187</v>
      </c>
      <c r="B16" s="41">
        <v>9.5500000000000007</v>
      </c>
      <c r="C16" s="41">
        <v>15.62</v>
      </c>
      <c r="D16" s="41">
        <v>6.45</v>
      </c>
      <c r="E16" s="41">
        <v>6.86</v>
      </c>
      <c r="F16" s="41">
        <v>11.32</v>
      </c>
      <c r="G16" s="41">
        <v>98.21</v>
      </c>
      <c r="H16" s="41">
        <v>44.52</v>
      </c>
      <c r="I16" s="41">
        <v>13.1</v>
      </c>
      <c r="J16" s="41">
        <v>0.62</v>
      </c>
      <c r="K16" s="41">
        <v>277.95999999999998</v>
      </c>
      <c r="L16" s="41">
        <v>32.32</v>
      </c>
      <c r="M16" s="41">
        <v>66.290000000000006</v>
      </c>
      <c r="N16" s="41">
        <v>115.6</v>
      </c>
      <c r="O16" s="41">
        <v>0</v>
      </c>
      <c r="P16" s="41">
        <v>0.88</v>
      </c>
      <c r="Q16" s="41">
        <v>10.06</v>
      </c>
      <c r="R16" s="38"/>
      <c r="S16" s="38"/>
      <c r="T16" s="38"/>
      <c r="U16" s="38"/>
    </row>
    <row r="17" spans="1:21" customFormat="1">
      <c r="A17" s="40" t="s">
        <v>188</v>
      </c>
      <c r="B17" s="41">
        <v>8.14</v>
      </c>
      <c r="C17" s="41">
        <v>14.31</v>
      </c>
      <c r="D17" s="41">
        <v>6.57</v>
      </c>
      <c r="E17" s="41">
        <v>6.26</v>
      </c>
      <c r="F17" s="41">
        <v>11.21</v>
      </c>
      <c r="G17" s="41">
        <v>93.07</v>
      </c>
      <c r="H17" s="41">
        <v>44.26</v>
      </c>
      <c r="I17" s="41">
        <v>13.76</v>
      </c>
      <c r="J17" s="41">
        <v>0.75</v>
      </c>
      <c r="K17" s="41">
        <v>285.48</v>
      </c>
      <c r="L17" s="41">
        <v>33.880000000000003</v>
      </c>
      <c r="M17" s="41">
        <v>55</v>
      </c>
      <c r="N17" s="41">
        <v>148.30000000000001</v>
      </c>
      <c r="O17" s="41">
        <v>0</v>
      </c>
      <c r="P17" s="41">
        <v>0.89</v>
      </c>
      <c r="Q17" s="41">
        <v>10.01</v>
      </c>
      <c r="R17" s="38"/>
      <c r="S17" s="38"/>
      <c r="T17" s="38"/>
      <c r="U17" s="38"/>
    </row>
    <row r="18" spans="1:21" customFormat="1">
      <c r="A18" s="40" t="s">
        <v>189</v>
      </c>
      <c r="B18" s="41">
        <v>5.87</v>
      </c>
      <c r="C18" s="41">
        <v>14.49</v>
      </c>
      <c r="D18" s="41">
        <v>9.8800000000000008</v>
      </c>
      <c r="E18" s="41">
        <v>6.27</v>
      </c>
      <c r="F18" s="41">
        <v>12.83</v>
      </c>
      <c r="G18" s="41">
        <v>88.01</v>
      </c>
      <c r="H18" s="41">
        <v>41.46</v>
      </c>
      <c r="I18" s="41">
        <v>12.71</v>
      </c>
      <c r="J18" s="41">
        <v>1</v>
      </c>
      <c r="K18" s="41">
        <v>288.92</v>
      </c>
      <c r="L18" s="41">
        <v>35.090000000000003</v>
      </c>
      <c r="M18" s="41">
        <v>47.39</v>
      </c>
      <c r="N18" s="41">
        <v>185.7</v>
      </c>
      <c r="O18" s="41">
        <v>0</v>
      </c>
      <c r="P18" s="41">
        <v>0.83</v>
      </c>
      <c r="Q18" s="41">
        <v>9.98</v>
      </c>
      <c r="R18" s="38"/>
      <c r="S18" s="38"/>
      <c r="T18" s="38"/>
      <c r="U18" s="38"/>
    </row>
    <row r="19" spans="1:21" customFormat="1">
      <c r="A19" s="40" t="s">
        <v>190</v>
      </c>
      <c r="B19" s="41">
        <v>3.84</v>
      </c>
      <c r="C19" s="41">
        <v>13.28</v>
      </c>
      <c r="D19" s="41">
        <v>9.4499999999999993</v>
      </c>
      <c r="E19" s="41">
        <v>5.64</v>
      </c>
      <c r="F19" s="41">
        <v>9.58</v>
      </c>
      <c r="G19" s="41">
        <v>82.06</v>
      </c>
      <c r="H19" s="41">
        <v>39.53</v>
      </c>
      <c r="I19" s="41">
        <v>13.29</v>
      </c>
      <c r="J19" s="41">
        <v>0.84</v>
      </c>
      <c r="K19" s="41">
        <v>287.43</v>
      </c>
      <c r="L19" s="41">
        <v>36.880000000000003</v>
      </c>
      <c r="M19" s="41">
        <v>43.31</v>
      </c>
      <c r="N19" s="41">
        <v>217.4</v>
      </c>
      <c r="O19" s="41">
        <v>0</v>
      </c>
      <c r="P19" s="41">
        <v>0.89</v>
      </c>
      <c r="Q19" s="41">
        <v>9.9600000000000009</v>
      </c>
      <c r="R19" s="38"/>
      <c r="S19" s="38"/>
      <c r="T19" s="38"/>
      <c r="U19" s="38"/>
    </row>
    <row r="20" spans="1:21" customFormat="1">
      <c r="A20" s="40" t="s">
        <v>191</v>
      </c>
      <c r="B20" s="41">
        <v>3.49</v>
      </c>
      <c r="C20" s="41">
        <v>12.74</v>
      </c>
      <c r="D20" s="41">
        <v>9.25</v>
      </c>
      <c r="E20" s="41">
        <v>6.23</v>
      </c>
      <c r="F20" s="41">
        <v>12.87</v>
      </c>
      <c r="G20" s="41">
        <v>84.94</v>
      </c>
      <c r="H20" s="41">
        <v>42.57</v>
      </c>
      <c r="I20" s="41">
        <v>14.41</v>
      </c>
      <c r="J20" s="41">
        <v>0.8</v>
      </c>
      <c r="K20" s="41">
        <v>294.17</v>
      </c>
      <c r="L20" s="41">
        <v>38.229999999999997</v>
      </c>
      <c r="M20" s="41">
        <v>38.35</v>
      </c>
      <c r="N20" s="41">
        <v>508.9</v>
      </c>
      <c r="O20" s="41">
        <v>0</v>
      </c>
      <c r="P20" s="41">
        <v>0.91</v>
      </c>
      <c r="Q20" s="41">
        <v>9.9600000000000009</v>
      </c>
      <c r="R20" s="38"/>
      <c r="S20" s="38"/>
      <c r="T20" s="38"/>
      <c r="U20" s="38"/>
    </row>
    <row r="21" spans="1:21" customFormat="1">
      <c r="A21" s="40" t="s">
        <v>192</v>
      </c>
      <c r="B21" s="41">
        <v>3.55</v>
      </c>
      <c r="C21" s="41">
        <v>11.01</v>
      </c>
      <c r="D21" s="41">
        <v>7.62</v>
      </c>
      <c r="E21" s="41">
        <v>5.94</v>
      </c>
      <c r="F21" s="41">
        <v>14.82</v>
      </c>
      <c r="G21" s="41">
        <v>82</v>
      </c>
      <c r="H21" s="41">
        <v>42.38</v>
      </c>
      <c r="I21" s="41">
        <v>13.97</v>
      </c>
      <c r="J21" s="41">
        <v>0.79</v>
      </c>
      <c r="K21" s="41">
        <v>318.04000000000002</v>
      </c>
      <c r="L21" s="41">
        <v>39.229999999999997</v>
      </c>
      <c r="M21" s="41">
        <v>31.54</v>
      </c>
      <c r="N21" s="41">
        <v>812.7</v>
      </c>
      <c r="O21" s="41">
        <v>0</v>
      </c>
      <c r="P21" s="41">
        <v>0.84</v>
      </c>
      <c r="Q21" s="41">
        <v>9.9600000000000009</v>
      </c>
      <c r="R21" s="38"/>
      <c r="S21" s="38"/>
      <c r="T21" s="38"/>
      <c r="U21" s="38"/>
    </row>
    <row r="22" spans="1:21" customFormat="1">
      <c r="A22" s="40" t="s">
        <v>193</v>
      </c>
      <c r="B22" s="41">
        <v>3.55</v>
      </c>
      <c r="C22" s="41">
        <v>9.92</v>
      </c>
      <c r="D22" s="41">
        <v>6.51</v>
      </c>
      <c r="E22" s="41">
        <v>5.52</v>
      </c>
      <c r="F22" s="41">
        <v>12.88</v>
      </c>
      <c r="G22" s="41">
        <v>71.33</v>
      </c>
      <c r="H22" s="41">
        <v>38.14</v>
      </c>
      <c r="I22" s="41">
        <v>12.55</v>
      </c>
      <c r="J22" s="41">
        <v>1</v>
      </c>
      <c r="K22" s="41">
        <v>298.60000000000002</v>
      </c>
      <c r="L22" s="41">
        <v>39.729999999999997</v>
      </c>
      <c r="M22" s="41">
        <v>26.87</v>
      </c>
      <c r="N22" s="41">
        <v>717.6</v>
      </c>
      <c r="O22" s="41">
        <v>0</v>
      </c>
      <c r="P22" s="41">
        <v>0.72</v>
      </c>
      <c r="Q22" s="41">
        <v>9.9600000000000009</v>
      </c>
      <c r="R22" s="38"/>
      <c r="S22" s="38"/>
      <c r="T22" s="38"/>
      <c r="U22" s="38"/>
    </row>
    <row r="23" spans="1:21" customFormat="1">
      <c r="A23" s="40" t="s">
        <v>194</v>
      </c>
      <c r="B23" s="41">
        <v>3.52</v>
      </c>
      <c r="C23" s="41">
        <v>10.29</v>
      </c>
      <c r="D23" s="41">
        <v>6.87</v>
      </c>
      <c r="E23" s="41">
        <v>6.47</v>
      </c>
      <c r="F23" s="41">
        <v>21.12</v>
      </c>
      <c r="G23" s="41">
        <v>64.040000000000006</v>
      </c>
      <c r="H23" s="41">
        <v>34.75</v>
      </c>
      <c r="I23" s="41">
        <v>10.84</v>
      </c>
      <c r="J23" s="41">
        <v>1.07</v>
      </c>
      <c r="K23" s="41">
        <v>296.66000000000003</v>
      </c>
      <c r="L23" s="41">
        <v>39.82</v>
      </c>
      <c r="M23" s="41">
        <v>27.77</v>
      </c>
      <c r="N23" s="41">
        <v>422.5</v>
      </c>
      <c r="O23" s="41">
        <v>0</v>
      </c>
      <c r="P23" s="41">
        <v>0.61</v>
      </c>
      <c r="Q23" s="41">
        <v>9.9499999999999993</v>
      </c>
      <c r="R23" s="38"/>
      <c r="S23" s="38"/>
      <c r="T23" s="38"/>
      <c r="U23" s="38"/>
    </row>
    <row r="24" spans="1:21" customFormat="1">
      <c r="A24" s="40" t="s">
        <v>195</v>
      </c>
      <c r="B24" s="41">
        <v>3.67</v>
      </c>
      <c r="C24" s="41">
        <v>8.8800000000000008</v>
      </c>
      <c r="D24" s="41">
        <v>5.21</v>
      </c>
      <c r="E24" s="41">
        <v>6.3</v>
      </c>
      <c r="F24" s="41">
        <v>29.21</v>
      </c>
      <c r="G24" s="41">
        <v>67.569999999999993</v>
      </c>
      <c r="H24" s="41">
        <v>35.01</v>
      </c>
      <c r="I24" s="41">
        <v>9.3800000000000008</v>
      </c>
      <c r="J24" s="41">
        <v>0.76</v>
      </c>
      <c r="K24" s="41">
        <v>280.42</v>
      </c>
      <c r="L24" s="41">
        <v>39.32</v>
      </c>
      <c r="M24" s="41">
        <v>28.26</v>
      </c>
      <c r="N24" s="41">
        <v>471.8</v>
      </c>
      <c r="O24" s="41">
        <v>0</v>
      </c>
      <c r="P24" s="41">
        <v>0.56999999999999995</v>
      </c>
      <c r="Q24" s="41">
        <v>9.92</v>
      </c>
      <c r="R24" s="38"/>
      <c r="S24" s="38"/>
      <c r="T24" s="38"/>
      <c r="U24" s="38"/>
    </row>
    <row r="25" spans="1:21" customFormat="1">
      <c r="A25" s="40" t="s">
        <v>196</v>
      </c>
      <c r="B25" s="41">
        <v>3.64</v>
      </c>
      <c r="C25" s="41">
        <v>7.92</v>
      </c>
      <c r="D25" s="41">
        <v>4.2699999999999996</v>
      </c>
      <c r="E25" s="41">
        <v>6.48</v>
      </c>
      <c r="F25" s="41">
        <v>35.53</v>
      </c>
      <c r="G25" s="41">
        <v>64.88</v>
      </c>
      <c r="H25" s="41">
        <v>34.799999999999997</v>
      </c>
      <c r="I25" s="41">
        <v>9.07</v>
      </c>
      <c r="J25" s="41">
        <v>0.81</v>
      </c>
      <c r="K25" s="41">
        <v>257.14999999999998</v>
      </c>
      <c r="L25" s="41">
        <v>38.4</v>
      </c>
      <c r="M25" s="41">
        <v>28.59</v>
      </c>
      <c r="N25" s="41">
        <v>169.1</v>
      </c>
      <c r="O25" s="41">
        <v>0</v>
      </c>
      <c r="P25" s="41">
        <v>0.54</v>
      </c>
      <c r="Q25" s="41">
        <v>9.9600000000000009</v>
      </c>
      <c r="R25" s="38"/>
      <c r="S25" s="38"/>
      <c r="T25" s="38"/>
      <c r="U25" s="38"/>
    </row>
    <row r="26" spans="1:21" customFormat="1">
      <c r="A26" s="40" t="s">
        <v>197</v>
      </c>
      <c r="B26" s="41">
        <v>3.58</v>
      </c>
      <c r="C26" s="41">
        <v>8.4600000000000009</v>
      </c>
      <c r="D26" s="41">
        <v>4.91</v>
      </c>
      <c r="E26" s="41">
        <v>9.5</v>
      </c>
      <c r="F26" s="41">
        <v>47.23</v>
      </c>
      <c r="G26" s="41">
        <v>61.76</v>
      </c>
      <c r="H26" s="41">
        <v>33.090000000000003</v>
      </c>
      <c r="I26" s="41">
        <v>8.75</v>
      </c>
      <c r="J26" s="41">
        <v>0.45</v>
      </c>
      <c r="K26" s="41">
        <v>253.38</v>
      </c>
      <c r="L26" s="41">
        <v>37.96</v>
      </c>
      <c r="M26" s="41">
        <v>32.869999999999997</v>
      </c>
      <c r="N26" s="41">
        <v>94.8</v>
      </c>
      <c r="O26" s="41">
        <v>0</v>
      </c>
      <c r="P26" s="41">
        <v>0.52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198</v>
      </c>
      <c r="B27" s="41">
        <v>3.6</v>
      </c>
      <c r="C27" s="41">
        <v>9.92</v>
      </c>
      <c r="D27" s="41">
        <v>6.31</v>
      </c>
      <c r="E27" s="41">
        <v>10.38</v>
      </c>
      <c r="F27" s="41">
        <v>53.47</v>
      </c>
      <c r="G27" s="41">
        <v>61.57</v>
      </c>
      <c r="H27" s="41">
        <v>31.28</v>
      </c>
      <c r="I27" s="41">
        <v>8.57</v>
      </c>
      <c r="J27" s="41">
        <v>0.24</v>
      </c>
      <c r="K27" s="41">
        <v>195.35</v>
      </c>
      <c r="L27" s="41">
        <v>36.47</v>
      </c>
      <c r="M27" s="41">
        <v>42.23</v>
      </c>
      <c r="N27" s="41">
        <v>31.3</v>
      </c>
      <c r="O27" s="41">
        <v>0</v>
      </c>
      <c r="P27" s="41">
        <v>0.57999999999999996</v>
      </c>
      <c r="Q27" s="41">
        <v>9.94</v>
      </c>
      <c r="R27" s="38"/>
      <c r="S27" s="38"/>
      <c r="T27" s="38"/>
      <c r="U27" s="38"/>
    </row>
    <row r="28" spans="1:21" customFormat="1">
      <c r="A28" s="40" t="s">
        <v>199</v>
      </c>
      <c r="B28" s="41">
        <v>3.68</v>
      </c>
      <c r="C28" s="41">
        <v>11.07</v>
      </c>
      <c r="D28" s="41">
        <v>7.39</v>
      </c>
      <c r="E28" s="41">
        <v>7.45</v>
      </c>
      <c r="F28" s="41">
        <v>14.93</v>
      </c>
      <c r="G28" s="41">
        <v>65.84</v>
      </c>
      <c r="H28" s="41">
        <v>29.21</v>
      </c>
      <c r="I28" s="41">
        <v>9.1</v>
      </c>
      <c r="J28" s="41">
        <v>0.3</v>
      </c>
      <c r="K28" s="41">
        <v>251.49</v>
      </c>
      <c r="L28" s="41">
        <v>33.71</v>
      </c>
      <c r="M28" s="41">
        <v>43.49</v>
      </c>
      <c r="N28" s="41">
        <v>1.6</v>
      </c>
      <c r="O28" s="41">
        <v>0</v>
      </c>
      <c r="P28" s="41">
        <v>0.53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200</v>
      </c>
      <c r="B29" s="41">
        <v>3.59</v>
      </c>
      <c r="C29" s="41">
        <v>10.47</v>
      </c>
      <c r="D29" s="41">
        <v>6.89</v>
      </c>
      <c r="E29" s="41">
        <v>6.29</v>
      </c>
      <c r="F29" s="41">
        <v>10.38</v>
      </c>
      <c r="G29" s="41">
        <v>63.75</v>
      </c>
      <c r="H29" s="41">
        <v>28.12</v>
      </c>
      <c r="I29" s="41">
        <v>8.1999999999999993</v>
      </c>
      <c r="J29" s="41">
        <v>0.27</v>
      </c>
      <c r="K29" s="41">
        <v>238.32</v>
      </c>
      <c r="L29" s="41">
        <v>32.299999999999997</v>
      </c>
      <c r="M29" s="41">
        <v>47.17</v>
      </c>
      <c r="N29" s="41">
        <v>1.7</v>
      </c>
      <c r="O29" s="41">
        <v>0</v>
      </c>
      <c r="P29" s="41">
        <v>0.39</v>
      </c>
      <c r="Q29" s="41">
        <v>9.93</v>
      </c>
      <c r="R29" s="38"/>
      <c r="S29" s="38"/>
      <c r="T29" s="38"/>
      <c r="U29" s="38"/>
    </row>
    <row r="30" spans="1:21" customFormat="1">
      <c r="A30" s="40" t="s">
        <v>201</v>
      </c>
      <c r="B30" s="41">
        <v>3.65</v>
      </c>
      <c r="C30" s="41">
        <v>10.14</v>
      </c>
      <c r="D30" s="41">
        <v>6.55</v>
      </c>
      <c r="E30" s="41">
        <v>6.24</v>
      </c>
      <c r="F30" s="41">
        <v>10.45</v>
      </c>
      <c r="G30" s="41">
        <v>60.43</v>
      </c>
      <c r="H30" s="41">
        <v>30.12</v>
      </c>
      <c r="I30" s="41">
        <v>7.36</v>
      </c>
      <c r="J30" s="41">
        <v>0.22</v>
      </c>
      <c r="K30" s="41">
        <v>196.47</v>
      </c>
      <c r="L30" s="41">
        <v>31.44</v>
      </c>
      <c r="M30" s="41">
        <v>50.21</v>
      </c>
      <c r="N30" s="41">
        <v>1.6</v>
      </c>
      <c r="O30" s="41">
        <v>0</v>
      </c>
      <c r="P30" s="41">
        <v>0.37</v>
      </c>
      <c r="Q30" s="41">
        <v>9.94</v>
      </c>
      <c r="R30" s="38"/>
      <c r="S30" s="38"/>
      <c r="T30" s="38"/>
      <c r="U30" s="38"/>
    </row>
    <row r="31" spans="1:21" customFormat="1">
      <c r="A31" s="40" t="s">
        <v>202</v>
      </c>
      <c r="B31" s="41">
        <v>3.73</v>
      </c>
      <c r="C31" s="41">
        <v>10.039999999999999</v>
      </c>
      <c r="D31" s="41">
        <v>6.39</v>
      </c>
      <c r="E31" s="41">
        <v>6.33</v>
      </c>
      <c r="F31" s="41">
        <v>5.82</v>
      </c>
      <c r="G31" s="41">
        <v>52.52</v>
      </c>
      <c r="H31" s="41">
        <v>29.23</v>
      </c>
      <c r="I31" s="41">
        <v>6.69</v>
      </c>
      <c r="J31" s="41">
        <v>0.18</v>
      </c>
      <c r="K31" s="41">
        <v>195.07</v>
      </c>
      <c r="L31" s="41">
        <v>30.82</v>
      </c>
      <c r="M31" s="41">
        <v>53.09</v>
      </c>
      <c r="N31" s="41">
        <v>1.5</v>
      </c>
      <c r="O31" s="41">
        <v>0</v>
      </c>
      <c r="P31" s="41">
        <v>0.36</v>
      </c>
      <c r="Q31" s="41">
        <v>9.9600000000000009</v>
      </c>
      <c r="R31" s="38"/>
      <c r="S31" s="38"/>
      <c r="T31" s="38"/>
      <c r="U31" s="38"/>
    </row>
    <row r="32" spans="1:21" customFormat="1">
      <c r="A32" s="40" t="s">
        <v>203</v>
      </c>
      <c r="B32" s="41">
        <v>3.82</v>
      </c>
      <c r="C32" s="41">
        <v>9.7899999999999991</v>
      </c>
      <c r="D32" s="41">
        <v>6.02</v>
      </c>
      <c r="E32" s="41">
        <v>6.49</v>
      </c>
      <c r="F32" s="41">
        <v>4.3899999999999997</v>
      </c>
      <c r="G32" s="41">
        <v>51.68</v>
      </c>
      <c r="H32" s="41">
        <v>28.39</v>
      </c>
      <c r="I32" s="41">
        <v>6.27</v>
      </c>
      <c r="J32" s="41">
        <v>0.17</v>
      </c>
      <c r="K32" s="41">
        <v>223.87</v>
      </c>
      <c r="L32" s="41">
        <v>30.18</v>
      </c>
      <c r="M32" s="41">
        <v>54.84</v>
      </c>
      <c r="N32" s="41">
        <v>1.5</v>
      </c>
      <c r="O32" s="41">
        <v>0</v>
      </c>
      <c r="P32" s="41">
        <v>0.35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3.49</v>
      </c>
      <c r="C34" s="18">
        <f t="shared" si="0"/>
        <v>7.92</v>
      </c>
      <c r="D34" s="18">
        <f t="shared" si="0"/>
        <v>4.2699999999999996</v>
      </c>
      <c r="E34" s="18">
        <f t="shared" si="0"/>
        <v>4.2</v>
      </c>
      <c r="F34" s="18">
        <f t="shared" si="0"/>
        <v>2.13</v>
      </c>
      <c r="G34" s="18">
        <f t="shared" si="0"/>
        <v>51.68</v>
      </c>
      <c r="H34" s="18">
        <f t="shared" si="0"/>
        <v>28.12</v>
      </c>
      <c r="I34" s="18">
        <f t="shared" si="0"/>
        <v>6.27</v>
      </c>
      <c r="J34" s="18">
        <f t="shared" si="0"/>
        <v>0.17</v>
      </c>
      <c r="K34" s="18">
        <f t="shared" si="0"/>
        <v>171.06</v>
      </c>
      <c r="L34" s="18">
        <f t="shared" si="0"/>
        <v>27.05</v>
      </c>
      <c r="M34" s="18">
        <f t="shared" si="0"/>
        <v>26.87</v>
      </c>
      <c r="N34" s="18">
        <f t="shared" si="0"/>
        <v>1.5</v>
      </c>
      <c r="O34" s="18">
        <f t="shared" si="0"/>
        <v>0</v>
      </c>
      <c r="P34" s="18">
        <f t="shared" si="0"/>
        <v>0.35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11.39</v>
      </c>
      <c r="C35" s="3">
        <f t="shared" si="1"/>
        <v>18.37</v>
      </c>
      <c r="D35" s="3">
        <f t="shared" si="1"/>
        <v>10.95</v>
      </c>
      <c r="E35" s="3">
        <f t="shared" si="1"/>
        <v>10.38</v>
      </c>
      <c r="F35" s="3">
        <f t="shared" si="1"/>
        <v>53.47</v>
      </c>
      <c r="G35" s="3">
        <f t="shared" si="1"/>
        <v>118.26</v>
      </c>
      <c r="H35" s="3">
        <f t="shared" si="1"/>
        <v>52.03</v>
      </c>
      <c r="I35" s="3">
        <f t="shared" si="1"/>
        <v>14.41</v>
      </c>
      <c r="J35" s="3">
        <f t="shared" si="1"/>
        <v>1.07</v>
      </c>
      <c r="K35" s="3">
        <f t="shared" si="1"/>
        <v>318.04000000000002</v>
      </c>
      <c r="L35" s="3">
        <f t="shared" si="1"/>
        <v>39.82</v>
      </c>
      <c r="M35" s="3">
        <f t="shared" si="1"/>
        <v>82.01</v>
      </c>
      <c r="N35" s="3">
        <f t="shared" si="1"/>
        <v>812.7</v>
      </c>
      <c r="O35" s="3">
        <f t="shared" si="1"/>
        <v>0</v>
      </c>
      <c r="P35" s="3">
        <f t="shared" si="1"/>
        <v>0.91</v>
      </c>
      <c r="Q35" s="3">
        <f t="shared" si="1"/>
        <v>10.07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5.8179166666666653</v>
      </c>
      <c r="C36" s="18">
        <f t="shared" si="2"/>
        <v>12.883750000000001</v>
      </c>
      <c r="D36" s="18">
        <f t="shared" si="2"/>
        <v>7.3091666666666661</v>
      </c>
      <c r="E36" s="18">
        <f t="shared" si="2"/>
        <v>6.2266666666666675</v>
      </c>
      <c r="F36" s="18">
        <f t="shared" si="2"/>
        <v>14.159999999999998</v>
      </c>
      <c r="G36" s="18">
        <f t="shared" si="2"/>
        <v>82.075416666666655</v>
      </c>
      <c r="H36" s="18">
        <f t="shared" si="2"/>
        <v>38.561250000000001</v>
      </c>
      <c r="I36" s="18">
        <f t="shared" si="2"/>
        <v>10.335833333333332</v>
      </c>
      <c r="J36" s="18">
        <f t="shared" si="2"/>
        <v>0.50583333333333336</v>
      </c>
      <c r="K36" s="18">
        <f t="shared" si="2"/>
        <v>246.04374999999996</v>
      </c>
      <c r="L36" s="18">
        <f t="shared" si="2"/>
        <v>33.613750000000003</v>
      </c>
      <c r="M36" s="18">
        <f t="shared" si="2"/>
        <v>51.777499999999996</v>
      </c>
      <c r="N36" s="18">
        <f t="shared" si="2"/>
        <v>167.26666666666665</v>
      </c>
      <c r="O36" s="18">
        <f t="shared" si="2"/>
        <v>0</v>
      </c>
      <c r="P36" s="18">
        <f t="shared" si="2"/>
        <v>0.65041666666666664</v>
      </c>
      <c r="Q36" s="18">
        <f t="shared" si="2"/>
        <v>9.9841666666666669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2.9933781689453891</v>
      </c>
      <c r="C37" s="18">
        <f t="shared" ref="C37:Q37" si="3">STDEV(C9:C32)</f>
        <v>3.5309412619940503</v>
      </c>
      <c r="D37" s="18">
        <f t="shared" si="3"/>
        <v>1.6265993244554218</v>
      </c>
      <c r="E37" s="18">
        <f t="shared" si="3"/>
        <v>1.3734553906643328</v>
      </c>
      <c r="F37" s="18">
        <f t="shared" si="3"/>
        <v>13.938727719371759</v>
      </c>
      <c r="G37" s="18">
        <f t="shared" si="3"/>
        <v>21.24803294817352</v>
      </c>
      <c r="H37" s="18">
        <f t="shared" si="3"/>
        <v>7.3053490304380144</v>
      </c>
      <c r="I37" s="18">
        <f t="shared" si="3"/>
        <v>2.418925231453497</v>
      </c>
      <c r="J37" s="18">
        <f t="shared" si="3"/>
        <v>0.31093011470728293</v>
      </c>
      <c r="K37" s="18">
        <f t="shared" si="3"/>
        <v>42.770973478313927</v>
      </c>
      <c r="L37" s="18">
        <f t="shared" si="3"/>
        <v>4.3162955257045388</v>
      </c>
      <c r="M37" s="18">
        <f t="shared" si="3"/>
        <v>18.376096772946539</v>
      </c>
      <c r="N37" s="18">
        <f t="shared" si="3"/>
        <v>240.13119904257169</v>
      </c>
      <c r="O37" s="18">
        <f t="shared" si="3"/>
        <v>0</v>
      </c>
      <c r="P37" s="18">
        <f t="shared" si="3"/>
        <v>0.1821246387998372</v>
      </c>
      <c r="Q37" s="18">
        <f t="shared" si="3"/>
        <v>4.9159604012508872E-2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204</v>
      </c>
      <c r="B9" s="41">
        <v>3.99</v>
      </c>
      <c r="C9" s="41">
        <v>9.51</v>
      </c>
      <c r="D9" s="41">
        <v>5.75</v>
      </c>
      <c r="E9" s="41">
        <v>6.58</v>
      </c>
      <c r="F9" s="41">
        <v>10.039999999999999</v>
      </c>
      <c r="G9" s="41">
        <v>50.66</v>
      </c>
      <c r="H9" s="41">
        <v>28.05</v>
      </c>
      <c r="I9" s="41">
        <v>6.08</v>
      </c>
      <c r="J9" s="41">
        <v>0.19</v>
      </c>
      <c r="K9" s="41">
        <v>222.17</v>
      </c>
      <c r="L9" s="41">
        <v>29.23</v>
      </c>
      <c r="M9" s="41">
        <v>59.93</v>
      </c>
      <c r="N9" s="41">
        <v>1.7</v>
      </c>
      <c r="O9" s="41">
        <v>0</v>
      </c>
      <c r="P9" s="41">
        <v>0.39</v>
      </c>
      <c r="Q9" s="41">
        <v>9.98</v>
      </c>
      <c r="R9" s="38"/>
      <c r="S9" s="38"/>
      <c r="T9" s="38"/>
      <c r="U9" s="38"/>
    </row>
    <row r="10" spans="1:21" customFormat="1">
      <c r="A10" s="40" t="s">
        <v>205</v>
      </c>
      <c r="B10" s="41">
        <v>4.1900000000000004</v>
      </c>
      <c r="C10" s="41">
        <v>9.0299999999999994</v>
      </c>
      <c r="D10" s="41">
        <v>5</v>
      </c>
      <c r="E10" s="41">
        <v>6.35</v>
      </c>
      <c r="F10" s="41">
        <v>9.1300000000000008</v>
      </c>
      <c r="G10" s="41">
        <v>48.61</v>
      </c>
      <c r="H10" s="41">
        <v>27.01</v>
      </c>
      <c r="I10" s="41">
        <v>6.11</v>
      </c>
      <c r="J10" s="41">
        <v>0.15</v>
      </c>
      <c r="K10" s="41">
        <v>228</v>
      </c>
      <c r="L10" s="41">
        <v>28.62</v>
      </c>
      <c r="M10" s="41">
        <v>60.75</v>
      </c>
      <c r="N10" s="41">
        <v>1.4</v>
      </c>
      <c r="O10" s="41">
        <v>0</v>
      </c>
      <c r="P10" s="41">
        <v>0.43</v>
      </c>
      <c r="Q10" s="41">
        <v>9.9600000000000009</v>
      </c>
      <c r="R10" s="38"/>
      <c r="S10" s="38"/>
      <c r="T10" s="38"/>
      <c r="U10" s="38"/>
    </row>
    <row r="11" spans="1:21" customFormat="1">
      <c r="A11" s="40" t="s">
        <v>206</v>
      </c>
      <c r="B11" s="41">
        <v>4.32</v>
      </c>
      <c r="C11" s="41">
        <v>8.74</v>
      </c>
      <c r="D11" s="41">
        <v>4.43</v>
      </c>
      <c r="E11" s="41">
        <v>4.54</v>
      </c>
      <c r="F11" s="41">
        <v>8.89</v>
      </c>
      <c r="G11" s="41">
        <v>50.42</v>
      </c>
      <c r="H11" s="41">
        <v>30.54</v>
      </c>
      <c r="I11" s="41">
        <v>6.23</v>
      </c>
      <c r="J11" s="41">
        <v>0.31</v>
      </c>
      <c r="K11" s="41">
        <v>248.63</v>
      </c>
      <c r="L11" s="41">
        <v>28.61</v>
      </c>
      <c r="M11" s="41">
        <v>63.29</v>
      </c>
      <c r="N11" s="41">
        <v>1.4</v>
      </c>
      <c r="O11" s="41">
        <v>0</v>
      </c>
      <c r="P11" s="41">
        <v>0.43</v>
      </c>
      <c r="Q11" s="41">
        <v>9.98</v>
      </c>
      <c r="R11" s="38"/>
      <c r="S11" s="38"/>
      <c r="T11" s="38"/>
      <c r="U11" s="38"/>
    </row>
    <row r="12" spans="1:21" customFormat="1">
      <c r="A12" s="40" t="s">
        <v>207</v>
      </c>
      <c r="B12" s="41">
        <v>4.25</v>
      </c>
      <c r="C12" s="41">
        <v>8.68</v>
      </c>
      <c r="D12" s="41">
        <v>4.43</v>
      </c>
      <c r="E12" s="41">
        <v>4.55</v>
      </c>
      <c r="F12" s="41">
        <v>15.31</v>
      </c>
      <c r="G12" s="41">
        <v>49.22</v>
      </c>
      <c r="H12" s="41">
        <v>27.91</v>
      </c>
      <c r="I12" s="41">
        <v>6.22</v>
      </c>
      <c r="J12" s="41">
        <v>0.25</v>
      </c>
      <c r="K12" s="41">
        <v>248.42</v>
      </c>
      <c r="L12" s="41">
        <v>28.94</v>
      </c>
      <c r="M12" s="41">
        <v>61.03</v>
      </c>
      <c r="N12" s="41">
        <v>1.6</v>
      </c>
      <c r="O12" s="41">
        <v>0</v>
      </c>
      <c r="P12" s="41">
        <v>0.41</v>
      </c>
      <c r="Q12" s="41">
        <v>9.9700000000000006</v>
      </c>
      <c r="R12" s="38"/>
      <c r="S12" s="38"/>
      <c r="T12" s="38"/>
      <c r="U12" s="38"/>
    </row>
    <row r="13" spans="1:21" customFormat="1">
      <c r="A13" s="40" t="s">
        <v>208</v>
      </c>
      <c r="B13" s="41">
        <v>4.1399999999999997</v>
      </c>
      <c r="C13" s="41">
        <v>8.42</v>
      </c>
      <c r="D13" s="41">
        <v>4.28</v>
      </c>
      <c r="E13" s="41">
        <v>4.84</v>
      </c>
      <c r="F13" s="41">
        <v>12.41</v>
      </c>
      <c r="G13" s="41">
        <v>47.84</v>
      </c>
      <c r="H13" s="41">
        <v>27.18</v>
      </c>
      <c r="I13" s="41">
        <v>6.12</v>
      </c>
      <c r="J13" s="41">
        <v>0.28000000000000003</v>
      </c>
      <c r="K13" s="41">
        <v>249.8</v>
      </c>
      <c r="L13" s="41">
        <v>28.74</v>
      </c>
      <c r="M13" s="41">
        <v>62.79</v>
      </c>
      <c r="N13" s="41">
        <v>1.8</v>
      </c>
      <c r="O13" s="41">
        <v>0</v>
      </c>
      <c r="P13" s="41">
        <v>0.4</v>
      </c>
      <c r="Q13" s="41">
        <v>9.9700000000000006</v>
      </c>
      <c r="R13" s="38"/>
      <c r="S13" s="38"/>
      <c r="T13" s="38"/>
      <c r="U13" s="38"/>
    </row>
    <row r="14" spans="1:21" customFormat="1">
      <c r="A14" s="40" t="s">
        <v>209</v>
      </c>
      <c r="B14" s="41">
        <v>4.1100000000000003</v>
      </c>
      <c r="C14" s="41">
        <v>8.6300000000000008</v>
      </c>
      <c r="D14" s="41">
        <v>4.72</v>
      </c>
      <c r="E14" s="41">
        <v>4.8600000000000003</v>
      </c>
      <c r="F14" s="41">
        <v>4.45</v>
      </c>
      <c r="G14" s="41">
        <v>47.39</v>
      </c>
      <c r="H14" s="41">
        <v>27.05</v>
      </c>
      <c r="I14" s="41">
        <v>6.28</v>
      </c>
      <c r="J14" s="41">
        <v>0.28999999999999998</v>
      </c>
      <c r="K14" s="41">
        <v>234.35</v>
      </c>
      <c r="L14" s="41">
        <v>28.22</v>
      </c>
      <c r="M14" s="41">
        <v>65.47</v>
      </c>
      <c r="N14" s="41">
        <v>31.9</v>
      </c>
      <c r="O14" s="41">
        <v>0</v>
      </c>
      <c r="P14" s="41">
        <v>0.36</v>
      </c>
      <c r="Q14" s="41">
        <v>9.94</v>
      </c>
      <c r="R14" s="38"/>
      <c r="S14" s="38"/>
      <c r="T14" s="38"/>
      <c r="U14" s="38"/>
    </row>
    <row r="15" spans="1:21" customFormat="1">
      <c r="A15" s="40" t="s">
        <v>210</v>
      </c>
      <c r="B15" s="41">
        <v>3.88</v>
      </c>
      <c r="C15" s="41">
        <v>8.75</v>
      </c>
      <c r="D15" s="41">
        <v>4.8899999999999997</v>
      </c>
      <c r="E15" s="41">
        <v>4.79</v>
      </c>
      <c r="F15" s="41">
        <v>3.36</v>
      </c>
      <c r="G15" s="41">
        <v>46.14</v>
      </c>
      <c r="H15" s="41">
        <v>26.69</v>
      </c>
      <c r="I15" s="41">
        <v>6.14</v>
      </c>
      <c r="J15" s="41">
        <v>0.3</v>
      </c>
      <c r="K15" s="41">
        <v>244.73</v>
      </c>
      <c r="L15" s="41">
        <v>29.56</v>
      </c>
      <c r="M15" s="41">
        <v>65.180000000000007</v>
      </c>
      <c r="N15" s="41">
        <v>88.1</v>
      </c>
      <c r="O15" s="41">
        <v>0</v>
      </c>
      <c r="P15" s="41">
        <v>0.36</v>
      </c>
      <c r="Q15" s="41">
        <v>9.94</v>
      </c>
      <c r="R15" s="38"/>
      <c r="S15" s="38"/>
      <c r="T15" s="38"/>
      <c r="U15" s="38"/>
    </row>
    <row r="16" spans="1:21" customFormat="1">
      <c r="A16" s="40" t="s">
        <v>211</v>
      </c>
      <c r="B16" s="41">
        <v>3.8</v>
      </c>
      <c r="C16" s="41">
        <v>8.9700000000000006</v>
      </c>
      <c r="D16" s="41">
        <v>5.31</v>
      </c>
      <c r="E16" s="41">
        <v>4.83</v>
      </c>
      <c r="F16" s="41">
        <v>3.82</v>
      </c>
      <c r="G16" s="41">
        <v>43.87</v>
      </c>
      <c r="H16" s="41">
        <v>24.52</v>
      </c>
      <c r="I16" s="41">
        <v>5.96</v>
      </c>
      <c r="J16" s="41">
        <v>0.56000000000000005</v>
      </c>
      <c r="K16" s="41">
        <v>275.83999999999997</v>
      </c>
      <c r="L16" s="41">
        <v>32.04</v>
      </c>
      <c r="M16" s="41">
        <v>58.91</v>
      </c>
      <c r="N16" s="41">
        <v>124.1</v>
      </c>
      <c r="O16" s="41">
        <v>0</v>
      </c>
      <c r="P16" s="41">
        <v>0.4</v>
      </c>
      <c r="Q16" s="41">
        <v>9.9700000000000006</v>
      </c>
      <c r="R16" s="38"/>
      <c r="S16" s="38"/>
      <c r="T16" s="38"/>
      <c r="U16" s="38"/>
    </row>
    <row r="17" spans="1:21" customFormat="1">
      <c r="A17" s="40" t="s">
        <v>212</v>
      </c>
      <c r="B17" s="41">
        <v>3.65</v>
      </c>
      <c r="C17" s="41">
        <v>9.4499999999999993</v>
      </c>
      <c r="D17" s="41">
        <v>5.98</v>
      </c>
      <c r="E17" s="41">
        <v>5.0599999999999996</v>
      </c>
      <c r="F17" s="41">
        <v>4.8099999999999996</v>
      </c>
      <c r="G17" s="41">
        <v>45.62</v>
      </c>
      <c r="H17" s="41">
        <v>26.38</v>
      </c>
      <c r="I17" s="41">
        <v>7.3</v>
      </c>
      <c r="J17" s="41">
        <v>0.73</v>
      </c>
      <c r="K17" s="41">
        <v>265.52999999999997</v>
      </c>
      <c r="L17" s="41">
        <v>33.799999999999997</v>
      </c>
      <c r="M17" s="41">
        <v>52.39</v>
      </c>
      <c r="N17" s="41">
        <v>155.80000000000001</v>
      </c>
      <c r="O17" s="41">
        <v>0</v>
      </c>
      <c r="P17" s="41">
        <v>0.48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213</v>
      </c>
      <c r="B18" s="41">
        <v>3.43</v>
      </c>
      <c r="C18" s="41">
        <v>9.15</v>
      </c>
      <c r="D18" s="41">
        <v>5.72</v>
      </c>
      <c r="E18" s="41">
        <v>5.37</v>
      </c>
      <c r="F18" s="41">
        <v>7.78</v>
      </c>
      <c r="G18" s="41">
        <v>59.15</v>
      </c>
      <c r="H18" s="41">
        <v>31.16</v>
      </c>
      <c r="I18" s="41">
        <v>7.92</v>
      </c>
      <c r="J18" s="41">
        <v>1.23</v>
      </c>
      <c r="K18" s="41">
        <v>275.23</v>
      </c>
      <c r="L18" s="41">
        <v>36.06</v>
      </c>
      <c r="M18" s="41">
        <v>49.34</v>
      </c>
      <c r="N18" s="41">
        <v>178.4</v>
      </c>
      <c r="O18" s="41">
        <v>0</v>
      </c>
      <c r="P18" s="41">
        <v>0.49</v>
      </c>
      <c r="Q18" s="41">
        <v>9.94</v>
      </c>
      <c r="R18" s="38"/>
      <c r="S18" s="38"/>
      <c r="T18" s="38"/>
      <c r="U18" s="38"/>
    </row>
    <row r="19" spans="1:21" customFormat="1">
      <c r="A19" s="40" t="s">
        <v>214</v>
      </c>
      <c r="B19" s="41">
        <v>3.63</v>
      </c>
      <c r="C19" s="41">
        <v>9.69</v>
      </c>
      <c r="D19" s="41">
        <v>6.18</v>
      </c>
      <c r="E19" s="41">
        <v>7.99</v>
      </c>
      <c r="F19" s="41">
        <v>14.91</v>
      </c>
      <c r="G19" s="41">
        <v>58.52</v>
      </c>
      <c r="H19" s="41">
        <v>31.71</v>
      </c>
      <c r="I19" s="41">
        <v>9.98</v>
      </c>
      <c r="J19" s="41">
        <v>1.51</v>
      </c>
      <c r="K19" s="41">
        <v>285.93</v>
      </c>
      <c r="L19" s="41">
        <v>37.39</v>
      </c>
      <c r="M19" s="41">
        <v>40.380000000000003</v>
      </c>
      <c r="N19" s="41">
        <v>195.6</v>
      </c>
      <c r="O19" s="41">
        <v>0</v>
      </c>
      <c r="P19" s="41">
        <v>0.72</v>
      </c>
      <c r="Q19" s="41">
        <v>9.93</v>
      </c>
      <c r="R19" s="38"/>
      <c r="S19" s="38"/>
      <c r="T19" s="38"/>
      <c r="U19" s="38"/>
    </row>
    <row r="20" spans="1:21" customFormat="1">
      <c r="A20" s="40" t="s">
        <v>215</v>
      </c>
      <c r="B20" s="41">
        <v>4.1100000000000003</v>
      </c>
      <c r="C20" s="41">
        <v>11.43</v>
      </c>
      <c r="D20" s="41">
        <v>7.33</v>
      </c>
      <c r="E20" s="41">
        <v>8.9700000000000006</v>
      </c>
      <c r="F20" s="41">
        <v>21.39</v>
      </c>
      <c r="G20" s="41">
        <v>71.73</v>
      </c>
      <c r="H20" s="41">
        <v>32.53</v>
      </c>
      <c r="I20" s="41">
        <v>11.64</v>
      </c>
      <c r="J20" s="41">
        <v>1.37</v>
      </c>
      <c r="K20" s="41">
        <v>293.83999999999997</v>
      </c>
      <c r="L20" s="41">
        <v>38.76</v>
      </c>
      <c r="M20" s="41">
        <v>35.380000000000003</v>
      </c>
      <c r="N20" s="41">
        <v>489.6</v>
      </c>
      <c r="O20" s="41">
        <v>0</v>
      </c>
      <c r="P20" s="41">
        <v>0.74</v>
      </c>
      <c r="Q20" s="41">
        <v>9.94</v>
      </c>
      <c r="R20" s="38"/>
      <c r="S20" s="38"/>
      <c r="T20" s="38"/>
      <c r="U20" s="38"/>
    </row>
    <row r="21" spans="1:21" customFormat="1">
      <c r="A21" s="40" t="s">
        <v>216</v>
      </c>
      <c r="B21" s="41">
        <v>3.88</v>
      </c>
      <c r="C21" s="41">
        <v>10.43</v>
      </c>
      <c r="D21" s="41">
        <v>6.74</v>
      </c>
      <c r="E21" s="41">
        <v>9.1199999999999992</v>
      </c>
      <c r="F21" s="41">
        <v>35.67</v>
      </c>
      <c r="G21" s="41">
        <v>69.48</v>
      </c>
      <c r="H21" s="41">
        <v>33.869999999999997</v>
      </c>
      <c r="I21" s="41">
        <v>10.97</v>
      </c>
      <c r="J21" s="41">
        <v>1.29</v>
      </c>
      <c r="K21" s="41">
        <v>299.37</v>
      </c>
      <c r="L21" s="41">
        <v>40.17</v>
      </c>
      <c r="M21" s="41">
        <v>29.75</v>
      </c>
      <c r="N21" s="41">
        <v>806.5</v>
      </c>
      <c r="O21" s="41">
        <v>0</v>
      </c>
      <c r="P21" s="41">
        <v>0.69</v>
      </c>
      <c r="Q21" s="41">
        <v>9.94</v>
      </c>
      <c r="R21" s="38"/>
      <c r="S21" s="38"/>
      <c r="T21" s="38"/>
      <c r="U21" s="38"/>
    </row>
    <row r="22" spans="1:21" customFormat="1">
      <c r="A22" s="40" t="s">
        <v>217</v>
      </c>
      <c r="B22" s="41">
        <v>3.58</v>
      </c>
      <c r="C22" s="41">
        <v>8.42</v>
      </c>
      <c r="D22" s="41">
        <v>4.84</v>
      </c>
      <c r="E22" s="41">
        <v>6.24</v>
      </c>
      <c r="F22" s="41">
        <v>25.17</v>
      </c>
      <c r="G22" s="41">
        <v>63.96</v>
      </c>
      <c r="H22" s="41">
        <v>31.61</v>
      </c>
      <c r="I22" s="41">
        <v>9.8000000000000007</v>
      </c>
      <c r="J22" s="41">
        <v>0.77</v>
      </c>
      <c r="K22" s="41">
        <v>283.06</v>
      </c>
      <c r="L22" s="41">
        <v>41.09</v>
      </c>
      <c r="M22" s="41">
        <v>24.87</v>
      </c>
      <c r="N22" s="41">
        <v>715.6</v>
      </c>
      <c r="O22" s="41">
        <v>0</v>
      </c>
      <c r="P22" s="41">
        <v>0.61</v>
      </c>
      <c r="Q22" s="41">
        <v>9.94</v>
      </c>
      <c r="R22" s="38"/>
      <c r="S22" s="38"/>
      <c r="T22" s="38"/>
      <c r="U22" s="38"/>
    </row>
    <row r="23" spans="1:21" customFormat="1">
      <c r="A23" s="40" t="s">
        <v>218</v>
      </c>
      <c r="B23" s="41">
        <v>3.68</v>
      </c>
      <c r="C23" s="41">
        <v>9.4600000000000009</v>
      </c>
      <c r="D23" s="41">
        <v>5.78</v>
      </c>
      <c r="E23" s="41">
        <v>5.47</v>
      </c>
      <c r="F23" s="41">
        <v>27.88</v>
      </c>
      <c r="G23" s="41">
        <v>60.54</v>
      </c>
      <c r="H23" s="41">
        <v>28.88</v>
      </c>
      <c r="I23" s="41">
        <v>8.65</v>
      </c>
      <c r="J23" s="41">
        <v>0.84</v>
      </c>
      <c r="K23" s="41">
        <v>291.25</v>
      </c>
      <c r="L23" s="41">
        <v>41.13</v>
      </c>
      <c r="M23" s="41">
        <v>21.35</v>
      </c>
      <c r="N23" s="41">
        <v>405.6</v>
      </c>
      <c r="O23" s="41">
        <v>0</v>
      </c>
      <c r="P23" s="41">
        <v>0.53</v>
      </c>
      <c r="Q23" s="41">
        <v>9.93</v>
      </c>
      <c r="R23" s="38"/>
      <c r="S23" s="38"/>
      <c r="T23" s="38"/>
      <c r="U23" s="38"/>
    </row>
    <row r="24" spans="1:21" customFormat="1">
      <c r="A24" s="40" t="s">
        <v>219</v>
      </c>
      <c r="B24" s="41">
        <v>3.44</v>
      </c>
      <c r="C24" s="41">
        <v>9.2899999999999991</v>
      </c>
      <c r="D24" s="41">
        <v>5.89</v>
      </c>
      <c r="E24" s="41">
        <v>5.08</v>
      </c>
      <c r="F24" s="41">
        <v>17.13</v>
      </c>
      <c r="G24" s="41">
        <v>60.22</v>
      </c>
      <c r="H24" s="41">
        <v>27.41</v>
      </c>
      <c r="I24" s="41">
        <v>8.2200000000000006</v>
      </c>
      <c r="J24" s="41">
        <v>0.95</v>
      </c>
      <c r="K24" s="41">
        <v>302.29000000000002</v>
      </c>
      <c r="L24" s="41">
        <v>41.07</v>
      </c>
      <c r="M24" s="41">
        <v>23.16</v>
      </c>
      <c r="N24" s="41">
        <v>515.79999999999995</v>
      </c>
      <c r="O24" s="41">
        <v>0</v>
      </c>
      <c r="P24" s="41">
        <v>0.41</v>
      </c>
      <c r="Q24" s="41">
        <v>9.94</v>
      </c>
      <c r="R24" s="38"/>
      <c r="S24" s="38"/>
      <c r="T24" s="38"/>
      <c r="U24" s="38"/>
    </row>
    <row r="25" spans="1:21" customFormat="1">
      <c r="A25" s="40" t="s">
        <v>220</v>
      </c>
      <c r="B25" s="41">
        <v>3.46</v>
      </c>
      <c r="C25" s="41">
        <v>9.76</v>
      </c>
      <c r="D25" s="41">
        <v>6.29</v>
      </c>
      <c r="E25" s="41">
        <v>5.37</v>
      </c>
      <c r="F25" s="41">
        <v>16.62</v>
      </c>
      <c r="G25" s="41">
        <v>58.04</v>
      </c>
      <c r="H25" s="41">
        <v>28.63</v>
      </c>
      <c r="I25" s="41">
        <v>7.55</v>
      </c>
      <c r="J25" s="41">
        <v>1.1599999999999999</v>
      </c>
      <c r="K25" s="41">
        <v>287.58999999999997</v>
      </c>
      <c r="L25" s="41">
        <v>40.130000000000003</v>
      </c>
      <c r="M25" s="41">
        <v>26.01</v>
      </c>
      <c r="N25" s="41">
        <v>145.1</v>
      </c>
      <c r="O25" s="41">
        <v>0</v>
      </c>
      <c r="P25" s="41">
        <v>0.34</v>
      </c>
      <c r="Q25" s="41">
        <v>9.9499999999999993</v>
      </c>
      <c r="R25" s="38"/>
      <c r="S25" s="38"/>
      <c r="T25" s="38"/>
      <c r="U25" s="38"/>
    </row>
    <row r="26" spans="1:21" customFormat="1">
      <c r="A26" s="40" t="s">
        <v>221</v>
      </c>
      <c r="B26" s="41">
        <v>3.39</v>
      </c>
      <c r="C26" s="41">
        <v>9.77</v>
      </c>
      <c r="D26" s="41">
        <v>6.39</v>
      </c>
      <c r="E26" s="41">
        <v>6.32</v>
      </c>
      <c r="F26" s="41">
        <v>24.24</v>
      </c>
      <c r="G26" s="41">
        <v>59.84</v>
      </c>
      <c r="H26" s="41">
        <v>27.11</v>
      </c>
      <c r="I26" s="41">
        <v>6.63</v>
      </c>
      <c r="J26" s="41">
        <v>0.37</v>
      </c>
      <c r="K26" s="41">
        <v>246.36</v>
      </c>
      <c r="L26" s="41">
        <v>37.770000000000003</v>
      </c>
      <c r="M26" s="41">
        <v>31.88</v>
      </c>
      <c r="N26" s="41">
        <v>22.9</v>
      </c>
      <c r="O26" s="41">
        <v>0</v>
      </c>
      <c r="P26" s="41">
        <v>0.38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222</v>
      </c>
      <c r="B27" s="41">
        <v>3.45</v>
      </c>
      <c r="C27" s="41">
        <v>10.38</v>
      </c>
      <c r="D27" s="41">
        <v>6.98</v>
      </c>
      <c r="E27" s="41">
        <v>6.18</v>
      </c>
      <c r="F27" s="41">
        <v>24.44</v>
      </c>
      <c r="G27" s="41">
        <v>63.55</v>
      </c>
      <c r="H27" s="41">
        <v>26.07</v>
      </c>
      <c r="I27" s="41">
        <v>6.9</v>
      </c>
      <c r="J27" s="41">
        <v>0.41</v>
      </c>
      <c r="K27" s="41">
        <v>249.06</v>
      </c>
      <c r="L27" s="41">
        <v>36.700000000000003</v>
      </c>
      <c r="M27" s="41">
        <v>32.14</v>
      </c>
      <c r="N27" s="41">
        <v>17.2</v>
      </c>
      <c r="O27" s="41">
        <v>0</v>
      </c>
      <c r="P27" s="41">
        <v>0.43</v>
      </c>
      <c r="Q27" s="41">
        <v>9.94</v>
      </c>
      <c r="R27" s="38"/>
      <c r="S27" s="38"/>
      <c r="T27" s="38"/>
      <c r="U27" s="38"/>
    </row>
    <row r="28" spans="1:21" customFormat="1">
      <c r="A28" s="40" t="s">
        <v>223</v>
      </c>
      <c r="B28" s="41">
        <v>4.13</v>
      </c>
      <c r="C28" s="41">
        <v>15.44</v>
      </c>
      <c r="D28" s="41">
        <v>11.38</v>
      </c>
      <c r="E28" s="41">
        <v>5.03</v>
      </c>
      <c r="F28" s="41">
        <v>13.7</v>
      </c>
      <c r="G28" s="41">
        <v>68.33</v>
      </c>
      <c r="H28" s="41">
        <v>24.02</v>
      </c>
      <c r="I28" s="41">
        <v>7.19</v>
      </c>
      <c r="J28" s="41">
        <v>0.77</v>
      </c>
      <c r="K28" s="41">
        <v>284.2</v>
      </c>
      <c r="L28" s="41">
        <v>36.61</v>
      </c>
      <c r="M28" s="41">
        <v>30.05</v>
      </c>
      <c r="N28" s="41">
        <v>1.7</v>
      </c>
      <c r="O28" s="41">
        <v>0</v>
      </c>
      <c r="P28" s="41">
        <v>0.53</v>
      </c>
      <c r="Q28" s="41">
        <v>9.9600000000000009</v>
      </c>
      <c r="R28" s="38"/>
      <c r="S28" s="38"/>
      <c r="T28" s="38"/>
      <c r="U28" s="38"/>
    </row>
    <row r="29" spans="1:21" customFormat="1">
      <c r="A29" s="40" t="s">
        <v>224</v>
      </c>
      <c r="B29" s="41">
        <v>4.5</v>
      </c>
      <c r="C29" s="41">
        <v>19.350000000000001</v>
      </c>
      <c r="D29" s="41">
        <v>15.17</v>
      </c>
      <c r="E29" s="41">
        <v>4.38</v>
      </c>
      <c r="F29" s="41">
        <v>15.43</v>
      </c>
      <c r="G29" s="41">
        <v>70.53</v>
      </c>
      <c r="H29" s="41">
        <v>24.68</v>
      </c>
      <c r="I29" s="41">
        <v>7.43</v>
      </c>
      <c r="J29" s="41">
        <v>0.65</v>
      </c>
      <c r="K29" s="41">
        <v>271.92</v>
      </c>
      <c r="L29" s="41">
        <v>35.89</v>
      </c>
      <c r="M29" s="41">
        <v>30.24</v>
      </c>
      <c r="N29" s="41">
        <v>1.8</v>
      </c>
      <c r="O29" s="41">
        <v>0</v>
      </c>
      <c r="P29" s="41">
        <v>0.62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225</v>
      </c>
      <c r="B30" s="41">
        <v>4.17</v>
      </c>
      <c r="C30" s="41">
        <v>18.899999999999999</v>
      </c>
      <c r="D30" s="41">
        <v>14.73</v>
      </c>
      <c r="E30" s="41">
        <v>4.45</v>
      </c>
      <c r="F30" s="41">
        <v>19.59</v>
      </c>
      <c r="G30" s="41">
        <v>71.069999999999993</v>
      </c>
      <c r="H30" s="41">
        <v>28.54</v>
      </c>
      <c r="I30" s="41">
        <v>8.25</v>
      </c>
      <c r="J30" s="41">
        <v>0.53</v>
      </c>
      <c r="K30" s="41">
        <v>260.43</v>
      </c>
      <c r="L30" s="41">
        <v>34.83</v>
      </c>
      <c r="M30" s="41">
        <v>32.47</v>
      </c>
      <c r="N30" s="41">
        <v>1.7</v>
      </c>
      <c r="O30" s="41">
        <v>0</v>
      </c>
      <c r="P30" s="41">
        <v>0.57999999999999996</v>
      </c>
      <c r="Q30" s="41">
        <v>9.9499999999999993</v>
      </c>
      <c r="R30" s="38"/>
      <c r="S30" s="38"/>
      <c r="T30" s="38"/>
      <c r="U30" s="38"/>
    </row>
    <row r="31" spans="1:21" customFormat="1">
      <c r="A31" s="40" t="s">
        <v>226</v>
      </c>
      <c r="B31" s="41">
        <v>4.2699999999999996</v>
      </c>
      <c r="C31" s="41">
        <v>18.88</v>
      </c>
      <c r="D31" s="41">
        <v>14.61</v>
      </c>
      <c r="E31" s="41">
        <v>8.1199999999999992</v>
      </c>
      <c r="F31" s="41">
        <v>18.98</v>
      </c>
      <c r="G31" s="41">
        <v>74.37</v>
      </c>
      <c r="H31" s="41">
        <v>30.3</v>
      </c>
      <c r="I31" s="41">
        <v>9.73</v>
      </c>
      <c r="J31" s="41">
        <v>0.57999999999999996</v>
      </c>
      <c r="K31" s="41">
        <v>252.8</v>
      </c>
      <c r="L31" s="41">
        <v>34.659999999999997</v>
      </c>
      <c r="M31" s="41">
        <v>38.35</v>
      </c>
      <c r="N31" s="41">
        <v>2.2999999999999998</v>
      </c>
      <c r="O31" s="41">
        <v>0</v>
      </c>
      <c r="P31" s="41">
        <v>0.66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227</v>
      </c>
      <c r="B32" s="41">
        <v>4.05</v>
      </c>
      <c r="C32" s="41">
        <v>12.79</v>
      </c>
      <c r="D32" s="41">
        <v>8.77</v>
      </c>
      <c r="E32" s="41">
        <v>6.69</v>
      </c>
      <c r="F32" s="41">
        <v>14.02</v>
      </c>
      <c r="G32" s="41">
        <v>73.92</v>
      </c>
      <c r="H32" s="41">
        <v>32.33</v>
      </c>
      <c r="I32" s="41">
        <v>10.050000000000001</v>
      </c>
      <c r="J32" s="41">
        <v>0.24</v>
      </c>
      <c r="K32" s="41">
        <v>260.44</v>
      </c>
      <c r="L32" s="41">
        <v>33.07</v>
      </c>
      <c r="M32" s="41">
        <v>42.96</v>
      </c>
      <c r="N32" s="41">
        <v>2.1</v>
      </c>
      <c r="O32" s="41">
        <v>0</v>
      </c>
      <c r="P32" s="41">
        <v>0.73</v>
      </c>
      <c r="Q32" s="41">
        <v>9.9600000000000009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3.39</v>
      </c>
      <c r="C34" s="18">
        <f t="shared" si="0"/>
        <v>8.42</v>
      </c>
      <c r="D34" s="18">
        <f t="shared" si="0"/>
        <v>4.28</v>
      </c>
      <c r="E34" s="18">
        <f t="shared" si="0"/>
        <v>4.38</v>
      </c>
      <c r="F34" s="18">
        <f t="shared" si="0"/>
        <v>3.36</v>
      </c>
      <c r="G34" s="18">
        <f t="shared" si="0"/>
        <v>43.87</v>
      </c>
      <c r="H34" s="18">
        <f t="shared" si="0"/>
        <v>24.02</v>
      </c>
      <c r="I34" s="18">
        <f t="shared" si="0"/>
        <v>5.96</v>
      </c>
      <c r="J34" s="18">
        <f t="shared" si="0"/>
        <v>0.15</v>
      </c>
      <c r="K34" s="18">
        <f t="shared" si="0"/>
        <v>222.17</v>
      </c>
      <c r="L34" s="18">
        <f t="shared" si="0"/>
        <v>28.22</v>
      </c>
      <c r="M34" s="18">
        <f t="shared" si="0"/>
        <v>21.35</v>
      </c>
      <c r="N34" s="18">
        <f t="shared" si="0"/>
        <v>1.4</v>
      </c>
      <c r="O34" s="18">
        <f t="shared" si="0"/>
        <v>0</v>
      </c>
      <c r="P34" s="18">
        <f t="shared" si="0"/>
        <v>0.34</v>
      </c>
      <c r="Q34" s="18">
        <f t="shared" si="0"/>
        <v>9.93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4.5</v>
      </c>
      <c r="C35" s="3">
        <f t="shared" si="1"/>
        <v>19.350000000000001</v>
      </c>
      <c r="D35" s="3">
        <f t="shared" si="1"/>
        <v>15.17</v>
      </c>
      <c r="E35" s="3">
        <f t="shared" si="1"/>
        <v>9.1199999999999992</v>
      </c>
      <c r="F35" s="3">
        <f t="shared" si="1"/>
        <v>35.67</v>
      </c>
      <c r="G35" s="3">
        <f t="shared" si="1"/>
        <v>74.37</v>
      </c>
      <c r="H35" s="3">
        <f t="shared" si="1"/>
        <v>33.869999999999997</v>
      </c>
      <c r="I35" s="3">
        <f t="shared" si="1"/>
        <v>11.64</v>
      </c>
      <c r="J35" s="3">
        <f t="shared" si="1"/>
        <v>1.51</v>
      </c>
      <c r="K35" s="3">
        <f t="shared" si="1"/>
        <v>302.29000000000002</v>
      </c>
      <c r="L35" s="3">
        <f t="shared" si="1"/>
        <v>41.13</v>
      </c>
      <c r="M35" s="3">
        <f t="shared" si="1"/>
        <v>65.47</v>
      </c>
      <c r="N35" s="3">
        <f t="shared" si="1"/>
        <v>806.5</v>
      </c>
      <c r="O35" s="3">
        <f t="shared" si="1"/>
        <v>0</v>
      </c>
      <c r="P35" s="3">
        <f t="shared" si="1"/>
        <v>0.74</v>
      </c>
      <c r="Q35" s="3">
        <f t="shared" si="1"/>
        <v>9.98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3.8958333333333326</v>
      </c>
      <c r="C36" s="18">
        <f t="shared" si="2"/>
        <v>10.971666666666666</v>
      </c>
      <c r="D36" s="18">
        <f t="shared" si="2"/>
        <v>7.1495833333333332</v>
      </c>
      <c r="E36" s="18">
        <f t="shared" si="2"/>
        <v>5.8825000000000003</v>
      </c>
      <c r="F36" s="18">
        <f t="shared" si="2"/>
        <v>15.382083333333332</v>
      </c>
      <c r="G36" s="18">
        <f t="shared" si="2"/>
        <v>58.875833333333333</v>
      </c>
      <c r="H36" s="18">
        <f t="shared" si="2"/>
        <v>28.507499999999997</v>
      </c>
      <c r="I36" s="18">
        <f t="shared" si="2"/>
        <v>7.8062500000000012</v>
      </c>
      <c r="J36" s="18">
        <f t="shared" si="2"/>
        <v>0.65541666666666665</v>
      </c>
      <c r="K36" s="18">
        <f t="shared" si="2"/>
        <v>265.05166666666668</v>
      </c>
      <c r="L36" s="18">
        <f t="shared" si="2"/>
        <v>34.712083333333339</v>
      </c>
      <c r="M36" s="18">
        <f t="shared" si="2"/>
        <v>43.252916666666664</v>
      </c>
      <c r="N36" s="18">
        <f t="shared" si="2"/>
        <v>162.90416666666664</v>
      </c>
      <c r="O36" s="18">
        <f t="shared" si="2"/>
        <v>0</v>
      </c>
      <c r="P36" s="18">
        <f t="shared" si="2"/>
        <v>0.505</v>
      </c>
      <c r="Q36" s="18">
        <f t="shared" si="2"/>
        <v>9.9512499999999982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0.33410381967113245</v>
      </c>
      <c r="C37" s="18">
        <f t="shared" ref="C37:Q37" si="3">STDEV(C9:C32)</f>
        <v>3.4804480804315601</v>
      </c>
      <c r="D37" s="18">
        <f t="shared" si="3"/>
        <v>3.3405408038697626</v>
      </c>
      <c r="E37" s="18">
        <f t="shared" si="3"/>
        <v>1.4186743659211336</v>
      </c>
      <c r="F37" s="18">
        <f t="shared" si="3"/>
        <v>8.3046576659893354</v>
      </c>
      <c r="G37" s="18">
        <f t="shared" si="3"/>
        <v>10.05745793652294</v>
      </c>
      <c r="H37" s="18">
        <f t="shared" si="3"/>
        <v>2.7048752281759687</v>
      </c>
      <c r="I37" s="18">
        <f t="shared" si="3"/>
        <v>1.7257558205533892</v>
      </c>
      <c r="J37" s="18">
        <f t="shared" si="3"/>
        <v>0.41085255121585879</v>
      </c>
      <c r="K37" s="18">
        <f t="shared" si="3"/>
        <v>22.960984615054155</v>
      </c>
      <c r="L37" s="18">
        <f t="shared" si="3"/>
        <v>4.5581279330030284</v>
      </c>
      <c r="M37" s="18">
        <f t="shared" si="3"/>
        <v>15.508379075776164</v>
      </c>
      <c r="N37" s="18">
        <f t="shared" si="3"/>
        <v>241.04243984819567</v>
      </c>
      <c r="O37" s="18">
        <f t="shared" si="3"/>
        <v>0</v>
      </c>
      <c r="P37" s="18">
        <f t="shared" si="3"/>
        <v>0.13144679862805797</v>
      </c>
      <c r="Q37" s="18">
        <f t="shared" si="3"/>
        <v>1.4540049638095237E-2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228</v>
      </c>
      <c r="B9" s="41">
        <v>4.5199999999999996</v>
      </c>
      <c r="C9" s="41">
        <v>9.89</v>
      </c>
      <c r="D9" s="41">
        <v>5.42</v>
      </c>
      <c r="E9" s="41">
        <v>4.1399999999999997</v>
      </c>
      <c r="F9" s="41">
        <v>17.79</v>
      </c>
      <c r="G9" s="41">
        <v>72.53</v>
      </c>
      <c r="H9" s="41">
        <v>31.77</v>
      </c>
      <c r="I9" s="41">
        <v>8.4</v>
      </c>
      <c r="J9" s="41">
        <v>0.16</v>
      </c>
      <c r="K9" s="41">
        <v>224.41</v>
      </c>
      <c r="L9" s="41">
        <v>31.56</v>
      </c>
      <c r="M9" s="41">
        <v>47.99</v>
      </c>
      <c r="N9" s="41">
        <v>1.9</v>
      </c>
      <c r="O9" s="41">
        <v>0</v>
      </c>
      <c r="P9" s="41">
        <v>0.56999999999999995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229</v>
      </c>
      <c r="B10" s="41">
        <v>4.3099999999999996</v>
      </c>
      <c r="C10" s="41">
        <v>9.9499999999999993</v>
      </c>
      <c r="D10" s="41">
        <v>5.65</v>
      </c>
      <c r="E10" s="41">
        <v>4.3099999999999996</v>
      </c>
      <c r="F10" s="41">
        <v>6.63</v>
      </c>
      <c r="G10" s="41">
        <v>68.19</v>
      </c>
      <c r="H10" s="41">
        <v>30.73</v>
      </c>
      <c r="I10" s="41">
        <v>8.6300000000000008</v>
      </c>
      <c r="J10" s="41">
        <v>0.27</v>
      </c>
      <c r="K10" s="41">
        <v>250.84</v>
      </c>
      <c r="L10" s="41">
        <v>30.82</v>
      </c>
      <c r="M10" s="41">
        <v>54.19</v>
      </c>
      <c r="N10" s="41">
        <v>1.5</v>
      </c>
      <c r="O10" s="41">
        <v>0</v>
      </c>
      <c r="P10" s="41">
        <v>0.52</v>
      </c>
      <c r="Q10" s="41">
        <v>9.9499999999999993</v>
      </c>
      <c r="R10" s="38"/>
      <c r="S10" s="38"/>
      <c r="T10" s="38"/>
      <c r="U10" s="38"/>
    </row>
    <row r="11" spans="1:21" customFormat="1">
      <c r="A11" s="40" t="s">
        <v>230</v>
      </c>
      <c r="B11" s="41">
        <v>3.95</v>
      </c>
      <c r="C11" s="41">
        <v>9.5</v>
      </c>
      <c r="D11" s="41">
        <v>5.55</v>
      </c>
      <c r="E11" s="41">
        <v>5.13</v>
      </c>
      <c r="F11" s="41">
        <v>6.18</v>
      </c>
      <c r="G11" s="41">
        <v>63.93</v>
      </c>
      <c r="H11" s="41">
        <v>27.8</v>
      </c>
      <c r="I11" s="41">
        <v>7.88</v>
      </c>
      <c r="J11" s="41">
        <v>0.35</v>
      </c>
      <c r="K11" s="41">
        <v>256.95999999999998</v>
      </c>
      <c r="L11" s="41">
        <v>30.67</v>
      </c>
      <c r="M11" s="41">
        <v>56.58</v>
      </c>
      <c r="N11" s="41">
        <v>1.5</v>
      </c>
      <c r="O11" s="41">
        <v>0</v>
      </c>
      <c r="P11" s="41">
        <v>0.48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231</v>
      </c>
      <c r="B12" s="41">
        <v>3.83</v>
      </c>
      <c r="C12" s="41">
        <v>9.1300000000000008</v>
      </c>
      <c r="D12" s="41">
        <v>5.29</v>
      </c>
      <c r="E12" s="41">
        <v>5.4</v>
      </c>
      <c r="F12" s="41">
        <v>5.4</v>
      </c>
      <c r="G12" s="41">
        <v>64.62</v>
      </c>
      <c r="H12" s="41">
        <v>34.590000000000003</v>
      </c>
      <c r="I12" s="41">
        <v>7.2</v>
      </c>
      <c r="J12" s="41">
        <v>0.23</v>
      </c>
      <c r="K12" s="41">
        <v>242.45</v>
      </c>
      <c r="L12" s="41">
        <v>30.29</v>
      </c>
      <c r="M12" s="41">
        <v>58.9</v>
      </c>
      <c r="N12" s="41">
        <v>1.6</v>
      </c>
      <c r="O12" s="41">
        <v>0</v>
      </c>
      <c r="P12" s="41">
        <v>0.45</v>
      </c>
      <c r="Q12" s="41">
        <v>9.9600000000000009</v>
      </c>
      <c r="R12" s="38"/>
      <c r="S12" s="38"/>
      <c r="T12" s="38"/>
      <c r="U12" s="38"/>
    </row>
    <row r="13" spans="1:21" customFormat="1">
      <c r="A13" s="40" t="s">
        <v>232</v>
      </c>
      <c r="B13" s="41">
        <v>3.87</v>
      </c>
      <c r="C13" s="41">
        <v>8.9</v>
      </c>
      <c r="D13" s="41">
        <v>5.05</v>
      </c>
      <c r="E13" s="41">
        <v>5.51</v>
      </c>
      <c r="F13" s="41">
        <v>4.5199999999999996</v>
      </c>
      <c r="G13" s="41">
        <v>61.52</v>
      </c>
      <c r="H13" s="41">
        <v>33.92</v>
      </c>
      <c r="I13" s="41">
        <v>6.74</v>
      </c>
      <c r="J13" s="41">
        <v>0.14000000000000001</v>
      </c>
      <c r="K13" s="41">
        <v>221.45</v>
      </c>
      <c r="L13" s="41">
        <v>29.62</v>
      </c>
      <c r="M13" s="41">
        <v>63.33</v>
      </c>
      <c r="N13" s="41">
        <v>1.6</v>
      </c>
      <c r="O13" s="41">
        <v>0</v>
      </c>
      <c r="P13" s="41">
        <v>0.45</v>
      </c>
      <c r="Q13" s="41">
        <v>9.94</v>
      </c>
      <c r="R13" s="38"/>
      <c r="S13" s="38"/>
      <c r="T13" s="38"/>
      <c r="U13" s="38"/>
    </row>
    <row r="14" spans="1:21" customFormat="1">
      <c r="A14" s="40" t="s">
        <v>233</v>
      </c>
      <c r="B14" s="41">
        <v>3.97</v>
      </c>
      <c r="C14" s="41">
        <v>8.9600000000000009</v>
      </c>
      <c r="D14" s="41">
        <v>5.07</v>
      </c>
      <c r="E14" s="41">
        <v>5.59</v>
      </c>
      <c r="F14" s="41">
        <v>9.9600000000000009</v>
      </c>
      <c r="G14" s="41">
        <v>56.63</v>
      </c>
      <c r="H14" s="41">
        <v>31.77</v>
      </c>
      <c r="I14" s="41">
        <v>6.36</v>
      </c>
      <c r="J14" s="41">
        <v>0.24</v>
      </c>
      <c r="K14" s="41">
        <v>236.34</v>
      </c>
      <c r="L14" s="41">
        <v>29.46</v>
      </c>
      <c r="M14" s="41">
        <v>68.38</v>
      </c>
      <c r="N14" s="41">
        <v>21.8</v>
      </c>
      <c r="O14" s="41">
        <v>0</v>
      </c>
      <c r="P14" s="41">
        <v>0.45</v>
      </c>
      <c r="Q14" s="41">
        <v>9.93</v>
      </c>
      <c r="R14" s="38"/>
      <c r="S14" s="38"/>
      <c r="T14" s="38"/>
      <c r="U14" s="38"/>
    </row>
    <row r="15" spans="1:21" customFormat="1">
      <c r="A15" s="40" t="s">
        <v>234</v>
      </c>
      <c r="B15" s="41">
        <v>4.3600000000000003</v>
      </c>
      <c r="C15" s="41">
        <v>8.73</v>
      </c>
      <c r="D15" s="41">
        <v>4.5199999999999996</v>
      </c>
      <c r="E15" s="41">
        <v>5.25</v>
      </c>
      <c r="F15" s="41">
        <v>10.74</v>
      </c>
      <c r="G15" s="41">
        <v>54.92</v>
      </c>
      <c r="H15" s="41">
        <v>34.119999999999997</v>
      </c>
      <c r="I15" s="41">
        <v>6.06</v>
      </c>
      <c r="J15" s="41">
        <v>0.25</v>
      </c>
      <c r="K15" s="41">
        <v>235.33</v>
      </c>
      <c r="L15" s="41">
        <v>30.33</v>
      </c>
      <c r="M15" s="41">
        <v>69.11</v>
      </c>
      <c r="N15" s="41">
        <v>75.2</v>
      </c>
      <c r="O15" s="41">
        <v>0</v>
      </c>
      <c r="P15" s="41">
        <v>0.47</v>
      </c>
      <c r="Q15" s="41">
        <v>9.94</v>
      </c>
      <c r="R15" s="38"/>
      <c r="S15" s="38"/>
      <c r="T15" s="38"/>
      <c r="U15" s="38"/>
    </row>
    <row r="16" spans="1:21" customFormat="1">
      <c r="A16" s="40" t="s">
        <v>235</v>
      </c>
      <c r="B16" s="41">
        <v>4.3600000000000003</v>
      </c>
      <c r="C16" s="41">
        <v>8.51</v>
      </c>
      <c r="D16" s="41">
        <v>4.17</v>
      </c>
      <c r="E16" s="41">
        <v>5.37</v>
      </c>
      <c r="F16" s="41">
        <v>12.18</v>
      </c>
      <c r="G16" s="41">
        <v>51.04</v>
      </c>
      <c r="H16" s="41">
        <v>30.61</v>
      </c>
      <c r="I16" s="41">
        <v>6.26</v>
      </c>
      <c r="J16" s="41">
        <v>0.63</v>
      </c>
      <c r="K16" s="41">
        <v>269.08999999999997</v>
      </c>
      <c r="L16" s="41">
        <v>32.200000000000003</v>
      </c>
      <c r="M16" s="41">
        <v>62.45</v>
      </c>
      <c r="N16" s="41">
        <v>113.1</v>
      </c>
      <c r="O16" s="41">
        <v>0</v>
      </c>
      <c r="P16" s="41">
        <v>0.46</v>
      </c>
      <c r="Q16" s="41">
        <v>9.9499999999999993</v>
      </c>
      <c r="R16" s="38"/>
      <c r="S16" s="38"/>
      <c r="T16" s="38"/>
      <c r="U16" s="38"/>
    </row>
    <row r="17" spans="1:21" customFormat="1">
      <c r="A17" s="40" t="s">
        <v>236</v>
      </c>
      <c r="B17" s="41">
        <v>4.24</v>
      </c>
      <c r="C17" s="41">
        <v>8.5399999999999991</v>
      </c>
      <c r="D17" s="41">
        <v>4.3600000000000003</v>
      </c>
      <c r="E17" s="41">
        <v>5.93</v>
      </c>
      <c r="F17" s="41">
        <v>8.76</v>
      </c>
      <c r="G17" s="41">
        <v>46.98</v>
      </c>
      <c r="H17" s="41">
        <v>27.94</v>
      </c>
      <c r="I17" s="41">
        <v>6.36</v>
      </c>
      <c r="J17" s="41">
        <v>0.97</v>
      </c>
      <c r="K17" s="41">
        <v>267.60000000000002</v>
      </c>
      <c r="L17" s="41">
        <v>34.04</v>
      </c>
      <c r="M17" s="41">
        <v>54.54</v>
      </c>
      <c r="N17" s="41">
        <v>154.80000000000001</v>
      </c>
      <c r="O17" s="41">
        <v>0</v>
      </c>
      <c r="P17" s="41">
        <v>0.46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237</v>
      </c>
      <c r="B18" s="41">
        <v>4.2699999999999996</v>
      </c>
      <c r="C18" s="41">
        <v>10.33</v>
      </c>
      <c r="D18" s="41">
        <v>6.09</v>
      </c>
      <c r="E18" s="41">
        <v>9.1300000000000008</v>
      </c>
      <c r="F18" s="41">
        <v>20.34</v>
      </c>
      <c r="G18" s="41">
        <v>47.16</v>
      </c>
      <c r="H18" s="41">
        <v>26.96</v>
      </c>
      <c r="I18" s="41">
        <v>7.3</v>
      </c>
      <c r="J18" s="41">
        <v>0.92</v>
      </c>
      <c r="K18" s="41">
        <v>295.97000000000003</v>
      </c>
      <c r="L18" s="41">
        <v>36.06</v>
      </c>
      <c r="M18" s="41">
        <v>44.8</v>
      </c>
      <c r="N18" s="41">
        <v>167.6</v>
      </c>
      <c r="O18" s="41">
        <v>0</v>
      </c>
      <c r="P18" s="41">
        <v>0.56999999999999995</v>
      </c>
      <c r="Q18" s="41">
        <v>9.9499999999999993</v>
      </c>
      <c r="R18" s="38"/>
      <c r="S18" s="38"/>
      <c r="T18" s="38"/>
      <c r="U18" s="38"/>
    </row>
    <row r="19" spans="1:21" customFormat="1">
      <c r="A19" s="40" t="s">
        <v>238</v>
      </c>
      <c r="B19" s="41">
        <v>4.13</v>
      </c>
      <c r="C19" s="41">
        <v>10.7</v>
      </c>
      <c r="D19" s="41">
        <v>6.86</v>
      </c>
      <c r="E19" s="41">
        <v>7.39</v>
      </c>
      <c r="F19" s="41">
        <v>22.32</v>
      </c>
      <c r="G19" s="41">
        <v>59.24</v>
      </c>
      <c r="H19" s="41">
        <v>36.33</v>
      </c>
      <c r="I19" s="41">
        <v>8.01</v>
      </c>
      <c r="J19" s="41">
        <v>0.95</v>
      </c>
      <c r="K19" s="41">
        <v>323</v>
      </c>
      <c r="L19" s="41">
        <v>38.28</v>
      </c>
      <c r="M19" s="41">
        <v>39.64</v>
      </c>
      <c r="N19" s="41">
        <v>182</v>
      </c>
      <c r="O19" s="41">
        <v>0</v>
      </c>
      <c r="P19" s="41">
        <v>0.52</v>
      </c>
      <c r="Q19" s="41">
        <v>9.9600000000000009</v>
      </c>
      <c r="R19" s="38"/>
      <c r="S19" s="38"/>
      <c r="T19" s="38"/>
      <c r="U19" s="38"/>
    </row>
    <row r="20" spans="1:21" customFormat="1">
      <c r="A20" s="40" t="s">
        <v>239</v>
      </c>
      <c r="B20" s="41">
        <v>3.84</v>
      </c>
      <c r="C20" s="41">
        <v>11.11</v>
      </c>
      <c r="D20" s="41">
        <v>7.28</v>
      </c>
      <c r="E20" s="41">
        <v>7.03</v>
      </c>
      <c r="F20" s="41">
        <v>15.59</v>
      </c>
      <c r="G20" s="41">
        <v>66.13</v>
      </c>
      <c r="H20" s="41">
        <v>35.92</v>
      </c>
      <c r="I20" s="41">
        <v>7.51</v>
      </c>
      <c r="J20" s="41">
        <v>1.1200000000000001</v>
      </c>
      <c r="K20" s="41">
        <v>336.29</v>
      </c>
      <c r="L20" s="41">
        <v>39.630000000000003</v>
      </c>
      <c r="M20" s="41">
        <v>33.47</v>
      </c>
      <c r="N20" s="41">
        <v>485.3</v>
      </c>
      <c r="O20" s="41">
        <v>0</v>
      </c>
      <c r="P20" s="41">
        <v>0.46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240</v>
      </c>
      <c r="B21" s="41">
        <v>3.74</v>
      </c>
      <c r="C21" s="41">
        <v>11.12</v>
      </c>
      <c r="D21" s="41">
        <v>7.38</v>
      </c>
      <c r="E21" s="41">
        <v>7.17</v>
      </c>
      <c r="F21" s="41">
        <v>21.29</v>
      </c>
      <c r="G21" s="41">
        <v>70.56</v>
      </c>
      <c r="H21" s="41">
        <v>37.729999999999997</v>
      </c>
      <c r="I21" s="41">
        <v>7.23</v>
      </c>
      <c r="J21" s="41">
        <v>0.86</v>
      </c>
      <c r="K21" s="41">
        <v>295.42</v>
      </c>
      <c r="L21" s="41">
        <v>41.02</v>
      </c>
      <c r="M21" s="41">
        <v>29.85</v>
      </c>
      <c r="N21" s="41">
        <v>808.9</v>
      </c>
      <c r="O21" s="41">
        <v>0</v>
      </c>
      <c r="P21" s="41">
        <v>0.45</v>
      </c>
      <c r="Q21" s="41">
        <v>9.9499999999999993</v>
      </c>
      <c r="R21" s="38"/>
      <c r="S21" s="38"/>
      <c r="T21" s="38"/>
      <c r="U21" s="38"/>
    </row>
    <row r="22" spans="1:21" customFormat="1">
      <c r="A22" s="40" t="s">
        <v>241</v>
      </c>
      <c r="B22" s="41">
        <v>3.74</v>
      </c>
      <c r="C22" s="41">
        <v>10.19</v>
      </c>
      <c r="D22" s="41">
        <v>6.45</v>
      </c>
      <c r="E22" s="41">
        <v>6.13</v>
      </c>
      <c r="F22" s="41">
        <v>14.95</v>
      </c>
      <c r="G22" s="41">
        <v>67.319999999999993</v>
      </c>
      <c r="H22" s="41">
        <v>34.42</v>
      </c>
      <c r="I22" s="41">
        <v>6.81</v>
      </c>
      <c r="J22" s="41">
        <v>0.86</v>
      </c>
      <c r="K22" s="41">
        <v>285.67</v>
      </c>
      <c r="L22" s="41">
        <v>41.56</v>
      </c>
      <c r="M22" s="41">
        <v>25.95</v>
      </c>
      <c r="N22" s="41">
        <v>730.1</v>
      </c>
      <c r="O22" s="41">
        <v>0</v>
      </c>
      <c r="P22" s="41">
        <v>0.42</v>
      </c>
      <c r="Q22" s="41">
        <v>9.9499999999999993</v>
      </c>
      <c r="R22" s="38"/>
      <c r="S22" s="38"/>
      <c r="T22" s="38"/>
      <c r="U22" s="38"/>
    </row>
    <row r="23" spans="1:21" customFormat="1">
      <c r="A23" s="40" t="s">
        <v>242</v>
      </c>
      <c r="B23" s="41">
        <v>3.87</v>
      </c>
      <c r="C23" s="41">
        <v>11.37</v>
      </c>
      <c r="D23" s="41">
        <v>7.5</v>
      </c>
      <c r="E23" s="41">
        <v>6.51</v>
      </c>
      <c r="F23" s="41">
        <v>16.579999999999998</v>
      </c>
      <c r="G23" s="41">
        <v>63.65</v>
      </c>
      <c r="H23" s="41">
        <v>31.22</v>
      </c>
      <c r="I23" s="41">
        <v>6.21</v>
      </c>
      <c r="J23" s="41">
        <v>0.67</v>
      </c>
      <c r="K23" s="41">
        <v>343.84</v>
      </c>
      <c r="L23" s="41">
        <v>41.52</v>
      </c>
      <c r="M23" s="41">
        <v>25.22</v>
      </c>
      <c r="N23" s="41">
        <v>458.2</v>
      </c>
      <c r="O23" s="41">
        <v>0</v>
      </c>
      <c r="P23" s="41">
        <v>0.49</v>
      </c>
      <c r="Q23" s="41">
        <v>9.94</v>
      </c>
      <c r="R23" s="38"/>
      <c r="S23" s="38"/>
      <c r="T23" s="38"/>
      <c r="U23" s="38"/>
    </row>
    <row r="24" spans="1:21" customFormat="1">
      <c r="A24" s="40" t="s">
        <v>243</v>
      </c>
      <c r="B24" s="41">
        <v>3.8</v>
      </c>
      <c r="C24" s="41">
        <v>10.35</v>
      </c>
      <c r="D24" s="41">
        <v>6.56</v>
      </c>
      <c r="E24" s="41">
        <v>7.37</v>
      </c>
      <c r="F24" s="41">
        <v>50.41</v>
      </c>
      <c r="G24" s="41">
        <v>62.87</v>
      </c>
      <c r="H24" s="41">
        <v>33.729999999999997</v>
      </c>
      <c r="I24" s="41">
        <v>5.73</v>
      </c>
      <c r="J24" s="41">
        <v>0.86</v>
      </c>
      <c r="K24" s="41">
        <v>273.60000000000002</v>
      </c>
      <c r="L24" s="41">
        <v>42.19</v>
      </c>
      <c r="M24" s="41">
        <v>27.93</v>
      </c>
      <c r="N24" s="41">
        <v>318</v>
      </c>
      <c r="O24" s="41">
        <v>0</v>
      </c>
      <c r="P24" s="41">
        <v>0.53</v>
      </c>
      <c r="Q24" s="41">
        <v>9.93</v>
      </c>
      <c r="R24" s="38"/>
      <c r="S24" s="38"/>
      <c r="T24" s="38"/>
      <c r="U24" s="38"/>
    </row>
    <row r="25" spans="1:21" customFormat="1">
      <c r="A25" s="40" t="s">
        <v>244</v>
      </c>
      <c r="B25" s="41">
        <v>3.92</v>
      </c>
      <c r="C25" s="41">
        <v>9.48</v>
      </c>
      <c r="D25" s="41">
        <v>5.56</v>
      </c>
      <c r="E25" s="41">
        <v>6.79</v>
      </c>
      <c r="F25" s="41">
        <v>17.59</v>
      </c>
      <c r="G25" s="41">
        <v>69.040000000000006</v>
      </c>
      <c r="H25" s="41">
        <v>32.119999999999997</v>
      </c>
      <c r="I25" s="41">
        <v>5.63</v>
      </c>
      <c r="J25" s="41">
        <v>1.36</v>
      </c>
      <c r="K25" s="41">
        <v>273.18</v>
      </c>
      <c r="L25" s="41">
        <v>39.11</v>
      </c>
      <c r="M25" s="41">
        <v>30.56</v>
      </c>
      <c r="N25" s="41">
        <v>166.5</v>
      </c>
      <c r="O25" s="41">
        <v>0</v>
      </c>
      <c r="P25" s="41">
        <v>0.56000000000000005</v>
      </c>
      <c r="Q25" s="41">
        <v>9.93</v>
      </c>
      <c r="R25" s="38"/>
      <c r="S25" s="38"/>
      <c r="T25" s="38"/>
      <c r="U25" s="38"/>
    </row>
    <row r="26" spans="1:21" customFormat="1">
      <c r="A26" s="40" t="s">
        <v>245</v>
      </c>
      <c r="B26" s="41">
        <v>5.72</v>
      </c>
      <c r="C26" s="41">
        <v>15.43</v>
      </c>
      <c r="D26" s="41">
        <v>9.83</v>
      </c>
      <c r="E26" s="41">
        <v>20.82</v>
      </c>
      <c r="F26" s="41">
        <v>21.06</v>
      </c>
      <c r="G26" s="41">
        <v>67.48</v>
      </c>
      <c r="H26" s="41">
        <v>31.25</v>
      </c>
      <c r="I26" s="41">
        <v>8.64</v>
      </c>
      <c r="J26" s="41">
        <v>1.94</v>
      </c>
      <c r="K26" s="41">
        <v>314.08999999999997</v>
      </c>
      <c r="L26" s="41">
        <v>37.28</v>
      </c>
      <c r="M26" s="41">
        <v>38.03</v>
      </c>
      <c r="N26" s="41">
        <v>66.7</v>
      </c>
      <c r="O26" s="41">
        <v>0</v>
      </c>
      <c r="P26" s="41">
        <v>0.85</v>
      </c>
      <c r="Q26" s="41">
        <v>9.94</v>
      </c>
      <c r="R26" s="38"/>
      <c r="S26" s="38"/>
      <c r="T26" s="38"/>
      <c r="U26" s="38"/>
    </row>
    <row r="27" spans="1:21" customFormat="1">
      <c r="A27" s="40" t="s">
        <v>246</v>
      </c>
      <c r="B27" s="41">
        <v>8.06</v>
      </c>
      <c r="C27" s="41">
        <v>25.89</v>
      </c>
      <c r="D27" s="41">
        <v>17.829999999999998</v>
      </c>
      <c r="E27" s="41">
        <v>5.8</v>
      </c>
      <c r="F27" s="41">
        <v>29.56</v>
      </c>
      <c r="G27" s="41">
        <v>84.01</v>
      </c>
      <c r="H27" s="41">
        <v>34.89</v>
      </c>
      <c r="I27" s="41">
        <v>7.41</v>
      </c>
      <c r="J27" s="41">
        <v>1.55</v>
      </c>
      <c r="K27" s="41">
        <v>47.66</v>
      </c>
      <c r="L27" s="41">
        <v>34.630000000000003</v>
      </c>
      <c r="M27" s="41">
        <v>42.47</v>
      </c>
      <c r="N27" s="41">
        <v>6.5</v>
      </c>
      <c r="O27" s="41">
        <v>0</v>
      </c>
      <c r="P27" s="41">
        <v>0.84</v>
      </c>
      <c r="Q27" s="41">
        <v>9.9499999999999993</v>
      </c>
      <c r="R27" s="38"/>
      <c r="S27" s="38"/>
      <c r="T27" s="38"/>
      <c r="U27" s="38"/>
    </row>
    <row r="28" spans="1:21" customFormat="1">
      <c r="A28" s="40" t="s">
        <v>247</v>
      </c>
      <c r="B28" s="41">
        <v>4.63</v>
      </c>
      <c r="C28" s="41">
        <v>15.54</v>
      </c>
      <c r="D28" s="41">
        <v>10.91</v>
      </c>
      <c r="E28" s="41">
        <v>8.91</v>
      </c>
      <c r="F28" s="41">
        <v>37.159999999999997</v>
      </c>
      <c r="G28" s="41">
        <v>82.75</v>
      </c>
      <c r="H28" s="41">
        <v>34.25</v>
      </c>
      <c r="I28" s="41">
        <v>7.77</v>
      </c>
      <c r="J28" s="41">
        <v>0.28000000000000003</v>
      </c>
      <c r="K28" s="41">
        <v>245.35</v>
      </c>
      <c r="L28" s="41">
        <v>34.520000000000003</v>
      </c>
      <c r="M28" s="41">
        <v>44.91</v>
      </c>
      <c r="N28" s="41">
        <v>2.1</v>
      </c>
      <c r="O28" s="41">
        <v>0</v>
      </c>
      <c r="P28" s="41">
        <v>0.72</v>
      </c>
      <c r="Q28" s="41">
        <v>9.9600000000000009</v>
      </c>
      <c r="R28" s="38"/>
      <c r="S28" s="38"/>
      <c r="T28" s="38"/>
      <c r="U28" s="38"/>
    </row>
    <row r="29" spans="1:21" customFormat="1">
      <c r="A29" s="40" t="s">
        <v>248</v>
      </c>
      <c r="B29" s="41">
        <v>3.93</v>
      </c>
      <c r="C29" s="41">
        <v>10.43</v>
      </c>
      <c r="D29" s="41">
        <v>6.51</v>
      </c>
      <c r="E29" s="41">
        <v>7.21</v>
      </c>
      <c r="F29" s="41">
        <v>23.5</v>
      </c>
      <c r="G29" s="41">
        <v>78.38</v>
      </c>
      <c r="H29" s="41">
        <v>31.46</v>
      </c>
      <c r="I29" s="41">
        <v>6.99</v>
      </c>
      <c r="J29" s="41">
        <v>0.3</v>
      </c>
      <c r="K29" s="41">
        <v>250.13</v>
      </c>
      <c r="L29" s="41">
        <v>33.76</v>
      </c>
      <c r="M29" s="41">
        <v>45.71</v>
      </c>
      <c r="N29" s="41">
        <v>1.8</v>
      </c>
      <c r="O29" s="41">
        <v>0</v>
      </c>
      <c r="P29" s="41">
        <v>0.63</v>
      </c>
      <c r="Q29" s="41">
        <v>9.94</v>
      </c>
      <c r="R29" s="38"/>
      <c r="S29" s="38"/>
      <c r="T29" s="38"/>
      <c r="U29" s="38"/>
    </row>
    <row r="30" spans="1:21" customFormat="1">
      <c r="A30" s="40" t="s">
        <v>249</v>
      </c>
      <c r="B30" s="41">
        <v>3.74</v>
      </c>
      <c r="C30" s="41">
        <v>9.91</v>
      </c>
      <c r="D30" s="41">
        <v>6.16</v>
      </c>
      <c r="E30" s="41">
        <v>6.45</v>
      </c>
      <c r="F30" s="41">
        <v>10.33</v>
      </c>
      <c r="G30" s="41">
        <v>73.599999999999994</v>
      </c>
      <c r="H30" s="41">
        <v>30.53</v>
      </c>
      <c r="I30" s="41">
        <v>7.02</v>
      </c>
      <c r="J30" s="41">
        <v>0.69</v>
      </c>
      <c r="K30" s="41">
        <v>257.27</v>
      </c>
      <c r="L30" s="41">
        <v>33.479999999999997</v>
      </c>
      <c r="M30" s="41">
        <v>43.74</v>
      </c>
      <c r="N30" s="41">
        <v>1.9</v>
      </c>
      <c r="O30" s="41">
        <v>0</v>
      </c>
      <c r="P30" s="41">
        <v>0.6</v>
      </c>
      <c r="Q30" s="41">
        <v>9.94</v>
      </c>
      <c r="R30" s="38"/>
      <c r="S30" s="38"/>
      <c r="T30" s="38"/>
      <c r="U30" s="38"/>
    </row>
    <row r="31" spans="1:21" customFormat="1">
      <c r="A31" s="40" t="s">
        <v>250</v>
      </c>
      <c r="B31" s="41">
        <v>3.66</v>
      </c>
      <c r="C31" s="41">
        <v>8.8800000000000008</v>
      </c>
      <c r="D31" s="41">
        <v>5.25</v>
      </c>
      <c r="E31" s="41">
        <v>5.84</v>
      </c>
      <c r="F31" s="41">
        <v>13.51</v>
      </c>
      <c r="G31" s="41">
        <v>67.260000000000005</v>
      </c>
      <c r="H31" s="41">
        <v>31.03</v>
      </c>
      <c r="I31" s="41">
        <v>6.64</v>
      </c>
      <c r="J31" s="41">
        <v>0.79</v>
      </c>
      <c r="K31" s="41">
        <v>256.44</v>
      </c>
      <c r="L31" s="41">
        <v>32.94</v>
      </c>
      <c r="M31" s="41">
        <v>46.31</v>
      </c>
      <c r="N31" s="41">
        <v>2.1</v>
      </c>
      <c r="O31" s="41">
        <v>0</v>
      </c>
      <c r="P31" s="41">
        <v>0.53</v>
      </c>
      <c r="Q31" s="41">
        <v>9.94</v>
      </c>
      <c r="R31" s="38"/>
      <c r="S31" s="38"/>
      <c r="T31" s="38"/>
      <c r="U31" s="38"/>
    </row>
    <row r="32" spans="1:21" customFormat="1">
      <c r="A32" s="40" t="s">
        <v>251</v>
      </c>
      <c r="B32" s="41">
        <v>3.65</v>
      </c>
      <c r="C32" s="41">
        <v>8.69</v>
      </c>
      <c r="D32" s="41">
        <v>5.07</v>
      </c>
      <c r="E32" s="41">
        <v>5.81</v>
      </c>
      <c r="F32" s="41">
        <v>11.31</v>
      </c>
      <c r="G32" s="41">
        <v>56.25</v>
      </c>
      <c r="H32" s="41">
        <v>27.07</v>
      </c>
      <c r="I32" s="41">
        <v>5.96</v>
      </c>
      <c r="J32" s="41">
        <v>0.34</v>
      </c>
      <c r="K32" s="41">
        <v>238.82</v>
      </c>
      <c r="L32" s="41">
        <v>32.75</v>
      </c>
      <c r="M32" s="41">
        <v>49.67</v>
      </c>
      <c r="N32" s="41">
        <v>2.1</v>
      </c>
      <c r="O32" s="41">
        <v>0</v>
      </c>
      <c r="P32" s="41">
        <v>0.47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3.65</v>
      </c>
      <c r="C34" s="18">
        <f t="shared" si="0"/>
        <v>8.51</v>
      </c>
      <c r="D34" s="18">
        <f t="shared" si="0"/>
        <v>4.17</v>
      </c>
      <c r="E34" s="18">
        <f t="shared" si="0"/>
        <v>4.1399999999999997</v>
      </c>
      <c r="F34" s="18">
        <f t="shared" si="0"/>
        <v>4.5199999999999996</v>
      </c>
      <c r="G34" s="18">
        <f t="shared" si="0"/>
        <v>46.98</v>
      </c>
      <c r="H34" s="18">
        <f t="shared" si="0"/>
        <v>26.96</v>
      </c>
      <c r="I34" s="18">
        <f t="shared" si="0"/>
        <v>5.63</v>
      </c>
      <c r="J34" s="18">
        <f t="shared" si="0"/>
        <v>0.14000000000000001</v>
      </c>
      <c r="K34" s="18">
        <f t="shared" si="0"/>
        <v>47.66</v>
      </c>
      <c r="L34" s="18">
        <f t="shared" si="0"/>
        <v>29.46</v>
      </c>
      <c r="M34" s="18">
        <f t="shared" si="0"/>
        <v>25.22</v>
      </c>
      <c r="N34" s="18">
        <f t="shared" si="0"/>
        <v>1.5</v>
      </c>
      <c r="O34" s="18">
        <f t="shared" si="0"/>
        <v>0</v>
      </c>
      <c r="P34" s="18">
        <f t="shared" si="0"/>
        <v>0.42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8.06</v>
      </c>
      <c r="C35" s="3">
        <f t="shared" si="1"/>
        <v>25.89</v>
      </c>
      <c r="D35" s="3">
        <f t="shared" si="1"/>
        <v>17.829999999999998</v>
      </c>
      <c r="E35" s="3">
        <f t="shared" si="1"/>
        <v>20.82</v>
      </c>
      <c r="F35" s="3">
        <f t="shared" si="1"/>
        <v>50.41</v>
      </c>
      <c r="G35" s="3">
        <f t="shared" si="1"/>
        <v>84.01</v>
      </c>
      <c r="H35" s="3">
        <f t="shared" si="1"/>
        <v>37.729999999999997</v>
      </c>
      <c r="I35" s="3">
        <f t="shared" si="1"/>
        <v>8.64</v>
      </c>
      <c r="J35" s="3">
        <f t="shared" si="1"/>
        <v>1.94</v>
      </c>
      <c r="K35" s="3">
        <f t="shared" si="1"/>
        <v>343.84</v>
      </c>
      <c r="L35" s="3">
        <f t="shared" si="1"/>
        <v>42.19</v>
      </c>
      <c r="M35" s="3">
        <f t="shared" si="1"/>
        <v>69.11</v>
      </c>
      <c r="N35" s="3">
        <f t="shared" si="1"/>
        <v>808.9</v>
      </c>
      <c r="O35" s="3">
        <f t="shared" si="1"/>
        <v>0</v>
      </c>
      <c r="P35" s="3">
        <f t="shared" si="1"/>
        <v>0.85</v>
      </c>
      <c r="Q35" s="3">
        <f t="shared" si="1"/>
        <v>9.9600000000000009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4.2545833333333336</v>
      </c>
      <c r="C36" s="18">
        <f t="shared" si="2"/>
        <v>10.897083333333335</v>
      </c>
      <c r="D36" s="18">
        <f t="shared" si="2"/>
        <v>6.68</v>
      </c>
      <c r="E36" s="18">
        <f t="shared" si="2"/>
        <v>6.8745833333333337</v>
      </c>
      <c r="F36" s="18">
        <f t="shared" si="2"/>
        <v>16.985833333333332</v>
      </c>
      <c r="G36" s="18">
        <f t="shared" si="2"/>
        <v>64.835833333333326</v>
      </c>
      <c r="H36" s="18">
        <f t="shared" si="2"/>
        <v>32.173333333333339</v>
      </c>
      <c r="I36" s="18">
        <f t="shared" si="2"/>
        <v>7.0312500000000009</v>
      </c>
      <c r="J36" s="18">
        <f t="shared" si="2"/>
        <v>0.69708333333333339</v>
      </c>
      <c r="K36" s="18">
        <f t="shared" si="2"/>
        <v>260.05</v>
      </c>
      <c r="L36" s="18">
        <f t="shared" si="2"/>
        <v>34.905000000000001</v>
      </c>
      <c r="M36" s="18">
        <f t="shared" si="2"/>
        <v>45.988750000000003</v>
      </c>
      <c r="N36" s="18">
        <f t="shared" si="2"/>
        <v>157.19999999999999</v>
      </c>
      <c r="O36" s="18">
        <f t="shared" si="2"/>
        <v>0</v>
      </c>
      <c r="P36" s="18">
        <f t="shared" si="2"/>
        <v>0.53958333333333341</v>
      </c>
      <c r="Q36" s="18">
        <f t="shared" si="2"/>
        <v>9.9445833333333322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0.92408346680545395</v>
      </c>
      <c r="C37" s="18">
        <f t="shared" ref="C37:Q37" si="3">STDEV(C9:C32)</f>
        <v>3.6782964856346001</v>
      </c>
      <c r="D37" s="18">
        <f t="shared" si="3"/>
        <v>2.8571299068029492</v>
      </c>
      <c r="E37" s="18">
        <f t="shared" si="3"/>
        <v>3.2117528455003699</v>
      </c>
      <c r="F37" s="18">
        <f t="shared" si="3"/>
        <v>10.607998178842172</v>
      </c>
      <c r="G37" s="18">
        <f t="shared" si="3"/>
        <v>9.7798368069726429</v>
      </c>
      <c r="H37" s="18">
        <f t="shared" si="3"/>
        <v>2.915025045259946</v>
      </c>
      <c r="I37" s="18">
        <f t="shared" si="3"/>
        <v>0.8836993020941728</v>
      </c>
      <c r="J37" s="18">
        <f t="shared" si="3"/>
        <v>0.4736580968943982</v>
      </c>
      <c r="K37" s="18">
        <f t="shared" si="3"/>
        <v>56.584582014353842</v>
      </c>
      <c r="L37" s="18">
        <f t="shared" si="3"/>
        <v>4.1840286390241337</v>
      </c>
      <c r="M37" s="18">
        <f t="shared" si="3"/>
        <v>13.158809352937514</v>
      </c>
      <c r="N37" s="18">
        <f t="shared" si="3"/>
        <v>235.65023639505111</v>
      </c>
      <c r="O37" s="18">
        <f t="shared" si="3"/>
        <v>0</v>
      </c>
      <c r="P37" s="18">
        <f t="shared" si="3"/>
        <v>0.11708336556810094</v>
      </c>
      <c r="Q37" s="18">
        <f t="shared" si="3"/>
        <v>1.0206207261596708E-2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252</v>
      </c>
      <c r="B9" s="41">
        <v>3.72</v>
      </c>
      <c r="C9" s="41">
        <v>8.61</v>
      </c>
      <c r="D9" s="41">
        <v>4.9000000000000004</v>
      </c>
      <c r="E9" s="41">
        <v>6.14</v>
      </c>
      <c r="F9" s="41">
        <v>12.25</v>
      </c>
      <c r="G9" s="41">
        <v>46.95</v>
      </c>
      <c r="H9" s="41">
        <v>23.81</v>
      </c>
      <c r="I9" s="41">
        <v>5.41</v>
      </c>
      <c r="J9" s="41">
        <v>0.22</v>
      </c>
      <c r="K9" s="41">
        <v>196.22</v>
      </c>
      <c r="L9" s="41">
        <v>31.53</v>
      </c>
      <c r="M9" s="41">
        <v>55.98</v>
      </c>
      <c r="N9" s="41">
        <v>2</v>
      </c>
      <c r="O9" s="41">
        <v>0</v>
      </c>
      <c r="P9" s="41">
        <v>0.43</v>
      </c>
      <c r="Q9" s="41">
        <v>9.93</v>
      </c>
      <c r="R9" s="38"/>
      <c r="S9" s="38"/>
      <c r="T9" s="38"/>
      <c r="U9" s="38"/>
    </row>
    <row r="10" spans="1:21" customFormat="1">
      <c r="A10" s="40" t="s">
        <v>253</v>
      </c>
      <c r="B10" s="41">
        <v>3.82</v>
      </c>
      <c r="C10" s="41">
        <v>8.61</v>
      </c>
      <c r="D10" s="41">
        <v>4.87</v>
      </c>
      <c r="E10" s="41">
        <v>5.97</v>
      </c>
      <c r="F10" s="41">
        <v>22.11</v>
      </c>
      <c r="G10" s="41">
        <v>39.64</v>
      </c>
      <c r="H10" s="41">
        <v>20.67</v>
      </c>
      <c r="I10" s="41">
        <v>4.99</v>
      </c>
      <c r="J10" s="41">
        <v>0.21</v>
      </c>
      <c r="K10" s="41">
        <v>192.33</v>
      </c>
      <c r="L10" s="41">
        <v>30.41</v>
      </c>
      <c r="M10" s="41">
        <v>58.02</v>
      </c>
      <c r="N10" s="41">
        <v>1.7</v>
      </c>
      <c r="O10" s="41">
        <v>0</v>
      </c>
      <c r="P10" s="41">
        <v>0.43</v>
      </c>
      <c r="Q10" s="41">
        <v>9.93</v>
      </c>
      <c r="R10" s="38"/>
      <c r="S10" s="38"/>
      <c r="T10" s="38"/>
      <c r="U10" s="38"/>
    </row>
    <row r="11" spans="1:21" customFormat="1">
      <c r="A11" s="40" t="s">
        <v>254</v>
      </c>
      <c r="B11" s="41">
        <v>4.03</v>
      </c>
      <c r="C11" s="41">
        <v>8.01</v>
      </c>
      <c r="D11" s="41">
        <v>4</v>
      </c>
      <c r="E11" s="41">
        <v>5.03</v>
      </c>
      <c r="F11" s="41">
        <v>17.79</v>
      </c>
      <c r="G11" s="41">
        <v>33.6</v>
      </c>
      <c r="H11" s="41">
        <v>20.56</v>
      </c>
      <c r="I11" s="41">
        <v>4.5</v>
      </c>
      <c r="J11" s="41">
        <v>0.16</v>
      </c>
      <c r="K11" s="41">
        <v>233.77</v>
      </c>
      <c r="L11" s="41">
        <v>29.83</v>
      </c>
      <c r="M11" s="41">
        <v>58.68</v>
      </c>
      <c r="N11" s="41">
        <v>1.7</v>
      </c>
      <c r="O11" s="41">
        <v>0</v>
      </c>
      <c r="P11" s="41">
        <v>0.44</v>
      </c>
      <c r="Q11" s="41">
        <v>9.94</v>
      </c>
      <c r="R11" s="38"/>
      <c r="S11" s="38"/>
      <c r="T11" s="38"/>
      <c r="U11" s="38"/>
    </row>
    <row r="12" spans="1:21" customFormat="1">
      <c r="A12" s="40" t="s">
        <v>255</v>
      </c>
      <c r="B12" s="41">
        <v>4.21</v>
      </c>
      <c r="C12" s="41">
        <v>8.23</v>
      </c>
      <c r="D12" s="41">
        <v>4.0199999999999996</v>
      </c>
      <c r="E12" s="41">
        <v>5.22</v>
      </c>
      <c r="F12" s="41">
        <v>16.52</v>
      </c>
      <c r="G12" s="41">
        <v>34.07</v>
      </c>
      <c r="H12" s="41">
        <v>19.38</v>
      </c>
      <c r="I12" s="41">
        <v>4.54</v>
      </c>
      <c r="J12" s="41">
        <v>0.17</v>
      </c>
      <c r="K12" s="41">
        <v>190.97</v>
      </c>
      <c r="L12" s="41">
        <v>29.12</v>
      </c>
      <c r="M12" s="41">
        <v>63.88</v>
      </c>
      <c r="N12" s="41">
        <v>1.9</v>
      </c>
      <c r="O12" s="41">
        <v>0</v>
      </c>
      <c r="P12" s="41">
        <v>0.44</v>
      </c>
      <c r="Q12" s="41">
        <v>9.94</v>
      </c>
      <c r="R12" s="38"/>
      <c r="S12" s="38"/>
      <c r="T12" s="38"/>
      <c r="U12" s="38"/>
    </row>
    <row r="13" spans="1:21" customFormat="1">
      <c r="A13" s="40" t="s">
        <v>256</v>
      </c>
      <c r="B13" s="41">
        <v>4.42</v>
      </c>
      <c r="C13" s="41">
        <v>8.25</v>
      </c>
      <c r="D13" s="41">
        <v>3.94</v>
      </c>
      <c r="E13" s="41">
        <v>5.39</v>
      </c>
      <c r="F13" s="41">
        <v>11.59</v>
      </c>
      <c r="G13" s="41">
        <v>32.39</v>
      </c>
      <c r="H13" s="41">
        <v>18.47</v>
      </c>
      <c r="I13" s="41">
        <v>4.8099999999999996</v>
      </c>
      <c r="J13" s="41">
        <v>0.2</v>
      </c>
      <c r="K13" s="41">
        <v>194.97</v>
      </c>
      <c r="L13" s="41">
        <v>28.59</v>
      </c>
      <c r="M13" s="41">
        <v>69</v>
      </c>
      <c r="N13" s="41">
        <v>1.7</v>
      </c>
      <c r="O13" s="41">
        <v>0</v>
      </c>
      <c r="P13" s="41">
        <v>0.44</v>
      </c>
      <c r="Q13" s="41">
        <v>9.9499999999999993</v>
      </c>
      <c r="R13" s="38"/>
      <c r="S13" s="38"/>
      <c r="T13" s="38"/>
      <c r="U13" s="38"/>
    </row>
    <row r="14" spans="1:21" customFormat="1">
      <c r="A14" s="40" t="s">
        <v>257</v>
      </c>
      <c r="B14" s="41">
        <v>4.51</v>
      </c>
      <c r="C14" s="41">
        <v>8.39</v>
      </c>
      <c r="D14" s="41">
        <v>3.91</v>
      </c>
      <c r="E14" s="41">
        <v>5.44</v>
      </c>
      <c r="F14" s="41">
        <v>9.0399999999999991</v>
      </c>
      <c r="G14" s="41">
        <v>32.11</v>
      </c>
      <c r="H14" s="41">
        <v>20.67</v>
      </c>
      <c r="I14" s="41">
        <v>4.92</v>
      </c>
      <c r="J14" s="41">
        <v>0.19</v>
      </c>
      <c r="K14" s="41">
        <v>223.9</v>
      </c>
      <c r="L14" s="41">
        <v>27.87</v>
      </c>
      <c r="M14" s="41">
        <v>70.37</v>
      </c>
      <c r="N14" s="41">
        <v>20.5</v>
      </c>
      <c r="O14" s="41">
        <v>0</v>
      </c>
      <c r="P14" s="41">
        <v>0.44</v>
      </c>
      <c r="Q14" s="41">
        <v>9.94</v>
      </c>
      <c r="R14" s="38"/>
      <c r="S14" s="38"/>
      <c r="T14" s="38"/>
      <c r="U14" s="38"/>
    </row>
    <row r="15" spans="1:21" customFormat="1">
      <c r="A15" s="40" t="s">
        <v>258</v>
      </c>
      <c r="B15" s="41">
        <v>4.54</v>
      </c>
      <c r="C15" s="41">
        <v>8.75</v>
      </c>
      <c r="D15" s="41">
        <v>4.47</v>
      </c>
      <c r="E15" s="41">
        <v>5.38</v>
      </c>
      <c r="F15" s="41">
        <v>4.5999999999999996</v>
      </c>
      <c r="G15" s="41">
        <v>33.909999999999997</v>
      </c>
      <c r="H15" s="41">
        <v>19.96</v>
      </c>
      <c r="I15" s="41">
        <v>5.0999999999999996</v>
      </c>
      <c r="J15" s="41">
        <v>0.28000000000000003</v>
      </c>
      <c r="K15" s="41">
        <v>247.82</v>
      </c>
      <c r="L15" s="41">
        <v>29.75</v>
      </c>
      <c r="M15" s="41">
        <v>70.25</v>
      </c>
      <c r="N15" s="41">
        <v>76.5</v>
      </c>
      <c r="O15" s="41">
        <v>0</v>
      </c>
      <c r="P15" s="41">
        <v>0.4</v>
      </c>
      <c r="Q15" s="41">
        <v>9.94</v>
      </c>
      <c r="R15" s="38"/>
      <c r="S15" s="38"/>
      <c r="T15" s="38"/>
      <c r="U15" s="38"/>
    </row>
    <row r="16" spans="1:21" customFormat="1">
      <c r="A16" s="40" t="s">
        <v>259</v>
      </c>
      <c r="B16" s="41">
        <v>4.1500000000000004</v>
      </c>
      <c r="C16" s="41">
        <v>8.82</v>
      </c>
      <c r="D16" s="41">
        <v>4.82</v>
      </c>
      <c r="E16" s="41">
        <v>5.75</v>
      </c>
      <c r="F16" s="41">
        <v>6.52</v>
      </c>
      <c r="G16" s="41">
        <v>33.630000000000003</v>
      </c>
      <c r="H16" s="41">
        <v>18.02</v>
      </c>
      <c r="I16" s="41">
        <v>5.14</v>
      </c>
      <c r="J16" s="41">
        <v>0.87</v>
      </c>
      <c r="K16" s="41">
        <v>267.37</v>
      </c>
      <c r="L16" s="41">
        <v>31.63</v>
      </c>
      <c r="M16" s="41">
        <v>63.5</v>
      </c>
      <c r="N16" s="41">
        <v>125.3</v>
      </c>
      <c r="O16" s="41">
        <v>0</v>
      </c>
      <c r="P16" s="41">
        <v>0.38</v>
      </c>
      <c r="Q16" s="41">
        <v>9.93</v>
      </c>
      <c r="R16" s="38"/>
      <c r="S16" s="38"/>
      <c r="T16" s="38"/>
      <c r="U16" s="38"/>
    </row>
    <row r="17" spans="1:21" customFormat="1">
      <c r="A17" s="40" t="s">
        <v>260</v>
      </c>
      <c r="B17" s="41">
        <v>3.81</v>
      </c>
      <c r="C17" s="41">
        <v>8.85</v>
      </c>
      <c r="D17" s="41">
        <v>5.04</v>
      </c>
      <c r="E17" s="41">
        <v>5.98</v>
      </c>
      <c r="F17" s="41">
        <v>5.17</v>
      </c>
      <c r="G17" s="41">
        <v>32.35</v>
      </c>
      <c r="H17" s="41">
        <v>18.8</v>
      </c>
      <c r="I17" s="41">
        <v>4.96</v>
      </c>
      <c r="J17" s="41">
        <v>1.03</v>
      </c>
      <c r="K17" s="41">
        <v>269.64999999999998</v>
      </c>
      <c r="L17" s="41">
        <v>32.83</v>
      </c>
      <c r="M17" s="41">
        <v>56.27</v>
      </c>
      <c r="N17" s="41">
        <v>156.30000000000001</v>
      </c>
      <c r="O17" s="41">
        <v>0</v>
      </c>
      <c r="P17" s="41">
        <v>0.39</v>
      </c>
      <c r="Q17" s="41">
        <v>9.94</v>
      </c>
      <c r="R17" s="38"/>
      <c r="S17" s="38"/>
      <c r="T17" s="38"/>
      <c r="U17" s="38"/>
    </row>
    <row r="18" spans="1:21" customFormat="1">
      <c r="A18" s="40" t="s">
        <v>261</v>
      </c>
      <c r="B18" s="41">
        <v>3.83</v>
      </c>
      <c r="C18" s="41">
        <v>9.0399999999999991</v>
      </c>
      <c r="D18" s="41">
        <v>5.27</v>
      </c>
      <c r="E18" s="41">
        <v>6.18</v>
      </c>
      <c r="F18" s="41">
        <v>5.93</v>
      </c>
      <c r="G18" s="41">
        <v>37.950000000000003</v>
      </c>
      <c r="H18" s="41">
        <v>22.54</v>
      </c>
      <c r="I18" s="41">
        <v>5.38</v>
      </c>
      <c r="J18" s="41">
        <v>1.06</v>
      </c>
      <c r="K18" s="41">
        <v>258.38</v>
      </c>
      <c r="L18" s="41">
        <v>34.53</v>
      </c>
      <c r="M18" s="41">
        <v>54.59</v>
      </c>
      <c r="N18" s="41">
        <v>198.9</v>
      </c>
      <c r="O18" s="41">
        <v>0</v>
      </c>
      <c r="P18" s="41">
        <v>0.42</v>
      </c>
      <c r="Q18" s="41">
        <v>9.94</v>
      </c>
      <c r="R18" s="38"/>
      <c r="S18" s="38"/>
      <c r="T18" s="38"/>
      <c r="U18" s="38"/>
    </row>
    <row r="19" spans="1:21" customFormat="1">
      <c r="A19" s="40" t="s">
        <v>262</v>
      </c>
      <c r="B19" s="41">
        <v>3.75</v>
      </c>
      <c r="C19" s="41">
        <v>8.65</v>
      </c>
      <c r="D19" s="41">
        <v>4.92</v>
      </c>
      <c r="E19" s="41">
        <v>4.88</v>
      </c>
      <c r="F19" s="41">
        <v>8.4700000000000006</v>
      </c>
      <c r="G19" s="41">
        <v>37.659999999999997</v>
      </c>
      <c r="H19" s="41">
        <v>22.81</v>
      </c>
      <c r="I19" s="41">
        <v>5.41</v>
      </c>
      <c r="J19" s="41">
        <v>1</v>
      </c>
      <c r="K19" s="41">
        <v>265.95</v>
      </c>
      <c r="L19" s="41">
        <v>36.200000000000003</v>
      </c>
      <c r="M19" s="41">
        <v>48.26</v>
      </c>
      <c r="N19" s="41">
        <v>223.8</v>
      </c>
      <c r="O19" s="41">
        <v>0</v>
      </c>
      <c r="P19" s="41">
        <v>0.42</v>
      </c>
      <c r="Q19" s="41">
        <v>9.94</v>
      </c>
      <c r="R19" s="38"/>
      <c r="S19" s="38"/>
      <c r="T19" s="38"/>
      <c r="U19" s="38"/>
    </row>
    <row r="20" spans="1:21" customFormat="1">
      <c r="A20" s="40" t="s">
        <v>263</v>
      </c>
      <c r="B20" s="41">
        <v>3.95</v>
      </c>
      <c r="C20" s="41">
        <v>8.5500000000000007</v>
      </c>
      <c r="D20" s="41">
        <v>4.5999999999999996</v>
      </c>
      <c r="E20" s="41">
        <v>6.41</v>
      </c>
      <c r="F20" s="41">
        <v>18.63</v>
      </c>
      <c r="G20" s="41">
        <v>40.94</v>
      </c>
      <c r="H20" s="41">
        <v>24.64</v>
      </c>
      <c r="I20" s="41">
        <v>5.21</v>
      </c>
      <c r="J20" s="41">
        <v>1.03</v>
      </c>
      <c r="K20" s="41">
        <v>293.14999999999998</v>
      </c>
      <c r="L20" s="41">
        <v>37.479999999999997</v>
      </c>
      <c r="M20" s="41">
        <v>44.78</v>
      </c>
      <c r="N20" s="41">
        <v>467.8</v>
      </c>
      <c r="O20" s="41">
        <v>0</v>
      </c>
      <c r="P20" s="41">
        <v>0.52</v>
      </c>
      <c r="Q20" s="41">
        <v>9.93</v>
      </c>
      <c r="R20" s="38"/>
      <c r="S20" s="38"/>
      <c r="T20" s="38"/>
      <c r="U20" s="38"/>
    </row>
    <row r="21" spans="1:21" customFormat="1">
      <c r="A21" s="40" t="s">
        <v>264</v>
      </c>
      <c r="B21" s="41">
        <v>3.96</v>
      </c>
      <c r="C21" s="41">
        <v>8.68</v>
      </c>
      <c r="D21" s="41">
        <v>4.74</v>
      </c>
      <c r="E21" s="41">
        <v>7.49</v>
      </c>
      <c r="F21" s="41">
        <v>32.1</v>
      </c>
      <c r="G21" s="41">
        <v>54.86</v>
      </c>
      <c r="H21" s="41">
        <v>26.51</v>
      </c>
      <c r="I21" s="41">
        <v>5.56</v>
      </c>
      <c r="J21" s="41">
        <v>0.84</v>
      </c>
      <c r="K21" s="41">
        <v>312.10000000000002</v>
      </c>
      <c r="L21" s="41">
        <v>38.159999999999997</v>
      </c>
      <c r="M21" s="41">
        <v>40.81</v>
      </c>
      <c r="N21" s="41">
        <v>573.4</v>
      </c>
      <c r="O21" s="41">
        <v>0</v>
      </c>
      <c r="P21" s="41">
        <v>0.53</v>
      </c>
      <c r="Q21" s="41">
        <v>9.93</v>
      </c>
      <c r="R21" s="38"/>
      <c r="S21" s="38"/>
      <c r="T21" s="38"/>
      <c r="U21" s="38"/>
    </row>
    <row r="22" spans="1:21" customFormat="1">
      <c r="A22" s="40" t="s">
        <v>265</v>
      </c>
      <c r="B22" s="41">
        <v>4.54</v>
      </c>
      <c r="C22" s="41">
        <v>12.2</v>
      </c>
      <c r="D22" s="41">
        <v>7.66</v>
      </c>
      <c r="E22" s="41">
        <v>7.99</v>
      </c>
      <c r="F22" s="41">
        <v>37.94</v>
      </c>
      <c r="G22" s="41">
        <v>56.61</v>
      </c>
      <c r="H22" s="41">
        <v>26.36</v>
      </c>
      <c r="I22" s="41">
        <v>5.86</v>
      </c>
      <c r="J22" s="41">
        <v>0.71</v>
      </c>
      <c r="K22" s="41">
        <v>288.64999999999998</v>
      </c>
      <c r="L22" s="41">
        <v>39.979999999999997</v>
      </c>
      <c r="M22" s="41">
        <v>38.340000000000003</v>
      </c>
      <c r="N22" s="41">
        <v>649.29999999999995</v>
      </c>
      <c r="O22" s="41">
        <v>0</v>
      </c>
      <c r="P22" s="41">
        <v>0.56000000000000005</v>
      </c>
      <c r="Q22" s="41">
        <v>9.93</v>
      </c>
      <c r="R22" s="38"/>
      <c r="S22" s="38"/>
      <c r="T22" s="38"/>
      <c r="U22" s="38"/>
    </row>
    <row r="23" spans="1:21" customFormat="1">
      <c r="A23" s="40" t="s">
        <v>266</v>
      </c>
      <c r="B23" s="41">
        <v>3.79</v>
      </c>
      <c r="C23" s="41">
        <v>8.41</v>
      </c>
      <c r="D23" s="41">
        <v>4.62</v>
      </c>
      <c r="E23" s="41">
        <v>7.34</v>
      </c>
      <c r="F23" s="41">
        <v>44.4</v>
      </c>
      <c r="G23" s="41">
        <v>55.59</v>
      </c>
      <c r="H23" s="41">
        <v>26.25</v>
      </c>
      <c r="I23" s="41">
        <v>6.09</v>
      </c>
      <c r="J23" s="41">
        <v>0.48</v>
      </c>
      <c r="K23" s="41">
        <v>281.33999999999997</v>
      </c>
      <c r="L23" s="41">
        <v>40.840000000000003</v>
      </c>
      <c r="M23" s="41">
        <v>33.06</v>
      </c>
      <c r="N23" s="41">
        <v>388</v>
      </c>
      <c r="O23" s="41">
        <v>0</v>
      </c>
      <c r="P23" s="41">
        <v>0.41</v>
      </c>
      <c r="Q23" s="41">
        <v>9.93</v>
      </c>
      <c r="R23" s="38"/>
      <c r="S23" s="38"/>
      <c r="T23" s="38"/>
      <c r="U23" s="38"/>
    </row>
    <row r="24" spans="1:21" customFormat="1">
      <c r="A24" s="40" t="s">
        <v>267</v>
      </c>
      <c r="B24" s="41">
        <v>3.67</v>
      </c>
      <c r="C24" s="41">
        <v>8.43</v>
      </c>
      <c r="D24" s="41">
        <v>4.76</v>
      </c>
      <c r="E24" s="41">
        <v>7.67</v>
      </c>
      <c r="F24" s="41">
        <v>53.76</v>
      </c>
      <c r="G24" s="41">
        <v>53.88</v>
      </c>
      <c r="H24" s="41">
        <v>26.65</v>
      </c>
      <c r="I24" s="41">
        <v>5.63</v>
      </c>
      <c r="J24" s="41">
        <v>1.04</v>
      </c>
      <c r="K24" s="41">
        <v>262.99</v>
      </c>
      <c r="L24" s="41">
        <v>40.119999999999997</v>
      </c>
      <c r="M24" s="41">
        <v>35.18</v>
      </c>
      <c r="N24" s="41">
        <v>227.3</v>
      </c>
      <c r="O24" s="41">
        <v>0</v>
      </c>
      <c r="P24" s="41">
        <v>0.42</v>
      </c>
      <c r="Q24" s="41">
        <v>9.92</v>
      </c>
      <c r="R24" s="38"/>
      <c r="S24" s="38"/>
      <c r="T24" s="38"/>
      <c r="U24" s="38"/>
    </row>
    <row r="25" spans="1:21" customFormat="1">
      <c r="A25" s="40" t="s">
        <v>268</v>
      </c>
      <c r="B25" s="41">
        <v>3.7</v>
      </c>
      <c r="C25" s="41">
        <v>10.26</v>
      </c>
      <c r="D25" s="41">
        <v>6.62</v>
      </c>
      <c r="E25" s="41">
        <v>6.34</v>
      </c>
      <c r="F25" s="41">
        <v>13.22</v>
      </c>
      <c r="G25" s="41">
        <v>65.61</v>
      </c>
      <c r="H25" s="41">
        <v>32.71</v>
      </c>
      <c r="I25" s="41">
        <v>7.01</v>
      </c>
      <c r="J25" s="41">
        <v>1.19</v>
      </c>
      <c r="K25" s="41">
        <v>260.38</v>
      </c>
      <c r="L25" s="41">
        <v>37.03</v>
      </c>
      <c r="M25" s="41">
        <v>40.04</v>
      </c>
      <c r="N25" s="41">
        <v>171.4</v>
      </c>
      <c r="O25" s="41">
        <v>0</v>
      </c>
      <c r="P25" s="41">
        <v>0.46</v>
      </c>
      <c r="Q25" s="41">
        <v>9.94</v>
      </c>
      <c r="R25" s="38"/>
      <c r="S25" s="38"/>
      <c r="T25" s="38"/>
      <c r="U25" s="38"/>
    </row>
    <row r="26" spans="1:21" customFormat="1">
      <c r="A26" s="40" t="s">
        <v>269</v>
      </c>
      <c r="B26" s="41">
        <v>3.73</v>
      </c>
      <c r="C26" s="41">
        <v>9.32</v>
      </c>
      <c r="D26" s="41">
        <v>5.6</v>
      </c>
      <c r="E26" s="41">
        <v>5.22</v>
      </c>
      <c r="F26" s="41">
        <v>13.91</v>
      </c>
      <c r="G26" s="41">
        <v>62.81</v>
      </c>
      <c r="H26" s="41">
        <v>30.81</v>
      </c>
      <c r="I26" s="41">
        <v>6.48</v>
      </c>
      <c r="J26" s="41">
        <v>0.94</v>
      </c>
      <c r="K26" s="41">
        <v>258.83</v>
      </c>
      <c r="L26" s="41">
        <v>35.79</v>
      </c>
      <c r="M26" s="41">
        <v>40.369999999999997</v>
      </c>
      <c r="N26" s="41">
        <v>83.4</v>
      </c>
      <c r="O26" s="41">
        <v>0</v>
      </c>
      <c r="P26" s="41">
        <v>0.4</v>
      </c>
      <c r="Q26" s="41">
        <v>9.94</v>
      </c>
      <c r="R26" s="38"/>
      <c r="S26" s="38"/>
      <c r="T26" s="38"/>
      <c r="U26" s="38"/>
    </row>
    <row r="27" spans="1:21" customFormat="1">
      <c r="A27" s="40" t="s">
        <v>270</v>
      </c>
      <c r="B27" s="41">
        <v>3.74</v>
      </c>
      <c r="C27" s="41">
        <v>9.9600000000000009</v>
      </c>
      <c r="D27" s="41">
        <v>6.24</v>
      </c>
      <c r="E27" s="41">
        <v>5.93</v>
      </c>
      <c r="F27" s="41">
        <v>16.100000000000001</v>
      </c>
      <c r="G27" s="41">
        <v>57.97</v>
      </c>
      <c r="H27" s="41">
        <v>30.43</v>
      </c>
      <c r="I27" s="41">
        <v>6.29</v>
      </c>
      <c r="J27" s="41">
        <v>0.62</v>
      </c>
      <c r="K27" s="41">
        <v>262.67</v>
      </c>
      <c r="L27" s="41">
        <v>34.85</v>
      </c>
      <c r="M27" s="41">
        <v>45.27</v>
      </c>
      <c r="N27" s="41">
        <v>22.1</v>
      </c>
      <c r="O27" s="41">
        <v>0</v>
      </c>
      <c r="P27" s="41">
        <v>0.42</v>
      </c>
      <c r="Q27" s="41">
        <v>9.93</v>
      </c>
      <c r="R27" s="38"/>
      <c r="S27" s="38"/>
      <c r="T27" s="38"/>
      <c r="U27" s="38"/>
    </row>
    <row r="28" spans="1:21" customFormat="1">
      <c r="A28" s="40" t="s">
        <v>271</v>
      </c>
      <c r="B28" s="41">
        <v>3.75</v>
      </c>
      <c r="C28" s="41">
        <v>9.33</v>
      </c>
      <c r="D28" s="41">
        <v>5.57</v>
      </c>
      <c r="E28" s="41">
        <v>5.41</v>
      </c>
      <c r="F28" s="41">
        <v>10.16</v>
      </c>
      <c r="G28" s="41">
        <v>55.58</v>
      </c>
      <c r="H28" s="41">
        <v>29.85</v>
      </c>
      <c r="I28" s="41">
        <v>6.16</v>
      </c>
      <c r="J28" s="41">
        <v>0.69</v>
      </c>
      <c r="K28" s="41">
        <v>255.92</v>
      </c>
      <c r="L28" s="41">
        <v>33.450000000000003</v>
      </c>
      <c r="M28" s="41">
        <v>48.03</v>
      </c>
      <c r="N28" s="41">
        <v>1.9</v>
      </c>
      <c r="O28" s="41">
        <v>0</v>
      </c>
      <c r="P28" s="41">
        <v>0.43</v>
      </c>
      <c r="Q28" s="41">
        <v>9.93</v>
      </c>
      <c r="R28" s="38"/>
      <c r="S28" s="38"/>
      <c r="T28" s="38"/>
      <c r="U28" s="38"/>
    </row>
    <row r="29" spans="1:21" customFormat="1">
      <c r="A29" s="40" t="s">
        <v>272</v>
      </c>
      <c r="B29" s="41">
        <v>3.81</v>
      </c>
      <c r="C29" s="41">
        <v>9.3000000000000007</v>
      </c>
      <c r="D29" s="41">
        <v>5.49</v>
      </c>
      <c r="E29" s="41">
        <v>5.5</v>
      </c>
      <c r="F29" s="41">
        <v>7.92</v>
      </c>
      <c r="G29" s="41">
        <v>54.9</v>
      </c>
      <c r="H29" s="41">
        <v>29.62</v>
      </c>
      <c r="I29" s="41">
        <v>6.2</v>
      </c>
      <c r="J29" s="41">
        <v>0.57999999999999996</v>
      </c>
      <c r="K29" s="41">
        <v>254.41</v>
      </c>
      <c r="L29" s="41">
        <v>32.6</v>
      </c>
      <c r="M29" s="41">
        <v>46.65</v>
      </c>
      <c r="N29" s="41">
        <v>1.7</v>
      </c>
      <c r="O29" s="41">
        <v>0</v>
      </c>
      <c r="P29" s="41">
        <v>0.44</v>
      </c>
      <c r="Q29" s="41">
        <v>9.92</v>
      </c>
      <c r="R29" s="38"/>
      <c r="S29" s="38"/>
      <c r="T29" s="38"/>
      <c r="U29" s="38"/>
    </row>
    <row r="30" spans="1:21" customFormat="1">
      <c r="A30" s="40" t="s">
        <v>273</v>
      </c>
      <c r="B30" s="41">
        <v>3.84</v>
      </c>
      <c r="C30" s="41">
        <v>8.7100000000000009</v>
      </c>
      <c r="D30" s="41">
        <v>4.8899999999999997</v>
      </c>
      <c r="E30" s="41">
        <v>5.03</v>
      </c>
      <c r="F30" s="41">
        <v>20.88</v>
      </c>
      <c r="G30" s="41">
        <v>52.53</v>
      </c>
      <c r="H30" s="41">
        <v>29.54</v>
      </c>
      <c r="I30" s="41">
        <v>5.99</v>
      </c>
      <c r="J30" s="41">
        <v>0.66</v>
      </c>
      <c r="K30" s="41">
        <v>257.04000000000002</v>
      </c>
      <c r="L30" s="41">
        <v>32.270000000000003</v>
      </c>
      <c r="M30" s="41">
        <v>47.24</v>
      </c>
      <c r="N30" s="41">
        <v>1.9</v>
      </c>
      <c r="O30" s="41">
        <v>0</v>
      </c>
      <c r="P30" s="41">
        <v>0.45</v>
      </c>
      <c r="Q30" s="41">
        <v>9.94</v>
      </c>
      <c r="R30" s="38"/>
      <c r="S30" s="38"/>
      <c r="T30" s="38"/>
      <c r="U30" s="38"/>
    </row>
    <row r="31" spans="1:21" customFormat="1">
      <c r="A31" s="40" t="s">
        <v>274</v>
      </c>
      <c r="B31" s="41">
        <v>3.9</v>
      </c>
      <c r="C31" s="41">
        <v>7.76</v>
      </c>
      <c r="D31" s="41">
        <v>3.92</v>
      </c>
      <c r="E31" s="41">
        <v>4.54</v>
      </c>
      <c r="F31" s="41">
        <v>21.44</v>
      </c>
      <c r="G31" s="41">
        <v>45.04</v>
      </c>
      <c r="H31" s="41">
        <v>29.11</v>
      </c>
      <c r="I31" s="41">
        <v>5.82</v>
      </c>
      <c r="J31" s="41">
        <v>0.62</v>
      </c>
      <c r="K31" s="41">
        <v>256.02999999999997</v>
      </c>
      <c r="L31" s="41">
        <v>31.75</v>
      </c>
      <c r="M31" s="41">
        <v>51.72</v>
      </c>
      <c r="N31" s="41">
        <v>1.9</v>
      </c>
      <c r="O31" s="41">
        <v>0</v>
      </c>
      <c r="P31" s="41">
        <v>0.44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275</v>
      </c>
      <c r="B32" s="41">
        <v>3.93</v>
      </c>
      <c r="C32" s="41">
        <v>7.69</v>
      </c>
      <c r="D32" s="41">
        <v>3.84</v>
      </c>
      <c r="E32" s="41">
        <v>4.66</v>
      </c>
      <c r="F32" s="41">
        <v>17.96</v>
      </c>
      <c r="G32" s="41">
        <v>44.67</v>
      </c>
      <c r="H32" s="41">
        <v>28.64</v>
      </c>
      <c r="I32" s="41">
        <v>5.82</v>
      </c>
      <c r="J32" s="41">
        <v>0.5</v>
      </c>
      <c r="K32" s="41">
        <v>259.87</v>
      </c>
      <c r="L32" s="41">
        <v>30.98</v>
      </c>
      <c r="M32" s="41">
        <v>56</v>
      </c>
      <c r="N32" s="41">
        <v>2</v>
      </c>
      <c r="O32" s="41">
        <v>0</v>
      </c>
      <c r="P32" s="41">
        <v>0.43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3.67</v>
      </c>
      <c r="C34" s="18">
        <f t="shared" si="0"/>
        <v>7.69</v>
      </c>
      <c r="D34" s="18">
        <f t="shared" si="0"/>
        <v>3.84</v>
      </c>
      <c r="E34" s="18">
        <f t="shared" si="0"/>
        <v>4.54</v>
      </c>
      <c r="F34" s="18">
        <f t="shared" si="0"/>
        <v>4.5999999999999996</v>
      </c>
      <c r="G34" s="18">
        <f t="shared" si="0"/>
        <v>32.11</v>
      </c>
      <c r="H34" s="18">
        <f t="shared" si="0"/>
        <v>18.02</v>
      </c>
      <c r="I34" s="18">
        <f t="shared" si="0"/>
        <v>4.5</v>
      </c>
      <c r="J34" s="18">
        <f t="shared" si="0"/>
        <v>0.16</v>
      </c>
      <c r="K34" s="18">
        <f t="shared" si="0"/>
        <v>190.97</v>
      </c>
      <c r="L34" s="18">
        <f t="shared" si="0"/>
        <v>27.87</v>
      </c>
      <c r="M34" s="18">
        <f t="shared" si="0"/>
        <v>33.06</v>
      </c>
      <c r="N34" s="18">
        <f t="shared" si="0"/>
        <v>1.7</v>
      </c>
      <c r="O34" s="18">
        <f t="shared" si="0"/>
        <v>0</v>
      </c>
      <c r="P34" s="18">
        <f t="shared" si="0"/>
        <v>0.38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4.54</v>
      </c>
      <c r="C35" s="3">
        <f t="shared" si="1"/>
        <v>12.2</v>
      </c>
      <c r="D35" s="3">
        <f t="shared" si="1"/>
        <v>7.66</v>
      </c>
      <c r="E35" s="3">
        <f t="shared" si="1"/>
        <v>7.99</v>
      </c>
      <c r="F35" s="3">
        <f t="shared" si="1"/>
        <v>53.76</v>
      </c>
      <c r="G35" s="3">
        <f t="shared" si="1"/>
        <v>65.61</v>
      </c>
      <c r="H35" s="3">
        <f t="shared" si="1"/>
        <v>32.71</v>
      </c>
      <c r="I35" s="3">
        <f t="shared" si="1"/>
        <v>7.01</v>
      </c>
      <c r="J35" s="3">
        <f t="shared" si="1"/>
        <v>1.19</v>
      </c>
      <c r="K35" s="3">
        <f t="shared" si="1"/>
        <v>312.10000000000002</v>
      </c>
      <c r="L35" s="3">
        <f t="shared" si="1"/>
        <v>40.840000000000003</v>
      </c>
      <c r="M35" s="3">
        <f t="shared" si="1"/>
        <v>70.37</v>
      </c>
      <c r="N35" s="3">
        <f t="shared" si="1"/>
        <v>649.29999999999995</v>
      </c>
      <c r="O35" s="3">
        <f t="shared" si="1"/>
        <v>0</v>
      </c>
      <c r="P35" s="3">
        <f t="shared" si="1"/>
        <v>0.56000000000000005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3.9625000000000008</v>
      </c>
      <c r="C36" s="18">
        <f t="shared" si="2"/>
        <v>8.8670833333333334</v>
      </c>
      <c r="D36" s="18">
        <f t="shared" si="2"/>
        <v>4.94625</v>
      </c>
      <c r="E36" s="18">
        <f t="shared" si="2"/>
        <v>5.8704166666666664</v>
      </c>
      <c r="F36" s="18">
        <f t="shared" si="2"/>
        <v>17.850416666666671</v>
      </c>
      <c r="G36" s="18">
        <f t="shared" si="2"/>
        <v>45.635416666666664</v>
      </c>
      <c r="H36" s="18">
        <f t="shared" si="2"/>
        <v>24.867083333333337</v>
      </c>
      <c r="I36" s="18">
        <f t="shared" si="2"/>
        <v>5.5533333333333337</v>
      </c>
      <c r="J36" s="18">
        <f t="shared" si="2"/>
        <v>0.63708333333333333</v>
      </c>
      <c r="K36" s="18">
        <f t="shared" si="2"/>
        <v>251.86291666666668</v>
      </c>
      <c r="L36" s="18">
        <f t="shared" si="2"/>
        <v>33.649583333333339</v>
      </c>
      <c r="M36" s="18">
        <f t="shared" si="2"/>
        <v>51.512083333333344</v>
      </c>
      <c r="N36" s="18">
        <f t="shared" si="2"/>
        <v>141.76666666666668</v>
      </c>
      <c r="O36" s="18">
        <f t="shared" si="2"/>
        <v>0</v>
      </c>
      <c r="P36" s="18">
        <f t="shared" si="2"/>
        <v>0.43916666666666665</v>
      </c>
      <c r="Q36" s="18">
        <f t="shared" si="2"/>
        <v>9.9354166666666668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0.28118151340061609</v>
      </c>
      <c r="C37" s="18">
        <f t="shared" ref="C37:Q37" si="3">STDEV(C9:C32)</f>
        <v>0.93239979840085707</v>
      </c>
      <c r="D37" s="18">
        <f t="shared" si="3"/>
        <v>0.9264275118877966</v>
      </c>
      <c r="E37" s="18">
        <f t="shared" si="3"/>
        <v>0.9490154127426953</v>
      </c>
      <c r="F37" s="18">
        <f t="shared" si="3"/>
        <v>12.656710019372829</v>
      </c>
      <c r="G37" s="18">
        <f t="shared" si="3"/>
        <v>10.894237399400357</v>
      </c>
      <c r="H37" s="18">
        <f t="shared" si="3"/>
        <v>4.5810958240660185</v>
      </c>
      <c r="I37" s="18">
        <f t="shared" si="3"/>
        <v>0.63776557412283386</v>
      </c>
      <c r="J37" s="18">
        <f t="shared" si="3"/>
        <v>0.33950704886921584</v>
      </c>
      <c r="K37" s="18">
        <f t="shared" si="3"/>
        <v>32.003176809588709</v>
      </c>
      <c r="L37" s="18">
        <f t="shared" si="3"/>
        <v>3.8233930744103231</v>
      </c>
      <c r="M37" s="18">
        <f t="shared" si="3"/>
        <v>10.984394059861403</v>
      </c>
      <c r="N37" s="18">
        <f t="shared" si="3"/>
        <v>193.59113496292099</v>
      </c>
      <c r="O37" s="18">
        <f t="shared" si="3"/>
        <v>0</v>
      </c>
      <c r="P37" s="18">
        <f t="shared" si="3"/>
        <v>4.2520242408678181E-2</v>
      </c>
      <c r="Q37" s="18">
        <f t="shared" si="3"/>
        <v>7.7902763620489642E-3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276</v>
      </c>
      <c r="B9" s="41">
        <v>3.83</v>
      </c>
      <c r="C9" s="41">
        <v>7.71</v>
      </c>
      <c r="D9" s="41">
        <v>3.94</v>
      </c>
      <c r="E9" s="41">
        <v>4.6900000000000004</v>
      </c>
      <c r="F9" s="41">
        <v>16.54</v>
      </c>
      <c r="G9" s="41">
        <v>46.17</v>
      </c>
      <c r="H9" s="41">
        <v>29.52</v>
      </c>
      <c r="I9" s="41">
        <v>5.62</v>
      </c>
      <c r="J9" s="41">
        <v>0.45</v>
      </c>
      <c r="K9" s="41">
        <v>255.03</v>
      </c>
      <c r="L9" s="41">
        <v>30.43</v>
      </c>
      <c r="M9" s="41">
        <v>62</v>
      </c>
      <c r="N9" s="41">
        <v>1.8</v>
      </c>
      <c r="O9" s="41">
        <v>0</v>
      </c>
      <c r="P9" s="41">
        <v>0.41</v>
      </c>
      <c r="Q9" s="41">
        <v>9.93</v>
      </c>
      <c r="R9" s="38"/>
      <c r="S9" s="38"/>
      <c r="T9" s="38"/>
      <c r="U9" s="38"/>
    </row>
    <row r="10" spans="1:21" customFormat="1">
      <c r="A10" s="40" t="s">
        <v>277</v>
      </c>
      <c r="B10" s="41">
        <v>3.88</v>
      </c>
      <c r="C10" s="41">
        <v>7.78</v>
      </c>
      <c r="D10" s="41">
        <v>3.9</v>
      </c>
      <c r="E10" s="41">
        <v>4.66</v>
      </c>
      <c r="F10" s="41">
        <v>14.51</v>
      </c>
      <c r="G10" s="41">
        <v>45.06</v>
      </c>
      <c r="H10" s="41">
        <v>27</v>
      </c>
      <c r="I10" s="41">
        <v>5.66</v>
      </c>
      <c r="J10" s="41">
        <v>0.35</v>
      </c>
      <c r="K10" s="41">
        <v>250.74</v>
      </c>
      <c r="L10" s="41">
        <v>30.05</v>
      </c>
      <c r="M10" s="41">
        <v>65.63</v>
      </c>
      <c r="N10" s="41">
        <v>1.8</v>
      </c>
      <c r="O10" s="41">
        <v>0</v>
      </c>
      <c r="P10" s="41">
        <v>0.39</v>
      </c>
      <c r="Q10" s="41">
        <v>9.93</v>
      </c>
      <c r="R10" s="38"/>
      <c r="S10" s="38"/>
      <c r="T10" s="38"/>
      <c r="U10" s="38"/>
    </row>
    <row r="11" spans="1:21" customFormat="1">
      <c r="A11" s="40" t="s">
        <v>278</v>
      </c>
      <c r="B11" s="41">
        <v>3.87</v>
      </c>
      <c r="C11" s="41">
        <v>8.17</v>
      </c>
      <c r="D11" s="41">
        <v>4.32</v>
      </c>
      <c r="E11" s="41">
        <v>5.64</v>
      </c>
      <c r="F11" s="41">
        <v>6.15</v>
      </c>
      <c r="G11" s="41">
        <v>41.96</v>
      </c>
      <c r="H11" s="41">
        <v>24.32</v>
      </c>
      <c r="I11" s="41">
        <v>5.62</v>
      </c>
      <c r="J11" s="41">
        <v>0.38</v>
      </c>
      <c r="K11" s="41">
        <v>255.5</v>
      </c>
      <c r="L11" s="41">
        <v>29.59</v>
      </c>
      <c r="M11" s="41">
        <v>68.900000000000006</v>
      </c>
      <c r="N11" s="41">
        <v>1.6</v>
      </c>
      <c r="O11" s="41">
        <v>0</v>
      </c>
      <c r="P11" s="41">
        <v>0.32</v>
      </c>
      <c r="Q11" s="41">
        <v>9.94</v>
      </c>
      <c r="R11" s="38"/>
      <c r="S11" s="38"/>
      <c r="T11" s="38"/>
      <c r="U11" s="38"/>
    </row>
    <row r="12" spans="1:21" customFormat="1">
      <c r="A12" s="40" t="s">
        <v>279</v>
      </c>
      <c r="B12" s="41">
        <v>3.86</v>
      </c>
      <c r="C12" s="41">
        <v>8.3000000000000007</v>
      </c>
      <c r="D12" s="41">
        <v>4.4400000000000004</v>
      </c>
      <c r="E12" s="41">
        <v>5.82</v>
      </c>
      <c r="F12" s="41">
        <v>5.14</v>
      </c>
      <c r="G12" s="41">
        <v>39.74</v>
      </c>
      <c r="H12" s="41">
        <v>23.04</v>
      </c>
      <c r="I12" s="41">
        <v>5.36</v>
      </c>
      <c r="J12" s="41">
        <v>0.43</v>
      </c>
      <c r="K12" s="41">
        <v>250.95</v>
      </c>
      <c r="L12" s="41">
        <v>29.3</v>
      </c>
      <c r="M12" s="41">
        <v>72.11</v>
      </c>
      <c r="N12" s="41">
        <v>1.7</v>
      </c>
      <c r="O12" s="41">
        <v>0</v>
      </c>
      <c r="P12" s="41">
        <v>0.3</v>
      </c>
      <c r="Q12" s="41">
        <v>9.92</v>
      </c>
      <c r="R12" s="38"/>
      <c r="S12" s="38"/>
      <c r="T12" s="38"/>
      <c r="U12" s="38"/>
    </row>
    <row r="13" spans="1:21" customFormat="1">
      <c r="A13" s="40" t="s">
        <v>280</v>
      </c>
      <c r="B13" s="41">
        <v>3.89</v>
      </c>
      <c r="C13" s="41">
        <v>8.3000000000000007</v>
      </c>
      <c r="D13" s="41">
        <v>4.41</v>
      </c>
      <c r="E13" s="41">
        <v>5.93</v>
      </c>
      <c r="F13" s="41">
        <v>3.47</v>
      </c>
      <c r="G13" s="41">
        <v>38.880000000000003</v>
      </c>
      <c r="H13" s="41">
        <v>24.29</v>
      </c>
      <c r="I13" s="41">
        <v>5.0199999999999996</v>
      </c>
      <c r="J13" s="41">
        <v>0.53</v>
      </c>
      <c r="K13" s="41">
        <v>254.08</v>
      </c>
      <c r="L13" s="41">
        <v>28.88</v>
      </c>
      <c r="M13" s="41">
        <v>72.53</v>
      </c>
      <c r="N13" s="41">
        <v>1.7</v>
      </c>
      <c r="O13" s="41">
        <v>0</v>
      </c>
      <c r="P13" s="41">
        <v>0.28999999999999998</v>
      </c>
      <c r="Q13" s="41">
        <v>9.92</v>
      </c>
      <c r="R13" s="38"/>
      <c r="S13" s="38"/>
      <c r="T13" s="38"/>
      <c r="U13" s="38"/>
    </row>
    <row r="14" spans="1:21" customFormat="1">
      <c r="A14" s="40" t="s">
        <v>281</v>
      </c>
      <c r="B14" s="41">
        <v>3.89</v>
      </c>
      <c r="C14" s="41">
        <v>8.39</v>
      </c>
      <c r="D14" s="41">
        <v>4.51</v>
      </c>
      <c r="E14" s="41">
        <v>6.31</v>
      </c>
      <c r="F14" s="41">
        <v>3.48</v>
      </c>
      <c r="G14" s="41">
        <v>36.64</v>
      </c>
      <c r="H14" s="41">
        <v>21.79</v>
      </c>
      <c r="I14" s="41">
        <v>4.71</v>
      </c>
      <c r="J14" s="41">
        <v>0.56999999999999995</v>
      </c>
      <c r="K14" s="41">
        <v>257.77999999999997</v>
      </c>
      <c r="L14" s="41">
        <v>28.58</v>
      </c>
      <c r="M14" s="41">
        <v>69.44</v>
      </c>
      <c r="N14" s="41">
        <v>13</v>
      </c>
      <c r="O14" s="41">
        <v>0</v>
      </c>
      <c r="P14" s="41">
        <v>0.28000000000000003</v>
      </c>
      <c r="Q14" s="41">
        <v>9.93</v>
      </c>
      <c r="R14" s="38"/>
      <c r="S14" s="38"/>
      <c r="T14" s="38"/>
      <c r="U14" s="38"/>
    </row>
    <row r="15" spans="1:21" customFormat="1">
      <c r="A15" s="40" t="s">
        <v>282</v>
      </c>
      <c r="B15" s="41">
        <v>3.92</v>
      </c>
      <c r="C15" s="41">
        <v>8.59</v>
      </c>
      <c r="D15" s="41">
        <v>4.71</v>
      </c>
      <c r="E15" s="41">
        <v>6.15</v>
      </c>
      <c r="F15" s="41">
        <v>4.18</v>
      </c>
      <c r="G15" s="41">
        <v>34.64</v>
      </c>
      <c r="H15" s="41">
        <v>19.63</v>
      </c>
      <c r="I15" s="41">
        <v>4.58</v>
      </c>
      <c r="J15" s="41">
        <v>0.45</v>
      </c>
      <c r="K15" s="41">
        <v>259.14999999999998</v>
      </c>
      <c r="L15" s="41">
        <v>28.91</v>
      </c>
      <c r="M15" s="41">
        <v>64.42</v>
      </c>
      <c r="N15" s="41">
        <v>74.099999999999994</v>
      </c>
      <c r="O15" s="41">
        <v>0</v>
      </c>
      <c r="P15" s="41">
        <v>0.31</v>
      </c>
      <c r="Q15" s="41">
        <v>9.93</v>
      </c>
      <c r="R15" s="38"/>
      <c r="S15" s="38"/>
      <c r="T15" s="38"/>
      <c r="U15" s="38"/>
    </row>
    <row r="16" spans="1:21" customFormat="1">
      <c r="A16" s="40" t="s">
        <v>283</v>
      </c>
      <c r="B16" s="41">
        <v>4.1399999999999997</v>
      </c>
      <c r="C16" s="41">
        <v>8.16</v>
      </c>
      <c r="D16" s="41">
        <v>4.16</v>
      </c>
      <c r="E16" s="41">
        <v>5.75</v>
      </c>
      <c r="F16" s="41">
        <v>8.01</v>
      </c>
      <c r="G16" s="41">
        <v>34.049999999999997</v>
      </c>
      <c r="H16" s="41">
        <v>23.09</v>
      </c>
      <c r="I16" s="41">
        <v>5.12</v>
      </c>
      <c r="J16" s="41">
        <v>0.74</v>
      </c>
      <c r="K16" s="41">
        <v>264.07</v>
      </c>
      <c r="L16" s="41">
        <v>29.94</v>
      </c>
      <c r="M16" s="41">
        <v>62.82</v>
      </c>
      <c r="N16" s="41">
        <v>131.80000000000001</v>
      </c>
      <c r="O16" s="41">
        <v>0</v>
      </c>
      <c r="P16" s="41">
        <v>0.36</v>
      </c>
      <c r="Q16" s="41">
        <v>9.94</v>
      </c>
      <c r="R16" s="38"/>
      <c r="S16" s="38"/>
      <c r="T16" s="38"/>
      <c r="U16" s="38"/>
    </row>
    <row r="17" spans="1:21" customFormat="1">
      <c r="A17" s="40" t="s">
        <v>284</v>
      </c>
      <c r="B17" s="41">
        <v>4.51</v>
      </c>
      <c r="C17" s="41">
        <v>9.4</v>
      </c>
      <c r="D17" s="41">
        <v>4.96</v>
      </c>
      <c r="E17" s="41">
        <v>6.47</v>
      </c>
      <c r="F17" s="41">
        <v>6.7</v>
      </c>
      <c r="G17" s="41">
        <v>39.35</v>
      </c>
      <c r="H17" s="41">
        <v>23.09</v>
      </c>
      <c r="I17" s="41">
        <v>6.38</v>
      </c>
      <c r="J17" s="41">
        <v>0.72</v>
      </c>
      <c r="K17" s="41">
        <v>287.10000000000002</v>
      </c>
      <c r="L17" s="41">
        <v>31.55</v>
      </c>
      <c r="M17" s="41">
        <v>61.07</v>
      </c>
      <c r="N17" s="41">
        <v>213.2</v>
      </c>
      <c r="O17" s="41">
        <v>0</v>
      </c>
      <c r="P17" s="41">
        <v>0.44</v>
      </c>
      <c r="Q17" s="41">
        <v>9.93</v>
      </c>
      <c r="R17" s="38"/>
      <c r="S17" s="38"/>
      <c r="T17" s="38"/>
      <c r="U17" s="38"/>
    </row>
    <row r="18" spans="1:21" customFormat="1">
      <c r="A18" s="40" t="s">
        <v>285</v>
      </c>
      <c r="B18" s="41">
        <v>4.41</v>
      </c>
      <c r="C18" s="41">
        <v>9.32</v>
      </c>
      <c r="D18" s="41">
        <v>5.09</v>
      </c>
      <c r="E18" s="41">
        <v>8.36</v>
      </c>
      <c r="F18" s="41">
        <v>12.03</v>
      </c>
      <c r="G18" s="41">
        <v>43.92</v>
      </c>
      <c r="H18" s="41">
        <v>27.75</v>
      </c>
      <c r="I18" s="41">
        <v>7.74</v>
      </c>
      <c r="J18" s="41">
        <v>0.43</v>
      </c>
      <c r="K18" s="41">
        <v>286.33999999999997</v>
      </c>
      <c r="L18" s="41">
        <v>32.49</v>
      </c>
      <c r="M18" s="41">
        <v>55.95</v>
      </c>
      <c r="N18" s="41">
        <v>205.4</v>
      </c>
      <c r="O18" s="41">
        <v>0</v>
      </c>
      <c r="P18" s="41">
        <v>0.61</v>
      </c>
      <c r="Q18" s="41">
        <v>9.94</v>
      </c>
      <c r="R18" s="38"/>
      <c r="S18" s="38"/>
      <c r="T18" s="38"/>
      <c r="U18" s="38"/>
    </row>
    <row r="19" spans="1:21" customFormat="1">
      <c r="A19" s="40" t="s">
        <v>286</v>
      </c>
      <c r="B19" s="41">
        <v>4.2</v>
      </c>
      <c r="C19" s="41">
        <v>9.59</v>
      </c>
      <c r="D19" s="41">
        <v>5.39</v>
      </c>
      <c r="E19" s="41">
        <v>9.1199999999999992</v>
      </c>
      <c r="F19" s="41">
        <v>14.37</v>
      </c>
      <c r="G19" s="41">
        <v>53.03</v>
      </c>
      <c r="H19" s="41">
        <v>27.35</v>
      </c>
      <c r="I19" s="41">
        <v>8.73</v>
      </c>
      <c r="J19" s="41">
        <v>0.54</v>
      </c>
      <c r="K19" s="41">
        <v>265.13</v>
      </c>
      <c r="L19" s="41">
        <v>33.49</v>
      </c>
      <c r="M19" s="41">
        <v>55.03</v>
      </c>
      <c r="N19" s="41">
        <v>283.39999999999998</v>
      </c>
      <c r="O19" s="41">
        <v>0</v>
      </c>
      <c r="P19" s="41">
        <v>0.64</v>
      </c>
      <c r="Q19" s="41">
        <v>9.9499999999999993</v>
      </c>
      <c r="R19" s="38"/>
      <c r="S19" s="38"/>
      <c r="T19" s="38"/>
      <c r="U19" s="38"/>
    </row>
    <row r="20" spans="1:21" customFormat="1">
      <c r="A20" s="40" t="s">
        <v>287</v>
      </c>
      <c r="B20" s="41">
        <v>3.78</v>
      </c>
      <c r="C20" s="41">
        <v>12.52</v>
      </c>
      <c r="D20" s="41">
        <v>8.84</v>
      </c>
      <c r="E20" s="41">
        <v>17.73</v>
      </c>
      <c r="F20" s="41">
        <v>49.16</v>
      </c>
      <c r="G20" s="41">
        <v>58.48</v>
      </c>
      <c r="H20" s="41">
        <v>33.14</v>
      </c>
      <c r="I20" s="41">
        <v>8.92</v>
      </c>
      <c r="J20" s="41">
        <v>0.3</v>
      </c>
      <c r="K20" s="41">
        <v>264.13</v>
      </c>
      <c r="L20" s="41">
        <v>35.369999999999997</v>
      </c>
      <c r="M20" s="41">
        <v>52.38</v>
      </c>
      <c r="N20" s="41">
        <v>299.39999999999998</v>
      </c>
      <c r="O20" s="41">
        <v>0</v>
      </c>
      <c r="P20" s="41">
        <v>0.72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288</v>
      </c>
      <c r="B21" s="41">
        <v>3.74</v>
      </c>
      <c r="C21" s="41">
        <v>12.17</v>
      </c>
      <c r="D21" s="41">
        <v>8.42</v>
      </c>
      <c r="E21" s="41">
        <v>13.44</v>
      </c>
      <c r="F21" s="41">
        <v>70.77</v>
      </c>
      <c r="G21" s="41">
        <v>63.96</v>
      </c>
      <c r="H21" s="41">
        <v>35.58</v>
      </c>
      <c r="I21" s="41">
        <v>8.8699999999999992</v>
      </c>
      <c r="J21" s="41">
        <v>0.34</v>
      </c>
      <c r="K21" s="41">
        <v>232.89</v>
      </c>
      <c r="L21" s="41">
        <v>37.020000000000003</v>
      </c>
      <c r="M21" s="41">
        <v>47.05</v>
      </c>
      <c r="N21" s="41">
        <v>524.1</v>
      </c>
      <c r="O21" s="41">
        <v>0</v>
      </c>
      <c r="P21" s="41">
        <v>0.63</v>
      </c>
      <c r="Q21" s="41">
        <v>9.9499999999999993</v>
      </c>
      <c r="R21" s="38"/>
      <c r="S21" s="38"/>
      <c r="T21" s="38"/>
      <c r="U21" s="38"/>
    </row>
    <row r="22" spans="1:21" customFormat="1">
      <c r="A22" s="40" t="s">
        <v>289</v>
      </c>
      <c r="B22" s="41">
        <v>3.54</v>
      </c>
      <c r="C22" s="41">
        <v>9.67</v>
      </c>
      <c r="D22" s="41">
        <v>6.14</v>
      </c>
      <c r="E22" s="41">
        <v>6.51</v>
      </c>
      <c r="F22" s="41">
        <v>19.760000000000002</v>
      </c>
      <c r="G22" s="41">
        <v>64.59</v>
      </c>
      <c r="H22" s="41">
        <v>38.11</v>
      </c>
      <c r="I22" s="41">
        <v>8.7100000000000009</v>
      </c>
      <c r="J22" s="41">
        <v>0.35</v>
      </c>
      <c r="K22" s="41">
        <v>214.71</v>
      </c>
      <c r="L22" s="41">
        <v>38.49</v>
      </c>
      <c r="M22" s="41">
        <v>41.33</v>
      </c>
      <c r="N22" s="41">
        <v>493.4</v>
      </c>
      <c r="O22" s="41">
        <v>0</v>
      </c>
      <c r="P22" s="41">
        <v>0.57999999999999996</v>
      </c>
      <c r="Q22" s="41">
        <v>9.93</v>
      </c>
      <c r="R22" s="38"/>
      <c r="S22" s="38"/>
      <c r="T22" s="38"/>
      <c r="U22" s="38"/>
    </row>
    <row r="23" spans="1:21" customFormat="1">
      <c r="A23" s="40" t="s">
        <v>290</v>
      </c>
      <c r="B23" s="41">
        <v>3.58</v>
      </c>
      <c r="C23" s="41">
        <v>8.01</v>
      </c>
      <c r="D23" s="41">
        <v>4.43</v>
      </c>
      <c r="E23" s="41">
        <v>6.59</v>
      </c>
      <c r="F23" s="41">
        <v>22.49</v>
      </c>
      <c r="G23" s="41">
        <v>66.709999999999994</v>
      </c>
      <c r="H23" s="41">
        <v>37.4</v>
      </c>
      <c r="I23" s="41">
        <v>7.3</v>
      </c>
      <c r="J23" s="41">
        <v>0.35</v>
      </c>
      <c r="K23" s="41">
        <v>223.12</v>
      </c>
      <c r="L23" s="41">
        <v>39.090000000000003</v>
      </c>
      <c r="M23" s="41">
        <v>37.75</v>
      </c>
      <c r="N23" s="41">
        <v>375.4</v>
      </c>
      <c r="O23" s="41">
        <v>0</v>
      </c>
      <c r="P23" s="41">
        <v>0.57999999999999996</v>
      </c>
      <c r="Q23" s="41">
        <v>9.92</v>
      </c>
      <c r="R23" s="38"/>
      <c r="S23" s="38"/>
      <c r="T23" s="38"/>
      <c r="U23" s="38"/>
    </row>
    <row r="24" spans="1:21" customFormat="1">
      <c r="A24" s="40" t="s">
        <v>291</v>
      </c>
      <c r="B24" s="41">
        <v>3.56</v>
      </c>
      <c r="C24" s="41">
        <v>7.26</v>
      </c>
      <c r="D24" s="41">
        <v>3.72</v>
      </c>
      <c r="E24" s="41">
        <v>6.31</v>
      </c>
      <c r="F24" s="41">
        <v>27.36</v>
      </c>
      <c r="G24" s="41">
        <v>65.45</v>
      </c>
      <c r="H24" s="41">
        <v>37.54</v>
      </c>
      <c r="I24" s="41">
        <v>6.58</v>
      </c>
      <c r="J24" s="41">
        <v>0.39</v>
      </c>
      <c r="K24" s="41">
        <v>157.88</v>
      </c>
      <c r="L24" s="41">
        <v>39.950000000000003</v>
      </c>
      <c r="M24" s="41">
        <v>40.86</v>
      </c>
      <c r="N24" s="41">
        <v>518.70000000000005</v>
      </c>
      <c r="O24" s="41">
        <v>0</v>
      </c>
      <c r="P24" s="41">
        <v>0.52</v>
      </c>
      <c r="Q24" s="41">
        <v>9.92</v>
      </c>
      <c r="R24" s="38"/>
      <c r="S24" s="38"/>
      <c r="T24" s="38"/>
      <c r="U24" s="38"/>
    </row>
    <row r="25" spans="1:21" customFormat="1">
      <c r="A25" s="40" t="s">
        <v>292</v>
      </c>
      <c r="B25" s="41">
        <v>3.6</v>
      </c>
      <c r="C25" s="41">
        <v>7.44</v>
      </c>
      <c r="D25" s="41">
        <v>3.84</v>
      </c>
      <c r="E25" s="41">
        <v>7.12</v>
      </c>
      <c r="F25" s="41">
        <v>42.27</v>
      </c>
      <c r="G25" s="41">
        <v>63.78</v>
      </c>
      <c r="H25" s="41">
        <v>39.090000000000003</v>
      </c>
      <c r="I25" s="41">
        <v>6.09</v>
      </c>
      <c r="J25" s="41">
        <v>0.34</v>
      </c>
      <c r="K25" s="41">
        <v>129.03</v>
      </c>
      <c r="L25" s="41">
        <v>36.99</v>
      </c>
      <c r="M25" s="41">
        <v>45.95</v>
      </c>
      <c r="N25" s="41">
        <v>138.5</v>
      </c>
      <c r="O25" s="41">
        <v>0</v>
      </c>
      <c r="P25" s="41">
        <v>0.55000000000000004</v>
      </c>
      <c r="Q25" s="41">
        <v>9.93</v>
      </c>
      <c r="R25" s="38"/>
      <c r="S25" s="38"/>
      <c r="T25" s="38"/>
      <c r="U25" s="38"/>
    </row>
    <row r="26" spans="1:21" customFormat="1">
      <c r="A26" s="40" t="s">
        <v>293</v>
      </c>
      <c r="B26" s="41">
        <v>3.71</v>
      </c>
      <c r="C26" s="41">
        <v>7.83</v>
      </c>
      <c r="D26" s="41">
        <v>4.12</v>
      </c>
      <c r="E26" s="41">
        <v>7.04</v>
      </c>
      <c r="F26" s="41">
        <v>43.24</v>
      </c>
      <c r="G26" s="41">
        <v>72.84</v>
      </c>
      <c r="H26" s="41">
        <v>39.909999999999997</v>
      </c>
      <c r="I26" s="41">
        <v>5.77</v>
      </c>
      <c r="J26" s="41">
        <v>0.2</v>
      </c>
      <c r="K26" s="41">
        <v>180.11</v>
      </c>
      <c r="L26" s="41">
        <v>35.92</v>
      </c>
      <c r="M26" s="41">
        <v>48.82</v>
      </c>
      <c r="N26" s="41">
        <v>90.4</v>
      </c>
      <c r="O26" s="41">
        <v>0</v>
      </c>
      <c r="P26" s="41">
        <v>0.56000000000000005</v>
      </c>
      <c r="Q26" s="41">
        <v>9.93</v>
      </c>
      <c r="R26" s="38"/>
      <c r="S26" s="38"/>
      <c r="T26" s="38"/>
      <c r="U26" s="38"/>
    </row>
    <row r="27" spans="1:21" customFormat="1">
      <c r="A27" s="40" t="s">
        <v>294</v>
      </c>
      <c r="B27" s="41">
        <v>4.3499999999999996</v>
      </c>
      <c r="C27" s="41">
        <v>11.25</v>
      </c>
      <c r="D27" s="41">
        <v>6.9</v>
      </c>
      <c r="E27" s="41">
        <v>6.16</v>
      </c>
      <c r="F27" s="41">
        <v>42.45</v>
      </c>
      <c r="G27" s="41">
        <v>69.86</v>
      </c>
      <c r="H27" s="41">
        <v>41.69</v>
      </c>
      <c r="I27" s="41">
        <v>5.51</v>
      </c>
      <c r="J27" s="41">
        <v>1.1599999999999999</v>
      </c>
      <c r="K27" s="41">
        <v>142.18</v>
      </c>
      <c r="L27" s="41">
        <v>34.53</v>
      </c>
      <c r="M27" s="41">
        <v>54.57</v>
      </c>
      <c r="N27" s="41">
        <v>17.899999999999999</v>
      </c>
      <c r="O27" s="41">
        <v>0</v>
      </c>
      <c r="P27" s="41">
        <v>0.6</v>
      </c>
      <c r="Q27" s="41">
        <v>9.92</v>
      </c>
      <c r="R27" s="38"/>
      <c r="S27" s="38"/>
      <c r="T27" s="38"/>
      <c r="U27" s="38"/>
    </row>
    <row r="28" spans="1:21" customFormat="1">
      <c r="A28" s="40" t="s">
        <v>295</v>
      </c>
      <c r="B28" s="41">
        <v>4.6399999999999997</v>
      </c>
      <c r="C28" s="41">
        <v>10.92</v>
      </c>
      <c r="D28" s="41">
        <v>6.53</v>
      </c>
      <c r="E28" s="41">
        <v>5.23</v>
      </c>
      <c r="F28" s="41">
        <v>17.63</v>
      </c>
      <c r="G28" s="41">
        <v>95.86</v>
      </c>
      <c r="H28" s="41">
        <v>41.03</v>
      </c>
      <c r="I28" s="41">
        <v>6.08</v>
      </c>
      <c r="J28" s="41">
        <v>3.65</v>
      </c>
      <c r="K28" s="41">
        <v>315.42</v>
      </c>
      <c r="L28" s="41">
        <v>26.16</v>
      </c>
      <c r="M28" s="41">
        <v>105.19</v>
      </c>
      <c r="N28" s="41">
        <v>16.7</v>
      </c>
      <c r="O28" s="41">
        <v>18.399999999999999</v>
      </c>
      <c r="P28" s="41">
        <v>0.54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296</v>
      </c>
      <c r="B29" s="41">
        <v>4.16</v>
      </c>
      <c r="C29" s="41">
        <v>8.57</v>
      </c>
      <c r="D29" s="41">
        <v>4.58</v>
      </c>
      <c r="E29" s="41">
        <v>3.98</v>
      </c>
      <c r="F29" s="41">
        <v>3.5</v>
      </c>
      <c r="G29" s="41">
        <v>81.13</v>
      </c>
      <c r="H29" s="41">
        <v>33.39</v>
      </c>
      <c r="I29" s="41">
        <v>5.84</v>
      </c>
      <c r="J29" s="41">
        <v>0.79</v>
      </c>
      <c r="K29" s="41">
        <v>292.37</v>
      </c>
      <c r="L29" s="41">
        <v>24.23</v>
      </c>
      <c r="M29" s="41">
        <v>105.24</v>
      </c>
      <c r="N29" s="41">
        <v>2.6</v>
      </c>
      <c r="O29" s="41">
        <v>0</v>
      </c>
      <c r="P29" s="41">
        <v>0.53</v>
      </c>
      <c r="Q29" s="41">
        <v>9.94</v>
      </c>
      <c r="R29" s="38"/>
      <c r="S29" s="38"/>
      <c r="T29" s="38"/>
      <c r="U29" s="38"/>
    </row>
    <row r="30" spans="1:21" customFormat="1">
      <c r="A30" s="40" t="s">
        <v>297</v>
      </c>
      <c r="B30" s="41">
        <v>4.17</v>
      </c>
      <c r="C30" s="41">
        <v>10.95</v>
      </c>
      <c r="D30" s="41">
        <v>6.82</v>
      </c>
      <c r="E30" s="41">
        <v>4.84</v>
      </c>
      <c r="F30" s="41">
        <v>3.74</v>
      </c>
      <c r="G30" s="41">
        <v>56.79</v>
      </c>
      <c r="H30" s="41">
        <v>26.41</v>
      </c>
      <c r="I30" s="41">
        <v>5.91</v>
      </c>
      <c r="J30" s="41">
        <v>0.6</v>
      </c>
      <c r="K30" s="41">
        <v>301.45999999999998</v>
      </c>
      <c r="L30" s="41">
        <v>24.8</v>
      </c>
      <c r="M30" s="41">
        <v>102.77</v>
      </c>
      <c r="N30" s="41">
        <v>2.8</v>
      </c>
      <c r="O30" s="41">
        <v>0</v>
      </c>
      <c r="P30" s="41">
        <v>0.52</v>
      </c>
      <c r="Q30" s="41">
        <v>9.94</v>
      </c>
      <c r="R30" s="38"/>
      <c r="S30" s="38"/>
      <c r="T30" s="38"/>
      <c r="U30" s="38"/>
    </row>
    <row r="31" spans="1:21" customFormat="1">
      <c r="A31" s="40" t="s">
        <v>298</v>
      </c>
      <c r="B31" s="41">
        <v>4.4000000000000004</v>
      </c>
      <c r="C31" s="41">
        <v>11.74</v>
      </c>
      <c r="D31" s="41">
        <v>7.34</v>
      </c>
      <c r="E31" s="41">
        <v>5.33</v>
      </c>
      <c r="F31" s="41">
        <v>4.21</v>
      </c>
      <c r="G31" s="41">
        <v>45.4</v>
      </c>
      <c r="H31" s="41">
        <v>22.03</v>
      </c>
      <c r="I31" s="41">
        <v>6.04</v>
      </c>
      <c r="J31" s="41">
        <v>0.46</v>
      </c>
      <c r="K31" s="41">
        <v>282.95</v>
      </c>
      <c r="L31" s="41">
        <v>25.09</v>
      </c>
      <c r="M31" s="41">
        <v>98.74</v>
      </c>
      <c r="N31" s="41">
        <v>2.5</v>
      </c>
      <c r="O31" s="41">
        <v>0</v>
      </c>
      <c r="P31" s="41">
        <v>0.55000000000000004</v>
      </c>
      <c r="Q31" s="41">
        <v>9.94</v>
      </c>
      <c r="R31" s="38"/>
      <c r="S31" s="38"/>
      <c r="T31" s="38"/>
      <c r="U31" s="38"/>
    </row>
    <row r="32" spans="1:21" customFormat="1">
      <c r="A32" s="40" t="s">
        <v>299</v>
      </c>
      <c r="B32" s="41">
        <v>4.22</v>
      </c>
      <c r="C32" s="41">
        <v>10.67</v>
      </c>
      <c r="D32" s="41">
        <v>6.45</v>
      </c>
      <c r="E32" s="41">
        <v>5.57</v>
      </c>
      <c r="F32" s="41">
        <v>3.79</v>
      </c>
      <c r="G32" s="41">
        <v>38.58</v>
      </c>
      <c r="H32" s="41">
        <v>19.93</v>
      </c>
      <c r="I32" s="41">
        <v>6.02</v>
      </c>
      <c r="J32" s="41">
        <v>0.2</v>
      </c>
      <c r="K32" s="41">
        <v>219.12</v>
      </c>
      <c r="L32" s="41">
        <v>25.19</v>
      </c>
      <c r="M32" s="41">
        <v>97.91</v>
      </c>
      <c r="N32" s="41">
        <v>2.2000000000000002</v>
      </c>
      <c r="O32" s="41">
        <v>0</v>
      </c>
      <c r="P32" s="41">
        <v>0.55000000000000004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3.54</v>
      </c>
      <c r="C34" s="18">
        <f t="shared" si="0"/>
        <v>7.26</v>
      </c>
      <c r="D34" s="18">
        <f t="shared" si="0"/>
        <v>3.72</v>
      </c>
      <c r="E34" s="18">
        <f t="shared" si="0"/>
        <v>3.98</v>
      </c>
      <c r="F34" s="18">
        <f t="shared" si="0"/>
        <v>3.47</v>
      </c>
      <c r="G34" s="18">
        <f t="shared" si="0"/>
        <v>34.049999999999997</v>
      </c>
      <c r="H34" s="18">
        <f t="shared" si="0"/>
        <v>19.63</v>
      </c>
      <c r="I34" s="18">
        <f t="shared" si="0"/>
        <v>4.58</v>
      </c>
      <c r="J34" s="18">
        <f t="shared" si="0"/>
        <v>0.2</v>
      </c>
      <c r="K34" s="18">
        <f t="shared" si="0"/>
        <v>129.03</v>
      </c>
      <c r="L34" s="18">
        <f t="shared" si="0"/>
        <v>24.23</v>
      </c>
      <c r="M34" s="18">
        <f t="shared" si="0"/>
        <v>37.75</v>
      </c>
      <c r="N34" s="18">
        <f t="shared" si="0"/>
        <v>1.6</v>
      </c>
      <c r="O34" s="18">
        <f t="shared" si="0"/>
        <v>0</v>
      </c>
      <c r="P34" s="18">
        <f t="shared" si="0"/>
        <v>0.28000000000000003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4.6399999999999997</v>
      </c>
      <c r="C35" s="3">
        <f t="shared" si="1"/>
        <v>12.52</v>
      </c>
      <c r="D35" s="3">
        <f t="shared" si="1"/>
        <v>8.84</v>
      </c>
      <c r="E35" s="3">
        <f t="shared" si="1"/>
        <v>17.73</v>
      </c>
      <c r="F35" s="3">
        <f t="shared" si="1"/>
        <v>70.77</v>
      </c>
      <c r="G35" s="3">
        <f t="shared" si="1"/>
        <v>95.86</v>
      </c>
      <c r="H35" s="3">
        <f t="shared" si="1"/>
        <v>41.69</v>
      </c>
      <c r="I35" s="3">
        <f t="shared" si="1"/>
        <v>8.92</v>
      </c>
      <c r="J35" s="3">
        <f t="shared" si="1"/>
        <v>3.65</v>
      </c>
      <c r="K35" s="3">
        <f t="shared" si="1"/>
        <v>315.42</v>
      </c>
      <c r="L35" s="3">
        <f t="shared" si="1"/>
        <v>39.950000000000003</v>
      </c>
      <c r="M35" s="3">
        <f t="shared" si="1"/>
        <v>105.24</v>
      </c>
      <c r="N35" s="3">
        <f t="shared" si="1"/>
        <v>524.1</v>
      </c>
      <c r="O35" s="3">
        <f t="shared" si="1"/>
        <v>18.399999999999999</v>
      </c>
      <c r="P35" s="3">
        <f t="shared" si="1"/>
        <v>0.72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3.9937499999999999</v>
      </c>
      <c r="C36" s="18">
        <f t="shared" si="2"/>
        <v>9.2795833333333313</v>
      </c>
      <c r="D36" s="18">
        <f t="shared" si="2"/>
        <v>5.3316666666666679</v>
      </c>
      <c r="E36" s="18">
        <f t="shared" si="2"/>
        <v>6.864583333333333</v>
      </c>
      <c r="F36" s="18">
        <f t="shared" si="2"/>
        <v>18.539583333333333</v>
      </c>
      <c r="G36" s="18">
        <f t="shared" si="2"/>
        <v>54.036250000000017</v>
      </c>
      <c r="H36" s="18">
        <f t="shared" si="2"/>
        <v>29.838333333333324</v>
      </c>
      <c r="I36" s="18">
        <f t="shared" si="2"/>
        <v>6.3408333333333351</v>
      </c>
      <c r="J36" s="18">
        <f t="shared" si="2"/>
        <v>0.61333333333333317</v>
      </c>
      <c r="K36" s="18">
        <f t="shared" si="2"/>
        <v>243.38499999999999</v>
      </c>
      <c r="L36" s="18">
        <f t="shared" si="2"/>
        <v>31.501666666666665</v>
      </c>
      <c r="M36" s="18">
        <f t="shared" si="2"/>
        <v>66.185833333333349</v>
      </c>
      <c r="N36" s="18">
        <f t="shared" si="2"/>
        <v>142.25416666666666</v>
      </c>
      <c r="O36" s="18">
        <f t="shared" si="2"/>
        <v>0.76666666666666661</v>
      </c>
      <c r="P36" s="18">
        <f t="shared" si="2"/>
        <v>0.49083333333333329</v>
      </c>
      <c r="Q36" s="18">
        <f t="shared" si="2"/>
        <v>9.9341666666666644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0.31855396785283113</v>
      </c>
      <c r="C37" s="18">
        <f t="shared" ref="C37:Q37" si="3">STDEV(C9:C32)</f>
        <v>1.5952769397483302</v>
      </c>
      <c r="D37" s="18">
        <f t="shared" si="3"/>
        <v>1.4869275783266607</v>
      </c>
      <c r="E37" s="18">
        <f t="shared" si="3"/>
        <v>2.9789814120976295</v>
      </c>
      <c r="F37" s="18">
        <f t="shared" si="3"/>
        <v>18.295377529564</v>
      </c>
      <c r="G37" s="18">
        <f t="shared" si="3"/>
        <v>16.343451504049444</v>
      </c>
      <c r="H37" s="18">
        <f t="shared" si="3"/>
        <v>7.3758487598063409</v>
      </c>
      <c r="I37" s="18">
        <f t="shared" si="3"/>
        <v>1.3276848652633089</v>
      </c>
      <c r="J37" s="18">
        <f t="shared" si="3"/>
        <v>0.68011934161629295</v>
      </c>
      <c r="K37" s="18">
        <f t="shared" si="3"/>
        <v>48.96490198179675</v>
      </c>
      <c r="L37" s="18">
        <f t="shared" si="3"/>
        <v>4.802846680030922</v>
      </c>
      <c r="M37" s="18">
        <f t="shared" si="3"/>
        <v>21.164677077553055</v>
      </c>
      <c r="N37" s="18">
        <f t="shared" si="3"/>
        <v>180.70560487726431</v>
      </c>
      <c r="O37" s="18">
        <f t="shared" si="3"/>
        <v>3.7558842722675392</v>
      </c>
      <c r="P37" s="18">
        <f t="shared" si="3"/>
        <v>0.1279577602406245</v>
      </c>
      <c r="Q37" s="18">
        <f t="shared" si="3"/>
        <v>1.0179547554080813E-2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G15" sqref="G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300</v>
      </c>
      <c r="B9" s="41">
        <v>3.93</v>
      </c>
      <c r="C9" s="41">
        <v>9.19</v>
      </c>
      <c r="D9" s="41">
        <v>5.31</v>
      </c>
      <c r="E9" s="41">
        <v>5.84</v>
      </c>
      <c r="F9" s="41">
        <v>4.74</v>
      </c>
      <c r="G9" s="41">
        <v>32.78</v>
      </c>
      <c r="H9" s="41">
        <v>20.07</v>
      </c>
      <c r="I9" s="41">
        <v>5.99</v>
      </c>
      <c r="J9" s="41">
        <v>0.38</v>
      </c>
      <c r="K9" s="41">
        <v>181.29</v>
      </c>
      <c r="L9" s="41">
        <v>24.9</v>
      </c>
      <c r="M9" s="41">
        <v>95.75</v>
      </c>
      <c r="N9" s="41">
        <v>2.1</v>
      </c>
      <c r="O9" s="41">
        <v>0</v>
      </c>
      <c r="P9" s="41">
        <v>0.53</v>
      </c>
      <c r="Q9" s="41">
        <v>9.93</v>
      </c>
      <c r="R9" s="38"/>
      <c r="S9" s="38"/>
      <c r="T9" s="38"/>
      <c r="U9" s="38"/>
    </row>
    <row r="10" spans="1:21" customFormat="1">
      <c r="A10" s="40" t="s">
        <v>301</v>
      </c>
      <c r="B10" s="41">
        <v>4.2699999999999996</v>
      </c>
      <c r="C10" s="41">
        <v>10.039999999999999</v>
      </c>
      <c r="D10" s="41">
        <v>5.78</v>
      </c>
      <c r="E10" s="41">
        <v>5.41</v>
      </c>
      <c r="F10" s="41">
        <v>4.07</v>
      </c>
      <c r="G10" s="41">
        <v>27.88</v>
      </c>
      <c r="H10" s="41">
        <v>21.88</v>
      </c>
      <c r="I10" s="41">
        <v>5.81</v>
      </c>
      <c r="J10" s="41">
        <v>0.5</v>
      </c>
      <c r="K10" s="41">
        <v>191.11</v>
      </c>
      <c r="L10" s="41">
        <v>25.54</v>
      </c>
      <c r="M10" s="41">
        <v>92.93</v>
      </c>
      <c r="N10" s="41">
        <v>2.1</v>
      </c>
      <c r="O10" s="41">
        <v>0</v>
      </c>
      <c r="P10" s="41">
        <v>0.5</v>
      </c>
      <c r="Q10" s="41">
        <v>9.92</v>
      </c>
      <c r="R10" s="38"/>
      <c r="S10" s="38"/>
      <c r="T10" s="38"/>
      <c r="U10" s="38"/>
    </row>
    <row r="11" spans="1:21" customFormat="1">
      <c r="A11" s="40" t="s">
        <v>302</v>
      </c>
      <c r="B11" s="41">
        <v>4.7300000000000004</v>
      </c>
      <c r="C11" s="41">
        <v>10.039999999999999</v>
      </c>
      <c r="D11" s="41">
        <v>5.68</v>
      </c>
      <c r="E11" s="41">
        <v>5.49</v>
      </c>
      <c r="F11" s="41">
        <v>3.98</v>
      </c>
      <c r="G11" s="41">
        <v>28.44</v>
      </c>
      <c r="H11" s="41">
        <v>20.78</v>
      </c>
      <c r="I11" s="41">
        <v>5.76</v>
      </c>
      <c r="J11" s="41">
        <v>0.31</v>
      </c>
      <c r="K11" s="41">
        <v>164.18</v>
      </c>
      <c r="L11" s="41">
        <v>25.49</v>
      </c>
      <c r="M11" s="41">
        <v>93.69</v>
      </c>
      <c r="N11" s="41">
        <v>2.1</v>
      </c>
      <c r="O11" s="41">
        <v>0</v>
      </c>
      <c r="P11" s="41">
        <v>0.54</v>
      </c>
      <c r="Q11" s="41">
        <v>9.94</v>
      </c>
      <c r="R11" s="38"/>
      <c r="S11" s="38"/>
      <c r="T11" s="38"/>
      <c r="U11" s="38"/>
    </row>
    <row r="12" spans="1:21" customFormat="1">
      <c r="A12" s="40" t="s">
        <v>303</v>
      </c>
      <c r="B12" s="41">
        <v>5.21</v>
      </c>
      <c r="C12" s="41">
        <v>9.81</v>
      </c>
      <c r="D12" s="41">
        <v>4.8</v>
      </c>
      <c r="E12" s="41">
        <v>4.57</v>
      </c>
      <c r="F12" s="41">
        <v>2.33</v>
      </c>
      <c r="G12" s="41">
        <v>35.96</v>
      </c>
      <c r="H12" s="41">
        <v>21.67</v>
      </c>
      <c r="I12" s="41">
        <v>6.12</v>
      </c>
      <c r="J12" s="41">
        <v>0.28000000000000003</v>
      </c>
      <c r="K12" s="41">
        <v>94.02</v>
      </c>
      <c r="L12" s="41">
        <v>25.52</v>
      </c>
      <c r="M12" s="41">
        <v>92.99</v>
      </c>
      <c r="N12" s="41">
        <v>2.1</v>
      </c>
      <c r="O12" s="41">
        <v>0</v>
      </c>
      <c r="P12" s="41">
        <v>0.57999999999999996</v>
      </c>
      <c r="Q12" s="41">
        <v>9.9499999999999993</v>
      </c>
      <c r="R12" s="38"/>
      <c r="S12" s="38"/>
      <c r="T12" s="38"/>
      <c r="U12" s="38"/>
    </row>
    <row r="13" spans="1:21" customFormat="1">
      <c r="A13" s="40" t="s">
        <v>304</v>
      </c>
      <c r="B13" s="41">
        <v>6.14</v>
      </c>
      <c r="C13" s="41">
        <v>10.34</v>
      </c>
      <c r="D13" s="41">
        <v>4.63</v>
      </c>
      <c r="E13" s="41">
        <v>4.62</v>
      </c>
      <c r="F13" s="41">
        <v>2.2200000000000002</v>
      </c>
      <c r="G13" s="41">
        <v>40.67</v>
      </c>
      <c r="H13" s="41">
        <v>24.03</v>
      </c>
      <c r="I13" s="41">
        <v>6.41</v>
      </c>
      <c r="J13" s="41">
        <v>0.61</v>
      </c>
      <c r="K13" s="41">
        <v>71.77</v>
      </c>
      <c r="L13" s="41">
        <v>25.35</v>
      </c>
      <c r="M13" s="41">
        <v>90.31</v>
      </c>
      <c r="N13" s="41">
        <v>1.9</v>
      </c>
      <c r="O13" s="41">
        <v>0</v>
      </c>
      <c r="P13" s="41">
        <v>0.6</v>
      </c>
      <c r="Q13" s="41">
        <v>9.9499999999999993</v>
      </c>
      <c r="R13" s="38"/>
      <c r="S13" s="38"/>
      <c r="T13" s="38"/>
      <c r="U13" s="38"/>
    </row>
    <row r="14" spans="1:21" customFormat="1">
      <c r="A14" s="40" t="s">
        <v>305</v>
      </c>
      <c r="B14" s="41">
        <v>7.16</v>
      </c>
      <c r="C14" s="41">
        <v>11.35</v>
      </c>
      <c r="D14" s="41">
        <v>4.21</v>
      </c>
      <c r="E14" s="41">
        <v>4.72</v>
      </c>
      <c r="F14" s="41">
        <v>2.19</v>
      </c>
      <c r="G14" s="41">
        <v>58.74</v>
      </c>
      <c r="H14" s="41">
        <v>35.56</v>
      </c>
      <c r="I14" s="41">
        <v>6.7</v>
      </c>
      <c r="J14" s="41">
        <v>0.55000000000000004</v>
      </c>
      <c r="K14" s="41">
        <v>63.4</v>
      </c>
      <c r="L14" s="41">
        <v>25.48</v>
      </c>
      <c r="M14" s="41">
        <v>89.28</v>
      </c>
      <c r="N14" s="41">
        <v>27.1</v>
      </c>
      <c r="O14" s="41">
        <v>0</v>
      </c>
      <c r="P14" s="41">
        <v>0.63</v>
      </c>
      <c r="Q14" s="41">
        <v>9.9600000000000009</v>
      </c>
      <c r="R14" s="38"/>
      <c r="S14" s="38"/>
      <c r="T14" s="38"/>
      <c r="U14" s="38"/>
    </row>
    <row r="15" spans="1:21" customFormat="1">
      <c r="A15" s="40" t="s">
        <v>306</v>
      </c>
      <c r="B15" s="41">
        <v>8.74</v>
      </c>
      <c r="C15" s="41">
        <v>14.16</v>
      </c>
      <c r="D15" s="41">
        <v>5.42</v>
      </c>
      <c r="E15" s="41">
        <v>4.8</v>
      </c>
      <c r="F15" s="41">
        <v>2.23</v>
      </c>
      <c r="G15" s="41">
        <v>63.63</v>
      </c>
      <c r="H15" s="41">
        <v>35.26</v>
      </c>
      <c r="I15" s="41">
        <v>6.93</v>
      </c>
      <c r="J15" s="41">
        <v>0.42</v>
      </c>
      <c r="K15" s="41">
        <v>53.88</v>
      </c>
      <c r="L15" s="41">
        <v>26.8</v>
      </c>
      <c r="M15" s="41">
        <v>88.29</v>
      </c>
      <c r="N15" s="41">
        <v>86.9</v>
      </c>
      <c r="O15" s="41">
        <v>0</v>
      </c>
      <c r="P15" s="41">
        <v>0.65</v>
      </c>
      <c r="Q15" s="41">
        <v>9.98</v>
      </c>
      <c r="R15" s="38"/>
      <c r="S15" s="38"/>
      <c r="T15" s="38"/>
      <c r="U15" s="38"/>
    </row>
    <row r="16" spans="1:21" customFormat="1">
      <c r="A16" s="40" t="s">
        <v>307</v>
      </c>
      <c r="B16" s="41">
        <v>8.3800000000000008</v>
      </c>
      <c r="C16" s="41">
        <v>14.3</v>
      </c>
      <c r="D16" s="41">
        <v>6.26</v>
      </c>
      <c r="E16" s="41">
        <v>5.0199999999999996</v>
      </c>
      <c r="F16" s="41">
        <v>2.82</v>
      </c>
      <c r="G16" s="41">
        <v>62.91</v>
      </c>
      <c r="H16" s="41">
        <v>36.119999999999997</v>
      </c>
      <c r="I16" s="41">
        <v>7.01</v>
      </c>
      <c r="J16" s="41">
        <v>0.71</v>
      </c>
      <c r="K16" s="41">
        <v>51.72</v>
      </c>
      <c r="L16" s="41">
        <v>28.94</v>
      </c>
      <c r="M16" s="41">
        <v>81.75</v>
      </c>
      <c r="N16" s="41">
        <v>144.5</v>
      </c>
      <c r="O16" s="41">
        <v>0</v>
      </c>
      <c r="P16" s="41">
        <v>0.66</v>
      </c>
      <c r="Q16" s="41">
        <v>9.99</v>
      </c>
      <c r="R16" s="38"/>
      <c r="S16" s="38"/>
      <c r="T16" s="38"/>
      <c r="U16" s="38"/>
    </row>
    <row r="17" spans="1:21" customFormat="1">
      <c r="A17" s="40" t="s">
        <v>308</v>
      </c>
      <c r="B17" s="41">
        <v>7.47</v>
      </c>
      <c r="C17" s="41">
        <v>13.91</v>
      </c>
      <c r="D17" s="41">
        <v>6.77</v>
      </c>
      <c r="E17" s="41">
        <v>5.25</v>
      </c>
      <c r="F17" s="41">
        <v>2.96</v>
      </c>
      <c r="G17" s="41">
        <v>63.45</v>
      </c>
      <c r="H17" s="41">
        <v>35.92</v>
      </c>
      <c r="I17" s="41">
        <v>7.03</v>
      </c>
      <c r="J17" s="41">
        <v>0.75</v>
      </c>
      <c r="K17" s="41">
        <v>88.83</v>
      </c>
      <c r="L17" s="41">
        <v>31.19</v>
      </c>
      <c r="M17" s="41">
        <v>73.819999999999993</v>
      </c>
      <c r="N17" s="41">
        <v>182.6</v>
      </c>
      <c r="O17" s="41">
        <v>0</v>
      </c>
      <c r="P17" s="41">
        <v>0.61</v>
      </c>
      <c r="Q17" s="41">
        <v>9.9700000000000006</v>
      </c>
      <c r="R17" s="38"/>
      <c r="S17" s="38"/>
      <c r="T17" s="38"/>
      <c r="U17" s="38"/>
    </row>
    <row r="18" spans="1:21" customFormat="1">
      <c r="A18" s="40" t="s">
        <v>309</v>
      </c>
      <c r="B18" s="41">
        <v>5.17</v>
      </c>
      <c r="C18" s="41">
        <v>11.76</v>
      </c>
      <c r="D18" s="41">
        <v>6.67</v>
      </c>
      <c r="E18" s="41">
        <v>5.33</v>
      </c>
      <c r="F18" s="41">
        <v>5.27</v>
      </c>
      <c r="G18" s="41">
        <v>63.15</v>
      </c>
      <c r="H18" s="41">
        <v>36.76</v>
      </c>
      <c r="I18" s="41">
        <v>6.67</v>
      </c>
      <c r="J18" s="41">
        <v>0.5</v>
      </c>
      <c r="K18" s="41">
        <v>110.15</v>
      </c>
      <c r="L18" s="41">
        <v>32.590000000000003</v>
      </c>
      <c r="M18" s="41">
        <v>66.599999999999994</v>
      </c>
      <c r="N18" s="41">
        <v>217.9</v>
      </c>
      <c r="O18" s="41">
        <v>0</v>
      </c>
      <c r="P18" s="41">
        <v>0.57999999999999996</v>
      </c>
      <c r="Q18" s="41">
        <v>9.9600000000000009</v>
      </c>
      <c r="R18" s="38"/>
      <c r="S18" s="38"/>
      <c r="T18" s="38"/>
      <c r="U18" s="38"/>
    </row>
    <row r="19" spans="1:21" customFormat="1">
      <c r="A19" s="40" t="s">
        <v>310</v>
      </c>
      <c r="B19" s="41">
        <v>3.95</v>
      </c>
      <c r="C19" s="41">
        <v>9.7100000000000009</v>
      </c>
      <c r="D19" s="41">
        <v>5.76</v>
      </c>
      <c r="E19" s="41">
        <v>5.45</v>
      </c>
      <c r="F19" s="41">
        <v>6.92</v>
      </c>
      <c r="G19" s="41">
        <v>59.98</v>
      </c>
      <c r="H19" s="41">
        <v>33.729999999999997</v>
      </c>
      <c r="I19" s="41">
        <v>6.31</v>
      </c>
      <c r="J19" s="41">
        <v>0.72</v>
      </c>
      <c r="K19" s="41">
        <v>327.73</v>
      </c>
      <c r="L19" s="41">
        <v>33.630000000000003</v>
      </c>
      <c r="M19" s="41">
        <v>61.36</v>
      </c>
      <c r="N19" s="41">
        <v>292.89999999999998</v>
      </c>
      <c r="O19" s="41">
        <v>0</v>
      </c>
      <c r="P19" s="41">
        <v>0.54</v>
      </c>
      <c r="Q19" s="41">
        <v>9.94</v>
      </c>
      <c r="R19" s="38"/>
      <c r="S19" s="38"/>
      <c r="T19" s="38"/>
      <c r="U19" s="38"/>
    </row>
    <row r="20" spans="1:21" customFormat="1">
      <c r="A20" s="40" t="s">
        <v>311</v>
      </c>
      <c r="B20" s="41">
        <v>4.2699999999999996</v>
      </c>
      <c r="C20" s="41">
        <v>11</v>
      </c>
      <c r="D20" s="41">
        <v>6.73</v>
      </c>
      <c r="E20" s="41">
        <v>5.53</v>
      </c>
      <c r="F20" s="41">
        <v>7.83</v>
      </c>
      <c r="G20" s="41">
        <v>53.34</v>
      </c>
      <c r="H20" s="41">
        <v>29.96</v>
      </c>
      <c r="I20" s="41">
        <v>5.87</v>
      </c>
      <c r="J20" s="41">
        <v>0.98</v>
      </c>
      <c r="K20" s="41">
        <v>199.38</v>
      </c>
      <c r="L20" s="41">
        <v>35.1</v>
      </c>
      <c r="M20" s="41">
        <v>55.41</v>
      </c>
      <c r="N20" s="41">
        <v>518.79999999999995</v>
      </c>
      <c r="O20" s="41">
        <v>0</v>
      </c>
      <c r="P20" s="41">
        <v>0.5</v>
      </c>
      <c r="Q20" s="41">
        <v>9.93</v>
      </c>
      <c r="R20" s="38"/>
      <c r="S20" s="38"/>
      <c r="T20" s="38"/>
      <c r="U20" s="38"/>
    </row>
    <row r="21" spans="1:21" customFormat="1">
      <c r="A21" s="40" t="s">
        <v>312</v>
      </c>
      <c r="B21" s="41">
        <v>3.75</v>
      </c>
      <c r="C21" s="41">
        <v>8.19</v>
      </c>
      <c r="D21" s="41">
        <v>4.5599999999999996</v>
      </c>
      <c r="E21" s="41">
        <v>6.03</v>
      </c>
      <c r="F21" s="41">
        <v>14.39</v>
      </c>
      <c r="G21" s="41">
        <v>49.3</v>
      </c>
      <c r="H21" s="41">
        <v>31.27</v>
      </c>
      <c r="I21" s="41">
        <v>5.51</v>
      </c>
      <c r="J21" s="41">
        <v>0.43</v>
      </c>
      <c r="K21" s="41">
        <v>174.42</v>
      </c>
      <c r="L21" s="41">
        <v>35.869999999999997</v>
      </c>
      <c r="M21" s="41">
        <v>50.28</v>
      </c>
      <c r="N21" s="41">
        <v>814.9</v>
      </c>
      <c r="O21" s="41">
        <v>0</v>
      </c>
      <c r="P21" s="41">
        <v>0.52</v>
      </c>
      <c r="Q21" s="41">
        <v>9.93</v>
      </c>
      <c r="R21" s="38"/>
      <c r="S21" s="38"/>
      <c r="T21" s="38"/>
      <c r="U21" s="38"/>
    </row>
    <row r="22" spans="1:21" customFormat="1">
      <c r="A22" s="40" t="s">
        <v>313</v>
      </c>
      <c r="B22" s="41">
        <v>4.32</v>
      </c>
      <c r="C22" s="41">
        <v>10.050000000000001</v>
      </c>
      <c r="D22" s="41">
        <v>5.72</v>
      </c>
      <c r="E22" s="41">
        <v>5.66</v>
      </c>
      <c r="F22" s="41">
        <v>20.14</v>
      </c>
      <c r="G22" s="41">
        <v>47.69</v>
      </c>
      <c r="H22" s="41">
        <v>30.17</v>
      </c>
      <c r="I22" s="41">
        <v>5.15</v>
      </c>
      <c r="J22" s="41">
        <v>1.02</v>
      </c>
      <c r="K22" s="41">
        <v>359.08</v>
      </c>
      <c r="L22" s="41">
        <v>35.78</v>
      </c>
      <c r="M22" s="41">
        <v>50.34</v>
      </c>
      <c r="N22" s="41">
        <v>614.29999999999995</v>
      </c>
      <c r="O22" s="41">
        <v>0</v>
      </c>
      <c r="P22" s="41">
        <v>0.53</v>
      </c>
      <c r="Q22" s="41">
        <v>9.9499999999999993</v>
      </c>
      <c r="R22" s="38"/>
      <c r="S22" s="38"/>
      <c r="T22" s="38"/>
      <c r="U22" s="38"/>
    </row>
    <row r="23" spans="1:21" customFormat="1">
      <c r="A23" s="40" t="s">
        <v>314</v>
      </c>
      <c r="B23" s="41">
        <v>5.25</v>
      </c>
      <c r="C23" s="41">
        <v>11.14</v>
      </c>
      <c r="D23" s="41">
        <v>6.28</v>
      </c>
      <c r="E23" s="41">
        <v>3.95</v>
      </c>
      <c r="F23" s="41">
        <v>21.23</v>
      </c>
      <c r="G23" s="41">
        <v>45.31</v>
      </c>
      <c r="H23" s="41">
        <v>29.02</v>
      </c>
      <c r="I23" s="41">
        <v>5.1100000000000003</v>
      </c>
      <c r="J23" s="41">
        <v>0.91</v>
      </c>
      <c r="K23" s="41">
        <v>81.040000000000006</v>
      </c>
      <c r="L23" s="41">
        <v>35.46</v>
      </c>
      <c r="M23" s="41">
        <v>50.56</v>
      </c>
      <c r="N23" s="41">
        <v>328.2</v>
      </c>
      <c r="O23" s="41">
        <v>0</v>
      </c>
      <c r="P23" s="41">
        <v>0.44</v>
      </c>
      <c r="Q23" s="41">
        <v>9.93</v>
      </c>
      <c r="R23" s="38"/>
      <c r="S23" s="38"/>
      <c r="T23" s="38"/>
      <c r="U23" s="38"/>
    </row>
    <row r="24" spans="1:21" customFormat="1">
      <c r="A24" s="40" t="s">
        <v>315</v>
      </c>
      <c r="B24" s="41">
        <v>3.92</v>
      </c>
      <c r="C24" s="41">
        <v>8.17</v>
      </c>
      <c r="D24" s="41">
        <v>4.26</v>
      </c>
      <c r="E24" s="41">
        <v>4.46</v>
      </c>
      <c r="F24" s="41">
        <v>19.670000000000002</v>
      </c>
      <c r="G24" s="41">
        <v>44.09</v>
      </c>
      <c r="H24" s="41">
        <v>28.36</v>
      </c>
      <c r="I24" s="41">
        <v>5.04</v>
      </c>
      <c r="J24" s="41">
        <v>0.39</v>
      </c>
      <c r="K24" s="41">
        <v>120.31</v>
      </c>
      <c r="L24" s="41">
        <v>35.770000000000003</v>
      </c>
      <c r="M24" s="41">
        <v>47.28</v>
      </c>
      <c r="N24" s="41">
        <v>369.7</v>
      </c>
      <c r="O24" s="41">
        <v>0</v>
      </c>
      <c r="P24" s="41">
        <v>0.42</v>
      </c>
      <c r="Q24" s="41">
        <v>9.93</v>
      </c>
      <c r="R24" s="38"/>
      <c r="S24" s="38"/>
      <c r="T24" s="38"/>
      <c r="U24" s="38"/>
    </row>
    <row r="25" spans="1:21" customFormat="1">
      <c r="A25" s="40" t="s">
        <v>316</v>
      </c>
      <c r="B25" s="41">
        <v>4.05</v>
      </c>
      <c r="C25" s="41">
        <v>9.8000000000000007</v>
      </c>
      <c r="D25" s="41">
        <v>5.76</v>
      </c>
      <c r="E25" s="41">
        <v>3.85</v>
      </c>
      <c r="F25" s="41">
        <v>19.91</v>
      </c>
      <c r="G25" s="41">
        <v>40.08</v>
      </c>
      <c r="H25" s="41">
        <v>26.97</v>
      </c>
      <c r="I25" s="41">
        <v>4.91</v>
      </c>
      <c r="J25" s="41">
        <v>0.65</v>
      </c>
      <c r="K25" s="41">
        <v>73.52</v>
      </c>
      <c r="L25" s="41">
        <v>35.08</v>
      </c>
      <c r="M25" s="41">
        <v>46.92</v>
      </c>
      <c r="N25" s="41">
        <v>144.4</v>
      </c>
      <c r="O25" s="41">
        <v>0</v>
      </c>
      <c r="P25" s="41">
        <v>0.41</v>
      </c>
      <c r="Q25" s="41">
        <v>9.94</v>
      </c>
      <c r="R25" s="38"/>
      <c r="S25" s="38"/>
      <c r="T25" s="38"/>
      <c r="U25" s="38"/>
    </row>
    <row r="26" spans="1:21" customFormat="1">
      <c r="A26" s="40" t="s">
        <v>317</v>
      </c>
      <c r="B26" s="41">
        <v>4.01</v>
      </c>
      <c r="C26" s="41">
        <v>11.14</v>
      </c>
      <c r="D26" s="41">
        <v>7.18</v>
      </c>
      <c r="E26" s="41">
        <v>4.0599999999999996</v>
      </c>
      <c r="F26" s="41">
        <v>13.38</v>
      </c>
      <c r="G26" s="41">
        <v>36.659999999999997</v>
      </c>
      <c r="H26" s="41">
        <v>24.6</v>
      </c>
      <c r="I26" s="41">
        <v>4.7699999999999996</v>
      </c>
      <c r="J26" s="41">
        <v>0.77</v>
      </c>
      <c r="K26" s="41">
        <v>79.98</v>
      </c>
      <c r="L26" s="41">
        <v>34.67</v>
      </c>
      <c r="M26" s="41">
        <v>47.5</v>
      </c>
      <c r="N26" s="41">
        <v>95</v>
      </c>
      <c r="O26" s="41">
        <v>0</v>
      </c>
      <c r="P26" s="41">
        <v>0.35</v>
      </c>
      <c r="Q26" s="41">
        <v>9.94</v>
      </c>
      <c r="R26" s="38"/>
      <c r="S26" s="38"/>
      <c r="T26" s="38"/>
      <c r="U26" s="38"/>
    </row>
    <row r="27" spans="1:21" customFormat="1">
      <c r="A27" s="40" t="s">
        <v>318</v>
      </c>
      <c r="B27" s="41">
        <v>4.13</v>
      </c>
      <c r="C27" s="41">
        <v>13.54</v>
      </c>
      <c r="D27" s="41">
        <v>9.4700000000000006</v>
      </c>
      <c r="E27" s="41">
        <v>4.82</v>
      </c>
      <c r="F27" s="41">
        <v>11.83</v>
      </c>
      <c r="G27" s="41">
        <v>39.380000000000003</v>
      </c>
      <c r="H27" s="41">
        <v>29.65</v>
      </c>
      <c r="I27" s="41">
        <v>5.26</v>
      </c>
      <c r="J27" s="41">
        <v>0.38</v>
      </c>
      <c r="K27" s="41">
        <v>97.52</v>
      </c>
      <c r="L27" s="41">
        <v>34.04</v>
      </c>
      <c r="M27" s="41">
        <v>50.9</v>
      </c>
      <c r="N27" s="41">
        <v>29.8</v>
      </c>
      <c r="O27" s="41">
        <v>0</v>
      </c>
      <c r="P27" s="41">
        <v>0.39</v>
      </c>
      <c r="Q27" s="41">
        <v>9.9600000000000009</v>
      </c>
      <c r="R27" s="38"/>
      <c r="S27" s="38"/>
      <c r="T27" s="38"/>
      <c r="U27" s="38"/>
    </row>
    <row r="28" spans="1:21" customFormat="1">
      <c r="A28" s="40" t="s">
        <v>319</v>
      </c>
      <c r="B28" s="41">
        <v>4.04</v>
      </c>
      <c r="C28" s="41">
        <v>12.25</v>
      </c>
      <c r="D28" s="41">
        <v>8.2100000000000009</v>
      </c>
      <c r="E28" s="41">
        <v>5.24</v>
      </c>
      <c r="F28" s="41">
        <v>11.22</v>
      </c>
      <c r="G28" s="41">
        <v>50.69</v>
      </c>
      <c r="H28" s="41">
        <v>28.89</v>
      </c>
      <c r="I28" s="41">
        <v>5.23</v>
      </c>
      <c r="J28" s="41">
        <v>0.21</v>
      </c>
      <c r="K28" s="41">
        <v>185.93</v>
      </c>
      <c r="L28" s="41">
        <v>33</v>
      </c>
      <c r="M28" s="41">
        <v>59.93</v>
      </c>
      <c r="N28" s="41">
        <v>2.6</v>
      </c>
      <c r="O28" s="41">
        <v>0</v>
      </c>
      <c r="P28" s="41">
        <v>0.38</v>
      </c>
      <c r="Q28" s="41">
        <v>9.9499999999999993</v>
      </c>
      <c r="R28" s="38"/>
      <c r="S28" s="38"/>
      <c r="T28" s="38"/>
      <c r="U28" s="38"/>
    </row>
    <row r="29" spans="1:21" customFormat="1">
      <c r="A29" s="40" t="s">
        <v>320</v>
      </c>
      <c r="B29" s="41">
        <v>4.03</v>
      </c>
      <c r="C29" s="41">
        <v>10.08</v>
      </c>
      <c r="D29" s="41">
        <v>6.1</v>
      </c>
      <c r="E29" s="41">
        <v>5.3</v>
      </c>
      <c r="F29" s="41">
        <v>6.25</v>
      </c>
      <c r="G29" s="41">
        <v>54.18</v>
      </c>
      <c r="H29" s="41">
        <v>29.79</v>
      </c>
      <c r="I29" s="41">
        <v>5.21</v>
      </c>
      <c r="J29" s="41">
        <v>0.21</v>
      </c>
      <c r="K29" s="41">
        <v>175.71</v>
      </c>
      <c r="L29" s="41">
        <v>30.85</v>
      </c>
      <c r="M29" s="41">
        <v>72.430000000000007</v>
      </c>
      <c r="N29" s="41">
        <v>2.1</v>
      </c>
      <c r="O29" s="41">
        <v>0</v>
      </c>
      <c r="P29" s="41">
        <v>0.38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321</v>
      </c>
      <c r="B30" s="41">
        <v>4.2300000000000004</v>
      </c>
      <c r="C30" s="41">
        <v>10.15</v>
      </c>
      <c r="D30" s="41">
        <v>5.99</v>
      </c>
      <c r="E30" s="41">
        <v>5.63</v>
      </c>
      <c r="F30" s="41">
        <v>5.3</v>
      </c>
      <c r="G30" s="41">
        <v>64.17</v>
      </c>
      <c r="H30" s="41">
        <v>30.38</v>
      </c>
      <c r="I30" s="41">
        <v>5.33</v>
      </c>
      <c r="J30" s="41">
        <v>0.22</v>
      </c>
      <c r="K30" s="41">
        <v>167.29</v>
      </c>
      <c r="L30" s="41">
        <v>30.43</v>
      </c>
      <c r="M30" s="41">
        <v>71.430000000000007</v>
      </c>
      <c r="N30" s="41">
        <v>2</v>
      </c>
      <c r="O30" s="41">
        <v>0</v>
      </c>
      <c r="P30" s="41">
        <v>0.4</v>
      </c>
      <c r="Q30" s="41">
        <v>9.93</v>
      </c>
      <c r="R30" s="38"/>
      <c r="S30" s="38"/>
      <c r="T30" s="38"/>
      <c r="U30" s="38"/>
    </row>
    <row r="31" spans="1:21" customFormat="1">
      <c r="A31" s="40" t="s">
        <v>322</v>
      </c>
      <c r="B31" s="41">
        <v>4.1500000000000004</v>
      </c>
      <c r="C31" s="41">
        <v>11.19</v>
      </c>
      <c r="D31" s="41">
        <v>7.08</v>
      </c>
      <c r="E31" s="41">
        <v>4.76</v>
      </c>
      <c r="F31" s="41">
        <v>15.18</v>
      </c>
      <c r="G31" s="41">
        <v>65.010000000000005</v>
      </c>
      <c r="H31" s="41">
        <v>34.880000000000003</v>
      </c>
      <c r="I31" s="41">
        <v>5.4</v>
      </c>
      <c r="J31" s="41">
        <v>0.21</v>
      </c>
      <c r="K31" s="41">
        <v>201.3</v>
      </c>
      <c r="L31" s="41">
        <v>29.94</v>
      </c>
      <c r="M31" s="41">
        <v>68.569999999999993</v>
      </c>
      <c r="N31" s="41">
        <v>2.1</v>
      </c>
      <c r="O31" s="41">
        <v>0</v>
      </c>
      <c r="P31" s="41">
        <v>0.45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323</v>
      </c>
      <c r="B32" s="41">
        <v>4.42</v>
      </c>
      <c r="C32" s="41">
        <v>10.19</v>
      </c>
      <c r="D32" s="41">
        <v>5.96</v>
      </c>
      <c r="E32" s="41">
        <v>5.15</v>
      </c>
      <c r="F32" s="41">
        <v>10.8</v>
      </c>
      <c r="G32" s="41">
        <v>63.64</v>
      </c>
      <c r="H32" s="41">
        <v>39.1</v>
      </c>
      <c r="I32" s="41">
        <v>5.59</v>
      </c>
      <c r="J32" s="41">
        <v>0.23</v>
      </c>
      <c r="K32" s="41">
        <v>164.68</v>
      </c>
      <c r="L32" s="41">
        <v>29.29</v>
      </c>
      <c r="M32" s="41">
        <v>70.77</v>
      </c>
      <c r="N32" s="41">
        <v>2</v>
      </c>
      <c r="O32" s="41">
        <v>0</v>
      </c>
      <c r="P32" s="41">
        <v>0.45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3.75</v>
      </c>
      <c r="C34" s="18">
        <f t="shared" si="0"/>
        <v>8.17</v>
      </c>
      <c r="D34" s="18">
        <f t="shared" si="0"/>
        <v>4.21</v>
      </c>
      <c r="E34" s="18">
        <f t="shared" si="0"/>
        <v>3.85</v>
      </c>
      <c r="F34" s="18">
        <f t="shared" si="0"/>
        <v>2.19</v>
      </c>
      <c r="G34" s="18">
        <f t="shared" si="0"/>
        <v>27.88</v>
      </c>
      <c r="H34" s="18">
        <f t="shared" si="0"/>
        <v>20.07</v>
      </c>
      <c r="I34" s="18">
        <f t="shared" si="0"/>
        <v>4.7699999999999996</v>
      </c>
      <c r="J34" s="18">
        <f t="shared" si="0"/>
        <v>0.21</v>
      </c>
      <c r="K34" s="18">
        <f t="shared" si="0"/>
        <v>51.72</v>
      </c>
      <c r="L34" s="18">
        <f t="shared" si="0"/>
        <v>24.9</v>
      </c>
      <c r="M34" s="18">
        <f t="shared" si="0"/>
        <v>46.92</v>
      </c>
      <c r="N34" s="18">
        <f t="shared" si="0"/>
        <v>1.9</v>
      </c>
      <c r="O34" s="18">
        <f t="shared" si="0"/>
        <v>0</v>
      </c>
      <c r="P34" s="18">
        <f t="shared" si="0"/>
        <v>0.35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8.74</v>
      </c>
      <c r="C35" s="3">
        <f t="shared" si="1"/>
        <v>14.3</v>
      </c>
      <c r="D35" s="3">
        <f t="shared" si="1"/>
        <v>9.4700000000000006</v>
      </c>
      <c r="E35" s="3">
        <f t="shared" si="1"/>
        <v>6.03</v>
      </c>
      <c r="F35" s="3">
        <f t="shared" si="1"/>
        <v>21.23</v>
      </c>
      <c r="G35" s="3">
        <f t="shared" si="1"/>
        <v>65.010000000000005</v>
      </c>
      <c r="H35" s="3">
        <f t="shared" si="1"/>
        <v>39.1</v>
      </c>
      <c r="I35" s="3">
        <f t="shared" si="1"/>
        <v>7.03</v>
      </c>
      <c r="J35" s="3">
        <f t="shared" si="1"/>
        <v>1.02</v>
      </c>
      <c r="K35" s="3">
        <f t="shared" si="1"/>
        <v>359.08</v>
      </c>
      <c r="L35" s="3">
        <f t="shared" si="1"/>
        <v>35.869999999999997</v>
      </c>
      <c r="M35" s="3">
        <f t="shared" si="1"/>
        <v>95.75</v>
      </c>
      <c r="N35" s="3">
        <f t="shared" si="1"/>
        <v>814.9</v>
      </c>
      <c r="O35" s="3">
        <f t="shared" si="1"/>
        <v>0</v>
      </c>
      <c r="P35" s="3">
        <f t="shared" si="1"/>
        <v>0.66</v>
      </c>
      <c r="Q35" s="3">
        <f t="shared" si="1"/>
        <v>9.99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4.9883333333333342</v>
      </c>
      <c r="C36" s="18">
        <f t="shared" si="2"/>
        <v>10.895833333333336</v>
      </c>
      <c r="D36" s="18">
        <f t="shared" si="2"/>
        <v>6.024583333333335</v>
      </c>
      <c r="E36" s="18">
        <f t="shared" si="2"/>
        <v>5.0391666666666657</v>
      </c>
      <c r="F36" s="18">
        <f t="shared" si="2"/>
        <v>9.0358333333333345</v>
      </c>
      <c r="G36" s="18">
        <f t="shared" si="2"/>
        <v>49.630416666666662</v>
      </c>
      <c r="H36" s="18">
        <f t="shared" si="2"/>
        <v>29.784166666666664</v>
      </c>
      <c r="I36" s="18">
        <f t="shared" si="2"/>
        <v>5.7966666666666677</v>
      </c>
      <c r="J36" s="18">
        <f t="shared" si="2"/>
        <v>0.51416666666666677</v>
      </c>
      <c r="K36" s="18">
        <f t="shared" si="2"/>
        <v>144.92666666666665</v>
      </c>
      <c r="L36" s="18">
        <f t="shared" si="2"/>
        <v>30.86291666666666</v>
      </c>
      <c r="M36" s="18">
        <f t="shared" si="2"/>
        <v>69.545416666666668</v>
      </c>
      <c r="N36" s="18">
        <f t="shared" si="2"/>
        <v>162.00416666666663</v>
      </c>
      <c r="O36" s="18">
        <f t="shared" si="2"/>
        <v>0</v>
      </c>
      <c r="P36" s="18">
        <f t="shared" si="2"/>
        <v>0.50166666666666682</v>
      </c>
      <c r="Q36" s="18">
        <f t="shared" si="2"/>
        <v>9.9470833333333317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1.4794466258843426</v>
      </c>
      <c r="C37" s="18">
        <f t="shared" ref="C37:Q37" si="3">STDEV(C9:C32)</f>
        <v>1.7065141604188678</v>
      </c>
      <c r="D37" s="18">
        <f t="shared" si="3"/>
        <v>1.2154940994497203</v>
      </c>
      <c r="E37" s="18">
        <f t="shared" si="3"/>
        <v>0.58731457141561816</v>
      </c>
      <c r="F37" s="18">
        <f t="shared" si="3"/>
        <v>6.5107896513447541</v>
      </c>
      <c r="G37" s="18">
        <f t="shared" si="3"/>
        <v>12.348113913069708</v>
      </c>
      <c r="H37" s="18">
        <f t="shared" si="3"/>
        <v>5.5008054087495131</v>
      </c>
      <c r="I37" s="18">
        <f t="shared" si="3"/>
        <v>0.70404833496785368</v>
      </c>
      <c r="J37" s="18">
        <f t="shared" si="3"/>
        <v>0.25275725881576155</v>
      </c>
      <c r="K37" s="18">
        <f t="shared" si="3"/>
        <v>79.621889478069832</v>
      </c>
      <c r="L37" s="18">
        <f t="shared" si="3"/>
        <v>4.0351202548393843</v>
      </c>
      <c r="M37" s="18">
        <f t="shared" si="3"/>
        <v>17.482115327973872</v>
      </c>
      <c r="N37" s="18">
        <f t="shared" si="3"/>
        <v>223.76948053000137</v>
      </c>
      <c r="O37" s="18">
        <f t="shared" si="3"/>
        <v>0</v>
      </c>
      <c r="P37" s="18">
        <f t="shared" si="3"/>
        <v>9.3653694496017986E-2</v>
      </c>
      <c r="Q37" s="18">
        <f t="shared" si="3"/>
        <v>1.7062332443303466E-2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324</v>
      </c>
      <c r="B9" s="41">
        <v>4.49</v>
      </c>
      <c r="C9" s="41">
        <v>9.43</v>
      </c>
      <c r="D9" s="41">
        <v>5.0999999999999996</v>
      </c>
      <c r="E9" s="41">
        <v>4.49</v>
      </c>
      <c r="F9" s="41">
        <v>14.57</v>
      </c>
      <c r="G9" s="41">
        <v>60.8</v>
      </c>
      <c r="H9" s="41">
        <v>37.28</v>
      </c>
      <c r="I9" s="41">
        <v>5.73</v>
      </c>
      <c r="J9" s="41">
        <v>0.26</v>
      </c>
      <c r="K9" s="41">
        <v>151</v>
      </c>
      <c r="L9" s="41">
        <v>29.31</v>
      </c>
      <c r="M9" s="41">
        <v>70.2</v>
      </c>
      <c r="N9" s="41">
        <v>2</v>
      </c>
      <c r="O9" s="41">
        <v>0</v>
      </c>
      <c r="P9" s="41">
        <v>0.44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325</v>
      </c>
      <c r="B10" s="41">
        <v>4.58</v>
      </c>
      <c r="C10" s="41">
        <v>7.95</v>
      </c>
      <c r="D10" s="41">
        <v>3.42</v>
      </c>
      <c r="E10" s="41">
        <v>4.26</v>
      </c>
      <c r="F10" s="41">
        <v>11.72</v>
      </c>
      <c r="G10" s="41">
        <v>56.26</v>
      </c>
      <c r="H10" s="41">
        <v>33.14</v>
      </c>
      <c r="I10" s="41">
        <v>5.34</v>
      </c>
      <c r="J10" s="41">
        <v>0.18</v>
      </c>
      <c r="K10" s="41">
        <v>135.74</v>
      </c>
      <c r="L10" s="41">
        <v>28.99</v>
      </c>
      <c r="M10" s="41">
        <v>72.44</v>
      </c>
      <c r="N10" s="41">
        <v>2</v>
      </c>
      <c r="O10" s="41">
        <v>0</v>
      </c>
      <c r="P10" s="41">
        <v>0.39</v>
      </c>
      <c r="Q10" s="41">
        <v>9.9600000000000009</v>
      </c>
      <c r="R10" s="38"/>
      <c r="S10" s="38"/>
      <c r="T10" s="38"/>
      <c r="U10" s="38"/>
    </row>
    <row r="11" spans="1:21" customFormat="1">
      <c r="A11" s="40" t="s">
        <v>326</v>
      </c>
      <c r="B11" s="41">
        <v>4.79</v>
      </c>
      <c r="C11" s="41">
        <v>10.4</v>
      </c>
      <c r="D11" s="41">
        <v>5.61</v>
      </c>
      <c r="E11" s="41">
        <v>4.88</v>
      </c>
      <c r="F11" s="41">
        <v>8.59</v>
      </c>
      <c r="G11" s="41">
        <v>46.7</v>
      </c>
      <c r="H11" s="41">
        <v>29.02</v>
      </c>
      <c r="I11" s="41">
        <v>5.16</v>
      </c>
      <c r="J11" s="41">
        <v>0.18</v>
      </c>
      <c r="K11" s="41">
        <v>186.26</v>
      </c>
      <c r="L11" s="41">
        <v>28.61</v>
      </c>
      <c r="M11" s="41">
        <v>76.010000000000005</v>
      </c>
      <c r="N11" s="41">
        <v>2.1</v>
      </c>
      <c r="O11" s="41">
        <v>0</v>
      </c>
      <c r="P11" s="41">
        <v>0.37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327</v>
      </c>
      <c r="B12" s="41">
        <v>4.8099999999999996</v>
      </c>
      <c r="C12" s="41">
        <v>11.38</v>
      </c>
      <c r="D12" s="41">
        <v>6.59</v>
      </c>
      <c r="E12" s="41">
        <v>5.17</v>
      </c>
      <c r="F12" s="41">
        <v>2.79</v>
      </c>
      <c r="G12" s="41">
        <v>38.79</v>
      </c>
      <c r="H12" s="41">
        <v>24.32</v>
      </c>
      <c r="I12" s="41">
        <v>5.43</v>
      </c>
      <c r="J12" s="41">
        <v>0.13</v>
      </c>
      <c r="K12" s="41">
        <v>185.01</v>
      </c>
      <c r="L12" s="41">
        <v>28.11</v>
      </c>
      <c r="M12" s="41">
        <v>76.44</v>
      </c>
      <c r="N12" s="41">
        <v>2</v>
      </c>
      <c r="O12" s="41">
        <v>0</v>
      </c>
      <c r="P12" s="41">
        <v>0.33</v>
      </c>
      <c r="Q12" s="41">
        <v>9.94</v>
      </c>
      <c r="R12" s="38"/>
      <c r="S12" s="38"/>
      <c r="T12" s="38"/>
      <c r="U12" s="38"/>
    </row>
    <row r="13" spans="1:21" customFormat="1">
      <c r="A13" s="40" t="s">
        <v>328</v>
      </c>
      <c r="B13" s="41">
        <v>4.92</v>
      </c>
      <c r="C13" s="41">
        <v>10.82</v>
      </c>
      <c r="D13" s="41">
        <v>5.9</v>
      </c>
      <c r="E13" s="41">
        <v>5.23</v>
      </c>
      <c r="F13" s="41">
        <v>2.88</v>
      </c>
      <c r="G13" s="41">
        <v>33.29</v>
      </c>
      <c r="H13" s="41">
        <v>21.03</v>
      </c>
      <c r="I13" s="41">
        <v>4.9800000000000004</v>
      </c>
      <c r="J13" s="41">
        <v>0.19</v>
      </c>
      <c r="K13" s="41">
        <v>131.94999999999999</v>
      </c>
      <c r="L13" s="41">
        <v>28.33</v>
      </c>
      <c r="M13" s="41">
        <v>84.34</v>
      </c>
      <c r="N13" s="41">
        <v>3.1</v>
      </c>
      <c r="O13" s="41">
        <v>0.2</v>
      </c>
      <c r="P13" s="41">
        <v>0.3</v>
      </c>
      <c r="Q13" s="41">
        <v>9.94</v>
      </c>
      <c r="R13" s="38"/>
      <c r="S13" s="38"/>
      <c r="T13" s="38"/>
      <c r="U13" s="38"/>
    </row>
    <row r="14" spans="1:21" customFormat="1">
      <c r="A14" s="40" t="s">
        <v>329</v>
      </c>
      <c r="B14" s="41">
        <v>7.42</v>
      </c>
      <c r="C14" s="41">
        <v>13.8</v>
      </c>
      <c r="D14" s="41">
        <v>6.38</v>
      </c>
      <c r="E14" s="41">
        <v>5.6</v>
      </c>
      <c r="F14" s="41">
        <v>2.66</v>
      </c>
      <c r="G14" s="41">
        <v>27.2</v>
      </c>
      <c r="H14" s="41">
        <v>20.71</v>
      </c>
      <c r="I14" s="41">
        <v>4.5999999999999996</v>
      </c>
      <c r="J14" s="41">
        <v>0.56000000000000005</v>
      </c>
      <c r="K14" s="41">
        <v>117.71</v>
      </c>
      <c r="L14" s="41">
        <v>27.41</v>
      </c>
      <c r="M14" s="41">
        <v>83.8</v>
      </c>
      <c r="N14" s="41">
        <v>29.6</v>
      </c>
      <c r="O14" s="41">
        <v>0</v>
      </c>
      <c r="P14" s="41">
        <v>0.28000000000000003</v>
      </c>
      <c r="Q14" s="41">
        <v>9.9700000000000006</v>
      </c>
      <c r="R14" s="38"/>
      <c r="S14" s="38"/>
      <c r="T14" s="38"/>
      <c r="U14" s="38"/>
    </row>
    <row r="15" spans="1:21" customFormat="1">
      <c r="A15" s="40" t="s">
        <v>330</v>
      </c>
      <c r="B15" s="41">
        <v>8.4</v>
      </c>
      <c r="C15" s="41">
        <v>14.3</v>
      </c>
      <c r="D15" s="41">
        <v>6.22</v>
      </c>
      <c r="E15" s="41">
        <v>5.7</v>
      </c>
      <c r="F15" s="41">
        <v>3.48</v>
      </c>
      <c r="G15" s="41">
        <v>44.81</v>
      </c>
      <c r="H15" s="41">
        <v>23.17</v>
      </c>
      <c r="I15" s="41">
        <v>4.7699999999999996</v>
      </c>
      <c r="J15" s="41">
        <v>0.67</v>
      </c>
      <c r="K15" s="41">
        <v>67.77</v>
      </c>
      <c r="L15" s="41">
        <v>28.7</v>
      </c>
      <c r="M15" s="41">
        <v>77.23</v>
      </c>
      <c r="N15" s="41">
        <v>76.3</v>
      </c>
      <c r="O15" s="41">
        <v>0</v>
      </c>
      <c r="P15" s="41">
        <v>0.28999999999999998</v>
      </c>
      <c r="Q15" s="41">
        <v>9.99</v>
      </c>
      <c r="R15" s="38"/>
      <c r="S15" s="38"/>
      <c r="T15" s="38"/>
      <c r="U15" s="38"/>
    </row>
    <row r="16" spans="1:21" customFormat="1">
      <c r="A16" s="40" t="s">
        <v>331</v>
      </c>
      <c r="B16" s="41">
        <v>8.19</v>
      </c>
      <c r="C16" s="41">
        <v>13.88</v>
      </c>
      <c r="D16" s="41">
        <v>5.83</v>
      </c>
      <c r="E16" s="41">
        <v>5.84</v>
      </c>
      <c r="F16" s="41">
        <v>3.45</v>
      </c>
      <c r="G16" s="41">
        <v>43.88</v>
      </c>
      <c r="H16" s="41">
        <v>22.8</v>
      </c>
      <c r="I16" s="41">
        <v>4.8</v>
      </c>
      <c r="J16" s="41">
        <v>1.22</v>
      </c>
      <c r="K16" s="41">
        <v>60.65</v>
      </c>
      <c r="L16" s="41">
        <v>30.88</v>
      </c>
      <c r="M16" s="41">
        <v>68.77</v>
      </c>
      <c r="N16" s="41">
        <v>110.2</v>
      </c>
      <c r="O16" s="41">
        <v>0</v>
      </c>
      <c r="P16" s="41">
        <v>0.33</v>
      </c>
      <c r="Q16" s="41">
        <v>9.99</v>
      </c>
      <c r="R16" s="38"/>
      <c r="S16" s="38"/>
      <c r="T16" s="38"/>
      <c r="U16" s="38"/>
    </row>
    <row r="17" spans="1:21" customFormat="1">
      <c r="A17" s="40" t="s">
        <v>332</v>
      </c>
      <c r="B17" s="41">
        <v>7.21</v>
      </c>
      <c r="C17" s="41">
        <v>12.47</v>
      </c>
      <c r="D17" s="41">
        <v>5.26</v>
      </c>
      <c r="E17" s="41">
        <v>5.67</v>
      </c>
      <c r="F17" s="41">
        <v>6.43</v>
      </c>
      <c r="G17" s="41">
        <v>40.380000000000003</v>
      </c>
      <c r="H17" s="41">
        <v>21.84</v>
      </c>
      <c r="I17" s="41">
        <v>4.71</v>
      </c>
      <c r="J17" s="41">
        <v>1.1299999999999999</v>
      </c>
      <c r="K17" s="41">
        <v>56.2</v>
      </c>
      <c r="L17" s="41">
        <v>32.81</v>
      </c>
      <c r="M17" s="41">
        <v>61.43</v>
      </c>
      <c r="N17" s="41">
        <v>108.5</v>
      </c>
      <c r="O17" s="41">
        <v>0</v>
      </c>
      <c r="P17" s="41">
        <v>0.33</v>
      </c>
      <c r="Q17" s="41">
        <v>9.9700000000000006</v>
      </c>
      <c r="R17" s="38"/>
      <c r="S17" s="38"/>
      <c r="T17" s="38"/>
      <c r="U17" s="38"/>
    </row>
    <row r="18" spans="1:21" customFormat="1">
      <c r="A18" s="40" t="s">
        <v>333</v>
      </c>
      <c r="B18" s="41">
        <v>6.61</v>
      </c>
      <c r="C18" s="41">
        <v>10.88</v>
      </c>
      <c r="D18" s="41">
        <v>4.2699999999999996</v>
      </c>
      <c r="E18" s="41">
        <v>4.5</v>
      </c>
      <c r="F18" s="41">
        <v>6.66</v>
      </c>
      <c r="G18" s="41">
        <v>37.590000000000003</v>
      </c>
      <c r="H18" s="41">
        <v>19.79</v>
      </c>
      <c r="I18" s="41">
        <v>4.5199999999999996</v>
      </c>
      <c r="J18" s="41">
        <v>0.81</v>
      </c>
      <c r="K18" s="41">
        <v>97.72</v>
      </c>
      <c r="L18" s="41">
        <v>34.22</v>
      </c>
      <c r="M18" s="41">
        <v>54.87</v>
      </c>
      <c r="N18" s="41">
        <v>168.2</v>
      </c>
      <c r="O18" s="41">
        <v>0</v>
      </c>
      <c r="P18" s="41">
        <v>0.31</v>
      </c>
      <c r="Q18" s="41">
        <v>9.9600000000000009</v>
      </c>
      <c r="R18" s="38"/>
      <c r="S18" s="38"/>
      <c r="T18" s="38"/>
      <c r="U18" s="38"/>
    </row>
    <row r="19" spans="1:21" customFormat="1">
      <c r="A19" s="40" t="s">
        <v>334</v>
      </c>
      <c r="B19" s="41">
        <v>5.98</v>
      </c>
      <c r="C19" s="41">
        <v>11.87</v>
      </c>
      <c r="D19" s="41">
        <v>5.89</v>
      </c>
      <c r="E19" s="41">
        <v>5.56</v>
      </c>
      <c r="F19" s="41">
        <v>25.53</v>
      </c>
      <c r="G19" s="41">
        <v>36.51</v>
      </c>
      <c r="H19" s="41">
        <v>21.36</v>
      </c>
      <c r="I19" s="41">
        <v>4.6900000000000004</v>
      </c>
      <c r="J19" s="41">
        <v>0.45</v>
      </c>
      <c r="K19" s="41">
        <v>111.24</v>
      </c>
      <c r="L19" s="41">
        <v>34.880000000000003</v>
      </c>
      <c r="M19" s="41">
        <v>50.96</v>
      </c>
      <c r="N19" s="41">
        <v>202.3</v>
      </c>
      <c r="O19" s="41">
        <v>0</v>
      </c>
      <c r="P19" s="41">
        <v>0.32</v>
      </c>
      <c r="Q19" s="41">
        <v>9.94</v>
      </c>
      <c r="R19" s="38"/>
      <c r="S19" s="38"/>
      <c r="T19" s="38"/>
      <c r="U19" s="38"/>
    </row>
    <row r="20" spans="1:21" customFormat="1">
      <c r="A20" s="40" t="s">
        <v>335</v>
      </c>
      <c r="B20" s="41">
        <v>4.3099999999999996</v>
      </c>
      <c r="C20" s="41">
        <v>8.99</v>
      </c>
      <c r="D20" s="41">
        <v>4.71</v>
      </c>
      <c r="E20" s="41">
        <v>5.08</v>
      </c>
      <c r="F20" s="41">
        <v>24.64</v>
      </c>
      <c r="G20" s="10" t="s">
        <v>12</v>
      </c>
      <c r="H20" s="10" t="s">
        <v>12</v>
      </c>
      <c r="I20" s="41">
        <v>4.45</v>
      </c>
      <c r="J20" s="41">
        <v>0.6</v>
      </c>
      <c r="K20" s="41">
        <v>83.51</v>
      </c>
      <c r="L20" s="41">
        <v>35.39</v>
      </c>
      <c r="M20" s="41">
        <v>50.91</v>
      </c>
      <c r="N20" s="41">
        <v>538.79999999999995</v>
      </c>
      <c r="O20" s="41">
        <v>0</v>
      </c>
      <c r="P20" s="41">
        <v>0.31</v>
      </c>
      <c r="Q20" s="41">
        <v>9.94</v>
      </c>
      <c r="R20" s="38"/>
      <c r="S20" s="38"/>
      <c r="T20" s="38"/>
      <c r="U20" s="38"/>
    </row>
    <row r="21" spans="1:21" customFormat="1">
      <c r="A21" s="40" t="s">
        <v>336</v>
      </c>
      <c r="B21" s="41">
        <v>4.32</v>
      </c>
      <c r="C21" s="41">
        <v>9.7100000000000009</v>
      </c>
      <c r="D21" s="41">
        <v>5.39</v>
      </c>
      <c r="E21" s="41">
        <v>4.58</v>
      </c>
      <c r="F21" s="41">
        <v>30.19</v>
      </c>
      <c r="G21" s="10" t="s">
        <v>12</v>
      </c>
      <c r="H21" s="10" t="s">
        <v>12</v>
      </c>
      <c r="I21" s="41">
        <v>14.52</v>
      </c>
      <c r="J21" s="41">
        <v>0.74</v>
      </c>
      <c r="K21" s="41">
        <v>99.06</v>
      </c>
      <c r="L21" s="41">
        <v>35.909999999999997</v>
      </c>
      <c r="M21" s="41">
        <v>49.5</v>
      </c>
      <c r="N21" s="41">
        <v>729.8</v>
      </c>
      <c r="O21" s="41">
        <v>0</v>
      </c>
      <c r="P21" s="41">
        <v>0.64</v>
      </c>
      <c r="Q21" s="41">
        <v>9.92</v>
      </c>
      <c r="R21" s="38"/>
      <c r="S21" s="38"/>
      <c r="T21" s="38"/>
      <c r="U21" s="38"/>
    </row>
    <row r="22" spans="1:21" customFormat="1">
      <c r="A22" s="40" t="s">
        <v>337</v>
      </c>
      <c r="B22" s="41">
        <v>3.77</v>
      </c>
      <c r="C22" s="41">
        <v>10.16</v>
      </c>
      <c r="D22" s="41">
        <v>6.48</v>
      </c>
      <c r="E22" s="10" t="s">
        <v>12</v>
      </c>
      <c r="F22" s="41">
        <v>43</v>
      </c>
      <c r="G22" s="10" t="s">
        <v>12</v>
      </c>
      <c r="H22" s="10" t="s">
        <v>12</v>
      </c>
      <c r="I22" s="41">
        <v>19.04</v>
      </c>
      <c r="J22" s="41">
        <v>0.55000000000000004</v>
      </c>
      <c r="K22" s="41">
        <v>121.24</v>
      </c>
      <c r="L22" s="41">
        <v>35.869999999999997</v>
      </c>
      <c r="M22" s="41">
        <v>48.82</v>
      </c>
      <c r="N22" s="41">
        <v>470.4</v>
      </c>
      <c r="O22" s="41">
        <v>0</v>
      </c>
      <c r="P22" s="41">
        <v>0.45</v>
      </c>
      <c r="Q22" s="41">
        <v>9.93</v>
      </c>
      <c r="R22" s="38"/>
      <c r="S22" s="38"/>
      <c r="T22" s="38"/>
      <c r="U22" s="38"/>
    </row>
    <row r="23" spans="1:21" customFormat="1">
      <c r="A23" s="40" t="s">
        <v>338</v>
      </c>
      <c r="B23" s="41">
        <v>4.05</v>
      </c>
      <c r="C23" s="41">
        <v>12.24</v>
      </c>
      <c r="D23" s="41">
        <v>8.19</v>
      </c>
      <c r="E23" s="41">
        <v>7.28</v>
      </c>
      <c r="F23" s="41">
        <v>32.75</v>
      </c>
      <c r="G23" s="41">
        <v>14.05</v>
      </c>
      <c r="H23" s="41">
        <v>37.53</v>
      </c>
      <c r="I23" s="41">
        <v>12.34</v>
      </c>
      <c r="J23" s="41">
        <v>0.52</v>
      </c>
      <c r="K23" s="41">
        <v>104.54</v>
      </c>
      <c r="L23" s="41">
        <v>36.67</v>
      </c>
      <c r="M23" s="41">
        <v>45.74</v>
      </c>
      <c r="N23" s="41">
        <v>437.8</v>
      </c>
      <c r="O23" s="41">
        <v>0</v>
      </c>
      <c r="P23" s="41">
        <v>0.35</v>
      </c>
      <c r="Q23" s="41">
        <v>9.92</v>
      </c>
      <c r="R23" s="38"/>
      <c r="S23" s="38"/>
      <c r="T23" s="38"/>
      <c r="U23" s="38"/>
    </row>
    <row r="24" spans="1:21" customFormat="1">
      <c r="A24" s="40" t="s">
        <v>339</v>
      </c>
      <c r="B24" s="41">
        <v>3.58</v>
      </c>
      <c r="C24" s="41">
        <v>8.94</v>
      </c>
      <c r="D24" s="41">
        <v>5.53</v>
      </c>
      <c r="E24" s="41">
        <v>7.02</v>
      </c>
      <c r="F24" s="41">
        <v>34.03</v>
      </c>
      <c r="G24" s="41">
        <v>19.61</v>
      </c>
      <c r="H24" s="41">
        <v>37.53</v>
      </c>
      <c r="I24" s="41">
        <v>19.54</v>
      </c>
      <c r="J24" s="41">
        <v>0.57999999999999996</v>
      </c>
      <c r="K24" s="41">
        <v>77.64</v>
      </c>
      <c r="L24" s="41">
        <v>37.479999999999997</v>
      </c>
      <c r="M24" s="41">
        <v>40.29</v>
      </c>
      <c r="N24" s="41">
        <v>561</v>
      </c>
      <c r="O24" s="41">
        <v>0</v>
      </c>
      <c r="P24" s="41">
        <v>0.35</v>
      </c>
      <c r="Q24" s="41">
        <v>9.9</v>
      </c>
      <c r="R24" s="38"/>
      <c r="S24" s="38"/>
      <c r="T24" s="38"/>
      <c r="U24" s="38"/>
    </row>
    <row r="25" spans="1:21" customFormat="1">
      <c r="A25" s="40" t="s">
        <v>340</v>
      </c>
      <c r="B25" s="41">
        <v>3.51</v>
      </c>
      <c r="C25" s="41">
        <v>9.61</v>
      </c>
      <c r="D25" s="41">
        <v>6.16</v>
      </c>
      <c r="E25" s="41">
        <v>4.6500000000000004</v>
      </c>
      <c r="F25" s="41">
        <v>44.09</v>
      </c>
      <c r="G25" s="41">
        <v>13.98</v>
      </c>
      <c r="H25" s="41">
        <v>29.75</v>
      </c>
      <c r="I25" s="41">
        <v>14.61</v>
      </c>
      <c r="J25" s="41">
        <v>0.8</v>
      </c>
      <c r="K25" s="41">
        <v>101.56</v>
      </c>
      <c r="L25" s="41">
        <v>36.99</v>
      </c>
      <c r="M25" s="41">
        <v>42.42</v>
      </c>
      <c r="N25" s="41">
        <v>172.6</v>
      </c>
      <c r="O25" s="41">
        <v>0</v>
      </c>
      <c r="P25" s="41">
        <v>0.38</v>
      </c>
      <c r="Q25" s="41">
        <v>9.92</v>
      </c>
      <c r="R25" s="38"/>
      <c r="S25" s="38"/>
      <c r="T25" s="38"/>
      <c r="U25" s="38"/>
    </row>
    <row r="26" spans="1:21" customFormat="1">
      <c r="A26" s="40" t="s">
        <v>341</v>
      </c>
      <c r="B26" s="41">
        <v>3.48</v>
      </c>
      <c r="C26" s="41">
        <v>9.5399999999999991</v>
      </c>
      <c r="D26" s="41">
        <v>6.06</v>
      </c>
      <c r="E26" s="41">
        <v>5.38</v>
      </c>
      <c r="F26" s="41">
        <v>31.97</v>
      </c>
      <c r="G26" s="41">
        <v>27.68</v>
      </c>
      <c r="H26" s="41">
        <v>33.9</v>
      </c>
      <c r="I26" s="41">
        <v>7.46</v>
      </c>
      <c r="J26" s="41">
        <v>0.54</v>
      </c>
      <c r="K26" s="41">
        <v>101.32</v>
      </c>
      <c r="L26" s="41">
        <v>36</v>
      </c>
      <c r="M26" s="41">
        <v>46.01</v>
      </c>
      <c r="N26" s="41">
        <v>120.5</v>
      </c>
      <c r="O26" s="41">
        <v>0</v>
      </c>
      <c r="P26" s="41">
        <v>0.41</v>
      </c>
      <c r="Q26" s="41">
        <v>9.94</v>
      </c>
      <c r="R26" s="38"/>
      <c r="S26" s="38"/>
      <c r="T26" s="38"/>
      <c r="U26" s="38"/>
    </row>
    <row r="27" spans="1:21" customFormat="1">
      <c r="A27" s="40" t="s">
        <v>342</v>
      </c>
      <c r="B27" s="41">
        <v>3.74</v>
      </c>
      <c r="C27" s="41">
        <v>8.39</v>
      </c>
      <c r="D27" s="41">
        <v>4.8099999999999996</v>
      </c>
      <c r="E27" s="41">
        <v>3.88</v>
      </c>
      <c r="F27" s="41">
        <v>21.44</v>
      </c>
      <c r="G27" s="41">
        <v>30.21</v>
      </c>
      <c r="H27" s="41">
        <v>32.340000000000003</v>
      </c>
      <c r="I27" s="41">
        <v>6.66</v>
      </c>
      <c r="J27" s="41">
        <v>0.54</v>
      </c>
      <c r="K27" s="41">
        <v>98.59</v>
      </c>
      <c r="L27" s="41">
        <v>34.33</v>
      </c>
      <c r="M27" s="41">
        <v>56.12</v>
      </c>
      <c r="N27" s="41">
        <v>38.799999999999997</v>
      </c>
      <c r="O27" s="41">
        <v>0</v>
      </c>
      <c r="P27" s="41">
        <v>0.41</v>
      </c>
      <c r="Q27" s="41">
        <v>9.93</v>
      </c>
      <c r="R27" s="38"/>
      <c r="S27" s="38"/>
      <c r="T27" s="38"/>
      <c r="U27" s="38"/>
    </row>
    <row r="28" spans="1:21" customFormat="1">
      <c r="A28" s="40" t="s">
        <v>343</v>
      </c>
      <c r="B28" s="41">
        <v>3.82</v>
      </c>
      <c r="C28" s="41">
        <v>7.11</v>
      </c>
      <c r="D28" s="41">
        <v>3.38</v>
      </c>
      <c r="E28" s="41">
        <v>3.74</v>
      </c>
      <c r="F28" s="41">
        <v>23.88</v>
      </c>
      <c r="G28" s="41">
        <v>33.06</v>
      </c>
      <c r="H28" s="41">
        <v>28.44</v>
      </c>
      <c r="I28" s="41">
        <v>4.3899999999999997</v>
      </c>
      <c r="J28" s="41">
        <v>0.39</v>
      </c>
      <c r="K28" s="41">
        <v>99.82</v>
      </c>
      <c r="L28" s="41">
        <v>32.76</v>
      </c>
      <c r="M28" s="41">
        <v>57.3</v>
      </c>
      <c r="N28" s="41">
        <v>2.1</v>
      </c>
      <c r="O28" s="41">
        <v>0</v>
      </c>
      <c r="P28" s="41">
        <v>0.39</v>
      </c>
      <c r="Q28" s="41">
        <v>9.93</v>
      </c>
      <c r="R28" s="38"/>
      <c r="S28" s="38"/>
      <c r="T28" s="38"/>
      <c r="U28" s="38"/>
    </row>
    <row r="29" spans="1:21" customFormat="1">
      <c r="A29" s="40" t="s">
        <v>344</v>
      </c>
      <c r="B29" s="41">
        <v>3.93</v>
      </c>
      <c r="C29" s="41">
        <v>6.7</v>
      </c>
      <c r="D29" s="41">
        <v>2.88</v>
      </c>
      <c r="E29" s="41">
        <v>3.82</v>
      </c>
      <c r="F29" s="41">
        <v>19.54</v>
      </c>
      <c r="G29" s="41">
        <v>31.83</v>
      </c>
      <c r="H29" s="41">
        <v>24.43</v>
      </c>
      <c r="I29" s="41">
        <v>5.0999999999999996</v>
      </c>
      <c r="J29" s="41">
        <v>0.38</v>
      </c>
      <c r="K29" s="41">
        <v>136.04</v>
      </c>
      <c r="L29" s="41">
        <v>31.71</v>
      </c>
      <c r="M29" s="41">
        <v>58.54</v>
      </c>
      <c r="N29" s="41">
        <v>2.1</v>
      </c>
      <c r="O29" s="41">
        <v>0</v>
      </c>
      <c r="P29" s="41">
        <v>0.36</v>
      </c>
      <c r="Q29" s="41">
        <v>9.94</v>
      </c>
      <c r="R29" s="38"/>
      <c r="S29" s="38"/>
      <c r="T29" s="38"/>
      <c r="U29" s="38"/>
    </row>
    <row r="30" spans="1:21" customFormat="1">
      <c r="A30" s="40" t="s">
        <v>345</v>
      </c>
      <c r="B30" s="41">
        <v>4</v>
      </c>
      <c r="C30" s="41">
        <v>6.8</v>
      </c>
      <c r="D30" s="41">
        <v>2.88</v>
      </c>
      <c r="E30" s="41">
        <v>3.87</v>
      </c>
      <c r="F30" s="41">
        <v>17.84</v>
      </c>
      <c r="G30" s="41">
        <v>27.81</v>
      </c>
      <c r="H30" s="41">
        <v>19.91</v>
      </c>
      <c r="I30" s="41">
        <v>5.26</v>
      </c>
      <c r="J30" s="41">
        <v>0.25</v>
      </c>
      <c r="K30" s="41">
        <v>130.83000000000001</v>
      </c>
      <c r="L30" s="41">
        <v>30.89</v>
      </c>
      <c r="M30" s="41">
        <v>61.21</v>
      </c>
      <c r="N30" s="41">
        <v>1.9</v>
      </c>
      <c r="O30" s="41">
        <v>0</v>
      </c>
      <c r="P30" s="41">
        <v>0.37</v>
      </c>
      <c r="Q30" s="41">
        <v>9.93</v>
      </c>
      <c r="R30" s="38"/>
      <c r="S30" s="38"/>
      <c r="T30" s="38"/>
      <c r="U30" s="38"/>
    </row>
    <row r="31" spans="1:21" customFormat="1">
      <c r="A31" s="40" t="s">
        <v>346</v>
      </c>
      <c r="B31" s="41">
        <v>4.24</v>
      </c>
      <c r="C31" s="41">
        <v>7.25</v>
      </c>
      <c r="D31" s="41">
        <v>3.08</v>
      </c>
      <c r="E31" s="41">
        <v>5.18</v>
      </c>
      <c r="F31" s="41">
        <v>12.39</v>
      </c>
      <c r="G31" s="41">
        <v>26.8</v>
      </c>
      <c r="H31" s="41">
        <v>16.73</v>
      </c>
      <c r="I31" s="41">
        <v>5.34</v>
      </c>
      <c r="J31" s="41">
        <v>0.23</v>
      </c>
      <c r="K31" s="41">
        <v>165.73</v>
      </c>
      <c r="L31" s="41">
        <v>30.26</v>
      </c>
      <c r="M31" s="41">
        <v>64.61</v>
      </c>
      <c r="N31" s="41">
        <v>1.9</v>
      </c>
      <c r="O31" s="41">
        <v>0</v>
      </c>
      <c r="P31" s="41">
        <v>0.38</v>
      </c>
      <c r="Q31" s="41">
        <v>9.93</v>
      </c>
      <c r="R31" s="38"/>
      <c r="S31" s="38"/>
      <c r="T31" s="38"/>
      <c r="U31" s="38"/>
    </row>
    <row r="32" spans="1:21" customFormat="1">
      <c r="A32" s="40" t="s">
        <v>347</v>
      </c>
      <c r="B32" s="41">
        <v>4.1100000000000003</v>
      </c>
      <c r="C32" s="41">
        <v>7.21</v>
      </c>
      <c r="D32" s="41">
        <v>3.11</v>
      </c>
      <c r="E32" s="41">
        <v>5.76</v>
      </c>
      <c r="F32" s="41">
        <v>3.93</v>
      </c>
      <c r="G32" s="41">
        <v>26.03</v>
      </c>
      <c r="H32" s="41">
        <v>12.92</v>
      </c>
      <c r="I32" s="41">
        <v>5.17</v>
      </c>
      <c r="J32" s="41">
        <v>0.25</v>
      </c>
      <c r="K32" s="41">
        <v>156.51</v>
      </c>
      <c r="L32" s="41">
        <v>29.6</v>
      </c>
      <c r="M32" s="41">
        <v>66.709999999999994</v>
      </c>
      <c r="N32" s="41">
        <v>1.9</v>
      </c>
      <c r="O32" s="41">
        <v>0</v>
      </c>
      <c r="P32" s="41">
        <v>0.37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3.48</v>
      </c>
      <c r="C34" s="18">
        <f t="shared" si="0"/>
        <v>6.7</v>
      </c>
      <c r="D34" s="18">
        <f t="shared" si="0"/>
        <v>2.88</v>
      </c>
      <c r="E34" s="18">
        <f t="shared" si="0"/>
        <v>3.74</v>
      </c>
      <c r="F34" s="18">
        <f t="shared" si="0"/>
        <v>2.66</v>
      </c>
      <c r="G34" s="18">
        <f t="shared" si="0"/>
        <v>13.98</v>
      </c>
      <c r="H34" s="18">
        <f t="shared" si="0"/>
        <v>12.92</v>
      </c>
      <c r="I34" s="18">
        <f t="shared" si="0"/>
        <v>4.3899999999999997</v>
      </c>
      <c r="J34" s="18">
        <f t="shared" si="0"/>
        <v>0.13</v>
      </c>
      <c r="K34" s="18">
        <f t="shared" si="0"/>
        <v>56.2</v>
      </c>
      <c r="L34" s="18">
        <f t="shared" si="0"/>
        <v>27.41</v>
      </c>
      <c r="M34" s="18">
        <f t="shared" si="0"/>
        <v>40.29</v>
      </c>
      <c r="N34" s="18">
        <f t="shared" si="0"/>
        <v>1.9</v>
      </c>
      <c r="O34" s="18">
        <f t="shared" si="0"/>
        <v>0</v>
      </c>
      <c r="P34" s="18">
        <f t="shared" si="0"/>
        <v>0.28000000000000003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8.4</v>
      </c>
      <c r="C35" s="3">
        <f t="shared" si="1"/>
        <v>14.3</v>
      </c>
      <c r="D35" s="3">
        <f t="shared" si="1"/>
        <v>8.19</v>
      </c>
      <c r="E35" s="3">
        <f t="shared" si="1"/>
        <v>7.28</v>
      </c>
      <c r="F35" s="3">
        <f t="shared" si="1"/>
        <v>44.09</v>
      </c>
      <c r="G35" s="3">
        <f t="shared" si="1"/>
        <v>60.8</v>
      </c>
      <c r="H35" s="3">
        <f t="shared" si="1"/>
        <v>37.53</v>
      </c>
      <c r="I35" s="3">
        <f t="shared" si="1"/>
        <v>19.54</v>
      </c>
      <c r="J35" s="3">
        <f t="shared" si="1"/>
        <v>1.22</v>
      </c>
      <c r="K35" s="3">
        <f t="shared" si="1"/>
        <v>186.26</v>
      </c>
      <c r="L35" s="3">
        <f t="shared" si="1"/>
        <v>37.479999999999997</v>
      </c>
      <c r="M35" s="3">
        <f t="shared" si="1"/>
        <v>84.34</v>
      </c>
      <c r="N35" s="3">
        <f t="shared" si="1"/>
        <v>729.8</v>
      </c>
      <c r="O35" s="3">
        <f t="shared" si="1"/>
        <v>0.2</v>
      </c>
      <c r="P35" s="3">
        <f t="shared" si="1"/>
        <v>0.64</v>
      </c>
      <c r="Q35" s="3">
        <f t="shared" si="1"/>
        <v>9.99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4.9274999999999993</v>
      </c>
      <c r="C36" s="18">
        <f t="shared" si="2"/>
        <v>9.9929166666666678</v>
      </c>
      <c r="D36" s="18">
        <f t="shared" si="2"/>
        <v>5.1304166666666662</v>
      </c>
      <c r="E36" s="18">
        <f t="shared" si="2"/>
        <v>5.0930434782608698</v>
      </c>
      <c r="F36" s="18">
        <f t="shared" si="2"/>
        <v>17.852083333333336</v>
      </c>
      <c r="G36" s="18">
        <f t="shared" si="2"/>
        <v>34.155714285714282</v>
      </c>
      <c r="H36" s="18">
        <f t="shared" si="2"/>
        <v>26.09238095238095</v>
      </c>
      <c r="I36" s="18">
        <f t="shared" si="2"/>
        <v>7.4420833333333327</v>
      </c>
      <c r="J36" s="18">
        <f t="shared" si="2"/>
        <v>0.50624999999999998</v>
      </c>
      <c r="K36" s="18">
        <f t="shared" si="2"/>
        <v>115.73500000000001</v>
      </c>
      <c r="L36" s="18">
        <f t="shared" si="2"/>
        <v>32.337916666666665</v>
      </c>
      <c r="M36" s="18">
        <f t="shared" si="2"/>
        <v>61.027916666666648</v>
      </c>
      <c r="N36" s="18">
        <f t="shared" si="2"/>
        <v>157.74583333333334</v>
      </c>
      <c r="O36" s="18">
        <f t="shared" si="2"/>
        <v>8.3333333333333332E-3</v>
      </c>
      <c r="P36" s="18">
        <f t="shared" si="2"/>
        <v>0.36916666666666664</v>
      </c>
      <c r="Q36" s="18">
        <f t="shared" si="2"/>
        <v>9.9420833333333309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1.5154487066901035</v>
      </c>
      <c r="C37" s="18">
        <f t="shared" ref="C37:Q37" si="3">STDEV(C9:C32)</f>
        <v>2.2905770663964624</v>
      </c>
      <c r="D37" s="18">
        <f t="shared" si="3"/>
        <v>1.4071756454335966</v>
      </c>
      <c r="E37" s="18">
        <f t="shared" si="3"/>
        <v>0.93231595689351032</v>
      </c>
      <c r="F37" s="18">
        <f t="shared" si="3"/>
        <v>13.224639381675489</v>
      </c>
      <c r="G37" s="18">
        <f t="shared" si="3"/>
        <v>12.120294374077156</v>
      </c>
      <c r="H37" s="18">
        <f t="shared" si="3"/>
        <v>7.1532879885839282</v>
      </c>
      <c r="I37" s="18">
        <f t="shared" si="3"/>
        <v>4.7249918142709566</v>
      </c>
      <c r="J37" s="18">
        <f t="shared" si="3"/>
        <v>0.29007963674166076</v>
      </c>
      <c r="K37" s="18">
        <f t="shared" si="3"/>
        <v>35.867625222900223</v>
      </c>
      <c r="L37" s="18">
        <f t="shared" si="3"/>
        <v>3.3057722628189601</v>
      </c>
      <c r="M37" s="18">
        <f t="shared" si="3"/>
        <v>13.037518428572348</v>
      </c>
      <c r="N37" s="18">
        <f t="shared" si="3"/>
        <v>218.59853211481916</v>
      </c>
      <c r="O37" s="18">
        <f t="shared" si="3"/>
        <v>4.0824829046386311E-2</v>
      </c>
      <c r="P37" s="18">
        <f t="shared" si="3"/>
        <v>7.3183311632156134E-2</v>
      </c>
      <c r="Q37" s="18">
        <f t="shared" si="3"/>
        <v>2.2259178207938435E-2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>COUNT(E9:E32)+1</f>
        <v>24</v>
      </c>
      <c r="F38" s="34">
        <f t="shared" si="4"/>
        <v>24</v>
      </c>
      <c r="G38" s="34">
        <f>COUNT(G9:G32)+3</f>
        <v>24</v>
      </c>
      <c r="H38" s="34">
        <f>COUNT(H9:H32)+3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>
        <v>3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348</v>
      </c>
      <c r="B9" s="41">
        <v>4.1900000000000004</v>
      </c>
      <c r="C9" s="41">
        <v>7.19</v>
      </c>
      <c r="D9" s="41">
        <v>3</v>
      </c>
      <c r="E9" s="41">
        <v>5.73</v>
      </c>
      <c r="F9" s="41">
        <v>3.37</v>
      </c>
      <c r="G9" s="41">
        <v>22.44</v>
      </c>
      <c r="H9" s="41">
        <v>9.0399999999999991</v>
      </c>
      <c r="I9" s="41">
        <v>4.7300000000000004</v>
      </c>
      <c r="J9" s="41">
        <v>0.3</v>
      </c>
      <c r="K9" s="41">
        <v>130.82</v>
      </c>
      <c r="L9" s="41">
        <v>29.55</v>
      </c>
      <c r="M9" s="41">
        <v>68.52</v>
      </c>
      <c r="N9" s="41">
        <v>1.9</v>
      </c>
      <c r="O9" s="41">
        <v>0</v>
      </c>
      <c r="P9" s="41">
        <v>0.34</v>
      </c>
      <c r="Q9" s="41">
        <v>9.92</v>
      </c>
      <c r="R9" s="38"/>
      <c r="S9" s="38"/>
      <c r="T9" s="38"/>
      <c r="U9" s="38"/>
    </row>
    <row r="10" spans="1:21" customFormat="1">
      <c r="A10" s="40" t="s">
        <v>349</v>
      </c>
      <c r="B10" s="41">
        <v>4.18</v>
      </c>
      <c r="C10" s="41">
        <v>7.05</v>
      </c>
      <c r="D10" s="41">
        <v>2.9</v>
      </c>
      <c r="E10" s="41">
        <v>5.88</v>
      </c>
      <c r="F10" s="41">
        <v>4.5199999999999996</v>
      </c>
      <c r="G10" s="41">
        <v>17.84</v>
      </c>
      <c r="H10" s="41">
        <v>7.09</v>
      </c>
      <c r="I10" s="41">
        <v>4.3</v>
      </c>
      <c r="J10" s="41">
        <v>0.35</v>
      </c>
      <c r="K10" s="41">
        <v>147.4</v>
      </c>
      <c r="L10" s="41">
        <v>29.21</v>
      </c>
      <c r="M10" s="41">
        <v>71.739999999999995</v>
      </c>
      <c r="N10" s="41">
        <v>1.9</v>
      </c>
      <c r="O10" s="41">
        <v>0</v>
      </c>
      <c r="P10" s="41">
        <v>0.33</v>
      </c>
      <c r="Q10" s="41">
        <v>9.93</v>
      </c>
      <c r="R10" s="38"/>
      <c r="S10" s="38"/>
      <c r="T10" s="38"/>
      <c r="U10" s="38"/>
    </row>
    <row r="11" spans="1:21" customFormat="1">
      <c r="A11" s="40" t="s">
        <v>350</v>
      </c>
      <c r="B11" s="41">
        <v>4.22</v>
      </c>
      <c r="C11" s="41">
        <v>7.12</v>
      </c>
      <c r="D11" s="41">
        <v>2.91</v>
      </c>
      <c r="E11" s="41">
        <v>5.31</v>
      </c>
      <c r="F11" s="41">
        <v>3.52</v>
      </c>
      <c r="G11" s="41">
        <v>15.81</v>
      </c>
      <c r="H11" s="41">
        <v>6.5</v>
      </c>
      <c r="I11" s="41">
        <v>4</v>
      </c>
      <c r="J11" s="41">
        <v>0.39</v>
      </c>
      <c r="K11" s="41">
        <v>132.11000000000001</v>
      </c>
      <c r="L11" s="41">
        <v>28.94</v>
      </c>
      <c r="M11" s="41">
        <v>73.510000000000005</v>
      </c>
      <c r="N11" s="41">
        <v>2</v>
      </c>
      <c r="O11" s="41">
        <v>0</v>
      </c>
      <c r="P11" s="41">
        <v>0.31</v>
      </c>
      <c r="Q11" s="41">
        <v>9.93</v>
      </c>
      <c r="R11" s="38"/>
      <c r="S11" s="38"/>
      <c r="T11" s="38"/>
      <c r="U11" s="38"/>
    </row>
    <row r="12" spans="1:21" customFormat="1">
      <c r="A12" s="40" t="s">
        <v>351</v>
      </c>
      <c r="B12" s="41">
        <v>4.41</v>
      </c>
      <c r="C12" s="41">
        <v>7.15</v>
      </c>
      <c r="D12" s="41">
        <v>2.92</v>
      </c>
      <c r="E12" s="41">
        <v>5.14</v>
      </c>
      <c r="F12" s="41">
        <v>7.24</v>
      </c>
      <c r="G12" s="41">
        <v>14.33</v>
      </c>
      <c r="H12" s="41">
        <v>8.2899999999999991</v>
      </c>
      <c r="I12" s="41">
        <v>3.77</v>
      </c>
      <c r="J12" s="41">
        <v>0.2</v>
      </c>
      <c r="K12" s="41">
        <v>144.19</v>
      </c>
      <c r="L12" s="41">
        <v>28.5</v>
      </c>
      <c r="M12" s="41">
        <v>77.709999999999994</v>
      </c>
      <c r="N12" s="41">
        <v>1.9</v>
      </c>
      <c r="O12" s="41">
        <v>0</v>
      </c>
      <c r="P12" s="41">
        <v>0.31</v>
      </c>
      <c r="Q12" s="41">
        <v>9.93</v>
      </c>
      <c r="R12" s="38"/>
      <c r="S12" s="38"/>
      <c r="T12" s="38"/>
      <c r="U12" s="38"/>
    </row>
    <row r="13" spans="1:21" customFormat="1">
      <c r="A13" s="40" t="s">
        <v>352</v>
      </c>
      <c r="B13" s="41">
        <v>4.8600000000000003</v>
      </c>
      <c r="C13" s="41">
        <v>7.26</v>
      </c>
      <c r="D13" s="41">
        <v>2.48</v>
      </c>
      <c r="E13" s="41">
        <v>4.2699999999999996</v>
      </c>
      <c r="F13" s="41">
        <v>8.11</v>
      </c>
      <c r="G13" s="41">
        <v>13.74</v>
      </c>
      <c r="H13" s="41">
        <v>8.06</v>
      </c>
      <c r="I13" s="41">
        <v>3.69</v>
      </c>
      <c r="J13" s="41">
        <v>0.21</v>
      </c>
      <c r="K13" s="41">
        <v>153.34</v>
      </c>
      <c r="L13" s="41">
        <v>27.88</v>
      </c>
      <c r="M13" s="41">
        <v>82.38</v>
      </c>
      <c r="N13" s="41">
        <v>1.9</v>
      </c>
      <c r="O13" s="41">
        <v>0</v>
      </c>
      <c r="P13" s="41">
        <v>0.3</v>
      </c>
      <c r="Q13" s="41">
        <v>9.93</v>
      </c>
      <c r="R13" s="38"/>
      <c r="S13" s="38"/>
      <c r="T13" s="38"/>
      <c r="U13" s="38"/>
    </row>
    <row r="14" spans="1:21" customFormat="1">
      <c r="A14" s="40" t="s">
        <v>353</v>
      </c>
      <c r="B14" s="41">
        <v>5.29</v>
      </c>
      <c r="C14" s="41">
        <v>8.06</v>
      </c>
      <c r="D14" s="41">
        <v>2.77</v>
      </c>
      <c r="E14" s="41">
        <v>4.22</v>
      </c>
      <c r="F14" s="41">
        <v>7.29</v>
      </c>
      <c r="G14" s="41">
        <v>12.57</v>
      </c>
      <c r="H14" s="41">
        <v>6.49</v>
      </c>
      <c r="I14" s="41">
        <v>3.77</v>
      </c>
      <c r="J14" s="41">
        <v>0.13</v>
      </c>
      <c r="K14" s="41">
        <v>235.06</v>
      </c>
      <c r="L14" s="41">
        <v>27.7</v>
      </c>
      <c r="M14" s="41">
        <v>84.38</v>
      </c>
      <c r="N14" s="41">
        <v>31.7</v>
      </c>
      <c r="O14" s="41">
        <v>0</v>
      </c>
      <c r="P14" s="41">
        <v>0.3</v>
      </c>
      <c r="Q14" s="41">
        <v>9.94</v>
      </c>
      <c r="R14" s="38"/>
      <c r="S14" s="38"/>
      <c r="T14" s="38"/>
      <c r="U14" s="38"/>
    </row>
    <row r="15" spans="1:21" customFormat="1">
      <c r="A15" s="40" t="s">
        <v>354</v>
      </c>
      <c r="B15" s="41">
        <v>5.41</v>
      </c>
      <c r="C15" s="41">
        <v>8.07</v>
      </c>
      <c r="D15" s="41">
        <v>2.74</v>
      </c>
      <c r="E15" s="41">
        <v>3.95</v>
      </c>
      <c r="F15" s="41">
        <v>8.3699999999999992</v>
      </c>
      <c r="G15" s="41">
        <v>11.63</v>
      </c>
      <c r="H15" s="41">
        <v>4.8</v>
      </c>
      <c r="I15" s="41">
        <v>3.71</v>
      </c>
      <c r="J15" s="41">
        <v>0.33</v>
      </c>
      <c r="K15" s="41">
        <v>147.99</v>
      </c>
      <c r="L15" s="41">
        <v>29.14</v>
      </c>
      <c r="M15" s="41">
        <v>81.05</v>
      </c>
      <c r="N15" s="41">
        <v>62.7</v>
      </c>
      <c r="O15" s="41">
        <v>0</v>
      </c>
      <c r="P15" s="41">
        <v>0.31</v>
      </c>
      <c r="Q15" s="41">
        <v>9.94</v>
      </c>
      <c r="R15" s="38"/>
      <c r="S15" s="38"/>
      <c r="T15" s="38"/>
      <c r="U15" s="38"/>
    </row>
    <row r="16" spans="1:21" customFormat="1">
      <c r="A16" s="40" t="s">
        <v>355</v>
      </c>
      <c r="B16" s="41">
        <v>5.52</v>
      </c>
      <c r="C16" s="41">
        <v>8.3000000000000007</v>
      </c>
      <c r="D16" s="41">
        <v>2.78</v>
      </c>
      <c r="E16" s="41">
        <v>3.92</v>
      </c>
      <c r="F16" s="41">
        <v>8.93</v>
      </c>
      <c r="G16" s="41">
        <v>10.7</v>
      </c>
      <c r="H16" s="41">
        <v>5.45</v>
      </c>
      <c r="I16" s="41">
        <v>3.71</v>
      </c>
      <c r="J16" s="41">
        <v>0.36</v>
      </c>
      <c r="K16" s="41">
        <v>123.74</v>
      </c>
      <c r="L16" s="41">
        <v>31.86</v>
      </c>
      <c r="M16" s="41">
        <v>74.16</v>
      </c>
      <c r="N16" s="41">
        <v>94.3</v>
      </c>
      <c r="O16" s="41">
        <v>0</v>
      </c>
      <c r="P16" s="41">
        <v>0.31</v>
      </c>
      <c r="Q16" s="41">
        <v>9.94</v>
      </c>
      <c r="R16" s="38"/>
      <c r="S16" s="38"/>
      <c r="T16" s="38"/>
      <c r="U16" s="38"/>
    </row>
    <row r="17" spans="1:21" customFormat="1">
      <c r="A17" s="40" t="s">
        <v>356</v>
      </c>
      <c r="B17" s="41">
        <v>5.56</v>
      </c>
      <c r="C17" s="41">
        <v>10.09</v>
      </c>
      <c r="D17" s="41">
        <v>4.82</v>
      </c>
      <c r="E17" s="41">
        <v>4.3600000000000003</v>
      </c>
      <c r="F17" s="41">
        <v>5.46</v>
      </c>
      <c r="G17" s="41">
        <v>10.35</v>
      </c>
      <c r="H17" s="41">
        <v>7.12</v>
      </c>
      <c r="I17" s="41">
        <v>4.05</v>
      </c>
      <c r="J17" s="41">
        <v>0.37</v>
      </c>
      <c r="K17" s="41">
        <v>324.27</v>
      </c>
      <c r="L17" s="41">
        <v>33.17</v>
      </c>
      <c r="M17" s="41">
        <v>64.88</v>
      </c>
      <c r="N17" s="41">
        <v>122.8</v>
      </c>
      <c r="O17" s="41">
        <v>0</v>
      </c>
      <c r="P17" s="41">
        <v>0.3</v>
      </c>
      <c r="Q17" s="41">
        <v>9.94</v>
      </c>
      <c r="R17" s="38"/>
      <c r="S17" s="38"/>
      <c r="T17" s="38"/>
      <c r="U17" s="38"/>
    </row>
    <row r="18" spans="1:21" customFormat="1">
      <c r="A18" s="40" t="s">
        <v>357</v>
      </c>
      <c r="B18" s="41">
        <v>4.4400000000000004</v>
      </c>
      <c r="C18" s="41">
        <v>9.1300000000000008</v>
      </c>
      <c r="D18" s="41">
        <v>4.68</v>
      </c>
      <c r="E18" s="41">
        <v>4.5999999999999996</v>
      </c>
      <c r="F18" s="41">
        <v>3.26</v>
      </c>
      <c r="G18" s="41">
        <v>11.64</v>
      </c>
      <c r="H18" s="41">
        <v>6.94</v>
      </c>
      <c r="I18" s="41">
        <v>3.96</v>
      </c>
      <c r="J18" s="41">
        <v>0.24</v>
      </c>
      <c r="K18" s="41">
        <v>275.58999999999997</v>
      </c>
      <c r="L18" s="41">
        <v>35.090000000000003</v>
      </c>
      <c r="M18" s="41">
        <v>60.92</v>
      </c>
      <c r="N18" s="41">
        <v>199.3</v>
      </c>
      <c r="O18" s="41">
        <v>0</v>
      </c>
      <c r="P18" s="41">
        <v>0.31</v>
      </c>
      <c r="Q18" s="41">
        <v>9.92</v>
      </c>
      <c r="R18" s="38"/>
      <c r="S18" s="38"/>
      <c r="T18" s="38"/>
      <c r="U18" s="38"/>
    </row>
    <row r="19" spans="1:21" customFormat="1">
      <c r="A19" s="40" t="s">
        <v>358</v>
      </c>
      <c r="B19" s="41">
        <v>4</v>
      </c>
      <c r="C19" s="41">
        <v>8.09</v>
      </c>
      <c r="D19" s="41">
        <v>4.08</v>
      </c>
      <c r="E19" s="41">
        <v>4.51</v>
      </c>
      <c r="F19" s="41">
        <v>26.53</v>
      </c>
      <c r="G19" s="41">
        <v>17.920000000000002</v>
      </c>
      <c r="H19" s="41">
        <v>12.49</v>
      </c>
      <c r="I19" s="41">
        <v>3.88</v>
      </c>
      <c r="J19" s="41">
        <v>0.47</v>
      </c>
      <c r="K19" s="41">
        <v>176.65</v>
      </c>
      <c r="L19" s="41">
        <v>35.270000000000003</v>
      </c>
      <c r="M19" s="41">
        <v>55.35</v>
      </c>
      <c r="N19" s="41">
        <v>226.8</v>
      </c>
      <c r="O19" s="41">
        <v>0</v>
      </c>
      <c r="P19" s="41">
        <v>0.32</v>
      </c>
      <c r="Q19" s="41">
        <v>9.93</v>
      </c>
      <c r="R19" s="38"/>
      <c r="S19" s="38"/>
      <c r="T19" s="38"/>
      <c r="U19" s="38"/>
    </row>
    <row r="20" spans="1:21" customFormat="1">
      <c r="A20" s="40" t="s">
        <v>359</v>
      </c>
      <c r="B20" s="41">
        <v>4.9000000000000004</v>
      </c>
      <c r="C20" s="41">
        <v>10.38</v>
      </c>
      <c r="D20" s="41">
        <v>5.48</v>
      </c>
      <c r="E20" s="41">
        <v>3.45</v>
      </c>
      <c r="F20" s="41">
        <v>39.69</v>
      </c>
      <c r="G20" s="41">
        <v>16.48</v>
      </c>
      <c r="H20" s="41">
        <v>11.12</v>
      </c>
      <c r="I20" s="41">
        <v>3.33</v>
      </c>
      <c r="J20" s="41">
        <v>0.57999999999999996</v>
      </c>
      <c r="K20" s="41">
        <v>279.95999999999998</v>
      </c>
      <c r="L20" s="41">
        <v>36.36</v>
      </c>
      <c r="M20" s="41">
        <v>51.09</v>
      </c>
      <c r="N20" s="41">
        <v>327.3</v>
      </c>
      <c r="O20" s="41">
        <v>0</v>
      </c>
      <c r="P20" s="41">
        <v>0.31</v>
      </c>
      <c r="Q20" s="41">
        <v>9.92</v>
      </c>
      <c r="R20" s="38"/>
      <c r="S20" s="38"/>
      <c r="T20" s="38"/>
      <c r="U20" s="38"/>
    </row>
    <row r="21" spans="1:21" customFormat="1">
      <c r="A21" s="40" t="s">
        <v>360</v>
      </c>
      <c r="B21" s="41">
        <v>6.32</v>
      </c>
      <c r="C21" s="41">
        <v>17.399999999999999</v>
      </c>
      <c r="D21" s="41">
        <v>11.07</v>
      </c>
      <c r="E21" s="41">
        <v>4.5199999999999996</v>
      </c>
      <c r="F21" s="41">
        <v>47.37</v>
      </c>
      <c r="G21" s="41">
        <v>14.43</v>
      </c>
      <c r="H21" s="41">
        <v>8.81</v>
      </c>
      <c r="I21" s="41">
        <v>3.38</v>
      </c>
      <c r="J21" s="41">
        <v>0.84</v>
      </c>
      <c r="K21" s="41">
        <v>356.48</v>
      </c>
      <c r="L21" s="41">
        <v>36.32</v>
      </c>
      <c r="M21" s="41">
        <v>48.73</v>
      </c>
      <c r="N21" s="41">
        <v>837.6</v>
      </c>
      <c r="O21" s="41">
        <v>0</v>
      </c>
      <c r="P21" s="41">
        <v>0.35</v>
      </c>
      <c r="Q21" s="41">
        <v>9.94</v>
      </c>
      <c r="R21" s="38"/>
      <c r="S21" s="38"/>
      <c r="T21" s="38"/>
      <c r="U21" s="38"/>
    </row>
    <row r="22" spans="1:21" customFormat="1">
      <c r="A22" s="40" t="s">
        <v>361</v>
      </c>
      <c r="B22" s="41">
        <v>5.36</v>
      </c>
      <c r="C22" s="41">
        <v>13.48</v>
      </c>
      <c r="D22" s="41">
        <v>8.1199999999999992</v>
      </c>
      <c r="E22" s="41">
        <v>5.35</v>
      </c>
      <c r="F22" s="41">
        <v>53.77</v>
      </c>
      <c r="G22" s="41">
        <v>38.549999999999997</v>
      </c>
      <c r="H22" s="41">
        <v>12.1</v>
      </c>
      <c r="I22" s="41">
        <v>3.9</v>
      </c>
      <c r="J22" s="41">
        <v>0.65</v>
      </c>
      <c r="K22" s="41">
        <v>355.69</v>
      </c>
      <c r="L22" s="41">
        <v>37.56</v>
      </c>
      <c r="M22" s="41">
        <v>45.85</v>
      </c>
      <c r="N22" s="41">
        <v>727.7</v>
      </c>
      <c r="O22" s="41">
        <v>0</v>
      </c>
      <c r="P22" s="41">
        <v>0.41</v>
      </c>
      <c r="Q22" s="41">
        <v>9.94</v>
      </c>
      <c r="R22" s="38"/>
      <c r="S22" s="38"/>
      <c r="T22" s="38"/>
      <c r="U22" s="38"/>
    </row>
    <row r="23" spans="1:21" customFormat="1">
      <c r="A23" s="40" t="s">
        <v>362</v>
      </c>
      <c r="B23" s="41">
        <v>6.46</v>
      </c>
      <c r="C23" s="41">
        <v>16.47</v>
      </c>
      <c r="D23" s="41">
        <v>10.02</v>
      </c>
      <c r="E23" s="41">
        <v>5.58</v>
      </c>
      <c r="F23" s="41">
        <v>50.75</v>
      </c>
      <c r="G23" s="41">
        <v>44.49</v>
      </c>
      <c r="H23" s="41">
        <v>14.52</v>
      </c>
      <c r="I23" s="41">
        <v>4.09</v>
      </c>
      <c r="J23" s="41">
        <v>0.88</v>
      </c>
      <c r="K23" s="41">
        <v>72.39</v>
      </c>
      <c r="L23" s="41">
        <v>38.4</v>
      </c>
      <c r="M23" s="41">
        <v>41.38</v>
      </c>
      <c r="N23" s="41">
        <v>487.4</v>
      </c>
      <c r="O23" s="41">
        <v>0</v>
      </c>
      <c r="P23" s="41">
        <v>0.36</v>
      </c>
      <c r="Q23" s="41">
        <v>9.94</v>
      </c>
      <c r="R23" s="38"/>
      <c r="S23" s="38"/>
      <c r="T23" s="38"/>
      <c r="U23" s="38"/>
    </row>
    <row r="24" spans="1:21" customFormat="1">
      <c r="A24" s="40" t="s">
        <v>363</v>
      </c>
      <c r="B24" s="41">
        <v>6.16</v>
      </c>
      <c r="C24" s="41">
        <v>16.34</v>
      </c>
      <c r="D24" s="41">
        <v>10.18</v>
      </c>
      <c r="E24" s="41">
        <v>4.17</v>
      </c>
      <c r="F24" s="41">
        <v>49</v>
      </c>
      <c r="G24" s="41">
        <v>47.43</v>
      </c>
      <c r="H24" s="41">
        <v>16.510000000000002</v>
      </c>
      <c r="I24" s="41">
        <v>3.57</v>
      </c>
      <c r="J24" s="41">
        <v>0.82</v>
      </c>
      <c r="K24" s="41">
        <v>46.41</v>
      </c>
      <c r="L24" s="41">
        <v>39.14</v>
      </c>
      <c r="M24" s="41">
        <v>36.69</v>
      </c>
      <c r="N24" s="41">
        <v>544.20000000000005</v>
      </c>
      <c r="O24" s="41">
        <v>0</v>
      </c>
      <c r="P24" s="41">
        <v>0.35</v>
      </c>
      <c r="Q24" s="41">
        <v>9.93</v>
      </c>
      <c r="R24" s="38"/>
      <c r="S24" s="38"/>
      <c r="T24" s="38"/>
      <c r="U24" s="38"/>
    </row>
    <row r="25" spans="1:21" customFormat="1">
      <c r="A25" s="40" t="s">
        <v>364</v>
      </c>
      <c r="B25" s="41">
        <v>6.64</v>
      </c>
      <c r="C25" s="41">
        <v>17.600000000000001</v>
      </c>
      <c r="D25" s="41">
        <v>10.96</v>
      </c>
      <c r="E25" s="41">
        <v>3.88</v>
      </c>
      <c r="F25" s="41">
        <v>57.29</v>
      </c>
      <c r="G25" s="41">
        <v>46.94</v>
      </c>
      <c r="H25" s="41">
        <v>19.399999999999999</v>
      </c>
      <c r="I25" s="41">
        <v>3.65</v>
      </c>
      <c r="J25" s="41">
        <v>0.51</v>
      </c>
      <c r="K25" s="41">
        <v>128.1</v>
      </c>
      <c r="L25" s="41">
        <v>38.32</v>
      </c>
      <c r="M25" s="41">
        <v>39.85</v>
      </c>
      <c r="N25" s="41">
        <v>198.3</v>
      </c>
      <c r="O25" s="41">
        <v>0</v>
      </c>
      <c r="P25" s="41">
        <v>0.34</v>
      </c>
      <c r="Q25" s="41">
        <v>9.92</v>
      </c>
      <c r="R25" s="38"/>
      <c r="S25" s="38"/>
      <c r="T25" s="38"/>
      <c r="U25" s="38"/>
    </row>
    <row r="26" spans="1:21" customFormat="1">
      <c r="A26" s="40" t="s">
        <v>365</v>
      </c>
      <c r="B26" s="41">
        <v>4.3899999999999997</v>
      </c>
      <c r="C26" s="41">
        <v>10.54</v>
      </c>
      <c r="D26" s="41">
        <v>6.3</v>
      </c>
      <c r="E26" s="41">
        <v>2.5099999999999998</v>
      </c>
      <c r="F26" s="41">
        <v>38.56</v>
      </c>
      <c r="G26" s="41">
        <v>54.14</v>
      </c>
      <c r="H26" s="41">
        <v>17.260000000000002</v>
      </c>
      <c r="I26" s="41">
        <v>3.91</v>
      </c>
      <c r="J26" s="41">
        <v>1.0900000000000001</v>
      </c>
      <c r="K26" s="41">
        <v>236.35</v>
      </c>
      <c r="L26" s="41">
        <v>34.49</v>
      </c>
      <c r="M26" s="41">
        <v>55.44</v>
      </c>
      <c r="N26" s="41">
        <v>48</v>
      </c>
      <c r="O26" s="41">
        <v>0</v>
      </c>
      <c r="P26" s="41">
        <v>0.33</v>
      </c>
      <c r="Q26" s="41">
        <v>9.93</v>
      </c>
      <c r="R26" s="38"/>
      <c r="S26" s="38"/>
      <c r="T26" s="38"/>
      <c r="U26" s="38"/>
    </row>
    <row r="27" spans="1:21" customFormat="1">
      <c r="A27" s="40" t="s">
        <v>366</v>
      </c>
      <c r="B27" s="41">
        <v>3.77</v>
      </c>
      <c r="C27" s="41">
        <v>8.02</v>
      </c>
      <c r="D27" s="41">
        <v>4.26</v>
      </c>
      <c r="E27" s="41">
        <v>4.08</v>
      </c>
      <c r="F27" s="41">
        <v>16.649999999999999</v>
      </c>
      <c r="G27" s="41">
        <v>59.41</v>
      </c>
      <c r="H27" s="41">
        <v>16.48</v>
      </c>
      <c r="I27" s="41">
        <v>3.55</v>
      </c>
      <c r="J27" s="41">
        <v>0.44</v>
      </c>
      <c r="K27" s="41">
        <v>254.3</v>
      </c>
      <c r="L27" s="41">
        <v>34.53</v>
      </c>
      <c r="M27" s="41">
        <v>58.17</v>
      </c>
      <c r="N27" s="41">
        <v>26.2</v>
      </c>
      <c r="O27" s="41">
        <v>0</v>
      </c>
      <c r="P27" s="41">
        <v>0.28999999999999998</v>
      </c>
      <c r="Q27" s="41">
        <v>9.92</v>
      </c>
      <c r="R27" s="38"/>
      <c r="S27" s="38"/>
      <c r="T27" s="38"/>
      <c r="U27" s="38"/>
    </row>
    <row r="28" spans="1:21" customFormat="1">
      <c r="A28" s="40" t="s">
        <v>367</v>
      </c>
      <c r="B28" s="41">
        <v>3.87</v>
      </c>
      <c r="C28" s="41">
        <v>7.84</v>
      </c>
      <c r="D28" s="41">
        <v>3.97</v>
      </c>
      <c r="E28" s="41">
        <v>4.58</v>
      </c>
      <c r="F28" s="41">
        <v>11.47</v>
      </c>
      <c r="G28" s="41">
        <v>57</v>
      </c>
      <c r="H28" s="41">
        <v>17.38</v>
      </c>
      <c r="I28" s="41">
        <v>3.55</v>
      </c>
      <c r="J28" s="41">
        <v>0.24</v>
      </c>
      <c r="K28" s="41">
        <v>235.99</v>
      </c>
      <c r="L28" s="41">
        <v>32.69</v>
      </c>
      <c r="M28" s="41">
        <v>63.31</v>
      </c>
      <c r="N28" s="41">
        <v>2.1</v>
      </c>
      <c r="O28" s="41">
        <v>0</v>
      </c>
      <c r="P28" s="41">
        <v>0.28000000000000003</v>
      </c>
      <c r="Q28" s="41">
        <v>9.92</v>
      </c>
      <c r="R28" s="38"/>
      <c r="S28" s="38"/>
      <c r="T28" s="38"/>
      <c r="U28" s="38"/>
    </row>
    <row r="29" spans="1:21" customFormat="1">
      <c r="A29" s="40" t="s">
        <v>368</v>
      </c>
      <c r="B29" s="41">
        <v>4</v>
      </c>
      <c r="C29" s="41">
        <v>7.73</v>
      </c>
      <c r="D29" s="41">
        <v>3.77</v>
      </c>
      <c r="E29" s="41">
        <v>4.74</v>
      </c>
      <c r="F29" s="41">
        <v>8.19</v>
      </c>
      <c r="G29" s="41">
        <v>51.44</v>
      </c>
      <c r="H29" s="41">
        <v>15.43</v>
      </c>
      <c r="I29" s="41">
        <v>3.72</v>
      </c>
      <c r="J29" s="41">
        <v>0.2</v>
      </c>
      <c r="K29" s="41">
        <v>203.33</v>
      </c>
      <c r="L29" s="41">
        <v>31.59</v>
      </c>
      <c r="M29" s="41">
        <v>63.9</v>
      </c>
      <c r="N29" s="41">
        <v>1.9</v>
      </c>
      <c r="O29" s="41">
        <v>0</v>
      </c>
      <c r="P29" s="41">
        <v>0.28999999999999998</v>
      </c>
      <c r="Q29" s="41">
        <v>9.92</v>
      </c>
      <c r="R29" s="38"/>
      <c r="S29" s="38"/>
      <c r="T29" s="38"/>
      <c r="U29" s="38"/>
    </row>
    <row r="30" spans="1:21" customFormat="1">
      <c r="A30" s="40" t="s">
        <v>369</v>
      </c>
      <c r="B30" s="41">
        <v>4.1500000000000004</v>
      </c>
      <c r="C30" s="41">
        <v>7.87</v>
      </c>
      <c r="D30" s="41">
        <v>3.73</v>
      </c>
      <c r="E30" s="41">
        <v>5</v>
      </c>
      <c r="F30" s="41">
        <v>6.53</v>
      </c>
      <c r="G30" s="41">
        <v>51.03</v>
      </c>
      <c r="H30" s="41">
        <v>17.59</v>
      </c>
      <c r="I30" s="41">
        <v>3.96</v>
      </c>
      <c r="J30" s="41">
        <v>0.28000000000000003</v>
      </c>
      <c r="K30" s="41">
        <v>229.96</v>
      </c>
      <c r="L30" s="41">
        <v>30.97</v>
      </c>
      <c r="M30" s="41">
        <v>66.66</v>
      </c>
      <c r="N30" s="41">
        <v>1.8</v>
      </c>
      <c r="O30" s="41">
        <v>0</v>
      </c>
      <c r="P30" s="41">
        <v>0.3</v>
      </c>
      <c r="Q30" s="41">
        <v>9.93</v>
      </c>
      <c r="R30" s="38"/>
      <c r="S30" s="38"/>
      <c r="T30" s="38"/>
      <c r="U30" s="38"/>
    </row>
    <row r="31" spans="1:21" customFormat="1">
      <c r="A31" s="40" t="s">
        <v>370</v>
      </c>
      <c r="B31" s="41">
        <v>4.2699999999999996</v>
      </c>
      <c r="C31" s="41">
        <v>7.86</v>
      </c>
      <c r="D31" s="41">
        <v>3.65</v>
      </c>
      <c r="E31" s="41">
        <v>5.28</v>
      </c>
      <c r="F31" s="41">
        <v>6.63</v>
      </c>
      <c r="G31" s="41">
        <v>58.02</v>
      </c>
      <c r="H31" s="41">
        <v>16.96</v>
      </c>
      <c r="I31" s="41">
        <v>4.1100000000000003</v>
      </c>
      <c r="J31" s="41">
        <v>0.17</v>
      </c>
      <c r="K31" s="41">
        <v>203.58</v>
      </c>
      <c r="L31" s="41">
        <v>30.29</v>
      </c>
      <c r="M31" s="41">
        <v>69.61</v>
      </c>
      <c r="N31" s="41">
        <v>1.8</v>
      </c>
      <c r="O31" s="41">
        <v>0</v>
      </c>
      <c r="P31" s="41">
        <v>0.31</v>
      </c>
      <c r="Q31" s="41">
        <v>9.93</v>
      </c>
      <c r="R31" s="38"/>
      <c r="S31" s="38"/>
      <c r="T31" s="38"/>
      <c r="U31" s="38"/>
    </row>
    <row r="32" spans="1:21" customFormat="1">
      <c r="A32" s="40" t="s">
        <v>371</v>
      </c>
      <c r="B32" s="41">
        <v>4.25</v>
      </c>
      <c r="C32" s="41">
        <v>8.42</v>
      </c>
      <c r="D32" s="41">
        <v>4.18</v>
      </c>
      <c r="E32" s="41">
        <v>4.9400000000000004</v>
      </c>
      <c r="F32" s="41">
        <v>13.29</v>
      </c>
      <c r="G32" s="41">
        <v>54.51</v>
      </c>
      <c r="H32" s="41">
        <v>14.26</v>
      </c>
      <c r="I32" s="41">
        <v>4.1500000000000004</v>
      </c>
      <c r="J32" s="41">
        <v>0.14000000000000001</v>
      </c>
      <c r="K32" s="41">
        <v>212.13</v>
      </c>
      <c r="L32" s="41">
        <v>29.66</v>
      </c>
      <c r="M32" s="41">
        <v>72.92</v>
      </c>
      <c r="N32" s="41">
        <v>1.8</v>
      </c>
      <c r="O32" s="41">
        <v>0</v>
      </c>
      <c r="P32" s="41">
        <v>0.37</v>
      </c>
      <c r="Q32" s="41">
        <v>9.93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3.77</v>
      </c>
      <c r="C34" s="18">
        <f t="shared" si="0"/>
        <v>7.05</v>
      </c>
      <c r="D34" s="18">
        <f t="shared" si="0"/>
        <v>2.48</v>
      </c>
      <c r="E34" s="18">
        <f t="shared" si="0"/>
        <v>2.5099999999999998</v>
      </c>
      <c r="F34" s="18">
        <f t="shared" si="0"/>
        <v>3.26</v>
      </c>
      <c r="G34" s="18">
        <f t="shared" si="0"/>
        <v>10.35</v>
      </c>
      <c r="H34" s="18">
        <f t="shared" si="0"/>
        <v>4.8</v>
      </c>
      <c r="I34" s="18">
        <f t="shared" si="0"/>
        <v>3.33</v>
      </c>
      <c r="J34" s="18">
        <f t="shared" si="0"/>
        <v>0.13</v>
      </c>
      <c r="K34" s="18">
        <f t="shared" si="0"/>
        <v>46.41</v>
      </c>
      <c r="L34" s="18">
        <f t="shared" si="0"/>
        <v>27.7</v>
      </c>
      <c r="M34" s="18">
        <f t="shared" si="0"/>
        <v>36.69</v>
      </c>
      <c r="N34" s="18">
        <f t="shared" si="0"/>
        <v>1.8</v>
      </c>
      <c r="O34" s="18">
        <f t="shared" si="0"/>
        <v>0</v>
      </c>
      <c r="P34" s="18">
        <f t="shared" si="0"/>
        <v>0.28000000000000003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6.64</v>
      </c>
      <c r="C35" s="3">
        <f t="shared" si="1"/>
        <v>17.600000000000001</v>
      </c>
      <c r="D35" s="3">
        <f t="shared" si="1"/>
        <v>11.07</v>
      </c>
      <c r="E35" s="3">
        <f t="shared" si="1"/>
        <v>5.88</v>
      </c>
      <c r="F35" s="3">
        <f t="shared" si="1"/>
        <v>57.29</v>
      </c>
      <c r="G35" s="3">
        <f t="shared" si="1"/>
        <v>59.41</v>
      </c>
      <c r="H35" s="3">
        <f t="shared" si="1"/>
        <v>19.399999999999999</v>
      </c>
      <c r="I35" s="3">
        <f t="shared" si="1"/>
        <v>4.7300000000000004</v>
      </c>
      <c r="J35" s="3">
        <f t="shared" si="1"/>
        <v>1.0900000000000001</v>
      </c>
      <c r="K35" s="3">
        <f t="shared" si="1"/>
        <v>356.48</v>
      </c>
      <c r="L35" s="3">
        <f t="shared" si="1"/>
        <v>39.14</v>
      </c>
      <c r="M35" s="3">
        <f t="shared" si="1"/>
        <v>84.38</v>
      </c>
      <c r="N35" s="3">
        <f t="shared" si="1"/>
        <v>837.6</v>
      </c>
      <c r="O35" s="3">
        <f t="shared" si="1"/>
        <v>0</v>
      </c>
      <c r="P35" s="3">
        <f t="shared" si="1"/>
        <v>0.41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4.859166666666666</v>
      </c>
      <c r="C36" s="18">
        <f t="shared" si="2"/>
        <v>9.8941666666666652</v>
      </c>
      <c r="D36" s="18">
        <f t="shared" si="2"/>
        <v>5.0737500000000004</v>
      </c>
      <c r="E36" s="18">
        <f t="shared" si="2"/>
        <v>4.5820833333333324</v>
      </c>
      <c r="F36" s="18">
        <f t="shared" si="2"/>
        <v>20.241250000000001</v>
      </c>
      <c r="G36" s="18">
        <f t="shared" si="2"/>
        <v>31.368333333333329</v>
      </c>
      <c r="H36" s="18">
        <f t="shared" si="2"/>
        <v>11.670416666666666</v>
      </c>
      <c r="I36" s="18">
        <f t="shared" si="2"/>
        <v>3.8516666666666666</v>
      </c>
      <c r="J36" s="18">
        <f t="shared" si="2"/>
        <v>0.42458333333333331</v>
      </c>
      <c r="K36" s="18">
        <f t="shared" si="2"/>
        <v>200.24291666666667</v>
      </c>
      <c r="L36" s="18">
        <f t="shared" si="2"/>
        <v>32.776250000000005</v>
      </c>
      <c r="M36" s="18">
        <f t="shared" si="2"/>
        <v>62.841666666666669</v>
      </c>
      <c r="N36" s="18">
        <f t="shared" si="2"/>
        <v>164.72083333333339</v>
      </c>
      <c r="O36" s="18">
        <f t="shared" si="2"/>
        <v>0</v>
      </c>
      <c r="P36" s="18">
        <f t="shared" si="2"/>
        <v>0.32208333333333333</v>
      </c>
      <c r="Q36" s="18">
        <f t="shared" si="2"/>
        <v>9.93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0.88482332634294247</v>
      </c>
      <c r="C37" s="18">
        <f t="shared" ref="C37:Q37" si="3">STDEV(C9:C32)</f>
        <v>3.5356604655334589</v>
      </c>
      <c r="D37" s="18">
        <f t="shared" si="3"/>
        <v>2.817628994770943</v>
      </c>
      <c r="E37" s="18">
        <f t="shared" si="3"/>
        <v>0.77624502612236712</v>
      </c>
      <c r="F37" s="18">
        <f t="shared" si="3"/>
        <v>19.192031931869877</v>
      </c>
      <c r="G37" s="18">
        <f t="shared" si="3"/>
        <v>19.244191820925607</v>
      </c>
      <c r="H37" s="18">
        <f t="shared" si="3"/>
        <v>4.6921613441686096</v>
      </c>
      <c r="I37" s="18">
        <f t="shared" si="3"/>
        <v>0.30715619403852479</v>
      </c>
      <c r="J37" s="18">
        <f t="shared" si="3"/>
        <v>0.26131738434769092</v>
      </c>
      <c r="K37" s="18">
        <f t="shared" si="3"/>
        <v>82.277533912820701</v>
      </c>
      <c r="L37" s="18">
        <f t="shared" si="3"/>
        <v>3.6676349594325552</v>
      </c>
      <c r="M37" s="18">
        <f t="shared" si="3"/>
        <v>13.759692130866609</v>
      </c>
      <c r="N37" s="18">
        <f t="shared" si="3"/>
        <v>245.23144521250629</v>
      </c>
      <c r="O37" s="18">
        <f t="shared" si="3"/>
        <v>0</v>
      </c>
      <c r="P37" s="18">
        <f t="shared" si="3"/>
        <v>2.9924421706906106E-2</v>
      </c>
      <c r="Q37" s="18">
        <f t="shared" si="3"/>
        <v>7.8018949760547728E-3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372</v>
      </c>
      <c r="B9" s="41">
        <v>4.4000000000000004</v>
      </c>
      <c r="C9" s="41">
        <v>10.08</v>
      </c>
      <c r="D9" s="41">
        <v>5.68</v>
      </c>
      <c r="E9" s="41">
        <v>4.03</v>
      </c>
      <c r="F9" s="41">
        <v>12.3</v>
      </c>
      <c r="G9" s="41">
        <v>44.51</v>
      </c>
      <c r="H9" s="41">
        <v>13.23</v>
      </c>
      <c r="I9" s="41">
        <v>4.4000000000000004</v>
      </c>
      <c r="J9" s="41">
        <v>0.16</v>
      </c>
      <c r="K9" s="41">
        <v>193.78</v>
      </c>
      <c r="L9" s="41">
        <v>29.22</v>
      </c>
      <c r="M9" s="41">
        <v>75.81</v>
      </c>
      <c r="N9" s="41">
        <v>1.9</v>
      </c>
      <c r="O9" s="41">
        <v>0</v>
      </c>
      <c r="P9" s="41">
        <v>0.36</v>
      </c>
      <c r="Q9" s="41">
        <v>9.94</v>
      </c>
      <c r="R9" s="38"/>
      <c r="S9" s="38"/>
      <c r="T9" s="38"/>
      <c r="U9" s="38"/>
    </row>
    <row r="10" spans="1:21" customFormat="1">
      <c r="A10" s="40" t="s">
        <v>373</v>
      </c>
      <c r="B10" s="41">
        <v>4.6100000000000003</v>
      </c>
      <c r="C10" s="41">
        <v>10.18</v>
      </c>
      <c r="D10" s="41">
        <v>5.75</v>
      </c>
      <c r="E10" s="41">
        <v>3.95</v>
      </c>
      <c r="F10" s="41">
        <v>9.44</v>
      </c>
      <c r="G10" s="41">
        <v>49.7</v>
      </c>
      <c r="H10" s="41">
        <v>15.37</v>
      </c>
      <c r="I10" s="41">
        <v>4.6100000000000003</v>
      </c>
      <c r="J10" s="41">
        <v>0.18</v>
      </c>
      <c r="K10" s="41">
        <v>218.35</v>
      </c>
      <c r="L10" s="41">
        <v>29.24</v>
      </c>
      <c r="M10" s="41">
        <v>75.52</v>
      </c>
      <c r="N10" s="41">
        <v>2</v>
      </c>
      <c r="O10" s="41">
        <v>0</v>
      </c>
      <c r="P10" s="41">
        <v>0.38</v>
      </c>
      <c r="Q10" s="41">
        <v>9.93</v>
      </c>
      <c r="R10" s="38"/>
      <c r="S10" s="38"/>
      <c r="T10" s="38"/>
      <c r="U10" s="38"/>
    </row>
    <row r="11" spans="1:21" customFormat="1">
      <c r="A11" s="40" t="s">
        <v>374</v>
      </c>
      <c r="B11" s="41">
        <v>4.74</v>
      </c>
      <c r="C11" s="41">
        <v>9.14</v>
      </c>
      <c r="D11" s="41">
        <v>4.5</v>
      </c>
      <c r="E11" s="41">
        <v>4.43</v>
      </c>
      <c r="F11" s="41">
        <v>10.28</v>
      </c>
      <c r="G11" s="41">
        <v>46.86</v>
      </c>
      <c r="H11" s="41">
        <v>19.260000000000002</v>
      </c>
      <c r="I11" s="41">
        <v>4.68</v>
      </c>
      <c r="J11" s="41">
        <v>0.19</v>
      </c>
      <c r="K11" s="41">
        <v>206.14</v>
      </c>
      <c r="L11" s="41">
        <v>29.16</v>
      </c>
      <c r="M11" s="41">
        <v>78.86</v>
      </c>
      <c r="N11" s="41">
        <v>2</v>
      </c>
      <c r="O11" s="41">
        <v>0</v>
      </c>
      <c r="P11" s="41">
        <v>0.37</v>
      </c>
      <c r="Q11" s="41">
        <v>9.94</v>
      </c>
      <c r="R11" s="38"/>
      <c r="S11" s="38"/>
      <c r="T11" s="38"/>
      <c r="U11" s="38"/>
    </row>
    <row r="12" spans="1:21" customFormat="1">
      <c r="A12" s="40" t="s">
        <v>375</v>
      </c>
      <c r="B12" s="41">
        <v>5.14</v>
      </c>
      <c r="C12" s="41">
        <v>9.6999999999999993</v>
      </c>
      <c r="D12" s="41">
        <v>4.78</v>
      </c>
      <c r="E12" s="41">
        <v>4.75</v>
      </c>
      <c r="F12" s="41">
        <v>7.29</v>
      </c>
      <c r="G12" s="41">
        <v>47.16</v>
      </c>
      <c r="H12" s="41">
        <v>17.690000000000001</v>
      </c>
      <c r="I12" s="41">
        <v>4.87</v>
      </c>
      <c r="J12" s="41">
        <v>0.19</v>
      </c>
      <c r="K12" s="41">
        <v>186.56</v>
      </c>
      <c r="L12" s="41">
        <v>28.51</v>
      </c>
      <c r="M12" s="41">
        <v>81.459999999999994</v>
      </c>
      <c r="N12" s="41">
        <v>1.9</v>
      </c>
      <c r="O12" s="41">
        <v>0</v>
      </c>
      <c r="P12" s="41">
        <v>0.38</v>
      </c>
      <c r="Q12" s="41">
        <v>9.94</v>
      </c>
      <c r="R12" s="38"/>
      <c r="S12" s="38"/>
      <c r="T12" s="38"/>
      <c r="U12" s="38"/>
    </row>
    <row r="13" spans="1:21" customFormat="1">
      <c r="A13" s="40" t="s">
        <v>376</v>
      </c>
      <c r="B13" s="41">
        <v>5.31</v>
      </c>
      <c r="C13" s="41">
        <v>10.210000000000001</v>
      </c>
      <c r="D13" s="41">
        <v>4.93</v>
      </c>
      <c r="E13" s="41">
        <v>5.48</v>
      </c>
      <c r="F13" s="41">
        <v>2.72</v>
      </c>
      <c r="G13" s="41">
        <v>46.56</v>
      </c>
      <c r="H13" s="41">
        <v>15.9</v>
      </c>
      <c r="I13" s="41">
        <v>4.93</v>
      </c>
      <c r="J13" s="41">
        <v>0.22</v>
      </c>
      <c r="K13" s="41">
        <v>175.46</v>
      </c>
      <c r="L13" s="41">
        <v>28.44</v>
      </c>
      <c r="M13" s="41">
        <v>81.790000000000006</v>
      </c>
      <c r="N13" s="41">
        <v>1.9</v>
      </c>
      <c r="O13" s="41">
        <v>0</v>
      </c>
      <c r="P13" s="41">
        <v>0.34</v>
      </c>
      <c r="Q13" s="41">
        <v>9.93</v>
      </c>
      <c r="R13" s="38"/>
      <c r="S13" s="38"/>
      <c r="T13" s="38"/>
      <c r="U13" s="38"/>
    </row>
    <row r="14" spans="1:21" customFormat="1">
      <c r="A14" s="40" t="s">
        <v>377</v>
      </c>
      <c r="B14" s="41">
        <v>5.31</v>
      </c>
      <c r="C14" s="41">
        <v>9.6300000000000008</v>
      </c>
      <c r="D14" s="41">
        <v>4.33</v>
      </c>
      <c r="E14" s="41">
        <v>6.08</v>
      </c>
      <c r="F14" s="41">
        <v>3.05</v>
      </c>
      <c r="G14" s="41">
        <v>43.75</v>
      </c>
      <c r="H14" s="41">
        <v>14.36</v>
      </c>
      <c r="I14" s="41">
        <v>4.91</v>
      </c>
      <c r="J14" s="41">
        <v>0.19</v>
      </c>
      <c r="K14" s="41">
        <v>216.31</v>
      </c>
      <c r="L14" s="41">
        <v>28.37</v>
      </c>
      <c r="M14" s="41">
        <v>81.33</v>
      </c>
      <c r="N14" s="41">
        <v>22</v>
      </c>
      <c r="O14" s="41">
        <v>0</v>
      </c>
      <c r="P14" s="41">
        <v>0.35</v>
      </c>
      <c r="Q14" s="41">
        <v>9.94</v>
      </c>
      <c r="R14" s="38"/>
      <c r="S14" s="38"/>
      <c r="T14" s="38"/>
      <c r="U14" s="38"/>
    </row>
    <row r="15" spans="1:21" customFormat="1">
      <c r="A15" s="40" t="s">
        <v>378</v>
      </c>
      <c r="B15" s="41">
        <v>5.2</v>
      </c>
      <c r="C15" s="41">
        <v>9.15</v>
      </c>
      <c r="D15" s="41">
        <v>4.01</v>
      </c>
      <c r="E15" s="41">
        <v>6.19</v>
      </c>
      <c r="F15" s="41">
        <v>3.11</v>
      </c>
      <c r="G15" s="41">
        <v>40.97</v>
      </c>
      <c r="H15" s="41">
        <v>14.69</v>
      </c>
      <c r="I15" s="41">
        <v>4.82</v>
      </c>
      <c r="J15" s="41">
        <v>0.38</v>
      </c>
      <c r="K15" s="41">
        <v>250.66</v>
      </c>
      <c r="L15" s="41">
        <v>29.51</v>
      </c>
      <c r="M15" s="41">
        <v>78.95</v>
      </c>
      <c r="N15" s="41">
        <v>79.099999999999994</v>
      </c>
      <c r="O15" s="41">
        <v>0</v>
      </c>
      <c r="P15" s="41">
        <v>0.34</v>
      </c>
      <c r="Q15" s="41">
        <v>9.92</v>
      </c>
      <c r="R15" s="38"/>
      <c r="S15" s="38"/>
      <c r="T15" s="38"/>
      <c r="U15" s="38"/>
    </row>
    <row r="16" spans="1:21" customFormat="1">
      <c r="A16" s="40" t="s">
        <v>379</v>
      </c>
      <c r="B16" s="41">
        <v>4.8499999999999996</v>
      </c>
      <c r="C16" s="41">
        <v>8.61</v>
      </c>
      <c r="D16" s="41">
        <v>3.78</v>
      </c>
      <c r="E16" s="41">
        <v>6.37</v>
      </c>
      <c r="F16" s="41">
        <v>4.37</v>
      </c>
      <c r="G16" s="41">
        <v>42.96</v>
      </c>
      <c r="H16" s="41">
        <v>13.71</v>
      </c>
      <c r="I16" s="41">
        <v>4.8099999999999996</v>
      </c>
      <c r="J16" s="41">
        <v>0.74</v>
      </c>
      <c r="K16" s="41">
        <v>267.26</v>
      </c>
      <c r="L16" s="41">
        <v>31.29</v>
      </c>
      <c r="M16" s="41">
        <v>74.17</v>
      </c>
      <c r="N16" s="41">
        <v>188.1</v>
      </c>
      <c r="O16" s="41">
        <v>0</v>
      </c>
      <c r="P16" s="41">
        <v>0.34</v>
      </c>
      <c r="Q16" s="41">
        <v>9.93</v>
      </c>
      <c r="R16" s="38"/>
      <c r="S16" s="38"/>
      <c r="T16" s="38"/>
      <c r="U16" s="38"/>
    </row>
    <row r="17" spans="1:21" customFormat="1">
      <c r="A17" s="40" t="s">
        <v>380</v>
      </c>
      <c r="B17" s="41">
        <v>4.22</v>
      </c>
      <c r="C17" s="41">
        <v>7.91</v>
      </c>
      <c r="D17" s="41">
        <v>3.71</v>
      </c>
      <c r="E17" s="41">
        <v>6.07</v>
      </c>
      <c r="F17" s="41">
        <v>4.5599999999999996</v>
      </c>
      <c r="G17" s="41">
        <v>43.09</v>
      </c>
      <c r="H17" s="41">
        <v>19.93</v>
      </c>
      <c r="I17" s="41">
        <v>4.67</v>
      </c>
      <c r="J17" s="41">
        <v>0.99</v>
      </c>
      <c r="K17" s="41">
        <v>269.47000000000003</v>
      </c>
      <c r="L17" s="41">
        <v>32.04</v>
      </c>
      <c r="M17" s="41">
        <v>68.11</v>
      </c>
      <c r="N17" s="41">
        <v>229.6</v>
      </c>
      <c r="O17" s="41">
        <v>0</v>
      </c>
      <c r="P17" s="41">
        <v>0.32</v>
      </c>
      <c r="Q17" s="41">
        <v>9.93</v>
      </c>
      <c r="R17" s="38"/>
      <c r="S17" s="38"/>
      <c r="T17" s="38"/>
      <c r="U17" s="38"/>
    </row>
    <row r="18" spans="1:21" customFormat="1">
      <c r="A18" s="40" t="s">
        <v>381</v>
      </c>
      <c r="B18" s="41">
        <v>4.08</v>
      </c>
      <c r="C18" s="41">
        <v>7.92</v>
      </c>
      <c r="D18" s="41">
        <v>3.85</v>
      </c>
      <c r="E18" s="41">
        <v>7.23</v>
      </c>
      <c r="F18" s="41">
        <v>11.06</v>
      </c>
      <c r="G18" s="41">
        <v>46.17</v>
      </c>
      <c r="H18" s="41">
        <v>19.46</v>
      </c>
      <c r="I18" s="41">
        <v>5.97</v>
      </c>
      <c r="J18" s="41">
        <v>0.89</v>
      </c>
      <c r="K18" s="41">
        <v>280.89</v>
      </c>
      <c r="L18" s="41">
        <v>33.74</v>
      </c>
      <c r="M18" s="41">
        <v>64.44</v>
      </c>
      <c r="N18" s="41">
        <v>242.1</v>
      </c>
      <c r="O18" s="41">
        <v>0</v>
      </c>
      <c r="P18" s="41">
        <v>0.46</v>
      </c>
      <c r="Q18" s="41">
        <v>9.93</v>
      </c>
      <c r="R18" s="38"/>
      <c r="S18" s="38"/>
      <c r="T18" s="38"/>
      <c r="U18" s="38"/>
    </row>
    <row r="19" spans="1:21" customFormat="1">
      <c r="A19" s="40" t="s">
        <v>382</v>
      </c>
      <c r="B19" s="41">
        <v>4.0599999999999996</v>
      </c>
      <c r="C19" s="41">
        <v>8.1999999999999993</v>
      </c>
      <c r="D19" s="41">
        <v>4.17</v>
      </c>
      <c r="E19" s="41">
        <v>8.07</v>
      </c>
      <c r="F19" s="41">
        <v>15.83</v>
      </c>
      <c r="G19" s="41">
        <v>60.57</v>
      </c>
      <c r="H19" s="41">
        <v>24.06</v>
      </c>
      <c r="I19" s="41">
        <v>6.97</v>
      </c>
      <c r="J19" s="41">
        <v>0.75</v>
      </c>
      <c r="K19" s="41">
        <v>265.25</v>
      </c>
      <c r="L19" s="41">
        <v>34.85</v>
      </c>
      <c r="M19" s="41">
        <v>60.41</v>
      </c>
      <c r="N19" s="41">
        <v>291</v>
      </c>
      <c r="O19" s="41">
        <v>0</v>
      </c>
      <c r="P19" s="41">
        <v>0.56999999999999995</v>
      </c>
      <c r="Q19" s="41">
        <v>9.92</v>
      </c>
      <c r="R19" s="38"/>
      <c r="S19" s="38"/>
      <c r="T19" s="38"/>
      <c r="U19" s="38"/>
    </row>
    <row r="20" spans="1:21" customFormat="1">
      <c r="A20" s="40" t="s">
        <v>383</v>
      </c>
      <c r="B20" s="41">
        <v>4</v>
      </c>
      <c r="C20" s="41">
        <v>9.49</v>
      </c>
      <c r="D20" s="41">
        <v>5.48</v>
      </c>
      <c r="E20" s="41">
        <v>8.85</v>
      </c>
      <c r="F20" s="41">
        <v>25.06</v>
      </c>
      <c r="G20" s="41">
        <v>70.73</v>
      </c>
      <c r="H20" s="41">
        <v>29.64</v>
      </c>
      <c r="I20" s="41">
        <v>8.35</v>
      </c>
      <c r="J20" s="41">
        <v>0.87</v>
      </c>
      <c r="K20" s="41">
        <v>290.67</v>
      </c>
      <c r="L20" s="41">
        <v>36.049999999999997</v>
      </c>
      <c r="M20" s="41">
        <v>57.5</v>
      </c>
      <c r="N20" s="41">
        <v>477.5</v>
      </c>
      <c r="O20" s="41">
        <v>0</v>
      </c>
      <c r="P20" s="41">
        <v>0.69</v>
      </c>
      <c r="Q20" s="41">
        <v>9.92</v>
      </c>
      <c r="R20" s="38"/>
      <c r="S20" s="38"/>
      <c r="T20" s="38"/>
      <c r="U20" s="38"/>
    </row>
    <row r="21" spans="1:21" customFormat="1">
      <c r="A21" s="40" t="s">
        <v>384</v>
      </c>
      <c r="B21" s="41">
        <v>3.89</v>
      </c>
      <c r="C21" s="41">
        <v>8.3800000000000008</v>
      </c>
      <c r="D21" s="41">
        <v>4.5</v>
      </c>
      <c r="E21" s="41">
        <v>6.24</v>
      </c>
      <c r="F21" s="41">
        <v>28.21</v>
      </c>
      <c r="G21" s="41">
        <v>80.27</v>
      </c>
      <c r="H21" s="41">
        <v>29.39</v>
      </c>
      <c r="I21" s="41">
        <v>8.27</v>
      </c>
      <c r="J21" s="41">
        <v>0.6</v>
      </c>
      <c r="K21" s="41">
        <v>286.60000000000002</v>
      </c>
      <c r="L21" s="41">
        <v>37.450000000000003</v>
      </c>
      <c r="M21" s="41">
        <v>50.12</v>
      </c>
      <c r="N21" s="41">
        <v>785</v>
      </c>
      <c r="O21" s="41">
        <v>0</v>
      </c>
      <c r="P21" s="41">
        <v>0.61</v>
      </c>
      <c r="Q21" s="41">
        <v>9.91</v>
      </c>
      <c r="R21" s="38"/>
      <c r="S21" s="38"/>
      <c r="T21" s="38"/>
      <c r="U21" s="38"/>
    </row>
    <row r="22" spans="1:21" customFormat="1">
      <c r="A22" s="40" t="s">
        <v>385</v>
      </c>
      <c r="B22" s="41">
        <v>3.81</v>
      </c>
      <c r="C22" s="41">
        <v>8.6999999999999993</v>
      </c>
      <c r="D22" s="41">
        <v>5.04</v>
      </c>
      <c r="E22" s="41">
        <v>6.39</v>
      </c>
      <c r="F22" s="41">
        <v>22.36</v>
      </c>
      <c r="G22" s="41">
        <v>79.680000000000007</v>
      </c>
      <c r="H22" s="41">
        <v>31.58</v>
      </c>
      <c r="I22" s="41">
        <v>7.75</v>
      </c>
      <c r="J22" s="41">
        <v>2.04</v>
      </c>
      <c r="K22" s="41">
        <v>91</v>
      </c>
      <c r="L22" s="41">
        <v>36.020000000000003</v>
      </c>
      <c r="M22" s="41">
        <v>58.83</v>
      </c>
      <c r="N22" s="41">
        <v>209</v>
      </c>
      <c r="O22" s="41">
        <v>0</v>
      </c>
      <c r="P22" s="41">
        <v>0.61</v>
      </c>
      <c r="Q22" s="41">
        <v>9.93</v>
      </c>
      <c r="R22" s="38"/>
      <c r="S22" s="38"/>
      <c r="T22" s="38"/>
      <c r="U22" s="38"/>
    </row>
    <row r="23" spans="1:21" customFormat="1">
      <c r="A23" s="40" t="s">
        <v>386</v>
      </c>
      <c r="B23" s="41">
        <v>3.63</v>
      </c>
      <c r="C23" s="41">
        <v>9.35</v>
      </c>
      <c r="D23" s="41">
        <v>5.74</v>
      </c>
      <c r="E23" s="41">
        <v>5.38</v>
      </c>
      <c r="F23" s="41">
        <v>8.58</v>
      </c>
      <c r="G23" s="41">
        <v>108.17</v>
      </c>
      <c r="H23" s="41">
        <v>30.92</v>
      </c>
      <c r="I23" s="41">
        <v>7.35</v>
      </c>
      <c r="J23" s="41">
        <v>0.33</v>
      </c>
      <c r="K23" s="41">
        <v>211.53</v>
      </c>
      <c r="L23" s="41">
        <v>36.25</v>
      </c>
      <c r="M23" s="41">
        <v>60.41</v>
      </c>
      <c r="N23" s="41">
        <v>414.4</v>
      </c>
      <c r="O23" s="41">
        <v>0</v>
      </c>
      <c r="P23" s="41">
        <v>0.54</v>
      </c>
      <c r="Q23" s="41">
        <v>9.92</v>
      </c>
      <c r="R23" s="38"/>
      <c r="S23" s="38"/>
      <c r="T23" s="38"/>
      <c r="U23" s="38"/>
    </row>
    <row r="24" spans="1:21" customFormat="1">
      <c r="A24" s="40" t="s">
        <v>387</v>
      </c>
      <c r="B24" s="41">
        <v>3.62</v>
      </c>
      <c r="C24" s="41">
        <v>8.59</v>
      </c>
      <c r="D24" s="41">
        <v>4.97</v>
      </c>
      <c r="E24" s="41">
        <v>5.37</v>
      </c>
      <c r="F24" s="41">
        <v>15.8</v>
      </c>
      <c r="G24" s="41">
        <v>102.02</v>
      </c>
      <c r="H24" s="41">
        <v>27.66</v>
      </c>
      <c r="I24" s="41">
        <v>6.38</v>
      </c>
      <c r="J24" s="41">
        <v>0.38</v>
      </c>
      <c r="K24" s="41">
        <v>265.77</v>
      </c>
      <c r="L24" s="41">
        <v>37.4</v>
      </c>
      <c r="M24" s="41">
        <v>49.61</v>
      </c>
      <c r="N24" s="41">
        <v>374.4</v>
      </c>
      <c r="O24" s="41">
        <v>0</v>
      </c>
      <c r="P24" s="41">
        <v>0.52</v>
      </c>
      <c r="Q24" s="41">
        <v>9.91</v>
      </c>
      <c r="R24" s="38"/>
      <c r="S24" s="38"/>
      <c r="T24" s="38"/>
      <c r="U24" s="38"/>
    </row>
    <row r="25" spans="1:21" customFormat="1">
      <c r="A25" s="40" t="s">
        <v>388</v>
      </c>
      <c r="B25" s="41">
        <v>3.58</v>
      </c>
      <c r="C25" s="41">
        <v>7.59</v>
      </c>
      <c r="D25" s="41">
        <v>4.03</v>
      </c>
      <c r="E25" s="41">
        <v>5.67</v>
      </c>
      <c r="F25" s="41">
        <v>21.79</v>
      </c>
      <c r="G25" s="41">
        <v>84.58</v>
      </c>
      <c r="H25" s="41">
        <v>26.33</v>
      </c>
      <c r="I25" s="41">
        <v>5.78</v>
      </c>
      <c r="J25" s="41">
        <v>0.4</v>
      </c>
      <c r="K25" s="41">
        <v>173.56</v>
      </c>
      <c r="L25" s="41">
        <v>35.78</v>
      </c>
      <c r="M25" s="41">
        <v>52.39</v>
      </c>
      <c r="N25" s="41">
        <v>147</v>
      </c>
      <c r="O25" s="41">
        <v>0</v>
      </c>
      <c r="P25" s="41">
        <v>0.47</v>
      </c>
      <c r="Q25" s="41">
        <v>9.91</v>
      </c>
      <c r="R25" s="38"/>
      <c r="S25" s="38"/>
      <c r="T25" s="38"/>
      <c r="U25" s="38"/>
    </row>
    <row r="26" spans="1:21" customFormat="1">
      <c r="A26" s="40" t="s">
        <v>389</v>
      </c>
      <c r="B26" s="41">
        <v>4.3</v>
      </c>
      <c r="C26" s="41">
        <v>10.19</v>
      </c>
      <c r="D26" s="41">
        <v>5.89</v>
      </c>
      <c r="E26" s="41">
        <v>5.96</v>
      </c>
      <c r="F26" s="41">
        <v>12.63</v>
      </c>
      <c r="G26" s="41">
        <v>74</v>
      </c>
      <c r="H26" s="41">
        <v>25.72</v>
      </c>
      <c r="I26" s="41">
        <v>5.27</v>
      </c>
      <c r="J26" s="41">
        <v>0.73</v>
      </c>
      <c r="K26" s="41">
        <v>62.89</v>
      </c>
      <c r="L26" s="41">
        <v>34.54</v>
      </c>
      <c r="M26" s="41">
        <v>54.6</v>
      </c>
      <c r="N26" s="41">
        <v>33.6</v>
      </c>
      <c r="O26" s="41">
        <v>0</v>
      </c>
      <c r="P26" s="41">
        <v>0.49</v>
      </c>
      <c r="Q26" s="41">
        <v>9.91</v>
      </c>
      <c r="R26" s="38"/>
      <c r="S26" s="38"/>
      <c r="T26" s="38"/>
      <c r="U26" s="38"/>
    </row>
    <row r="27" spans="1:21" customFormat="1">
      <c r="A27" s="40" t="s">
        <v>390</v>
      </c>
      <c r="B27" s="41">
        <v>4.21</v>
      </c>
      <c r="C27" s="41">
        <v>10.06</v>
      </c>
      <c r="D27" s="41">
        <v>5.85</v>
      </c>
      <c r="E27" s="41">
        <v>3.92</v>
      </c>
      <c r="F27" s="41">
        <v>13.61</v>
      </c>
      <c r="G27" s="41">
        <v>65.94</v>
      </c>
      <c r="H27" s="41">
        <v>24.07</v>
      </c>
      <c r="I27" s="41">
        <v>5.18</v>
      </c>
      <c r="J27" s="41">
        <v>0.27</v>
      </c>
      <c r="K27" s="41">
        <v>250.24</v>
      </c>
      <c r="L27" s="41">
        <v>32.24</v>
      </c>
      <c r="M27" s="41">
        <v>61.26</v>
      </c>
      <c r="N27" s="41">
        <v>13.8</v>
      </c>
      <c r="O27" s="41">
        <v>0</v>
      </c>
      <c r="P27" s="41">
        <v>0.52</v>
      </c>
      <c r="Q27" s="41">
        <v>9.93</v>
      </c>
      <c r="R27" s="38"/>
      <c r="S27" s="38"/>
      <c r="T27" s="38"/>
      <c r="U27" s="38"/>
    </row>
    <row r="28" spans="1:21" customFormat="1">
      <c r="A28" s="40" t="s">
        <v>391</v>
      </c>
      <c r="B28" s="41">
        <v>3.92</v>
      </c>
      <c r="C28" s="41">
        <v>8.51</v>
      </c>
      <c r="D28" s="41">
        <v>4.66</v>
      </c>
      <c r="E28" s="41">
        <v>3.53</v>
      </c>
      <c r="F28" s="41">
        <v>18.29</v>
      </c>
      <c r="G28" s="41">
        <v>70.349999999999994</v>
      </c>
      <c r="H28" s="41">
        <v>21.55</v>
      </c>
      <c r="I28" s="41">
        <v>5.46</v>
      </c>
      <c r="J28" s="41">
        <v>0.18</v>
      </c>
      <c r="K28" s="41">
        <v>235.25</v>
      </c>
      <c r="L28" s="41">
        <v>30.76</v>
      </c>
      <c r="M28" s="41">
        <v>65.819999999999993</v>
      </c>
      <c r="N28" s="41">
        <v>2.1</v>
      </c>
      <c r="O28" s="41">
        <v>0</v>
      </c>
      <c r="P28" s="41">
        <v>0.51</v>
      </c>
      <c r="Q28" s="41">
        <v>9.94</v>
      </c>
      <c r="R28" s="38"/>
      <c r="S28" s="38"/>
      <c r="T28" s="38"/>
      <c r="U28" s="38"/>
    </row>
    <row r="29" spans="1:21" customFormat="1">
      <c r="A29" s="40" t="s">
        <v>392</v>
      </c>
      <c r="B29" s="41">
        <v>3.94</v>
      </c>
      <c r="C29" s="41">
        <v>8.98</v>
      </c>
      <c r="D29" s="41">
        <v>5.15</v>
      </c>
      <c r="E29" s="41">
        <v>2.56</v>
      </c>
      <c r="F29" s="41">
        <v>19.64</v>
      </c>
      <c r="G29" s="41">
        <v>67.72</v>
      </c>
      <c r="H29" s="41">
        <v>21.5</v>
      </c>
      <c r="I29" s="41">
        <v>5.74</v>
      </c>
      <c r="J29" s="41">
        <v>0.16</v>
      </c>
      <c r="K29" s="41">
        <v>217.19</v>
      </c>
      <c r="L29" s="41">
        <v>30.08</v>
      </c>
      <c r="M29" s="41">
        <v>71.12</v>
      </c>
      <c r="N29" s="41">
        <v>1.7</v>
      </c>
      <c r="O29" s="41">
        <v>0</v>
      </c>
      <c r="P29" s="41">
        <v>0.52</v>
      </c>
      <c r="Q29" s="41">
        <v>9.93</v>
      </c>
      <c r="R29" s="38"/>
      <c r="S29" s="38"/>
      <c r="T29" s="38"/>
      <c r="U29" s="38"/>
    </row>
    <row r="30" spans="1:21" customFormat="1">
      <c r="A30" s="40" t="s">
        <v>393</v>
      </c>
      <c r="B30" s="41">
        <v>3.85</v>
      </c>
      <c r="C30" s="41">
        <v>8.41</v>
      </c>
      <c r="D30" s="41">
        <v>4.5999999999999996</v>
      </c>
      <c r="E30" s="41">
        <v>2.4</v>
      </c>
      <c r="F30" s="41">
        <v>18.2</v>
      </c>
      <c r="G30" s="41">
        <v>63.17</v>
      </c>
      <c r="H30" s="41">
        <v>23.39</v>
      </c>
      <c r="I30" s="41">
        <v>6.28</v>
      </c>
      <c r="J30" s="41">
        <v>0.15</v>
      </c>
      <c r="K30" s="41">
        <v>210.63</v>
      </c>
      <c r="L30" s="41">
        <v>29.91</v>
      </c>
      <c r="M30" s="41">
        <v>71.349999999999994</v>
      </c>
      <c r="N30" s="41">
        <v>1.8</v>
      </c>
      <c r="O30" s="41">
        <v>0</v>
      </c>
      <c r="P30" s="41">
        <v>0.54</v>
      </c>
      <c r="Q30" s="41">
        <v>9.93</v>
      </c>
      <c r="R30" s="38"/>
      <c r="S30" s="38"/>
      <c r="T30" s="38"/>
      <c r="U30" s="38"/>
    </row>
    <row r="31" spans="1:21" customFormat="1">
      <c r="A31" s="40" t="s">
        <v>394</v>
      </c>
      <c r="B31" s="41">
        <v>3.98</v>
      </c>
      <c r="C31" s="41">
        <v>7.92</v>
      </c>
      <c r="D31" s="41">
        <v>3.99</v>
      </c>
      <c r="E31" s="41">
        <v>2.61</v>
      </c>
      <c r="F31" s="41">
        <v>15.86</v>
      </c>
      <c r="G31" s="41">
        <v>62.68</v>
      </c>
      <c r="H31" s="41">
        <v>22.92</v>
      </c>
      <c r="I31" s="41">
        <v>5.61</v>
      </c>
      <c r="J31" s="41">
        <v>0.23</v>
      </c>
      <c r="K31" s="41">
        <v>238.66</v>
      </c>
      <c r="L31" s="41">
        <v>29.66</v>
      </c>
      <c r="M31" s="41">
        <v>73.62</v>
      </c>
      <c r="N31" s="41">
        <v>2</v>
      </c>
      <c r="O31" s="41">
        <v>0</v>
      </c>
      <c r="P31" s="41">
        <v>0.5</v>
      </c>
      <c r="Q31" s="41">
        <v>9.92</v>
      </c>
      <c r="R31" s="38"/>
      <c r="S31" s="38"/>
      <c r="T31" s="38"/>
      <c r="U31" s="38"/>
    </row>
    <row r="32" spans="1:21" customFormat="1">
      <c r="A32" s="40" t="s">
        <v>395</v>
      </c>
      <c r="B32" s="41">
        <v>4.24</v>
      </c>
      <c r="C32" s="41">
        <v>8.56</v>
      </c>
      <c r="D32" s="41">
        <v>4.32</v>
      </c>
      <c r="E32" s="41">
        <v>3.27</v>
      </c>
      <c r="F32" s="41">
        <v>14.6</v>
      </c>
      <c r="G32" s="41">
        <v>58.91</v>
      </c>
      <c r="H32" s="41">
        <v>19.53</v>
      </c>
      <c r="I32" s="41">
        <v>5.61</v>
      </c>
      <c r="J32" s="41">
        <v>0.19</v>
      </c>
      <c r="K32" s="41">
        <v>177.46</v>
      </c>
      <c r="L32" s="41">
        <v>29.33</v>
      </c>
      <c r="M32" s="41">
        <v>74.13</v>
      </c>
      <c r="N32" s="41">
        <v>1.8</v>
      </c>
      <c r="O32" s="41">
        <v>0</v>
      </c>
      <c r="P32" s="41">
        <v>0.51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3.58</v>
      </c>
      <c r="C34" s="18">
        <f t="shared" si="0"/>
        <v>7.59</v>
      </c>
      <c r="D34" s="18">
        <f t="shared" si="0"/>
        <v>3.71</v>
      </c>
      <c r="E34" s="18">
        <f t="shared" si="0"/>
        <v>2.4</v>
      </c>
      <c r="F34" s="18">
        <f t="shared" si="0"/>
        <v>2.72</v>
      </c>
      <c r="G34" s="18">
        <f t="shared" si="0"/>
        <v>40.97</v>
      </c>
      <c r="H34" s="18">
        <f t="shared" si="0"/>
        <v>13.23</v>
      </c>
      <c r="I34" s="18">
        <f t="shared" si="0"/>
        <v>4.4000000000000004</v>
      </c>
      <c r="J34" s="18">
        <f t="shared" si="0"/>
        <v>0.15</v>
      </c>
      <c r="K34" s="18">
        <f t="shared" si="0"/>
        <v>62.89</v>
      </c>
      <c r="L34" s="18">
        <f t="shared" si="0"/>
        <v>28.37</v>
      </c>
      <c r="M34" s="18">
        <f t="shared" si="0"/>
        <v>49.61</v>
      </c>
      <c r="N34" s="18">
        <f t="shared" si="0"/>
        <v>1.7</v>
      </c>
      <c r="O34" s="18">
        <f t="shared" si="0"/>
        <v>0</v>
      </c>
      <c r="P34" s="18">
        <f t="shared" si="0"/>
        <v>0.32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5.31</v>
      </c>
      <c r="C35" s="3">
        <f t="shared" si="1"/>
        <v>10.210000000000001</v>
      </c>
      <c r="D35" s="3">
        <f t="shared" si="1"/>
        <v>5.89</v>
      </c>
      <c r="E35" s="3">
        <f t="shared" si="1"/>
        <v>8.85</v>
      </c>
      <c r="F35" s="3">
        <f t="shared" si="1"/>
        <v>28.21</v>
      </c>
      <c r="G35" s="3">
        <f t="shared" si="1"/>
        <v>108.17</v>
      </c>
      <c r="H35" s="3">
        <f t="shared" si="1"/>
        <v>31.58</v>
      </c>
      <c r="I35" s="3">
        <f t="shared" si="1"/>
        <v>8.35</v>
      </c>
      <c r="J35" s="3">
        <f t="shared" si="1"/>
        <v>2.04</v>
      </c>
      <c r="K35" s="3">
        <f t="shared" si="1"/>
        <v>290.67</v>
      </c>
      <c r="L35" s="3">
        <f t="shared" si="1"/>
        <v>37.450000000000003</v>
      </c>
      <c r="M35" s="3">
        <f t="shared" si="1"/>
        <v>81.790000000000006</v>
      </c>
      <c r="N35" s="3">
        <f t="shared" si="1"/>
        <v>785</v>
      </c>
      <c r="O35" s="3">
        <f t="shared" si="1"/>
        <v>0</v>
      </c>
      <c r="P35" s="3">
        <f t="shared" si="1"/>
        <v>0.69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4.2870833333333325</v>
      </c>
      <c r="C36" s="18">
        <f t="shared" si="2"/>
        <v>8.9774999999999991</v>
      </c>
      <c r="D36" s="18">
        <f t="shared" si="2"/>
        <v>4.7379166666666661</v>
      </c>
      <c r="E36" s="18">
        <f t="shared" si="2"/>
        <v>5.2</v>
      </c>
      <c r="F36" s="18">
        <f t="shared" si="2"/>
        <v>13.276666666666669</v>
      </c>
      <c r="G36" s="18">
        <f t="shared" si="2"/>
        <v>62.521666666666675</v>
      </c>
      <c r="H36" s="18">
        <f t="shared" si="2"/>
        <v>21.744166666666668</v>
      </c>
      <c r="I36" s="18">
        <f t="shared" si="2"/>
        <v>5.777916666666667</v>
      </c>
      <c r="J36" s="18">
        <f t="shared" si="2"/>
        <v>0.47541666666666677</v>
      </c>
      <c r="K36" s="18">
        <f t="shared" si="2"/>
        <v>218.39916666666667</v>
      </c>
      <c r="L36" s="18">
        <f t="shared" si="2"/>
        <v>32.076666666666661</v>
      </c>
      <c r="M36" s="18">
        <f t="shared" si="2"/>
        <v>67.567083333333315</v>
      </c>
      <c r="N36" s="18">
        <f t="shared" si="2"/>
        <v>146.90416666666667</v>
      </c>
      <c r="O36" s="18">
        <f t="shared" si="2"/>
        <v>0</v>
      </c>
      <c r="P36" s="18">
        <f t="shared" si="2"/>
        <v>0.46833333333333321</v>
      </c>
      <c r="Q36" s="18">
        <f t="shared" si="2"/>
        <v>9.9270833333333339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0.54313485527491034</v>
      </c>
      <c r="C37" s="18">
        <f t="shared" ref="C37:Q37" si="3">STDEV(C9:C32)</f>
        <v>0.82271686714097514</v>
      </c>
      <c r="D37" s="18">
        <f t="shared" si="3"/>
        <v>0.7083107839548094</v>
      </c>
      <c r="E37" s="18">
        <f t="shared" si="3"/>
        <v>1.69901761896845</v>
      </c>
      <c r="F37" s="18">
        <f t="shared" si="3"/>
        <v>7.1951225427922356</v>
      </c>
      <c r="G37" s="18">
        <f t="shared" si="3"/>
        <v>18.795955084438514</v>
      </c>
      <c r="H37" s="18">
        <f t="shared" si="3"/>
        <v>5.6747602260525758</v>
      </c>
      <c r="I37" s="18">
        <f t="shared" si="3"/>
        <v>1.1773255586346894</v>
      </c>
      <c r="J37" s="18">
        <f t="shared" si="3"/>
        <v>0.43157929561761538</v>
      </c>
      <c r="K37" s="18">
        <f t="shared" si="3"/>
        <v>56.641771029535384</v>
      </c>
      <c r="L37" s="18">
        <f t="shared" si="3"/>
        <v>3.1735259045211319</v>
      </c>
      <c r="M37" s="18">
        <f t="shared" si="3"/>
        <v>10.387370458216727</v>
      </c>
      <c r="N37" s="18">
        <f t="shared" si="3"/>
        <v>202.48155574438542</v>
      </c>
      <c r="O37" s="18">
        <f t="shared" si="3"/>
        <v>0</v>
      </c>
      <c r="P37" s="18">
        <f t="shared" si="3"/>
        <v>0.10327955589886531</v>
      </c>
      <c r="Q37" s="18">
        <f t="shared" si="3"/>
        <v>1.0417028979206048E-2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396</v>
      </c>
      <c r="B9" s="41">
        <v>4.28</v>
      </c>
      <c r="C9" s="41">
        <v>9.4700000000000006</v>
      </c>
      <c r="D9" s="41">
        <v>5.32</v>
      </c>
      <c r="E9" s="41">
        <v>3.93</v>
      </c>
      <c r="F9" s="41">
        <v>5.05</v>
      </c>
      <c r="G9" s="41">
        <v>51.96</v>
      </c>
      <c r="H9" s="41">
        <v>16.13</v>
      </c>
      <c r="I9" s="41">
        <v>5.51</v>
      </c>
      <c r="J9" s="41">
        <v>0.23</v>
      </c>
      <c r="K9" s="41">
        <v>168.19</v>
      </c>
      <c r="L9" s="41">
        <v>29.45</v>
      </c>
      <c r="M9" s="41">
        <v>76.77</v>
      </c>
      <c r="N9" s="41">
        <v>2</v>
      </c>
      <c r="O9" s="41">
        <v>0</v>
      </c>
      <c r="P9" s="41">
        <v>0.45</v>
      </c>
      <c r="Q9" s="41">
        <v>9.92</v>
      </c>
      <c r="R9" s="38"/>
      <c r="S9" s="38"/>
      <c r="T9" s="38"/>
      <c r="U9" s="38"/>
    </row>
    <row r="10" spans="1:21" customFormat="1">
      <c r="A10" s="40" t="s">
        <v>397</v>
      </c>
      <c r="B10" s="41">
        <v>4.41</v>
      </c>
      <c r="C10" s="41">
        <v>8.76</v>
      </c>
      <c r="D10" s="41">
        <v>4.46</v>
      </c>
      <c r="E10" s="41">
        <v>4.3600000000000003</v>
      </c>
      <c r="F10" s="41">
        <v>3.23</v>
      </c>
      <c r="G10" s="41">
        <v>52.23</v>
      </c>
      <c r="H10" s="41">
        <v>15.49</v>
      </c>
      <c r="I10" s="41">
        <v>5.21</v>
      </c>
      <c r="J10" s="41">
        <v>0.22</v>
      </c>
      <c r="K10" s="41">
        <v>205.03</v>
      </c>
      <c r="L10" s="41">
        <v>28.86</v>
      </c>
      <c r="M10" s="41">
        <v>79.849999999999994</v>
      </c>
      <c r="N10" s="41">
        <v>2</v>
      </c>
      <c r="O10" s="41">
        <v>0</v>
      </c>
      <c r="P10" s="41">
        <v>0.44</v>
      </c>
      <c r="Q10" s="41">
        <v>9.92</v>
      </c>
      <c r="R10" s="38"/>
      <c r="S10" s="38"/>
      <c r="T10" s="38"/>
      <c r="U10" s="38"/>
    </row>
    <row r="11" spans="1:21" customFormat="1">
      <c r="A11" s="40" t="s">
        <v>398</v>
      </c>
      <c r="B11" s="41">
        <v>4.51</v>
      </c>
      <c r="C11" s="41">
        <v>8.57</v>
      </c>
      <c r="D11" s="41">
        <v>4.09</v>
      </c>
      <c r="E11" s="41">
        <v>5.13</v>
      </c>
      <c r="F11" s="41">
        <v>3.68</v>
      </c>
      <c r="G11" s="41">
        <v>50.45</v>
      </c>
      <c r="H11" s="41">
        <v>18</v>
      </c>
      <c r="I11" s="41">
        <v>4.99</v>
      </c>
      <c r="J11" s="41">
        <v>0.2</v>
      </c>
      <c r="K11" s="41">
        <v>210.09</v>
      </c>
      <c r="L11" s="41">
        <v>28.61</v>
      </c>
      <c r="M11" s="41">
        <v>78.64</v>
      </c>
      <c r="N11" s="41">
        <v>1.9</v>
      </c>
      <c r="O11" s="41">
        <v>0</v>
      </c>
      <c r="P11" s="41">
        <v>0.43</v>
      </c>
      <c r="Q11" s="41">
        <v>9.92</v>
      </c>
      <c r="R11" s="38"/>
      <c r="S11" s="38"/>
      <c r="T11" s="38"/>
      <c r="U11" s="38"/>
    </row>
    <row r="12" spans="1:21" customFormat="1">
      <c r="A12" s="40" t="s">
        <v>399</v>
      </c>
      <c r="B12" s="41">
        <v>4.5999999999999996</v>
      </c>
      <c r="C12" s="41">
        <v>8.4600000000000009</v>
      </c>
      <c r="D12" s="41">
        <v>3.94</v>
      </c>
      <c r="E12" s="41">
        <v>5.26</v>
      </c>
      <c r="F12" s="41">
        <v>3.71</v>
      </c>
      <c r="G12" s="41">
        <v>43.87</v>
      </c>
      <c r="H12" s="41">
        <v>16.690000000000001</v>
      </c>
      <c r="I12" s="41">
        <v>4.71</v>
      </c>
      <c r="J12" s="41">
        <v>0.28000000000000003</v>
      </c>
      <c r="K12" s="41">
        <v>240.83</v>
      </c>
      <c r="L12" s="41">
        <v>28.75</v>
      </c>
      <c r="M12" s="41">
        <v>79.150000000000006</v>
      </c>
      <c r="N12" s="41">
        <v>2</v>
      </c>
      <c r="O12" s="41">
        <v>0</v>
      </c>
      <c r="P12" s="41">
        <v>0.42</v>
      </c>
      <c r="Q12" s="41">
        <v>9.92</v>
      </c>
      <c r="R12" s="38"/>
      <c r="S12" s="38"/>
      <c r="T12" s="38"/>
      <c r="U12" s="38"/>
    </row>
    <row r="13" spans="1:21" customFormat="1">
      <c r="A13" s="40" t="s">
        <v>400</v>
      </c>
      <c r="B13" s="41">
        <v>4.5199999999999996</v>
      </c>
      <c r="C13" s="41">
        <v>8.1</v>
      </c>
      <c r="D13" s="41">
        <v>3.6</v>
      </c>
      <c r="E13" s="41">
        <v>5.22</v>
      </c>
      <c r="F13" s="41">
        <v>8.9600000000000009</v>
      </c>
      <c r="G13" s="41">
        <v>37.46</v>
      </c>
      <c r="H13" s="41">
        <v>14.15</v>
      </c>
      <c r="I13" s="41">
        <v>4.54</v>
      </c>
      <c r="J13" s="41">
        <v>0.27</v>
      </c>
      <c r="K13" s="41">
        <v>240.38</v>
      </c>
      <c r="L13" s="41">
        <v>28.85</v>
      </c>
      <c r="M13" s="41">
        <v>77.14</v>
      </c>
      <c r="N13" s="41">
        <v>2.1</v>
      </c>
      <c r="O13" s="41">
        <v>0</v>
      </c>
      <c r="P13" s="41">
        <v>0.41</v>
      </c>
      <c r="Q13" s="41">
        <v>9.93</v>
      </c>
      <c r="R13" s="38"/>
      <c r="S13" s="38"/>
      <c r="T13" s="38"/>
      <c r="U13" s="38"/>
    </row>
    <row r="14" spans="1:21" customFormat="1">
      <c r="A14" s="40" t="s">
        <v>401</v>
      </c>
      <c r="B14" s="41">
        <v>4.57</v>
      </c>
      <c r="C14" s="41">
        <v>7.64</v>
      </c>
      <c r="D14" s="41">
        <v>3.08</v>
      </c>
      <c r="E14" s="41">
        <v>4.1900000000000004</v>
      </c>
      <c r="F14" s="41">
        <v>9.41</v>
      </c>
      <c r="G14" s="41">
        <v>33.76</v>
      </c>
      <c r="H14" s="41">
        <v>13.64</v>
      </c>
      <c r="I14" s="41">
        <v>4.1500000000000004</v>
      </c>
      <c r="J14" s="41">
        <v>0.16</v>
      </c>
      <c r="K14" s="41">
        <v>226.89</v>
      </c>
      <c r="L14" s="41">
        <v>28.35</v>
      </c>
      <c r="M14" s="41">
        <v>78.86</v>
      </c>
      <c r="N14" s="41">
        <v>15.9</v>
      </c>
      <c r="O14" s="41">
        <v>0</v>
      </c>
      <c r="P14" s="41">
        <v>0.42</v>
      </c>
      <c r="Q14" s="41">
        <v>9.93</v>
      </c>
      <c r="R14" s="38"/>
      <c r="S14" s="38"/>
      <c r="T14" s="38"/>
      <c r="U14" s="38"/>
    </row>
    <row r="15" spans="1:21" customFormat="1">
      <c r="A15" s="40" t="s">
        <v>402</v>
      </c>
      <c r="B15" s="41">
        <v>4.7699999999999996</v>
      </c>
      <c r="C15" s="41">
        <v>7.87</v>
      </c>
      <c r="D15" s="41">
        <v>3.13</v>
      </c>
      <c r="E15" s="41">
        <v>3.76</v>
      </c>
      <c r="F15" s="41">
        <v>8.73</v>
      </c>
      <c r="G15" s="41">
        <v>27.35</v>
      </c>
      <c r="H15" s="41">
        <v>12.24</v>
      </c>
      <c r="I15" s="41">
        <v>4.37</v>
      </c>
      <c r="J15" s="41">
        <v>0.21</v>
      </c>
      <c r="K15" s="41">
        <v>266.58999999999997</v>
      </c>
      <c r="L15" s="41">
        <v>28.88</v>
      </c>
      <c r="M15" s="41">
        <v>79.3</v>
      </c>
      <c r="N15" s="41">
        <v>64.2</v>
      </c>
      <c r="O15" s="41">
        <v>0</v>
      </c>
      <c r="P15" s="41">
        <v>0.42</v>
      </c>
      <c r="Q15" s="41">
        <v>9.94</v>
      </c>
      <c r="R15" s="38"/>
      <c r="S15" s="38"/>
      <c r="T15" s="38"/>
      <c r="U15" s="38"/>
    </row>
    <row r="16" spans="1:21" customFormat="1">
      <c r="A16" s="40" t="s">
        <v>403</v>
      </c>
      <c r="B16" s="41">
        <v>4.9400000000000004</v>
      </c>
      <c r="C16" s="41">
        <v>7.88</v>
      </c>
      <c r="D16" s="41">
        <v>2.94</v>
      </c>
      <c r="E16" s="41">
        <v>3.9</v>
      </c>
      <c r="F16" s="41">
        <v>9.18</v>
      </c>
      <c r="G16" s="41">
        <v>30.36</v>
      </c>
      <c r="H16" s="41">
        <v>9.91</v>
      </c>
      <c r="I16" s="41">
        <v>4.38</v>
      </c>
      <c r="J16" s="41">
        <v>0.27</v>
      </c>
      <c r="K16" s="41">
        <v>263.19</v>
      </c>
      <c r="L16" s="41">
        <v>30.46</v>
      </c>
      <c r="M16" s="41">
        <v>74.760000000000005</v>
      </c>
      <c r="N16" s="41">
        <v>138.19999999999999</v>
      </c>
      <c r="O16" s="41">
        <v>0</v>
      </c>
      <c r="P16" s="41">
        <v>0.42</v>
      </c>
      <c r="Q16" s="41">
        <v>9.93</v>
      </c>
      <c r="R16" s="38"/>
      <c r="S16" s="38"/>
      <c r="T16" s="38"/>
      <c r="U16" s="38"/>
    </row>
    <row r="17" spans="1:21" customFormat="1">
      <c r="A17" s="40" t="s">
        <v>404</v>
      </c>
      <c r="B17" s="41">
        <v>4.75</v>
      </c>
      <c r="C17" s="41">
        <v>7.77</v>
      </c>
      <c r="D17" s="41">
        <v>3.09</v>
      </c>
      <c r="E17" s="41">
        <v>3.9</v>
      </c>
      <c r="F17" s="41">
        <v>8.61</v>
      </c>
      <c r="G17" s="41">
        <v>34.99</v>
      </c>
      <c r="H17" s="41">
        <v>12.01</v>
      </c>
      <c r="I17" s="41">
        <v>4.55</v>
      </c>
      <c r="J17" s="41">
        <v>0.62</v>
      </c>
      <c r="K17" s="41">
        <v>278.49</v>
      </c>
      <c r="L17" s="41">
        <v>31.66</v>
      </c>
      <c r="M17" s="41">
        <v>67.87</v>
      </c>
      <c r="N17" s="41">
        <v>191</v>
      </c>
      <c r="O17" s="41">
        <v>0</v>
      </c>
      <c r="P17" s="41">
        <v>0.42</v>
      </c>
      <c r="Q17" s="41">
        <v>9.92</v>
      </c>
      <c r="R17" s="38"/>
      <c r="S17" s="38"/>
      <c r="T17" s="38"/>
      <c r="U17" s="38"/>
    </row>
    <row r="18" spans="1:21" customFormat="1">
      <c r="A18" s="40" t="s">
        <v>405</v>
      </c>
      <c r="B18" s="41">
        <v>4.43</v>
      </c>
      <c r="C18" s="41">
        <v>8.66</v>
      </c>
      <c r="D18" s="41">
        <v>4.57</v>
      </c>
      <c r="E18" s="41">
        <v>4.21</v>
      </c>
      <c r="F18" s="41">
        <v>9.4499999999999993</v>
      </c>
      <c r="G18" s="41">
        <v>32.08</v>
      </c>
      <c r="H18" s="41">
        <v>13.37</v>
      </c>
      <c r="I18" s="41">
        <v>4.49</v>
      </c>
      <c r="J18" s="41">
        <v>0.78</v>
      </c>
      <c r="K18" s="41">
        <v>271.38</v>
      </c>
      <c r="L18" s="41">
        <v>33.56</v>
      </c>
      <c r="M18" s="41">
        <v>64.58</v>
      </c>
      <c r="N18" s="41">
        <v>218.9</v>
      </c>
      <c r="O18" s="41">
        <v>0</v>
      </c>
      <c r="P18" s="41">
        <v>0.41</v>
      </c>
      <c r="Q18" s="41">
        <v>9.91</v>
      </c>
      <c r="R18" s="38"/>
      <c r="S18" s="38"/>
      <c r="T18" s="38"/>
      <c r="U18" s="38"/>
    </row>
    <row r="19" spans="1:21" customFormat="1">
      <c r="A19" s="40" t="s">
        <v>406</v>
      </c>
      <c r="B19" s="41">
        <v>3.74</v>
      </c>
      <c r="C19" s="41">
        <v>8.49</v>
      </c>
      <c r="D19" s="41">
        <v>4.79</v>
      </c>
      <c r="E19" s="41">
        <v>5.36</v>
      </c>
      <c r="F19" s="41">
        <v>6.94</v>
      </c>
      <c r="G19" s="41">
        <v>42.86</v>
      </c>
      <c r="H19" s="41">
        <v>14.77</v>
      </c>
      <c r="I19" s="41">
        <v>4.33</v>
      </c>
      <c r="J19" s="41">
        <v>0.85</v>
      </c>
      <c r="K19" s="41">
        <v>280.64</v>
      </c>
      <c r="L19" s="41">
        <v>35.159999999999997</v>
      </c>
      <c r="M19" s="41">
        <v>58.34</v>
      </c>
      <c r="N19" s="41">
        <v>274.3</v>
      </c>
      <c r="O19" s="41">
        <v>0</v>
      </c>
      <c r="P19" s="41">
        <v>0.37</v>
      </c>
      <c r="Q19" s="41">
        <v>9.91</v>
      </c>
      <c r="R19" s="38"/>
      <c r="S19" s="38"/>
      <c r="T19" s="38"/>
      <c r="U19" s="38"/>
    </row>
    <row r="20" spans="1:21" customFormat="1">
      <c r="A20" s="40" t="s">
        <v>407</v>
      </c>
      <c r="B20" s="41">
        <v>3.64</v>
      </c>
      <c r="C20" s="41">
        <v>7.66</v>
      </c>
      <c r="D20" s="41">
        <v>4.08</v>
      </c>
      <c r="E20" s="41">
        <v>5.26</v>
      </c>
      <c r="F20" s="41">
        <v>9.36</v>
      </c>
      <c r="G20" s="41">
        <v>41.39</v>
      </c>
      <c r="H20" s="41">
        <v>13.91</v>
      </c>
      <c r="I20" s="41">
        <v>4.13</v>
      </c>
      <c r="J20" s="41">
        <v>0.56000000000000005</v>
      </c>
      <c r="K20" s="41">
        <v>302.87</v>
      </c>
      <c r="L20" s="41">
        <v>35.96</v>
      </c>
      <c r="M20" s="41">
        <v>54.33</v>
      </c>
      <c r="N20" s="41">
        <v>396.7</v>
      </c>
      <c r="O20" s="41">
        <v>0</v>
      </c>
      <c r="P20" s="41">
        <v>0.37</v>
      </c>
      <c r="Q20" s="41">
        <v>9.92</v>
      </c>
      <c r="R20" s="38"/>
      <c r="S20" s="38"/>
      <c r="T20" s="38"/>
      <c r="U20" s="38"/>
    </row>
    <row r="21" spans="1:21" customFormat="1">
      <c r="A21" s="40" t="s">
        <v>408</v>
      </c>
      <c r="B21" s="41">
        <v>3.7</v>
      </c>
      <c r="C21" s="41">
        <v>7.4</v>
      </c>
      <c r="D21" s="41">
        <v>3.71</v>
      </c>
      <c r="E21" s="41">
        <v>5.6</v>
      </c>
      <c r="F21" s="41">
        <v>11.1</v>
      </c>
      <c r="G21" s="41">
        <v>41.7</v>
      </c>
      <c r="H21" s="41">
        <v>15.99</v>
      </c>
      <c r="I21" s="41">
        <v>4.01</v>
      </c>
      <c r="J21" s="41">
        <v>0.56000000000000005</v>
      </c>
      <c r="K21" s="41">
        <v>342.12</v>
      </c>
      <c r="L21" s="41">
        <v>37.119999999999997</v>
      </c>
      <c r="M21" s="41">
        <v>52.02</v>
      </c>
      <c r="N21" s="41">
        <v>794.8</v>
      </c>
      <c r="O21" s="41">
        <v>0</v>
      </c>
      <c r="P21" s="41">
        <v>0.38</v>
      </c>
      <c r="Q21" s="41">
        <v>9.9</v>
      </c>
      <c r="R21" s="38"/>
      <c r="S21" s="38"/>
      <c r="T21" s="38"/>
      <c r="U21" s="38"/>
    </row>
    <row r="22" spans="1:21" customFormat="1">
      <c r="A22" s="40" t="s">
        <v>409</v>
      </c>
      <c r="B22" s="41">
        <v>3.67</v>
      </c>
      <c r="C22" s="41">
        <v>7.02</v>
      </c>
      <c r="D22" s="41">
        <v>3.34</v>
      </c>
      <c r="E22" s="41">
        <v>5.81</v>
      </c>
      <c r="F22" s="41">
        <v>9.58</v>
      </c>
      <c r="G22" s="41">
        <v>40.96</v>
      </c>
      <c r="H22" s="41">
        <v>16.22</v>
      </c>
      <c r="I22" s="41">
        <v>3.92</v>
      </c>
      <c r="J22" s="41">
        <v>0.59</v>
      </c>
      <c r="K22" s="41">
        <v>265.25</v>
      </c>
      <c r="L22" s="41">
        <v>37.58</v>
      </c>
      <c r="M22" s="41">
        <v>46.2</v>
      </c>
      <c r="N22" s="41">
        <v>774.1</v>
      </c>
      <c r="O22" s="41">
        <v>0</v>
      </c>
      <c r="P22" s="41">
        <v>0.38</v>
      </c>
      <c r="Q22" s="41">
        <v>9.91</v>
      </c>
      <c r="R22" s="38"/>
      <c r="S22" s="38"/>
      <c r="T22" s="38"/>
      <c r="U22" s="38"/>
    </row>
    <row r="23" spans="1:21" customFormat="1">
      <c r="A23" s="40" t="s">
        <v>410</v>
      </c>
      <c r="B23" s="41">
        <v>3.89</v>
      </c>
      <c r="C23" s="41">
        <v>7.53</v>
      </c>
      <c r="D23" s="41">
        <v>3.63</v>
      </c>
      <c r="E23" s="41">
        <v>5.5</v>
      </c>
      <c r="F23" s="41">
        <v>17.28</v>
      </c>
      <c r="G23" s="41">
        <v>38.5</v>
      </c>
      <c r="H23" s="41">
        <v>18.36</v>
      </c>
      <c r="I23" s="41">
        <v>3.81</v>
      </c>
      <c r="J23" s="41">
        <v>0.59</v>
      </c>
      <c r="K23" s="41">
        <v>269.73</v>
      </c>
      <c r="L23" s="41">
        <v>37.71</v>
      </c>
      <c r="M23" s="41">
        <v>45.71</v>
      </c>
      <c r="N23" s="41">
        <v>427.8</v>
      </c>
      <c r="O23" s="41">
        <v>0</v>
      </c>
      <c r="P23" s="41">
        <v>0.44</v>
      </c>
      <c r="Q23" s="41">
        <v>9.91</v>
      </c>
      <c r="R23" s="38"/>
      <c r="S23" s="38"/>
      <c r="T23" s="38"/>
      <c r="U23" s="38"/>
    </row>
    <row r="24" spans="1:21" customFormat="1">
      <c r="A24" s="40" t="s">
        <v>411</v>
      </c>
      <c r="B24" s="41">
        <v>3.81</v>
      </c>
      <c r="C24" s="41">
        <v>6.65</v>
      </c>
      <c r="D24" s="41">
        <v>2.84</v>
      </c>
      <c r="E24" s="41">
        <v>5.3</v>
      </c>
      <c r="F24" s="41">
        <v>21.06</v>
      </c>
      <c r="G24" s="41">
        <v>48.14</v>
      </c>
      <c r="H24" s="41">
        <v>18.29</v>
      </c>
      <c r="I24" s="41">
        <v>3.87</v>
      </c>
      <c r="J24" s="41">
        <v>0.81</v>
      </c>
      <c r="K24" s="41">
        <v>272.85000000000002</v>
      </c>
      <c r="L24" s="41">
        <v>37.58</v>
      </c>
      <c r="M24" s="41">
        <v>45.63</v>
      </c>
      <c r="N24" s="41">
        <v>491.9</v>
      </c>
      <c r="O24" s="41">
        <v>0</v>
      </c>
      <c r="P24" s="41">
        <v>0.45</v>
      </c>
      <c r="Q24" s="41">
        <v>9.91</v>
      </c>
      <c r="R24" s="38"/>
      <c r="S24" s="38"/>
      <c r="T24" s="38"/>
      <c r="U24" s="38"/>
    </row>
    <row r="25" spans="1:21" customFormat="1">
      <c r="A25" s="40" t="s">
        <v>412</v>
      </c>
      <c r="B25" s="41">
        <v>3.94</v>
      </c>
      <c r="C25" s="41">
        <v>7.43</v>
      </c>
      <c r="D25" s="41">
        <v>3.49</v>
      </c>
      <c r="E25" s="41">
        <v>4.57</v>
      </c>
      <c r="F25" s="41">
        <v>27.72</v>
      </c>
      <c r="G25" s="41">
        <v>44.62</v>
      </c>
      <c r="H25" s="41">
        <v>18.04</v>
      </c>
      <c r="I25" s="41">
        <v>3.77</v>
      </c>
      <c r="J25" s="41">
        <v>0.56999999999999995</v>
      </c>
      <c r="K25" s="41">
        <v>267.45999999999998</v>
      </c>
      <c r="L25" s="41">
        <v>37.159999999999997</v>
      </c>
      <c r="M25" s="41">
        <v>48.97</v>
      </c>
      <c r="N25" s="41">
        <v>253.7</v>
      </c>
      <c r="O25" s="41">
        <v>0</v>
      </c>
      <c r="P25" s="41">
        <v>0.47</v>
      </c>
      <c r="Q25" s="41">
        <v>9.92</v>
      </c>
      <c r="R25" s="38"/>
      <c r="S25" s="38"/>
      <c r="T25" s="38"/>
      <c r="U25" s="38"/>
    </row>
    <row r="26" spans="1:21" customFormat="1">
      <c r="A26" s="40" t="s">
        <v>413</v>
      </c>
      <c r="B26" s="41">
        <v>3.74</v>
      </c>
      <c r="C26" s="41">
        <v>6.49</v>
      </c>
      <c r="D26" s="41">
        <v>2.74</v>
      </c>
      <c r="E26" s="41">
        <v>4.12</v>
      </c>
      <c r="F26" s="41">
        <v>15.72</v>
      </c>
      <c r="G26" s="41">
        <v>36.75</v>
      </c>
      <c r="H26" s="41">
        <v>16.93</v>
      </c>
      <c r="I26" s="41">
        <v>4.09</v>
      </c>
      <c r="J26" s="41">
        <v>0.68</v>
      </c>
      <c r="K26" s="41">
        <v>301.67</v>
      </c>
      <c r="L26" s="41">
        <v>33.31</v>
      </c>
      <c r="M26" s="41">
        <v>59.79</v>
      </c>
      <c r="N26" s="41">
        <v>72.3</v>
      </c>
      <c r="O26" s="41">
        <v>0</v>
      </c>
      <c r="P26" s="41">
        <v>0.44</v>
      </c>
      <c r="Q26" s="41">
        <v>9.91</v>
      </c>
      <c r="R26" s="38"/>
      <c r="S26" s="38"/>
      <c r="T26" s="38"/>
      <c r="U26" s="38"/>
    </row>
    <row r="27" spans="1:21" customFormat="1">
      <c r="A27" s="40" t="s">
        <v>414</v>
      </c>
      <c r="B27" s="41">
        <v>4.37</v>
      </c>
      <c r="C27" s="41">
        <v>8.76</v>
      </c>
      <c r="D27" s="41">
        <v>4.43</v>
      </c>
      <c r="E27" s="41">
        <v>4.1399999999999997</v>
      </c>
      <c r="F27" s="41">
        <v>11.25</v>
      </c>
      <c r="G27" s="41">
        <v>35.6</v>
      </c>
      <c r="H27" s="41">
        <v>14.24</v>
      </c>
      <c r="I27" s="41">
        <v>4.04</v>
      </c>
      <c r="J27" s="41">
        <v>1.77</v>
      </c>
      <c r="K27" s="41">
        <v>56.63</v>
      </c>
      <c r="L27" s="41">
        <v>30.07</v>
      </c>
      <c r="M27" s="41">
        <v>68.83</v>
      </c>
      <c r="N27" s="41">
        <v>13.9</v>
      </c>
      <c r="O27" s="41">
        <v>0</v>
      </c>
      <c r="P27" s="41">
        <v>0.44</v>
      </c>
      <c r="Q27" s="41">
        <v>9.91</v>
      </c>
      <c r="R27" s="38"/>
      <c r="S27" s="38"/>
      <c r="T27" s="38"/>
      <c r="U27" s="38"/>
    </row>
    <row r="28" spans="1:21" customFormat="1">
      <c r="A28" s="40" t="s">
        <v>415</v>
      </c>
      <c r="B28" s="41">
        <v>4.29</v>
      </c>
      <c r="C28" s="41">
        <v>11.09</v>
      </c>
      <c r="D28" s="41">
        <v>6.84</v>
      </c>
      <c r="E28" s="41">
        <v>5.24</v>
      </c>
      <c r="F28" s="41">
        <v>5.35</v>
      </c>
      <c r="G28" s="41">
        <v>47.82</v>
      </c>
      <c r="H28" s="41">
        <v>10.44</v>
      </c>
      <c r="I28" s="41">
        <v>4.25</v>
      </c>
      <c r="J28" s="41">
        <v>1.53</v>
      </c>
      <c r="K28" s="41">
        <v>63.63</v>
      </c>
      <c r="L28" s="41">
        <v>30.64</v>
      </c>
      <c r="M28" s="41">
        <v>80.59</v>
      </c>
      <c r="N28" s="41">
        <v>3.5</v>
      </c>
      <c r="O28" s="41">
        <v>0</v>
      </c>
      <c r="P28" s="41">
        <v>0.43</v>
      </c>
      <c r="Q28" s="41">
        <v>9.92</v>
      </c>
      <c r="R28" s="38"/>
      <c r="S28" s="38"/>
      <c r="T28" s="38"/>
      <c r="U28" s="38"/>
    </row>
    <row r="29" spans="1:21" customFormat="1">
      <c r="A29" s="40" t="s">
        <v>416</v>
      </c>
      <c r="B29" s="41">
        <v>3.75</v>
      </c>
      <c r="C29" s="41">
        <v>9.91</v>
      </c>
      <c r="D29" s="41">
        <v>6.16</v>
      </c>
      <c r="E29" s="41">
        <v>5.73</v>
      </c>
      <c r="F29" s="41">
        <v>4.6900000000000004</v>
      </c>
      <c r="G29" s="41">
        <v>53.3</v>
      </c>
      <c r="H29" s="41">
        <v>21.15</v>
      </c>
      <c r="I29" s="41">
        <v>4.1900000000000004</v>
      </c>
      <c r="J29" s="41">
        <v>0.63</v>
      </c>
      <c r="K29" s="41">
        <v>256.13</v>
      </c>
      <c r="L29" s="41">
        <v>28.68</v>
      </c>
      <c r="M29" s="41">
        <v>80.75</v>
      </c>
      <c r="N29" s="41">
        <v>1.7</v>
      </c>
      <c r="O29" s="41">
        <v>0</v>
      </c>
      <c r="P29" s="41">
        <v>0.42</v>
      </c>
      <c r="Q29" s="41">
        <v>9.91</v>
      </c>
      <c r="R29" s="38"/>
      <c r="S29" s="38"/>
      <c r="T29" s="38"/>
      <c r="U29" s="38"/>
    </row>
    <row r="30" spans="1:21" customFormat="1">
      <c r="A30" s="40" t="s">
        <v>417</v>
      </c>
      <c r="B30" s="41">
        <v>3.69</v>
      </c>
      <c r="C30" s="41">
        <v>8.44</v>
      </c>
      <c r="D30" s="41">
        <v>4.76</v>
      </c>
      <c r="E30" s="41">
        <v>5.8</v>
      </c>
      <c r="F30" s="41">
        <v>4.87</v>
      </c>
      <c r="G30" s="41">
        <v>52.08</v>
      </c>
      <c r="H30" s="41">
        <v>20.81</v>
      </c>
      <c r="I30" s="41">
        <v>4.4800000000000004</v>
      </c>
      <c r="J30" s="41">
        <v>0.98</v>
      </c>
      <c r="K30" s="41">
        <v>254.89</v>
      </c>
      <c r="L30" s="41">
        <v>29.06</v>
      </c>
      <c r="M30" s="41">
        <v>76.94</v>
      </c>
      <c r="N30" s="41">
        <v>2.5</v>
      </c>
      <c r="O30" s="41">
        <v>0</v>
      </c>
      <c r="P30" s="41">
        <v>0.41</v>
      </c>
      <c r="Q30" s="41">
        <v>9.91</v>
      </c>
      <c r="R30" s="38"/>
      <c r="S30" s="38"/>
      <c r="T30" s="38"/>
      <c r="U30" s="38"/>
    </row>
    <row r="31" spans="1:21" customFormat="1">
      <c r="A31" s="40" t="s">
        <v>418</v>
      </c>
      <c r="B31" s="41">
        <v>3.7</v>
      </c>
      <c r="C31" s="41">
        <v>7.95</v>
      </c>
      <c r="D31" s="41">
        <v>4.3</v>
      </c>
      <c r="E31" s="41">
        <v>6.37</v>
      </c>
      <c r="F31" s="41">
        <v>4.29</v>
      </c>
      <c r="G31" s="41">
        <v>47.92</v>
      </c>
      <c r="H31" s="41">
        <v>19.02</v>
      </c>
      <c r="I31" s="41">
        <v>4.1500000000000004</v>
      </c>
      <c r="J31" s="41">
        <v>0.92</v>
      </c>
      <c r="K31" s="41">
        <v>257.7</v>
      </c>
      <c r="L31" s="41">
        <v>28.17</v>
      </c>
      <c r="M31" s="41">
        <v>80.39</v>
      </c>
      <c r="N31" s="41">
        <v>2.2999999999999998</v>
      </c>
      <c r="O31" s="41">
        <v>0</v>
      </c>
      <c r="P31" s="41">
        <v>0.42</v>
      </c>
      <c r="Q31" s="41">
        <v>9.92</v>
      </c>
      <c r="R31" s="38"/>
      <c r="S31" s="38"/>
      <c r="T31" s="38"/>
      <c r="U31" s="38"/>
    </row>
    <row r="32" spans="1:21" customFormat="1">
      <c r="A32" s="40" t="s">
        <v>419</v>
      </c>
      <c r="B32" s="41">
        <v>4.0599999999999996</v>
      </c>
      <c r="C32" s="41">
        <v>9.08</v>
      </c>
      <c r="D32" s="41">
        <v>5.0199999999999996</v>
      </c>
      <c r="E32" s="41">
        <v>6.28</v>
      </c>
      <c r="F32" s="41">
        <v>3.8</v>
      </c>
      <c r="G32" s="41">
        <v>44.4</v>
      </c>
      <c r="H32" s="41">
        <v>15.09</v>
      </c>
      <c r="I32" s="41">
        <v>5.45</v>
      </c>
      <c r="J32" s="41">
        <v>0.7</v>
      </c>
      <c r="K32" s="41">
        <v>279.95</v>
      </c>
      <c r="L32" s="41">
        <v>27.83</v>
      </c>
      <c r="M32" s="41">
        <v>83.1</v>
      </c>
      <c r="N32" s="41">
        <v>2.1</v>
      </c>
      <c r="O32" s="41">
        <v>0</v>
      </c>
      <c r="P32" s="41">
        <v>0.5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3.64</v>
      </c>
      <c r="C34" s="18">
        <f t="shared" si="0"/>
        <v>6.49</v>
      </c>
      <c r="D34" s="18">
        <f t="shared" si="0"/>
        <v>2.74</v>
      </c>
      <c r="E34" s="18">
        <f t="shared" si="0"/>
        <v>3.76</v>
      </c>
      <c r="F34" s="18">
        <f t="shared" si="0"/>
        <v>3.23</v>
      </c>
      <c r="G34" s="18">
        <f t="shared" si="0"/>
        <v>27.35</v>
      </c>
      <c r="H34" s="18">
        <f t="shared" si="0"/>
        <v>9.91</v>
      </c>
      <c r="I34" s="18">
        <f t="shared" si="0"/>
        <v>3.77</v>
      </c>
      <c r="J34" s="18">
        <f t="shared" si="0"/>
        <v>0.16</v>
      </c>
      <c r="K34" s="18">
        <f t="shared" si="0"/>
        <v>56.63</v>
      </c>
      <c r="L34" s="18">
        <f t="shared" si="0"/>
        <v>27.83</v>
      </c>
      <c r="M34" s="18">
        <f t="shared" si="0"/>
        <v>45.63</v>
      </c>
      <c r="N34" s="18">
        <f t="shared" si="0"/>
        <v>1.7</v>
      </c>
      <c r="O34" s="18">
        <f t="shared" si="0"/>
        <v>0</v>
      </c>
      <c r="P34" s="18">
        <f t="shared" si="0"/>
        <v>0.37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4.9400000000000004</v>
      </c>
      <c r="C35" s="3">
        <f t="shared" si="1"/>
        <v>11.09</v>
      </c>
      <c r="D35" s="3">
        <f t="shared" si="1"/>
        <v>6.84</v>
      </c>
      <c r="E35" s="3">
        <f t="shared" si="1"/>
        <v>6.37</v>
      </c>
      <c r="F35" s="3">
        <f t="shared" si="1"/>
        <v>27.72</v>
      </c>
      <c r="G35" s="3">
        <f t="shared" si="1"/>
        <v>53.3</v>
      </c>
      <c r="H35" s="3">
        <f t="shared" si="1"/>
        <v>21.15</v>
      </c>
      <c r="I35" s="3">
        <f t="shared" si="1"/>
        <v>5.51</v>
      </c>
      <c r="J35" s="3">
        <f t="shared" si="1"/>
        <v>1.77</v>
      </c>
      <c r="K35" s="3">
        <f t="shared" si="1"/>
        <v>342.12</v>
      </c>
      <c r="L35" s="3">
        <f t="shared" si="1"/>
        <v>37.71</v>
      </c>
      <c r="M35" s="3">
        <f t="shared" si="1"/>
        <v>83.1</v>
      </c>
      <c r="N35" s="3">
        <f t="shared" si="1"/>
        <v>794.8</v>
      </c>
      <c r="O35" s="3">
        <f t="shared" si="1"/>
        <v>0</v>
      </c>
      <c r="P35" s="3">
        <f t="shared" si="1"/>
        <v>0.5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4.1570833333333335</v>
      </c>
      <c r="C36" s="18">
        <f t="shared" si="2"/>
        <v>8.211666666666666</v>
      </c>
      <c r="D36" s="18">
        <f t="shared" si="2"/>
        <v>4.0979166666666655</v>
      </c>
      <c r="E36" s="18">
        <f t="shared" si="2"/>
        <v>4.9558333333333335</v>
      </c>
      <c r="F36" s="18">
        <f t="shared" si="2"/>
        <v>9.2924999999999986</v>
      </c>
      <c r="G36" s="18">
        <f t="shared" si="2"/>
        <v>42.106250000000003</v>
      </c>
      <c r="H36" s="18">
        <f t="shared" si="2"/>
        <v>15.620416666666664</v>
      </c>
      <c r="I36" s="18">
        <f t="shared" si="2"/>
        <v>4.3912500000000003</v>
      </c>
      <c r="J36" s="18">
        <f t="shared" si="2"/>
        <v>0.62416666666666665</v>
      </c>
      <c r="K36" s="18">
        <f t="shared" si="2"/>
        <v>243.44083333333333</v>
      </c>
      <c r="L36" s="18">
        <f t="shared" si="2"/>
        <v>31.810833333333331</v>
      </c>
      <c r="M36" s="18">
        <f t="shared" si="2"/>
        <v>68.271249999999995</v>
      </c>
      <c r="N36" s="18">
        <f t="shared" si="2"/>
        <v>172.90833333333333</v>
      </c>
      <c r="O36" s="18">
        <f t="shared" si="2"/>
        <v>0</v>
      </c>
      <c r="P36" s="18">
        <f t="shared" si="2"/>
        <v>0.42333333333333334</v>
      </c>
      <c r="Q36" s="18">
        <f t="shared" si="2"/>
        <v>9.9170833333333306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0.42129695368991898</v>
      </c>
      <c r="C37" s="18">
        <f t="shared" ref="C37:Q37" si="3">STDEV(C9:C32)</f>
        <v>1.0282939296704643</v>
      </c>
      <c r="D37" s="18">
        <f t="shared" si="3"/>
        <v>1.0400668003909039</v>
      </c>
      <c r="E37" s="18">
        <f t="shared" si="3"/>
        <v>0.80423832000366668</v>
      </c>
      <c r="F37" s="18">
        <f t="shared" si="3"/>
        <v>5.9917285377063942</v>
      </c>
      <c r="G37" s="18">
        <f t="shared" si="3"/>
        <v>7.5072306087559983</v>
      </c>
      <c r="H37" s="18">
        <f t="shared" si="3"/>
        <v>2.9469062320643746</v>
      </c>
      <c r="I37" s="18">
        <f t="shared" si="3"/>
        <v>0.48429520731273334</v>
      </c>
      <c r="J37" s="18">
        <f t="shared" si="3"/>
        <v>0.40296635598765684</v>
      </c>
      <c r="K37" s="18">
        <f t="shared" si="3"/>
        <v>66.328035184598022</v>
      </c>
      <c r="L37" s="18">
        <f t="shared" si="3"/>
        <v>3.6585610341471768</v>
      </c>
      <c r="M37" s="18">
        <f t="shared" si="3"/>
        <v>13.286930261007257</v>
      </c>
      <c r="N37" s="18">
        <f t="shared" si="3"/>
        <v>242.15516749581769</v>
      </c>
      <c r="O37" s="18">
        <f t="shared" si="3"/>
        <v>0</v>
      </c>
      <c r="P37" s="18">
        <f t="shared" si="3"/>
        <v>3.002414487312368E-2</v>
      </c>
      <c r="Q37" s="18">
        <f t="shared" si="3"/>
        <v>9.0789611868253139E-3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420</v>
      </c>
      <c r="B9" s="41">
        <v>4.4800000000000004</v>
      </c>
      <c r="C9" s="41">
        <v>9.67</v>
      </c>
      <c r="D9" s="41">
        <v>5.42</v>
      </c>
      <c r="E9" s="41">
        <v>6.35</v>
      </c>
      <c r="F9" s="41">
        <v>6.59</v>
      </c>
      <c r="G9" s="41">
        <v>41.58</v>
      </c>
      <c r="H9" s="41">
        <v>15.1</v>
      </c>
      <c r="I9" s="41">
        <v>7.17</v>
      </c>
      <c r="J9" s="41">
        <v>0.19</v>
      </c>
      <c r="K9" s="41">
        <v>200.32</v>
      </c>
      <c r="L9" s="41">
        <v>27.42</v>
      </c>
      <c r="M9" s="41">
        <v>85.6</v>
      </c>
      <c r="N9" s="41">
        <v>2</v>
      </c>
      <c r="O9" s="41">
        <v>0</v>
      </c>
      <c r="P9" s="41">
        <v>0.61</v>
      </c>
      <c r="Q9" s="41">
        <v>9.93</v>
      </c>
      <c r="R9" s="38"/>
      <c r="S9" s="38"/>
      <c r="T9" s="38"/>
      <c r="U9" s="38"/>
    </row>
    <row r="10" spans="1:21" customFormat="1">
      <c r="A10" s="40" t="s">
        <v>421</v>
      </c>
      <c r="B10" s="41">
        <v>4.75</v>
      </c>
      <c r="C10" s="41">
        <v>8.91</v>
      </c>
      <c r="D10" s="41">
        <v>4.42</v>
      </c>
      <c r="E10" s="41">
        <v>5.51</v>
      </c>
      <c r="F10" s="41">
        <v>6.56</v>
      </c>
      <c r="G10" s="41">
        <v>45.72</v>
      </c>
      <c r="H10" s="41">
        <v>17.12</v>
      </c>
      <c r="I10" s="41">
        <v>8.3800000000000008</v>
      </c>
      <c r="J10" s="41">
        <v>0.2</v>
      </c>
      <c r="K10" s="41">
        <v>207.3</v>
      </c>
      <c r="L10" s="41">
        <v>27.15</v>
      </c>
      <c r="M10" s="41">
        <v>86.71</v>
      </c>
      <c r="N10" s="41">
        <v>2</v>
      </c>
      <c r="O10" s="41">
        <v>0</v>
      </c>
      <c r="P10" s="41">
        <v>0.63</v>
      </c>
      <c r="Q10" s="41">
        <v>9.94</v>
      </c>
      <c r="R10" s="38"/>
      <c r="S10" s="38"/>
      <c r="T10" s="38"/>
      <c r="U10" s="38"/>
    </row>
    <row r="11" spans="1:21" customFormat="1">
      <c r="A11" s="40" t="s">
        <v>422</v>
      </c>
      <c r="B11" s="41">
        <v>4.84</v>
      </c>
      <c r="C11" s="41">
        <v>8.09</v>
      </c>
      <c r="D11" s="41">
        <v>3.29</v>
      </c>
      <c r="E11" s="41">
        <v>4.8499999999999996</v>
      </c>
      <c r="F11" s="41">
        <v>7.48</v>
      </c>
      <c r="G11" s="41">
        <v>44.57</v>
      </c>
      <c r="H11" s="41">
        <v>15.86</v>
      </c>
      <c r="I11" s="41">
        <v>8.1</v>
      </c>
      <c r="J11" s="41">
        <v>0.26</v>
      </c>
      <c r="K11" s="41">
        <v>204.3</v>
      </c>
      <c r="L11" s="41">
        <v>26.87</v>
      </c>
      <c r="M11" s="41">
        <v>85.84</v>
      </c>
      <c r="N11" s="41">
        <v>2</v>
      </c>
      <c r="O11" s="41">
        <v>0</v>
      </c>
      <c r="P11" s="41">
        <v>0.62</v>
      </c>
      <c r="Q11" s="41">
        <v>9.93</v>
      </c>
      <c r="R11" s="38"/>
      <c r="S11" s="38"/>
      <c r="T11" s="38"/>
      <c r="U11" s="38"/>
    </row>
    <row r="12" spans="1:21" customFormat="1">
      <c r="A12" s="40" t="s">
        <v>423</v>
      </c>
      <c r="B12" s="41">
        <v>4.8600000000000003</v>
      </c>
      <c r="C12" s="41">
        <v>7.76</v>
      </c>
      <c r="D12" s="41">
        <v>2.95</v>
      </c>
      <c r="E12" s="41">
        <v>4.6900000000000004</v>
      </c>
      <c r="F12" s="41">
        <v>6.78</v>
      </c>
      <c r="G12" s="41">
        <v>39.200000000000003</v>
      </c>
      <c r="H12" s="41">
        <v>14.89</v>
      </c>
      <c r="I12" s="41">
        <v>7.34</v>
      </c>
      <c r="J12" s="41">
        <v>0.23</v>
      </c>
      <c r="K12" s="41">
        <v>192.83</v>
      </c>
      <c r="L12" s="41">
        <v>26.66</v>
      </c>
      <c r="M12" s="41">
        <v>86.8</v>
      </c>
      <c r="N12" s="41">
        <v>1.9</v>
      </c>
      <c r="O12" s="41">
        <v>0</v>
      </c>
      <c r="P12" s="41">
        <v>0.56000000000000005</v>
      </c>
      <c r="Q12" s="41">
        <v>9.94</v>
      </c>
      <c r="R12" s="38"/>
      <c r="S12" s="38"/>
      <c r="T12" s="38"/>
      <c r="U12" s="38"/>
    </row>
    <row r="13" spans="1:21" customFormat="1">
      <c r="A13" s="40" t="s">
        <v>424</v>
      </c>
      <c r="B13" s="41">
        <v>4.99</v>
      </c>
      <c r="C13" s="41">
        <v>8.1199999999999992</v>
      </c>
      <c r="D13" s="41">
        <v>3.13</v>
      </c>
      <c r="E13" s="41">
        <v>4.97</v>
      </c>
      <c r="F13" s="41">
        <v>6.87</v>
      </c>
      <c r="G13" s="41">
        <v>31.42</v>
      </c>
      <c r="H13" s="41">
        <v>14.54</v>
      </c>
      <c r="I13" s="41">
        <v>6.83</v>
      </c>
      <c r="J13" s="41">
        <v>0.21</v>
      </c>
      <c r="K13" s="41">
        <v>223.68</v>
      </c>
      <c r="L13" s="41">
        <v>26.5</v>
      </c>
      <c r="M13" s="41">
        <v>87.33</v>
      </c>
      <c r="N13" s="41">
        <v>2</v>
      </c>
      <c r="O13" s="41">
        <v>0</v>
      </c>
      <c r="P13" s="41">
        <v>0.55000000000000004</v>
      </c>
      <c r="Q13" s="41">
        <v>9.92</v>
      </c>
      <c r="R13" s="38"/>
      <c r="S13" s="38"/>
      <c r="T13" s="38"/>
      <c r="U13" s="38"/>
    </row>
    <row r="14" spans="1:21" customFormat="1">
      <c r="A14" s="40" t="s">
        <v>425</v>
      </c>
      <c r="B14" s="41">
        <v>4.9800000000000004</v>
      </c>
      <c r="C14" s="41">
        <v>10.01</v>
      </c>
      <c r="D14" s="41">
        <v>5.1100000000000003</v>
      </c>
      <c r="E14" s="41">
        <v>5.34</v>
      </c>
      <c r="F14" s="41">
        <v>2.48</v>
      </c>
      <c r="G14" s="41">
        <v>24.52</v>
      </c>
      <c r="H14" s="41">
        <v>11.65</v>
      </c>
      <c r="I14" s="41">
        <v>6.2</v>
      </c>
      <c r="J14" s="41">
        <v>0.22</v>
      </c>
      <c r="K14" s="41">
        <v>193.89</v>
      </c>
      <c r="L14" s="41">
        <v>26.68</v>
      </c>
      <c r="M14" s="41">
        <v>87.88</v>
      </c>
      <c r="N14" s="41">
        <v>24.2</v>
      </c>
      <c r="O14" s="41">
        <v>0</v>
      </c>
      <c r="P14" s="41">
        <v>0.49</v>
      </c>
      <c r="Q14" s="41">
        <v>9.92</v>
      </c>
      <c r="R14" s="38"/>
      <c r="S14" s="38"/>
      <c r="T14" s="38"/>
      <c r="U14" s="38"/>
    </row>
    <row r="15" spans="1:21" customFormat="1">
      <c r="A15" s="40" t="s">
        <v>426</v>
      </c>
      <c r="B15" s="41">
        <v>5.0599999999999996</v>
      </c>
      <c r="C15" s="41">
        <v>9.8699999999999992</v>
      </c>
      <c r="D15" s="41">
        <v>4.82</v>
      </c>
      <c r="E15" s="41">
        <v>5.51</v>
      </c>
      <c r="F15" s="41">
        <v>2.84</v>
      </c>
      <c r="G15" s="41">
        <v>17.36</v>
      </c>
      <c r="H15" s="41">
        <v>9.2799999999999994</v>
      </c>
      <c r="I15" s="41">
        <v>5.69</v>
      </c>
      <c r="J15" s="41">
        <v>0.55000000000000004</v>
      </c>
      <c r="K15" s="41">
        <v>83.34</v>
      </c>
      <c r="L15" s="41">
        <v>27.63</v>
      </c>
      <c r="M15" s="41">
        <v>86.08</v>
      </c>
      <c r="N15" s="41">
        <v>73.8</v>
      </c>
      <c r="O15" s="41">
        <v>0</v>
      </c>
      <c r="P15" s="41">
        <v>0.43</v>
      </c>
      <c r="Q15" s="41">
        <v>9.92</v>
      </c>
      <c r="R15" s="38"/>
      <c r="S15" s="38"/>
      <c r="T15" s="38"/>
      <c r="U15" s="38"/>
    </row>
    <row r="16" spans="1:21" customFormat="1">
      <c r="A16" s="40" t="s">
        <v>427</v>
      </c>
      <c r="B16" s="41">
        <v>5.13</v>
      </c>
      <c r="C16" s="41">
        <v>10.08</v>
      </c>
      <c r="D16" s="41">
        <v>4.95</v>
      </c>
      <c r="E16" s="41">
        <v>5.83</v>
      </c>
      <c r="F16" s="41">
        <v>3.08</v>
      </c>
      <c r="G16" s="41">
        <v>22.29</v>
      </c>
      <c r="H16" s="41">
        <v>8.9499999999999993</v>
      </c>
      <c r="I16" s="41">
        <v>5.04</v>
      </c>
      <c r="J16" s="41">
        <v>0.38</v>
      </c>
      <c r="K16" s="41">
        <v>136.88</v>
      </c>
      <c r="L16" s="41">
        <v>30.09</v>
      </c>
      <c r="M16" s="41">
        <v>80.25</v>
      </c>
      <c r="N16" s="41">
        <v>145.80000000000001</v>
      </c>
      <c r="O16" s="41">
        <v>0</v>
      </c>
      <c r="P16" s="41">
        <v>0.43</v>
      </c>
      <c r="Q16" s="41">
        <v>9.93</v>
      </c>
      <c r="R16" s="38"/>
      <c r="S16" s="38"/>
      <c r="T16" s="38"/>
      <c r="U16" s="38"/>
    </row>
    <row r="17" spans="1:21" customFormat="1">
      <c r="A17" s="40" t="s">
        <v>428</v>
      </c>
      <c r="B17" s="41">
        <v>4.7300000000000004</v>
      </c>
      <c r="C17" s="41">
        <v>9.2799999999999994</v>
      </c>
      <c r="D17" s="41">
        <v>4.55</v>
      </c>
      <c r="E17" s="41">
        <v>6.03</v>
      </c>
      <c r="F17" s="41">
        <v>3.64</v>
      </c>
      <c r="G17" s="41">
        <v>28.57</v>
      </c>
      <c r="H17" s="41">
        <v>9.8000000000000007</v>
      </c>
      <c r="I17" s="41">
        <v>4.91</v>
      </c>
      <c r="J17" s="41">
        <v>0.5</v>
      </c>
      <c r="K17" s="41">
        <v>253.94</v>
      </c>
      <c r="L17" s="41">
        <v>31.26</v>
      </c>
      <c r="M17" s="41">
        <v>72</v>
      </c>
      <c r="N17" s="41">
        <v>149.19999999999999</v>
      </c>
      <c r="O17" s="41">
        <v>0</v>
      </c>
      <c r="P17" s="41">
        <v>0.4</v>
      </c>
      <c r="Q17" s="41">
        <v>9.93</v>
      </c>
      <c r="R17" s="38"/>
      <c r="S17" s="38"/>
      <c r="T17" s="38"/>
      <c r="U17" s="38"/>
    </row>
    <row r="18" spans="1:21" customFormat="1">
      <c r="A18" s="40" t="s">
        <v>429</v>
      </c>
      <c r="B18" s="41">
        <v>4.16</v>
      </c>
      <c r="C18" s="41">
        <v>8.09</v>
      </c>
      <c r="D18" s="41">
        <v>3.93</v>
      </c>
      <c r="E18" s="41">
        <v>5.97</v>
      </c>
      <c r="F18" s="41">
        <v>5.48</v>
      </c>
      <c r="G18" s="41">
        <v>27.09</v>
      </c>
      <c r="H18" s="41">
        <v>9.7899999999999991</v>
      </c>
      <c r="I18" s="41">
        <v>4.7</v>
      </c>
      <c r="J18" s="41">
        <v>0.63</v>
      </c>
      <c r="K18" s="41">
        <v>268.22000000000003</v>
      </c>
      <c r="L18" s="41">
        <v>32.57</v>
      </c>
      <c r="M18" s="41">
        <v>65.7</v>
      </c>
      <c r="N18" s="41">
        <v>322.2</v>
      </c>
      <c r="O18" s="41">
        <v>0</v>
      </c>
      <c r="P18" s="41">
        <v>0.37</v>
      </c>
      <c r="Q18" s="41">
        <v>9.91</v>
      </c>
      <c r="R18" s="38"/>
      <c r="S18" s="38"/>
      <c r="T18" s="38"/>
      <c r="U18" s="38"/>
    </row>
    <row r="19" spans="1:21" customFormat="1">
      <c r="A19" s="40" t="s">
        <v>430</v>
      </c>
      <c r="B19" s="41">
        <v>4</v>
      </c>
      <c r="C19" s="41">
        <v>7.4</v>
      </c>
      <c r="D19" s="41">
        <v>3.55</v>
      </c>
      <c r="E19" s="41">
        <v>4.28</v>
      </c>
      <c r="F19" s="41">
        <v>7.56</v>
      </c>
      <c r="G19" s="41">
        <v>32.35</v>
      </c>
      <c r="H19" s="41">
        <v>11.25</v>
      </c>
      <c r="I19" s="41">
        <v>4.3600000000000003</v>
      </c>
      <c r="J19" s="41">
        <v>0.87</v>
      </c>
      <c r="K19" s="41">
        <v>273.24</v>
      </c>
      <c r="L19" s="41">
        <v>33.08</v>
      </c>
      <c r="M19" s="41">
        <v>63.8</v>
      </c>
      <c r="N19" s="41">
        <v>317</v>
      </c>
      <c r="O19" s="41">
        <v>0</v>
      </c>
      <c r="P19" s="41">
        <v>0.41</v>
      </c>
      <c r="Q19" s="41">
        <v>9.93</v>
      </c>
      <c r="R19" s="38"/>
      <c r="S19" s="38"/>
      <c r="T19" s="38"/>
      <c r="U19" s="38"/>
    </row>
    <row r="20" spans="1:21" customFormat="1">
      <c r="A20" s="40" t="s">
        <v>431</v>
      </c>
      <c r="B20" s="41">
        <v>4.04</v>
      </c>
      <c r="C20" s="41">
        <v>6.81</v>
      </c>
      <c r="D20" s="41">
        <v>2.77</v>
      </c>
      <c r="E20" s="41">
        <v>3.36</v>
      </c>
      <c r="F20" s="41">
        <v>10.92</v>
      </c>
      <c r="G20" s="41">
        <v>39.29</v>
      </c>
      <c r="H20" s="41">
        <v>11.07</v>
      </c>
      <c r="I20" s="41">
        <v>4.2699999999999996</v>
      </c>
      <c r="J20" s="41">
        <v>0.91</v>
      </c>
      <c r="K20" s="41">
        <v>281.63</v>
      </c>
      <c r="L20" s="41">
        <v>34.020000000000003</v>
      </c>
      <c r="M20" s="41">
        <v>58.33</v>
      </c>
      <c r="N20" s="41">
        <v>440.9</v>
      </c>
      <c r="O20" s="41">
        <v>0</v>
      </c>
      <c r="P20" s="41">
        <v>0.4</v>
      </c>
      <c r="Q20" s="41">
        <v>9.9</v>
      </c>
      <c r="R20" s="38"/>
      <c r="S20" s="38"/>
      <c r="T20" s="38"/>
      <c r="U20" s="38"/>
    </row>
    <row r="21" spans="1:21" customFormat="1">
      <c r="A21" s="40" t="s">
        <v>432</v>
      </c>
      <c r="B21" s="41">
        <v>4.01</v>
      </c>
      <c r="C21" s="41">
        <v>6.85</v>
      </c>
      <c r="D21" s="41">
        <v>2.83</v>
      </c>
      <c r="E21" s="41">
        <v>3.16</v>
      </c>
      <c r="F21" s="41">
        <v>10.87</v>
      </c>
      <c r="G21" s="41">
        <v>38.159999999999997</v>
      </c>
      <c r="H21" s="41">
        <v>12.95</v>
      </c>
      <c r="I21" s="41">
        <v>4.26</v>
      </c>
      <c r="J21" s="41">
        <v>0.72</v>
      </c>
      <c r="K21" s="41">
        <v>283.11</v>
      </c>
      <c r="L21" s="41">
        <v>35.299999999999997</v>
      </c>
      <c r="M21" s="41">
        <v>55.61</v>
      </c>
      <c r="N21" s="41">
        <v>797.9</v>
      </c>
      <c r="O21" s="41">
        <v>0</v>
      </c>
      <c r="P21" s="41">
        <v>0.41</v>
      </c>
      <c r="Q21" s="41">
        <v>9.92</v>
      </c>
      <c r="R21" s="38"/>
      <c r="S21" s="38"/>
      <c r="T21" s="38"/>
      <c r="U21" s="38"/>
    </row>
    <row r="22" spans="1:21" customFormat="1">
      <c r="A22" s="40" t="s">
        <v>433</v>
      </c>
      <c r="B22" s="41">
        <v>4</v>
      </c>
      <c r="C22" s="41">
        <v>6.87</v>
      </c>
      <c r="D22" s="41">
        <v>2.88</v>
      </c>
      <c r="E22" s="41">
        <v>2.75</v>
      </c>
      <c r="F22" s="41">
        <v>10.99</v>
      </c>
      <c r="G22" s="41">
        <v>34.44</v>
      </c>
      <c r="H22" s="41">
        <v>11.71</v>
      </c>
      <c r="I22" s="41">
        <v>4.22</v>
      </c>
      <c r="J22" s="41">
        <v>1.3</v>
      </c>
      <c r="K22" s="41">
        <v>282.08</v>
      </c>
      <c r="L22" s="41">
        <v>35.549999999999997</v>
      </c>
      <c r="M22" s="41">
        <v>57.14</v>
      </c>
      <c r="N22" s="41">
        <v>690.8</v>
      </c>
      <c r="O22" s="41">
        <v>0</v>
      </c>
      <c r="P22" s="41">
        <v>0.41</v>
      </c>
      <c r="Q22" s="41">
        <v>9.92</v>
      </c>
      <c r="R22" s="38"/>
      <c r="S22" s="38"/>
      <c r="T22" s="38"/>
      <c r="U22" s="38"/>
    </row>
    <row r="23" spans="1:21" customFormat="1">
      <c r="A23" s="40" t="s">
        <v>434</v>
      </c>
      <c r="B23" s="41">
        <v>3.93</v>
      </c>
      <c r="C23" s="41">
        <v>7.46</v>
      </c>
      <c r="D23" s="41">
        <v>3.62</v>
      </c>
      <c r="E23" s="41">
        <v>2.78</v>
      </c>
      <c r="F23" s="41">
        <v>7.9</v>
      </c>
      <c r="G23" s="41">
        <v>31.34</v>
      </c>
      <c r="H23" s="41">
        <v>9.6199999999999992</v>
      </c>
      <c r="I23" s="41">
        <v>4.22</v>
      </c>
      <c r="J23" s="41">
        <v>1.25</v>
      </c>
      <c r="K23" s="41">
        <v>259.08</v>
      </c>
      <c r="L23" s="41">
        <v>34.28</v>
      </c>
      <c r="M23" s="41">
        <v>53.89</v>
      </c>
      <c r="N23" s="41">
        <v>445.7</v>
      </c>
      <c r="O23" s="41">
        <v>0</v>
      </c>
      <c r="P23" s="41">
        <v>0.27</v>
      </c>
      <c r="Q23" s="41">
        <v>9.91</v>
      </c>
      <c r="R23" s="38"/>
      <c r="S23" s="38"/>
      <c r="T23" s="38"/>
      <c r="U23" s="38"/>
    </row>
    <row r="24" spans="1:21" customFormat="1">
      <c r="A24" s="40" t="s">
        <v>435</v>
      </c>
      <c r="B24" s="41">
        <v>3.78</v>
      </c>
      <c r="C24" s="41">
        <v>7.61</v>
      </c>
      <c r="D24" s="41">
        <v>3.83</v>
      </c>
      <c r="E24" s="41">
        <v>3.39</v>
      </c>
      <c r="F24" s="41">
        <v>6.89</v>
      </c>
      <c r="G24" s="41">
        <v>30.51</v>
      </c>
      <c r="H24" s="41">
        <v>8.92</v>
      </c>
      <c r="I24" s="41">
        <v>4.1500000000000004</v>
      </c>
      <c r="J24" s="41">
        <v>0.48</v>
      </c>
      <c r="K24" s="41">
        <v>282.42</v>
      </c>
      <c r="L24" s="41">
        <v>34.07</v>
      </c>
      <c r="M24" s="41">
        <v>58.06</v>
      </c>
      <c r="N24" s="41">
        <v>469.3</v>
      </c>
      <c r="O24" s="41">
        <v>0</v>
      </c>
      <c r="P24" s="41">
        <v>0.19</v>
      </c>
      <c r="Q24" s="41">
        <v>9.91</v>
      </c>
      <c r="R24" s="38"/>
      <c r="S24" s="38"/>
      <c r="T24" s="38"/>
      <c r="U24" s="38"/>
    </row>
    <row r="25" spans="1:21" customFormat="1">
      <c r="A25" s="40" t="s">
        <v>436</v>
      </c>
      <c r="B25" s="41">
        <v>3.85</v>
      </c>
      <c r="C25" s="41">
        <v>7.59</v>
      </c>
      <c r="D25" s="41">
        <v>3.74</v>
      </c>
      <c r="E25" s="41">
        <v>3.83</v>
      </c>
      <c r="F25" s="41">
        <v>5.69</v>
      </c>
      <c r="G25" s="41">
        <v>32.33</v>
      </c>
      <c r="H25" s="41">
        <v>10.52</v>
      </c>
      <c r="I25" s="41">
        <v>3.76</v>
      </c>
      <c r="J25" s="41">
        <v>0.2</v>
      </c>
      <c r="K25" s="41">
        <v>246.21</v>
      </c>
      <c r="L25" s="41">
        <v>32.909999999999997</v>
      </c>
      <c r="M25" s="41">
        <v>62.22</v>
      </c>
      <c r="N25" s="41">
        <v>98.3</v>
      </c>
      <c r="O25" s="41">
        <v>0</v>
      </c>
      <c r="P25" s="41">
        <v>0.19</v>
      </c>
      <c r="Q25" s="41">
        <v>9.9</v>
      </c>
      <c r="R25" s="38"/>
      <c r="S25" s="38"/>
      <c r="T25" s="38"/>
      <c r="U25" s="38"/>
    </row>
    <row r="26" spans="1:21" customFormat="1">
      <c r="A26" s="40" t="s">
        <v>437</v>
      </c>
      <c r="B26" s="41">
        <v>3.91</v>
      </c>
      <c r="C26" s="41">
        <v>7.51</v>
      </c>
      <c r="D26" s="41">
        <v>3.64</v>
      </c>
      <c r="E26" s="41">
        <v>3.8</v>
      </c>
      <c r="F26" s="41">
        <v>6.05</v>
      </c>
      <c r="G26" s="41">
        <v>31.09</v>
      </c>
      <c r="H26" s="41">
        <v>9.39</v>
      </c>
      <c r="I26" s="41">
        <v>3.44</v>
      </c>
      <c r="J26" s="41">
        <v>0.2</v>
      </c>
      <c r="K26" s="41">
        <v>249.83</v>
      </c>
      <c r="L26" s="41">
        <v>31.6</v>
      </c>
      <c r="M26" s="41">
        <v>64.25</v>
      </c>
      <c r="N26" s="41">
        <v>27.9</v>
      </c>
      <c r="O26" s="41">
        <v>0</v>
      </c>
      <c r="P26" s="41">
        <v>0.19</v>
      </c>
      <c r="Q26" s="41">
        <v>9.91</v>
      </c>
      <c r="R26" s="38"/>
      <c r="S26" s="38"/>
      <c r="T26" s="38"/>
      <c r="U26" s="38"/>
    </row>
    <row r="27" spans="1:21" customFormat="1">
      <c r="A27" s="40" t="s">
        <v>438</v>
      </c>
      <c r="B27" s="41">
        <v>3.98</v>
      </c>
      <c r="C27" s="41">
        <v>7.56</v>
      </c>
      <c r="D27" s="41">
        <v>3.63</v>
      </c>
      <c r="E27" s="41">
        <v>4.58</v>
      </c>
      <c r="F27" s="41">
        <v>5.16</v>
      </c>
      <c r="G27" s="41">
        <v>32.28</v>
      </c>
      <c r="H27" s="41">
        <v>10.7</v>
      </c>
      <c r="I27" s="41">
        <v>3.35</v>
      </c>
      <c r="J27" s="41">
        <v>0.21</v>
      </c>
      <c r="K27" s="41">
        <v>208.73</v>
      </c>
      <c r="L27" s="41">
        <v>31.08</v>
      </c>
      <c r="M27" s="41">
        <v>67.150000000000006</v>
      </c>
      <c r="N27" s="41">
        <v>16.7</v>
      </c>
      <c r="O27" s="41">
        <v>0</v>
      </c>
      <c r="P27" s="41">
        <v>0.19</v>
      </c>
      <c r="Q27" s="41">
        <v>9.91</v>
      </c>
      <c r="R27" s="38"/>
      <c r="S27" s="38"/>
      <c r="T27" s="38"/>
      <c r="U27" s="38"/>
    </row>
    <row r="28" spans="1:21" customFormat="1">
      <c r="A28" s="40" t="s">
        <v>439</v>
      </c>
      <c r="B28" s="41">
        <v>4.07</v>
      </c>
      <c r="C28" s="41">
        <v>7.84</v>
      </c>
      <c r="D28" s="41">
        <v>3.77</v>
      </c>
      <c r="E28" s="41">
        <v>4.8600000000000003</v>
      </c>
      <c r="F28" s="41">
        <v>5</v>
      </c>
      <c r="G28" s="41">
        <v>31.93</v>
      </c>
      <c r="H28" s="41">
        <v>10.18</v>
      </c>
      <c r="I28" s="41">
        <v>3.37</v>
      </c>
      <c r="J28" s="41">
        <v>0.21</v>
      </c>
      <c r="K28" s="41">
        <v>177.71</v>
      </c>
      <c r="L28" s="41">
        <v>30.35</v>
      </c>
      <c r="M28" s="41">
        <v>74.180000000000007</v>
      </c>
      <c r="N28" s="41">
        <v>1.9</v>
      </c>
      <c r="O28" s="41">
        <v>0</v>
      </c>
      <c r="P28" s="41">
        <v>0.24</v>
      </c>
      <c r="Q28" s="41">
        <v>9.92</v>
      </c>
      <c r="R28" s="38"/>
      <c r="S28" s="38"/>
      <c r="T28" s="38"/>
      <c r="U28" s="38"/>
    </row>
    <row r="29" spans="1:21" customFormat="1">
      <c r="A29" s="40" t="s">
        <v>440</v>
      </c>
      <c r="B29" s="41">
        <v>4.21</v>
      </c>
      <c r="C29" s="41">
        <v>7.76</v>
      </c>
      <c r="D29" s="41">
        <v>3.57</v>
      </c>
      <c r="E29" s="41">
        <v>3.96</v>
      </c>
      <c r="F29" s="41">
        <v>12.17</v>
      </c>
      <c r="G29" s="41">
        <v>32.630000000000003</v>
      </c>
      <c r="H29" s="41">
        <v>8.67</v>
      </c>
      <c r="I29" s="41">
        <v>3.4</v>
      </c>
      <c r="J29" s="41">
        <v>0.21</v>
      </c>
      <c r="K29" s="41">
        <v>212.36</v>
      </c>
      <c r="L29" s="41">
        <v>29.15</v>
      </c>
      <c r="M29" s="41">
        <v>78.900000000000006</v>
      </c>
      <c r="N29" s="41">
        <v>2</v>
      </c>
      <c r="O29" s="41">
        <v>0</v>
      </c>
      <c r="P29" s="41">
        <v>0.24</v>
      </c>
      <c r="Q29" s="41">
        <v>9.92</v>
      </c>
      <c r="R29" s="38"/>
      <c r="S29" s="38"/>
      <c r="T29" s="38"/>
      <c r="U29" s="38"/>
    </row>
    <row r="30" spans="1:21" customFormat="1">
      <c r="A30" s="40" t="s">
        <v>441</v>
      </c>
      <c r="B30" s="41">
        <v>4.37</v>
      </c>
      <c r="C30" s="41">
        <v>7.79</v>
      </c>
      <c r="D30" s="41">
        <v>3.45</v>
      </c>
      <c r="E30" s="41">
        <v>3.66</v>
      </c>
      <c r="F30" s="41">
        <v>9.68</v>
      </c>
      <c r="G30" s="41">
        <v>32.22</v>
      </c>
      <c r="H30" s="41">
        <v>12.29</v>
      </c>
      <c r="I30" s="41">
        <v>3.6</v>
      </c>
      <c r="J30" s="41">
        <v>0.21</v>
      </c>
      <c r="K30" s="41">
        <v>228.24</v>
      </c>
      <c r="L30" s="41">
        <v>28.79</v>
      </c>
      <c r="M30" s="41">
        <v>81.92</v>
      </c>
      <c r="N30" s="41">
        <v>1.8</v>
      </c>
      <c r="O30" s="41">
        <v>0</v>
      </c>
      <c r="P30" s="41">
        <v>0.24</v>
      </c>
      <c r="Q30" s="41">
        <v>9.92</v>
      </c>
      <c r="R30" s="38"/>
      <c r="S30" s="38"/>
      <c r="T30" s="38"/>
      <c r="U30" s="38"/>
    </row>
    <row r="31" spans="1:21" customFormat="1">
      <c r="A31" s="40" t="s">
        <v>442</v>
      </c>
      <c r="B31" s="41">
        <v>4.55</v>
      </c>
      <c r="C31" s="41">
        <v>8.33</v>
      </c>
      <c r="D31" s="41">
        <v>3.84</v>
      </c>
      <c r="E31" s="41">
        <v>3.59</v>
      </c>
      <c r="F31" s="41">
        <v>9.14</v>
      </c>
      <c r="G31" s="41">
        <v>30.65</v>
      </c>
      <c r="H31" s="41">
        <v>11.6</v>
      </c>
      <c r="I31" s="41">
        <v>3.69</v>
      </c>
      <c r="J31" s="41">
        <v>0.15</v>
      </c>
      <c r="K31" s="41">
        <v>213.51</v>
      </c>
      <c r="L31" s="41">
        <v>28.48</v>
      </c>
      <c r="M31" s="41">
        <v>83.18</v>
      </c>
      <c r="N31" s="41">
        <v>1.8</v>
      </c>
      <c r="O31" s="41">
        <v>0</v>
      </c>
      <c r="P31" s="41">
        <v>0.25</v>
      </c>
      <c r="Q31" s="41">
        <v>9.92</v>
      </c>
      <c r="R31" s="38"/>
      <c r="S31" s="38"/>
      <c r="T31" s="38"/>
      <c r="U31" s="38"/>
    </row>
    <row r="32" spans="1:21" customFormat="1">
      <c r="A32" s="40" t="s">
        <v>443</v>
      </c>
      <c r="B32" s="41">
        <v>4.74</v>
      </c>
      <c r="C32" s="41">
        <v>8.56</v>
      </c>
      <c r="D32" s="41">
        <v>3.92</v>
      </c>
      <c r="E32" s="41">
        <v>3.59</v>
      </c>
      <c r="F32" s="41">
        <v>6.99</v>
      </c>
      <c r="G32" s="41">
        <v>26.79</v>
      </c>
      <c r="H32" s="41">
        <v>7.92</v>
      </c>
      <c r="I32" s="41">
        <v>3.79</v>
      </c>
      <c r="J32" s="41">
        <v>0.15</v>
      </c>
      <c r="K32" s="41">
        <v>228.35</v>
      </c>
      <c r="L32" s="41">
        <v>28.32</v>
      </c>
      <c r="M32" s="41">
        <v>84.02</v>
      </c>
      <c r="N32" s="41">
        <v>1.8</v>
      </c>
      <c r="O32" s="41">
        <v>0</v>
      </c>
      <c r="P32" s="41">
        <v>0.26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3.78</v>
      </c>
      <c r="C34" s="18">
        <f t="shared" si="0"/>
        <v>6.81</v>
      </c>
      <c r="D34" s="18">
        <f t="shared" si="0"/>
        <v>2.77</v>
      </c>
      <c r="E34" s="18">
        <f t="shared" si="0"/>
        <v>2.75</v>
      </c>
      <c r="F34" s="18">
        <f t="shared" si="0"/>
        <v>2.48</v>
      </c>
      <c r="G34" s="18">
        <f t="shared" si="0"/>
        <v>17.36</v>
      </c>
      <c r="H34" s="18">
        <f t="shared" si="0"/>
        <v>7.92</v>
      </c>
      <c r="I34" s="18">
        <f t="shared" si="0"/>
        <v>3.35</v>
      </c>
      <c r="J34" s="18">
        <f t="shared" si="0"/>
        <v>0.15</v>
      </c>
      <c r="K34" s="18">
        <f t="shared" si="0"/>
        <v>83.34</v>
      </c>
      <c r="L34" s="18">
        <f t="shared" si="0"/>
        <v>26.5</v>
      </c>
      <c r="M34" s="18">
        <f t="shared" si="0"/>
        <v>53.89</v>
      </c>
      <c r="N34" s="18">
        <f t="shared" si="0"/>
        <v>1.8</v>
      </c>
      <c r="O34" s="18">
        <f t="shared" si="0"/>
        <v>0</v>
      </c>
      <c r="P34" s="18">
        <f t="shared" si="0"/>
        <v>0.19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5.13</v>
      </c>
      <c r="C35" s="3">
        <f t="shared" si="1"/>
        <v>10.08</v>
      </c>
      <c r="D35" s="3">
        <f t="shared" si="1"/>
        <v>5.42</v>
      </c>
      <c r="E35" s="3">
        <f t="shared" si="1"/>
        <v>6.35</v>
      </c>
      <c r="F35" s="3">
        <f t="shared" si="1"/>
        <v>12.17</v>
      </c>
      <c r="G35" s="3">
        <f t="shared" si="1"/>
        <v>45.72</v>
      </c>
      <c r="H35" s="3">
        <f t="shared" si="1"/>
        <v>17.12</v>
      </c>
      <c r="I35" s="3">
        <f t="shared" si="1"/>
        <v>8.3800000000000008</v>
      </c>
      <c r="J35" s="3">
        <f t="shared" si="1"/>
        <v>1.3</v>
      </c>
      <c r="K35" s="3">
        <f t="shared" si="1"/>
        <v>283.11</v>
      </c>
      <c r="L35" s="3">
        <f t="shared" si="1"/>
        <v>35.549999999999997</v>
      </c>
      <c r="M35" s="3">
        <f t="shared" si="1"/>
        <v>87.88</v>
      </c>
      <c r="N35" s="3">
        <f t="shared" si="1"/>
        <v>797.9</v>
      </c>
      <c r="O35" s="3">
        <f t="shared" si="1"/>
        <v>0</v>
      </c>
      <c r="P35" s="3">
        <f t="shared" si="1"/>
        <v>0.63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4.3925000000000001</v>
      </c>
      <c r="C36" s="18">
        <f t="shared" si="2"/>
        <v>8.1591666666666658</v>
      </c>
      <c r="D36" s="18">
        <f t="shared" si="2"/>
        <v>3.8170833333333327</v>
      </c>
      <c r="E36" s="18">
        <f t="shared" si="2"/>
        <v>4.4433333333333325</v>
      </c>
      <c r="F36" s="18">
        <f t="shared" si="2"/>
        <v>6.9504166666666665</v>
      </c>
      <c r="G36" s="18">
        <f t="shared" si="2"/>
        <v>32.430416666666666</v>
      </c>
      <c r="H36" s="18">
        <f t="shared" si="2"/>
        <v>11.407083333333333</v>
      </c>
      <c r="I36" s="18">
        <f t="shared" si="2"/>
        <v>4.9266666666666667</v>
      </c>
      <c r="J36" s="18">
        <f t="shared" si="2"/>
        <v>0.43500000000000011</v>
      </c>
      <c r="K36" s="18">
        <f t="shared" si="2"/>
        <v>224.63333333333333</v>
      </c>
      <c r="L36" s="18">
        <f t="shared" si="2"/>
        <v>30.408750000000001</v>
      </c>
      <c r="M36" s="18">
        <f t="shared" si="2"/>
        <v>73.618333333333354</v>
      </c>
      <c r="N36" s="18">
        <f t="shared" si="2"/>
        <v>168.28750000000002</v>
      </c>
      <c r="O36" s="18">
        <f t="shared" si="2"/>
        <v>0</v>
      </c>
      <c r="P36" s="18">
        <f t="shared" si="2"/>
        <v>0.37416666666666681</v>
      </c>
      <c r="Q36" s="18">
        <f t="shared" si="2"/>
        <v>9.9208333333333307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0.44537478111380974</v>
      </c>
      <c r="C37" s="18">
        <f t="shared" ref="C37:Q37" si="3">STDEV(C9:C32)</f>
        <v>0.99060331492288745</v>
      </c>
      <c r="D37" s="18">
        <f t="shared" si="3"/>
        <v>0.73087487281349794</v>
      </c>
      <c r="E37" s="18">
        <f t="shared" si="3"/>
        <v>1.0807874209461208</v>
      </c>
      <c r="F37" s="18">
        <f t="shared" si="3"/>
        <v>2.6637265154807741</v>
      </c>
      <c r="G37" s="18">
        <f t="shared" si="3"/>
        <v>6.6477871304580951</v>
      </c>
      <c r="H37" s="18">
        <f t="shared" si="3"/>
        <v>2.4951003799040077</v>
      </c>
      <c r="I37" s="18">
        <f t="shared" si="3"/>
        <v>1.5733477646107963</v>
      </c>
      <c r="J37" s="18">
        <f t="shared" si="3"/>
        <v>0.34447187049919964</v>
      </c>
      <c r="K37" s="18">
        <f t="shared" si="3"/>
        <v>48.632936027621049</v>
      </c>
      <c r="L37" s="18">
        <f t="shared" si="3"/>
        <v>3.006301082002961</v>
      </c>
      <c r="M37" s="18">
        <f t="shared" si="3"/>
        <v>12.171933384587545</v>
      </c>
      <c r="N37" s="18">
        <f t="shared" si="3"/>
        <v>238.84193301719714</v>
      </c>
      <c r="O37" s="18">
        <f t="shared" si="3"/>
        <v>0</v>
      </c>
      <c r="P37" s="18">
        <f t="shared" si="3"/>
        <v>0.1475574071532734</v>
      </c>
      <c r="Q37" s="18">
        <f t="shared" si="3"/>
        <v>1.1389036172017839E-2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444</v>
      </c>
      <c r="B9" s="41">
        <v>5.19</v>
      </c>
      <c r="C9" s="41">
        <v>9.1999999999999993</v>
      </c>
      <c r="D9" s="41">
        <v>4.01</v>
      </c>
      <c r="E9" s="41">
        <v>4.1500000000000004</v>
      </c>
      <c r="F9" s="41">
        <v>6.53</v>
      </c>
      <c r="G9" s="41">
        <v>21.19</v>
      </c>
      <c r="H9" s="41">
        <v>7.45</v>
      </c>
      <c r="I9" s="41">
        <v>3.89</v>
      </c>
      <c r="J9" s="41">
        <v>0.27</v>
      </c>
      <c r="K9" s="41">
        <v>242.14</v>
      </c>
      <c r="L9" s="41">
        <v>28.51</v>
      </c>
      <c r="M9" s="41">
        <v>82.67</v>
      </c>
      <c r="N9" s="41">
        <v>1.7</v>
      </c>
      <c r="O9" s="41">
        <v>0</v>
      </c>
      <c r="P9" s="41">
        <v>0.26</v>
      </c>
      <c r="Q9" s="41">
        <v>9.9499999999999993</v>
      </c>
      <c r="R9" s="38"/>
      <c r="S9" s="38"/>
      <c r="T9" s="38"/>
      <c r="U9" s="38"/>
    </row>
    <row r="10" spans="1:21" customFormat="1">
      <c r="A10" s="40" t="s">
        <v>445</v>
      </c>
      <c r="B10" s="41">
        <v>5.12</v>
      </c>
      <c r="C10" s="41">
        <v>9.24</v>
      </c>
      <c r="D10" s="41">
        <v>4.17</v>
      </c>
      <c r="E10" s="41">
        <v>4.45</v>
      </c>
      <c r="F10" s="41">
        <v>2.68</v>
      </c>
      <c r="G10" s="41">
        <v>24.18</v>
      </c>
      <c r="H10" s="41">
        <v>6.65</v>
      </c>
      <c r="I10" s="41">
        <v>3.95</v>
      </c>
      <c r="J10" s="41">
        <v>0.42</v>
      </c>
      <c r="K10" s="41">
        <v>249.81</v>
      </c>
      <c r="L10" s="41">
        <v>28.62</v>
      </c>
      <c r="M10" s="41">
        <v>76.56</v>
      </c>
      <c r="N10" s="41">
        <v>1.9</v>
      </c>
      <c r="O10" s="41">
        <v>0</v>
      </c>
      <c r="P10" s="41">
        <v>0.21</v>
      </c>
      <c r="Q10" s="41">
        <v>9.92</v>
      </c>
      <c r="R10" s="38"/>
      <c r="S10" s="38"/>
      <c r="T10" s="38"/>
      <c r="U10" s="38"/>
    </row>
    <row r="11" spans="1:21" customFormat="1">
      <c r="A11" s="40" t="s">
        <v>446</v>
      </c>
      <c r="B11" s="41">
        <v>4.76</v>
      </c>
      <c r="C11" s="41">
        <v>8.85</v>
      </c>
      <c r="D11" s="41">
        <v>4.0999999999999996</v>
      </c>
      <c r="E11" s="41">
        <v>5.44</v>
      </c>
      <c r="F11" s="41">
        <v>2.8</v>
      </c>
      <c r="G11" s="41">
        <v>22.99</v>
      </c>
      <c r="H11" s="41">
        <v>6.59</v>
      </c>
      <c r="I11" s="41">
        <v>3.69</v>
      </c>
      <c r="J11" s="41">
        <v>0.64</v>
      </c>
      <c r="K11" s="41">
        <v>254.36</v>
      </c>
      <c r="L11" s="41">
        <v>28.21</v>
      </c>
      <c r="M11" s="41">
        <v>76.47</v>
      </c>
      <c r="N11" s="41">
        <v>1.9</v>
      </c>
      <c r="O11" s="41">
        <v>0</v>
      </c>
      <c r="P11" s="41">
        <v>0.2</v>
      </c>
      <c r="Q11" s="41">
        <v>9.93</v>
      </c>
      <c r="R11" s="38"/>
      <c r="S11" s="38"/>
      <c r="T11" s="38"/>
      <c r="U11" s="38"/>
    </row>
    <row r="12" spans="1:21" customFormat="1">
      <c r="A12" s="40" t="s">
        <v>447</v>
      </c>
      <c r="B12" s="41">
        <v>4.54</v>
      </c>
      <c r="C12" s="41">
        <v>8.18</v>
      </c>
      <c r="D12" s="41">
        <v>3.73</v>
      </c>
      <c r="E12" s="41">
        <v>5.72</v>
      </c>
      <c r="F12" s="41">
        <v>3.48</v>
      </c>
      <c r="G12" s="41">
        <v>19.34</v>
      </c>
      <c r="H12" s="41">
        <v>6.84</v>
      </c>
      <c r="I12" s="41">
        <v>3.74</v>
      </c>
      <c r="J12" s="41">
        <v>0.81</v>
      </c>
      <c r="K12" s="41">
        <v>253.84</v>
      </c>
      <c r="L12" s="41">
        <v>28.07</v>
      </c>
      <c r="M12" s="41">
        <v>76.16</v>
      </c>
      <c r="N12" s="41">
        <v>1.9</v>
      </c>
      <c r="O12" s="41">
        <v>0</v>
      </c>
      <c r="P12" s="41">
        <v>0.19</v>
      </c>
      <c r="Q12" s="41">
        <v>9.92</v>
      </c>
      <c r="R12" s="38"/>
      <c r="S12" s="38"/>
      <c r="T12" s="38"/>
      <c r="U12" s="38"/>
    </row>
    <row r="13" spans="1:21" customFormat="1">
      <c r="A13" s="40" t="s">
        <v>448</v>
      </c>
      <c r="B13" s="41">
        <v>4.2699999999999996</v>
      </c>
      <c r="C13" s="41">
        <v>7.7</v>
      </c>
      <c r="D13" s="41">
        <v>3.46</v>
      </c>
      <c r="E13" s="41">
        <v>5.6</v>
      </c>
      <c r="F13" s="41">
        <v>3.8</v>
      </c>
      <c r="G13" s="41">
        <v>24.54</v>
      </c>
      <c r="H13" s="41">
        <v>6.49</v>
      </c>
      <c r="I13" s="41">
        <v>3.44</v>
      </c>
      <c r="J13" s="41">
        <v>0.98</v>
      </c>
      <c r="K13" s="41">
        <v>258.02</v>
      </c>
      <c r="L13" s="41">
        <v>27.74</v>
      </c>
      <c r="M13" s="41">
        <v>76.930000000000007</v>
      </c>
      <c r="N13" s="41">
        <v>2</v>
      </c>
      <c r="O13" s="41">
        <v>0</v>
      </c>
      <c r="P13" s="41">
        <v>0.18</v>
      </c>
      <c r="Q13" s="41">
        <v>9.91</v>
      </c>
      <c r="R13" s="38"/>
      <c r="S13" s="38"/>
      <c r="T13" s="38"/>
      <c r="U13" s="38"/>
    </row>
    <row r="14" spans="1:21" customFormat="1">
      <c r="A14" s="40" t="s">
        <v>449</v>
      </c>
      <c r="B14" s="41">
        <v>4.24</v>
      </c>
      <c r="C14" s="41">
        <v>7.45</v>
      </c>
      <c r="D14" s="41">
        <v>3.35</v>
      </c>
      <c r="E14" s="41">
        <v>5.84</v>
      </c>
      <c r="F14" s="41">
        <v>4.37</v>
      </c>
      <c r="G14" s="41">
        <v>22.98</v>
      </c>
      <c r="H14" s="41">
        <v>4.59</v>
      </c>
      <c r="I14" s="41">
        <v>3.19</v>
      </c>
      <c r="J14" s="41">
        <v>0.92</v>
      </c>
      <c r="K14" s="41">
        <v>259.67</v>
      </c>
      <c r="L14" s="41">
        <v>27.5</v>
      </c>
      <c r="M14" s="41">
        <v>79.349999999999994</v>
      </c>
      <c r="N14" s="41">
        <v>18.3</v>
      </c>
      <c r="O14" s="41">
        <v>0</v>
      </c>
      <c r="P14" s="41">
        <v>0.2</v>
      </c>
      <c r="Q14" s="41">
        <v>9.92</v>
      </c>
      <c r="R14" s="38"/>
      <c r="S14" s="38"/>
      <c r="T14" s="38"/>
      <c r="U14" s="38"/>
    </row>
    <row r="15" spans="1:21" customFormat="1">
      <c r="A15" s="40" t="s">
        <v>450</v>
      </c>
      <c r="B15" s="41">
        <v>4.4800000000000004</v>
      </c>
      <c r="C15" s="41">
        <v>6.92</v>
      </c>
      <c r="D15" s="41">
        <v>2.61</v>
      </c>
      <c r="E15" s="41">
        <v>4.92</v>
      </c>
      <c r="F15" s="41">
        <v>4.5999999999999996</v>
      </c>
      <c r="G15" s="41">
        <v>18.45</v>
      </c>
      <c r="H15" s="41">
        <v>3.41</v>
      </c>
      <c r="I15" s="41">
        <v>3.04</v>
      </c>
      <c r="J15" s="41">
        <v>0.66</v>
      </c>
      <c r="K15" s="41">
        <v>258.93</v>
      </c>
      <c r="L15" s="41">
        <v>27.47</v>
      </c>
      <c r="M15" s="41">
        <v>80.59</v>
      </c>
      <c r="N15" s="41">
        <v>56.1</v>
      </c>
      <c r="O15" s="41">
        <v>0</v>
      </c>
      <c r="P15" s="41">
        <v>0.2</v>
      </c>
      <c r="Q15" s="41">
        <v>9.92</v>
      </c>
      <c r="R15" s="38"/>
      <c r="S15" s="38"/>
      <c r="T15" s="38"/>
      <c r="U15" s="38"/>
    </row>
    <row r="16" spans="1:21" customFormat="1">
      <c r="A16" s="40" t="s">
        <v>451</v>
      </c>
      <c r="B16" s="41">
        <v>4.6100000000000003</v>
      </c>
      <c r="C16" s="41">
        <v>7</v>
      </c>
      <c r="D16" s="41">
        <v>2.44</v>
      </c>
      <c r="E16" s="41">
        <v>4.54</v>
      </c>
      <c r="F16" s="41">
        <v>3.24</v>
      </c>
      <c r="G16" s="41">
        <v>16.12</v>
      </c>
      <c r="H16" s="41">
        <v>3.7</v>
      </c>
      <c r="I16" s="41">
        <v>3.12</v>
      </c>
      <c r="J16" s="41">
        <v>0.81</v>
      </c>
      <c r="K16" s="41">
        <v>261.89999999999998</v>
      </c>
      <c r="L16" s="41">
        <v>27.78</v>
      </c>
      <c r="M16" s="41">
        <v>79.83</v>
      </c>
      <c r="N16" s="41">
        <v>92.2</v>
      </c>
      <c r="O16" s="41">
        <v>0</v>
      </c>
      <c r="P16" s="41">
        <v>0.2</v>
      </c>
      <c r="Q16" s="41">
        <v>9.92</v>
      </c>
      <c r="R16" s="38"/>
      <c r="S16" s="38"/>
      <c r="T16" s="38"/>
      <c r="U16" s="38"/>
    </row>
    <row r="17" spans="1:21" customFormat="1">
      <c r="A17" s="40" t="s">
        <v>452</v>
      </c>
      <c r="B17" s="41">
        <v>4.58</v>
      </c>
      <c r="C17" s="41">
        <v>7.11</v>
      </c>
      <c r="D17" s="41">
        <v>2.57</v>
      </c>
      <c r="E17" s="41">
        <v>4.5</v>
      </c>
      <c r="F17" s="41">
        <v>3.63</v>
      </c>
      <c r="G17" s="41">
        <v>25.06</v>
      </c>
      <c r="H17" s="41">
        <v>6.46</v>
      </c>
      <c r="I17" s="41">
        <v>3.28</v>
      </c>
      <c r="J17" s="41">
        <v>0.98</v>
      </c>
      <c r="K17" s="41">
        <v>256.38</v>
      </c>
      <c r="L17" s="41">
        <v>28.37</v>
      </c>
      <c r="M17" s="41">
        <v>77.75</v>
      </c>
      <c r="N17" s="41">
        <v>141.5</v>
      </c>
      <c r="O17" s="41">
        <v>0</v>
      </c>
      <c r="P17" s="41">
        <v>0.21</v>
      </c>
      <c r="Q17" s="41">
        <v>9.92</v>
      </c>
      <c r="R17" s="38"/>
      <c r="S17" s="38"/>
      <c r="T17" s="38"/>
      <c r="U17" s="38"/>
    </row>
    <row r="18" spans="1:21" customFormat="1">
      <c r="A18" s="40" t="s">
        <v>453</v>
      </c>
      <c r="B18" s="41">
        <v>4.53</v>
      </c>
      <c r="C18" s="41">
        <v>7.09</v>
      </c>
      <c r="D18" s="41">
        <v>2.74</v>
      </c>
      <c r="E18" s="41">
        <v>4.6500000000000004</v>
      </c>
      <c r="F18" s="41">
        <v>3.82</v>
      </c>
      <c r="G18" s="41">
        <v>23.54</v>
      </c>
      <c r="H18" s="41">
        <v>5.94</v>
      </c>
      <c r="I18" s="41">
        <v>3.34</v>
      </c>
      <c r="J18" s="41">
        <v>1.04</v>
      </c>
      <c r="K18" s="41">
        <v>256.89999999999998</v>
      </c>
      <c r="L18" s="41">
        <v>28.94</v>
      </c>
      <c r="M18" s="41">
        <v>75.16</v>
      </c>
      <c r="N18" s="41">
        <v>147.9</v>
      </c>
      <c r="O18" s="41">
        <v>0</v>
      </c>
      <c r="P18" s="41">
        <v>0.21</v>
      </c>
      <c r="Q18" s="41">
        <v>9.93</v>
      </c>
      <c r="R18" s="38"/>
      <c r="S18" s="38"/>
      <c r="T18" s="38"/>
      <c r="U18" s="38"/>
    </row>
    <row r="19" spans="1:21" customFormat="1">
      <c r="A19" s="40" t="s">
        <v>454</v>
      </c>
      <c r="B19" s="41">
        <v>4.4000000000000004</v>
      </c>
      <c r="C19" s="41">
        <v>8.44</v>
      </c>
      <c r="D19" s="41">
        <v>4.0999999999999996</v>
      </c>
      <c r="E19" s="41">
        <v>5.14</v>
      </c>
      <c r="F19" s="41">
        <v>5.17</v>
      </c>
      <c r="G19" s="41">
        <v>25.68</v>
      </c>
      <c r="H19" s="41">
        <v>5.05</v>
      </c>
      <c r="I19" s="41">
        <v>3.27</v>
      </c>
      <c r="J19" s="41">
        <v>1.18</v>
      </c>
      <c r="K19" s="41">
        <v>259.77999999999997</v>
      </c>
      <c r="L19" s="41">
        <v>30.03</v>
      </c>
      <c r="M19" s="41">
        <v>71.31</v>
      </c>
      <c r="N19" s="41">
        <v>241.1</v>
      </c>
      <c r="O19" s="41">
        <v>0</v>
      </c>
      <c r="P19" s="41">
        <v>0.18</v>
      </c>
      <c r="Q19" s="41">
        <v>9.92</v>
      </c>
      <c r="R19" s="38"/>
      <c r="S19" s="38"/>
      <c r="T19" s="38"/>
      <c r="U19" s="38"/>
    </row>
    <row r="20" spans="1:21" customFormat="1">
      <c r="A20" s="40" t="s">
        <v>455</v>
      </c>
      <c r="B20" s="41">
        <v>4.4800000000000004</v>
      </c>
      <c r="C20" s="41">
        <v>9.49</v>
      </c>
      <c r="D20" s="41">
        <v>5.01</v>
      </c>
      <c r="E20" s="41">
        <v>5.92</v>
      </c>
      <c r="F20" s="41">
        <v>4.0999999999999996</v>
      </c>
      <c r="G20" s="41">
        <v>27.18</v>
      </c>
      <c r="H20" s="41">
        <v>6.69</v>
      </c>
      <c r="I20" s="41">
        <v>4.04</v>
      </c>
      <c r="J20" s="41">
        <v>1.24</v>
      </c>
      <c r="K20" s="41">
        <v>269.13</v>
      </c>
      <c r="L20" s="41">
        <v>31.3</v>
      </c>
      <c r="M20" s="41">
        <v>65.72</v>
      </c>
      <c r="N20" s="41">
        <v>366.5</v>
      </c>
      <c r="O20" s="41">
        <v>0</v>
      </c>
      <c r="P20" s="41">
        <v>0.26</v>
      </c>
      <c r="Q20" s="41">
        <v>9.92</v>
      </c>
      <c r="R20" s="38"/>
      <c r="S20" s="38"/>
      <c r="T20" s="38"/>
      <c r="U20" s="38"/>
    </row>
    <row r="21" spans="1:21" customFormat="1">
      <c r="A21" s="40" t="s">
        <v>456</v>
      </c>
      <c r="B21" s="41">
        <v>4.3600000000000003</v>
      </c>
      <c r="C21" s="41">
        <v>9.23</v>
      </c>
      <c r="D21" s="41">
        <v>4.87</v>
      </c>
      <c r="E21" s="41">
        <v>5.83</v>
      </c>
      <c r="F21" s="41">
        <v>4.08</v>
      </c>
      <c r="G21" s="41">
        <v>47.89</v>
      </c>
      <c r="H21" s="41">
        <v>9.8000000000000007</v>
      </c>
      <c r="I21" s="41">
        <v>4.4800000000000004</v>
      </c>
      <c r="J21" s="41">
        <v>1.17</v>
      </c>
      <c r="K21" s="41">
        <v>277.68</v>
      </c>
      <c r="L21" s="41">
        <v>32.07</v>
      </c>
      <c r="M21" s="41">
        <v>61.83</v>
      </c>
      <c r="N21" s="41">
        <v>383.4</v>
      </c>
      <c r="O21" s="41">
        <v>0</v>
      </c>
      <c r="P21" s="41">
        <v>0.27</v>
      </c>
      <c r="Q21" s="41">
        <v>9.91</v>
      </c>
      <c r="R21" s="38"/>
      <c r="S21" s="38"/>
      <c r="T21" s="38"/>
      <c r="U21" s="38"/>
    </row>
    <row r="22" spans="1:21" customFormat="1">
      <c r="A22" s="40" t="s">
        <v>457</v>
      </c>
      <c r="B22" s="41">
        <v>4.09</v>
      </c>
      <c r="C22" s="41">
        <v>8.0299999999999994</v>
      </c>
      <c r="D22" s="41">
        <v>3.97</v>
      </c>
      <c r="E22" s="41">
        <v>5.81</v>
      </c>
      <c r="F22" s="41">
        <v>4.83</v>
      </c>
      <c r="G22" s="41">
        <v>48.71</v>
      </c>
      <c r="H22" s="41">
        <v>11.11</v>
      </c>
      <c r="I22" s="41">
        <v>4.4400000000000004</v>
      </c>
      <c r="J22" s="41">
        <v>1.1399999999999999</v>
      </c>
      <c r="K22" s="41">
        <v>261.55</v>
      </c>
      <c r="L22" s="41">
        <v>32.04</v>
      </c>
      <c r="M22" s="41">
        <v>61.29</v>
      </c>
      <c r="N22" s="41">
        <v>325.7</v>
      </c>
      <c r="O22" s="41">
        <v>0</v>
      </c>
      <c r="P22" s="41">
        <v>0.24</v>
      </c>
      <c r="Q22" s="41">
        <v>9.91</v>
      </c>
      <c r="R22" s="38"/>
      <c r="S22" s="38"/>
      <c r="T22" s="38"/>
      <c r="U22" s="38"/>
    </row>
    <row r="23" spans="1:21" customFormat="1">
      <c r="A23" s="40" t="s">
        <v>458</v>
      </c>
      <c r="B23" s="41">
        <v>4.0199999999999996</v>
      </c>
      <c r="C23" s="41">
        <v>7.46</v>
      </c>
      <c r="D23" s="41">
        <v>3.44</v>
      </c>
      <c r="E23" s="41">
        <v>6.09</v>
      </c>
      <c r="F23" s="41">
        <v>5.53</v>
      </c>
      <c r="G23" s="41">
        <v>47.18</v>
      </c>
      <c r="H23" s="41">
        <v>14.31</v>
      </c>
      <c r="I23" s="41">
        <v>4</v>
      </c>
      <c r="J23" s="41">
        <v>1.07</v>
      </c>
      <c r="K23" s="41">
        <v>250.94</v>
      </c>
      <c r="L23" s="41">
        <v>32.24</v>
      </c>
      <c r="M23" s="41">
        <v>60.85</v>
      </c>
      <c r="N23" s="41">
        <v>296.89999999999998</v>
      </c>
      <c r="O23" s="41">
        <v>0</v>
      </c>
      <c r="P23" s="41">
        <v>0.28999999999999998</v>
      </c>
      <c r="Q23" s="41">
        <v>9.91</v>
      </c>
      <c r="R23" s="38"/>
      <c r="S23" s="38"/>
      <c r="T23" s="38"/>
      <c r="U23" s="38"/>
    </row>
    <row r="24" spans="1:21" customFormat="1">
      <c r="A24" s="40" t="s">
        <v>459</v>
      </c>
      <c r="B24" s="41">
        <v>4.2</v>
      </c>
      <c r="C24" s="41">
        <v>7.3</v>
      </c>
      <c r="D24" s="41">
        <v>3.18</v>
      </c>
      <c r="E24" s="41">
        <v>6</v>
      </c>
      <c r="F24" s="41">
        <v>9.07</v>
      </c>
      <c r="G24" s="41">
        <v>45.3</v>
      </c>
      <c r="H24" s="41">
        <v>14.61</v>
      </c>
      <c r="I24" s="41">
        <v>3.76</v>
      </c>
      <c r="J24" s="41">
        <v>1.1100000000000001</v>
      </c>
      <c r="K24" s="41">
        <v>265.05</v>
      </c>
      <c r="L24" s="41">
        <v>32.75</v>
      </c>
      <c r="M24" s="41">
        <v>59.05</v>
      </c>
      <c r="N24" s="41">
        <v>250.7</v>
      </c>
      <c r="O24" s="41">
        <v>0</v>
      </c>
      <c r="P24" s="41">
        <v>0.34</v>
      </c>
      <c r="Q24" s="41">
        <v>9.91</v>
      </c>
      <c r="R24" s="38"/>
      <c r="S24" s="38"/>
      <c r="T24" s="38"/>
      <c r="U24" s="38"/>
    </row>
    <row r="25" spans="1:21" customFormat="1">
      <c r="A25" s="40" t="s">
        <v>460</v>
      </c>
      <c r="B25" s="41">
        <v>4.29</v>
      </c>
      <c r="C25" s="41">
        <v>6.98</v>
      </c>
      <c r="D25" s="41">
        <v>2.77</v>
      </c>
      <c r="E25" s="41">
        <v>5.36</v>
      </c>
      <c r="F25" s="41">
        <v>14.19</v>
      </c>
      <c r="G25" s="41">
        <v>44.53</v>
      </c>
      <c r="H25" s="41">
        <v>14.33</v>
      </c>
      <c r="I25" s="41">
        <v>3.48</v>
      </c>
      <c r="J25" s="41">
        <v>0.86</v>
      </c>
      <c r="K25" s="41">
        <v>258.48</v>
      </c>
      <c r="L25" s="41">
        <v>32.64</v>
      </c>
      <c r="M25" s="41">
        <v>59.52</v>
      </c>
      <c r="N25" s="41">
        <v>164.7</v>
      </c>
      <c r="O25" s="41">
        <v>0</v>
      </c>
      <c r="P25" s="41">
        <v>0.33</v>
      </c>
      <c r="Q25" s="41">
        <v>9.91</v>
      </c>
      <c r="R25" s="38"/>
      <c r="S25" s="38"/>
      <c r="T25" s="38"/>
      <c r="U25" s="38"/>
    </row>
    <row r="26" spans="1:21" customFormat="1">
      <c r="A26" s="40" t="s">
        <v>461</v>
      </c>
      <c r="B26" s="41">
        <v>4.24</v>
      </c>
      <c r="C26" s="41">
        <v>6.78</v>
      </c>
      <c r="D26" s="41">
        <v>2.54</v>
      </c>
      <c r="E26" s="41">
        <v>4.95</v>
      </c>
      <c r="F26" s="41">
        <v>15.08</v>
      </c>
      <c r="G26" s="41">
        <v>63.15</v>
      </c>
      <c r="H26" s="41">
        <v>11.87</v>
      </c>
      <c r="I26" s="41">
        <v>3.55</v>
      </c>
      <c r="J26" s="41">
        <v>0.88</v>
      </c>
      <c r="K26" s="41">
        <v>255.63</v>
      </c>
      <c r="L26" s="41">
        <v>32.1</v>
      </c>
      <c r="M26" s="41">
        <v>60.02</v>
      </c>
      <c r="N26" s="41">
        <v>66</v>
      </c>
      <c r="O26" s="41">
        <v>0</v>
      </c>
      <c r="P26" s="41">
        <v>0.32</v>
      </c>
      <c r="Q26" s="41">
        <v>9.92</v>
      </c>
      <c r="R26" s="38"/>
      <c r="S26" s="38"/>
      <c r="T26" s="38"/>
      <c r="U26" s="38"/>
    </row>
    <row r="27" spans="1:21" customFormat="1">
      <c r="A27" s="40" t="s">
        <v>462</v>
      </c>
      <c r="B27" s="41">
        <v>4.1399999999999997</v>
      </c>
      <c r="C27" s="41">
        <v>7</v>
      </c>
      <c r="D27" s="41">
        <v>2.95</v>
      </c>
      <c r="E27" s="41">
        <v>4.99</v>
      </c>
      <c r="F27" s="41">
        <v>20.23</v>
      </c>
      <c r="G27" s="41">
        <v>60.63</v>
      </c>
      <c r="H27" s="41">
        <v>10.68</v>
      </c>
      <c r="I27" s="41">
        <v>3.67</v>
      </c>
      <c r="J27" s="41">
        <v>0.68</v>
      </c>
      <c r="K27" s="41">
        <v>254.92</v>
      </c>
      <c r="L27" s="41">
        <v>31.29</v>
      </c>
      <c r="M27" s="41">
        <v>63.4</v>
      </c>
      <c r="N27" s="41">
        <v>19</v>
      </c>
      <c r="O27" s="41">
        <v>0</v>
      </c>
      <c r="P27" s="41">
        <v>0.31</v>
      </c>
      <c r="Q27" s="41">
        <v>9.93</v>
      </c>
      <c r="R27" s="38"/>
      <c r="S27" s="38"/>
      <c r="T27" s="38"/>
      <c r="U27" s="38"/>
    </row>
    <row r="28" spans="1:21" customFormat="1">
      <c r="A28" s="40" t="s">
        <v>463</v>
      </c>
      <c r="B28" s="41">
        <v>3.85</v>
      </c>
      <c r="C28" s="41">
        <v>6.79</v>
      </c>
      <c r="D28" s="41">
        <v>3.07</v>
      </c>
      <c r="E28" s="41">
        <v>5.56</v>
      </c>
      <c r="F28" s="41">
        <v>12.82</v>
      </c>
      <c r="G28" s="41">
        <v>53.76</v>
      </c>
      <c r="H28" s="41">
        <v>12.97</v>
      </c>
      <c r="I28" s="41">
        <v>4.08</v>
      </c>
      <c r="J28" s="41">
        <v>0.82</v>
      </c>
      <c r="K28" s="41">
        <v>252.92</v>
      </c>
      <c r="L28" s="41">
        <v>30.78</v>
      </c>
      <c r="M28" s="41">
        <v>64.34</v>
      </c>
      <c r="N28" s="41">
        <v>2</v>
      </c>
      <c r="O28" s="41">
        <v>0</v>
      </c>
      <c r="P28" s="41">
        <v>0.33</v>
      </c>
      <c r="Q28" s="41">
        <v>9.91</v>
      </c>
      <c r="R28" s="38"/>
      <c r="S28" s="38"/>
      <c r="T28" s="38"/>
      <c r="U28" s="38"/>
    </row>
    <row r="29" spans="1:21" customFormat="1">
      <c r="A29" s="40" t="s">
        <v>464</v>
      </c>
      <c r="B29" s="41">
        <v>3.78</v>
      </c>
      <c r="C29" s="41">
        <v>7.88</v>
      </c>
      <c r="D29" s="41">
        <v>4.1399999999999997</v>
      </c>
      <c r="E29" s="41">
        <v>6.02</v>
      </c>
      <c r="F29" s="41">
        <v>6.1</v>
      </c>
      <c r="G29" s="41">
        <v>55.96</v>
      </c>
      <c r="H29" s="41">
        <v>14.74</v>
      </c>
      <c r="I29" s="41">
        <v>3.95</v>
      </c>
      <c r="J29" s="41">
        <v>1.06</v>
      </c>
      <c r="K29" s="41">
        <v>252.85</v>
      </c>
      <c r="L29" s="41">
        <v>30.45</v>
      </c>
      <c r="M29" s="41">
        <v>65.87</v>
      </c>
      <c r="N29" s="41">
        <v>3</v>
      </c>
      <c r="O29" s="41">
        <v>0</v>
      </c>
      <c r="P29" s="41">
        <v>0.31</v>
      </c>
      <c r="Q29" s="41">
        <v>9.9</v>
      </c>
      <c r="R29" s="38"/>
      <c r="S29" s="38"/>
      <c r="T29" s="38"/>
      <c r="U29" s="38"/>
    </row>
    <row r="30" spans="1:21" customFormat="1">
      <c r="A30" s="40" t="s">
        <v>465</v>
      </c>
      <c r="B30" s="41">
        <v>3.71</v>
      </c>
      <c r="C30" s="41">
        <v>7.63</v>
      </c>
      <c r="D30" s="41">
        <v>3.94</v>
      </c>
      <c r="E30" s="41">
        <v>6.18</v>
      </c>
      <c r="F30" s="41">
        <v>4.18</v>
      </c>
      <c r="G30" s="41">
        <v>54.56</v>
      </c>
      <c r="H30" s="41">
        <v>13.8</v>
      </c>
      <c r="I30" s="41">
        <v>3.92</v>
      </c>
      <c r="J30" s="41">
        <v>0.97</v>
      </c>
      <c r="K30" s="41">
        <v>256.33999999999997</v>
      </c>
      <c r="L30" s="41">
        <v>28.96</v>
      </c>
      <c r="M30" s="41">
        <v>70.2</v>
      </c>
      <c r="N30" s="41">
        <v>2.4</v>
      </c>
      <c r="O30" s="41">
        <v>0</v>
      </c>
      <c r="P30" s="41">
        <v>0.28000000000000003</v>
      </c>
      <c r="Q30" s="41">
        <v>9.91</v>
      </c>
      <c r="R30" s="38"/>
      <c r="S30" s="38"/>
      <c r="T30" s="38"/>
      <c r="U30" s="38"/>
    </row>
    <row r="31" spans="1:21" customFormat="1">
      <c r="A31" s="40" t="s">
        <v>466</v>
      </c>
      <c r="B31" s="41">
        <v>3.73</v>
      </c>
      <c r="C31" s="41">
        <v>7.41</v>
      </c>
      <c r="D31" s="41">
        <v>3.7</v>
      </c>
      <c r="E31" s="41">
        <v>6.29</v>
      </c>
      <c r="F31" s="41">
        <v>3.46</v>
      </c>
      <c r="G31" s="41">
        <v>47.8</v>
      </c>
      <c r="H31" s="41">
        <v>12.02</v>
      </c>
      <c r="I31" s="41">
        <v>3.59</v>
      </c>
      <c r="J31" s="41">
        <v>0.83</v>
      </c>
      <c r="K31" s="41">
        <v>255.09</v>
      </c>
      <c r="L31" s="41">
        <v>28.72</v>
      </c>
      <c r="M31" s="41">
        <v>68.37</v>
      </c>
      <c r="N31" s="41">
        <v>2</v>
      </c>
      <c r="O31" s="41">
        <v>0</v>
      </c>
      <c r="P31" s="41">
        <v>0.27</v>
      </c>
      <c r="Q31" s="41">
        <v>9.92</v>
      </c>
      <c r="R31" s="38"/>
      <c r="S31" s="38"/>
      <c r="T31" s="38"/>
      <c r="U31" s="38"/>
    </row>
    <row r="32" spans="1:21" customFormat="1">
      <c r="A32" s="40" t="s">
        <v>467</v>
      </c>
      <c r="B32" s="41">
        <v>3.8</v>
      </c>
      <c r="C32" s="41">
        <v>7.39</v>
      </c>
      <c r="D32" s="41">
        <v>3.65</v>
      </c>
      <c r="E32" s="41">
        <v>6.55</v>
      </c>
      <c r="F32" s="41">
        <v>3.42</v>
      </c>
      <c r="G32" s="41">
        <v>37.340000000000003</v>
      </c>
      <c r="H32" s="41">
        <v>9.67</v>
      </c>
      <c r="I32" s="41">
        <v>3.4</v>
      </c>
      <c r="J32" s="41">
        <v>0.45</v>
      </c>
      <c r="K32" s="41">
        <v>252.69</v>
      </c>
      <c r="L32" s="41">
        <v>28.32</v>
      </c>
      <c r="M32" s="41">
        <v>70.38</v>
      </c>
      <c r="N32" s="41">
        <v>2.1</v>
      </c>
      <c r="O32" s="41">
        <v>0</v>
      </c>
      <c r="P32" s="41">
        <v>0.26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3.71</v>
      </c>
      <c r="C34" s="18">
        <f t="shared" si="0"/>
        <v>6.78</v>
      </c>
      <c r="D34" s="18">
        <f t="shared" si="0"/>
        <v>2.44</v>
      </c>
      <c r="E34" s="18">
        <f t="shared" si="0"/>
        <v>4.1500000000000004</v>
      </c>
      <c r="F34" s="18">
        <f t="shared" si="0"/>
        <v>2.68</v>
      </c>
      <c r="G34" s="18">
        <f t="shared" si="0"/>
        <v>16.12</v>
      </c>
      <c r="H34" s="18">
        <f t="shared" si="0"/>
        <v>3.41</v>
      </c>
      <c r="I34" s="18">
        <f t="shared" si="0"/>
        <v>3.04</v>
      </c>
      <c r="J34" s="18">
        <f t="shared" si="0"/>
        <v>0.27</v>
      </c>
      <c r="K34" s="18">
        <f t="shared" si="0"/>
        <v>242.14</v>
      </c>
      <c r="L34" s="18">
        <f t="shared" si="0"/>
        <v>27.47</v>
      </c>
      <c r="M34" s="18">
        <f t="shared" si="0"/>
        <v>59.05</v>
      </c>
      <c r="N34" s="18">
        <f t="shared" si="0"/>
        <v>1.7</v>
      </c>
      <c r="O34" s="18">
        <f t="shared" si="0"/>
        <v>0</v>
      </c>
      <c r="P34" s="18">
        <f t="shared" si="0"/>
        <v>0.18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5.19</v>
      </c>
      <c r="C35" s="3">
        <f t="shared" si="1"/>
        <v>9.49</v>
      </c>
      <c r="D35" s="3">
        <f t="shared" si="1"/>
        <v>5.01</v>
      </c>
      <c r="E35" s="3">
        <f t="shared" si="1"/>
        <v>6.55</v>
      </c>
      <c r="F35" s="3">
        <f t="shared" si="1"/>
        <v>20.23</v>
      </c>
      <c r="G35" s="3">
        <f t="shared" si="1"/>
        <v>63.15</v>
      </c>
      <c r="H35" s="3">
        <f t="shared" si="1"/>
        <v>14.74</v>
      </c>
      <c r="I35" s="3">
        <f t="shared" si="1"/>
        <v>4.4800000000000004</v>
      </c>
      <c r="J35" s="3">
        <f t="shared" si="1"/>
        <v>1.24</v>
      </c>
      <c r="K35" s="3">
        <f t="shared" si="1"/>
        <v>277.68</v>
      </c>
      <c r="L35" s="3">
        <f t="shared" si="1"/>
        <v>32.75</v>
      </c>
      <c r="M35" s="3">
        <f t="shared" si="1"/>
        <v>82.67</v>
      </c>
      <c r="N35" s="3">
        <f t="shared" si="1"/>
        <v>383.4</v>
      </c>
      <c r="O35" s="3">
        <f t="shared" si="1"/>
        <v>0</v>
      </c>
      <c r="P35" s="3">
        <f t="shared" si="1"/>
        <v>0.34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4.308749999999999</v>
      </c>
      <c r="C36" s="18">
        <f t="shared" si="2"/>
        <v>7.7729166666666645</v>
      </c>
      <c r="D36" s="18">
        <f t="shared" si="2"/>
        <v>3.5212499999999998</v>
      </c>
      <c r="E36" s="18">
        <f t="shared" si="2"/>
        <v>5.4375</v>
      </c>
      <c r="F36" s="18">
        <f t="shared" si="2"/>
        <v>6.300416666666667</v>
      </c>
      <c r="G36" s="18">
        <f t="shared" si="2"/>
        <v>36.585833333333333</v>
      </c>
      <c r="H36" s="18">
        <f t="shared" si="2"/>
        <v>9.1570833333333344</v>
      </c>
      <c r="I36" s="18">
        <f t="shared" si="2"/>
        <v>3.6795833333333339</v>
      </c>
      <c r="J36" s="18">
        <f t="shared" si="2"/>
        <v>0.87458333333333316</v>
      </c>
      <c r="K36" s="18">
        <f t="shared" si="2"/>
        <v>257.29166666666674</v>
      </c>
      <c r="L36" s="18">
        <f t="shared" si="2"/>
        <v>29.787500000000005</v>
      </c>
      <c r="M36" s="18">
        <f t="shared" si="2"/>
        <v>70.150833333333352</v>
      </c>
      <c r="N36" s="18">
        <f t="shared" si="2"/>
        <v>107.95416666666665</v>
      </c>
      <c r="O36" s="18">
        <f t="shared" si="2"/>
        <v>0</v>
      </c>
      <c r="P36" s="18">
        <f t="shared" si="2"/>
        <v>0.25208333333333327</v>
      </c>
      <c r="Q36" s="18">
        <f t="shared" si="2"/>
        <v>9.9179166666666649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0.39562072856406971</v>
      </c>
      <c r="C37" s="18">
        <f t="shared" ref="C37:Q37" si="3">STDEV(C9:C32)</f>
        <v>0.86596254144647677</v>
      </c>
      <c r="D37" s="18">
        <f t="shared" si="3"/>
        <v>0.72065376417950311</v>
      </c>
      <c r="E37" s="18">
        <f t="shared" si="3"/>
        <v>0.66409958656030588</v>
      </c>
      <c r="F37" s="18">
        <f t="shared" si="3"/>
        <v>4.602124725901465</v>
      </c>
      <c r="G37" s="18">
        <f t="shared" si="3"/>
        <v>15.310089857648617</v>
      </c>
      <c r="H37" s="18">
        <f t="shared" si="3"/>
        <v>3.7601624377107652</v>
      </c>
      <c r="I37" s="18">
        <f t="shared" si="3"/>
        <v>0.38871560148851164</v>
      </c>
      <c r="J37" s="18">
        <f t="shared" si="3"/>
        <v>0.25351407072975529</v>
      </c>
      <c r="K37" s="18">
        <f t="shared" si="3"/>
        <v>6.8948832109582288</v>
      </c>
      <c r="L37" s="18">
        <f t="shared" si="3"/>
        <v>1.8480500887245404</v>
      </c>
      <c r="M37" s="18">
        <f t="shared" si="3"/>
        <v>7.7597976871130321</v>
      </c>
      <c r="N37" s="18">
        <f t="shared" si="3"/>
        <v>132.30346204404697</v>
      </c>
      <c r="O37" s="18">
        <f t="shared" si="3"/>
        <v>0</v>
      </c>
      <c r="P37" s="18">
        <f t="shared" si="3"/>
        <v>5.3077397684207987E-2</v>
      </c>
      <c r="Q37" s="18">
        <f t="shared" si="3"/>
        <v>1.0206207261596359E-2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468</v>
      </c>
      <c r="B9" s="41">
        <v>3.81</v>
      </c>
      <c r="C9" s="41">
        <v>7.52</v>
      </c>
      <c r="D9" s="41">
        <v>3.71</v>
      </c>
      <c r="E9" s="41">
        <v>6.77</v>
      </c>
      <c r="F9" s="41">
        <v>3.43</v>
      </c>
      <c r="G9" s="41">
        <v>33.56</v>
      </c>
      <c r="H9" s="41">
        <v>8.6199999999999992</v>
      </c>
      <c r="I9" s="41">
        <v>3.35</v>
      </c>
      <c r="J9" s="41">
        <v>0.35</v>
      </c>
      <c r="K9" s="41">
        <v>252.74</v>
      </c>
      <c r="L9" s="41">
        <v>28.31</v>
      </c>
      <c r="M9" s="41">
        <v>71.2</v>
      </c>
      <c r="N9" s="41">
        <v>2</v>
      </c>
      <c r="O9" s="41">
        <v>0</v>
      </c>
      <c r="P9" s="41">
        <v>0.27</v>
      </c>
      <c r="Q9" s="41">
        <v>9.91</v>
      </c>
      <c r="R9" s="38"/>
      <c r="S9" s="38"/>
      <c r="T9" s="38"/>
      <c r="U9" s="38"/>
    </row>
    <row r="10" spans="1:21" customFormat="1">
      <c r="A10" s="40" t="s">
        <v>469</v>
      </c>
      <c r="B10" s="41">
        <v>4.12</v>
      </c>
      <c r="C10" s="41">
        <v>7.9</v>
      </c>
      <c r="D10" s="41">
        <v>3.97</v>
      </c>
      <c r="E10" s="41">
        <v>6.99</v>
      </c>
      <c r="F10" s="41">
        <v>6.46</v>
      </c>
      <c r="G10" s="41">
        <v>33.64</v>
      </c>
      <c r="H10" s="41">
        <v>9.85</v>
      </c>
      <c r="I10" s="41">
        <v>3.33</v>
      </c>
      <c r="J10" s="41">
        <v>0.21</v>
      </c>
      <c r="K10" s="41">
        <v>201.77</v>
      </c>
      <c r="L10" s="41">
        <v>28.14</v>
      </c>
      <c r="M10" s="41">
        <v>76.69</v>
      </c>
      <c r="N10" s="41">
        <v>2.1</v>
      </c>
      <c r="O10" s="41">
        <v>0</v>
      </c>
      <c r="P10" s="41">
        <v>0.32</v>
      </c>
      <c r="Q10" s="41">
        <v>9.92</v>
      </c>
      <c r="R10" s="38"/>
      <c r="S10" s="38"/>
      <c r="T10" s="38"/>
      <c r="U10" s="38"/>
    </row>
    <row r="11" spans="1:21" customFormat="1">
      <c r="A11" s="40" t="s">
        <v>470</v>
      </c>
      <c r="B11" s="41">
        <v>4.46</v>
      </c>
      <c r="C11" s="41">
        <v>7.22</v>
      </c>
      <c r="D11" s="41">
        <v>2.78</v>
      </c>
      <c r="E11" s="41">
        <v>5.32</v>
      </c>
      <c r="F11" s="41">
        <v>6.79</v>
      </c>
      <c r="G11" s="41">
        <v>36.799999999999997</v>
      </c>
      <c r="H11" s="41">
        <v>9.85</v>
      </c>
      <c r="I11" s="41">
        <v>3.61</v>
      </c>
      <c r="J11" s="41">
        <v>0.19</v>
      </c>
      <c r="K11" s="41">
        <v>226.93</v>
      </c>
      <c r="L11" s="41">
        <v>27.63</v>
      </c>
      <c r="M11" s="41">
        <v>77.94</v>
      </c>
      <c r="N11" s="41">
        <v>2.1</v>
      </c>
      <c r="O11" s="41">
        <v>0</v>
      </c>
      <c r="P11" s="41">
        <v>0.31</v>
      </c>
      <c r="Q11" s="41">
        <v>9.93</v>
      </c>
      <c r="R11" s="38"/>
      <c r="S11" s="38"/>
      <c r="T11" s="38"/>
      <c r="U11" s="38"/>
    </row>
    <row r="12" spans="1:21" customFormat="1">
      <c r="A12" s="40" t="s">
        <v>471</v>
      </c>
      <c r="B12" s="41">
        <v>4.6399999999999997</v>
      </c>
      <c r="C12" s="41">
        <v>7.23</v>
      </c>
      <c r="D12" s="41">
        <v>2.6</v>
      </c>
      <c r="E12" s="41">
        <v>5.09</v>
      </c>
      <c r="F12" s="41">
        <v>5.28</v>
      </c>
      <c r="G12" s="41">
        <v>37.700000000000003</v>
      </c>
      <c r="H12" s="41">
        <v>9.24</v>
      </c>
      <c r="I12" s="41">
        <v>3.53</v>
      </c>
      <c r="J12" s="41">
        <v>0.31</v>
      </c>
      <c r="K12" s="41">
        <v>243.03</v>
      </c>
      <c r="L12" s="41">
        <v>27.21</v>
      </c>
      <c r="M12" s="41">
        <v>80.84</v>
      </c>
      <c r="N12" s="41">
        <v>2.1</v>
      </c>
      <c r="O12" s="41">
        <v>0</v>
      </c>
      <c r="P12" s="41">
        <v>0.31</v>
      </c>
      <c r="Q12" s="41">
        <v>9.94</v>
      </c>
      <c r="R12" s="38"/>
      <c r="S12" s="38"/>
      <c r="T12" s="38"/>
      <c r="U12" s="38"/>
    </row>
    <row r="13" spans="1:21" customFormat="1">
      <c r="A13" s="40" t="s">
        <v>472</v>
      </c>
      <c r="B13" s="41">
        <v>4.8600000000000003</v>
      </c>
      <c r="C13" s="41">
        <v>7.32</v>
      </c>
      <c r="D13" s="41">
        <v>2.62</v>
      </c>
      <c r="E13" s="41">
        <v>5.0999999999999996</v>
      </c>
      <c r="F13" s="41">
        <v>5.86</v>
      </c>
      <c r="G13" s="41">
        <v>36.950000000000003</v>
      </c>
      <c r="H13" s="41">
        <v>9.64</v>
      </c>
      <c r="I13" s="41">
        <v>3.57</v>
      </c>
      <c r="J13" s="41">
        <v>0.28999999999999998</v>
      </c>
      <c r="K13" s="41">
        <v>248.31</v>
      </c>
      <c r="L13" s="41">
        <v>26.93</v>
      </c>
      <c r="M13" s="41">
        <v>85.13</v>
      </c>
      <c r="N13" s="41">
        <v>1.9</v>
      </c>
      <c r="O13" s="41">
        <v>0</v>
      </c>
      <c r="P13" s="41">
        <v>0.32</v>
      </c>
      <c r="Q13" s="41">
        <v>9.92</v>
      </c>
      <c r="R13" s="38"/>
      <c r="S13" s="38"/>
      <c r="T13" s="38"/>
      <c r="U13" s="38"/>
    </row>
    <row r="14" spans="1:21" customFormat="1">
      <c r="A14" s="40" t="s">
        <v>473</v>
      </c>
      <c r="B14" s="41">
        <v>5.0599999999999996</v>
      </c>
      <c r="C14" s="41">
        <v>7.7</v>
      </c>
      <c r="D14" s="41">
        <v>2.67</v>
      </c>
      <c r="E14" s="41">
        <v>5.01</v>
      </c>
      <c r="F14" s="41">
        <v>4.5</v>
      </c>
      <c r="G14" s="41">
        <v>32.880000000000003</v>
      </c>
      <c r="H14" s="41">
        <v>9.43</v>
      </c>
      <c r="I14" s="41">
        <v>3.62</v>
      </c>
      <c r="J14" s="41">
        <v>0.68</v>
      </c>
      <c r="K14" s="41">
        <v>254.8</v>
      </c>
      <c r="L14" s="41">
        <v>27.24</v>
      </c>
      <c r="M14" s="41">
        <v>82.98</v>
      </c>
      <c r="N14" s="41">
        <v>13.7</v>
      </c>
      <c r="O14" s="41">
        <v>0</v>
      </c>
      <c r="P14" s="41">
        <v>0.31</v>
      </c>
      <c r="Q14" s="41">
        <v>9.93</v>
      </c>
      <c r="R14" s="38"/>
      <c r="S14" s="38"/>
      <c r="T14" s="38"/>
      <c r="U14" s="38"/>
    </row>
    <row r="15" spans="1:21" customFormat="1">
      <c r="A15" s="40" t="s">
        <v>474</v>
      </c>
      <c r="B15" s="41">
        <v>5.03</v>
      </c>
      <c r="C15" s="41">
        <v>8.1300000000000008</v>
      </c>
      <c r="D15" s="41">
        <v>3.44</v>
      </c>
      <c r="E15" s="41">
        <v>5.3</v>
      </c>
      <c r="F15" s="41">
        <v>2.48</v>
      </c>
      <c r="G15" s="41">
        <v>32.81</v>
      </c>
      <c r="H15" s="41">
        <v>8.6999999999999993</v>
      </c>
      <c r="I15" s="41">
        <v>3.77</v>
      </c>
      <c r="J15" s="41">
        <v>0.8</v>
      </c>
      <c r="K15" s="41">
        <v>257.73</v>
      </c>
      <c r="L15" s="41">
        <v>28.18</v>
      </c>
      <c r="M15" s="41">
        <v>78.27</v>
      </c>
      <c r="N15" s="41">
        <v>52.9</v>
      </c>
      <c r="O15" s="41">
        <v>0</v>
      </c>
      <c r="P15" s="41">
        <v>0.26</v>
      </c>
      <c r="Q15" s="41">
        <v>9.92</v>
      </c>
      <c r="R15" s="38"/>
      <c r="S15" s="38"/>
      <c r="T15" s="38"/>
      <c r="U15" s="38"/>
    </row>
    <row r="16" spans="1:21" customFormat="1">
      <c r="A16" s="40" t="s">
        <v>475</v>
      </c>
      <c r="B16" s="41">
        <v>4.55</v>
      </c>
      <c r="C16" s="41">
        <v>8.07</v>
      </c>
      <c r="D16" s="41">
        <v>3.65</v>
      </c>
      <c r="E16" s="41">
        <v>5.47</v>
      </c>
      <c r="F16" s="41">
        <v>2.78</v>
      </c>
      <c r="G16" s="41">
        <v>32.53</v>
      </c>
      <c r="H16" s="41">
        <v>7.88</v>
      </c>
      <c r="I16" s="41">
        <v>3.53</v>
      </c>
      <c r="J16" s="41">
        <v>0.98</v>
      </c>
      <c r="K16" s="41">
        <v>252.43</v>
      </c>
      <c r="L16" s="41">
        <v>28.98</v>
      </c>
      <c r="M16" s="41">
        <v>72.040000000000006</v>
      </c>
      <c r="N16" s="41">
        <v>96.1</v>
      </c>
      <c r="O16" s="41">
        <v>0</v>
      </c>
      <c r="P16" s="41">
        <v>0.25</v>
      </c>
      <c r="Q16" s="41">
        <v>9.91</v>
      </c>
      <c r="R16" s="38"/>
      <c r="S16" s="38"/>
      <c r="T16" s="38"/>
      <c r="U16" s="38"/>
    </row>
    <row r="17" spans="1:21" customFormat="1">
      <c r="A17" s="40" t="s">
        <v>476</v>
      </c>
      <c r="B17" s="41">
        <v>4.21</v>
      </c>
      <c r="C17" s="41">
        <v>7.9</v>
      </c>
      <c r="D17" s="41">
        <v>3.78</v>
      </c>
      <c r="E17" s="41">
        <v>5.63</v>
      </c>
      <c r="F17" s="41">
        <v>3.17</v>
      </c>
      <c r="G17" s="41">
        <v>32.81</v>
      </c>
      <c r="H17" s="41">
        <v>6.85</v>
      </c>
      <c r="I17" s="41">
        <v>3.45</v>
      </c>
      <c r="J17" s="41">
        <v>1.39</v>
      </c>
      <c r="K17" s="41">
        <v>257.31</v>
      </c>
      <c r="L17" s="41">
        <v>29.81</v>
      </c>
      <c r="M17" s="41">
        <v>66.73</v>
      </c>
      <c r="N17" s="41">
        <v>164.7</v>
      </c>
      <c r="O17" s="41">
        <v>0</v>
      </c>
      <c r="P17" s="41">
        <v>0.25</v>
      </c>
      <c r="Q17" s="41">
        <v>9.91</v>
      </c>
      <c r="R17" s="38"/>
      <c r="S17" s="38"/>
      <c r="T17" s="38"/>
      <c r="U17" s="38"/>
    </row>
    <row r="18" spans="1:21" customFormat="1">
      <c r="A18" s="40" t="s">
        <v>477</v>
      </c>
      <c r="B18" s="41">
        <v>3.95</v>
      </c>
      <c r="C18" s="41">
        <v>8.0500000000000007</v>
      </c>
      <c r="D18" s="41">
        <v>4.12</v>
      </c>
      <c r="E18" s="41">
        <v>6.12</v>
      </c>
      <c r="F18" s="41">
        <v>3.2</v>
      </c>
      <c r="G18" s="41">
        <v>55.02</v>
      </c>
      <c r="H18" s="41">
        <v>9.74</v>
      </c>
      <c r="I18" s="41">
        <v>3.53</v>
      </c>
      <c r="J18" s="41">
        <v>1.1399999999999999</v>
      </c>
      <c r="K18" s="41">
        <v>261.29000000000002</v>
      </c>
      <c r="L18" s="41">
        <v>30.12</v>
      </c>
      <c r="M18" s="41">
        <v>63.01</v>
      </c>
      <c r="N18" s="41">
        <v>185.6</v>
      </c>
      <c r="O18" s="41">
        <v>0</v>
      </c>
      <c r="P18" s="41">
        <v>0.28000000000000003</v>
      </c>
      <c r="Q18" s="41">
        <v>9.9</v>
      </c>
      <c r="R18" s="38"/>
      <c r="S18" s="38"/>
      <c r="T18" s="38"/>
      <c r="U18" s="38"/>
    </row>
    <row r="19" spans="1:21" customFormat="1">
      <c r="A19" s="40" t="s">
        <v>478</v>
      </c>
      <c r="B19" s="41">
        <v>4.0199999999999996</v>
      </c>
      <c r="C19" s="41">
        <v>8.83</v>
      </c>
      <c r="D19" s="41">
        <v>4.8099999999999996</v>
      </c>
      <c r="E19" s="41">
        <v>4.93</v>
      </c>
      <c r="F19" s="41">
        <v>3.53</v>
      </c>
      <c r="G19" s="41">
        <v>54.29</v>
      </c>
      <c r="H19" s="41">
        <v>10.08</v>
      </c>
      <c r="I19" s="41">
        <v>4.4000000000000004</v>
      </c>
      <c r="J19" s="41">
        <v>1.02</v>
      </c>
      <c r="K19" s="41">
        <v>261.48</v>
      </c>
      <c r="L19" s="41">
        <v>30.73</v>
      </c>
      <c r="M19" s="41">
        <v>62.39</v>
      </c>
      <c r="N19" s="41">
        <v>173.9</v>
      </c>
      <c r="O19" s="41">
        <v>0</v>
      </c>
      <c r="P19" s="41">
        <v>0.39</v>
      </c>
      <c r="Q19" s="41">
        <v>9.91</v>
      </c>
      <c r="R19" s="38"/>
      <c r="S19" s="38"/>
      <c r="T19" s="38"/>
      <c r="U19" s="38"/>
    </row>
    <row r="20" spans="1:21" customFormat="1">
      <c r="A20" s="40" t="s">
        <v>479</v>
      </c>
      <c r="B20" s="41">
        <v>4.1900000000000004</v>
      </c>
      <c r="C20" s="41">
        <v>9.14</v>
      </c>
      <c r="D20" s="41">
        <v>4.95</v>
      </c>
      <c r="E20" s="41">
        <v>6.11</v>
      </c>
      <c r="F20" s="41">
        <v>6.92</v>
      </c>
      <c r="G20" s="41">
        <v>86.14</v>
      </c>
      <c r="H20" s="41">
        <v>28.15</v>
      </c>
      <c r="I20" s="41">
        <v>6.95</v>
      </c>
      <c r="J20" s="41">
        <v>1.02</v>
      </c>
      <c r="K20" s="41">
        <v>262.39</v>
      </c>
      <c r="L20" s="41">
        <v>31.43</v>
      </c>
      <c r="M20" s="41">
        <v>59.78</v>
      </c>
      <c r="N20" s="41">
        <v>240.6</v>
      </c>
      <c r="O20" s="41">
        <v>0</v>
      </c>
      <c r="P20" s="41">
        <v>0.51</v>
      </c>
      <c r="Q20" s="41">
        <v>9.92</v>
      </c>
      <c r="R20" s="38"/>
      <c r="S20" s="38"/>
      <c r="T20" s="38"/>
      <c r="U20" s="38"/>
    </row>
    <row r="21" spans="1:21" customFormat="1">
      <c r="A21" s="40" t="s">
        <v>480</v>
      </c>
      <c r="B21" s="41">
        <v>4.08</v>
      </c>
      <c r="C21" s="41">
        <v>8.2799999999999994</v>
      </c>
      <c r="D21" s="41">
        <v>4.2</v>
      </c>
      <c r="E21" s="41">
        <v>5.99</v>
      </c>
      <c r="F21" s="41">
        <v>9.4499999999999993</v>
      </c>
      <c r="G21" s="41">
        <v>92.26</v>
      </c>
      <c r="H21" s="41">
        <v>25.97</v>
      </c>
      <c r="I21" s="41">
        <v>7.03</v>
      </c>
      <c r="J21" s="41">
        <v>0.86</v>
      </c>
      <c r="K21" s="41">
        <v>261</v>
      </c>
      <c r="L21" s="41">
        <v>31.78</v>
      </c>
      <c r="M21" s="41">
        <v>56.8</v>
      </c>
      <c r="N21" s="41">
        <v>237.9</v>
      </c>
      <c r="O21" s="41">
        <v>0</v>
      </c>
      <c r="P21" s="41">
        <v>0.52</v>
      </c>
      <c r="Q21" s="41">
        <v>9.92</v>
      </c>
      <c r="R21" s="38"/>
      <c r="S21" s="38"/>
      <c r="T21" s="38"/>
      <c r="U21" s="38"/>
    </row>
    <row r="22" spans="1:21" customFormat="1">
      <c r="A22" s="40" t="s">
        <v>481</v>
      </c>
      <c r="B22" s="41">
        <v>3.78</v>
      </c>
      <c r="C22" s="41">
        <v>7.15</v>
      </c>
      <c r="D22" s="41">
        <v>3.37</v>
      </c>
      <c r="E22" s="41">
        <v>3.75</v>
      </c>
      <c r="F22" s="41">
        <v>9.43</v>
      </c>
      <c r="G22" s="41">
        <v>99.65</v>
      </c>
      <c r="H22" s="41">
        <v>23.63</v>
      </c>
      <c r="I22" s="41">
        <v>6.93</v>
      </c>
      <c r="J22" s="41">
        <v>0.65</v>
      </c>
      <c r="K22" s="41">
        <v>250.35</v>
      </c>
      <c r="L22" s="41">
        <v>31.82</v>
      </c>
      <c r="M22" s="41">
        <v>57.09</v>
      </c>
      <c r="N22" s="41">
        <v>206.9</v>
      </c>
      <c r="O22" s="41">
        <v>0</v>
      </c>
      <c r="P22" s="41">
        <v>0.52</v>
      </c>
      <c r="Q22" s="41">
        <v>9.91</v>
      </c>
      <c r="R22" s="38"/>
      <c r="S22" s="38"/>
      <c r="T22" s="38"/>
      <c r="U22" s="38"/>
    </row>
    <row r="23" spans="1:21" customFormat="1">
      <c r="A23" s="40" t="s">
        <v>482</v>
      </c>
      <c r="B23" s="41">
        <v>3.69</v>
      </c>
      <c r="C23" s="41">
        <v>6.33</v>
      </c>
      <c r="D23" s="41">
        <v>2.64</v>
      </c>
      <c r="E23" s="41">
        <v>3.09</v>
      </c>
      <c r="F23" s="41">
        <v>11.78</v>
      </c>
      <c r="G23" s="41">
        <v>97.3</v>
      </c>
      <c r="H23" s="41">
        <v>22.09</v>
      </c>
      <c r="I23" s="41">
        <v>6.56</v>
      </c>
      <c r="J23" s="41">
        <v>0.68</v>
      </c>
      <c r="K23" s="41">
        <v>251.3</v>
      </c>
      <c r="L23" s="41">
        <v>31.64</v>
      </c>
      <c r="M23" s="41">
        <v>56.93</v>
      </c>
      <c r="N23" s="41">
        <v>148.9</v>
      </c>
      <c r="O23" s="41">
        <v>0</v>
      </c>
      <c r="P23" s="41">
        <v>0.38</v>
      </c>
      <c r="Q23" s="41">
        <v>9.93</v>
      </c>
      <c r="R23" s="38"/>
      <c r="S23" s="38"/>
      <c r="T23" s="38"/>
      <c r="U23" s="38"/>
    </row>
    <row r="24" spans="1:21" customFormat="1">
      <c r="A24" s="40" t="s">
        <v>483</v>
      </c>
      <c r="B24" s="41">
        <v>3.75</v>
      </c>
      <c r="C24" s="41">
        <v>7.12</v>
      </c>
      <c r="D24" s="41">
        <v>3.37</v>
      </c>
      <c r="E24" s="41">
        <v>3.1</v>
      </c>
      <c r="F24" s="41">
        <v>9.9</v>
      </c>
      <c r="G24" s="41">
        <v>90.62</v>
      </c>
      <c r="H24" s="41">
        <v>18.98</v>
      </c>
      <c r="I24" s="41">
        <v>5.81</v>
      </c>
      <c r="J24" s="41">
        <v>0.92</v>
      </c>
      <c r="K24" s="41">
        <v>253.93</v>
      </c>
      <c r="L24" s="41">
        <v>31.53</v>
      </c>
      <c r="M24" s="41">
        <v>55.84</v>
      </c>
      <c r="N24" s="41">
        <v>132.80000000000001</v>
      </c>
      <c r="O24" s="41">
        <v>0</v>
      </c>
      <c r="P24" s="41">
        <v>0.38</v>
      </c>
      <c r="Q24" s="41">
        <v>9.93</v>
      </c>
      <c r="R24" s="38"/>
      <c r="S24" s="38"/>
      <c r="T24" s="38"/>
      <c r="U24" s="38"/>
    </row>
    <row r="25" spans="1:21" customFormat="1">
      <c r="A25" s="40" t="s">
        <v>484</v>
      </c>
      <c r="B25" s="41">
        <v>3.82</v>
      </c>
      <c r="C25" s="41">
        <v>7.67</v>
      </c>
      <c r="D25" s="41">
        <v>3.88</v>
      </c>
      <c r="E25" s="41">
        <v>3.78</v>
      </c>
      <c r="F25" s="41">
        <v>6.94</v>
      </c>
      <c r="G25" s="41">
        <v>85.87</v>
      </c>
      <c r="H25" s="41">
        <v>17.39</v>
      </c>
      <c r="I25" s="41">
        <v>5.69</v>
      </c>
      <c r="J25" s="41">
        <v>0.43</v>
      </c>
      <c r="K25" s="41">
        <v>243.97</v>
      </c>
      <c r="L25" s="41">
        <v>31.65</v>
      </c>
      <c r="M25" s="41">
        <v>57.28</v>
      </c>
      <c r="N25" s="41">
        <v>83.6</v>
      </c>
      <c r="O25" s="41">
        <v>0</v>
      </c>
      <c r="P25" s="41">
        <v>0.28999999999999998</v>
      </c>
      <c r="Q25" s="41">
        <v>9.91</v>
      </c>
      <c r="R25" s="38"/>
      <c r="S25" s="38"/>
      <c r="T25" s="38"/>
      <c r="U25" s="38"/>
    </row>
    <row r="26" spans="1:21" customFormat="1">
      <c r="A26" s="40" t="s">
        <v>485</v>
      </c>
      <c r="B26" s="41">
        <v>3.91</v>
      </c>
      <c r="C26" s="41">
        <v>7.63</v>
      </c>
      <c r="D26" s="41">
        <v>3.86</v>
      </c>
      <c r="E26" s="41">
        <v>4.09</v>
      </c>
      <c r="F26" s="41">
        <v>6.83</v>
      </c>
      <c r="G26" s="41">
        <v>78.78</v>
      </c>
      <c r="H26" s="41">
        <v>14.88</v>
      </c>
      <c r="I26" s="41">
        <v>5.26</v>
      </c>
      <c r="J26" s="41">
        <v>0.23</v>
      </c>
      <c r="K26" s="41">
        <v>239.43</v>
      </c>
      <c r="L26" s="41">
        <v>31.35</v>
      </c>
      <c r="M26" s="41">
        <v>60.78</v>
      </c>
      <c r="N26" s="41">
        <v>51.3</v>
      </c>
      <c r="O26" s="41">
        <v>0</v>
      </c>
      <c r="P26" s="41">
        <v>0.27</v>
      </c>
      <c r="Q26" s="41">
        <v>9.89</v>
      </c>
      <c r="R26" s="38"/>
      <c r="S26" s="38"/>
      <c r="T26" s="38"/>
      <c r="U26" s="38"/>
    </row>
    <row r="27" spans="1:21" customFormat="1">
      <c r="A27" s="40" t="s">
        <v>486</v>
      </c>
      <c r="B27" s="41">
        <v>3.89</v>
      </c>
      <c r="C27" s="41">
        <v>7.84</v>
      </c>
      <c r="D27" s="41">
        <v>3.97</v>
      </c>
      <c r="E27" s="41">
        <v>5.4</v>
      </c>
      <c r="F27" s="41">
        <v>5.63</v>
      </c>
      <c r="G27" s="41">
        <v>75.67</v>
      </c>
      <c r="H27" s="41">
        <v>16.05</v>
      </c>
      <c r="I27" s="41">
        <v>4.7300000000000004</v>
      </c>
      <c r="J27" s="41">
        <v>0.22</v>
      </c>
      <c r="K27" s="41">
        <v>256.18</v>
      </c>
      <c r="L27" s="41">
        <v>30.72</v>
      </c>
      <c r="M27" s="41">
        <v>61.96</v>
      </c>
      <c r="N27" s="41">
        <v>13.4</v>
      </c>
      <c r="O27" s="41">
        <v>0</v>
      </c>
      <c r="P27" s="41">
        <v>0.26</v>
      </c>
      <c r="Q27" s="41">
        <v>9.91</v>
      </c>
      <c r="R27" s="38"/>
      <c r="S27" s="38"/>
      <c r="T27" s="38"/>
      <c r="U27" s="38"/>
    </row>
    <row r="28" spans="1:21" customFormat="1">
      <c r="A28" s="40" t="s">
        <v>487</v>
      </c>
      <c r="B28" s="41">
        <v>3.93</v>
      </c>
      <c r="C28" s="41">
        <v>7.88</v>
      </c>
      <c r="D28" s="41">
        <v>3.96</v>
      </c>
      <c r="E28" s="41">
        <v>5.59</v>
      </c>
      <c r="F28" s="41">
        <v>4.82</v>
      </c>
      <c r="G28" s="41">
        <v>73.290000000000006</v>
      </c>
      <c r="H28" s="41">
        <v>15.18</v>
      </c>
      <c r="I28" s="41">
        <v>4.6100000000000003</v>
      </c>
      <c r="J28" s="41">
        <v>0.44</v>
      </c>
      <c r="K28" s="41">
        <v>253.91</v>
      </c>
      <c r="L28" s="41">
        <v>30.2</v>
      </c>
      <c r="M28" s="41">
        <v>62.44</v>
      </c>
      <c r="N28" s="41">
        <v>2.1</v>
      </c>
      <c r="O28" s="41">
        <v>0</v>
      </c>
      <c r="P28" s="41">
        <v>0.26</v>
      </c>
      <c r="Q28" s="41">
        <v>9.92</v>
      </c>
      <c r="R28" s="38"/>
      <c r="S28" s="38"/>
      <c r="T28" s="38"/>
      <c r="U28" s="38"/>
    </row>
    <row r="29" spans="1:21" customFormat="1">
      <c r="A29" s="40" t="s">
        <v>488</v>
      </c>
      <c r="B29" s="41">
        <v>3.99</v>
      </c>
      <c r="C29" s="41">
        <v>7.85</v>
      </c>
      <c r="D29" s="41">
        <v>3.86</v>
      </c>
      <c r="E29" s="41">
        <v>5.94</v>
      </c>
      <c r="F29" s="41">
        <v>4.78</v>
      </c>
      <c r="G29" s="41">
        <v>74.23</v>
      </c>
      <c r="H29" s="41">
        <v>20.420000000000002</v>
      </c>
      <c r="I29" s="41">
        <v>4.51</v>
      </c>
      <c r="J29" s="41">
        <v>0.39</v>
      </c>
      <c r="K29" s="41">
        <v>257.85000000000002</v>
      </c>
      <c r="L29" s="41">
        <v>29.89</v>
      </c>
      <c r="M29" s="41">
        <v>65.11</v>
      </c>
      <c r="N29" s="41">
        <v>2.1</v>
      </c>
      <c r="O29" s="41">
        <v>0</v>
      </c>
      <c r="P29" s="41">
        <v>0.28000000000000003</v>
      </c>
      <c r="Q29" s="41">
        <v>9.9</v>
      </c>
      <c r="R29" s="38"/>
      <c r="S29" s="38"/>
      <c r="T29" s="38"/>
      <c r="U29" s="38"/>
    </row>
    <row r="30" spans="1:21" customFormat="1">
      <c r="A30" s="40" t="s">
        <v>489</v>
      </c>
      <c r="B30" s="41">
        <v>4.2699999999999996</v>
      </c>
      <c r="C30" s="41">
        <v>7.45</v>
      </c>
      <c r="D30" s="41">
        <v>3.41</v>
      </c>
      <c r="E30" s="41">
        <v>5.52</v>
      </c>
      <c r="F30" s="41">
        <v>8.6199999999999992</v>
      </c>
      <c r="G30" s="41">
        <v>72.77</v>
      </c>
      <c r="H30" s="41">
        <v>18.39</v>
      </c>
      <c r="I30" s="41">
        <v>4.3</v>
      </c>
      <c r="J30" s="41">
        <v>0.63</v>
      </c>
      <c r="K30" s="41">
        <v>258</v>
      </c>
      <c r="L30" s="41">
        <v>29.63</v>
      </c>
      <c r="M30" s="41">
        <v>66.25</v>
      </c>
      <c r="N30" s="41">
        <v>2.1</v>
      </c>
      <c r="O30" s="41">
        <v>0</v>
      </c>
      <c r="P30" s="41">
        <v>0.28999999999999998</v>
      </c>
      <c r="Q30" s="41">
        <v>9.92</v>
      </c>
      <c r="R30" s="38"/>
      <c r="S30" s="38"/>
      <c r="T30" s="38"/>
      <c r="U30" s="38"/>
    </row>
    <row r="31" spans="1:21" customFormat="1">
      <c r="A31" s="40" t="s">
        <v>490</v>
      </c>
      <c r="B31" s="41">
        <v>4.3899999999999997</v>
      </c>
      <c r="C31" s="41">
        <v>7.08</v>
      </c>
      <c r="D31" s="41">
        <v>2.74</v>
      </c>
      <c r="E31" s="41">
        <v>4.72</v>
      </c>
      <c r="F31" s="41">
        <v>7.32</v>
      </c>
      <c r="G31" s="41">
        <v>67.95</v>
      </c>
      <c r="H31" s="41">
        <v>14.72</v>
      </c>
      <c r="I31" s="41">
        <v>4.1399999999999997</v>
      </c>
      <c r="J31" s="41">
        <v>0.81</v>
      </c>
      <c r="K31" s="41">
        <v>258.61</v>
      </c>
      <c r="L31" s="41">
        <v>29.48</v>
      </c>
      <c r="M31" s="41">
        <v>67.069999999999993</v>
      </c>
      <c r="N31" s="41">
        <v>2.1</v>
      </c>
      <c r="O31" s="41">
        <v>0</v>
      </c>
      <c r="P31" s="41">
        <v>0.28000000000000003</v>
      </c>
      <c r="Q31" s="41">
        <v>9.92</v>
      </c>
      <c r="R31" s="38"/>
      <c r="S31" s="38"/>
      <c r="T31" s="38"/>
      <c r="U31" s="38"/>
    </row>
    <row r="32" spans="1:21" customFormat="1">
      <c r="A32" s="40" t="s">
        <v>491</v>
      </c>
      <c r="B32" s="41">
        <v>4.43</v>
      </c>
      <c r="C32" s="41">
        <v>7.05</v>
      </c>
      <c r="D32" s="41">
        <v>2.63</v>
      </c>
      <c r="E32" s="41">
        <v>4.6900000000000004</v>
      </c>
      <c r="F32" s="41">
        <v>7.47</v>
      </c>
      <c r="G32" s="41">
        <v>62.47</v>
      </c>
      <c r="H32" s="41">
        <v>12.6</v>
      </c>
      <c r="I32" s="41">
        <v>4.1500000000000004</v>
      </c>
      <c r="J32" s="41">
        <v>0.71</v>
      </c>
      <c r="K32" s="41">
        <v>256.87</v>
      </c>
      <c r="L32" s="41">
        <v>29.23</v>
      </c>
      <c r="M32" s="41">
        <v>69.66</v>
      </c>
      <c r="N32" s="41">
        <v>2.1</v>
      </c>
      <c r="O32" s="41">
        <v>0</v>
      </c>
      <c r="P32" s="41">
        <v>0.27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3.69</v>
      </c>
      <c r="C34" s="18">
        <f t="shared" si="0"/>
        <v>6.33</v>
      </c>
      <c r="D34" s="18">
        <f t="shared" si="0"/>
        <v>2.6</v>
      </c>
      <c r="E34" s="18">
        <f t="shared" si="0"/>
        <v>3.09</v>
      </c>
      <c r="F34" s="18">
        <f t="shared" si="0"/>
        <v>2.48</v>
      </c>
      <c r="G34" s="18">
        <f t="shared" si="0"/>
        <v>32.53</v>
      </c>
      <c r="H34" s="18">
        <f t="shared" si="0"/>
        <v>6.85</v>
      </c>
      <c r="I34" s="18">
        <f t="shared" si="0"/>
        <v>3.33</v>
      </c>
      <c r="J34" s="18">
        <f t="shared" si="0"/>
        <v>0.19</v>
      </c>
      <c r="K34" s="18">
        <f t="shared" si="0"/>
        <v>201.77</v>
      </c>
      <c r="L34" s="18">
        <f t="shared" si="0"/>
        <v>26.93</v>
      </c>
      <c r="M34" s="18">
        <f t="shared" si="0"/>
        <v>55.84</v>
      </c>
      <c r="N34" s="18">
        <f t="shared" si="0"/>
        <v>1.9</v>
      </c>
      <c r="O34" s="18">
        <f t="shared" si="0"/>
        <v>0</v>
      </c>
      <c r="P34" s="18">
        <f t="shared" si="0"/>
        <v>0.25</v>
      </c>
      <c r="Q34" s="18">
        <f t="shared" si="0"/>
        <v>9.89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5.0599999999999996</v>
      </c>
      <c r="C35" s="3">
        <f t="shared" si="1"/>
        <v>9.14</v>
      </c>
      <c r="D35" s="3">
        <f t="shared" si="1"/>
        <v>4.95</v>
      </c>
      <c r="E35" s="3">
        <f t="shared" si="1"/>
        <v>6.99</v>
      </c>
      <c r="F35" s="3">
        <f t="shared" si="1"/>
        <v>11.78</v>
      </c>
      <c r="G35" s="3">
        <f t="shared" si="1"/>
        <v>99.65</v>
      </c>
      <c r="H35" s="3">
        <f t="shared" si="1"/>
        <v>28.15</v>
      </c>
      <c r="I35" s="3">
        <f t="shared" si="1"/>
        <v>7.03</v>
      </c>
      <c r="J35" s="3">
        <f t="shared" si="1"/>
        <v>1.39</v>
      </c>
      <c r="K35" s="3">
        <f t="shared" si="1"/>
        <v>262.39</v>
      </c>
      <c r="L35" s="3">
        <f t="shared" si="1"/>
        <v>31.82</v>
      </c>
      <c r="M35" s="3">
        <f t="shared" si="1"/>
        <v>85.13</v>
      </c>
      <c r="N35" s="3">
        <f t="shared" si="1"/>
        <v>240.6</v>
      </c>
      <c r="O35" s="3">
        <f t="shared" si="1"/>
        <v>0</v>
      </c>
      <c r="P35" s="3">
        <f t="shared" si="1"/>
        <v>0.52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4.201249999999999</v>
      </c>
      <c r="C36" s="18">
        <f t="shared" si="2"/>
        <v>7.6808333333333332</v>
      </c>
      <c r="D36" s="18">
        <f t="shared" si="2"/>
        <v>3.5412499999999998</v>
      </c>
      <c r="E36" s="18">
        <f t="shared" si="2"/>
        <v>5.145833333333333</v>
      </c>
      <c r="F36" s="18">
        <f t="shared" si="2"/>
        <v>6.1404166666666669</v>
      </c>
      <c r="G36" s="18">
        <f t="shared" si="2"/>
        <v>61.499583333333334</v>
      </c>
      <c r="H36" s="18">
        <f t="shared" si="2"/>
        <v>14.513750000000002</v>
      </c>
      <c r="I36" s="18">
        <f t="shared" si="2"/>
        <v>4.5983333333333336</v>
      </c>
      <c r="J36" s="18">
        <f t="shared" si="2"/>
        <v>0.63958333333333339</v>
      </c>
      <c r="K36" s="18">
        <f t="shared" si="2"/>
        <v>250.9004166666667</v>
      </c>
      <c r="L36" s="18">
        <f t="shared" si="2"/>
        <v>29.734583333333337</v>
      </c>
      <c r="M36" s="18">
        <f t="shared" si="2"/>
        <v>67.258749999999992</v>
      </c>
      <c r="N36" s="18">
        <f t="shared" si="2"/>
        <v>75.958333333333314</v>
      </c>
      <c r="O36" s="18">
        <f t="shared" si="2"/>
        <v>0</v>
      </c>
      <c r="P36" s="18">
        <f t="shared" si="2"/>
        <v>0.32416666666666671</v>
      </c>
      <c r="Q36" s="18">
        <f t="shared" si="2"/>
        <v>9.9166666666666643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0.40055735625771982</v>
      </c>
      <c r="C37" s="18">
        <f t="shared" ref="C37:Q37" si="3">STDEV(C9:C32)</f>
        <v>0.60057882707953669</v>
      </c>
      <c r="D37" s="18">
        <f t="shared" si="3"/>
        <v>0.68415172802275714</v>
      </c>
      <c r="E37" s="18">
        <f t="shared" si="3"/>
        <v>1.0184426161148452</v>
      </c>
      <c r="F37" s="18">
        <f t="shared" si="3"/>
        <v>2.4930694878030351</v>
      </c>
      <c r="G37" s="18">
        <f t="shared" si="3"/>
        <v>24.170471830613767</v>
      </c>
      <c r="H37" s="18">
        <f t="shared" si="3"/>
        <v>6.1753541088398451</v>
      </c>
      <c r="I37" s="18">
        <f t="shared" si="3"/>
        <v>1.2506995144167579</v>
      </c>
      <c r="J37" s="18">
        <f t="shared" si="3"/>
        <v>0.33625144792533468</v>
      </c>
      <c r="K37" s="18">
        <f t="shared" si="3"/>
        <v>13.252596293349194</v>
      </c>
      <c r="L37" s="18">
        <f t="shared" si="3"/>
        <v>1.6107869509805686</v>
      </c>
      <c r="M37" s="18">
        <f t="shared" si="3"/>
        <v>9.0067111753210582</v>
      </c>
      <c r="N37" s="18">
        <f t="shared" si="3"/>
        <v>86.604161546091134</v>
      </c>
      <c r="O37" s="18">
        <f t="shared" si="3"/>
        <v>0</v>
      </c>
      <c r="P37" s="18">
        <f t="shared" si="3"/>
        <v>8.4128094189064015E-2</v>
      </c>
      <c r="Q37" s="18">
        <f t="shared" si="3"/>
        <v>1.1293194051465356E-2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492</v>
      </c>
      <c r="B9" s="41">
        <v>4.3499999999999996</v>
      </c>
      <c r="C9" s="41">
        <v>7.1</v>
      </c>
      <c r="D9" s="41">
        <v>2.75</v>
      </c>
      <c r="E9" s="41">
        <v>4.1900000000000004</v>
      </c>
      <c r="F9" s="41">
        <v>7.78</v>
      </c>
      <c r="G9" s="41">
        <v>54.68</v>
      </c>
      <c r="H9" s="41">
        <v>10.64</v>
      </c>
      <c r="I9" s="41">
        <v>4.0199999999999996</v>
      </c>
      <c r="J9" s="41">
        <v>0.52</v>
      </c>
      <c r="K9" s="41">
        <v>254.27</v>
      </c>
      <c r="L9" s="41">
        <v>28.85</v>
      </c>
      <c r="M9" s="41">
        <v>71.349999999999994</v>
      </c>
      <c r="N9" s="41">
        <v>2.1</v>
      </c>
      <c r="O9" s="41">
        <v>0</v>
      </c>
      <c r="P9" s="41">
        <v>0.26</v>
      </c>
      <c r="Q9" s="41">
        <v>9.93</v>
      </c>
      <c r="R9" s="38"/>
      <c r="S9" s="38"/>
      <c r="T9" s="38"/>
      <c r="U9" s="38"/>
    </row>
    <row r="10" spans="1:21" customFormat="1">
      <c r="A10" s="40" t="s">
        <v>493</v>
      </c>
      <c r="B10" s="41">
        <v>4.54</v>
      </c>
      <c r="C10" s="41">
        <v>7.59</v>
      </c>
      <c r="D10" s="41">
        <v>3.11</v>
      </c>
      <c r="E10" s="41">
        <v>4.49</v>
      </c>
      <c r="F10" s="41">
        <v>5.93</v>
      </c>
      <c r="G10" s="41">
        <v>48.5</v>
      </c>
      <c r="H10" s="41">
        <v>9.31</v>
      </c>
      <c r="I10" s="41">
        <v>3.99</v>
      </c>
      <c r="J10" s="41">
        <v>0.61</v>
      </c>
      <c r="K10" s="41">
        <v>254.34</v>
      </c>
      <c r="L10" s="41">
        <v>28.68</v>
      </c>
      <c r="M10" s="41">
        <v>71.84</v>
      </c>
      <c r="N10" s="41">
        <v>2.1</v>
      </c>
      <c r="O10" s="41">
        <v>0</v>
      </c>
      <c r="P10" s="41">
        <v>0.26</v>
      </c>
      <c r="Q10" s="41">
        <v>9.93</v>
      </c>
      <c r="R10" s="38"/>
      <c r="S10" s="38"/>
      <c r="T10" s="38"/>
      <c r="U10" s="38"/>
    </row>
    <row r="11" spans="1:21" customFormat="1">
      <c r="A11" s="40" t="s">
        <v>494</v>
      </c>
      <c r="B11" s="41">
        <v>4.43</v>
      </c>
      <c r="C11" s="41">
        <v>7.63</v>
      </c>
      <c r="D11" s="41">
        <v>3.36</v>
      </c>
      <c r="E11" s="41">
        <v>5.09</v>
      </c>
      <c r="F11" s="41">
        <v>3.18</v>
      </c>
      <c r="G11" s="41">
        <v>43.15</v>
      </c>
      <c r="H11" s="41">
        <v>9.32</v>
      </c>
      <c r="I11" s="41">
        <v>4.01</v>
      </c>
      <c r="J11" s="41">
        <v>0.76</v>
      </c>
      <c r="K11" s="41">
        <v>254.46</v>
      </c>
      <c r="L11" s="41">
        <v>28.7</v>
      </c>
      <c r="M11" s="41">
        <v>72.430000000000007</v>
      </c>
      <c r="N11" s="41">
        <v>2.2000000000000002</v>
      </c>
      <c r="O11" s="41">
        <v>0</v>
      </c>
      <c r="P11" s="41">
        <v>0.2</v>
      </c>
      <c r="Q11" s="41">
        <v>9.91</v>
      </c>
      <c r="R11" s="38"/>
      <c r="S11" s="38"/>
      <c r="T11" s="38"/>
      <c r="U11" s="38"/>
    </row>
    <row r="12" spans="1:21" customFormat="1">
      <c r="A12" s="40" t="s">
        <v>495</v>
      </c>
      <c r="B12" s="41">
        <v>4.17</v>
      </c>
      <c r="C12" s="41">
        <v>7.6</v>
      </c>
      <c r="D12" s="41">
        <v>3.48</v>
      </c>
      <c r="E12" s="41">
        <v>5.21</v>
      </c>
      <c r="F12" s="41">
        <v>2.72</v>
      </c>
      <c r="G12" s="41">
        <v>42.87</v>
      </c>
      <c r="H12" s="41">
        <v>8.42</v>
      </c>
      <c r="I12" s="41">
        <v>3.85</v>
      </c>
      <c r="J12" s="41">
        <v>0.75</v>
      </c>
      <c r="K12" s="41">
        <v>256.45999999999998</v>
      </c>
      <c r="L12" s="41">
        <v>28.69</v>
      </c>
      <c r="M12" s="41">
        <v>71.930000000000007</v>
      </c>
      <c r="N12" s="41">
        <v>2.1</v>
      </c>
      <c r="O12" s="41">
        <v>0</v>
      </c>
      <c r="P12" s="41">
        <v>0.19</v>
      </c>
      <c r="Q12" s="41">
        <v>9.91</v>
      </c>
      <c r="R12" s="38"/>
      <c r="S12" s="38"/>
      <c r="T12" s="38"/>
      <c r="U12" s="38"/>
    </row>
    <row r="13" spans="1:21" customFormat="1">
      <c r="A13" s="40" t="s">
        <v>496</v>
      </c>
      <c r="B13" s="41">
        <v>4.0599999999999996</v>
      </c>
      <c r="C13" s="41">
        <v>7.34</v>
      </c>
      <c r="D13" s="41">
        <v>3.32</v>
      </c>
      <c r="E13" s="41">
        <v>5.61</v>
      </c>
      <c r="F13" s="41">
        <v>3.02</v>
      </c>
      <c r="G13" s="41">
        <v>40.46</v>
      </c>
      <c r="H13" s="41">
        <v>6.91</v>
      </c>
      <c r="I13" s="41">
        <v>3.53</v>
      </c>
      <c r="J13" s="41">
        <v>0.83</v>
      </c>
      <c r="K13" s="41">
        <v>253.8</v>
      </c>
      <c r="L13" s="41">
        <v>28.66</v>
      </c>
      <c r="M13" s="41">
        <v>71.69</v>
      </c>
      <c r="N13" s="41">
        <v>2.2000000000000002</v>
      </c>
      <c r="O13" s="41">
        <v>0</v>
      </c>
      <c r="P13" s="41">
        <v>0.18</v>
      </c>
      <c r="Q13" s="41">
        <v>9.91</v>
      </c>
      <c r="R13" s="38"/>
      <c r="S13" s="38"/>
      <c r="T13" s="38"/>
      <c r="U13" s="38"/>
    </row>
    <row r="14" spans="1:21" customFormat="1">
      <c r="A14" s="40" t="s">
        <v>497</v>
      </c>
      <c r="B14" s="41">
        <v>4.0999999999999996</v>
      </c>
      <c r="C14" s="41">
        <v>7.31</v>
      </c>
      <c r="D14" s="41">
        <v>3.29</v>
      </c>
      <c r="E14" s="41">
        <v>5.67</v>
      </c>
      <c r="F14" s="41">
        <v>3.03</v>
      </c>
      <c r="G14" s="41">
        <v>32.090000000000003</v>
      </c>
      <c r="H14" s="41">
        <v>6.17</v>
      </c>
      <c r="I14" s="41">
        <v>3.34</v>
      </c>
      <c r="J14" s="41">
        <v>0.41</v>
      </c>
      <c r="K14" s="41">
        <v>246.85</v>
      </c>
      <c r="L14" s="41">
        <v>28.5</v>
      </c>
      <c r="M14" s="41">
        <v>85.04</v>
      </c>
      <c r="N14" s="41">
        <v>6.1</v>
      </c>
      <c r="O14" s="41">
        <v>0.2</v>
      </c>
      <c r="P14" s="41">
        <v>0.18</v>
      </c>
      <c r="Q14" s="41">
        <v>9.9</v>
      </c>
      <c r="R14" s="38"/>
      <c r="S14" s="38"/>
      <c r="T14" s="38"/>
      <c r="U14" s="38"/>
    </row>
    <row r="15" spans="1:21" customFormat="1">
      <c r="A15" s="40" t="s">
        <v>498</v>
      </c>
      <c r="B15" s="41">
        <v>4.3899999999999997</v>
      </c>
      <c r="C15" s="41">
        <v>7.41</v>
      </c>
      <c r="D15" s="41">
        <v>3.13</v>
      </c>
      <c r="E15" s="41">
        <v>5.66</v>
      </c>
      <c r="F15" s="41">
        <v>3.23</v>
      </c>
      <c r="G15" s="41">
        <v>29</v>
      </c>
      <c r="H15" s="41">
        <v>4.83</v>
      </c>
      <c r="I15" s="41">
        <v>3.37</v>
      </c>
      <c r="J15" s="41">
        <v>0.31</v>
      </c>
      <c r="K15" s="41">
        <v>245.19</v>
      </c>
      <c r="L15" s="41">
        <v>27.26</v>
      </c>
      <c r="M15" s="41">
        <v>85.26</v>
      </c>
      <c r="N15" s="41">
        <v>32.1</v>
      </c>
      <c r="O15" s="41">
        <v>0</v>
      </c>
      <c r="P15" s="41">
        <v>0.21</v>
      </c>
      <c r="Q15" s="41">
        <v>9.92</v>
      </c>
      <c r="R15" s="38"/>
      <c r="S15" s="38"/>
      <c r="T15" s="38"/>
      <c r="U15" s="38"/>
    </row>
    <row r="16" spans="1:21" customFormat="1">
      <c r="A16" s="40" t="s">
        <v>499</v>
      </c>
      <c r="B16" s="41">
        <v>4.8499999999999996</v>
      </c>
      <c r="C16" s="41">
        <v>7.48</v>
      </c>
      <c r="D16" s="41">
        <v>2.74</v>
      </c>
      <c r="E16" s="41">
        <v>4.9800000000000004</v>
      </c>
      <c r="F16" s="41">
        <v>5.01</v>
      </c>
      <c r="G16" s="41">
        <v>31.16</v>
      </c>
      <c r="H16" s="41">
        <v>5.94</v>
      </c>
      <c r="I16" s="41">
        <v>3.55</v>
      </c>
      <c r="J16" s="41">
        <v>0.28000000000000003</v>
      </c>
      <c r="K16" s="41">
        <v>244.31</v>
      </c>
      <c r="L16" s="41">
        <v>27.52</v>
      </c>
      <c r="M16" s="41">
        <v>86.67</v>
      </c>
      <c r="N16" s="41">
        <v>73.900000000000006</v>
      </c>
      <c r="O16" s="41">
        <v>0</v>
      </c>
      <c r="P16" s="41">
        <v>0.23</v>
      </c>
      <c r="Q16" s="41">
        <v>9.93</v>
      </c>
      <c r="R16" s="38"/>
      <c r="S16" s="38"/>
      <c r="T16" s="38"/>
      <c r="U16" s="38"/>
    </row>
    <row r="17" spans="1:21" customFormat="1">
      <c r="A17" s="40" t="s">
        <v>500</v>
      </c>
      <c r="B17" s="41">
        <v>5.2</v>
      </c>
      <c r="C17" s="41">
        <v>7.65</v>
      </c>
      <c r="D17" s="41">
        <v>2.52</v>
      </c>
      <c r="E17" s="41">
        <v>4.78</v>
      </c>
      <c r="F17" s="41">
        <v>5.51</v>
      </c>
      <c r="G17" s="41">
        <v>29.34</v>
      </c>
      <c r="H17" s="41">
        <v>7.37</v>
      </c>
      <c r="I17" s="41">
        <v>3.58</v>
      </c>
      <c r="J17" s="41">
        <v>0.4</v>
      </c>
      <c r="K17" s="41">
        <v>252.27</v>
      </c>
      <c r="L17" s="41">
        <v>28.4</v>
      </c>
      <c r="M17" s="41">
        <v>84.49</v>
      </c>
      <c r="N17" s="41">
        <v>89.2</v>
      </c>
      <c r="O17" s="41">
        <v>0</v>
      </c>
      <c r="P17" s="41">
        <v>0.23</v>
      </c>
      <c r="Q17" s="41">
        <v>9.93</v>
      </c>
      <c r="R17" s="38"/>
      <c r="S17" s="38"/>
      <c r="T17" s="38"/>
      <c r="U17" s="38"/>
    </row>
    <row r="18" spans="1:21" customFormat="1">
      <c r="A18" s="40" t="s">
        <v>501</v>
      </c>
      <c r="B18" s="41">
        <v>5.21</v>
      </c>
      <c r="C18" s="41">
        <v>7.98</v>
      </c>
      <c r="D18" s="41">
        <v>2.78</v>
      </c>
      <c r="E18" s="41">
        <v>4.8099999999999996</v>
      </c>
      <c r="F18" s="41">
        <v>4.83</v>
      </c>
      <c r="G18" s="41">
        <v>31.66</v>
      </c>
      <c r="H18" s="41">
        <v>8.99</v>
      </c>
      <c r="I18" s="41">
        <v>3.66</v>
      </c>
      <c r="J18" s="41">
        <v>0.57999999999999996</v>
      </c>
      <c r="K18" s="41">
        <v>258.64</v>
      </c>
      <c r="L18" s="41">
        <v>29.36</v>
      </c>
      <c r="M18" s="41">
        <v>76.55</v>
      </c>
      <c r="N18" s="41">
        <v>134.30000000000001</v>
      </c>
      <c r="O18" s="41">
        <v>0</v>
      </c>
      <c r="P18" s="41">
        <v>0.24</v>
      </c>
      <c r="Q18" s="41">
        <v>9.94</v>
      </c>
      <c r="R18" s="38"/>
      <c r="S18" s="38"/>
      <c r="T18" s="38"/>
      <c r="U18" s="38"/>
    </row>
    <row r="19" spans="1:21" customFormat="1">
      <c r="A19" s="40" t="s">
        <v>502</v>
      </c>
      <c r="B19" s="41">
        <v>5.17</v>
      </c>
      <c r="C19" s="41">
        <v>7.85</v>
      </c>
      <c r="D19" s="41">
        <v>2.8</v>
      </c>
      <c r="E19" s="41">
        <v>4.6399999999999997</v>
      </c>
      <c r="F19" s="41">
        <v>4.1900000000000004</v>
      </c>
      <c r="G19" s="41">
        <v>31.35</v>
      </c>
      <c r="H19" s="41">
        <v>8.9600000000000009</v>
      </c>
      <c r="I19" s="41">
        <v>3.68</v>
      </c>
      <c r="J19" s="41">
        <v>0.98</v>
      </c>
      <c r="K19" s="41">
        <v>255.97</v>
      </c>
      <c r="L19" s="41">
        <v>29.77</v>
      </c>
      <c r="M19" s="41">
        <v>69.33</v>
      </c>
      <c r="N19" s="41">
        <v>165.2</v>
      </c>
      <c r="O19" s="41">
        <v>0</v>
      </c>
      <c r="P19" s="41">
        <v>0.24</v>
      </c>
      <c r="Q19" s="41">
        <v>9.93</v>
      </c>
      <c r="R19" s="38"/>
      <c r="S19" s="38"/>
      <c r="T19" s="38"/>
      <c r="U19" s="38"/>
    </row>
    <row r="20" spans="1:21" customFormat="1">
      <c r="A20" s="40" t="s">
        <v>503</v>
      </c>
      <c r="B20" s="41">
        <v>4.8600000000000003</v>
      </c>
      <c r="C20" s="41">
        <v>7.83</v>
      </c>
      <c r="D20" s="41">
        <v>3.41</v>
      </c>
      <c r="E20" s="41">
        <v>5.1100000000000003</v>
      </c>
      <c r="F20" s="41">
        <v>3.55</v>
      </c>
      <c r="G20" s="41">
        <v>28.12</v>
      </c>
      <c r="H20" s="41">
        <v>8.41</v>
      </c>
      <c r="I20" s="41">
        <v>3.6</v>
      </c>
      <c r="J20" s="41">
        <v>1.29</v>
      </c>
      <c r="K20" s="41">
        <v>255.07</v>
      </c>
      <c r="L20" s="41">
        <v>29.87</v>
      </c>
      <c r="M20" s="41">
        <v>64.45</v>
      </c>
      <c r="N20" s="41">
        <v>158.4</v>
      </c>
      <c r="O20" s="41">
        <v>0</v>
      </c>
      <c r="P20" s="41">
        <v>0.22</v>
      </c>
      <c r="Q20" s="41">
        <v>9.92</v>
      </c>
      <c r="R20" s="38"/>
      <c r="S20" s="38"/>
      <c r="T20" s="38"/>
      <c r="U20" s="38"/>
    </row>
    <row r="21" spans="1:21" customFormat="1">
      <c r="A21" s="40" t="s">
        <v>504</v>
      </c>
      <c r="B21" s="41">
        <v>4.28</v>
      </c>
      <c r="C21" s="41">
        <v>7.84</v>
      </c>
      <c r="D21" s="41">
        <v>3.55</v>
      </c>
      <c r="E21" s="41">
        <v>5.42</v>
      </c>
      <c r="F21" s="41">
        <v>3.21</v>
      </c>
      <c r="G21" s="41">
        <v>33.4</v>
      </c>
      <c r="H21" s="41">
        <v>8.4</v>
      </c>
      <c r="I21" s="41">
        <v>3.46</v>
      </c>
      <c r="J21" s="41">
        <v>0.93</v>
      </c>
      <c r="K21" s="41">
        <v>253.83</v>
      </c>
      <c r="L21" s="41">
        <v>30.06</v>
      </c>
      <c r="M21" s="41">
        <v>64.77</v>
      </c>
      <c r="N21" s="41">
        <v>156.4</v>
      </c>
      <c r="O21" s="41">
        <v>0</v>
      </c>
      <c r="P21" s="41">
        <v>0.17</v>
      </c>
      <c r="Q21" s="41">
        <v>9.91</v>
      </c>
      <c r="R21" s="38"/>
      <c r="S21" s="38"/>
      <c r="T21" s="38"/>
      <c r="U21" s="38"/>
    </row>
    <row r="22" spans="1:21" customFormat="1">
      <c r="A22" s="40" t="s">
        <v>505</v>
      </c>
      <c r="B22" s="41">
        <v>3.97</v>
      </c>
      <c r="C22" s="41">
        <v>7.32</v>
      </c>
      <c r="D22" s="41">
        <v>3.37</v>
      </c>
      <c r="E22" s="41">
        <v>5.34</v>
      </c>
      <c r="F22" s="41">
        <v>3.87</v>
      </c>
      <c r="G22" s="41">
        <v>35.49</v>
      </c>
      <c r="H22" s="41">
        <v>7.45</v>
      </c>
      <c r="I22" s="41">
        <v>3.27</v>
      </c>
      <c r="J22" s="41">
        <v>0.95</v>
      </c>
      <c r="K22" s="41">
        <v>259.08999999999997</v>
      </c>
      <c r="L22" s="41">
        <v>30.24</v>
      </c>
      <c r="M22" s="41">
        <v>64.25</v>
      </c>
      <c r="N22" s="41">
        <v>154.19999999999999</v>
      </c>
      <c r="O22" s="41">
        <v>0</v>
      </c>
      <c r="P22" s="41">
        <v>0.17</v>
      </c>
      <c r="Q22" s="41">
        <v>9.91</v>
      </c>
      <c r="R22" s="38"/>
      <c r="S22" s="38"/>
      <c r="T22" s="38"/>
      <c r="U22" s="38"/>
    </row>
    <row r="23" spans="1:21" customFormat="1">
      <c r="A23" s="40" t="s">
        <v>506</v>
      </c>
      <c r="B23" s="41">
        <v>3.92</v>
      </c>
      <c r="C23" s="41">
        <v>7.15</v>
      </c>
      <c r="D23" s="41">
        <v>3.24</v>
      </c>
      <c r="E23" s="41">
        <v>5.55</v>
      </c>
      <c r="F23" s="41">
        <v>4.09</v>
      </c>
      <c r="G23" s="41">
        <v>34.31</v>
      </c>
      <c r="H23" s="41">
        <v>5.5</v>
      </c>
      <c r="I23" s="41">
        <v>3.29</v>
      </c>
      <c r="J23" s="41">
        <v>1.08</v>
      </c>
      <c r="K23" s="41">
        <v>261.95999999999998</v>
      </c>
      <c r="L23" s="41">
        <v>30.33</v>
      </c>
      <c r="M23" s="41">
        <v>65.430000000000007</v>
      </c>
      <c r="N23" s="41">
        <v>147.19999999999999</v>
      </c>
      <c r="O23" s="41">
        <v>0</v>
      </c>
      <c r="P23" s="41">
        <v>0.24</v>
      </c>
      <c r="Q23" s="41">
        <v>9.91</v>
      </c>
      <c r="R23" s="38"/>
      <c r="S23" s="38"/>
      <c r="T23" s="38"/>
      <c r="U23" s="38"/>
    </row>
    <row r="24" spans="1:21" customFormat="1">
      <c r="A24" s="40" t="s">
        <v>507</v>
      </c>
      <c r="B24" s="41">
        <v>3.82</v>
      </c>
      <c r="C24" s="41">
        <v>6.93</v>
      </c>
      <c r="D24" s="41">
        <v>3.12</v>
      </c>
      <c r="E24" s="41">
        <v>5.71</v>
      </c>
      <c r="F24" s="41">
        <v>4.13</v>
      </c>
      <c r="G24" s="41">
        <v>35.33</v>
      </c>
      <c r="H24" s="41">
        <v>5.83</v>
      </c>
      <c r="I24" s="41">
        <v>3.17</v>
      </c>
      <c r="J24" s="41">
        <v>0.92</v>
      </c>
      <c r="K24" s="41">
        <v>252.47</v>
      </c>
      <c r="L24" s="41">
        <v>29.89</v>
      </c>
      <c r="M24" s="41">
        <v>66.77</v>
      </c>
      <c r="N24" s="41">
        <v>70.599999999999994</v>
      </c>
      <c r="O24" s="41">
        <v>0</v>
      </c>
      <c r="P24" s="41">
        <v>0.24</v>
      </c>
      <c r="Q24" s="41">
        <v>9.89</v>
      </c>
      <c r="R24" s="38"/>
      <c r="S24" s="38"/>
      <c r="T24" s="38"/>
      <c r="U24" s="38"/>
    </row>
    <row r="25" spans="1:21" customFormat="1">
      <c r="A25" s="40" t="s">
        <v>508</v>
      </c>
      <c r="B25" s="41">
        <v>3.95</v>
      </c>
      <c r="C25" s="41">
        <v>6.99</v>
      </c>
      <c r="D25" s="41">
        <v>3.15</v>
      </c>
      <c r="E25" s="41">
        <v>5.81</v>
      </c>
      <c r="F25" s="41">
        <v>8.2899999999999991</v>
      </c>
      <c r="G25" s="41">
        <v>41.01</v>
      </c>
      <c r="H25" s="41">
        <v>12.58</v>
      </c>
      <c r="I25" s="41">
        <v>3.1</v>
      </c>
      <c r="J25" s="41">
        <v>0.73</v>
      </c>
      <c r="K25" s="41">
        <v>252.91</v>
      </c>
      <c r="L25" s="41">
        <v>29.79</v>
      </c>
      <c r="M25" s="41">
        <v>67.98</v>
      </c>
      <c r="N25" s="41">
        <v>61.5</v>
      </c>
      <c r="O25" s="41">
        <v>0</v>
      </c>
      <c r="P25" s="41">
        <v>0.28000000000000003</v>
      </c>
      <c r="Q25" s="41">
        <v>9.91</v>
      </c>
      <c r="R25" s="38"/>
      <c r="S25" s="38"/>
      <c r="T25" s="38"/>
      <c r="U25" s="38"/>
    </row>
    <row r="26" spans="1:21" customFormat="1">
      <c r="A26" s="40" t="s">
        <v>509</v>
      </c>
      <c r="B26" s="41">
        <v>4.12</v>
      </c>
      <c r="C26" s="41">
        <v>6.75</v>
      </c>
      <c r="D26" s="41">
        <v>2.63</v>
      </c>
      <c r="E26" s="41">
        <v>4.78</v>
      </c>
      <c r="F26" s="41">
        <v>11.17</v>
      </c>
      <c r="G26" s="41">
        <v>40.299999999999997</v>
      </c>
      <c r="H26" s="41">
        <v>12.25</v>
      </c>
      <c r="I26" s="41">
        <v>3.06</v>
      </c>
      <c r="J26" s="41">
        <v>0.52</v>
      </c>
      <c r="K26" s="41">
        <v>251.97</v>
      </c>
      <c r="L26" s="41">
        <v>29.62</v>
      </c>
      <c r="M26" s="41">
        <v>68.569999999999993</v>
      </c>
      <c r="N26" s="41">
        <v>30.2</v>
      </c>
      <c r="O26" s="41">
        <v>0</v>
      </c>
      <c r="P26" s="41">
        <v>0.28999999999999998</v>
      </c>
      <c r="Q26" s="41">
        <v>9.92</v>
      </c>
      <c r="R26" s="38"/>
      <c r="S26" s="38"/>
      <c r="T26" s="38"/>
      <c r="U26" s="38"/>
    </row>
    <row r="27" spans="1:21" customFormat="1">
      <c r="A27" s="40" t="s">
        <v>510</v>
      </c>
      <c r="B27" s="41">
        <v>4.17</v>
      </c>
      <c r="C27" s="41">
        <v>6.7</v>
      </c>
      <c r="D27" s="41">
        <v>2.54</v>
      </c>
      <c r="E27" s="41">
        <v>5.0999999999999996</v>
      </c>
      <c r="F27" s="41">
        <v>10.029999999999999</v>
      </c>
      <c r="G27" s="41">
        <v>38.47</v>
      </c>
      <c r="H27" s="41">
        <v>10.54</v>
      </c>
      <c r="I27" s="41">
        <v>3.21</v>
      </c>
      <c r="J27" s="41">
        <v>0.59</v>
      </c>
      <c r="K27" s="41">
        <v>259.31</v>
      </c>
      <c r="L27" s="41">
        <v>28.99</v>
      </c>
      <c r="M27" s="41">
        <v>71.900000000000006</v>
      </c>
      <c r="N27" s="41">
        <v>9.9</v>
      </c>
      <c r="O27" s="41">
        <v>0</v>
      </c>
      <c r="P27" s="41">
        <v>0.28999999999999998</v>
      </c>
      <c r="Q27" s="41">
        <v>9.92</v>
      </c>
      <c r="R27" s="38"/>
      <c r="S27" s="38"/>
      <c r="T27" s="38"/>
      <c r="U27" s="38"/>
    </row>
    <row r="28" spans="1:21" customFormat="1">
      <c r="A28" s="40" t="s">
        <v>511</v>
      </c>
      <c r="B28" s="41">
        <v>4.25</v>
      </c>
      <c r="C28" s="41">
        <v>6.92</v>
      </c>
      <c r="D28" s="41">
        <v>2.71</v>
      </c>
      <c r="E28" s="41">
        <v>5.16</v>
      </c>
      <c r="F28" s="41">
        <v>9.2100000000000009</v>
      </c>
      <c r="G28" s="41">
        <v>37.979999999999997</v>
      </c>
      <c r="H28" s="41">
        <v>7.78</v>
      </c>
      <c r="I28" s="41">
        <v>3.23</v>
      </c>
      <c r="J28" s="41">
        <v>0.56000000000000005</v>
      </c>
      <c r="K28" s="41">
        <v>254.37</v>
      </c>
      <c r="L28" s="41">
        <v>28.51</v>
      </c>
      <c r="M28" s="41">
        <v>73.58</v>
      </c>
      <c r="N28" s="41">
        <v>2.1</v>
      </c>
      <c r="O28" s="41">
        <v>0</v>
      </c>
      <c r="P28" s="41">
        <v>0.3</v>
      </c>
      <c r="Q28" s="41">
        <v>9.91</v>
      </c>
      <c r="R28" s="38"/>
      <c r="S28" s="38"/>
      <c r="T28" s="38"/>
      <c r="U28" s="38"/>
    </row>
    <row r="29" spans="1:21" customFormat="1">
      <c r="A29" s="40" t="s">
        <v>512</v>
      </c>
      <c r="B29" s="41">
        <v>4.38</v>
      </c>
      <c r="C29" s="41">
        <v>6.96</v>
      </c>
      <c r="D29" s="41">
        <v>2.62</v>
      </c>
      <c r="E29" s="41">
        <v>5.12</v>
      </c>
      <c r="F29" s="41">
        <v>8.67</v>
      </c>
      <c r="G29" s="41">
        <v>36.44</v>
      </c>
      <c r="H29" s="41">
        <v>9.2899999999999991</v>
      </c>
      <c r="I29" s="41">
        <v>3.38</v>
      </c>
      <c r="J29" s="41">
        <v>0.33</v>
      </c>
      <c r="K29" s="41">
        <v>255.69</v>
      </c>
      <c r="L29" s="41">
        <v>28.23</v>
      </c>
      <c r="M29" s="41">
        <v>83.8</v>
      </c>
      <c r="N29" s="41">
        <v>2</v>
      </c>
      <c r="O29" s="41">
        <v>0</v>
      </c>
      <c r="P29" s="41">
        <v>0.3</v>
      </c>
      <c r="Q29" s="41">
        <v>9.91</v>
      </c>
      <c r="R29" s="38"/>
      <c r="S29" s="38"/>
      <c r="T29" s="38"/>
      <c r="U29" s="38"/>
    </row>
    <row r="30" spans="1:21" customFormat="1">
      <c r="A30" s="40" t="s">
        <v>513</v>
      </c>
      <c r="B30" s="41">
        <v>4.5</v>
      </c>
      <c r="C30" s="41">
        <v>7.59</v>
      </c>
      <c r="D30" s="41">
        <v>3.19</v>
      </c>
      <c r="E30" s="41">
        <v>5.94</v>
      </c>
      <c r="F30" s="41">
        <v>3.92</v>
      </c>
      <c r="G30" s="41">
        <v>36.29</v>
      </c>
      <c r="H30" s="41">
        <v>9.17</v>
      </c>
      <c r="I30" s="41">
        <v>3.59</v>
      </c>
      <c r="J30" s="41">
        <v>0.6</v>
      </c>
      <c r="K30" s="41">
        <v>254.94</v>
      </c>
      <c r="L30" s="41">
        <v>27.22</v>
      </c>
      <c r="M30" s="41">
        <v>84.9</v>
      </c>
      <c r="N30" s="41">
        <v>1.3</v>
      </c>
      <c r="O30" s="41">
        <v>0</v>
      </c>
      <c r="P30" s="41">
        <v>0.28999999999999998</v>
      </c>
      <c r="Q30" s="41">
        <v>9.92</v>
      </c>
      <c r="R30" s="38"/>
      <c r="S30" s="38"/>
      <c r="T30" s="38"/>
      <c r="U30" s="38"/>
    </row>
    <row r="31" spans="1:21" customFormat="1">
      <c r="A31" s="40" t="s">
        <v>514</v>
      </c>
      <c r="B31" s="41">
        <v>4.2699999999999996</v>
      </c>
      <c r="C31" s="41">
        <v>7.5</v>
      </c>
      <c r="D31" s="41">
        <v>3.26</v>
      </c>
      <c r="E31" s="41">
        <v>6.27</v>
      </c>
      <c r="F31" s="41">
        <v>3.17</v>
      </c>
      <c r="G31" s="41">
        <v>34.950000000000003</v>
      </c>
      <c r="H31" s="41">
        <v>12.18</v>
      </c>
      <c r="I31" s="41">
        <v>3.54</v>
      </c>
      <c r="J31" s="41">
        <v>0.55000000000000004</v>
      </c>
      <c r="K31" s="41">
        <v>256.64999999999998</v>
      </c>
      <c r="L31" s="41">
        <v>26.93</v>
      </c>
      <c r="M31" s="41">
        <v>90.26</v>
      </c>
      <c r="N31" s="41">
        <v>1.7</v>
      </c>
      <c r="O31" s="41">
        <v>0.2</v>
      </c>
      <c r="P31" s="41">
        <v>0.26</v>
      </c>
      <c r="Q31" s="41">
        <v>9.92</v>
      </c>
      <c r="R31" s="38"/>
      <c r="S31" s="38"/>
      <c r="T31" s="38"/>
      <c r="U31" s="38"/>
    </row>
    <row r="32" spans="1:21" customFormat="1">
      <c r="A32" s="40" t="s">
        <v>515</v>
      </c>
      <c r="B32" s="41">
        <v>4.24</v>
      </c>
      <c r="C32" s="41">
        <v>7.29</v>
      </c>
      <c r="D32" s="41">
        <v>3.09</v>
      </c>
      <c r="E32" s="41">
        <v>6.31</v>
      </c>
      <c r="F32" s="41">
        <v>3.78</v>
      </c>
      <c r="G32" s="41">
        <v>36.81</v>
      </c>
      <c r="H32" s="41">
        <v>10.94</v>
      </c>
      <c r="I32" s="41">
        <v>3.27</v>
      </c>
      <c r="J32" s="41">
        <v>1.34</v>
      </c>
      <c r="K32" s="41">
        <v>257.48</v>
      </c>
      <c r="L32" s="41">
        <v>26.88</v>
      </c>
      <c r="M32" s="41">
        <v>90.08</v>
      </c>
      <c r="N32" s="41">
        <v>2.9</v>
      </c>
      <c r="O32" s="41">
        <v>0</v>
      </c>
      <c r="P32" s="41">
        <v>0.27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3.82</v>
      </c>
      <c r="C34" s="18">
        <f t="shared" si="0"/>
        <v>6.7</v>
      </c>
      <c r="D34" s="18">
        <f t="shared" si="0"/>
        <v>2.52</v>
      </c>
      <c r="E34" s="18">
        <f t="shared" si="0"/>
        <v>4.1900000000000004</v>
      </c>
      <c r="F34" s="18">
        <f t="shared" si="0"/>
        <v>2.72</v>
      </c>
      <c r="G34" s="18">
        <f t="shared" si="0"/>
        <v>28.12</v>
      </c>
      <c r="H34" s="18">
        <f t="shared" si="0"/>
        <v>4.83</v>
      </c>
      <c r="I34" s="18">
        <f t="shared" si="0"/>
        <v>3.06</v>
      </c>
      <c r="J34" s="18">
        <f t="shared" si="0"/>
        <v>0.28000000000000003</v>
      </c>
      <c r="K34" s="18">
        <f t="shared" si="0"/>
        <v>244.31</v>
      </c>
      <c r="L34" s="18">
        <f t="shared" si="0"/>
        <v>26.88</v>
      </c>
      <c r="M34" s="18">
        <f t="shared" si="0"/>
        <v>64.25</v>
      </c>
      <c r="N34" s="18">
        <f t="shared" si="0"/>
        <v>1.3</v>
      </c>
      <c r="O34" s="18">
        <f t="shared" si="0"/>
        <v>0</v>
      </c>
      <c r="P34" s="18">
        <f t="shared" si="0"/>
        <v>0.17</v>
      </c>
      <c r="Q34" s="18">
        <f t="shared" si="0"/>
        <v>9.89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5.21</v>
      </c>
      <c r="C35" s="3">
        <f t="shared" si="1"/>
        <v>7.98</v>
      </c>
      <c r="D35" s="3">
        <f t="shared" si="1"/>
        <v>3.55</v>
      </c>
      <c r="E35" s="3">
        <f t="shared" si="1"/>
        <v>6.31</v>
      </c>
      <c r="F35" s="3">
        <f t="shared" si="1"/>
        <v>11.17</v>
      </c>
      <c r="G35" s="3">
        <f t="shared" si="1"/>
        <v>54.68</v>
      </c>
      <c r="H35" s="3">
        <f t="shared" si="1"/>
        <v>12.58</v>
      </c>
      <c r="I35" s="3">
        <f t="shared" si="1"/>
        <v>4.0199999999999996</v>
      </c>
      <c r="J35" s="3">
        <f t="shared" si="1"/>
        <v>1.34</v>
      </c>
      <c r="K35" s="3">
        <f t="shared" si="1"/>
        <v>261.95999999999998</v>
      </c>
      <c r="L35" s="3">
        <f t="shared" si="1"/>
        <v>30.33</v>
      </c>
      <c r="M35" s="3">
        <f t="shared" si="1"/>
        <v>90.26</v>
      </c>
      <c r="N35" s="3">
        <f t="shared" si="1"/>
        <v>165.2</v>
      </c>
      <c r="O35" s="3">
        <f t="shared" si="1"/>
        <v>0.2</v>
      </c>
      <c r="P35" s="3">
        <f t="shared" si="1"/>
        <v>0.3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4.3833333333333329</v>
      </c>
      <c r="C36" s="18">
        <f t="shared" si="2"/>
        <v>7.3629166666666661</v>
      </c>
      <c r="D36" s="18">
        <f t="shared" si="2"/>
        <v>3.0483333333333333</v>
      </c>
      <c r="E36" s="18">
        <f t="shared" si="2"/>
        <v>5.28125</v>
      </c>
      <c r="F36" s="18">
        <f t="shared" si="2"/>
        <v>5.2299999999999995</v>
      </c>
      <c r="G36" s="18">
        <f t="shared" si="2"/>
        <v>36.798333333333339</v>
      </c>
      <c r="H36" s="18">
        <f t="shared" si="2"/>
        <v>8.6325000000000003</v>
      </c>
      <c r="I36" s="18">
        <f t="shared" si="2"/>
        <v>3.4895833333333339</v>
      </c>
      <c r="J36" s="18">
        <f t="shared" si="2"/>
        <v>0.70083333333333331</v>
      </c>
      <c r="K36" s="18">
        <f t="shared" si="2"/>
        <v>254.26249999999996</v>
      </c>
      <c r="L36" s="18">
        <f t="shared" si="2"/>
        <v>28.789583333333329</v>
      </c>
      <c r="M36" s="18">
        <f t="shared" si="2"/>
        <v>75.138333333333335</v>
      </c>
      <c r="N36" s="18">
        <f t="shared" si="2"/>
        <v>54.579166666666673</v>
      </c>
      <c r="O36" s="18">
        <f t="shared" si="2"/>
        <v>1.6666666666666666E-2</v>
      </c>
      <c r="P36" s="18">
        <f t="shared" si="2"/>
        <v>0.23916666666666667</v>
      </c>
      <c r="Q36" s="18">
        <f t="shared" si="2"/>
        <v>9.9166666666666643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0.40396584731521723</v>
      </c>
      <c r="C37" s="18">
        <f t="shared" ref="C37:Q37" si="3">STDEV(C9:C32)</f>
        <v>0.36335967528495566</v>
      </c>
      <c r="D37" s="18">
        <f t="shared" si="3"/>
        <v>0.3202670986735181</v>
      </c>
      <c r="E37" s="18">
        <f t="shared" si="3"/>
        <v>0.53644816192693079</v>
      </c>
      <c r="F37" s="18">
        <f t="shared" si="3"/>
        <v>2.5304493500253034</v>
      </c>
      <c r="G37" s="18">
        <f t="shared" si="3"/>
        <v>6.2856009824156782</v>
      </c>
      <c r="H37" s="18">
        <f t="shared" si="3"/>
        <v>2.1710411247181374</v>
      </c>
      <c r="I37" s="18">
        <f t="shared" si="3"/>
        <v>0.28020922565991208</v>
      </c>
      <c r="J37" s="18">
        <f t="shared" si="3"/>
        <v>0.2918593566394112</v>
      </c>
      <c r="K37" s="18">
        <f t="shared" si="3"/>
        <v>4.1971784000372319</v>
      </c>
      <c r="L37" s="18">
        <f t="shared" si="3"/>
        <v>1.0567154985744913</v>
      </c>
      <c r="M37" s="18">
        <f t="shared" si="3"/>
        <v>8.711600794675789</v>
      </c>
      <c r="N37" s="18">
        <f t="shared" si="3"/>
        <v>63.63541520914734</v>
      </c>
      <c r="O37" s="18">
        <f t="shared" si="3"/>
        <v>5.6465970257327996E-2</v>
      </c>
      <c r="P37" s="18">
        <f t="shared" si="3"/>
        <v>4.2212368542537695E-2</v>
      </c>
      <c r="Q37" s="18">
        <f t="shared" si="3"/>
        <v>1.1293194051465354E-2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516</v>
      </c>
      <c r="B9" s="41">
        <v>4.01</v>
      </c>
      <c r="C9" s="41">
        <v>7.33</v>
      </c>
      <c r="D9" s="41">
        <v>3.32</v>
      </c>
      <c r="E9" s="41">
        <v>6.37</v>
      </c>
      <c r="F9" s="41">
        <v>4.17</v>
      </c>
      <c r="G9" s="41">
        <v>33.619999999999997</v>
      </c>
      <c r="H9" s="41">
        <v>7.89</v>
      </c>
      <c r="I9" s="41">
        <v>3.18</v>
      </c>
      <c r="J9" s="41">
        <v>1.25</v>
      </c>
      <c r="K9" s="41">
        <v>254.99</v>
      </c>
      <c r="L9" s="41">
        <v>25.86</v>
      </c>
      <c r="M9" s="41">
        <v>87.25</v>
      </c>
      <c r="N9" s="41">
        <v>2.6</v>
      </c>
      <c r="O9" s="41">
        <v>0</v>
      </c>
      <c r="P9" s="41">
        <v>0.26</v>
      </c>
      <c r="Q9" s="41">
        <v>9.91</v>
      </c>
      <c r="R9" s="38"/>
      <c r="S9" s="38"/>
      <c r="T9" s="38"/>
      <c r="U9" s="38"/>
    </row>
    <row r="10" spans="1:21" customFormat="1">
      <c r="A10" s="40" t="s">
        <v>517</v>
      </c>
      <c r="B10" s="41">
        <v>3.86</v>
      </c>
      <c r="C10" s="41">
        <v>6.79</v>
      </c>
      <c r="D10" s="41">
        <v>2.94</v>
      </c>
      <c r="E10" s="41">
        <v>6.47</v>
      </c>
      <c r="F10" s="41">
        <v>4.24</v>
      </c>
      <c r="G10" s="41">
        <v>24.49</v>
      </c>
      <c r="H10" s="41">
        <v>5.58</v>
      </c>
      <c r="I10" s="41">
        <v>2.97</v>
      </c>
      <c r="J10" s="41">
        <v>1.07</v>
      </c>
      <c r="K10" s="41">
        <v>256.74</v>
      </c>
      <c r="L10" s="41">
        <v>25.41</v>
      </c>
      <c r="M10" s="41">
        <v>89.34</v>
      </c>
      <c r="N10" s="41">
        <v>2</v>
      </c>
      <c r="O10" s="41">
        <v>0</v>
      </c>
      <c r="P10" s="41">
        <v>0.24</v>
      </c>
      <c r="Q10" s="41">
        <v>9.91</v>
      </c>
      <c r="R10" s="38"/>
      <c r="S10" s="38"/>
      <c r="T10" s="38"/>
      <c r="U10" s="38"/>
    </row>
    <row r="11" spans="1:21" customFormat="1">
      <c r="A11" s="40" t="s">
        <v>518</v>
      </c>
      <c r="B11" s="41">
        <v>3.84</v>
      </c>
      <c r="C11" s="41">
        <v>6.81</v>
      </c>
      <c r="D11" s="41">
        <v>2.97</v>
      </c>
      <c r="E11" s="41">
        <v>4.58</v>
      </c>
      <c r="F11" s="41">
        <v>4.28</v>
      </c>
      <c r="G11" s="41">
        <v>19.66</v>
      </c>
      <c r="H11" s="41">
        <v>4.13</v>
      </c>
      <c r="I11" s="41">
        <v>2.81</v>
      </c>
      <c r="J11" s="41">
        <v>1.1200000000000001</v>
      </c>
      <c r="K11" s="41">
        <v>257.89</v>
      </c>
      <c r="L11" s="41">
        <v>25.51</v>
      </c>
      <c r="M11" s="41">
        <v>87.41</v>
      </c>
      <c r="N11" s="41">
        <v>2.1</v>
      </c>
      <c r="O11" s="41">
        <v>0</v>
      </c>
      <c r="P11" s="41">
        <v>0.28000000000000003</v>
      </c>
      <c r="Q11" s="41">
        <v>9.91</v>
      </c>
      <c r="R11" s="38"/>
      <c r="S11" s="38"/>
      <c r="T11" s="38"/>
      <c r="U11" s="38"/>
    </row>
    <row r="12" spans="1:21" customFormat="1">
      <c r="A12" s="40" t="s">
        <v>519</v>
      </c>
      <c r="B12" s="41">
        <v>3.95</v>
      </c>
      <c r="C12" s="41">
        <v>6.11</v>
      </c>
      <c r="D12" s="41">
        <v>2.3199999999999998</v>
      </c>
      <c r="E12" s="41">
        <v>3.65</v>
      </c>
      <c r="F12" s="41">
        <v>3.35</v>
      </c>
      <c r="G12" s="41">
        <v>14.18</v>
      </c>
      <c r="H12" s="41">
        <v>3.21</v>
      </c>
      <c r="I12" s="41">
        <v>2.77</v>
      </c>
      <c r="J12" s="41">
        <v>0.95</v>
      </c>
      <c r="K12" s="41">
        <v>254.37</v>
      </c>
      <c r="L12" s="41">
        <v>25.52</v>
      </c>
      <c r="M12" s="41">
        <v>87.4</v>
      </c>
      <c r="N12" s="41">
        <v>2.2000000000000002</v>
      </c>
      <c r="O12" s="41">
        <v>0</v>
      </c>
      <c r="P12" s="41">
        <v>0.28999999999999998</v>
      </c>
      <c r="Q12" s="41">
        <v>9.92</v>
      </c>
      <c r="R12" s="38"/>
      <c r="S12" s="38"/>
      <c r="T12" s="38"/>
      <c r="U12" s="38"/>
    </row>
    <row r="13" spans="1:21" customFormat="1">
      <c r="A13" s="40" t="s">
        <v>520</v>
      </c>
      <c r="B13" s="41">
        <v>4.32</v>
      </c>
      <c r="C13" s="41">
        <v>6.65</v>
      </c>
      <c r="D13" s="41">
        <v>2.38</v>
      </c>
      <c r="E13" s="41">
        <v>3.46</v>
      </c>
      <c r="F13" s="41">
        <v>3.27</v>
      </c>
      <c r="G13" s="41">
        <v>10.63</v>
      </c>
      <c r="H13" s="41">
        <v>2.6</v>
      </c>
      <c r="I13" s="41">
        <v>2.85</v>
      </c>
      <c r="J13" s="41">
        <v>0.98</v>
      </c>
      <c r="K13" s="41">
        <v>257.49</v>
      </c>
      <c r="L13" s="41">
        <v>25.16</v>
      </c>
      <c r="M13" s="41">
        <v>88.87</v>
      </c>
      <c r="N13" s="41">
        <v>1.8</v>
      </c>
      <c r="O13" s="41">
        <v>0</v>
      </c>
      <c r="P13" s="41">
        <v>0.28000000000000003</v>
      </c>
      <c r="Q13" s="41">
        <v>9.91</v>
      </c>
      <c r="R13" s="38"/>
      <c r="S13" s="38"/>
      <c r="T13" s="38"/>
      <c r="U13" s="38"/>
    </row>
    <row r="14" spans="1:21" customFormat="1">
      <c r="A14" s="40" t="s">
        <v>521</v>
      </c>
      <c r="B14" s="41">
        <v>4.24</v>
      </c>
      <c r="C14" s="41">
        <v>6.65</v>
      </c>
      <c r="D14" s="41">
        <v>2.4700000000000002</v>
      </c>
      <c r="E14" s="41">
        <v>3.39</v>
      </c>
      <c r="F14" s="41">
        <v>3.26</v>
      </c>
      <c r="G14" s="41">
        <v>8.0299999999999994</v>
      </c>
      <c r="H14" s="41">
        <v>2.2200000000000002</v>
      </c>
      <c r="I14" s="41">
        <v>3.03</v>
      </c>
      <c r="J14" s="41">
        <v>0.88</v>
      </c>
      <c r="K14" s="41">
        <v>256.76</v>
      </c>
      <c r="L14" s="41">
        <v>25.18</v>
      </c>
      <c r="M14" s="41">
        <v>88.09</v>
      </c>
      <c r="N14" s="41">
        <v>11.6</v>
      </c>
      <c r="O14" s="41">
        <v>0</v>
      </c>
      <c r="P14" s="41">
        <v>0.28000000000000003</v>
      </c>
      <c r="Q14" s="41">
        <v>9.91</v>
      </c>
      <c r="R14" s="38"/>
      <c r="S14" s="38"/>
      <c r="T14" s="38"/>
      <c r="U14" s="38"/>
    </row>
    <row r="15" spans="1:21" customFormat="1">
      <c r="A15" s="40" t="s">
        <v>522</v>
      </c>
      <c r="B15" s="41">
        <v>4.37</v>
      </c>
      <c r="C15" s="41">
        <v>6.91</v>
      </c>
      <c r="D15" s="41">
        <v>2.54</v>
      </c>
      <c r="E15" s="41">
        <v>3.4</v>
      </c>
      <c r="F15" s="41">
        <v>2.41</v>
      </c>
      <c r="G15" s="41">
        <v>13.51</v>
      </c>
      <c r="H15" s="41">
        <v>2.4700000000000002</v>
      </c>
      <c r="I15" s="41">
        <v>3.07</v>
      </c>
      <c r="J15" s="41">
        <v>0.87</v>
      </c>
      <c r="K15" s="41">
        <v>256.62</v>
      </c>
      <c r="L15" s="41">
        <v>25.38</v>
      </c>
      <c r="M15" s="41">
        <v>85.27</v>
      </c>
      <c r="N15" s="41">
        <v>41.4</v>
      </c>
      <c r="O15" s="41">
        <v>0</v>
      </c>
      <c r="P15" s="41">
        <v>0.28999999999999998</v>
      </c>
      <c r="Q15" s="41">
        <v>9.94</v>
      </c>
      <c r="R15" s="38"/>
      <c r="S15" s="38"/>
      <c r="T15" s="38"/>
      <c r="U15" s="38"/>
    </row>
    <row r="16" spans="1:21" customFormat="1">
      <c r="A16" s="40" t="s">
        <v>523</v>
      </c>
      <c r="B16" s="41">
        <v>4.3600000000000003</v>
      </c>
      <c r="C16" s="41">
        <v>8.26</v>
      </c>
      <c r="D16" s="41">
        <v>4.1399999999999997</v>
      </c>
      <c r="E16" s="41">
        <v>3.45</v>
      </c>
      <c r="F16" s="41">
        <v>2.87</v>
      </c>
      <c r="G16" s="41">
        <v>12.53</v>
      </c>
      <c r="H16" s="41">
        <v>4.03</v>
      </c>
      <c r="I16" s="41">
        <v>3.08</v>
      </c>
      <c r="J16" s="41">
        <v>1.05</v>
      </c>
      <c r="K16" s="41">
        <v>257.93</v>
      </c>
      <c r="L16" s="41">
        <v>26.23</v>
      </c>
      <c r="M16" s="41">
        <v>82.96</v>
      </c>
      <c r="N16" s="41">
        <v>125.6</v>
      </c>
      <c r="O16" s="41">
        <v>0</v>
      </c>
      <c r="P16" s="41">
        <v>0.25</v>
      </c>
      <c r="Q16" s="41">
        <v>9.9</v>
      </c>
      <c r="R16" s="38"/>
      <c r="S16" s="38"/>
      <c r="T16" s="38"/>
      <c r="U16" s="38"/>
    </row>
    <row r="17" spans="1:21" customFormat="1">
      <c r="A17" s="40" t="s">
        <v>524</v>
      </c>
      <c r="B17" s="41">
        <v>4</v>
      </c>
      <c r="C17" s="41">
        <v>8.1300000000000008</v>
      </c>
      <c r="D17" s="41">
        <v>4.13</v>
      </c>
      <c r="E17" s="41">
        <v>3.48</v>
      </c>
      <c r="F17" s="41">
        <v>3.35</v>
      </c>
      <c r="G17" s="41">
        <v>16.93</v>
      </c>
      <c r="H17" s="41">
        <v>5.23</v>
      </c>
      <c r="I17" s="41">
        <v>2.98</v>
      </c>
      <c r="J17" s="41">
        <v>1.19</v>
      </c>
      <c r="K17" s="41">
        <v>259.52</v>
      </c>
      <c r="L17" s="41">
        <v>27.32</v>
      </c>
      <c r="M17" s="41">
        <v>79.53</v>
      </c>
      <c r="N17" s="41">
        <v>182.5</v>
      </c>
      <c r="O17" s="41">
        <v>0</v>
      </c>
      <c r="P17" s="41">
        <v>0.24</v>
      </c>
      <c r="Q17" s="41">
        <v>9.91</v>
      </c>
      <c r="R17" s="38"/>
      <c r="S17" s="38"/>
      <c r="T17" s="38"/>
      <c r="U17" s="38"/>
    </row>
    <row r="18" spans="1:21" customFormat="1">
      <c r="A18" s="40" t="s">
        <v>525</v>
      </c>
      <c r="B18" s="41">
        <v>3.91</v>
      </c>
      <c r="C18" s="41">
        <v>7.68</v>
      </c>
      <c r="D18" s="41">
        <v>3.81</v>
      </c>
      <c r="E18" s="41">
        <v>3.88</v>
      </c>
      <c r="F18" s="41">
        <v>3.57</v>
      </c>
      <c r="G18" s="41">
        <v>23.86</v>
      </c>
      <c r="H18" s="41">
        <v>6.66</v>
      </c>
      <c r="I18" s="41">
        <v>2.95</v>
      </c>
      <c r="J18" s="41">
        <v>1.31</v>
      </c>
      <c r="K18" s="41">
        <v>263.07</v>
      </c>
      <c r="L18" s="41">
        <v>28.09</v>
      </c>
      <c r="M18" s="41">
        <v>78.08</v>
      </c>
      <c r="N18" s="41">
        <v>241.3</v>
      </c>
      <c r="O18" s="41">
        <v>0</v>
      </c>
      <c r="P18" s="41">
        <v>0.25</v>
      </c>
      <c r="Q18" s="41">
        <v>9.91</v>
      </c>
      <c r="R18" s="38"/>
      <c r="S18" s="38"/>
      <c r="T18" s="38"/>
      <c r="U18" s="38"/>
    </row>
    <row r="19" spans="1:21" customFormat="1">
      <c r="A19" s="40" t="s">
        <v>526</v>
      </c>
      <c r="B19" s="41">
        <v>3.88</v>
      </c>
      <c r="C19" s="41">
        <v>7.83</v>
      </c>
      <c r="D19" s="41">
        <v>3.94</v>
      </c>
      <c r="E19" s="41">
        <v>5.46</v>
      </c>
      <c r="F19" s="41">
        <v>4.75</v>
      </c>
      <c r="G19" s="41">
        <v>27.32</v>
      </c>
      <c r="H19" s="41">
        <v>7.93</v>
      </c>
      <c r="I19" s="41">
        <v>3.02</v>
      </c>
      <c r="J19" s="41">
        <v>1.5</v>
      </c>
      <c r="K19" s="41">
        <v>265.2</v>
      </c>
      <c r="L19" s="41">
        <v>29.17</v>
      </c>
      <c r="M19" s="41">
        <v>71.95</v>
      </c>
      <c r="N19" s="41">
        <v>289.89999999999998</v>
      </c>
      <c r="O19" s="41">
        <v>0</v>
      </c>
      <c r="P19" s="41">
        <v>0.27</v>
      </c>
      <c r="Q19" s="41">
        <v>9.91</v>
      </c>
      <c r="R19" s="38"/>
      <c r="S19" s="38"/>
      <c r="T19" s="38"/>
      <c r="U19" s="38"/>
    </row>
    <row r="20" spans="1:21" customFormat="1">
      <c r="A20" s="40" t="s">
        <v>527</v>
      </c>
      <c r="B20" s="41">
        <v>3.86</v>
      </c>
      <c r="C20" s="41">
        <v>7.5</v>
      </c>
      <c r="D20" s="41">
        <v>3.73</v>
      </c>
      <c r="E20" s="41">
        <v>5.63</v>
      </c>
      <c r="F20" s="41">
        <v>4.1500000000000004</v>
      </c>
      <c r="G20" s="41">
        <v>32.24</v>
      </c>
      <c r="H20" s="41">
        <v>8.52</v>
      </c>
      <c r="I20" s="41">
        <v>3.13</v>
      </c>
      <c r="J20" s="41">
        <v>1.36</v>
      </c>
      <c r="K20" s="41">
        <v>274.19</v>
      </c>
      <c r="L20" s="41">
        <v>29.7</v>
      </c>
      <c r="M20" s="41">
        <v>67.22</v>
      </c>
      <c r="N20" s="41">
        <v>306.89999999999998</v>
      </c>
      <c r="O20" s="41">
        <v>0</v>
      </c>
      <c r="P20" s="41">
        <v>0.27</v>
      </c>
      <c r="Q20" s="41">
        <v>9.9</v>
      </c>
      <c r="R20" s="38"/>
      <c r="S20" s="38"/>
      <c r="T20" s="38"/>
      <c r="U20" s="38"/>
    </row>
    <row r="21" spans="1:21" customFormat="1">
      <c r="A21" s="40" t="s">
        <v>528</v>
      </c>
      <c r="B21" s="41">
        <v>4.17</v>
      </c>
      <c r="C21" s="41">
        <v>7.88</v>
      </c>
      <c r="D21" s="41">
        <v>3.91</v>
      </c>
      <c r="E21" s="41">
        <v>5.41</v>
      </c>
      <c r="F21" s="41">
        <v>5.21</v>
      </c>
      <c r="G21" s="41">
        <v>36.47</v>
      </c>
      <c r="H21" s="41">
        <v>8.4499999999999993</v>
      </c>
      <c r="I21" s="41">
        <v>4.13</v>
      </c>
      <c r="J21" s="41">
        <v>1.19</v>
      </c>
      <c r="K21" s="41">
        <v>257.02999999999997</v>
      </c>
      <c r="L21" s="41">
        <v>29.86</v>
      </c>
      <c r="M21" s="41">
        <v>68.16</v>
      </c>
      <c r="N21" s="41">
        <v>189.5</v>
      </c>
      <c r="O21" s="41">
        <v>0</v>
      </c>
      <c r="P21" s="41">
        <v>0.36</v>
      </c>
      <c r="Q21" s="41">
        <v>9.91</v>
      </c>
      <c r="R21" s="38"/>
      <c r="S21" s="38"/>
      <c r="T21" s="38"/>
      <c r="U21" s="38"/>
    </row>
    <row r="22" spans="1:21" customFormat="1">
      <c r="A22" s="40" t="s">
        <v>529</v>
      </c>
      <c r="B22" s="41">
        <v>4.24</v>
      </c>
      <c r="C22" s="41">
        <v>7.91</v>
      </c>
      <c r="D22" s="41">
        <v>3.7</v>
      </c>
      <c r="E22" s="41">
        <v>4.84</v>
      </c>
      <c r="F22" s="41">
        <v>6.83</v>
      </c>
      <c r="G22" s="41">
        <v>47.66</v>
      </c>
      <c r="H22" s="41">
        <v>8.92</v>
      </c>
      <c r="I22" s="41">
        <v>5.28</v>
      </c>
      <c r="J22" s="41">
        <v>1.57</v>
      </c>
      <c r="K22" s="41">
        <v>269.47000000000003</v>
      </c>
      <c r="L22" s="41">
        <v>30.1</v>
      </c>
      <c r="M22" s="41">
        <v>65.849999999999994</v>
      </c>
      <c r="N22" s="41">
        <v>163.5</v>
      </c>
      <c r="O22" s="41">
        <v>0</v>
      </c>
      <c r="P22" s="41">
        <v>0.38</v>
      </c>
      <c r="Q22" s="41">
        <v>9.92</v>
      </c>
      <c r="R22" s="38"/>
      <c r="S22" s="38"/>
      <c r="T22" s="38"/>
      <c r="U22" s="38"/>
    </row>
    <row r="23" spans="1:21" customFormat="1">
      <c r="A23" s="40" t="s">
        <v>530</v>
      </c>
      <c r="B23" s="41">
        <v>4.12</v>
      </c>
      <c r="C23" s="41">
        <v>7.93</v>
      </c>
      <c r="D23" s="41">
        <v>3.92</v>
      </c>
      <c r="E23" s="41">
        <v>4.0199999999999996</v>
      </c>
      <c r="F23" s="41">
        <v>5.29</v>
      </c>
      <c r="G23" s="41">
        <v>47.59</v>
      </c>
      <c r="H23" s="41">
        <v>12.03</v>
      </c>
      <c r="I23" s="41">
        <v>5.16</v>
      </c>
      <c r="J23" s="41">
        <v>1.82</v>
      </c>
      <c r="K23" s="41">
        <v>294.62</v>
      </c>
      <c r="L23" s="41">
        <v>29.43</v>
      </c>
      <c r="M23" s="41">
        <v>74.86</v>
      </c>
      <c r="N23" s="41">
        <v>171.9</v>
      </c>
      <c r="O23" s="41">
        <v>0</v>
      </c>
      <c r="P23" s="41">
        <v>0.39</v>
      </c>
      <c r="Q23" s="41">
        <v>9.93</v>
      </c>
      <c r="R23" s="38"/>
      <c r="S23" s="38"/>
      <c r="T23" s="38"/>
      <c r="U23" s="38"/>
    </row>
    <row r="24" spans="1:21" customFormat="1">
      <c r="A24" s="40" t="s">
        <v>531</v>
      </c>
      <c r="B24" s="41">
        <v>5.7</v>
      </c>
      <c r="C24" s="41">
        <v>11.69</v>
      </c>
      <c r="D24" s="41">
        <v>5.99</v>
      </c>
      <c r="E24" s="41">
        <v>3.77</v>
      </c>
      <c r="F24" s="41">
        <v>5.21</v>
      </c>
      <c r="G24" s="41">
        <v>47.51</v>
      </c>
      <c r="H24" s="41">
        <v>14.17</v>
      </c>
      <c r="I24" s="41">
        <v>5.16</v>
      </c>
      <c r="J24" s="41">
        <v>0.92</v>
      </c>
      <c r="K24" s="41">
        <v>331.78</v>
      </c>
      <c r="L24" s="41">
        <v>27.98</v>
      </c>
      <c r="M24" s="41">
        <v>82.01</v>
      </c>
      <c r="N24" s="41">
        <v>117.6</v>
      </c>
      <c r="O24" s="41">
        <v>0</v>
      </c>
      <c r="P24" s="41">
        <v>0.41</v>
      </c>
      <c r="Q24" s="41">
        <v>9.93</v>
      </c>
      <c r="R24" s="38"/>
      <c r="S24" s="38"/>
      <c r="T24" s="38"/>
      <c r="U24" s="38"/>
    </row>
    <row r="25" spans="1:21" customFormat="1">
      <c r="A25" s="40" t="s">
        <v>532</v>
      </c>
      <c r="B25" s="41">
        <v>5.67</v>
      </c>
      <c r="C25" s="41">
        <v>11.69</v>
      </c>
      <c r="D25" s="41">
        <v>6.02</v>
      </c>
      <c r="E25" s="41">
        <v>4.26</v>
      </c>
      <c r="F25" s="41">
        <v>3.72</v>
      </c>
      <c r="G25" s="41">
        <v>50.15</v>
      </c>
      <c r="H25" s="41">
        <v>16.7</v>
      </c>
      <c r="I25" s="41">
        <v>5.23</v>
      </c>
      <c r="J25" s="41">
        <v>0.94</v>
      </c>
      <c r="K25" s="41">
        <v>334.98</v>
      </c>
      <c r="L25" s="41">
        <v>26.17</v>
      </c>
      <c r="M25" s="41">
        <v>94.94</v>
      </c>
      <c r="N25" s="41">
        <v>33</v>
      </c>
      <c r="O25" s="41">
        <v>0.2</v>
      </c>
      <c r="P25" s="41">
        <v>0.42</v>
      </c>
      <c r="Q25" s="41">
        <v>9.94</v>
      </c>
      <c r="R25" s="38"/>
      <c r="S25" s="38"/>
      <c r="T25" s="38"/>
      <c r="U25" s="38"/>
    </row>
    <row r="26" spans="1:21" customFormat="1">
      <c r="A26" s="40" t="s">
        <v>533</v>
      </c>
      <c r="B26" s="41">
        <v>5.55</v>
      </c>
      <c r="C26" s="41">
        <v>12.03</v>
      </c>
      <c r="D26" s="41">
        <v>6.48</v>
      </c>
      <c r="E26" s="41">
        <v>4.43</v>
      </c>
      <c r="F26" s="41">
        <v>2.29</v>
      </c>
      <c r="G26" s="41">
        <v>75.81</v>
      </c>
      <c r="H26" s="41">
        <v>19.12</v>
      </c>
      <c r="I26" s="41">
        <v>5.17</v>
      </c>
      <c r="J26" s="41">
        <v>0.88</v>
      </c>
      <c r="K26" s="41">
        <v>303.7</v>
      </c>
      <c r="L26" s="41">
        <v>26.14</v>
      </c>
      <c r="M26" s="41">
        <v>91.41</v>
      </c>
      <c r="N26" s="41">
        <v>28.9</v>
      </c>
      <c r="O26" s="41">
        <v>0.2</v>
      </c>
      <c r="P26" s="41">
        <v>0.4</v>
      </c>
      <c r="Q26" s="41">
        <v>9.93</v>
      </c>
      <c r="R26" s="38"/>
      <c r="S26" s="38"/>
      <c r="T26" s="38"/>
      <c r="U26" s="38"/>
    </row>
    <row r="27" spans="1:21" customFormat="1">
      <c r="A27" s="40" t="s">
        <v>534</v>
      </c>
      <c r="B27" s="41">
        <v>5.93</v>
      </c>
      <c r="C27" s="41">
        <v>12.71</v>
      </c>
      <c r="D27" s="41">
        <v>6.81</v>
      </c>
      <c r="E27" s="41">
        <v>4.1100000000000003</v>
      </c>
      <c r="F27" s="41">
        <v>2.2400000000000002</v>
      </c>
      <c r="G27" s="41">
        <v>74.19</v>
      </c>
      <c r="H27" s="41">
        <v>21.46</v>
      </c>
      <c r="I27" s="41">
        <v>5.39</v>
      </c>
      <c r="J27" s="41">
        <v>0.19</v>
      </c>
      <c r="K27" s="41">
        <v>329.32</v>
      </c>
      <c r="L27" s="41">
        <v>26.46</v>
      </c>
      <c r="M27" s="41">
        <v>89.81</v>
      </c>
      <c r="N27" s="41">
        <v>17.7</v>
      </c>
      <c r="O27" s="41">
        <v>0</v>
      </c>
      <c r="P27" s="41">
        <v>0.46</v>
      </c>
      <c r="Q27" s="41">
        <v>9.94</v>
      </c>
      <c r="R27" s="38"/>
      <c r="S27" s="38"/>
      <c r="T27" s="38"/>
      <c r="U27" s="38"/>
    </row>
    <row r="28" spans="1:21" customFormat="1">
      <c r="A28" s="40" t="s">
        <v>535</v>
      </c>
      <c r="B28" s="41">
        <v>5.9</v>
      </c>
      <c r="C28" s="41">
        <v>12.89</v>
      </c>
      <c r="D28" s="41">
        <v>7</v>
      </c>
      <c r="E28" s="41">
        <v>4.29</v>
      </c>
      <c r="F28" s="41">
        <v>2.85</v>
      </c>
      <c r="G28" s="41">
        <v>97.01</v>
      </c>
      <c r="H28" s="41">
        <v>21.64</v>
      </c>
      <c r="I28" s="41">
        <v>5.75</v>
      </c>
      <c r="J28" s="41">
        <v>0.2</v>
      </c>
      <c r="K28" s="41">
        <v>187.52</v>
      </c>
      <c r="L28" s="41">
        <v>26.54</v>
      </c>
      <c r="M28" s="41">
        <v>91.65</v>
      </c>
      <c r="N28" s="41">
        <v>2.1</v>
      </c>
      <c r="O28" s="41">
        <v>0</v>
      </c>
      <c r="P28" s="41">
        <v>0.52</v>
      </c>
      <c r="Q28" s="41">
        <v>9.94</v>
      </c>
      <c r="R28" s="38"/>
      <c r="S28" s="38"/>
      <c r="T28" s="38"/>
      <c r="U28" s="38"/>
    </row>
    <row r="29" spans="1:21" customFormat="1">
      <c r="A29" s="40" t="s">
        <v>536</v>
      </c>
      <c r="B29" s="41">
        <v>5.85</v>
      </c>
      <c r="C29" s="41">
        <v>12.37</v>
      </c>
      <c r="D29" s="41">
        <v>6.52</v>
      </c>
      <c r="E29" s="41">
        <v>4.74</v>
      </c>
      <c r="F29" s="41">
        <v>2.88</v>
      </c>
      <c r="G29" s="41">
        <v>94.68</v>
      </c>
      <c r="H29" s="41">
        <v>26.42</v>
      </c>
      <c r="I29" s="41">
        <v>6.32</v>
      </c>
      <c r="J29" s="41">
        <v>0.12</v>
      </c>
      <c r="K29" s="41">
        <v>216.31</v>
      </c>
      <c r="L29" s="41">
        <v>26.16</v>
      </c>
      <c r="M29" s="41">
        <v>93.21</v>
      </c>
      <c r="N29" s="41">
        <v>2.1</v>
      </c>
      <c r="O29" s="41">
        <v>0</v>
      </c>
      <c r="P29" s="41">
        <v>0.54</v>
      </c>
      <c r="Q29" s="41">
        <v>9.93</v>
      </c>
      <c r="R29" s="38"/>
      <c r="S29" s="38"/>
      <c r="T29" s="38"/>
      <c r="U29" s="38"/>
    </row>
    <row r="30" spans="1:21" customFormat="1">
      <c r="A30" s="40" t="s">
        <v>537</v>
      </c>
      <c r="B30" s="41">
        <v>5.55</v>
      </c>
      <c r="C30" s="41">
        <v>10.88</v>
      </c>
      <c r="D30" s="41">
        <v>5.34</v>
      </c>
      <c r="E30" s="41">
        <v>4.6500000000000004</v>
      </c>
      <c r="F30" s="41">
        <v>3.21</v>
      </c>
      <c r="G30" s="41">
        <v>87.86</v>
      </c>
      <c r="H30" s="41">
        <v>25.87</v>
      </c>
      <c r="I30" s="41">
        <v>6.63</v>
      </c>
      <c r="J30" s="41">
        <v>0.14000000000000001</v>
      </c>
      <c r="K30" s="41">
        <v>194.4</v>
      </c>
      <c r="L30" s="41">
        <v>26.15</v>
      </c>
      <c r="M30" s="41">
        <v>91.96</v>
      </c>
      <c r="N30" s="41">
        <v>2.1</v>
      </c>
      <c r="O30" s="41">
        <v>0</v>
      </c>
      <c r="P30" s="41">
        <v>0.55000000000000004</v>
      </c>
      <c r="Q30" s="41">
        <v>9.93</v>
      </c>
      <c r="R30" s="38"/>
      <c r="S30" s="38"/>
      <c r="T30" s="38"/>
      <c r="U30" s="38"/>
    </row>
    <row r="31" spans="1:21" customFormat="1">
      <c r="A31" s="40" t="s">
        <v>538</v>
      </c>
      <c r="B31" s="41">
        <v>5.6</v>
      </c>
      <c r="C31" s="41">
        <v>10.83</v>
      </c>
      <c r="D31" s="41">
        <v>5.46</v>
      </c>
      <c r="E31" s="41">
        <v>4.58</v>
      </c>
      <c r="F31" s="41">
        <v>3.52</v>
      </c>
      <c r="G31" s="41">
        <v>84.02</v>
      </c>
      <c r="H31" s="41">
        <v>24.92</v>
      </c>
      <c r="I31" s="41">
        <v>7.29</v>
      </c>
      <c r="J31" s="41">
        <v>0.19</v>
      </c>
      <c r="K31" s="41">
        <v>242.61</v>
      </c>
      <c r="L31" s="41">
        <v>26.36</v>
      </c>
      <c r="M31" s="41">
        <v>91.02</v>
      </c>
      <c r="N31" s="41">
        <v>2.1</v>
      </c>
      <c r="O31" s="41">
        <v>0</v>
      </c>
      <c r="P31" s="41">
        <v>0.6</v>
      </c>
      <c r="Q31" s="41">
        <v>9.9499999999999993</v>
      </c>
      <c r="R31" s="38"/>
      <c r="S31" s="38"/>
      <c r="T31" s="38"/>
      <c r="U31" s="38"/>
    </row>
    <row r="32" spans="1:21" customFormat="1">
      <c r="A32" s="40" t="s">
        <v>539</v>
      </c>
      <c r="B32" s="41">
        <v>5.67</v>
      </c>
      <c r="C32" s="41">
        <v>9.5299999999999994</v>
      </c>
      <c r="D32" s="41">
        <v>4.0199999999999996</v>
      </c>
      <c r="E32" s="41">
        <v>4.18</v>
      </c>
      <c r="F32" s="41">
        <v>4.3899999999999997</v>
      </c>
      <c r="G32" s="41">
        <v>76.959999999999994</v>
      </c>
      <c r="H32" s="41">
        <v>24.75</v>
      </c>
      <c r="I32" s="41">
        <v>7.15</v>
      </c>
      <c r="J32" s="41">
        <v>0.28999999999999998</v>
      </c>
      <c r="K32" s="41">
        <v>269.95999999999998</v>
      </c>
      <c r="L32" s="41">
        <v>26.5</v>
      </c>
      <c r="M32" s="41">
        <v>88.64</v>
      </c>
      <c r="N32" s="41">
        <v>2.1</v>
      </c>
      <c r="O32" s="41">
        <v>0</v>
      </c>
      <c r="P32" s="41">
        <v>0.57999999999999996</v>
      </c>
      <c r="Q32" s="41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3.84</v>
      </c>
      <c r="C34" s="18">
        <f t="shared" si="0"/>
        <v>6.11</v>
      </c>
      <c r="D34" s="18">
        <f t="shared" si="0"/>
        <v>2.3199999999999998</v>
      </c>
      <c r="E34" s="18">
        <f t="shared" si="0"/>
        <v>3.39</v>
      </c>
      <c r="F34" s="18">
        <f t="shared" si="0"/>
        <v>2.2400000000000002</v>
      </c>
      <c r="G34" s="18">
        <f t="shared" si="0"/>
        <v>8.0299999999999994</v>
      </c>
      <c r="H34" s="18">
        <f t="shared" si="0"/>
        <v>2.2200000000000002</v>
      </c>
      <c r="I34" s="18">
        <f t="shared" si="0"/>
        <v>2.77</v>
      </c>
      <c r="J34" s="18">
        <f t="shared" si="0"/>
        <v>0.12</v>
      </c>
      <c r="K34" s="18">
        <f t="shared" si="0"/>
        <v>187.52</v>
      </c>
      <c r="L34" s="18">
        <f t="shared" si="0"/>
        <v>25.16</v>
      </c>
      <c r="M34" s="18">
        <f t="shared" si="0"/>
        <v>65.849999999999994</v>
      </c>
      <c r="N34" s="18">
        <f t="shared" si="0"/>
        <v>1.8</v>
      </c>
      <c r="O34" s="18">
        <f t="shared" si="0"/>
        <v>0</v>
      </c>
      <c r="P34" s="18">
        <f t="shared" si="0"/>
        <v>0.24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5.93</v>
      </c>
      <c r="C35" s="3">
        <f t="shared" si="1"/>
        <v>12.89</v>
      </c>
      <c r="D35" s="3">
        <f t="shared" si="1"/>
        <v>7</v>
      </c>
      <c r="E35" s="3">
        <f t="shared" si="1"/>
        <v>6.47</v>
      </c>
      <c r="F35" s="3">
        <f t="shared" si="1"/>
        <v>6.83</v>
      </c>
      <c r="G35" s="3">
        <f t="shared" si="1"/>
        <v>97.01</v>
      </c>
      <c r="H35" s="3">
        <f t="shared" si="1"/>
        <v>26.42</v>
      </c>
      <c r="I35" s="3">
        <f t="shared" si="1"/>
        <v>7.29</v>
      </c>
      <c r="J35" s="3">
        <f t="shared" si="1"/>
        <v>1.82</v>
      </c>
      <c r="K35" s="3">
        <f t="shared" si="1"/>
        <v>334.98</v>
      </c>
      <c r="L35" s="3">
        <f t="shared" si="1"/>
        <v>30.1</v>
      </c>
      <c r="M35" s="3">
        <f t="shared" si="1"/>
        <v>94.94</v>
      </c>
      <c r="N35" s="3">
        <f t="shared" si="1"/>
        <v>306.89999999999998</v>
      </c>
      <c r="O35" s="3">
        <f t="shared" si="1"/>
        <v>0.2</v>
      </c>
      <c r="P35" s="3">
        <f t="shared" si="1"/>
        <v>0.6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4.6895833333333323</v>
      </c>
      <c r="C36" s="18">
        <f t="shared" si="2"/>
        <v>8.9579166666666676</v>
      </c>
      <c r="D36" s="18">
        <f t="shared" si="2"/>
        <v>4.3274999999999997</v>
      </c>
      <c r="E36" s="18">
        <f t="shared" si="2"/>
        <v>4.4375000000000009</v>
      </c>
      <c r="F36" s="18">
        <f t="shared" si="2"/>
        <v>3.8045833333333321</v>
      </c>
      <c r="G36" s="18">
        <f t="shared" si="2"/>
        <v>44.037916666666668</v>
      </c>
      <c r="H36" s="18">
        <f t="shared" si="2"/>
        <v>11.87166666666667</v>
      </c>
      <c r="I36" s="18">
        <f t="shared" si="2"/>
        <v>4.354166666666667</v>
      </c>
      <c r="J36" s="18">
        <f t="shared" si="2"/>
        <v>0.9158333333333335</v>
      </c>
      <c r="K36" s="18">
        <f t="shared" si="2"/>
        <v>264.43624999999997</v>
      </c>
      <c r="L36" s="18">
        <f t="shared" si="2"/>
        <v>26.932500000000001</v>
      </c>
      <c r="M36" s="18">
        <f t="shared" si="2"/>
        <v>84.037083333333342</v>
      </c>
      <c r="N36" s="18">
        <f t="shared" si="2"/>
        <v>80.937499999999986</v>
      </c>
      <c r="O36" s="18">
        <f t="shared" si="2"/>
        <v>1.6666666666666666E-2</v>
      </c>
      <c r="P36" s="18">
        <f t="shared" si="2"/>
        <v>0.36708333333333337</v>
      </c>
      <c r="Q36" s="18">
        <f t="shared" si="2"/>
        <v>9.9220833333333331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0.82869451636250291</v>
      </c>
      <c r="C37" s="18">
        <f t="shared" ref="C37:Q37" si="3">STDEV(C9:C32)</f>
        <v>2.2603904610115224</v>
      </c>
      <c r="D37" s="18">
        <f t="shared" si="3"/>
        <v>1.4979790734011689</v>
      </c>
      <c r="E37" s="18">
        <f t="shared" si="3"/>
        <v>0.89484149677348557</v>
      </c>
      <c r="F37" s="18">
        <f t="shared" si="3"/>
        <v>1.104016300945611</v>
      </c>
      <c r="G37" s="18">
        <f t="shared" si="3"/>
        <v>29.413812782900756</v>
      </c>
      <c r="H37" s="18">
        <f t="shared" si="3"/>
        <v>8.4701386809993995</v>
      </c>
      <c r="I37" s="18">
        <f t="shared" si="3"/>
        <v>1.5429444371823242</v>
      </c>
      <c r="J37" s="18">
        <f t="shared" si="3"/>
        <v>0.48849295012194427</v>
      </c>
      <c r="K37" s="18">
        <f t="shared" si="3"/>
        <v>36.429571816278724</v>
      </c>
      <c r="L37" s="18">
        <f t="shared" si="3"/>
        <v>1.6152513601671226</v>
      </c>
      <c r="M37" s="18">
        <f t="shared" si="3"/>
        <v>8.6999867462000431</v>
      </c>
      <c r="N37" s="18">
        <f t="shared" si="3"/>
        <v>101.82444744670153</v>
      </c>
      <c r="O37" s="18">
        <f t="shared" si="3"/>
        <v>5.6465970257327996E-2</v>
      </c>
      <c r="P37" s="18">
        <f t="shared" si="3"/>
        <v>0.11907174186239536</v>
      </c>
      <c r="Q37" s="18">
        <f t="shared" si="3"/>
        <v>1.473805092023796E-2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540</v>
      </c>
      <c r="B9" s="41">
        <v>5.85</v>
      </c>
      <c r="C9" s="41">
        <v>9.18</v>
      </c>
      <c r="D9" s="41">
        <v>3.4</v>
      </c>
      <c r="E9" s="41">
        <v>3.83</v>
      </c>
      <c r="F9" s="41">
        <v>5.75</v>
      </c>
      <c r="G9" s="41">
        <v>79.8</v>
      </c>
      <c r="H9" s="41">
        <v>23.68</v>
      </c>
      <c r="I9" s="41">
        <v>7.02</v>
      </c>
      <c r="J9" s="41">
        <v>0.19</v>
      </c>
      <c r="K9" s="41">
        <v>257.06</v>
      </c>
      <c r="L9" s="41">
        <v>26.6</v>
      </c>
      <c r="M9" s="41">
        <v>88.34</v>
      </c>
      <c r="N9" s="41">
        <v>2.1</v>
      </c>
      <c r="O9" s="41">
        <v>0</v>
      </c>
      <c r="P9" s="41">
        <v>0.56999999999999995</v>
      </c>
      <c r="Q9" s="41">
        <v>9.94</v>
      </c>
      <c r="R9" s="38"/>
      <c r="S9" s="38"/>
      <c r="T9" s="38"/>
      <c r="U9" s="38"/>
    </row>
    <row r="10" spans="1:21" customFormat="1">
      <c r="A10" s="40" t="s">
        <v>541</v>
      </c>
      <c r="B10" s="41">
        <v>5.7</v>
      </c>
      <c r="C10" s="41">
        <v>8.83</v>
      </c>
      <c r="D10" s="41">
        <v>3.28</v>
      </c>
      <c r="E10" s="41">
        <v>3.8</v>
      </c>
      <c r="F10" s="41">
        <v>4.8899999999999997</v>
      </c>
      <c r="G10" s="41">
        <v>74.760000000000005</v>
      </c>
      <c r="H10" s="41">
        <v>21.34</v>
      </c>
      <c r="I10" s="41">
        <v>6.75</v>
      </c>
      <c r="J10" s="41">
        <v>0.22</v>
      </c>
      <c r="K10" s="41">
        <v>248.26</v>
      </c>
      <c r="L10" s="41">
        <v>26.56</v>
      </c>
      <c r="M10" s="41">
        <v>88.52</v>
      </c>
      <c r="N10" s="41">
        <v>2.1</v>
      </c>
      <c r="O10" s="41">
        <v>0</v>
      </c>
      <c r="P10" s="41">
        <v>0.53</v>
      </c>
      <c r="Q10" s="41">
        <v>9.94</v>
      </c>
      <c r="R10" s="38"/>
      <c r="S10" s="38"/>
      <c r="T10" s="38"/>
      <c r="U10" s="38"/>
    </row>
    <row r="11" spans="1:21" customFormat="1">
      <c r="A11" s="40" t="s">
        <v>542</v>
      </c>
      <c r="B11" s="41">
        <v>5.93</v>
      </c>
      <c r="C11" s="41">
        <v>10.199999999999999</v>
      </c>
      <c r="D11" s="41">
        <v>4.2699999999999996</v>
      </c>
      <c r="E11" s="41">
        <v>5.0599999999999996</v>
      </c>
      <c r="F11" s="41">
        <v>3.25</v>
      </c>
      <c r="G11" s="41">
        <v>61.06</v>
      </c>
      <c r="H11" s="41">
        <v>20.16</v>
      </c>
      <c r="I11" s="41">
        <v>6.53</v>
      </c>
      <c r="J11" s="41">
        <v>0.24</v>
      </c>
      <c r="K11" s="41">
        <v>249.25</v>
      </c>
      <c r="L11" s="41">
        <v>26.5</v>
      </c>
      <c r="M11" s="41">
        <v>89.79</v>
      </c>
      <c r="N11" s="41">
        <v>2.1</v>
      </c>
      <c r="O11" s="41">
        <v>0</v>
      </c>
      <c r="P11" s="41">
        <v>0.52</v>
      </c>
      <c r="Q11" s="41">
        <v>9.94</v>
      </c>
      <c r="R11" s="38"/>
      <c r="S11" s="38"/>
      <c r="T11" s="38"/>
      <c r="U11" s="38"/>
    </row>
    <row r="12" spans="1:21" customFormat="1">
      <c r="A12" s="40" t="s">
        <v>543</v>
      </c>
      <c r="B12" s="41">
        <v>5.82</v>
      </c>
      <c r="C12" s="41">
        <v>10.199999999999999</v>
      </c>
      <c r="D12" s="41">
        <v>4.42</v>
      </c>
      <c r="E12" s="41">
        <v>5.46</v>
      </c>
      <c r="F12" s="41">
        <v>2.19</v>
      </c>
      <c r="G12" s="41">
        <v>60.43</v>
      </c>
      <c r="H12" s="41">
        <v>18.25</v>
      </c>
      <c r="I12" s="41">
        <v>6.34</v>
      </c>
      <c r="J12" s="41">
        <v>0.24</v>
      </c>
      <c r="K12" s="41">
        <v>253.94</v>
      </c>
      <c r="L12" s="41">
        <v>26.55</v>
      </c>
      <c r="M12" s="41">
        <v>87.41</v>
      </c>
      <c r="N12" s="41">
        <v>2.1</v>
      </c>
      <c r="O12" s="41">
        <v>0</v>
      </c>
      <c r="P12" s="41">
        <v>0.44</v>
      </c>
      <c r="Q12" s="41">
        <v>9.93</v>
      </c>
      <c r="R12" s="38"/>
      <c r="S12" s="38"/>
      <c r="T12" s="38"/>
      <c r="U12" s="38"/>
    </row>
    <row r="13" spans="1:21" customFormat="1">
      <c r="A13" s="40" t="s">
        <v>544</v>
      </c>
      <c r="B13" s="41">
        <v>5.51</v>
      </c>
      <c r="C13" s="41">
        <v>9.7100000000000009</v>
      </c>
      <c r="D13" s="41">
        <v>4.2</v>
      </c>
      <c r="E13" s="41">
        <v>5.6</v>
      </c>
      <c r="F13" s="41">
        <v>2.82</v>
      </c>
      <c r="G13" s="41">
        <v>56.33</v>
      </c>
      <c r="H13" s="41">
        <v>17.34</v>
      </c>
      <c r="I13" s="41">
        <v>5.76</v>
      </c>
      <c r="J13" s="41">
        <v>0.35</v>
      </c>
      <c r="K13" s="41">
        <v>254.13</v>
      </c>
      <c r="L13" s="41">
        <v>26.55</v>
      </c>
      <c r="M13" s="41">
        <v>86.05</v>
      </c>
      <c r="N13" s="41">
        <v>2.1</v>
      </c>
      <c r="O13" s="41">
        <v>0</v>
      </c>
      <c r="P13" s="41">
        <v>0.41</v>
      </c>
      <c r="Q13" s="41">
        <v>9.94</v>
      </c>
      <c r="R13" s="38"/>
      <c r="S13" s="38"/>
      <c r="T13" s="38"/>
      <c r="U13" s="38"/>
    </row>
    <row r="14" spans="1:21" customFormat="1">
      <c r="A14" s="40" t="s">
        <v>545</v>
      </c>
      <c r="B14" s="41">
        <v>5.39</v>
      </c>
      <c r="C14" s="41">
        <v>9.3000000000000007</v>
      </c>
      <c r="D14" s="41">
        <v>3.91</v>
      </c>
      <c r="E14" s="41">
        <v>5.79</v>
      </c>
      <c r="F14" s="41">
        <v>3</v>
      </c>
      <c r="G14" s="41">
        <v>44.58</v>
      </c>
      <c r="H14" s="41">
        <v>17.09</v>
      </c>
      <c r="I14" s="41">
        <v>5.56</v>
      </c>
      <c r="J14" s="41">
        <v>0.27</v>
      </c>
      <c r="K14" s="41">
        <v>248.41</v>
      </c>
      <c r="L14" s="41">
        <v>26.55</v>
      </c>
      <c r="M14" s="41">
        <v>85.93</v>
      </c>
      <c r="N14" s="41">
        <v>19.8</v>
      </c>
      <c r="O14" s="41">
        <v>0</v>
      </c>
      <c r="P14" s="41">
        <v>0.39</v>
      </c>
      <c r="Q14" s="41">
        <v>9.92</v>
      </c>
      <c r="R14" s="38"/>
      <c r="S14" s="38"/>
      <c r="T14" s="38"/>
      <c r="U14" s="38"/>
    </row>
    <row r="15" spans="1:21" customFormat="1">
      <c r="A15" s="40" t="s">
        <v>546</v>
      </c>
      <c r="B15" s="41">
        <v>5.27</v>
      </c>
      <c r="C15" s="41">
        <v>9</v>
      </c>
      <c r="D15" s="41">
        <v>3.74</v>
      </c>
      <c r="E15" s="41">
        <v>5.73</v>
      </c>
      <c r="F15" s="41">
        <v>2.99</v>
      </c>
      <c r="G15" s="41">
        <v>39.229999999999997</v>
      </c>
      <c r="H15" s="41">
        <v>14.8</v>
      </c>
      <c r="I15" s="41">
        <v>5.09</v>
      </c>
      <c r="J15" s="41">
        <v>0.5</v>
      </c>
      <c r="K15" s="41">
        <v>251</v>
      </c>
      <c r="L15" s="41">
        <v>27.53</v>
      </c>
      <c r="M15" s="41">
        <v>84.55</v>
      </c>
      <c r="N15" s="41">
        <v>85.2</v>
      </c>
      <c r="O15" s="41">
        <v>0</v>
      </c>
      <c r="P15" s="41">
        <v>0.37</v>
      </c>
      <c r="Q15" s="41">
        <v>9.92</v>
      </c>
      <c r="R15" s="38"/>
      <c r="S15" s="38"/>
      <c r="T15" s="38"/>
      <c r="U15" s="38"/>
    </row>
    <row r="16" spans="1:21" customFormat="1">
      <c r="A16" s="40" t="s">
        <v>547</v>
      </c>
      <c r="B16" s="41">
        <v>5.0999999999999996</v>
      </c>
      <c r="C16" s="41">
        <v>8.6300000000000008</v>
      </c>
      <c r="D16" s="41">
        <v>3.65</v>
      </c>
      <c r="E16" s="41">
        <v>5.78</v>
      </c>
      <c r="F16" s="41">
        <v>3.13</v>
      </c>
      <c r="G16" s="41">
        <v>36.94</v>
      </c>
      <c r="H16" s="41">
        <v>10.54</v>
      </c>
      <c r="I16" s="41">
        <v>4.97</v>
      </c>
      <c r="J16" s="41">
        <v>0.84</v>
      </c>
      <c r="K16" s="41">
        <v>259.38</v>
      </c>
      <c r="L16" s="41">
        <v>29.63</v>
      </c>
      <c r="M16" s="41">
        <v>78.56</v>
      </c>
      <c r="N16" s="41">
        <v>152.30000000000001</v>
      </c>
      <c r="O16" s="41">
        <v>0</v>
      </c>
      <c r="P16" s="41">
        <v>0.37</v>
      </c>
      <c r="Q16" s="41">
        <v>9.92</v>
      </c>
      <c r="R16" s="38"/>
      <c r="S16" s="38"/>
      <c r="T16" s="38"/>
      <c r="U16" s="38"/>
    </row>
    <row r="17" spans="1:21" customFormat="1">
      <c r="A17" s="40" t="s">
        <v>548</v>
      </c>
      <c r="B17" s="41">
        <v>5.46</v>
      </c>
      <c r="C17" s="41">
        <v>9.0500000000000007</v>
      </c>
      <c r="D17" s="41">
        <v>3.6</v>
      </c>
      <c r="E17" s="41">
        <v>6.12</v>
      </c>
      <c r="F17" s="41">
        <v>4.6100000000000003</v>
      </c>
      <c r="G17" s="41">
        <v>35.71</v>
      </c>
      <c r="H17" s="41">
        <v>13.34</v>
      </c>
      <c r="I17" s="41">
        <v>4.8600000000000003</v>
      </c>
      <c r="J17" s="41">
        <v>1.38</v>
      </c>
      <c r="K17" s="41">
        <v>287.32</v>
      </c>
      <c r="L17" s="41">
        <v>31.18</v>
      </c>
      <c r="M17" s="41">
        <v>67.66</v>
      </c>
      <c r="N17" s="41">
        <v>253.6</v>
      </c>
      <c r="O17" s="41">
        <v>0</v>
      </c>
      <c r="P17" s="41">
        <v>0.4</v>
      </c>
      <c r="Q17" s="41">
        <v>9.93</v>
      </c>
      <c r="R17" s="38"/>
      <c r="S17" s="38"/>
      <c r="T17" s="38"/>
      <c r="U17" s="38"/>
    </row>
    <row r="18" spans="1:21" customFormat="1">
      <c r="A18" s="40" t="s">
        <v>549</v>
      </c>
      <c r="B18" s="41">
        <v>5.78</v>
      </c>
      <c r="C18" s="41">
        <v>10.119999999999999</v>
      </c>
      <c r="D18" s="41">
        <v>4.34</v>
      </c>
      <c r="E18" s="41">
        <v>5.94</v>
      </c>
      <c r="F18" s="41">
        <v>6.1</v>
      </c>
      <c r="G18" s="41">
        <v>57.32</v>
      </c>
      <c r="H18" s="41">
        <v>13.86</v>
      </c>
      <c r="I18" s="41">
        <v>6.25</v>
      </c>
      <c r="J18" s="41">
        <v>1.54</v>
      </c>
      <c r="K18" s="41">
        <v>294.24</v>
      </c>
      <c r="L18" s="41">
        <v>32.21</v>
      </c>
      <c r="M18" s="41">
        <v>63.55</v>
      </c>
      <c r="N18" s="41">
        <v>254.2</v>
      </c>
      <c r="O18" s="41">
        <v>0</v>
      </c>
      <c r="P18" s="41">
        <v>0.43</v>
      </c>
      <c r="Q18" s="41">
        <v>9.93</v>
      </c>
      <c r="R18" s="38"/>
      <c r="S18" s="38"/>
      <c r="T18" s="38"/>
      <c r="U18" s="38"/>
    </row>
    <row r="19" spans="1:21" customFormat="1">
      <c r="A19" s="40" t="s">
        <v>550</v>
      </c>
      <c r="B19" s="41">
        <v>5.46</v>
      </c>
      <c r="C19" s="41">
        <v>9.85</v>
      </c>
      <c r="D19" s="41">
        <v>4.62</v>
      </c>
      <c r="E19" s="41">
        <v>5.76</v>
      </c>
      <c r="F19" s="41">
        <v>6.91</v>
      </c>
      <c r="G19" s="41">
        <v>60.66</v>
      </c>
      <c r="H19" s="41">
        <v>16.86</v>
      </c>
      <c r="I19" s="41">
        <v>6.05</v>
      </c>
      <c r="J19" s="41">
        <v>1.42</v>
      </c>
      <c r="K19" s="41">
        <v>292.37</v>
      </c>
      <c r="L19" s="41">
        <v>33.340000000000003</v>
      </c>
      <c r="M19" s="41">
        <v>56.89</v>
      </c>
      <c r="N19" s="41">
        <v>239.3</v>
      </c>
      <c r="O19" s="41">
        <v>0</v>
      </c>
      <c r="P19" s="41">
        <v>0.46</v>
      </c>
      <c r="Q19" s="41">
        <v>9.94</v>
      </c>
      <c r="R19" s="38"/>
      <c r="S19" s="38"/>
      <c r="T19" s="38"/>
      <c r="U19" s="38"/>
    </row>
    <row r="20" spans="1:21" customFormat="1">
      <c r="A20" s="40" t="s">
        <v>551</v>
      </c>
      <c r="B20" s="41">
        <v>4.51</v>
      </c>
      <c r="C20" s="41">
        <v>8.66</v>
      </c>
      <c r="D20" s="41">
        <v>4.32</v>
      </c>
      <c r="E20" s="41">
        <v>6.08</v>
      </c>
      <c r="F20" s="41">
        <v>10.53</v>
      </c>
      <c r="G20" s="41">
        <v>71.760000000000005</v>
      </c>
      <c r="H20" s="41">
        <v>18.34</v>
      </c>
      <c r="I20" s="41">
        <v>6.29</v>
      </c>
      <c r="J20" s="41">
        <v>1.33</v>
      </c>
      <c r="K20" s="41">
        <v>281.95</v>
      </c>
      <c r="L20" s="41">
        <v>34.22</v>
      </c>
      <c r="M20" s="41">
        <v>54.96</v>
      </c>
      <c r="N20" s="41">
        <v>469</v>
      </c>
      <c r="O20" s="41">
        <v>0</v>
      </c>
      <c r="P20" s="41">
        <v>0.47</v>
      </c>
      <c r="Q20" s="41">
        <v>9.93</v>
      </c>
      <c r="R20" s="38"/>
      <c r="S20" s="38"/>
      <c r="T20" s="38"/>
      <c r="U20" s="38"/>
    </row>
    <row r="21" spans="1:21" customFormat="1">
      <c r="A21" s="40" t="s">
        <v>552</v>
      </c>
      <c r="B21" s="41">
        <v>4.25</v>
      </c>
      <c r="C21" s="41">
        <v>8.61</v>
      </c>
      <c r="D21" s="41">
        <v>4.51</v>
      </c>
      <c r="E21" s="41">
        <v>6.36</v>
      </c>
      <c r="F21" s="41">
        <v>10.44</v>
      </c>
      <c r="G21" s="41">
        <v>71.25</v>
      </c>
      <c r="H21" s="41">
        <v>19.239999999999998</v>
      </c>
      <c r="I21" s="41">
        <v>6.56</v>
      </c>
      <c r="J21" s="41">
        <v>1.39</v>
      </c>
      <c r="K21" s="41">
        <v>282.45999999999998</v>
      </c>
      <c r="L21" s="41">
        <v>35.53</v>
      </c>
      <c r="M21" s="41">
        <v>47.61</v>
      </c>
      <c r="N21" s="41">
        <v>866.6</v>
      </c>
      <c r="O21" s="41">
        <v>0</v>
      </c>
      <c r="P21" s="41">
        <v>0.47</v>
      </c>
      <c r="Q21" s="41">
        <v>9.91</v>
      </c>
      <c r="R21" s="38"/>
      <c r="S21" s="38"/>
      <c r="T21" s="38"/>
      <c r="U21" s="38"/>
    </row>
    <row r="22" spans="1:21" customFormat="1">
      <c r="A22" s="40" t="s">
        <v>553</v>
      </c>
      <c r="B22" s="41">
        <v>3.93</v>
      </c>
      <c r="C22" s="41">
        <v>9.09</v>
      </c>
      <c r="D22" s="41">
        <v>5.22</v>
      </c>
      <c r="E22" s="41">
        <v>5.7</v>
      </c>
      <c r="F22" s="41">
        <v>6.51</v>
      </c>
      <c r="G22" s="41">
        <v>70.599999999999994</v>
      </c>
      <c r="H22" s="41">
        <v>17.66</v>
      </c>
      <c r="I22" s="41">
        <v>6.71</v>
      </c>
      <c r="J22" s="41">
        <v>1.49</v>
      </c>
      <c r="K22" s="41">
        <v>283.08</v>
      </c>
      <c r="L22" s="41">
        <v>36.25</v>
      </c>
      <c r="M22" s="41">
        <v>42.69</v>
      </c>
      <c r="N22" s="41">
        <v>836.8</v>
      </c>
      <c r="O22" s="41">
        <v>0</v>
      </c>
      <c r="P22" s="41">
        <v>0.42</v>
      </c>
      <c r="Q22" s="41">
        <v>9.91</v>
      </c>
      <c r="R22" s="38"/>
      <c r="S22" s="38"/>
      <c r="T22" s="38"/>
      <c r="U22" s="38"/>
    </row>
    <row r="23" spans="1:21" customFormat="1">
      <c r="A23" s="40" t="s">
        <v>554</v>
      </c>
      <c r="B23" s="41">
        <v>3.92</v>
      </c>
      <c r="C23" s="41">
        <v>9.02</v>
      </c>
      <c r="D23" s="41">
        <v>5.0999999999999996</v>
      </c>
      <c r="E23" s="41">
        <v>5.88</v>
      </c>
      <c r="F23" s="41">
        <v>6.85</v>
      </c>
      <c r="G23" s="41">
        <v>77.260000000000005</v>
      </c>
      <c r="H23" s="41">
        <v>16.41</v>
      </c>
      <c r="I23" s="41">
        <v>6.57</v>
      </c>
      <c r="J23" s="41">
        <v>1.67</v>
      </c>
      <c r="K23" s="41">
        <v>287.17</v>
      </c>
      <c r="L23" s="41">
        <v>36.4</v>
      </c>
      <c r="M23" s="41">
        <v>40.61</v>
      </c>
      <c r="N23" s="41">
        <v>432.9</v>
      </c>
      <c r="O23" s="41">
        <v>0</v>
      </c>
      <c r="P23" s="41">
        <v>0.44</v>
      </c>
      <c r="Q23" s="41">
        <v>9.92</v>
      </c>
      <c r="R23" s="38"/>
      <c r="S23" s="38"/>
      <c r="T23" s="38"/>
      <c r="U23" s="38"/>
    </row>
    <row r="24" spans="1:21" customFormat="1">
      <c r="A24" s="40" t="s">
        <v>555</v>
      </c>
      <c r="B24" s="41">
        <v>3.95</v>
      </c>
      <c r="C24" s="41">
        <v>9.25</v>
      </c>
      <c r="D24" s="41">
        <v>5.31</v>
      </c>
      <c r="E24" s="41">
        <v>5.91</v>
      </c>
      <c r="F24" s="41">
        <v>6.9</v>
      </c>
      <c r="G24" s="41">
        <v>76.59</v>
      </c>
      <c r="H24" s="41">
        <v>16.21</v>
      </c>
      <c r="I24" s="41">
        <v>6.57</v>
      </c>
      <c r="J24" s="41">
        <v>1.42</v>
      </c>
      <c r="K24" s="41">
        <v>276.98</v>
      </c>
      <c r="L24" s="41">
        <v>36.619999999999997</v>
      </c>
      <c r="M24" s="41">
        <v>39.659999999999997</v>
      </c>
      <c r="N24" s="41">
        <v>561.9</v>
      </c>
      <c r="O24" s="41">
        <v>0</v>
      </c>
      <c r="P24" s="41">
        <v>0.46</v>
      </c>
      <c r="Q24" s="41">
        <v>9.92</v>
      </c>
      <c r="R24" s="38"/>
      <c r="S24" s="38"/>
      <c r="T24" s="38"/>
      <c r="U24" s="38"/>
    </row>
    <row r="25" spans="1:21" customFormat="1">
      <c r="A25" s="40" t="s">
        <v>556</v>
      </c>
      <c r="B25" s="41">
        <v>3.98</v>
      </c>
      <c r="C25" s="41">
        <v>9.11</v>
      </c>
      <c r="D25" s="41">
        <v>5.24</v>
      </c>
      <c r="E25" s="41">
        <v>6.17</v>
      </c>
      <c r="F25" s="41">
        <v>7.13</v>
      </c>
      <c r="G25" s="41">
        <v>74.17</v>
      </c>
      <c r="H25" s="41">
        <v>19.22</v>
      </c>
      <c r="I25" s="41">
        <v>6.23</v>
      </c>
      <c r="J25" s="41">
        <v>1.25</v>
      </c>
      <c r="K25" s="41">
        <v>272.62</v>
      </c>
      <c r="L25" s="41">
        <v>36.24</v>
      </c>
      <c r="M25" s="41">
        <v>40.58</v>
      </c>
      <c r="N25" s="41">
        <v>227.3</v>
      </c>
      <c r="O25" s="41">
        <v>0</v>
      </c>
      <c r="P25" s="41">
        <v>0.45</v>
      </c>
      <c r="Q25" s="41">
        <v>9.91</v>
      </c>
      <c r="R25" s="38"/>
      <c r="S25" s="38"/>
      <c r="T25" s="38"/>
      <c r="U25" s="38"/>
    </row>
    <row r="26" spans="1:21" customFormat="1">
      <c r="A26" s="40" t="s">
        <v>557</v>
      </c>
      <c r="B26" s="41">
        <v>4.76</v>
      </c>
      <c r="C26" s="41">
        <v>11.84</v>
      </c>
      <c r="D26" s="41">
        <v>7.08</v>
      </c>
      <c r="E26" s="41">
        <v>5.93</v>
      </c>
      <c r="F26" s="41">
        <v>16.27</v>
      </c>
      <c r="G26" s="41">
        <v>69.95</v>
      </c>
      <c r="H26" s="41">
        <v>19.55</v>
      </c>
      <c r="I26" s="41">
        <v>5.84</v>
      </c>
      <c r="J26" s="41">
        <v>1.22</v>
      </c>
      <c r="K26" s="41">
        <v>304.05</v>
      </c>
      <c r="L26" s="41">
        <v>34.9</v>
      </c>
      <c r="M26" s="41">
        <v>42.31</v>
      </c>
      <c r="N26" s="41">
        <v>43.2</v>
      </c>
      <c r="O26" s="41">
        <v>0</v>
      </c>
      <c r="P26" s="41">
        <v>0.48</v>
      </c>
      <c r="Q26" s="41">
        <v>9.9</v>
      </c>
      <c r="R26" s="38"/>
      <c r="S26" s="38"/>
      <c r="T26" s="38"/>
      <c r="U26" s="38"/>
    </row>
    <row r="27" spans="1:21" customFormat="1">
      <c r="A27" s="40" t="s">
        <v>558</v>
      </c>
      <c r="B27" s="41">
        <v>6.03</v>
      </c>
      <c r="C27" s="41">
        <v>17.64</v>
      </c>
      <c r="D27" s="41">
        <v>11.83</v>
      </c>
      <c r="E27" s="41">
        <v>5.59</v>
      </c>
      <c r="F27" s="41">
        <v>17.440000000000001</v>
      </c>
      <c r="G27" s="41">
        <v>70.569999999999993</v>
      </c>
      <c r="H27" s="41">
        <v>19.64</v>
      </c>
      <c r="I27" s="41">
        <v>5.48</v>
      </c>
      <c r="J27" s="41">
        <v>0.86</v>
      </c>
      <c r="K27" s="41">
        <v>291.88</v>
      </c>
      <c r="L27" s="41">
        <v>34.369999999999997</v>
      </c>
      <c r="M27" s="41">
        <v>43.9</v>
      </c>
      <c r="N27" s="41">
        <v>15.8</v>
      </c>
      <c r="O27" s="41">
        <v>0</v>
      </c>
      <c r="P27" s="41">
        <v>0.52</v>
      </c>
      <c r="Q27" s="41">
        <v>9.93</v>
      </c>
      <c r="R27" s="38"/>
      <c r="S27" s="38"/>
      <c r="T27" s="38"/>
      <c r="U27" s="38"/>
    </row>
    <row r="28" spans="1:21" customFormat="1">
      <c r="A28" s="40" t="s">
        <v>559</v>
      </c>
      <c r="B28" s="41">
        <v>6.29</v>
      </c>
      <c r="C28" s="41">
        <v>18.72</v>
      </c>
      <c r="D28" s="41">
        <v>12.43</v>
      </c>
      <c r="E28" s="41">
        <v>5.0199999999999996</v>
      </c>
      <c r="F28" s="41">
        <v>17.45</v>
      </c>
      <c r="G28" s="41">
        <v>78.16</v>
      </c>
      <c r="H28" s="41">
        <v>17.72</v>
      </c>
      <c r="I28" s="41">
        <v>5.64</v>
      </c>
      <c r="J28" s="41">
        <v>0.69</v>
      </c>
      <c r="K28" s="41">
        <v>259.58</v>
      </c>
      <c r="L28" s="41">
        <v>33.340000000000003</v>
      </c>
      <c r="M28" s="41">
        <v>56.86</v>
      </c>
      <c r="N28" s="41">
        <v>3.3</v>
      </c>
      <c r="O28" s="41">
        <v>0</v>
      </c>
      <c r="P28" s="41">
        <v>0.52</v>
      </c>
      <c r="Q28" s="41">
        <v>9.93</v>
      </c>
      <c r="R28" s="38"/>
      <c r="S28" s="38"/>
      <c r="T28" s="38"/>
      <c r="U28" s="38"/>
    </row>
    <row r="29" spans="1:21" customFormat="1">
      <c r="A29" s="40" t="s">
        <v>560</v>
      </c>
      <c r="B29" s="41">
        <v>4.0199999999999996</v>
      </c>
      <c r="C29" s="41">
        <v>8.01</v>
      </c>
      <c r="D29" s="41">
        <v>4.0599999999999996</v>
      </c>
      <c r="E29" s="41">
        <v>4.21</v>
      </c>
      <c r="F29" s="41">
        <v>17.61</v>
      </c>
      <c r="G29" s="41">
        <v>76.760000000000005</v>
      </c>
      <c r="H29" s="41">
        <v>17.32</v>
      </c>
      <c r="I29" s="41">
        <v>4.97</v>
      </c>
      <c r="J29" s="41">
        <v>0.2</v>
      </c>
      <c r="K29" s="41">
        <v>245.23</v>
      </c>
      <c r="L29" s="41">
        <v>30.7</v>
      </c>
      <c r="M29" s="41">
        <v>61.55</v>
      </c>
      <c r="N29" s="41">
        <v>1.9</v>
      </c>
      <c r="O29" s="41">
        <v>0</v>
      </c>
      <c r="P29" s="41">
        <v>0.43</v>
      </c>
      <c r="Q29" s="41">
        <v>9.91</v>
      </c>
      <c r="R29" s="38"/>
      <c r="S29" s="38"/>
      <c r="T29" s="38"/>
      <c r="U29" s="38"/>
    </row>
    <row r="30" spans="1:21" customFormat="1">
      <c r="A30" s="40" t="s">
        <v>561</v>
      </c>
      <c r="B30" s="41">
        <v>4.08</v>
      </c>
      <c r="C30" s="41">
        <v>8.41</v>
      </c>
      <c r="D30" s="41">
        <v>4.43</v>
      </c>
      <c r="E30" s="41">
        <v>4.12</v>
      </c>
      <c r="F30" s="41">
        <v>12.4</v>
      </c>
      <c r="G30" s="41">
        <v>70.260000000000005</v>
      </c>
      <c r="H30" s="41">
        <v>16.89</v>
      </c>
      <c r="I30" s="41">
        <v>6.63</v>
      </c>
      <c r="J30" s="41">
        <v>0.17</v>
      </c>
      <c r="K30" s="41">
        <v>192.35</v>
      </c>
      <c r="L30" s="41">
        <v>29.91</v>
      </c>
      <c r="M30" s="41">
        <v>64.349999999999994</v>
      </c>
      <c r="N30" s="41">
        <v>1.9</v>
      </c>
      <c r="O30" s="41">
        <v>0</v>
      </c>
      <c r="P30" s="41">
        <v>0.43</v>
      </c>
      <c r="Q30" s="41">
        <v>9.93</v>
      </c>
      <c r="R30" s="38"/>
      <c r="S30" s="38"/>
      <c r="T30" s="38"/>
      <c r="U30" s="38"/>
    </row>
    <row r="31" spans="1:21" customFormat="1">
      <c r="A31" s="40" t="s">
        <v>562</v>
      </c>
      <c r="B31" s="41">
        <v>4.34</v>
      </c>
      <c r="C31" s="41">
        <v>9.34</v>
      </c>
      <c r="D31" s="41">
        <v>5</v>
      </c>
      <c r="E31" s="41">
        <v>5.36</v>
      </c>
      <c r="F31" s="41">
        <v>12</v>
      </c>
      <c r="G31" s="41">
        <v>65.89</v>
      </c>
      <c r="H31" s="41">
        <v>18.78</v>
      </c>
      <c r="I31" s="41">
        <v>5.59</v>
      </c>
      <c r="J31" s="41">
        <v>0.46</v>
      </c>
      <c r="K31" s="41">
        <v>250.42</v>
      </c>
      <c r="L31" s="41">
        <v>30.43</v>
      </c>
      <c r="M31" s="41">
        <v>64.73</v>
      </c>
      <c r="N31" s="41">
        <v>1.7</v>
      </c>
      <c r="O31" s="41">
        <v>0</v>
      </c>
      <c r="P31" s="41">
        <v>0.42</v>
      </c>
      <c r="Q31" s="41">
        <v>9.92</v>
      </c>
      <c r="R31" s="38"/>
      <c r="S31" s="38"/>
      <c r="T31" s="38"/>
      <c r="U31" s="38"/>
    </row>
    <row r="32" spans="1:21" customFormat="1">
      <c r="A32" s="40" t="s">
        <v>563</v>
      </c>
      <c r="B32" s="41">
        <v>4.3</v>
      </c>
      <c r="C32" s="41">
        <v>8.9700000000000006</v>
      </c>
      <c r="D32" s="41">
        <v>4.67</v>
      </c>
      <c r="E32" s="41">
        <v>5.69</v>
      </c>
      <c r="F32" s="41">
        <v>3.31</v>
      </c>
      <c r="G32" s="41">
        <v>63.46</v>
      </c>
      <c r="H32" s="41">
        <v>17.53</v>
      </c>
      <c r="I32" s="41">
        <v>5.8</v>
      </c>
      <c r="J32" s="41">
        <v>1.25</v>
      </c>
      <c r="K32" s="41">
        <v>267.98</v>
      </c>
      <c r="L32" s="41">
        <v>30.44</v>
      </c>
      <c r="M32" s="41">
        <v>61.46</v>
      </c>
      <c r="N32" s="41">
        <v>2.4</v>
      </c>
      <c r="O32" s="41">
        <v>0</v>
      </c>
      <c r="P32" s="41">
        <v>0.39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3.92</v>
      </c>
      <c r="C34" s="18">
        <f t="shared" si="0"/>
        <v>8.01</v>
      </c>
      <c r="D34" s="18">
        <f t="shared" si="0"/>
        <v>3.28</v>
      </c>
      <c r="E34" s="18">
        <f t="shared" si="0"/>
        <v>3.8</v>
      </c>
      <c r="F34" s="18">
        <f t="shared" si="0"/>
        <v>2.19</v>
      </c>
      <c r="G34" s="18">
        <f t="shared" si="0"/>
        <v>35.71</v>
      </c>
      <c r="H34" s="18">
        <f t="shared" si="0"/>
        <v>10.54</v>
      </c>
      <c r="I34" s="18">
        <f t="shared" si="0"/>
        <v>4.8600000000000003</v>
      </c>
      <c r="J34" s="18">
        <f t="shared" si="0"/>
        <v>0.17</v>
      </c>
      <c r="K34" s="18">
        <f t="shared" si="0"/>
        <v>192.35</v>
      </c>
      <c r="L34" s="18">
        <f t="shared" si="0"/>
        <v>26.5</v>
      </c>
      <c r="M34" s="18">
        <f t="shared" si="0"/>
        <v>39.659999999999997</v>
      </c>
      <c r="N34" s="18">
        <f t="shared" si="0"/>
        <v>1.7</v>
      </c>
      <c r="O34" s="18">
        <f t="shared" si="0"/>
        <v>0</v>
      </c>
      <c r="P34" s="18">
        <f t="shared" si="0"/>
        <v>0.37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6.29</v>
      </c>
      <c r="C35" s="3">
        <f t="shared" si="1"/>
        <v>18.72</v>
      </c>
      <c r="D35" s="3">
        <f t="shared" si="1"/>
        <v>12.43</v>
      </c>
      <c r="E35" s="3">
        <f t="shared" si="1"/>
        <v>6.36</v>
      </c>
      <c r="F35" s="3">
        <f t="shared" si="1"/>
        <v>17.61</v>
      </c>
      <c r="G35" s="3">
        <f t="shared" si="1"/>
        <v>79.8</v>
      </c>
      <c r="H35" s="3">
        <f t="shared" si="1"/>
        <v>23.68</v>
      </c>
      <c r="I35" s="3">
        <f t="shared" si="1"/>
        <v>7.02</v>
      </c>
      <c r="J35" s="3">
        <f t="shared" si="1"/>
        <v>1.67</v>
      </c>
      <c r="K35" s="3">
        <f t="shared" si="1"/>
        <v>304.05</v>
      </c>
      <c r="L35" s="3">
        <f t="shared" si="1"/>
        <v>36.619999999999997</v>
      </c>
      <c r="M35" s="3">
        <f t="shared" si="1"/>
        <v>89.79</v>
      </c>
      <c r="N35" s="3">
        <f t="shared" si="1"/>
        <v>866.6</v>
      </c>
      <c r="O35" s="3">
        <f t="shared" si="1"/>
        <v>0</v>
      </c>
      <c r="P35" s="3">
        <f t="shared" si="1"/>
        <v>0.56999999999999995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4.984583333333334</v>
      </c>
      <c r="C36" s="18">
        <f t="shared" si="2"/>
        <v>10.030833333333334</v>
      </c>
      <c r="D36" s="18">
        <f t="shared" si="2"/>
        <v>5.109583333333334</v>
      </c>
      <c r="E36" s="18">
        <f t="shared" si="2"/>
        <v>5.4537499999999994</v>
      </c>
      <c r="F36" s="18">
        <f t="shared" si="2"/>
        <v>7.9366666666666665</v>
      </c>
      <c r="G36" s="18">
        <f t="shared" si="2"/>
        <v>64.312500000000014</v>
      </c>
      <c r="H36" s="18">
        <f t="shared" si="2"/>
        <v>17.57375</v>
      </c>
      <c r="I36" s="18">
        <f t="shared" si="2"/>
        <v>6.0025000000000013</v>
      </c>
      <c r="J36" s="18">
        <f t="shared" si="2"/>
        <v>0.85791666666666677</v>
      </c>
      <c r="K36" s="18">
        <f t="shared" si="2"/>
        <v>266.29625000000004</v>
      </c>
      <c r="L36" s="18">
        <f t="shared" si="2"/>
        <v>31.356250000000003</v>
      </c>
      <c r="M36" s="18">
        <f t="shared" si="2"/>
        <v>64.10499999999999</v>
      </c>
      <c r="N36" s="18">
        <f t="shared" si="2"/>
        <v>186.64999999999998</v>
      </c>
      <c r="O36" s="18">
        <f t="shared" si="2"/>
        <v>0</v>
      </c>
      <c r="P36" s="18">
        <f t="shared" si="2"/>
        <v>0.44958333333333328</v>
      </c>
      <c r="Q36" s="18">
        <f t="shared" si="2"/>
        <v>9.9241666666666664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0.80871868149381176</v>
      </c>
      <c r="C37" s="18">
        <f t="shared" ref="C37:Q37" si="3">STDEV(C9:C32)</f>
        <v>2.6304073360647351</v>
      </c>
      <c r="D37" s="18">
        <f t="shared" si="3"/>
        <v>2.3058516848994484</v>
      </c>
      <c r="E37" s="18">
        <f t="shared" si="3"/>
        <v>0.7407036167226958</v>
      </c>
      <c r="F37" s="18">
        <f t="shared" si="3"/>
        <v>5.1172246780649662</v>
      </c>
      <c r="G37" s="18">
        <f t="shared" si="3"/>
        <v>13.353672105291896</v>
      </c>
      <c r="H37" s="18">
        <f t="shared" si="3"/>
        <v>2.7008803918915856</v>
      </c>
      <c r="I37" s="18">
        <f t="shared" si="3"/>
        <v>0.63245725066048941</v>
      </c>
      <c r="J37" s="18">
        <f t="shared" si="3"/>
        <v>0.54432230834526563</v>
      </c>
      <c r="K37" s="18">
        <f t="shared" si="3"/>
        <v>23.934563839678638</v>
      </c>
      <c r="L37" s="18">
        <f t="shared" si="3"/>
        <v>3.713594078283311</v>
      </c>
      <c r="M37" s="18">
        <f t="shared" si="3"/>
        <v>18.061701494310157</v>
      </c>
      <c r="N37" s="18">
        <f t="shared" si="3"/>
        <v>264.49943864492093</v>
      </c>
      <c r="O37" s="18">
        <f t="shared" si="3"/>
        <v>0</v>
      </c>
      <c r="P37" s="18">
        <f t="shared" si="3"/>
        <v>5.3036424453771228E-2</v>
      </c>
      <c r="Q37" s="18">
        <f t="shared" si="3"/>
        <v>1.1764599317505181E-2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564</v>
      </c>
      <c r="B9" s="41">
        <v>4.2</v>
      </c>
      <c r="C9" s="41">
        <v>9.17</v>
      </c>
      <c r="D9" s="41">
        <v>5.1100000000000003</v>
      </c>
      <c r="E9" s="41">
        <v>5.83</v>
      </c>
      <c r="F9" s="41">
        <v>3.24</v>
      </c>
      <c r="G9" s="41">
        <v>60.05</v>
      </c>
      <c r="H9" s="41">
        <v>14.91</v>
      </c>
      <c r="I9" s="41">
        <v>5.29</v>
      </c>
      <c r="J9" s="41">
        <v>1.31</v>
      </c>
      <c r="K9" s="41">
        <v>290.81</v>
      </c>
      <c r="L9" s="41">
        <v>29.32</v>
      </c>
      <c r="M9" s="41">
        <v>68.77</v>
      </c>
      <c r="N9" s="41">
        <v>3.1</v>
      </c>
      <c r="O9" s="41">
        <v>0</v>
      </c>
      <c r="P9" s="41">
        <v>0.35</v>
      </c>
      <c r="Q9" s="41">
        <v>9.91</v>
      </c>
      <c r="R9" s="38"/>
      <c r="S9" s="38"/>
      <c r="T9" s="38"/>
      <c r="U9" s="38"/>
    </row>
    <row r="10" spans="1:21" customFormat="1">
      <c r="A10" s="40" t="s">
        <v>565</v>
      </c>
      <c r="B10" s="41">
        <v>4.1100000000000003</v>
      </c>
      <c r="C10" s="41">
        <v>8.86</v>
      </c>
      <c r="D10" s="41">
        <v>4.78</v>
      </c>
      <c r="E10" s="41">
        <v>6.1</v>
      </c>
      <c r="F10" s="41">
        <v>3.23</v>
      </c>
      <c r="G10" s="41">
        <v>57.84</v>
      </c>
      <c r="H10" s="41">
        <v>15.77</v>
      </c>
      <c r="I10" s="41">
        <v>4.97</v>
      </c>
      <c r="J10" s="41">
        <v>0.48</v>
      </c>
      <c r="K10" s="41">
        <v>250.03</v>
      </c>
      <c r="L10" s="41">
        <v>29.08</v>
      </c>
      <c r="M10" s="41">
        <v>71.11</v>
      </c>
      <c r="N10" s="41">
        <v>2.1</v>
      </c>
      <c r="O10" s="41">
        <v>0</v>
      </c>
      <c r="P10" s="41">
        <v>0.33</v>
      </c>
      <c r="Q10" s="41">
        <v>9.92</v>
      </c>
      <c r="R10" s="38"/>
      <c r="S10" s="38"/>
      <c r="T10" s="38"/>
      <c r="U10" s="38"/>
    </row>
    <row r="11" spans="1:21" customFormat="1">
      <c r="A11" s="40" t="s">
        <v>566</v>
      </c>
      <c r="B11" s="41">
        <v>4.1500000000000004</v>
      </c>
      <c r="C11" s="41">
        <v>8.36</v>
      </c>
      <c r="D11" s="41">
        <v>4.24</v>
      </c>
      <c r="E11" s="41">
        <v>4.7300000000000004</v>
      </c>
      <c r="F11" s="41">
        <v>3.48</v>
      </c>
      <c r="G11" s="41">
        <v>50.75</v>
      </c>
      <c r="H11" s="41">
        <v>14.74</v>
      </c>
      <c r="I11" s="41">
        <v>4.74</v>
      </c>
      <c r="J11" s="41">
        <v>0.57999999999999996</v>
      </c>
      <c r="K11" s="41">
        <v>254.86</v>
      </c>
      <c r="L11" s="41">
        <v>28.55</v>
      </c>
      <c r="M11" s="41">
        <v>72.5</v>
      </c>
      <c r="N11" s="41">
        <v>2</v>
      </c>
      <c r="O11" s="41">
        <v>0</v>
      </c>
      <c r="P11" s="41">
        <v>0.32</v>
      </c>
      <c r="Q11" s="41">
        <v>9.92</v>
      </c>
      <c r="R11" s="38"/>
      <c r="S11" s="38"/>
      <c r="T11" s="38"/>
      <c r="U11" s="38"/>
    </row>
    <row r="12" spans="1:21" customFormat="1">
      <c r="A12" s="40" t="s">
        <v>567</v>
      </c>
      <c r="B12" s="41">
        <v>4.3600000000000003</v>
      </c>
      <c r="C12" s="41">
        <v>8.41</v>
      </c>
      <c r="D12" s="41">
        <v>4.2300000000000004</v>
      </c>
      <c r="E12" s="41">
        <v>4.67</v>
      </c>
      <c r="F12" s="41">
        <v>4.09</v>
      </c>
      <c r="G12" s="41">
        <v>50.12</v>
      </c>
      <c r="H12" s="41">
        <v>11.86</v>
      </c>
      <c r="I12" s="41">
        <v>4.5999999999999996</v>
      </c>
      <c r="J12" s="41">
        <v>0.68</v>
      </c>
      <c r="K12" s="41">
        <v>258.7</v>
      </c>
      <c r="L12" s="41">
        <v>28.41</v>
      </c>
      <c r="M12" s="41">
        <v>72.89</v>
      </c>
      <c r="N12" s="41">
        <v>2.1</v>
      </c>
      <c r="O12" s="41">
        <v>0</v>
      </c>
      <c r="P12" s="41">
        <v>0.37</v>
      </c>
      <c r="Q12" s="41">
        <v>9.92</v>
      </c>
      <c r="R12" s="38"/>
      <c r="S12" s="38"/>
      <c r="T12" s="38"/>
      <c r="U12" s="38"/>
    </row>
    <row r="13" spans="1:21" customFormat="1">
      <c r="A13" s="40" t="s">
        <v>568</v>
      </c>
      <c r="B13" s="41">
        <v>4.8</v>
      </c>
      <c r="C13" s="41">
        <v>7.94</v>
      </c>
      <c r="D13" s="41">
        <v>3.55</v>
      </c>
      <c r="E13" s="41">
        <v>4.93</v>
      </c>
      <c r="F13" s="41">
        <v>4.2699999999999996</v>
      </c>
      <c r="G13" s="41">
        <v>47.83</v>
      </c>
      <c r="H13" s="41">
        <v>11.66</v>
      </c>
      <c r="I13" s="41">
        <v>5.41</v>
      </c>
      <c r="J13" s="41">
        <v>0.9</v>
      </c>
      <c r="K13" s="41">
        <v>258.25</v>
      </c>
      <c r="L13" s="41">
        <v>28.2</v>
      </c>
      <c r="M13" s="41">
        <v>72.849999999999994</v>
      </c>
      <c r="N13" s="41">
        <v>2.1</v>
      </c>
      <c r="O13" s="41">
        <v>0</v>
      </c>
      <c r="P13" s="41">
        <v>0.38</v>
      </c>
      <c r="Q13" s="41">
        <v>9.92</v>
      </c>
      <c r="R13" s="38"/>
      <c r="S13" s="38"/>
      <c r="T13" s="38"/>
      <c r="U13" s="38"/>
    </row>
    <row r="14" spans="1:21" customFormat="1">
      <c r="A14" s="40" t="s">
        <v>569</v>
      </c>
      <c r="B14" s="41">
        <v>4.8099999999999996</v>
      </c>
      <c r="C14" s="41">
        <v>7.54</v>
      </c>
      <c r="D14" s="41">
        <v>2.81</v>
      </c>
      <c r="E14" s="41">
        <v>3.74</v>
      </c>
      <c r="F14" s="41">
        <v>3.96</v>
      </c>
      <c r="G14" s="41">
        <v>39.99</v>
      </c>
      <c r="H14" s="41">
        <v>10.8</v>
      </c>
      <c r="I14" s="41">
        <v>4.9800000000000004</v>
      </c>
      <c r="J14" s="41">
        <v>1.07</v>
      </c>
      <c r="K14" s="41">
        <v>263.14</v>
      </c>
      <c r="L14" s="41">
        <v>27.37</v>
      </c>
      <c r="M14" s="41">
        <v>76.45</v>
      </c>
      <c r="N14" s="41">
        <v>27</v>
      </c>
      <c r="O14" s="41">
        <v>0</v>
      </c>
      <c r="P14" s="41">
        <v>0.36</v>
      </c>
      <c r="Q14" s="41">
        <v>9.92</v>
      </c>
      <c r="R14" s="38"/>
      <c r="S14" s="38"/>
      <c r="T14" s="38"/>
      <c r="U14" s="38"/>
    </row>
    <row r="15" spans="1:21" customFormat="1">
      <c r="A15" s="40" t="s">
        <v>570</v>
      </c>
      <c r="B15" s="41">
        <v>4.76</v>
      </c>
      <c r="C15" s="41">
        <v>7.46</v>
      </c>
      <c r="D15" s="41">
        <v>2.79</v>
      </c>
      <c r="E15" s="41">
        <v>3.29</v>
      </c>
      <c r="F15" s="41">
        <v>3.56</v>
      </c>
      <c r="G15" s="41">
        <v>32.96</v>
      </c>
      <c r="H15" s="41">
        <v>8.84</v>
      </c>
      <c r="I15" s="41">
        <v>4.62</v>
      </c>
      <c r="J15" s="41">
        <v>0.9</v>
      </c>
      <c r="K15" s="41">
        <v>256.45</v>
      </c>
      <c r="L15" s="41">
        <v>28.15</v>
      </c>
      <c r="M15" s="41">
        <v>76.3</v>
      </c>
      <c r="N15" s="41">
        <v>130.30000000000001</v>
      </c>
      <c r="O15" s="41">
        <v>0</v>
      </c>
      <c r="P15" s="41">
        <v>0.35</v>
      </c>
      <c r="Q15" s="41">
        <v>9.93</v>
      </c>
      <c r="R15" s="38"/>
      <c r="S15" s="38"/>
      <c r="T15" s="38"/>
      <c r="U15" s="38"/>
    </row>
    <row r="16" spans="1:21" customFormat="1">
      <c r="A16" s="40" t="s">
        <v>571</v>
      </c>
      <c r="B16" s="41">
        <v>4.59</v>
      </c>
      <c r="C16" s="41">
        <v>7.2</v>
      </c>
      <c r="D16" s="41">
        <v>2.74</v>
      </c>
      <c r="E16" s="41">
        <v>3.47</v>
      </c>
      <c r="F16" s="41">
        <v>4.1399999999999997</v>
      </c>
      <c r="G16" s="41">
        <v>32.5</v>
      </c>
      <c r="H16" s="41">
        <v>7.4</v>
      </c>
      <c r="I16" s="41">
        <v>4.42</v>
      </c>
      <c r="J16" s="41">
        <v>1</v>
      </c>
      <c r="K16" s="41">
        <v>257.24</v>
      </c>
      <c r="L16" s="41">
        <v>28.93</v>
      </c>
      <c r="M16" s="41">
        <v>72.2</v>
      </c>
      <c r="N16" s="41">
        <v>144.30000000000001</v>
      </c>
      <c r="O16" s="41">
        <v>0</v>
      </c>
      <c r="P16" s="41">
        <v>0.34</v>
      </c>
      <c r="Q16" s="41">
        <v>9.91</v>
      </c>
      <c r="R16" s="38"/>
      <c r="S16" s="38"/>
      <c r="T16" s="38"/>
      <c r="U16" s="38"/>
    </row>
    <row r="17" spans="1:21" customFormat="1">
      <c r="A17" s="40" t="s">
        <v>572</v>
      </c>
      <c r="B17" s="41">
        <v>4.4800000000000004</v>
      </c>
      <c r="C17" s="41">
        <v>8.8800000000000008</v>
      </c>
      <c r="D17" s="41">
        <v>4.51</v>
      </c>
      <c r="E17" s="41">
        <v>3.71</v>
      </c>
      <c r="F17" s="41">
        <v>2.58</v>
      </c>
      <c r="G17" s="41">
        <v>32.29</v>
      </c>
      <c r="H17" s="41">
        <v>9.6999999999999993</v>
      </c>
      <c r="I17" s="41">
        <v>4.41</v>
      </c>
      <c r="J17" s="41">
        <v>1.23</v>
      </c>
      <c r="K17" s="41">
        <v>263.77999999999997</v>
      </c>
      <c r="L17" s="41">
        <v>29.7</v>
      </c>
      <c r="M17" s="41">
        <v>69.34</v>
      </c>
      <c r="N17" s="41">
        <v>248.1</v>
      </c>
      <c r="O17" s="41">
        <v>0</v>
      </c>
      <c r="P17" s="41">
        <v>0.32</v>
      </c>
      <c r="Q17" s="41">
        <v>9.91</v>
      </c>
      <c r="R17" s="38"/>
      <c r="S17" s="38"/>
      <c r="T17" s="38"/>
      <c r="U17" s="38"/>
    </row>
    <row r="18" spans="1:21" customFormat="1">
      <c r="A18" s="40" t="s">
        <v>573</v>
      </c>
      <c r="B18" s="41">
        <v>4.41</v>
      </c>
      <c r="C18" s="41">
        <v>8.98</v>
      </c>
      <c r="D18" s="41">
        <v>4.6399999999999997</v>
      </c>
      <c r="E18" s="41">
        <v>4.03</v>
      </c>
      <c r="F18" s="41">
        <v>3.04</v>
      </c>
      <c r="G18" s="41">
        <v>41.39</v>
      </c>
      <c r="H18" s="41">
        <v>9.42</v>
      </c>
      <c r="I18" s="41">
        <v>4.95</v>
      </c>
      <c r="J18" s="41">
        <v>1.33</v>
      </c>
      <c r="K18" s="41">
        <v>268.43</v>
      </c>
      <c r="L18" s="41">
        <v>31</v>
      </c>
      <c r="M18" s="41">
        <v>67</v>
      </c>
      <c r="N18" s="41">
        <v>289.60000000000002</v>
      </c>
      <c r="O18" s="41">
        <v>0</v>
      </c>
      <c r="P18" s="41">
        <v>0.33</v>
      </c>
      <c r="Q18" s="41">
        <v>9.93</v>
      </c>
      <c r="R18" s="38"/>
      <c r="S18" s="38"/>
      <c r="T18" s="38"/>
      <c r="U18" s="38"/>
    </row>
    <row r="19" spans="1:21" customFormat="1">
      <c r="A19" s="40" t="s">
        <v>574</v>
      </c>
      <c r="B19" s="41">
        <v>4.01</v>
      </c>
      <c r="C19" s="41">
        <v>8.57</v>
      </c>
      <c r="D19" s="41">
        <v>4.63</v>
      </c>
      <c r="E19" s="41">
        <v>4.82</v>
      </c>
      <c r="F19" s="41">
        <v>3.66</v>
      </c>
      <c r="G19" s="41">
        <v>39.770000000000003</v>
      </c>
      <c r="H19" s="41">
        <v>10.69</v>
      </c>
      <c r="I19" s="41">
        <v>5.26</v>
      </c>
      <c r="J19" s="41">
        <v>1.61</v>
      </c>
      <c r="K19" s="41">
        <v>271.51</v>
      </c>
      <c r="L19" s="41">
        <v>31.61</v>
      </c>
      <c r="M19" s="41">
        <v>60.96</v>
      </c>
      <c r="N19" s="41">
        <v>317.2</v>
      </c>
      <c r="O19" s="41">
        <v>0</v>
      </c>
      <c r="P19" s="41">
        <v>0.36</v>
      </c>
      <c r="Q19" s="41">
        <v>9.91</v>
      </c>
      <c r="R19" s="38"/>
      <c r="S19" s="38"/>
      <c r="T19" s="38"/>
      <c r="U19" s="38"/>
    </row>
    <row r="20" spans="1:21" customFormat="1">
      <c r="A20" s="40" t="s">
        <v>575</v>
      </c>
      <c r="B20" s="41">
        <v>4.03</v>
      </c>
      <c r="C20" s="41">
        <v>8.6199999999999992</v>
      </c>
      <c r="D20" s="41">
        <v>4.5999999999999996</v>
      </c>
      <c r="E20" s="41">
        <v>4.78</v>
      </c>
      <c r="F20" s="41">
        <v>3.67</v>
      </c>
      <c r="G20" s="41">
        <v>43.56</v>
      </c>
      <c r="H20" s="41">
        <v>11.57</v>
      </c>
      <c r="I20" s="41">
        <v>5.8</v>
      </c>
      <c r="J20" s="41">
        <v>1.72</v>
      </c>
      <c r="K20" s="41">
        <v>290.89999999999998</v>
      </c>
      <c r="L20" s="41">
        <v>31.62</v>
      </c>
      <c r="M20" s="41">
        <v>59.34</v>
      </c>
      <c r="N20" s="41">
        <v>312.10000000000002</v>
      </c>
      <c r="O20" s="41">
        <v>0</v>
      </c>
      <c r="P20" s="41">
        <v>0.37</v>
      </c>
      <c r="Q20" s="41">
        <v>9.9</v>
      </c>
      <c r="R20" s="38"/>
      <c r="S20" s="38"/>
      <c r="T20" s="38"/>
      <c r="U20" s="38"/>
    </row>
    <row r="21" spans="1:21" customFormat="1">
      <c r="A21" s="40" t="s">
        <v>576</v>
      </c>
      <c r="B21" s="41">
        <v>4.01</v>
      </c>
      <c r="C21" s="41">
        <v>8.5299999999999994</v>
      </c>
      <c r="D21" s="41">
        <v>4.5599999999999996</v>
      </c>
      <c r="E21" s="41">
        <v>4.8600000000000003</v>
      </c>
      <c r="F21" s="41">
        <v>4.04</v>
      </c>
      <c r="G21" s="41">
        <v>51.98</v>
      </c>
      <c r="H21" s="41">
        <v>14.56</v>
      </c>
      <c r="I21" s="41">
        <v>5.88</v>
      </c>
      <c r="J21" s="41">
        <v>1.37</v>
      </c>
      <c r="K21" s="41">
        <v>283.5</v>
      </c>
      <c r="L21" s="41">
        <v>32.270000000000003</v>
      </c>
      <c r="M21" s="41">
        <v>58.7</v>
      </c>
      <c r="N21" s="41">
        <v>402.9</v>
      </c>
      <c r="O21" s="41">
        <v>0</v>
      </c>
      <c r="P21" s="41">
        <v>0.38</v>
      </c>
      <c r="Q21" s="41">
        <v>9.91</v>
      </c>
      <c r="R21" s="38"/>
      <c r="S21" s="38"/>
      <c r="T21" s="38"/>
      <c r="U21" s="38"/>
    </row>
    <row r="22" spans="1:21" customFormat="1">
      <c r="A22" s="40" t="s">
        <v>577</v>
      </c>
      <c r="B22" s="41">
        <v>4.1900000000000004</v>
      </c>
      <c r="C22" s="41">
        <v>8.4600000000000009</v>
      </c>
      <c r="D22" s="41">
        <v>4.43</v>
      </c>
      <c r="E22" s="41">
        <v>5.2</v>
      </c>
      <c r="F22" s="41">
        <v>6.29</v>
      </c>
      <c r="G22" s="41">
        <v>61.18</v>
      </c>
      <c r="H22" s="41">
        <v>16.43</v>
      </c>
      <c r="I22" s="41">
        <v>5.74</v>
      </c>
      <c r="J22" s="41">
        <v>1.41</v>
      </c>
      <c r="K22" s="41">
        <v>290.01</v>
      </c>
      <c r="L22" s="41">
        <v>31.62</v>
      </c>
      <c r="M22" s="41">
        <v>62.5</v>
      </c>
      <c r="N22" s="41">
        <v>213.3</v>
      </c>
      <c r="O22" s="41">
        <v>0</v>
      </c>
      <c r="P22" s="41">
        <v>0.42</v>
      </c>
      <c r="Q22" s="41">
        <v>9.92</v>
      </c>
      <c r="R22" s="38"/>
      <c r="S22" s="38"/>
      <c r="T22" s="38"/>
      <c r="U22" s="38"/>
    </row>
    <row r="23" spans="1:21" customFormat="1">
      <c r="A23" s="40" t="s">
        <v>578</v>
      </c>
      <c r="B23" s="41">
        <v>4.6500000000000004</v>
      </c>
      <c r="C23" s="41">
        <v>8.9</v>
      </c>
      <c r="D23" s="41">
        <v>4.25</v>
      </c>
      <c r="E23" s="41">
        <v>4.13</v>
      </c>
      <c r="F23" s="41">
        <v>7.85</v>
      </c>
      <c r="G23" s="41">
        <v>61.3</v>
      </c>
      <c r="H23" s="41">
        <v>17.34</v>
      </c>
      <c r="I23" s="41">
        <v>5.48</v>
      </c>
      <c r="J23" s="41">
        <v>1.07</v>
      </c>
      <c r="K23" s="41">
        <v>287.43</v>
      </c>
      <c r="L23" s="41">
        <v>32.08</v>
      </c>
      <c r="M23" s="41">
        <v>58.97</v>
      </c>
      <c r="N23" s="41">
        <v>261.60000000000002</v>
      </c>
      <c r="O23" s="41">
        <v>0</v>
      </c>
      <c r="P23" s="41">
        <v>0.32</v>
      </c>
      <c r="Q23" s="41">
        <v>9.92</v>
      </c>
      <c r="R23" s="38"/>
      <c r="S23" s="38"/>
      <c r="T23" s="38"/>
      <c r="U23" s="38"/>
    </row>
    <row r="24" spans="1:21" customFormat="1">
      <c r="A24" s="40" t="s">
        <v>579</v>
      </c>
      <c r="B24" s="41">
        <v>4.42</v>
      </c>
      <c r="C24" s="41">
        <v>8.9</v>
      </c>
      <c r="D24" s="41">
        <v>4.4800000000000004</v>
      </c>
      <c r="E24" s="41">
        <v>6.12</v>
      </c>
      <c r="F24" s="41">
        <v>8.52</v>
      </c>
      <c r="G24" s="41">
        <v>60.44</v>
      </c>
      <c r="H24" s="41">
        <v>16.78</v>
      </c>
      <c r="I24" s="41">
        <v>5.87</v>
      </c>
      <c r="J24" s="41">
        <v>1.1200000000000001</v>
      </c>
      <c r="K24" s="41">
        <v>277.10000000000002</v>
      </c>
      <c r="L24" s="41">
        <v>31.13</v>
      </c>
      <c r="M24" s="41">
        <v>75.33</v>
      </c>
      <c r="N24" s="41">
        <v>99.5</v>
      </c>
      <c r="O24" s="41">
        <v>0.2</v>
      </c>
      <c r="P24" s="41">
        <v>0.38</v>
      </c>
      <c r="Q24" s="41">
        <v>9.93</v>
      </c>
      <c r="R24" s="38"/>
      <c r="S24" s="38"/>
      <c r="T24" s="38"/>
      <c r="U24" s="38"/>
    </row>
    <row r="25" spans="1:21" customFormat="1">
      <c r="A25" s="40" t="s">
        <v>580</v>
      </c>
      <c r="B25" s="41">
        <v>5.72</v>
      </c>
      <c r="C25" s="41">
        <v>10.85</v>
      </c>
      <c r="D25" s="41">
        <v>5.13</v>
      </c>
      <c r="E25" s="41">
        <v>4.54</v>
      </c>
      <c r="F25" s="41">
        <v>6.65</v>
      </c>
      <c r="G25" s="41">
        <v>64.5</v>
      </c>
      <c r="H25" s="41">
        <v>18.97</v>
      </c>
      <c r="I25" s="41">
        <v>6.07</v>
      </c>
      <c r="J25" s="41">
        <v>1.26</v>
      </c>
      <c r="K25" s="41">
        <v>305.81</v>
      </c>
      <c r="L25" s="41">
        <v>28.51</v>
      </c>
      <c r="M25" s="41">
        <v>77.89</v>
      </c>
      <c r="N25" s="41">
        <v>58.3</v>
      </c>
      <c r="O25" s="41">
        <v>0</v>
      </c>
      <c r="P25" s="41">
        <v>0.4</v>
      </c>
      <c r="Q25" s="41">
        <v>9.92</v>
      </c>
      <c r="R25" s="38"/>
      <c r="S25" s="38"/>
      <c r="T25" s="38"/>
      <c r="U25" s="38"/>
    </row>
    <row r="26" spans="1:21" customFormat="1">
      <c r="A26" s="40" t="s">
        <v>581</v>
      </c>
      <c r="B26" s="41">
        <v>7.12</v>
      </c>
      <c r="C26" s="41">
        <v>13.01</v>
      </c>
      <c r="D26" s="41">
        <v>5.89</v>
      </c>
      <c r="E26" s="41">
        <v>4.3</v>
      </c>
      <c r="F26" s="41">
        <v>6.49</v>
      </c>
      <c r="G26" s="41">
        <v>74.22</v>
      </c>
      <c r="H26" s="41">
        <v>19.399999999999999</v>
      </c>
      <c r="I26" s="41">
        <v>5.94</v>
      </c>
      <c r="J26" s="41">
        <v>1.04</v>
      </c>
      <c r="K26" s="41">
        <v>305.45</v>
      </c>
      <c r="L26" s="41">
        <v>28.93</v>
      </c>
      <c r="M26" s="41">
        <v>73.08</v>
      </c>
      <c r="N26" s="41">
        <v>34.1</v>
      </c>
      <c r="O26" s="41">
        <v>0</v>
      </c>
      <c r="P26" s="41">
        <v>0.43</v>
      </c>
      <c r="Q26" s="41">
        <v>9.9499999999999993</v>
      </c>
      <c r="R26" s="38"/>
      <c r="S26" s="38"/>
      <c r="T26" s="38"/>
      <c r="U26" s="38"/>
    </row>
    <row r="27" spans="1:21" customFormat="1">
      <c r="A27" s="40" t="s">
        <v>582</v>
      </c>
      <c r="B27" s="41">
        <v>5.6</v>
      </c>
      <c r="C27" s="41">
        <v>12.46</v>
      </c>
      <c r="D27" s="41">
        <v>7.14</v>
      </c>
      <c r="E27" s="41">
        <v>6.45</v>
      </c>
      <c r="F27" s="41">
        <v>2.64</v>
      </c>
      <c r="G27" s="41">
        <v>73.28</v>
      </c>
      <c r="H27" s="41">
        <v>18.21</v>
      </c>
      <c r="I27" s="41">
        <v>5.97</v>
      </c>
      <c r="J27" s="41">
        <v>0.61</v>
      </c>
      <c r="K27" s="41">
        <v>271.39</v>
      </c>
      <c r="L27" s="41">
        <v>29.24</v>
      </c>
      <c r="M27" s="41">
        <v>70.62</v>
      </c>
      <c r="N27" s="41">
        <v>13.3</v>
      </c>
      <c r="O27" s="41">
        <v>0</v>
      </c>
      <c r="P27" s="41">
        <v>0.44</v>
      </c>
      <c r="Q27" s="41">
        <v>9.92</v>
      </c>
      <c r="R27" s="38"/>
      <c r="S27" s="38"/>
      <c r="T27" s="38"/>
      <c r="U27" s="38"/>
    </row>
    <row r="28" spans="1:21" customFormat="1">
      <c r="A28" s="40" t="s">
        <v>583</v>
      </c>
      <c r="B28" s="41">
        <v>5.69</v>
      </c>
      <c r="C28" s="41">
        <v>13.21</v>
      </c>
      <c r="D28" s="41">
        <v>7.52</v>
      </c>
      <c r="E28" s="41">
        <v>6.56</v>
      </c>
      <c r="F28" s="41">
        <v>2.84</v>
      </c>
      <c r="G28" s="41">
        <v>77.849999999999994</v>
      </c>
      <c r="H28" s="41">
        <v>19.02</v>
      </c>
      <c r="I28" s="41">
        <v>6.57</v>
      </c>
      <c r="J28" s="41">
        <v>0.66</v>
      </c>
      <c r="K28" s="41">
        <v>304.81</v>
      </c>
      <c r="L28" s="41">
        <v>29.36</v>
      </c>
      <c r="M28" s="41">
        <v>69.91</v>
      </c>
      <c r="N28" s="41">
        <v>2.1</v>
      </c>
      <c r="O28" s="41">
        <v>0</v>
      </c>
      <c r="P28" s="41">
        <v>0.45</v>
      </c>
      <c r="Q28" s="41">
        <v>9.94</v>
      </c>
      <c r="R28" s="38"/>
      <c r="S28" s="38"/>
      <c r="T28" s="38"/>
      <c r="U28" s="38"/>
    </row>
    <row r="29" spans="1:21" customFormat="1">
      <c r="A29" s="40" t="s">
        <v>584</v>
      </c>
      <c r="B29" s="41">
        <v>6.11</v>
      </c>
      <c r="C29" s="41">
        <v>13.44</v>
      </c>
      <c r="D29" s="41">
        <v>7.58</v>
      </c>
      <c r="E29" s="41">
        <v>6.62</v>
      </c>
      <c r="F29" s="41">
        <v>2.5</v>
      </c>
      <c r="G29" s="41">
        <v>90.67</v>
      </c>
      <c r="H29" s="41">
        <v>21.59</v>
      </c>
      <c r="I29" s="41">
        <v>6.48</v>
      </c>
      <c r="J29" s="41">
        <v>0.5</v>
      </c>
      <c r="K29" s="41">
        <v>281.39999999999998</v>
      </c>
      <c r="L29" s="41">
        <v>29.35</v>
      </c>
      <c r="M29" s="41">
        <v>70.28</v>
      </c>
      <c r="N29" s="41">
        <v>2.1</v>
      </c>
      <c r="O29" s="41">
        <v>0</v>
      </c>
      <c r="P29" s="41">
        <v>0.46</v>
      </c>
      <c r="Q29" s="41">
        <v>9.9499999999999993</v>
      </c>
      <c r="R29" s="38"/>
      <c r="S29" s="38"/>
      <c r="T29" s="38"/>
      <c r="U29" s="38"/>
    </row>
    <row r="30" spans="1:21" customFormat="1">
      <c r="A30" s="40" t="s">
        <v>585</v>
      </c>
      <c r="B30" s="41">
        <v>6.37</v>
      </c>
      <c r="C30" s="41">
        <v>13.5</v>
      </c>
      <c r="D30" s="41">
        <v>7.19</v>
      </c>
      <c r="E30" s="41">
        <v>6.64</v>
      </c>
      <c r="F30" s="41">
        <v>3.02</v>
      </c>
      <c r="G30" s="41">
        <v>88.86</v>
      </c>
      <c r="H30" s="41">
        <v>20.62</v>
      </c>
      <c r="I30" s="41">
        <v>6.46</v>
      </c>
      <c r="J30" s="41">
        <v>0.45</v>
      </c>
      <c r="K30" s="41">
        <v>305.13</v>
      </c>
      <c r="L30" s="41">
        <v>29.26</v>
      </c>
      <c r="M30" s="41">
        <v>70.790000000000006</v>
      </c>
      <c r="N30" s="41">
        <v>2.1</v>
      </c>
      <c r="O30" s="41">
        <v>0</v>
      </c>
      <c r="P30" s="41">
        <v>0.45</v>
      </c>
      <c r="Q30" s="41">
        <v>9.94</v>
      </c>
      <c r="R30" s="38"/>
      <c r="S30" s="38"/>
      <c r="T30" s="38"/>
      <c r="U30" s="38"/>
    </row>
    <row r="31" spans="1:21" customFormat="1">
      <c r="A31" s="40" t="s">
        <v>586</v>
      </c>
      <c r="B31" s="41">
        <v>6.14</v>
      </c>
      <c r="C31" s="41">
        <v>12.49</v>
      </c>
      <c r="D31" s="41">
        <v>6.41</v>
      </c>
      <c r="E31" s="41">
        <v>6.43</v>
      </c>
      <c r="F31" s="41">
        <v>3.24</v>
      </c>
      <c r="G31" s="41">
        <v>83.85</v>
      </c>
      <c r="H31" s="41">
        <v>22.39</v>
      </c>
      <c r="I31" s="41">
        <v>6.48</v>
      </c>
      <c r="J31" s="41">
        <v>0.37</v>
      </c>
      <c r="K31" s="41">
        <v>251.73</v>
      </c>
      <c r="L31" s="41">
        <v>29.06</v>
      </c>
      <c r="M31" s="41">
        <v>77.92</v>
      </c>
      <c r="N31" s="41">
        <v>2.1</v>
      </c>
      <c r="O31" s="41">
        <v>0</v>
      </c>
      <c r="P31" s="41">
        <v>0.44</v>
      </c>
      <c r="Q31" s="41">
        <v>9.93</v>
      </c>
      <c r="R31" s="38"/>
      <c r="S31" s="38"/>
      <c r="T31" s="38"/>
      <c r="U31" s="38"/>
    </row>
    <row r="32" spans="1:21" customFormat="1">
      <c r="A32" s="40" t="s">
        <v>587</v>
      </c>
      <c r="B32" s="41">
        <v>5.42</v>
      </c>
      <c r="C32" s="41">
        <v>10.36</v>
      </c>
      <c r="D32" s="41">
        <v>5.1100000000000003</v>
      </c>
      <c r="E32" s="41">
        <v>6.1</v>
      </c>
      <c r="F32" s="41">
        <v>5.9</v>
      </c>
      <c r="G32" s="41">
        <v>80.02</v>
      </c>
      <c r="H32" s="41">
        <v>21.99</v>
      </c>
      <c r="I32" s="41">
        <v>6.16</v>
      </c>
      <c r="J32" s="41">
        <v>0.22</v>
      </c>
      <c r="K32" s="41">
        <v>237.63</v>
      </c>
      <c r="L32" s="41">
        <v>28.26</v>
      </c>
      <c r="M32" s="41">
        <v>78.36</v>
      </c>
      <c r="N32" s="41">
        <v>2.2000000000000002</v>
      </c>
      <c r="O32" s="41">
        <v>0</v>
      </c>
      <c r="P32" s="41">
        <v>0.41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4.01</v>
      </c>
      <c r="C34" s="18">
        <f t="shared" si="0"/>
        <v>7.2</v>
      </c>
      <c r="D34" s="18">
        <f t="shared" si="0"/>
        <v>2.74</v>
      </c>
      <c r="E34" s="18">
        <f t="shared" si="0"/>
        <v>3.29</v>
      </c>
      <c r="F34" s="18">
        <f t="shared" si="0"/>
        <v>2.5</v>
      </c>
      <c r="G34" s="18">
        <f t="shared" si="0"/>
        <v>32.29</v>
      </c>
      <c r="H34" s="18">
        <f t="shared" si="0"/>
        <v>7.4</v>
      </c>
      <c r="I34" s="18">
        <f t="shared" si="0"/>
        <v>4.41</v>
      </c>
      <c r="J34" s="18">
        <f t="shared" si="0"/>
        <v>0.22</v>
      </c>
      <c r="K34" s="18">
        <f t="shared" si="0"/>
        <v>237.63</v>
      </c>
      <c r="L34" s="18">
        <f t="shared" si="0"/>
        <v>27.37</v>
      </c>
      <c r="M34" s="18">
        <f t="shared" si="0"/>
        <v>58.7</v>
      </c>
      <c r="N34" s="18">
        <f t="shared" si="0"/>
        <v>2</v>
      </c>
      <c r="O34" s="18">
        <f t="shared" si="0"/>
        <v>0</v>
      </c>
      <c r="P34" s="18">
        <f t="shared" si="0"/>
        <v>0.32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7.12</v>
      </c>
      <c r="C35" s="3">
        <f t="shared" si="1"/>
        <v>13.5</v>
      </c>
      <c r="D35" s="3">
        <f t="shared" si="1"/>
        <v>7.58</v>
      </c>
      <c r="E35" s="3">
        <f t="shared" si="1"/>
        <v>6.64</v>
      </c>
      <c r="F35" s="3">
        <f t="shared" si="1"/>
        <v>8.52</v>
      </c>
      <c r="G35" s="3">
        <f t="shared" si="1"/>
        <v>90.67</v>
      </c>
      <c r="H35" s="3">
        <f t="shared" si="1"/>
        <v>22.39</v>
      </c>
      <c r="I35" s="3">
        <f t="shared" si="1"/>
        <v>6.57</v>
      </c>
      <c r="J35" s="3">
        <f t="shared" si="1"/>
        <v>1.72</v>
      </c>
      <c r="K35" s="3">
        <f t="shared" si="1"/>
        <v>305.81</v>
      </c>
      <c r="L35" s="3">
        <f t="shared" si="1"/>
        <v>32.270000000000003</v>
      </c>
      <c r="M35" s="3">
        <f t="shared" si="1"/>
        <v>78.36</v>
      </c>
      <c r="N35" s="3">
        <f t="shared" si="1"/>
        <v>402.9</v>
      </c>
      <c r="O35" s="3">
        <f t="shared" si="1"/>
        <v>0.2</v>
      </c>
      <c r="P35" s="3">
        <f t="shared" si="1"/>
        <v>0.46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4.9229166666666666</v>
      </c>
      <c r="C36" s="18">
        <f t="shared" si="2"/>
        <v>9.7541666666666682</v>
      </c>
      <c r="D36" s="18">
        <f t="shared" si="2"/>
        <v>4.93</v>
      </c>
      <c r="E36" s="18">
        <f t="shared" si="2"/>
        <v>5.0854166666666671</v>
      </c>
      <c r="F36" s="18">
        <f t="shared" si="2"/>
        <v>4.2875000000000005</v>
      </c>
      <c r="G36" s="18">
        <f t="shared" si="2"/>
        <v>58.216666666666647</v>
      </c>
      <c r="H36" s="18">
        <f t="shared" si="2"/>
        <v>15.194166666666666</v>
      </c>
      <c r="I36" s="18">
        <f t="shared" si="2"/>
        <v>5.5229166666666671</v>
      </c>
      <c r="J36" s="18">
        <f t="shared" si="2"/>
        <v>0.95374999999999999</v>
      </c>
      <c r="K36" s="18">
        <f t="shared" si="2"/>
        <v>274.39541666666668</v>
      </c>
      <c r="L36" s="18">
        <f t="shared" si="2"/>
        <v>29.625416666666666</v>
      </c>
      <c r="M36" s="18">
        <f t="shared" si="2"/>
        <v>70.169166666666669</v>
      </c>
      <c r="N36" s="18">
        <f t="shared" si="2"/>
        <v>107.23333333333333</v>
      </c>
      <c r="O36" s="18">
        <f t="shared" si="2"/>
        <v>8.3333333333333332E-3</v>
      </c>
      <c r="P36" s="18">
        <f t="shared" si="2"/>
        <v>0.38166666666666665</v>
      </c>
      <c r="Q36" s="18">
        <f t="shared" si="2"/>
        <v>9.9241666666666628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0.87952298912865123</v>
      </c>
      <c r="C37" s="18">
        <f t="shared" ref="C37:Q37" si="3">STDEV(C9:C32)</f>
        <v>2.0860904075341047</v>
      </c>
      <c r="D37" s="18">
        <f t="shared" si="3"/>
        <v>1.4020698984002202</v>
      </c>
      <c r="E37" s="18">
        <f t="shared" si="3"/>
        <v>1.0900019113133086</v>
      </c>
      <c r="F37" s="18">
        <f t="shared" si="3"/>
        <v>1.7096891403181265</v>
      </c>
      <c r="G37" s="18">
        <f t="shared" si="3"/>
        <v>18.020940395928985</v>
      </c>
      <c r="H37" s="18">
        <f t="shared" si="3"/>
        <v>4.5427657890862934</v>
      </c>
      <c r="I37" s="18">
        <f t="shared" si="3"/>
        <v>0.69341924809106936</v>
      </c>
      <c r="J37" s="18">
        <f t="shared" si="3"/>
        <v>0.41126329765735264</v>
      </c>
      <c r="K37" s="18">
        <f t="shared" si="3"/>
        <v>19.969714238700622</v>
      </c>
      <c r="L37" s="18">
        <f t="shared" si="3"/>
        <v>1.4175422060020302</v>
      </c>
      <c r="M37" s="18">
        <f t="shared" si="3"/>
        <v>6.0976381148531722</v>
      </c>
      <c r="N37" s="18">
        <f t="shared" si="3"/>
        <v>131.37167872496153</v>
      </c>
      <c r="O37" s="18">
        <f t="shared" si="3"/>
        <v>4.0824829046386311E-2</v>
      </c>
      <c r="P37" s="18">
        <f t="shared" si="3"/>
        <v>4.6125223380316063E-2</v>
      </c>
      <c r="Q37" s="18">
        <f t="shared" si="3"/>
        <v>1.3805061033726706E-2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588</v>
      </c>
      <c r="B9" s="41">
        <v>5.58</v>
      </c>
      <c r="C9" s="41">
        <v>8.84</v>
      </c>
      <c r="D9" s="41">
        <v>3.35</v>
      </c>
      <c r="E9" s="41">
        <v>5.59</v>
      </c>
      <c r="F9" s="41">
        <v>4.55</v>
      </c>
      <c r="G9" s="41">
        <v>71.239999999999995</v>
      </c>
      <c r="H9" s="41">
        <v>19</v>
      </c>
      <c r="I9" s="41">
        <v>5.68</v>
      </c>
      <c r="J9" s="41">
        <v>0.42</v>
      </c>
      <c r="K9" s="41">
        <v>255.74</v>
      </c>
      <c r="L9" s="41">
        <v>27.76</v>
      </c>
      <c r="M9" s="41">
        <v>79.12</v>
      </c>
      <c r="N9" s="41">
        <v>2.1</v>
      </c>
      <c r="O9" s="41">
        <v>0</v>
      </c>
      <c r="P9" s="41">
        <v>0.39</v>
      </c>
      <c r="Q9" s="41">
        <v>9.93</v>
      </c>
      <c r="R9" s="38"/>
      <c r="S9" s="38"/>
      <c r="T9" s="38"/>
      <c r="U9" s="38"/>
    </row>
    <row r="10" spans="1:21" customFormat="1">
      <c r="A10" s="40" t="s">
        <v>589</v>
      </c>
      <c r="B10" s="41">
        <v>5.55</v>
      </c>
      <c r="C10" s="41">
        <v>8.31</v>
      </c>
      <c r="D10" s="41">
        <v>2.91</v>
      </c>
      <c r="E10" s="41">
        <v>5.6</v>
      </c>
      <c r="F10" s="41">
        <v>4.5999999999999996</v>
      </c>
      <c r="G10" s="41">
        <v>63.33</v>
      </c>
      <c r="H10" s="41">
        <v>14.26</v>
      </c>
      <c r="I10" s="41">
        <v>5.33</v>
      </c>
      <c r="J10" s="41">
        <v>0.2</v>
      </c>
      <c r="K10" s="41">
        <v>243.53</v>
      </c>
      <c r="L10" s="41">
        <v>27.29</v>
      </c>
      <c r="M10" s="41">
        <v>81.47</v>
      </c>
      <c r="N10" s="41">
        <v>2.1</v>
      </c>
      <c r="O10" s="41">
        <v>0</v>
      </c>
      <c r="P10" s="41">
        <v>0.36</v>
      </c>
      <c r="Q10" s="41">
        <v>9.94</v>
      </c>
      <c r="R10" s="38"/>
      <c r="S10" s="38"/>
      <c r="T10" s="38"/>
      <c r="U10" s="38"/>
    </row>
    <row r="11" spans="1:21" customFormat="1">
      <c r="A11" s="40" t="s">
        <v>590</v>
      </c>
      <c r="B11" s="41">
        <v>5.59</v>
      </c>
      <c r="C11" s="41">
        <v>8.26</v>
      </c>
      <c r="D11" s="41">
        <v>2.72</v>
      </c>
      <c r="E11" s="41">
        <v>5.57</v>
      </c>
      <c r="F11" s="41">
        <v>3.18</v>
      </c>
      <c r="G11" s="41">
        <v>56.29</v>
      </c>
      <c r="H11" s="41">
        <v>15.1</v>
      </c>
      <c r="I11" s="41">
        <v>5.15</v>
      </c>
      <c r="J11" s="41">
        <v>0.39</v>
      </c>
      <c r="K11" s="41">
        <v>253.17</v>
      </c>
      <c r="L11" s="41">
        <v>27</v>
      </c>
      <c r="M11" s="41">
        <v>81.819999999999993</v>
      </c>
      <c r="N11" s="41">
        <v>2.1</v>
      </c>
      <c r="O11" s="41">
        <v>0</v>
      </c>
      <c r="P11" s="41">
        <v>0.36</v>
      </c>
      <c r="Q11" s="41">
        <v>9.9499999999999993</v>
      </c>
      <c r="R11" s="38"/>
      <c r="S11" s="38"/>
      <c r="T11" s="38"/>
      <c r="U11" s="38"/>
    </row>
    <row r="12" spans="1:21" customFormat="1">
      <c r="A12" s="40" t="s">
        <v>591</v>
      </c>
      <c r="B12" s="41">
        <v>5.69</v>
      </c>
      <c r="C12" s="41">
        <v>9.4600000000000009</v>
      </c>
      <c r="D12" s="41">
        <v>3.77</v>
      </c>
      <c r="E12" s="41">
        <v>5.35</v>
      </c>
      <c r="F12" s="41">
        <v>2.71</v>
      </c>
      <c r="G12" s="41">
        <v>46.35</v>
      </c>
      <c r="H12" s="41">
        <v>14.14</v>
      </c>
      <c r="I12" s="41">
        <v>4.8600000000000003</v>
      </c>
      <c r="J12" s="41">
        <v>0.22</v>
      </c>
      <c r="K12" s="41">
        <v>239.86</v>
      </c>
      <c r="L12" s="41">
        <v>26.86</v>
      </c>
      <c r="M12" s="41">
        <v>82.99</v>
      </c>
      <c r="N12" s="41">
        <v>2.1</v>
      </c>
      <c r="O12" s="41">
        <v>0</v>
      </c>
      <c r="P12" s="41">
        <v>0.34</v>
      </c>
      <c r="Q12" s="41">
        <v>9.93</v>
      </c>
      <c r="R12" s="38"/>
      <c r="S12" s="38"/>
      <c r="T12" s="38"/>
      <c r="U12" s="38"/>
    </row>
    <row r="13" spans="1:21" customFormat="1">
      <c r="A13" s="40" t="s">
        <v>592</v>
      </c>
      <c r="B13" s="41">
        <v>5.53</v>
      </c>
      <c r="C13" s="41">
        <v>9.68</v>
      </c>
      <c r="D13" s="41">
        <v>4.1399999999999997</v>
      </c>
      <c r="E13" s="41">
        <v>5.46</v>
      </c>
      <c r="F13" s="41">
        <v>2.21</v>
      </c>
      <c r="G13" s="41">
        <v>41.28</v>
      </c>
      <c r="H13" s="41">
        <v>11.79</v>
      </c>
      <c r="I13" s="41">
        <v>4.6100000000000003</v>
      </c>
      <c r="J13" s="41">
        <v>0.48</v>
      </c>
      <c r="K13" s="41">
        <v>261.57</v>
      </c>
      <c r="L13" s="41">
        <v>26.76</v>
      </c>
      <c r="M13" s="41">
        <v>84.03</v>
      </c>
      <c r="N13" s="41">
        <v>2.1</v>
      </c>
      <c r="O13" s="41">
        <v>0</v>
      </c>
      <c r="P13" s="41">
        <v>0.26</v>
      </c>
      <c r="Q13" s="41">
        <v>9.92</v>
      </c>
      <c r="R13" s="38"/>
      <c r="S13" s="38"/>
      <c r="T13" s="38"/>
      <c r="U13" s="38"/>
    </row>
    <row r="14" spans="1:21" customFormat="1">
      <c r="A14" s="40" t="s">
        <v>593</v>
      </c>
      <c r="B14" s="41">
        <v>4.9800000000000004</v>
      </c>
      <c r="C14" s="41">
        <v>8.98</v>
      </c>
      <c r="D14" s="41">
        <v>4</v>
      </c>
      <c r="E14" s="41">
        <v>5.45</v>
      </c>
      <c r="F14" s="41">
        <v>2.42</v>
      </c>
      <c r="G14" s="41">
        <v>35.28</v>
      </c>
      <c r="H14" s="41">
        <v>8.52</v>
      </c>
      <c r="I14" s="41">
        <v>4.3099999999999996</v>
      </c>
      <c r="J14" s="41">
        <v>0.51</v>
      </c>
      <c r="K14" s="41">
        <v>256.56</v>
      </c>
      <c r="L14" s="41">
        <v>26.82</v>
      </c>
      <c r="M14" s="41">
        <v>83.91</v>
      </c>
      <c r="N14" s="41">
        <v>12.7</v>
      </c>
      <c r="O14" s="41">
        <v>0</v>
      </c>
      <c r="P14" s="41">
        <v>0.23</v>
      </c>
      <c r="Q14" s="41">
        <v>9.92</v>
      </c>
      <c r="R14" s="38"/>
      <c r="S14" s="38"/>
      <c r="T14" s="38"/>
      <c r="U14" s="38"/>
    </row>
    <row r="15" spans="1:21" customFormat="1">
      <c r="A15" s="40" t="s">
        <v>594</v>
      </c>
      <c r="B15" s="41">
        <v>4.74</v>
      </c>
      <c r="C15" s="41">
        <v>8.6</v>
      </c>
      <c r="D15" s="41">
        <v>3.94</v>
      </c>
      <c r="E15" s="41">
        <v>5.77</v>
      </c>
      <c r="F15" s="41">
        <v>2.78</v>
      </c>
      <c r="G15" s="41">
        <v>33.39</v>
      </c>
      <c r="H15" s="41">
        <v>7.16</v>
      </c>
      <c r="I15" s="41">
        <v>4.0199999999999996</v>
      </c>
      <c r="J15" s="41">
        <v>0.73</v>
      </c>
      <c r="K15" s="41">
        <v>262.91000000000003</v>
      </c>
      <c r="L15" s="41">
        <v>27.21</v>
      </c>
      <c r="M15" s="41">
        <v>81.680000000000007</v>
      </c>
      <c r="N15" s="41">
        <v>47.3</v>
      </c>
      <c r="O15" s="41">
        <v>0</v>
      </c>
      <c r="P15" s="41">
        <v>0.22</v>
      </c>
      <c r="Q15" s="41">
        <v>9.92</v>
      </c>
      <c r="R15" s="38"/>
      <c r="S15" s="38"/>
      <c r="T15" s="38"/>
      <c r="U15" s="38"/>
    </row>
    <row r="16" spans="1:21" customFormat="1">
      <c r="A16" s="40" t="s">
        <v>595</v>
      </c>
      <c r="B16" s="41">
        <v>4.5</v>
      </c>
      <c r="C16" s="41">
        <v>8.36</v>
      </c>
      <c r="D16" s="41">
        <v>3.97</v>
      </c>
      <c r="E16" s="41">
        <v>5.95</v>
      </c>
      <c r="F16" s="41">
        <v>3</v>
      </c>
      <c r="G16" s="41">
        <v>31.58</v>
      </c>
      <c r="H16" s="41">
        <v>5.09</v>
      </c>
      <c r="I16" s="41">
        <v>4.04</v>
      </c>
      <c r="J16" s="41">
        <v>1.1299999999999999</v>
      </c>
      <c r="K16" s="41">
        <v>259.33999999999997</v>
      </c>
      <c r="L16" s="41">
        <v>27.64</v>
      </c>
      <c r="M16" s="41">
        <v>76.41</v>
      </c>
      <c r="N16" s="41">
        <v>118.2</v>
      </c>
      <c r="O16" s="41">
        <v>0</v>
      </c>
      <c r="P16" s="41">
        <v>0.21</v>
      </c>
      <c r="Q16" s="41">
        <v>9.91</v>
      </c>
      <c r="R16" s="38"/>
      <c r="S16" s="38"/>
      <c r="T16" s="38"/>
      <c r="U16" s="38"/>
    </row>
    <row r="17" spans="1:21" customFormat="1">
      <c r="A17" s="40" t="s">
        <v>596</v>
      </c>
      <c r="B17" s="41">
        <v>4.2300000000000004</v>
      </c>
      <c r="C17" s="41">
        <v>8.35</v>
      </c>
      <c r="D17" s="41">
        <v>4.1900000000000004</v>
      </c>
      <c r="E17" s="41">
        <v>6.19</v>
      </c>
      <c r="F17" s="41">
        <v>3.4</v>
      </c>
      <c r="G17" s="41">
        <v>32.15</v>
      </c>
      <c r="H17" s="41">
        <v>5.63</v>
      </c>
      <c r="I17" s="41">
        <v>3.99</v>
      </c>
      <c r="J17" s="41">
        <v>1.1399999999999999</v>
      </c>
      <c r="K17" s="41">
        <v>261.02</v>
      </c>
      <c r="L17" s="41">
        <v>28.46</v>
      </c>
      <c r="M17" s="41">
        <v>72.83</v>
      </c>
      <c r="N17" s="41">
        <v>184.1</v>
      </c>
      <c r="O17" s="41">
        <v>0</v>
      </c>
      <c r="P17" s="41">
        <v>0.27</v>
      </c>
      <c r="Q17" s="41">
        <v>9.92</v>
      </c>
      <c r="R17" s="38"/>
      <c r="S17" s="38"/>
      <c r="T17" s="38"/>
      <c r="U17" s="38"/>
    </row>
    <row r="18" spans="1:21" customFormat="1">
      <c r="A18" s="40" t="s">
        <v>597</v>
      </c>
      <c r="B18" s="41">
        <v>5.26</v>
      </c>
      <c r="C18" s="41">
        <v>8.89</v>
      </c>
      <c r="D18" s="41">
        <v>4.0599999999999996</v>
      </c>
      <c r="E18" s="41">
        <v>6.46</v>
      </c>
      <c r="F18" s="41">
        <v>3.56</v>
      </c>
      <c r="G18" s="41">
        <v>34.880000000000003</v>
      </c>
      <c r="H18" s="41">
        <v>6.62</v>
      </c>
      <c r="I18" s="41">
        <v>5.53</v>
      </c>
      <c r="J18" s="41">
        <v>1.33</v>
      </c>
      <c r="K18" s="41">
        <v>281.77</v>
      </c>
      <c r="L18" s="41">
        <v>30.05</v>
      </c>
      <c r="M18" s="41">
        <v>70.12</v>
      </c>
      <c r="N18" s="41">
        <v>292.8</v>
      </c>
      <c r="O18" s="41">
        <v>0</v>
      </c>
      <c r="P18" s="41">
        <v>0.34</v>
      </c>
      <c r="Q18" s="41">
        <v>9.93</v>
      </c>
      <c r="R18" s="38"/>
      <c r="S18" s="38"/>
      <c r="T18" s="38"/>
      <c r="U18" s="38"/>
    </row>
    <row r="19" spans="1:21" customFormat="1">
      <c r="A19" s="40" t="s">
        <v>598</v>
      </c>
      <c r="B19" s="41">
        <v>5.59</v>
      </c>
      <c r="C19" s="41">
        <v>9.65</v>
      </c>
      <c r="D19" s="41">
        <v>4.2</v>
      </c>
      <c r="E19" s="41">
        <v>6.06</v>
      </c>
      <c r="F19" s="41">
        <v>4.91</v>
      </c>
      <c r="G19" s="41">
        <v>49.96</v>
      </c>
      <c r="H19" s="41">
        <v>11.41</v>
      </c>
      <c r="I19" s="41">
        <v>6.96</v>
      </c>
      <c r="J19" s="41">
        <v>1.42</v>
      </c>
      <c r="K19" s="41">
        <v>290.26</v>
      </c>
      <c r="L19" s="41">
        <v>30.83</v>
      </c>
      <c r="M19" s="41">
        <v>63.87</v>
      </c>
      <c r="N19" s="41">
        <v>279.3</v>
      </c>
      <c r="O19" s="41">
        <v>0</v>
      </c>
      <c r="P19" s="41">
        <v>0.37</v>
      </c>
      <c r="Q19" s="41">
        <v>9.93</v>
      </c>
      <c r="R19" s="38"/>
      <c r="S19" s="38"/>
      <c r="T19" s="38"/>
      <c r="U19" s="38"/>
    </row>
    <row r="20" spans="1:21" customFormat="1">
      <c r="A20" s="40" t="s">
        <v>599</v>
      </c>
      <c r="B20" s="41">
        <v>5.9</v>
      </c>
      <c r="C20" s="41">
        <v>10.55</v>
      </c>
      <c r="D20" s="41">
        <v>4.6399999999999997</v>
      </c>
      <c r="E20" s="41">
        <v>6.12</v>
      </c>
      <c r="F20" s="41">
        <v>5.7</v>
      </c>
      <c r="G20" s="41">
        <v>60.53</v>
      </c>
      <c r="H20" s="41">
        <v>10.3</v>
      </c>
      <c r="I20" s="41">
        <v>6.51</v>
      </c>
      <c r="J20" s="41">
        <v>2.2200000000000002</v>
      </c>
      <c r="K20" s="41">
        <v>301.56</v>
      </c>
      <c r="L20" s="41">
        <v>31.5</v>
      </c>
      <c r="M20" s="41">
        <v>62.08</v>
      </c>
      <c r="N20" s="41">
        <v>332.4</v>
      </c>
      <c r="O20" s="41">
        <v>0</v>
      </c>
      <c r="P20" s="41">
        <v>0.34</v>
      </c>
      <c r="Q20" s="41">
        <v>9.93</v>
      </c>
      <c r="R20" s="38"/>
      <c r="S20" s="38"/>
      <c r="T20" s="38"/>
      <c r="U20" s="38"/>
    </row>
    <row r="21" spans="1:21" customFormat="1">
      <c r="A21" s="40" t="s">
        <v>600</v>
      </c>
      <c r="B21" s="41">
        <v>5.44</v>
      </c>
      <c r="C21" s="41">
        <v>9.77</v>
      </c>
      <c r="D21" s="41">
        <v>4.6500000000000004</v>
      </c>
      <c r="E21" s="41">
        <v>5.72</v>
      </c>
      <c r="F21" s="41">
        <v>5.93</v>
      </c>
      <c r="G21" s="41">
        <v>67.47</v>
      </c>
      <c r="H21" s="41">
        <v>10.47</v>
      </c>
      <c r="I21" s="41">
        <v>6.02</v>
      </c>
      <c r="J21" s="41">
        <v>1.33</v>
      </c>
      <c r="K21" s="41">
        <v>284.97000000000003</v>
      </c>
      <c r="L21" s="41">
        <v>31.71</v>
      </c>
      <c r="M21" s="41">
        <v>59.39</v>
      </c>
      <c r="N21" s="41">
        <v>297.39999999999998</v>
      </c>
      <c r="O21" s="41">
        <v>0</v>
      </c>
      <c r="P21" s="41">
        <v>0.35</v>
      </c>
      <c r="Q21" s="41">
        <v>9.92</v>
      </c>
      <c r="R21" s="38"/>
      <c r="S21" s="38"/>
      <c r="T21" s="38"/>
      <c r="U21" s="38"/>
    </row>
    <row r="22" spans="1:21" customFormat="1">
      <c r="A22" s="40" t="s">
        <v>601</v>
      </c>
      <c r="B22" s="41">
        <v>4.75</v>
      </c>
      <c r="C22" s="41">
        <v>8.6199999999999992</v>
      </c>
      <c r="D22" s="41">
        <v>4.41</v>
      </c>
      <c r="E22" s="41">
        <v>5.52</v>
      </c>
      <c r="F22" s="41">
        <v>7.05</v>
      </c>
      <c r="G22" s="41">
        <v>66.42</v>
      </c>
      <c r="H22" s="41">
        <v>12.82</v>
      </c>
      <c r="I22" s="41">
        <v>5.83</v>
      </c>
      <c r="J22" s="41">
        <v>1.1599999999999999</v>
      </c>
      <c r="K22" s="41">
        <v>261.17</v>
      </c>
      <c r="L22" s="41">
        <v>32.840000000000003</v>
      </c>
      <c r="M22" s="41">
        <v>59.46</v>
      </c>
      <c r="N22" s="41">
        <v>586.9</v>
      </c>
      <c r="O22" s="41">
        <v>0</v>
      </c>
      <c r="P22" s="41">
        <v>0.38</v>
      </c>
      <c r="Q22" s="41">
        <v>9.94</v>
      </c>
      <c r="R22" s="38"/>
      <c r="S22" s="38"/>
      <c r="T22" s="38"/>
      <c r="U22" s="38"/>
    </row>
    <row r="23" spans="1:21" customFormat="1">
      <c r="A23" s="40" t="s">
        <v>602</v>
      </c>
      <c r="B23" s="41">
        <v>3.97</v>
      </c>
      <c r="C23" s="41">
        <v>8.57</v>
      </c>
      <c r="D23" s="41">
        <v>4.74</v>
      </c>
      <c r="E23" s="41">
        <v>5.38</v>
      </c>
      <c r="F23" s="41">
        <v>4.8499999999999996</v>
      </c>
      <c r="G23" s="41">
        <v>68.430000000000007</v>
      </c>
      <c r="H23" s="41">
        <v>14.62</v>
      </c>
      <c r="I23" s="41">
        <v>5.98</v>
      </c>
      <c r="J23" s="41">
        <v>1.1599999999999999</v>
      </c>
      <c r="K23" s="41">
        <v>273.83</v>
      </c>
      <c r="L23" s="41">
        <v>33.130000000000003</v>
      </c>
      <c r="M23" s="41">
        <v>59.38</v>
      </c>
      <c r="N23" s="41">
        <v>347.5</v>
      </c>
      <c r="O23" s="41">
        <v>0</v>
      </c>
      <c r="P23" s="41">
        <v>0.38</v>
      </c>
      <c r="Q23" s="41">
        <v>9.9</v>
      </c>
      <c r="R23" s="38"/>
      <c r="S23" s="38"/>
      <c r="T23" s="38"/>
      <c r="U23" s="38"/>
    </row>
    <row r="24" spans="1:21" customFormat="1">
      <c r="A24" s="40" t="s">
        <v>603</v>
      </c>
      <c r="B24" s="41">
        <v>4.17</v>
      </c>
      <c r="C24" s="41">
        <v>9.57</v>
      </c>
      <c r="D24" s="41">
        <v>5.42</v>
      </c>
      <c r="E24" s="41">
        <v>5.55</v>
      </c>
      <c r="F24" s="41">
        <v>3.91</v>
      </c>
      <c r="G24" s="41">
        <v>66.8</v>
      </c>
      <c r="H24" s="41">
        <v>17.22</v>
      </c>
      <c r="I24" s="41">
        <v>5.83</v>
      </c>
      <c r="J24" s="41">
        <v>1.35</v>
      </c>
      <c r="K24" s="41">
        <v>289.22000000000003</v>
      </c>
      <c r="L24" s="41">
        <v>31.5</v>
      </c>
      <c r="M24" s="41">
        <v>66.400000000000006</v>
      </c>
      <c r="N24" s="41">
        <v>122.8</v>
      </c>
      <c r="O24" s="41">
        <v>0</v>
      </c>
      <c r="P24" s="41">
        <v>0.4</v>
      </c>
      <c r="Q24" s="41">
        <v>9.91</v>
      </c>
      <c r="R24" s="38"/>
      <c r="S24" s="38"/>
      <c r="T24" s="38"/>
      <c r="U24" s="38"/>
    </row>
    <row r="25" spans="1:21" customFormat="1">
      <c r="A25" s="40" t="s">
        <v>604</v>
      </c>
      <c r="B25" s="41">
        <v>4.2300000000000004</v>
      </c>
      <c r="C25" s="41">
        <v>9.8699999999999992</v>
      </c>
      <c r="D25" s="41">
        <v>5.64</v>
      </c>
      <c r="E25" s="41">
        <v>5.68</v>
      </c>
      <c r="F25" s="41">
        <v>4.0199999999999996</v>
      </c>
      <c r="G25" s="41">
        <v>62.8</v>
      </c>
      <c r="H25" s="41">
        <v>17.23</v>
      </c>
      <c r="I25" s="41">
        <v>5.71</v>
      </c>
      <c r="J25" s="41">
        <v>0.78</v>
      </c>
      <c r="K25" s="41">
        <v>283.02999999999997</v>
      </c>
      <c r="L25" s="41">
        <v>30.57</v>
      </c>
      <c r="M25" s="41">
        <v>65.709999999999994</v>
      </c>
      <c r="N25" s="41">
        <v>28.9</v>
      </c>
      <c r="O25" s="41">
        <v>0</v>
      </c>
      <c r="P25" s="41">
        <v>0.42</v>
      </c>
      <c r="Q25" s="41">
        <v>9.93</v>
      </c>
      <c r="R25" s="38"/>
      <c r="S25" s="38"/>
      <c r="T25" s="38"/>
      <c r="U25" s="38"/>
    </row>
    <row r="26" spans="1:21" customFormat="1">
      <c r="A26" s="40" t="s">
        <v>605</v>
      </c>
      <c r="B26" s="41">
        <v>4.1500000000000004</v>
      </c>
      <c r="C26" s="41">
        <v>9.32</v>
      </c>
      <c r="D26" s="41">
        <v>5.16</v>
      </c>
      <c r="E26" s="41">
        <v>6.08</v>
      </c>
      <c r="F26" s="41">
        <v>4.3499999999999996</v>
      </c>
      <c r="G26" s="41">
        <v>63.74</v>
      </c>
      <c r="H26" s="41">
        <v>17.309999999999999</v>
      </c>
      <c r="I26" s="41">
        <v>5.71</v>
      </c>
      <c r="J26" s="41">
        <v>1.1499999999999999</v>
      </c>
      <c r="K26" s="41">
        <v>259.14999999999998</v>
      </c>
      <c r="L26" s="41">
        <v>30.38</v>
      </c>
      <c r="M26" s="41">
        <v>64.16</v>
      </c>
      <c r="N26" s="41">
        <v>22.3</v>
      </c>
      <c r="O26" s="41">
        <v>0</v>
      </c>
      <c r="P26" s="41">
        <v>0.41</v>
      </c>
      <c r="Q26" s="41">
        <v>9.92</v>
      </c>
      <c r="R26" s="38"/>
      <c r="S26" s="38"/>
      <c r="T26" s="38"/>
      <c r="U26" s="38"/>
    </row>
    <row r="27" spans="1:21" customFormat="1">
      <c r="A27" s="40" t="s">
        <v>606</v>
      </c>
      <c r="B27" s="41">
        <v>3.89</v>
      </c>
      <c r="C27" s="41">
        <v>8.1999999999999993</v>
      </c>
      <c r="D27" s="41">
        <v>4.3099999999999996</v>
      </c>
      <c r="E27" s="41">
        <v>4.03</v>
      </c>
      <c r="F27" s="41">
        <v>3.87</v>
      </c>
      <c r="G27" s="41">
        <v>61.65</v>
      </c>
      <c r="H27" s="41">
        <v>18.149999999999999</v>
      </c>
      <c r="I27" s="41">
        <v>5.69</v>
      </c>
      <c r="J27" s="41">
        <v>1.07</v>
      </c>
      <c r="K27" s="41">
        <v>257.89999999999998</v>
      </c>
      <c r="L27" s="41">
        <v>29.18</v>
      </c>
      <c r="M27" s="41">
        <v>69.430000000000007</v>
      </c>
      <c r="N27" s="41">
        <v>11.1</v>
      </c>
      <c r="O27" s="41">
        <v>0</v>
      </c>
      <c r="P27" s="41">
        <v>0.45</v>
      </c>
      <c r="Q27" s="41">
        <v>9.91</v>
      </c>
      <c r="R27" s="38"/>
      <c r="S27" s="38"/>
      <c r="T27" s="38"/>
      <c r="U27" s="38"/>
    </row>
    <row r="28" spans="1:21" customFormat="1">
      <c r="A28" s="40" t="s">
        <v>607</v>
      </c>
      <c r="B28" s="41">
        <v>4.05</v>
      </c>
      <c r="C28" s="41">
        <v>6.98</v>
      </c>
      <c r="D28" s="41">
        <v>3.08</v>
      </c>
      <c r="E28" s="41">
        <v>3.46</v>
      </c>
      <c r="F28" s="41">
        <v>5.0199999999999996</v>
      </c>
      <c r="G28" s="41">
        <v>57.92</v>
      </c>
      <c r="H28" s="41">
        <v>17.34</v>
      </c>
      <c r="I28" s="41">
        <v>5.54</v>
      </c>
      <c r="J28" s="41">
        <v>0.93</v>
      </c>
      <c r="K28" s="41">
        <v>257.32</v>
      </c>
      <c r="L28" s="41">
        <v>28.69</v>
      </c>
      <c r="M28" s="41">
        <v>68.739999999999995</v>
      </c>
      <c r="N28" s="41">
        <v>2.2000000000000002</v>
      </c>
      <c r="O28" s="41">
        <v>0</v>
      </c>
      <c r="P28" s="41">
        <v>0.44</v>
      </c>
      <c r="Q28" s="41">
        <v>9.93</v>
      </c>
      <c r="R28" s="38"/>
      <c r="S28" s="38"/>
      <c r="T28" s="38"/>
      <c r="U28" s="38"/>
    </row>
    <row r="29" spans="1:21" customFormat="1">
      <c r="A29" s="40" t="s">
        <v>608</v>
      </c>
      <c r="B29" s="41">
        <v>4.1100000000000003</v>
      </c>
      <c r="C29" s="41">
        <v>6.86</v>
      </c>
      <c r="D29" s="41">
        <v>2.9</v>
      </c>
      <c r="E29" s="41">
        <v>3.01</v>
      </c>
      <c r="F29" s="41">
        <v>4.9000000000000004</v>
      </c>
      <c r="G29" s="41">
        <v>59.43</v>
      </c>
      <c r="H29" s="41">
        <v>14.37</v>
      </c>
      <c r="I29" s="41">
        <v>5.55</v>
      </c>
      <c r="J29" s="41">
        <v>0.88</v>
      </c>
      <c r="K29" s="41">
        <v>259.87</v>
      </c>
      <c r="L29" s="41">
        <v>28.49</v>
      </c>
      <c r="M29" s="41">
        <v>70.78</v>
      </c>
      <c r="N29" s="41">
        <v>1.9</v>
      </c>
      <c r="O29" s="41">
        <v>0</v>
      </c>
      <c r="P29" s="41">
        <v>0.43</v>
      </c>
      <c r="Q29" s="41">
        <v>9.9</v>
      </c>
      <c r="R29" s="38"/>
      <c r="S29" s="38"/>
      <c r="T29" s="38"/>
      <c r="U29" s="38"/>
    </row>
    <row r="30" spans="1:21" customFormat="1">
      <c r="A30" s="40" t="s">
        <v>609</v>
      </c>
      <c r="B30" s="41">
        <v>4.1900000000000004</v>
      </c>
      <c r="C30" s="41">
        <v>6.79</v>
      </c>
      <c r="D30" s="41">
        <v>2.75</v>
      </c>
      <c r="E30" s="41">
        <v>3.08</v>
      </c>
      <c r="F30" s="41">
        <v>5.1100000000000003</v>
      </c>
      <c r="G30" s="41">
        <v>55.32</v>
      </c>
      <c r="H30" s="41">
        <v>11.97</v>
      </c>
      <c r="I30" s="41">
        <v>5.27</v>
      </c>
      <c r="J30" s="41">
        <v>0.56999999999999995</v>
      </c>
      <c r="K30" s="41">
        <v>259.83999999999997</v>
      </c>
      <c r="L30" s="41">
        <v>28.27</v>
      </c>
      <c r="M30" s="41">
        <v>73.45</v>
      </c>
      <c r="N30" s="41">
        <v>2.1</v>
      </c>
      <c r="O30" s="41">
        <v>0</v>
      </c>
      <c r="P30" s="41">
        <v>0.42</v>
      </c>
      <c r="Q30" s="41">
        <v>9.91</v>
      </c>
      <c r="R30" s="38"/>
      <c r="S30" s="38"/>
      <c r="T30" s="38"/>
      <c r="U30" s="38"/>
    </row>
    <row r="31" spans="1:21" customFormat="1">
      <c r="A31" s="40" t="s">
        <v>610</v>
      </c>
      <c r="B31" s="41">
        <v>4.3499999999999996</v>
      </c>
      <c r="C31" s="41">
        <v>6.85</v>
      </c>
      <c r="D31" s="41">
        <v>2.61</v>
      </c>
      <c r="E31" s="41">
        <v>3.37</v>
      </c>
      <c r="F31" s="41">
        <v>4.8099999999999996</v>
      </c>
      <c r="G31" s="41">
        <v>47.27</v>
      </c>
      <c r="H31" s="41">
        <v>12.31</v>
      </c>
      <c r="I31" s="41">
        <v>5.28</v>
      </c>
      <c r="J31" s="41">
        <v>0.7</v>
      </c>
      <c r="K31" s="41">
        <v>256.23</v>
      </c>
      <c r="L31" s="41">
        <v>27.87</v>
      </c>
      <c r="M31" s="41">
        <v>75.45</v>
      </c>
      <c r="N31" s="41">
        <v>2.1</v>
      </c>
      <c r="O31" s="41">
        <v>0</v>
      </c>
      <c r="P31" s="41">
        <v>0.41</v>
      </c>
      <c r="Q31" s="41">
        <v>9.91</v>
      </c>
      <c r="R31" s="38"/>
      <c r="S31" s="38"/>
      <c r="T31" s="38"/>
      <c r="U31" s="38"/>
    </row>
    <row r="32" spans="1:21" customFormat="1">
      <c r="A32" s="40" t="s">
        <v>611</v>
      </c>
      <c r="B32" s="41">
        <v>4.25</v>
      </c>
      <c r="C32" s="41">
        <v>7.24</v>
      </c>
      <c r="D32" s="41">
        <v>3.11</v>
      </c>
      <c r="E32" s="41">
        <v>3.37</v>
      </c>
      <c r="F32" s="41">
        <v>4.88</v>
      </c>
      <c r="G32" s="41">
        <v>45.11</v>
      </c>
      <c r="H32" s="41">
        <v>10.91</v>
      </c>
      <c r="I32" s="41">
        <v>5.2</v>
      </c>
      <c r="J32" s="41">
        <v>0.92</v>
      </c>
      <c r="K32" s="41">
        <v>257.2</v>
      </c>
      <c r="L32" s="41">
        <v>27.39</v>
      </c>
      <c r="M32" s="41">
        <v>79.63</v>
      </c>
      <c r="N32" s="41">
        <v>1.8</v>
      </c>
      <c r="O32" s="41">
        <v>0</v>
      </c>
      <c r="P32" s="41">
        <v>0.37</v>
      </c>
      <c r="Q32" s="41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3.89</v>
      </c>
      <c r="C34" s="18">
        <f t="shared" si="0"/>
        <v>6.79</v>
      </c>
      <c r="D34" s="18">
        <f t="shared" si="0"/>
        <v>2.61</v>
      </c>
      <c r="E34" s="18">
        <f t="shared" si="0"/>
        <v>3.01</v>
      </c>
      <c r="F34" s="18">
        <f t="shared" si="0"/>
        <v>2.21</v>
      </c>
      <c r="G34" s="18">
        <f t="shared" si="0"/>
        <v>31.58</v>
      </c>
      <c r="H34" s="18">
        <f t="shared" si="0"/>
        <v>5.09</v>
      </c>
      <c r="I34" s="18">
        <f t="shared" si="0"/>
        <v>3.99</v>
      </c>
      <c r="J34" s="18">
        <f t="shared" si="0"/>
        <v>0.2</v>
      </c>
      <c r="K34" s="18">
        <f t="shared" si="0"/>
        <v>239.86</v>
      </c>
      <c r="L34" s="18">
        <f t="shared" si="0"/>
        <v>26.76</v>
      </c>
      <c r="M34" s="18">
        <f t="shared" si="0"/>
        <v>59.38</v>
      </c>
      <c r="N34" s="18">
        <f t="shared" si="0"/>
        <v>1.8</v>
      </c>
      <c r="O34" s="18">
        <f t="shared" si="0"/>
        <v>0</v>
      </c>
      <c r="P34" s="18">
        <f t="shared" si="0"/>
        <v>0.21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</v>
      </c>
      <c r="C35" s="3">
        <f t="shared" si="1"/>
        <v>10.55</v>
      </c>
      <c r="D35" s="3">
        <f t="shared" si="1"/>
        <v>5.64</v>
      </c>
      <c r="E35" s="3">
        <f t="shared" si="1"/>
        <v>6.46</v>
      </c>
      <c r="F35" s="3">
        <f t="shared" si="1"/>
        <v>7.05</v>
      </c>
      <c r="G35" s="3">
        <f t="shared" si="1"/>
        <v>71.239999999999995</v>
      </c>
      <c r="H35" s="3">
        <f t="shared" si="1"/>
        <v>19</v>
      </c>
      <c r="I35" s="3">
        <f t="shared" si="1"/>
        <v>6.96</v>
      </c>
      <c r="J35" s="3">
        <f t="shared" si="1"/>
        <v>2.2200000000000002</v>
      </c>
      <c r="K35" s="3">
        <f t="shared" si="1"/>
        <v>301.56</v>
      </c>
      <c r="L35" s="3">
        <f t="shared" si="1"/>
        <v>33.130000000000003</v>
      </c>
      <c r="M35" s="3">
        <f t="shared" si="1"/>
        <v>84.03</v>
      </c>
      <c r="N35" s="3">
        <f t="shared" si="1"/>
        <v>586.9</v>
      </c>
      <c r="O35" s="3">
        <f t="shared" si="1"/>
        <v>0</v>
      </c>
      <c r="P35" s="3">
        <f t="shared" si="1"/>
        <v>0.45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4.7787499999999996</v>
      </c>
      <c r="C36" s="18">
        <f t="shared" si="2"/>
        <v>8.6070833333333336</v>
      </c>
      <c r="D36" s="18">
        <f t="shared" si="2"/>
        <v>3.9445833333333336</v>
      </c>
      <c r="E36" s="18">
        <f t="shared" si="2"/>
        <v>5.1591666666666667</v>
      </c>
      <c r="F36" s="18">
        <f t="shared" si="2"/>
        <v>4.2383333333333333</v>
      </c>
      <c r="G36" s="18">
        <f t="shared" si="2"/>
        <v>53.275833333333317</v>
      </c>
      <c r="H36" s="18">
        <f t="shared" si="2"/>
        <v>12.655833333333334</v>
      </c>
      <c r="I36" s="18">
        <f t="shared" si="2"/>
        <v>5.3583333333333316</v>
      </c>
      <c r="J36" s="18">
        <f t="shared" si="2"/>
        <v>0.9245833333333332</v>
      </c>
      <c r="K36" s="18">
        <f t="shared" si="2"/>
        <v>265.2924999999999</v>
      </c>
      <c r="L36" s="18">
        <f t="shared" si="2"/>
        <v>29.091666666666665</v>
      </c>
      <c r="M36" s="18">
        <f t="shared" si="2"/>
        <v>72.179583333333355</v>
      </c>
      <c r="N36" s="18">
        <f t="shared" si="2"/>
        <v>112.67916666666667</v>
      </c>
      <c r="O36" s="18">
        <f t="shared" si="2"/>
        <v>0</v>
      </c>
      <c r="P36" s="18">
        <f t="shared" si="2"/>
        <v>0.35624999999999996</v>
      </c>
      <c r="Q36" s="18">
        <f t="shared" si="2"/>
        <v>9.9220833333333331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0.6787092128829384</v>
      </c>
      <c r="C37" s="18">
        <f t="shared" ref="C37:Q37" si="3">STDEV(C9:C32)</f>
        <v>1.060317750433355</v>
      </c>
      <c r="D37" s="18">
        <f t="shared" si="3"/>
        <v>0.86904735032186298</v>
      </c>
      <c r="E37" s="18">
        <f t="shared" si="3"/>
        <v>1.093856030057315</v>
      </c>
      <c r="F37" s="18">
        <f t="shared" si="3"/>
        <v>1.1888455001338067</v>
      </c>
      <c r="G37" s="18">
        <f t="shared" si="3"/>
        <v>12.99930229454371</v>
      </c>
      <c r="H37" s="18">
        <f t="shared" si="3"/>
        <v>4.0645721916887236</v>
      </c>
      <c r="I37" s="18">
        <f t="shared" si="3"/>
        <v>0.75506790173593241</v>
      </c>
      <c r="J37" s="18">
        <f t="shared" si="3"/>
        <v>0.46029271562558016</v>
      </c>
      <c r="K37" s="18">
        <f t="shared" si="3"/>
        <v>15.38666651753196</v>
      </c>
      <c r="L37" s="18">
        <f t="shared" si="3"/>
        <v>2.013138727517775</v>
      </c>
      <c r="M37" s="18">
        <f t="shared" si="3"/>
        <v>8.4032097796881402</v>
      </c>
      <c r="N37" s="18">
        <f t="shared" si="3"/>
        <v>160.16393498175728</v>
      </c>
      <c r="O37" s="18">
        <f t="shared" si="3"/>
        <v>0</v>
      </c>
      <c r="P37" s="18">
        <f t="shared" si="3"/>
        <v>7.0143486480586451E-2</v>
      </c>
      <c r="Q37" s="18">
        <f t="shared" si="3"/>
        <v>1.2503622663457911E-2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612</v>
      </c>
      <c r="B9" s="41">
        <v>4.01</v>
      </c>
      <c r="C9" s="41">
        <v>7.51</v>
      </c>
      <c r="D9" s="41">
        <v>3.52</v>
      </c>
      <c r="E9" s="41">
        <v>3.68</v>
      </c>
      <c r="F9" s="41">
        <v>2.4900000000000002</v>
      </c>
      <c r="G9" s="41">
        <v>38.99</v>
      </c>
      <c r="H9" s="41">
        <v>7.81</v>
      </c>
      <c r="I9" s="41">
        <v>4.6900000000000004</v>
      </c>
      <c r="J9" s="41">
        <v>1.05</v>
      </c>
      <c r="K9" s="41">
        <v>257.24</v>
      </c>
      <c r="L9" s="41">
        <v>27.27</v>
      </c>
      <c r="M9" s="41">
        <v>82.17</v>
      </c>
      <c r="N9" s="41">
        <v>2.1</v>
      </c>
      <c r="O9" s="41">
        <v>0</v>
      </c>
      <c r="P9" s="41">
        <v>0.32</v>
      </c>
      <c r="Q9" s="41">
        <v>9.91</v>
      </c>
      <c r="R9" s="38"/>
      <c r="S9" s="38"/>
      <c r="T9" s="38"/>
      <c r="U9" s="38"/>
    </row>
    <row r="10" spans="1:21" customFormat="1">
      <c r="A10" s="40" t="s">
        <v>613</v>
      </c>
      <c r="B10" s="41">
        <v>3.9</v>
      </c>
      <c r="C10" s="41">
        <v>7.23</v>
      </c>
      <c r="D10" s="41">
        <v>3.35</v>
      </c>
      <c r="E10" s="41">
        <v>4.22</v>
      </c>
      <c r="F10" s="41">
        <v>2.86</v>
      </c>
      <c r="G10" s="41">
        <v>36.799999999999997</v>
      </c>
      <c r="H10" s="41">
        <v>6.62</v>
      </c>
      <c r="I10" s="41">
        <v>4.26</v>
      </c>
      <c r="J10" s="41">
        <v>0.88</v>
      </c>
      <c r="K10" s="41">
        <v>257.58999999999997</v>
      </c>
      <c r="L10" s="41">
        <v>26.64</v>
      </c>
      <c r="M10" s="41">
        <v>82.84</v>
      </c>
      <c r="N10" s="41">
        <v>2.2000000000000002</v>
      </c>
      <c r="O10" s="41">
        <v>0</v>
      </c>
      <c r="P10" s="41">
        <v>0.28999999999999998</v>
      </c>
      <c r="Q10" s="41">
        <v>9.91</v>
      </c>
      <c r="R10" s="38"/>
      <c r="S10" s="38"/>
      <c r="T10" s="38"/>
      <c r="U10" s="38"/>
    </row>
    <row r="11" spans="1:21" customFormat="1">
      <c r="A11" s="40" t="s">
        <v>614</v>
      </c>
      <c r="B11" s="41">
        <v>3.9</v>
      </c>
      <c r="C11" s="41">
        <v>7.09</v>
      </c>
      <c r="D11" s="41">
        <v>3.24</v>
      </c>
      <c r="E11" s="41">
        <v>4.67</v>
      </c>
      <c r="F11" s="41">
        <v>3.36</v>
      </c>
      <c r="G11" s="41">
        <v>34.200000000000003</v>
      </c>
      <c r="H11" s="41">
        <v>6</v>
      </c>
      <c r="I11" s="41">
        <v>3.76</v>
      </c>
      <c r="J11" s="41">
        <v>0.88</v>
      </c>
      <c r="K11" s="41">
        <v>259.04000000000002</v>
      </c>
      <c r="L11" s="41">
        <v>26.49</v>
      </c>
      <c r="M11" s="41">
        <v>92.28</v>
      </c>
      <c r="N11" s="41">
        <v>3</v>
      </c>
      <c r="O11" s="41">
        <v>0.2</v>
      </c>
      <c r="P11" s="41">
        <v>0.27</v>
      </c>
      <c r="Q11" s="41">
        <v>9.91</v>
      </c>
      <c r="R11" s="38"/>
      <c r="S11" s="38"/>
      <c r="T11" s="38"/>
      <c r="U11" s="38"/>
    </row>
    <row r="12" spans="1:21" customFormat="1">
      <c r="A12" s="40" t="s">
        <v>615</v>
      </c>
      <c r="B12" s="41">
        <v>3.98</v>
      </c>
      <c r="C12" s="41">
        <v>7.14</v>
      </c>
      <c r="D12" s="41">
        <v>3.21</v>
      </c>
      <c r="E12" s="41">
        <v>5.04</v>
      </c>
      <c r="F12" s="41">
        <v>3.32</v>
      </c>
      <c r="G12" s="41">
        <v>26.8</v>
      </c>
      <c r="H12" s="41">
        <v>4.84</v>
      </c>
      <c r="I12" s="41">
        <v>3.6</v>
      </c>
      <c r="J12" s="41">
        <v>0.65</v>
      </c>
      <c r="K12" s="41">
        <v>255.57</v>
      </c>
      <c r="L12" s="41">
        <v>25.27</v>
      </c>
      <c r="M12" s="41">
        <v>93.23</v>
      </c>
      <c r="N12" s="41">
        <v>2.5</v>
      </c>
      <c r="O12" s="41">
        <v>0</v>
      </c>
      <c r="P12" s="41">
        <v>0.26</v>
      </c>
      <c r="Q12" s="41">
        <v>9.91</v>
      </c>
      <c r="R12" s="38"/>
      <c r="S12" s="38"/>
      <c r="T12" s="38"/>
      <c r="U12" s="38"/>
    </row>
    <row r="13" spans="1:21" customFormat="1">
      <c r="A13" s="40" t="s">
        <v>616</v>
      </c>
      <c r="B13" s="41">
        <v>4.34</v>
      </c>
      <c r="C13" s="41">
        <v>7.08</v>
      </c>
      <c r="D13" s="41">
        <v>3.06</v>
      </c>
      <c r="E13" s="41">
        <v>5.21</v>
      </c>
      <c r="F13" s="41">
        <v>3.57</v>
      </c>
      <c r="G13" s="41">
        <v>19.32</v>
      </c>
      <c r="H13" s="41">
        <v>4.3899999999999997</v>
      </c>
      <c r="I13" s="41">
        <v>3.33</v>
      </c>
      <c r="J13" s="41">
        <v>0.79</v>
      </c>
      <c r="K13" s="41">
        <v>255.41</v>
      </c>
      <c r="L13" s="41">
        <v>25.49</v>
      </c>
      <c r="M13" s="41">
        <v>91.17</v>
      </c>
      <c r="N13" s="41">
        <v>3</v>
      </c>
      <c r="O13" s="41">
        <v>0</v>
      </c>
      <c r="P13" s="41">
        <v>0.28999999999999998</v>
      </c>
      <c r="Q13" s="41">
        <v>9.92</v>
      </c>
      <c r="R13" s="38"/>
      <c r="S13" s="38"/>
      <c r="T13" s="38"/>
      <c r="U13" s="38"/>
    </row>
    <row r="14" spans="1:21" customFormat="1">
      <c r="A14" s="40" t="s">
        <v>617</v>
      </c>
      <c r="B14" s="41">
        <v>4.41</v>
      </c>
      <c r="C14" s="41">
        <v>6.74</v>
      </c>
      <c r="D14" s="41">
        <v>2.37</v>
      </c>
      <c r="E14" s="41">
        <v>4.32</v>
      </c>
      <c r="F14" s="41">
        <v>2.86</v>
      </c>
      <c r="G14" s="41">
        <v>14.1</v>
      </c>
      <c r="H14" s="41">
        <v>3.08</v>
      </c>
      <c r="I14" s="41">
        <v>3.34</v>
      </c>
      <c r="J14" s="41">
        <v>0.87</v>
      </c>
      <c r="K14" s="41">
        <v>258.49</v>
      </c>
      <c r="L14" s="41">
        <v>25.6</v>
      </c>
      <c r="M14" s="41">
        <v>89.15</v>
      </c>
      <c r="N14" s="41">
        <v>10.5</v>
      </c>
      <c r="O14" s="41">
        <v>0</v>
      </c>
      <c r="P14" s="41">
        <v>0.3</v>
      </c>
      <c r="Q14" s="41">
        <v>9.92</v>
      </c>
      <c r="R14" s="38"/>
      <c r="S14" s="38"/>
      <c r="T14" s="38"/>
      <c r="U14" s="38"/>
    </row>
    <row r="15" spans="1:21" customFormat="1">
      <c r="A15" s="40" t="s">
        <v>618</v>
      </c>
      <c r="B15" s="41">
        <v>4.57</v>
      </c>
      <c r="C15" s="41">
        <v>6.9</v>
      </c>
      <c r="D15" s="41">
        <v>2.46</v>
      </c>
      <c r="E15" s="41">
        <v>4.37</v>
      </c>
      <c r="F15" s="41">
        <v>2.74</v>
      </c>
      <c r="G15" s="41">
        <v>10.15</v>
      </c>
      <c r="H15" s="41">
        <v>2.42</v>
      </c>
      <c r="I15" s="41">
        <v>3.39</v>
      </c>
      <c r="J15" s="41">
        <v>0.69</v>
      </c>
      <c r="K15" s="41">
        <v>255.03</v>
      </c>
      <c r="L15" s="41">
        <v>25.86</v>
      </c>
      <c r="M15" s="41">
        <v>89.38</v>
      </c>
      <c r="N15" s="41">
        <v>34.1</v>
      </c>
      <c r="O15" s="41">
        <v>0</v>
      </c>
      <c r="P15" s="41">
        <v>0.28999999999999998</v>
      </c>
      <c r="Q15" s="41">
        <v>9.92</v>
      </c>
      <c r="R15" s="38"/>
      <c r="S15" s="38"/>
      <c r="T15" s="38"/>
      <c r="U15" s="38"/>
    </row>
    <row r="16" spans="1:21" customFormat="1">
      <c r="A16" s="40" t="s">
        <v>619</v>
      </c>
      <c r="B16" s="41">
        <v>4.59</v>
      </c>
      <c r="C16" s="41">
        <v>7</v>
      </c>
      <c r="D16" s="41">
        <v>2.46</v>
      </c>
      <c r="E16" s="41">
        <v>4.22</v>
      </c>
      <c r="F16" s="41">
        <v>2.5299999999999998</v>
      </c>
      <c r="G16" s="41">
        <v>8.3000000000000007</v>
      </c>
      <c r="H16" s="41">
        <v>5</v>
      </c>
      <c r="I16" s="41">
        <v>3.59</v>
      </c>
      <c r="J16" s="41">
        <v>0.82</v>
      </c>
      <c r="K16" s="41">
        <v>262.19</v>
      </c>
      <c r="L16" s="41">
        <v>26.41</v>
      </c>
      <c r="M16" s="41">
        <v>88.34</v>
      </c>
      <c r="N16" s="41">
        <v>84.3</v>
      </c>
      <c r="O16" s="41">
        <v>0</v>
      </c>
      <c r="P16" s="41">
        <v>0.28999999999999998</v>
      </c>
      <c r="Q16" s="41">
        <v>9.91</v>
      </c>
      <c r="R16" s="38"/>
      <c r="S16" s="38"/>
      <c r="T16" s="38"/>
      <c r="U16" s="38"/>
    </row>
    <row r="17" spans="1:21" customFormat="1">
      <c r="A17" s="40" t="s">
        <v>620</v>
      </c>
      <c r="B17" s="41">
        <v>4.7</v>
      </c>
      <c r="C17" s="41">
        <v>7.22</v>
      </c>
      <c r="D17" s="41">
        <v>2.57</v>
      </c>
      <c r="E17" s="41">
        <v>4.13</v>
      </c>
      <c r="F17" s="41">
        <v>2.59</v>
      </c>
      <c r="G17" s="41">
        <v>14.76</v>
      </c>
      <c r="H17" s="41">
        <v>4.8899999999999997</v>
      </c>
      <c r="I17" s="41">
        <v>3.68</v>
      </c>
      <c r="J17" s="41">
        <v>0.92</v>
      </c>
      <c r="K17" s="41">
        <v>259.83999999999997</v>
      </c>
      <c r="L17" s="41">
        <v>26.5</v>
      </c>
      <c r="M17" s="41">
        <v>87.84</v>
      </c>
      <c r="N17" s="41">
        <v>103.1</v>
      </c>
      <c r="O17" s="41">
        <v>0</v>
      </c>
      <c r="P17" s="41">
        <v>0.3</v>
      </c>
      <c r="Q17" s="41">
        <v>9.92</v>
      </c>
      <c r="R17" s="38"/>
      <c r="S17" s="38"/>
      <c r="T17" s="38"/>
      <c r="U17" s="38"/>
    </row>
    <row r="18" spans="1:21" customFormat="1">
      <c r="A18" s="40" t="s">
        <v>621</v>
      </c>
      <c r="B18" s="41">
        <v>4.59</v>
      </c>
      <c r="C18" s="41">
        <v>7.69</v>
      </c>
      <c r="D18" s="41">
        <v>3.29</v>
      </c>
      <c r="E18" s="41">
        <v>4.26</v>
      </c>
      <c r="F18" s="41">
        <v>2.4700000000000002</v>
      </c>
      <c r="G18" s="41">
        <v>15.52</v>
      </c>
      <c r="H18" s="41">
        <v>4.3099999999999996</v>
      </c>
      <c r="I18" s="41">
        <v>3.85</v>
      </c>
      <c r="J18" s="41">
        <v>0.77</v>
      </c>
      <c r="K18" s="41">
        <v>263.33999999999997</v>
      </c>
      <c r="L18" s="41">
        <v>25.91</v>
      </c>
      <c r="M18" s="41">
        <v>94.92</v>
      </c>
      <c r="N18" s="41">
        <v>120.9</v>
      </c>
      <c r="O18" s="41">
        <v>0.2</v>
      </c>
      <c r="P18" s="41">
        <v>0.3</v>
      </c>
      <c r="Q18" s="41">
        <v>9.9</v>
      </c>
      <c r="R18" s="38"/>
      <c r="S18" s="38"/>
      <c r="T18" s="38"/>
      <c r="U18" s="38"/>
    </row>
    <row r="19" spans="1:21" customFormat="1">
      <c r="A19" s="40" t="s">
        <v>622</v>
      </c>
      <c r="B19" s="41">
        <v>4.38</v>
      </c>
      <c r="C19" s="41">
        <v>7.88</v>
      </c>
      <c r="D19" s="41">
        <v>3.52</v>
      </c>
      <c r="E19" s="41">
        <v>4.62</v>
      </c>
      <c r="F19" s="41">
        <v>2.79</v>
      </c>
      <c r="G19" s="41">
        <v>27.72</v>
      </c>
      <c r="H19" s="41">
        <v>6.2</v>
      </c>
      <c r="I19" s="41">
        <v>3.76</v>
      </c>
      <c r="J19" s="41">
        <v>0.88</v>
      </c>
      <c r="K19" s="41">
        <v>266.37</v>
      </c>
      <c r="L19" s="41">
        <v>27.07</v>
      </c>
      <c r="M19" s="41">
        <v>93.91</v>
      </c>
      <c r="N19" s="41">
        <v>283</v>
      </c>
      <c r="O19" s="41">
        <v>0.2</v>
      </c>
      <c r="P19" s="41">
        <v>0.28999999999999998</v>
      </c>
      <c r="Q19" s="41">
        <v>9.91</v>
      </c>
      <c r="R19" s="38"/>
      <c r="S19" s="38"/>
      <c r="T19" s="38"/>
      <c r="U19" s="38"/>
    </row>
    <row r="20" spans="1:21" customFormat="1">
      <c r="A20" s="40" t="s">
        <v>623</v>
      </c>
      <c r="B20" s="41">
        <v>4.33</v>
      </c>
      <c r="C20" s="41">
        <v>8.08</v>
      </c>
      <c r="D20" s="41">
        <v>4.04</v>
      </c>
      <c r="E20" s="41">
        <v>3.66</v>
      </c>
      <c r="F20" s="41">
        <v>12.71</v>
      </c>
      <c r="G20" s="41">
        <v>27.72</v>
      </c>
      <c r="H20" s="41">
        <v>6.2</v>
      </c>
      <c r="I20" s="41">
        <v>7.9</v>
      </c>
      <c r="J20" s="41">
        <v>0.83</v>
      </c>
      <c r="K20" s="41">
        <v>260.02</v>
      </c>
      <c r="L20" s="41">
        <v>27</v>
      </c>
      <c r="M20" s="41">
        <v>93.21</v>
      </c>
      <c r="N20" s="41">
        <v>183.9</v>
      </c>
      <c r="O20" s="41">
        <v>0</v>
      </c>
      <c r="P20" s="41">
        <v>0.33</v>
      </c>
      <c r="Q20" s="41">
        <v>9.91</v>
      </c>
      <c r="R20" s="38"/>
      <c r="S20" s="38"/>
      <c r="T20" s="38"/>
      <c r="U20" s="38"/>
    </row>
    <row r="21" spans="1:21" customFormat="1">
      <c r="A21" s="40" t="s">
        <v>624</v>
      </c>
      <c r="B21" s="41">
        <v>3.81</v>
      </c>
      <c r="C21" s="41">
        <v>6.47</v>
      </c>
      <c r="D21" s="41">
        <v>4.08</v>
      </c>
      <c r="E21" s="41">
        <v>6.47</v>
      </c>
      <c r="F21" s="41">
        <v>20.12</v>
      </c>
      <c r="G21" s="41">
        <v>44.41</v>
      </c>
      <c r="H21" s="41">
        <v>0</v>
      </c>
      <c r="I21" s="41">
        <v>16.02</v>
      </c>
      <c r="J21" s="41">
        <v>0.77</v>
      </c>
      <c r="K21" s="41">
        <v>265.64999999999998</v>
      </c>
      <c r="L21" s="41">
        <v>28.11</v>
      </c>
      <c r="M21" s="41">
        <v>86.47</v>
      </c>
      <c r="N21" s="41">
        <v>258.89999999999998</v>
      </c>
      <c r="O21" s="41">
        <v>0</v>
      </c>
      <c r="P21" s="41">
        <v>0.35</v>
      </c>
      <c r="Q21" s="41">
        <v>9.92</v>
      </c>
      <c r="R21" s="38"/>
      <c r="S21" s="38"/>
      <c r="T21" s="38"/>
      <c r="U21" s="38"/>
    </row>
    <row r="22" spans="1:21" customFormat="1">
      <c r="A22" s="40" t="s">
        <v>625</v>
      </c>
      <c r="B22" s="41">
        <v>3.2</v>
      </c>
      <c r="C22" s="41">
        <v>5.68</v>
      </c>
      <c r="D22" s="41">
        <v>3.4</v>
      </c>
      <c r="E22" s="41">
        <v>3.33</v>
      </c>
      <c r="F22" s="41">
        <v>21.08</v>
      </c>
      <c r="G22" s="41">
        <v>50.96</v>
      </c>
      <c r="H22" s="41">
        <v>4.63</v>
      </c>
      <c r="I22" s="41">
        <v>16.309999999999999</v>
      </c>
      <c r="J22" s="41">
        <v>0.95</v>
      </c>
      <c r="K22" s="41">
        <v>258.47000000000003</v>
      </c>
      <c r="L22" s="41">
        <v>29.4</v>
      </c>
      <c r="M22" s="41">
        <v>81.17</v>
      </c>
      <c r="N22" s="41">
        <v>264.10000000000002</v>
      </c>
      <c r="O22" s="41">
        <v>0</v>
      </c>
      <c r="P22" s="41">
        <v>0.34</v>
      </c>
      <c r="Q22" s="41">
        <v>9.91</v>
      </c>
      <c r="R22" s="38"/>
      <c r="S22" s="38"/>
      <c r="T22" s="38"/>
      <c r="U22" s="38"/>
    </row>
    <row r="23" spans="1:21" customFormat="1">
      <c r="A23" s="40" t="s">
        <v>626</v>
      </c>
      <c r="B23" s="41">
        <v>3.39</v>
      </c>
      <c r="C23" s="41">
        <v>6.08</v>
      </c>
      <c r="D23" s="41">
        <v>3.85</v>
      </c>
      <c r="E23" s="41">
        <v>3.47</v>
      </c>
      <c r="F23" s="41">
        <v>22.32</v>
      </c>
      <c r="G23" s="41">
        <v>51.79</v>
      </c>
      <c r="H23" s="41">
        <v>7.91</v>
      </c>
      <c r="I23" s="41">
        <v>9.42</v>
      </c>
      <c r="J23" s="41">
        <v>0.92</v>
      </c>
      <c r="K23" s="41">
        <v>257.07</v>
      </c>
      <c r="L23" s="41">
        <v>29.5</v>
      </c>
      <c r="M23" s="41">
        <v>78.59</v>
      </c>
      <c r="N23" s="41">
        <v>215.4</v>
      </c>
      <c r="O23" s="41">
        <v>0</v>
      </c>
      <c r="P23" s="41">
        <v>0.44</v>
      </c>
      <c r="Q23" s="41">
        <v>9.92</v>
      </c>
      <c r="R23" s="38"/>
      <c r="S23" s="38"/>
      <c r="T23" s="38"/>
      <c r="U23" s="38"/>
    </row>
    <row r="24" spans="1:21" customFormat="1">
      <c r="A24" s="40" t="s">
        <v>627</v>
      </c>
      <c r="B24" s="41">
        <v>3.45</v>
      </c>
      <c r="C24" s="41">
        <v>5.87</v>
      </c>
      <c r="D24" s="41">
        <v>3.39</v>
      </c>
      <c r="E24" s="41">
        <v>3.16</v>
      </c>
      <c r="F24" s="41">
        <v>22.17</v>
      </c>
      <c r="G24" s="41">
        <v>51.79</v>
      </c>
      <c r="H24" s="41">
        <v>8.02</v>
      </c>
      <c r="I24" s="41">
        <v>7.32</v>
      </c>
      <c r="J24" s="41">
        <v>1.03</v>
      </c>
      <c r="K24" s="41">
        <v>257.14999999999998</v>
      </c>
      <c r="L24" s="41">
        <v>30.01</v>
      </c>
      <c r="M24" s="41">
        <v>74.19</v>
      </c>
      <c r="N24" s="41">
        <v>318</v>
      </c>
      <c r="O24" s="41">
        <v>0</v>
      </c>
      <c r="P24" s="41">
        <v>0.4</v>
      </c>
      <c r="Q24" s="41">
        <v>9.92</v>
      </c>
      <c r="R24" s="38"/>
      <c r="S24" s="38"/>
      <c r="T24" s="38"/>
      <c r="U24" s="38"/>
    </row>
    <row r="25" spans="1:21" customFormat="1">
      <c r="A25" s="40" t="s">
        <v>628</v>
      </c>
      <c r="B25" s="41">
        <v>3.51</v>
      </c>
      <c r="C25" s="41">
        <v>5.71</v>
      </c>
      <c r="D25" s="41">
        <v>3.13</v>
      </c>
      <c r="E25" s="41">
        <v>2.39</v>
      </c>
      <c r="F25" s="41">
        <v>18.690000000000001</v>
      </c>
      <c r="G25" s="41">
        <v>37.380000000000003</v>
      </c>
      <c r="H25" s="41">
        <v>13.85</v>
      </c>
      <c r="I25" s="41">
        <v>5.17</v>
      </c>
      <c r="J25" s="41">
        <v>1.04</v>
      </c>
      <c r="K25" s="41">
        <v>257.22000000000003</v>
      </c>
      <c r="L25" s="41">
        <v>30.01</v>
      </c>
      <c r="M25" s="41">
        <v>75.55</v>
      </c>
      <c r="N25" s="41">
        <v>277.10000000000002</v>
      </c>
      <c r="O25" s="41">
        <v>0</v>
      </c>
      <c r="P25" s="41">
        <v>0.37</v>
      </c>
      <c r="Q25" s="41">
        <v>9.92</v>
      </c>
      <c r="R25" s="38"/>
      <c r="S25" s="38"/>
      <c r="T25" s="38"/>
      <c r="U25" s="38"/>
    </row>
    <row r="26" spans="1:21" customFormat="1">
      <c r="A26" s="40" t="s">
        <v>629</v>
      </c>
      <c r="B26" s="41">
        <v>3.88</v>
      </c>
      <c r="C26" s="41">
        <v>5.61</v>
      </c>
      <c r="D26" s="41">
        <v>2.6</v>
      </c>
      <c r="E26" s="41">
        <v>2.0099999999999998</v>
      </c>
      <c r="F26" s="41">
        <v>6.27</v>
      </c>
      <c r="G26" s="41">
        <v>39.229999999999997</v>
      </c>
      <c r="H26" s="41">
        <v>13.85</v>
      </c>
      <c r="I26" s="41">
        <v>3.91</v>
      </c>
      <c r="J26" s="41">
        <v>0.83</v>
      </c>
      <c r="K26" s="41">
        <v>256.99</v>
      </c>
      <c r="L26" s="41">
        <v>28.95</v>
      </c>
      <c r="M26" s="41">
        <v>77.59</v>
      </c>
      <c r="N26" s="41">
        <v>68.3</v>
      </c>
      <c r="O26" s="41">
        <v>0</v>
      </c>
      <c r="P26" s="41">
        <v>0.34</v>
      </c>
      <c r="Q26" s="41">
        <v>9.91</v>
      </c>
      <c r="R26" s="38"/>
      <c r="S26" s="38"/>
      <c r="T26" s="38"/>
      <c r="U26" s="38"/>
    </row>
    <row r="27" spans="1:21" customFormat="1">
      <c r="A27" s="40" t="s">
        <v>630</v>
      </c>
      <c r="B27" s="41">
        <v>3.93</v>
      </c>
      <c r="C27" s="41">
        <v>5.65</v>
      </c>
      <c r="D27" s="41">
        <v>2.44</v>
      </c>
      <c r="E27" s="41">
        <v>3.67</v>
      </c>
      <c r="F27" s="41">
        <v>5.74</v>
      </c>
      <c r="G27" s="41">
        <v>39.229999999999997</v>
      </c>
      <c r="H27" s="41">
        <v>13.68</v>
      </c>
      <c r="I27" s="41">
        <v>4.1399999999999997</v>
      </c>
      <c r="J27" s="41">
        <v>0.72</v>
      </c>
      <c r="K27" s="41">
        <v>255</v>
      </c>
      <c r="L27" s="41">
        <v>28.5</v>
      </c>
      <c r="M27" s="41">
        <v>79.16</v>
      </c>
      <c r="N27" s="41">
        <v>20.8</v>
      </c>
      <c r="O27" s="41">
        <v>0</v>
      </c>
      <c r="P27" s="41">
        <v>0.35</v>
      </c>
      <c r="Q27" s="41">
        <v>9.92</v>
      </c>
      <c r="R27" s="38"/>
      <c r="S27" s="38"/>
      <c r="T27" s="38"/>
      <c r="U27" s="38"/>
    </row>
    <row r="28" spans="1:21" customFormat="1">
      <c r="A28" s="40" t="s">
        <v>631</v>
      </c>
      <c r="B28" s="41">
        <v>3.93</v>
      </c>
      <c r="C28" s="41">
        <v>6.03</v>
      </c>
      <c r="D28" s="41">
        <v>3.02</v>
      </c>
      <c r="E28" s="41">
        <v>4.76</v>
      </c>
      <c r="F28" s="41">
        <v>3.06</v>
      </c>
      <c r="G28" s="41">
        <v>35.880000000000003</v>
      </c>
      <c r="H28" s="41">
        <v>12.07</v>
      </c>
      <c r="I28" s="41">
        <v>4.24</v>
      </c>
      <c r="J28" s="41">
        <v>0.4</v>
      </c>
      <c r="K28" s="41">
        <v>260.57</v>
      </c>
      <c r="L28" s="41">
        <v>27.98</v>
      </c>
      <c r="M28" s="41">
        <v>84.7</v>
      </c>
      <c r="N28" s="41">
        <v>2.2000000000000002</v>
      </c>
      <c r="O28" s="41">
        <v>0</v>
      </c>
      <c r="P28" s="41">
        <v>0.33</v>
      </c>
      <c r="Q28" s="41">
        <v>9.91</v>
      </c>
      <c r="R28" s="38"/>
      <c r="S28" s="38"/>
      <c r="T28" s="38"/>
      <c r="U28" s="38"/>
    </row>
    <row r="29" spans="1:21" customFormat="1">
      <c r="A29" s="40" t="s">
        <v>632</v>
      </c>
      <c r="B29" s="41">
        <v>4</v>
      </c>
      <c r="C29" s="41">
        <v>6</v>
      </c>
      <c r="D29" s="41">
        <v>2.75</v>
      </c>
      <c r="E29" s="41">
        <v>5.19</v>
      </c>
      <c r="F29" s="41">
        <v>3.04</v>
      </c>
      <c r="G29" s="41">
        <v>37.94</v>
      </c>
      <c r="H29" s="41">
        <v>11.51</v>
      </c>
      <c r="I29" s="41">
        <v>4.0199999999999996</v>
      </c>
      <c r="J29" s="41">
        <v>0.49</v>
      </c>
      <c r="K29" s="41">
        <v>258.82</v>
      </c>
      <c r="L29" s="41">
        <v>27.29</v>
      </c>
      <c r="M29" s="41">
        <v>86.25</v>
      </c>
      <c r="N29" s="41">
        <v>2.1</v>
      </c>
      <c r="O29" s="41">
        <v>0</v>
      </c>
      <c r="P29" s="41">
        <v>0.32</v>
      </c>
      <c r="Q29" s="41">
        <v>9.91</v>
      </c>
      <c r="R29" s="38"/>
      <c r="S29" s="38"/>
      <c r="T29" s="38"/>
      <c r="U29" s="38"/>
    </row>
    <row r="30" spans="1:21" customFormat="1">
      <c r="A30" s="40" t="s">
        <v>633</v>
      </c>
      <c r="B30" s="41">
        <v>4.07</v>
      </c>
      <c r="C30" s="41">
        <v>5.96</v>
      </c>
      <c r="D30" s="41">
        <v>2.72</v>
      </c>
      <c r="E30" s="41">
        <v>5.58</v>
      </c>
      <c r="F30" s="41">
        <v>3.46</v>
      </c>
      <c r="G30" s="41">
        <v>37.94</v>
      </c>
      <c r="H30" s="41">
        <v>11.62</v>
      </c>
      <c r="I30" s="41">
        <v>3.87</v>
      </c>
      <c r="J30" s="41">
        <v>0.48</v>
      </c>
      <c r="K30" s="41">
        <v>254.57</v>
      </c>
      <c r="L30" s="41">
        <v>26.94</v>
      </c>
      <c r="M30" s="41">
        <v>88.16</v>
      </c>
      <c r="N30" s="41">
        <v>2</v>
      </c>
      <c r="O30" s="41">
        <v>0</v>
      </c>
      <c r="P30" s="41">
        <v>0.33</v>
      </c>
      <c r="Q30" s="41">
        <v>9.9</v>
      </c>
      <c r="R30" s="38"/>
      <c r="S30" s="38"/>
      <c r="T30" s="38"/>
      <c r="U30" s="38"/>
    </row>
    <row r="31" spans="1:21" customFormat="1">
      <c r="A31" s="40" t="s">
        <v>634</v>
      </c>
      <c r="B31" s="41">
        <v>4.2300000000000004</v>
      </c>
      <c r="C31" s="41">
        <v>5.96</v>
      </c>
      <c r="D31" s="41">
        <v>2.44</v>
      </c>
      <c r="E31" s="41">
        <v>5.77</v>
      </c>
      <c r="F31" s="41">
        <v>3.08</v>
      </c>
      <c r="G31" s="41">
        <v>34.58</v>
      </c>
      <c r="H31" s="41">
        <v>11.62</v>
      </c>
      <c r="I31" s="41">
        <v>3.69</v>
      </c>
      <c r="J31" s="41">
        <v>0.5</v>
      </c>
      <c r="K31" s="41">
        <v>254.08</v>
      </c>
      <c r="L31" s="41">
        <v>26.8</v>
      </c>
      <c r="M31" s="41">
        <v>88.58</v>
      </c>
      <c r="N31" s="41">
        <v>2</v>
      </c>
      <c r="O31" s="41">
        <v>0</v>
      </c>
      <c r="P31" s="41">
        <v>0.33</v>
      </c>
      <c r="Q31" s="41">
        <v>9.9</v>
      </c>
      <c r="R31" s="38"/>
      <c r="S31" s="38"/>
      <c r="T31" s="38"/>
      <c r="U31" s="38"/>
    </row>
    <row r="32" spans="1:21" customFormat="1">
      <c r="A32" s="40" t="s">
        <v>635</v>
      </c>
      <c r="B32" s="41">
        <v>4.29</v>
      </c>
      <c r="C32" s="41">
        <v>6.02</v>
      </c>
      <c r="D32" s="41">
        <v>2.37</v>
      </c>
      <c r="E32" s="41">
        <v>5.96</v>
      </c>
      <c r="F32" s="41">
        <v>3.33</v>
      </c>
      <c r="G32" s="41">
        <v>34.58</v>
      </c>
      <c r="H32" s="41">
        <v>13.36</v>
      </c>
      <c r="I32" s="41">
        <v>3.54</v>
      </c>
      <c r="J32" s="41">
        <v>0.62</v>
      </c>
      <c r="K32" s="41">
        <v>256.76</v>
      </c>
      <c r="L32" s="41">
        <v>26.76</v>
      </c>
      <c r="M32" s="41">
        <v>87.88</v>
      </c>
      <c r="N32" s="41">
        <v>2.1</v>
      </c>
      <c r="O32" s="41">
        <v>0</v>
      </c>
      <c r="P32" s="41">
        <v>0.32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</v>
      </c>
      <c r="C34" s="18">
        <f t="shared" si="0"/>
        <v>5.61</v>
      </c>
      <c r="D34" s="18">
        <f t="shared" si="0"/>
        <v>2.37</v>
      </c>
      <c r="E34" s="18">
        <f t="shared" si="0"/>
        <v>2.0099999999999998</v>
      </c>
      <c r="F34" s="18">
        <f t="shared" si="0"/>
        <v>2.4700000000000002</v>
      </c>
      <c r="G34" s="18">
        <f t="shared" si="0"/>
        <v>8.3000000000000007</v>
      </c>
      <c r="H34" s="18">
        <f t="shared" si="0"/>
        <v>0</v>
      </c>
      <c r="I34" s="18">
        <f t="shared" si="0"/>
        <v>3.33</v>
      </c>
      <c r="J34" s="18">
        <f t="shared" si="0"/>
        <v>0.4</v>
      </c>
      <c r="K34" s="18">
        <f t="shared" si="0"/>
        <v>254.08</v>
      </c>
      <c r="L34" s="18">
        <f t="shared" si="0"/>
        <v>25.27</v>
      </c>
      <c r="M34" s="18">
        <f t="shared" si="0"/>
        <v>74.19</v>
      </c>
      <c r="N34" s="18">
        <f t="shared" si="0"/>
        <v>2</v>
      </c>
      <c r="O34" s="18">
        <f t="shared" si="0"/>
        <v>0</v>
      </c>
      <c r="P34" s="18">
        <f t="shared" si="0"/>
        <v>0.26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4.7</v>
      </c>
      <c r="C35" s="3">
        <f t="shared" si="1"/>
        <v>8.08</v>
      </c>
      <c r="D35" s="3">
        <f t="shared" si="1"/>
        <v>4.08</v>
      </c>
      <c r="E35" s="3">
        <f t="shared" si="1"/>
        <v>6.47</v>
      </c>
      <c r="F35" s="3">
        <f t="shared" si="1"/>
        <v>22.32</v>
      </c>
      <c r="G35" s="3">
        <f t="shared" si="1"/>
        <v>51.79</v>
      </c>
      <c r="H35" s="3">
        <f t="shared" si="1"/>
        <v>13.85</v>
      </c>
      <c r="I35" s="3">
        <f t="shared" si="1"/>
        <v>16.309999999999999</v>
      </c>
      <c r="J35" s="3">
        <f t="shared" si="1"/>
        <v>1.05</v>
      </c>
      <c r="K35" s="3">
        <f t="shared" si="1"/>
        <v>266.37</v>
      </c>
      <c r="L35" s="3">
        <f t="shared" si="1"/>
        <v>30.01</v>
      </c>
      <c r="M35" s="3">
        <f t="shared" si="1"/>
        <v>94.92</v>
      </c>
      <c r="N35" s="3">
        <f t="shared" si="1"/>
        <v>318</v>
      </c>
      <c r="O35" s="3">
        <f t="shared" si="1"/>
        <v>0.2</v>
      </c>
      <c r="P35" s="3">
        <f t="shared" si="1"/>
        <v>0.44</v>
      </c>
      <c r="Q35" s="3">
        <f t="shared" si="1"/>
        <v>9.92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4.0579166666666682</v>
      </c>
      <c r="C36" s="18">
        <f t="shared" si="2"/>
        <v>6.6083333333333334</v>
      </c>
      <c r="D36" s="18">
        <f t="shared" si="2"/>
        <v>3.0533333333333332</v>
      </c>
      <c r="E36" s="18">
        <f t="shared" si="2"/>
        <v>4.34</v>
      </c>
      <c r="F36" s="18">
        <f t="shared" si="2"/>
        <v>7.3604166666666693</v>
      </c>
      <c r="G36" s="18">
        <f t="shared" si="2"/>
        <v>32.087083333333339</v>
      </c>
      <c r="H36" s="18">
        <f t="shared" si="2"/>
        <v>7.6616666666666662</v>
      </c>
      <c r="I36" s="18">
        <f t="shared" si="2"/>
        <v>5.4499999999999993</v>
      </c>
      <c r="J36" s="18">
        <f t="shared" si="2"/>
        <v>0.78249999999999986</v>
      </c>
      <c r="K36" s="18">
        <f t="shared" si="2"/>
        <v>258.43666666666667</v>
      </c>
      <c r="L36" s="18">
        <f t="shared" si="2"/>
        <v>27.323333333333334</v>
      </c>
      <c r="M36" s="18">
        <f t="shared" si="2"/>
        <v>86.113749999999996</v>
      </c>
      <c r="N36" s="18">
        <f t="shared" si="2"/>
        <v>94.399999999999991</v>
      </c>
      <c r="O36" s="18">
        <f t="shared" si="2"/>
        <v>2.5000000000000005E-2</v>
      </c>
      <c r="P36" s="18">
        <f t="shared" si="2"/>
        <v>0.32291666666666669</v>
      </c>
      <c r="Q36" s="18">
        <f t="shared" si="2"/>
        <v>9.9124999999999979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0.40351692132685268</v>
      </c>
      <c r="C37" s="18">
        <f t="shared" ref="C37:Q37" si="3">STDEV(C9:C32)</f>
        <v>0.77566614662139699</v>
      </c>
      <c r="D37" s="18">
        <f t="shared" si="3"/>
        <v>0.53464060798833923</v>
      </c>
      <c r="E37" s="18">
        <f t="shared" si="3"/>
        <v>1.081568908737593</v>
      </c>
      <c r="F37" s="18">
        <f t="shared" si="3"/>
        <v>7.4163306755029303</v>
      </c>
      <c r="G37" s="18">
        <f t="shared" si="3"/>
        <v>12.78339666339204</v>
      </c>
      <c r="H37" s="18">
        <f t="shared" si="3"/>
        <v>4.0658606946630389</v>
      </c>
      <c r="I37" s="18">
        <f t="shared" si="3"/>
        <v>3.6434157408768999</v>
      </c>
      <c r="J37" s="18">
        <f t="shared" si="3"/>
        <v>0.18261982367749707</v>
      </c>
      <c r="K37" s="18">
        <f t="shared" si="3"/>
        <v>3.293109626856161</v>
      </c>
      <c r="L37" s="18">
        <f t="shared" si="3"/>
        <v>1.4270330018628854</v>
      </c>
      <c r="M37" s="18">
        <f t="shared" si="3"/>
        <v>6.0013402941415483</v>
      </c>
      <c r="N37" s="18">
        <f t="shared" si="3"/>
        <v>114.18859685701509</v>
      </c>
      <c r="O37" s="18">
        <f t="shared" si="3"/>
        <v>6.7566392469217626E-2</v>
      </c>
      <c r="P37" s="18">
        <f t="shared" si="3"/>
        <v>4.0591192733599346E-2</v>
      </c>
      <c r="Q37" s="18">
        <f t="shared" si="3"/>
        <v>6.7566392469216177E-3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636</v>
      </c>
      <c r="B9" s="41">
        <v>4.66</v>
      </c>
      <c r="C9" s="41">
        <v>6.04</v>
      </c>
      <c r="D9" s="41">
        <v>1.99</v>
      </c>
      <c r="E9" s="41">
        <v>5.88</v>
      </c>
      <c r="F9" s="41">
        <v>4.26</v>
      </c>
      <c r="G9" s="41">
        <v>33.590000000000003</v>
      </c>
      <c r="H9" s="41">
        <v>13.36</v>
      </c>
      <c r="I9" s="41">
        <v>3.42</v>
      </c>
      <c r="J9" s="41">
        <v>0.46</v>
      </c>
      <c r="K9" s="41">
        <v>254.97</v>
      </c>
      <c r="L9" s="41">
        <v>26.55</v>
      </c>
      <c r="M9" s="41">
        <v>89.97</v>
      </c>
      <c r="N9" s="41">
        <v>2.1</v>
      </c>
      <c r="O9" s="41">
        <v>0</v>
      </c>
      <c r="P9" s="41">
        <v>0.35</v>
      </c>
      <c r="Q9" s="41">
        <v>9.91</v>
      </c>
      <c r="R9" s="38"/>
      <c r="S9" s="38"/>
      <c r="T9" s="38"/>
      <c r="U9" s="38"/>
    </row>
    <row r="10" spans="1:21" customFormat="1">
      <c r="A10" s="40" t="s">
        <v>637</v>
      </c>
      <c r="B10" s="41">
        <v>5.16</v>
      </c>
      <c r="C10" s="41">
        <v>6.45</v>
      </c>
      <c r="D10" s="41">
        <v>1.83</v>
      </c>
      <c r="E10" s="41">
        <v>5.12</v>
      </c>
      <c r="F10" s="41">
        <v>2.72</v>
      </c>
      <c r="G10" s="41">
        <v>23.98</v>
      </c>
      <c r="H10" s="41">
        <v>9.58</v>
      </c>
      <c r="I10" s="41">
        <v>3.6</v>
      </c>
      <c r="J10" s="41">
        <v>0.57999999999999996</v>
      </c>
      <c r="K10" s="41">
        <v>255.99</v>
      </c>
      <c r="L10" s="41">
        <v>26.37</v>
      </c>
      <c r="M10" s="41">
        <v>90.26</v>
      </c>
      <c r="N10" s="41">
        <v>2.1</v>
      </c>
      <c r="O10" s="41">
        <v>0</v>
      </c>
      <c r="P10" s="41">
        <v>0.35</v>
      </c>
      <c r="Q10" s="41">
        <v>9.91</v>
      </c>
      <c r="R10" s="38"/>
      <c r="S10" s="38"/>
      <c r="T10" s="38"/>
      <c r="U10" s="38"/>
    </row>
    <row r="11" spans="1:21" customFormat="1">
      <c r="A11" s="40" t="s">
        <v>638</v>
      </c>
      <c r="B11" s="41">
        <v>5.42</v>
      </c>
      <c r="C11" s="41">
        <v>6.6</v>
      </c>
      <c r="D11" s="41">
        <v>1.88</v>
      </c>
      <c r="E11" s="41">
        <v>5.45</v>
      </c>
      <c r="F11" s="41">
        <v>2.63</v>
      </c>
      <c r="G11" s="41">
        <v>23.36</v>
      </c>
      <c r="H11" s="41">
        <v>8.3000000000000007</v>
      </c>
      <c r="I11" s="41">
        <v>3.69</v>
      </c>
      <c r="J11" s="41">
        <v>0.69</v>
      </c>
      <c r="K11" s="41">
        <v>260.13</v>
      </c>
      <c r="L11" s="41">
        <v>26.36</v>
      </c>
      <c r="M11" s="41">
        <v>89.97</v>
      </c>
      <c r="N11" s="41">
        <v>2.2999999999999998</v>
      </c>
      <c r="O11" s="41">
        <v>0</v>
      </c>
      <c r="P11" s="41">
        <v>0.34</v>
      </c>
      <c r="Q11" s="41">
        <v>9.93</v>
      </c>
      <c r="R11" s="38"/>
      <c r="S11" s="38"/>
      <c r="T11" s="38"/>
      <c r="U11" s="38"/>
    </row>
    <row r="12" spans="1:21" customFormat="1">
      <c r="A12" s="40" t="s">
        <v>639</v>
      </c>
      <c r="B12" s="41">
        <v>5.38</v>
      </c>
      <c r="C12" s="41">
        <v>6.67</v>
      </c>
      <c r="D12" s="41">
        <v>1.99</v>
      </c>
      <c r="E12" s="41">
        <v>5.47</v>
      </c>
      <c r="F12" s="41">
        <v>2.59</v>
      </c>
      <c r="G12" s="41">
        <v>23.36</v>
      </c>
      <c r="H12" s="41">
        <v>8.2100000000000009</v>
      </c>
      <c r="I12" s="41">
        <v>3.56</v>
      </c>
      <c r="J12" s="41">
        <v>0.64</v>
      </c>
      <c r="K12" s="41">
        <v>259.87</v>
      </c>
      <c r="L12" s="41">
        <v>25.96</v>
      </c>
      <c r="M12" s="41">
        <v>88.9</v>
      </c>
      <c r="N12" s="41">
        <v>2.1</v>
      </c>
      <c r="O12" s="41">
        <v>0</v>
      </c>
      <c r="P12" s="41">
        <v>0.35</v>
      </c>
      <c r="Q12" s="41">
        <v>9.93</v>
      </c>
      <c r="R12" s="38"/>
      <c r="S12" s="38"/>
      <c r="T12" s="38"/>
      <c r="U12" s="38"/>
    </row>
    <row r="13" spans="1:21" customFormat="1">
      <c r="A13" s="40" t="s">
        <v>640</v>
      </c>
      <c r="B13" s="41">
        <v>5.46</v>
      </c>
      <c r="C13" s="41">
        <v>7.29</v>
      </c>
      <c r="D13" s="41">
        <v>3.06</v>
      </c>
      <c r="E13" s="41">
        <v>5.59</v>
      </c>
      <c r="F13" s="41">
        <v>2.25</v>
      </c>
      <c r="G13" s="41">
        <v>20.66</v>
      </c>
      <c r="H13" s="41">
        <v>7.35</v>
      </c>
      <c r="I13" s="41">
        <v>3.61</v>
      </c>
      <c r="J13" s="41">
        <v>0.6</v>
      </c>
      <c r="K13" s="41">
        <v>256.93</v>
      </c>
      <c r="L13" s="41">
        <v>26.09</v>
      </c>
      <c r="M13" s="41">
        <v>88.47</v>
      </c>
      <c r="N13" s="41">
        <v>2.2000000000000002</v>
      </c>
      <c r="O13" s="41">
        <v>0</v>
      </c>
      <c r="P13" s="41">
        <v>0.35</v>
      </c>
      <c r="Q13" s="41">
        <v>9.92</v>
      </c>
      <c r="R13" s="38"/>
      <c r="S13" s="38"/>
      <c r="T13" s="38"/>
      <c r="U13" s="38"/>
    </row>
    <row r="14" spans="1:21" customFormat="1">
      <c r="A14" s="40" t="s">
        <v>641</v>
      </c>
      <c r="B14" s="41">
        <v>5.31</v>
      </c>
      <c r="C14" s="41">
        <v>7.6</v>
      </c>
      <c r="D14" s="41">
        <v>3.82</v>
      </c>
      <c r="E14" s="41">
        <v>6.14</v>
      </c>
      <c r="F14" s="41">
        <v>2.81</v>
      </c>
      <c r="G14" s="41">
        <v>22.75</v>
      </c>
      <c r="H14" s="41">
        <v>8.01</v>
      </c>
      <c r="I14" s="41">
        <v>3.79</v>
      </c>
      <c r="J14" s="41">
        <v>0.63</v>
      </c>
      <c r="K14" s="41">
        <v>257.33</v>
      </c>
      <c r="L14" s="41">
        <v>26.2</v>
      </c>
      <c r="M14" s="41">
        <v>87.94</v>
      </c>
      <c r="N14" s="41">
        <v>10.6</v>
      </c>
      <c r="O14" s="41">
        <v>0</v>
      </c>
      <c r="P14" s="41">
        <v>0.33</v>
      </c>
      <c r="Q14" s="41">
        <v>9.92</v>
      </c>
      <c r="R14" s="38"/>
      <c r="S14" s="38"/>
      <c r="T14" s="38"/>
      <c r="U14" s="38"/>
    </row>
    <row r="15" spans="1:21" customFormat="1">
      <c r="A15" s="40" t="s">
        <v>642</v>
      </c>
      <c r="B15" s="41">
        <v>4.99</v>
      </c>
      <c r="C15" s="41">
        <v>7.28</v>
      </c>
      <c r="D15" s="41">
        <v>3.7</v>
      </c>
      <c r="E15" s="41">
        <v>6.4</v>
      </c>
      <c r="F15" s="41">
        <v>3.53</v>
      </c>
      <c r="G15" s="41">
        <v>22.75</v>
      </c>
      <c r="H15" s="41">
        <v>8.01</v>
      </c>
      <c r="I15" s="41">
        <v>3.83</v>
      </c>
      <c r="J15" s="41">
        <v>0.81</v>
      </c>
      <c r="K15" s="41">
        <v>258.94</v>
      </c>
      <c r="L15" s="41">
        <v>26.35</v>
      </c>
      <c r="M15" s="41">
        <v>87.16</v>
      </c>
      <c r="N15" s="41">
        <v>64.2</v>
      </c>
      <c r="O15" s="41">
        <v>0</v>
      </c>
      <c r="P15" s="41">
        <v>0.34</v>
      </c>
      <c r="Q15" s="41">
        <v>9.91</v>
      </c>
      <c r="R15" s="38"/>
      <c r="S15" s="38"/>
      <c r="T15" s="38"/>
      <c r="U15" s="38"/>
    </row>
    <row r="16" spans="1:21" customFormat="1">
      <c r="A16" s="40" t="s">
        <v>643</v>
      </c>
      <c r="B16" s="41">
        <v>4.8499999999999996</v>
      </c>
      <c r="C16" s="41">
        <v>6.97</v>
      </c>
      <c r="D16" s="41">
        <v>3.32</v>
      </c>
      <c r="E16" s="41">
        <v>6.58</v>
      </c>
      <c r="F16" s="41">
        <v>3.18</v>
      </c>
      <c r="G16" s="41">
        <v>16.940000000000001</v>
      </c>
      <c r="H16" s="41">
        <v>7.51</v>
      </c>
      <c r="I16" s="41">
        <v>3.81</v>
      </c>
      <c r="J16" s="41">
        <v>0.64</v>
      </c>
      <c r="K16" s="41">
        <v>259.66000000000003</v>
      </c>
      <c r="L16" s="41">
        <v>26.62</v>
      </c>
      <c r="M16" s="41">
        <v>85.43</v>
      </c>
      <c r="N16" s="41">
        <v>70.099999999999994</v>
      </c>
      <c r="O16" s="41">
        <v>0</v>
      </c>
      <c r="P16" s="41">
        <v>0.36</v>
      </c>
      <c r="Q16" s="41">
        <v>9.92</v>
      </c>
      <c r="R16" s="38"/>
      <c r="S16" s="38"/>
      <c r="T16" s="38"/>
      <c r="U16" s="38"/>
    </row>
    <row r="17" spans="1:21" customFormat="1">
      <c r="A17" s="40" t="s">
        <v>644</v>
      </c>
      <c r="B17" s="41">
        <v>5</v>
      </c>
      <c r="C17" s="41">
        <v>7.1</v>
      </c>
      <c r="D17" s="41">
        <v>3.42</v>
      </c>
      <c r="E17" s="41">
        <v>6.62</v>
      </c>
      <c r="F17" s="41">
        <v>3.47</v>
      </c>
      <c r="G17" s="41">
        <v>30.23</v>
      </c>
      <c r="H17" s="41">
        <v>9.85</v>
      </c>
      <c r="I17" s="41">
        <v>5.82</v>
      </c>
      <c r="J17" s="41">
        <v>0.7</v>
      </c>
      <c r="K17" s="41">
        <v>257.06</v>
      </c>
      <c r="L17" s="41">
        <v>28.34</v>
      </c>
      <c r="M17" s="41">
        <v>84.93</v>
      </c>
      <c r="N17" s="41">
        <v>244.1</v>
      </c>
      <c r="O17" s="41">
        <v>0</v>
      </c>
      <c r="P17" s="41">
        <v>0.41</v>
      </c>
      <c r="Q17" s="41">
        <v>9.94</v>
      </c>
      <c r="R17" s="38"/>
      <c r="S17" s="38"/>
      <c r="T17" s="38"/>
      <c r="U17" s="38"/>
    </row>
    <row r="18" spans="1:21" customFormat="1">
      <c r="A18" s="40" t="s">
        <v>645</v>
      </c>
      <c r="B18" s="41">
        <v>5.1100000000000003</v>
      </c>
      <c r="C18" s="41">
        <v>7.27</v>
      </c>
      <c r="D18" s="41">
        <v>3.62</v>
      </c>
      <c r="E18" s="41">
        <v>6.62</v>
      </c>
      <c r="F18" s="41">
        <v>3.51</v>
      </c>
      <c r="G18" s="41">
        <v>36.25</v>
      </c>
      <c r="H18" s="41">
        <v>15.04</v>
      </c>
      <c r="I18" s="41">
        <v>7.39</v>
      </c>
      <c r="J18" s="41">
        <v>0.84</v>
      </c>
      <c r="K18" s="41">
        <v>271.64999999999998</v>
      </c>
      <c r="L18" s="41">
        <v>30.26</v>
      </c>
      <c r="M18" s="41">
        <v>75.22</v>
      </c>
      <c r="N18" s="41">
        <v>264.8</v>
      </c>
      <c r="O18" s="41">
        <v>0</v>
      </c>
      <c r="P18" s="41">
        <v>0.49</v>
      </c>
      <c r="Q18" s="41">
        <v>9.92</v>
      </c>
      <c r="R18" s="38"/>
      <c r="S18" s="38"/>
      <c r="T18" s="38"/>
      <c r="U18" s="38"/>
    </row>
    <row r="19" spans="1:21" customFormat="1">
      <c r="A19" s="40" t="s">
        <v>646</v>
      </c>
      <c r="B19" s="41">
        <v>5.71</v>
      </c>
      <c r="C19" s="41">
        <v>8</v>
      </c>
      <c r="D19" s="41">
        <v>3.96</v>
      </c>
      <c r="E19" s="41">
        <v>5.19</v>
      </c>
      <c r="F19" s="41">
        <v>3.87</v>
      </c>
      <c r="G19" s="41">
        <v>41.64</v>
      </c>
      <c r="H19" s="41">
        <v>15.95</v>
      </c>
      <c r="I19" s="41">
        <v>8.9600000000000009</v>
      </c>
      <c r="J19" s="41">
        <v>0.96</v>
      </c>
      <c r="K19" s="41">
        <v>277.08999999999997</v>
      </c>
      <c r="L19" s="41">
        <v>30.07</v>
      </c>
      <c r="M19" s="41">
        <v>73.14</v>
      </c>
      <c r="N19" s="41">
        <v>259.10000000000002</v>
      </c>
      <c r="O19" s="41">
        <v>0</v>
      </c>
      <c r="P19" s="41">
        <v>0.57999999999999996</v>
      </c>
      <c r="Q19" s="41">
        <v>9.93</v>
      </c>
      <c r="R19" s="38"/>
      <c r="S19" s="38"/>
      <c r="T19" s="38"/>
      <c r="U19" s="38"/>
    </row>
    <row r="20" spans="1:21" customFormat="1">
      <c r="A20" s="40" t="s">
        <v>647</v>
      </c>
      <c r="B20" s="41">
        <v>5.69</v>
      </c>
      <c r="C20" s="41">
        <v>7.7</v>
      </c>
      <c r="D20" s="41">
        <v>3.46</v>
      </c>
      <c r="E20" s="41">
        <v>4.93</v>
      </c>
      <c r="F20" s="41">
        <v>6.03</v>
      </c>
      <c r="G20" s="41">
        <v>47.41</v>
      </c>
      <c r="H20" s="41">
        <v>15.95</v>
      </c>
      <c r="I20" s="41">
        <v>9.74</v>
      </c>
      <c r="J20" s="41">
        <v>0.77</v>
      </c>
      <c r="K20" s="41">
        <v>287.95</v>
      </c>
      <c r="L20" s="41">
        <v>30.4</v>
      </c>
      <c r="M20" s="41">
        <v>71.45</v>
      </c>
      <c r="N20" s="41">
        <v>208.4</v>
      </c>
      <c r="O20" s="41">
        <v>0</v>
      </c>
      <c r="P20" s="41">
        <v>0.6</v>
      </c>
      <c r="Q20" s="41">
        <v>9.9499999999999993</v>
      </c>
      <c r="R20" s="38"/>
      <c r="S20" s="38"/>
      <c r="T20" s="38"/>
      <c r="U20" s="38"/>
    </row>
    <row r="21" spans="1:21" customFormat="1">
      <c r="A21" s="40" t="s">
        <v>648</v>
      </c>
      <c r="B21" s="41">
        <v>5.21</v>
      </c>
      <c r="C21" s="41">
        <v>7.46</v>
      </c>
      <c r="D21" s="41">
        <v>3.72</v>
      </c>
      <c r="E21" s="41">
        <v>5.15</v>
      </c>
      <c r="F21" s="41">
        <v>5.43</v>
      </c>
      <c r="G21" s="41">
        <v>47.41</v>
      </c>
      <c r="H21" s="41">
        <v>14.23</v>
      </c>
      <c r="I21" s="41">
        <v>10.210000000000001</v>
      </c>
      <c r="J21" s="41">
        <v>1.01</v>
      </c>
      <c r="K21" s="41">
        <v>277.76</v>
      </c>
      <c r="L21" s="41">
        <v>31.47</v>
      </c>
      <c r="M21" s="41">
        <v>70.66</v>
      </c>
      <c r="N21" s="41">
        <v>362.7</v>
      </c>
      <c r="O21" s="41">
        <v>0</v>
      </c>
      <c r="P21" s="41">
        <v>0.62</v>
      </c>
      <c r="Q21" s="41">
        <v>9.94</v>
      </c>
      <c r="R21" s="38"/>
      <c r="S21" s="38"/>
      <c r="T21" s="38"/>
      <c r="U21" s="38"/>
    </row>
    <row r="22" spans="1:21" customFormat="1">
      <c r="A22" s="40" t="s">
        <v>649</v>
      </c>
      <c r="B22" s="41">
        <v>4.9800000000000004</v>
      </c>
      <c r="C22" s="41">
        <v>7.26</v>
      </c>
      <c r="D22" s="41">
        <v>3.84</v>
      </c>
      <c r="E22" s="41">
        <v>4.62</v>
      </c>
      <c r="F22" s="41">
        <v>6.5</v>
      </c>
      <c r="G22" s="41">
        <v>55.57</v>
      </c>
      <c r="H22" s="41">
        <v>14.23</v>
      </c>
      <c r="I22" s="41">
        <v>10.44</v>
      </c>
      <c r="J22" s="41">
        <v>1.01</v>
      </c>
      <c r="K22" s="41">
        <v>284.75</v>
      </c>
      <c r="L22" s="41">
        <v>31.67</v>
      </c>
      <c r="M22" s="41">
        <v>67.739999999999995</v>
      </c>
      <c r="N22" s="41">
        <v>393.5</v>
      </c>
      <c r="O22" s="41">
        <v>0</v>
      </c>
      <c r="P22" s="41">
        <v>0.65</v>
      </c>
      <c r="Q22" s="41">
        <v>9.92</v>
      </c>
      <c r="R22" s="38"/>
      <c r="S22" s="38"/>
      <c r="T22" s="38"/>
      <c r="U22" s="38"/>
    </row>
    <row r="23" spans="1:21" customFormat="1">
      <c r="A23" s="40" t="s">
        <v>650</v>
      </c>
      <c r="B23" s="41">
        <v>4.4400000000000004</v>
      </c>
      <c r="C23" s="41">
        <v>7.14</v>
      </c>
      <c r="D23" s="41">
        <v>4.62</v>
      </c>
      <c r="E23" s="41">
        <v>4.3</v>
      </c>
      <c r="F23" s="41">
        <v>7.26</v>
      </c>
      <c r="G23" s="41">
        <v>55.57</v>
      </c>
      <c r="H23" s="41">
        <v>16.41</v>
      </c>
      <c r="I23" s="41">
        <v>10.210000000000001</v>
      </c>
      <c r="J23" s="41">
        <v>1.08</v>
      </c>
      <c r="K23" s="41">
        <v>280.95999999999998</v>
      </c>
      <c r="L23" s="41">
        <v>32.03</v>
      </c>
      <c r="M23" s="41">
        <v>66.150000000000006</v>
      </c>
      <c r="N23" s="41">
        <v>305.8</v>
      </c>
      <c r="O23" s="41">
        <v>0</v>
      </c>
      <c r="P23" s="41">
        <v>0.49</v>
      </c>
      <c r="Q23" s="41">
        <v>9.91</v>
      </c>
      <c r="R23" s="38"/>
      <c r="S23" s="38"/>
      <c r="T23" s="38"/>
      <c r="U23" s="38"/>
    </row>
    <row r="24" spans="1:21" customFormat="1">
      <c r="A24" s="40" t="s">
        <v>651</v>
      </c>
      <c r="B24" s="41">
        <v>4.09</v>
      </c>
      <c r="C24" s="41">
        <v>7.28</v>
      </c>
      <c r="D24" s="41">
        <v>5.09</v>
      </c>
      <c r="E24" s="41">
        <v>4.54</v>
      </c>
      <c r="F24" s="41">
        <v>3.4</v>
      </c>
      <c r="G24" s="41">
        <v>51.61</v>
      </c>
      <c r="H24" s="41">
        <v>16.41</v>
      </c>
      <c r="I24" s="41">
        <v>10.38</v>
      </c>
      <c r="J24" s="41">
        <v>0.87</v>
      </c>
      <c r="K24" s="41">
        <v>274.77</v>
      </c>
      <c r="L24" s="41">
        <v>32.07</v>
      </c>
      <c r="M24" s="41">
        <v>67.400000000000006</v>
      </c>
      <c r="N24" s="41">
        <v>246.2</v>
      </c>
      <c r="O24" s="41">
        <v>0</v>
      </c>
      <c r="P24" s="41">
        <v>0.48</v>
      </c>
      <c r="Q24" s="41">
        <v>9.91</v>
      </c>
      <c r="R24" s="38"/>
      <c r="S24" s="38"/>
      <c r="T24" s="38"/>
      <c r="U24" s="38"/>
    </row>
    <row r="25" spans="1:21" customFormat="1">
      <c r="A25" s="40" t="s">
        <v>652</v>
      </c>
      <c r="B25" s="41">
        <v>4.04</v>
      </c>
      <c r="C25" s="41">
        <v>7.14</v>
      </c>
      <c r="D25" s="41">
        <v>4.88</v>
      </c>
      <c r="E25" s="41">
        <v>4.71</v>
      </c>
      <c r="F25" s="41">
        <v>3.69</v>
      </c>
      <c r="G25" s="41">
        <v>50.26</v>
      </c>
      <c r="H25" s="41">
        <v>16.79</v>
      </c>
      <c r="I25" s="41">
        <v>10.17</v>
      </c>
      <c r="J25" s="41">
        <v>1.17</v>
      </c>
      <c r="K25" s="41">
        <v>256.49</v>
      </c>
      <c r="L25" s="41">
        <v>29.99</v>
      </c>
      <c r="M25" s="41">
        <v>81.819999999999993</v>
      </c>
      <c r="N25" s="41">
        <v>31.4</v>
      </c>
      <c r="O25" s="41">
        <v>0</v>
      </c>
      <c r="P25" s="41">
        <v>0.48</v>
      </c>
      <c r="Q25" s="41">
        <v>9.91</v>
      </c>
      <c r="R25" s="38"/>
      <c r="S25" s="38"/>
      <c r="T25" s="38"/>
      <c r="U25" s="38"/>
    </row>
    <row r="26" spans="1:21" customFormat="1">
      <c r="A26" s="40" t="s">
        <v>653</v>
      </c>
      <c r="B26" s="41">
        <v>4.03</v>
      </c>
      <c r="C26" s="41">
        <v>6.56</v>
      </c>
      <c r="D26" s="41">
        <v>3.84</v>
      </c>
      <c r="E26" s="41">
        <v>4.9800000000000004</v>
      </c>
      <c r="F26" s="41">
        <v>4.26</v>
      </c>
      <c r="G26" s="41">
        <v>44</v>
      </c>
      <c r="H26" s="41">
        <v>17.32</v>
      </c>
      <c r="I26" s="41">
        <v>9.19</v>
      </c>
      <c r="J26" s="41">
        <v>0.66</v>
      </c>
      <c r="K26" s="41">
        <v>262.02999999999997</v>
      </c>
      <c r="L26" s="41">
        <v>28.45</v>
      </c>
      <c r="M26" s="41">
        <v>89.78</v>
      </c>
      <c r="N26" s="41">
        <v>15.4</v>
      </c>
      <c r="O26" s="41">
        <v>0.4</v>
      </c>
      <c r="P26" s="41">
        <v>0.39</v>
      </c>
      <c r="Q26" s="41">
        <v>9.91</v>
      </c>
      <c r="R26" s="38"/>
      <c r="S26" s="38"/>
      <c r="T26" s="38"/>
      <c r="U26" s="38"/>
    </row>
    <row r="27" spans="1:21" customFormat="1">
      <c r="A27" s="40" t="s">
        <v>654</v>
      </c>
      <c r="B27" s="41">
        <v>4.12</v>
      </c>
      <c r="C27" s="41">
        <v>6.3</v>
      </c>
      <c r="D27" s="41">
        <v>3.43</v>
      </c>
      <c r="E27" s="41">
        <v>4.7699999999999996</v>
      </c>
      <c r="F27" s="41">
        <v>3.75</v>
      </c>
      <c r="G27" s="41">
        <v>41.9</v>
      </c>
      <c r="H27" s="41">
        <v>17.61</v>
      </c>
      <c r="I27" s="41">
        <v>7.83</v>
      </c>
      <c r="J27" s="41">
        <v>0.4</v>
      </c>
      <c r="K27" s="41">
        <v>257.48</v>
      </c>
      <c r="L27" s="41">
        <v>26.84</v>
      </c>
      <c r="M27" s="41">
        <v>100.7</v>
      </c>
      <c r="N27" s="41">
        <v>3.5</v>
      </c>
      <c r="O27" s="41">
        <v>1.2</v>
      </c>
      <c r="P27" s="41">
        <v>0.36</v>
      </c>
      <c r="Q27" s="41">
        <v>9.92</v>
      </c>
      <c r="R27" s="38"/>
      <c r="S27" s="38"/>
      <c r="T27" s="38"/>
      <c r="U27" s="38"/>
    </row>
    <row r="28" spans="1:21" customFormat="1">
      <c r="A28" s="40" t="s">
        <v>655</v>
      </c>
      <c r="B28" s="41">
        <v>4.3499999999999996</v>
      </c>
      <c r="C28" s="41">
        <v>6.42</v>
      </c>
      <c r="D28" s="41">
        <v>3.09</v>
      </c>
      <c r="E28" s="41">
        <v>5.09</v>
      </c>
      <c r="F28" s="41">
        <v>3.61</v>
      </c>
      <c r="G28" s="41">
        <v>41.2</v>
      </c>
      <c r="H28" s="41">
        <v>17.61</v>
      </c>
      <c r="I28" s="41">
        <v>6.96</v>
      </c>
      <c r="J28" s="41">
        <v>0.38</v>
      </c>
      <c r="K28" s="41">
        <v>254.68</v>
      </c>
      <c r="L28" s="41">
        <v>26.01</v>
      </c>
      <c r="M28" s="41">
        <v>100.23</v>
      </c>
      <c r="N28" s="41">
        <v>2.7</v>
      </c>
      <c r="O28" s="41">
        <v>0</v>
      </c>
      <c r="P28" s="41">
        <v>0.34</v>
      </c>
      <c r="Q28" s="41">
        <v>9.91</v>
      </c>
      <c r="R28" s="38"/>
      <c r="S28" s="38"/>
      <c r="T28" s="38"/>
      <c r="U28" s="38"/>
    </row>
    <row r="29" spans="1:21" customFormat="1">
      <c r="A29" s="40" t="s">
        <v>656</v>
      </c>
      <c r="B29" s="41">
        <v>4.82</v>
      </c>
      <c r="C29" s="41">
        <v>6.43</v>
      </c>
      <c r="D29" s="41">
        <v>2.71</v>
      </c>
      <c r="E29" s="41">
        <v>4.55</v>
      </c>
      <c r="F29" s="41">
        <v>3.03</v>
      </c>
      <c r="G29" s="41">
        <v>35.6</v>
      </c>
      <c r="H29" s="41">
        <v>16.579999999999998</v>
      </c>
      <c r="I29" s="41">
        <v>6.26</v>
      </c>
      <c r="J29" s="41">
        <v>0.32</v>
      </c>
      <c r="K29" s="41">
        <v>258.04000000000002</v>
      </c>
      <c r="L29" s="41">
        <v>26.14</v>
      </c>
      <c r="M29" s="41">
        <v>100.07</v>
      </c>
      <c r="N29" s="41">
        <v>2.6</v>
      </c>
      <c r="O29" s="41">
        <v>0</v>
      </c>
      <c r="P29" s="41">
        <v>0.32</v>
      </c>
      <c r="Q29" s="41">
        <v>9.93</v>
      </c>
      <c r="R29" s="38"/>
      <c r="S29" s="38"/>
      <c r="T29" s="38"/>
      <c r="U29" s="38"/>
    </row>
    <row r="30" spans="1:21" customFormat="1">
      <c r="A30" s="40" t="s">
        <v>657</v>
      </c>
      <c r="B30" s="41">
        <v>5.1100000000000003</v>
      </c>
      <c r="C30" s="41">
        <v>6.56</v>
      </c>
      <c r="D30" s="41">
        <v>2.2400000000000002</v>
      </c>
      <c r="E30" s="41">
        <v>4.13</v>
      </c>
      <c r="F30" s="41">
        <v>2.78</v>
      </c>
      <c r="G30" s="41">
        <v>34.1</v>
      </c>
      <c r="H30" s="41">
        <v>16.579999999999998</v>
      </c>
      <c r="I30" s="41">
        <v>6</v>
      </c>
      <c r="J30" s="41">
        <v>0.51</v>
      </c>
      <c r="K30" s="41">
        <v>255.34</v>
      </c>
      <c r="L30" s="41">
        <v>26.06</v>
      </c>
      <c r="M30" s="41">
        <v>98.78</v>
      </c>
      <c r="N30" s="41">
        <v>2.7</v>
      </c>
      <c r="O30" s="41">
        <v>0.2</v>
      </c>
      <c r="P30" s="41">
        <v>0.32</v>
      </c>
      <c r="Q30" s="41">
        <v>9.93</v>
      </c>
      <c r="R30" s="38"/>
      <c r="S30" s="38"/>
      <c r="T30" s="38"/>
      <c r="U30" s="38"/>
    </row>
    <row r="31" spans="1:21" customFormat="1">
      <c r="A31" s="40" t="s">
        <v>658</v>
      </c>
      <c r="B31" s="41">
        <v>5.41</v>
      </c>
      <c r="C31" s="41">
        <v>6.76</v>
      </c>
      <c r="D31" s="41">
        <v>2.11</v>
      </c>
      <c r="E31" s="41">
        <v>4.21</v>
      </c>
      <c r="F31" s="41">
        <v>4.1500000000000004</v>
      </c>
      <c r="G31" s="41">
        <v>34.1</v>
      </c>
      <c r="H31" s="41">
        <v>16.059999999999999</v>
      </c>
      <c r="I31" s="41">
        <v>5.93</v>
      </c>
      <c r="J31" s="41">
        <v>0.27</v>
      </c>
      <c r="K31" s="41">
        <v>244.47</v>
      </c>
      <c r="L31" s="41">
        <v>26.01</v>
      </c>
      <c r="M31" s="41">
        <v>98.13</v>
      </c>
      <c r="N31" s="41">
        <v>2.2999999999999998</v>
      </c>
      <c r="O31" s="41">
        <v>0</v>
      </c>
      <c r="P31" s="41">
        <v>0.32</v>
      </c>
      <c r="Q31" s="41">
        <v>9.93</v>
      </c>
      <c r="R31" s="38"/>
      <c r="S31" s="38"/>
      <c r="T31" s="38"/>
      <c r="U31" s="38"/>
    </row>
    <row r="32" spans="1:21" customFormat="1">
      <c r="A32" s="40" t="s">
        <v>659</v>
      </c>
      <c r="B32" s="41">
        <v>5.77</v>
      </c>
      <c r="C32" s="41">
        <v>7.02</v>
      </c>
      <c r="D32" s="41">
        <v>2.21</v>
      </c>
      <c r="E32" s="41">
        <v>4.4800000000000004</v>
      </c>
      <c r="F32" s="41">
        <v>2.89</v>
      </c>
      <c r="G32" s="41">
        <v>29.09</v>
      </c>
      <c r="H32" s="41">
        <v>16.059999999999999</v>
      </c>
      <c r="I32" s="41">
        <v>5.58</v>
      </c>
      <c r="J32" s="41">
        <v>0.24</v>
      </c>
      <c r="K32" s="41">
        <v>249.06</v>
      </c>
      <c r="L32" s="41">
        <v>25.91</v>
      </c>
      <c r="M32" s="41">
        <v>99.19</v>
      </c>
      <c r="N32" s="41">
        <v>2.2999999999999998</v>
      </c>
      <c r="O32" s="41">
        <v>0</v>
      </c>
      <c r="P32" s="41">
        <v>0.31</v>
      </c>
      <c r="Q32" s="41">
        <v>9.93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4.03</v>
      </c>
      <c r="C34" s="18">
        <f t="shared" si="0"/>
        <v>6.04</v>
      </c>
      <c r="D34" s="18">
        <f t="shared" si="0"/>
        <v>1.83</v>
      </c>
      <c r="E34" s="18">
        <f t="shared" si="0"/>
        <v>4.13</v>
      </c>
      <c r="F34" s="18">
        <f t="shared" si="0"/>
        <v>2.25</v>
      </c>
      <c r="G34" s="18">
        <f t="shared" si="0"/>
        <v>16.940000000000001</v>
      </c>
      <c r="H34" s="18">
        <f t="shared" si="0"/>
        <v>7.35</v>
      </c>
      <c r="I34" s="18">
        <f t="shared" si="0"/>
        <v>3.42</v>
      </c>
      <c r="J34" s="18">
        <f t="shared" si="0"/>
        <v>0.24</v>
      </c>
      <c r="K34" s="18">
        <f t="shared" si="0"/>
        <v>244.47</v>
      </c>
      <c r="L34" s="18">
        <f t="shared" si="0"/>
        <v>25.91</v>
      </c>
      <c r="M34" s="18">
        <f t="shared" si="0"/>
        <v>66.150000000000006</v>
      </c>
      <c r="N34" s="18">
        <f t="shared" si="0"/>
        <v>2.1</v>
      </c>
      <c r="O34" s="18">
        <f t="shared" si="0"/>
        <v>0</v>
      </c>
      <c r="P34" s="18">
        <f t="shared" si="0"/>
        <v>0.31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5.77</v>
      </c>
      <c r="C35" s="3">
        <f t="shared" si="1"/>
        <v>8</v>
      </c>
      <c r="D35" s="3">
        <f t="shared" si="1"/>
        <v>5.09</v>
      </c>
      <c r="E35" s="3">
        <f t="shared" si="1"/>
        <v>6.62</v>
      </c>
      <c r="F35" s="3">
        <f t="shared" si="1"/>
        <v>7.26</v>
      </c>
      <c r="G35" s="3">
        <f t="shared" si="1"/>
        <v>55.57</v>
      </c>
      <c r="H35" s="3">
        <f t="shared" si="1"/>
        <v>17.61</v>
      </c>
      <c r="I35" s="3">
        <f t="shared" si="1"/>
        <v>10.44</v>
      </c>
      <c r="J35" s="3">
        <f t="shared" si="1"/>
        <v>1.17</v>
      </c>
      <c r="K35" s="3">
        <f t="shared" si="1"/>
        <v>287.95</v>
      </c>
      <c r="L35" s="3">
        <f t="shared" si="1"/>
        <v>32.07</v>
      </c>
      <c r="M35" s="3">
        <f t="shared" si="1"/>
        <v>100.7</v>
      </c>
      <c r="N35" s="3">
        <f t="shared" si="1"/>
        <v>393.5</v>
      </c>
      <c r="O35" s="3">
        <f t="shared" si="1"/>
        <v>1.2</v>
      </c>
      <c r="P35" s="3">
        <f t="shared" si="1"/>
        <v>0.65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4.9629166666666675</v>
      </c>
      <c r="C36" s="18">
        <f t="shared" si="2"/>
        <v>6.9708333333333341</v>
      </c>
      <c r="D36" s="18">
        <f t="shared" si="2"/>
        <v>3.242916666666666</v>
      </c>
      <c r="E36" s="18">
        <f t="shared" si="2"/>
        <v>5.2299999999999995</v>
      </c>
      <c r="F36" s="18">
        <f t="shared" si="2"/>
        <v>3.8166666666666669</v>
      </c>
      <c r="G36" s="18">
        <f t="shared" si="2"/>
        <v>35.972083333333337</v>
      </c>
      <c r="H36" s="18">
        <f t="shared" si="2"/>
        <v>13.458749999999997</v>
      </c>
      <c r="I36" s="18">
        <f t="shared" si="2"/>
        <v>6.682500000000001</v>
      </c>
      <c r="J36" s="18">
        <f t="shared" si="2"/>
        <v>0.67666666666666664</v>
      </c>
      <c r="K36" s="18">
        <f t="shared" si="2"/>
        <v>263.05833333333334</v>
      </c>
      <c r="L36" s="18">
        <f t="shared" si="2"/>
        <v>28.009166666666662</v>
      </c>
      <c r="M36" s="18">
        <f t="shared" si="2"/>
        <v>85.562083333333348</v>
      </c>
      <c r="N36" s="18">
        <f t="shared" si="2"/>
        <v>104.3</v>
      </c>
      <c r="O36" s="18">
        <f t="shared" si="2"/>
        <v>7.4999999999999997E-2</v>
      </c>
      <c r="P36" s="18">
        <f t="shared" si="2"/>
        <v>0.41375000000000006</v>
      </c>
      <c r="Q36" s="18">
        <f t="shared" si="2"/>
        <v>9.9225000000000012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0.54384683878640616</v>
      </c>
      <c r="C37" s="18">
        <f t="shared" ref="C37:Q37" si="3">STDEV(C9:C32)</f>
        <v>0.49176626355517161</v>
      </c>
      <c r="D37" s="18">
        <f t="shared" si="3"/>
        <v>0.95410089324597103</v>
      </c>
      <c r="E37" s="18">
        <f t="shared" si="3"/>
        <v>0.78586424317158976</v>
      </c>
      <c r="F37" s="18">
        <f t="shared" si="3"/>
        <v>1.2877302805177488</v>
      </c>
      <c r="G37" s="18">
        <f t="shared" si="3"/>
        <v>11.682469207122354</v>
      </c>
      <c r="H37" s="18">
        <f t="shared" si="3"/>
        <v>3.8523502848769255</v>
      </c>
      <c r="I37" s="18">
        <f t="shared" si="3"/>
        <v>2.6684326127327354</v>
      </c>
      <c r="J37" s="18">
        <f t="shared" si="3"/>
        <v>0.25898911621695747</v>
      </c>
      <c r="K37" s="18">
        <f t="shared" si="3"/>
        <v>11.563309540794613</v>
      </c>
      <c r="L37" s="18">
        <f t="shared" si="3"/>
        <v>2.3005385317859561</v>
      </c>
      <c r="M37" s="18">
        <f t="shared" si="3"/>
        <v>11.422561571832954</v>
      </c>
      <c r="N37" s="18">
        <f t="shared" si="3"/>
        <v>136.75489658191563</v>
      </c>
      <c r="O37" s="18">
        <f t="shared" si="3"/>
        <v>0.25580223339270447</v>
      </c>
      <c r="P37" s="18">
        <f t="shared" si="3"/>
        <v>0.10716961363631232</v>
      </c>
      <c r="Q37" s="18">
        <f t="shared" si="3"/>
        <v>1.1515584902738039E-2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660</v>
      </c>
      <c r="B9" s="41">
        <v>5.16</v>
      </c>
      <c r="C9" s="41">
        <v>6.75</v>
      </c>
      <c r="D9" s="41">
        <v>3.25</v>
      </c>
      <c r="E9" s="41">
        <v>4.5199999999999996</v>
      </c>
      <c r="F9" s="41">
        <v>2.3199999999999998</v>
      </c>
      <c r="G9" s="41">
        <v>29.09</v>
      </c>
      <c r="H9" s="41">
        <v>16.079999999999998</v>
      </c>
      <c r="I9" s="41">
        <v>5.45</v>
      </c>
      <c r="J9" s="41">
        <v>0.37</v>
      </c>
      <c r="K9" s="41">
        <v>252.1</v>
      </c>
      <c r="L9" s="41">
        <v>25.81</v>
      </c>
      <c r="M9" s="41">
        <v>99.59</v>
      </c>
      <c r="N9" s="41">
        <v>2.5</v>
      </c>
      <c r="O9" s="41">
        <v>0.6</v>
      </c>
      <c r="P9" s="41">
        <v>0.3</v>
      </c>
      <c r="Q9" s="41">
        <v>9.94</v>
      </c>
      <c r="R9" s="38"/>
      <c r="S9" s="38"/>
      <c r="T9" s="38"/>
      <c r="U9" s="38"/>
    </row>
    <row r="10" spans="1:21" customFormat="1">
      <c r="A10" s="40" t="s">
        <v>661</v>
      </c>
      <c r="B10" s="41">
        <v>4.53</v>
      </c>
      <c r="C10" s="41">
        <v>6.71</v>
      </c>
      <c r="D10" s="41">
        <v>3.3</v>
      </c>
      <c r="E10" s="41">
        <v>4.9800000000000004</v>
      </c>
      <c r="F10" s="41">
        <v>2.63</v>
      </c>
      <c r="G10" s="41">
        <v>28.16</v>
      </c>
      <c r="H10" s="41">
        <v>16.079999999999998</v>
      </c>
      <c r="I10" s="41">
        <v>5.3</v>
      </c>
      <c r="J10" s="41">
        <v>0.31</v>
      </c>
      <c r="K10" s="41">
        <v>248.13</v>
      </c>
      <c r="L10" s="41">
        <v>25.68</v>
      </c>
      <c r="M10" s="41">
        <v>99.68</v>
      </c>
      <c r="N10" s="41">
        <v>2.2999999999999998</v>
      </c>
      <c r="O10" s="41">
        <v>0.4</v>
      </c>
      <c r="P10" s="41">
        <v>0.25</v>
      </c>
      <c r="Q10" s="41">
        <v>9.92</v>
      </c>
      <c r="R10" s="38"/>
      <c r="S10" s="38"/>
      <c r="T10" s="38"/>
      <c r="U10" s="38"/>
    </row>
    <row r="11" spans="1:21" customFormat="1">
      <c r="A11" s="40" t="s">
        <v>662</v>
      </c>
      <c r="B11" s="41">
        <v>4.32</v>
      </c>
      <c r="C11" s="41">
        <v>6.49</v>
      </c>
      <c r="D11" s="41">
        <v>3.21</v>
      </c>
      <c r="E11" s="41">
        <v>6.11</v>
      </c>
      <c r="F11" s="41">
        <v>3.09</v>
      </c>
      <c r="G11" s="41">
        <v>28.16</v>
      </c>
      <c r="H11" s="41">
        <v>14.68</v>
      </c>
      <c r="I11" s="41">
        <v>5.01</v>
      </c>
      <c r="J11" s="41">
        <v>0.32</v>
      </c>
      <c r="K11" s="41">
        <v>253.13</v>
      </c>
      <c r="L11" s="41">
        <v>25.6</v>
      </c>
      <c r="M11" s="41">
        <v>99.7</v>
      </c>
      <c r="N11" s="41">
        <v>2.4</v>
      </c>
      <c r="O11" s="41">
        <v>0.4</v>
      </c>
      <c r="P11" s="41">
        <v>0.24</v>
      </c>
      <c r="Q11" s="41">
        <v>9.92</v>
      </c>
      <c r="R11" s="38"/>
      <c r="S11" s="38"/>
      <c r="T11" s="38"/>
      <c r="U11" s="38"/>
    </row>
    <row r="12" spans="1:21" customFormat="1">
      <c r="A12" s="40" t="s">
        <v>663</v>
      </c>
      <c r="B12" s="41">
        <v>4.0999999999999996</v>
      </c>
      <c r="C12" s="41">
        <v>6.22</v>
      </c>
      <c r="D12" s="41">
        <v>3.02</v>
      </c>
      <c r="E12" s="41">
        <v>6.21</v>
      </c>
      <c r="F12" s="41">
        <v>3.36</v>
      </c>
      <c r="G12" s="41">
        <v>28.29</v>
      </c>
      <c r="H12" s="41">
        <v>13.48</v>
      </c>
      <c r="I12" s="41">
        <v>4.6900000000000004</v>
      </c>
      <c r="J12" s="41">
        <v>0.33</v>
      </c>
      <c r="K12" s="41">
        <v>251.49</v>
      </c>
      <c r="L12" s="41">
        <v>25.61</v>
      </c>
      <c r="M12" s="41">
        <v>99.73</v>
      </c>
      <c r="N12" s="41">
        <v>2.4</v>
      </c>
      <c r="O12" s="41">
        <v>0.2</v>
      </c>
      <c r="P12" s="41">
        <v>0.22</v>
      </c>
      <c r="Q12" s="41">
        <v>9.92</v>
      </c>
      <c r="R12" s="38"/>
      <c r="S12" s="38"/>
      <c r="T12" s="38"/>
      <c r="U12" s="38"/>
    </row>
    <row r="13" spans="1:21" customFormat="1">
      <c r="A13" s="40" t="s">
        <v>664</v>
      </c>
      <c r="B13" s="41">
        <v>3.99</v>
      </c>
      <c r="C13" s="41">
        <v>5.98</v>
      </c>
      <c r="D13" s="41">
        <v>2.82</v>
      </c>
      <c r="E13" s="41">
        <v>6.28</v>
      </c>
      <c r="F13" s="41">
        <v>3.62</v>
      </c>
      <c r="G13" s="41">
        <v>28.7</v>
      </c>
      <c r="H13" s="41">
        <v>13.24</v>
      </c>
      <c r="I13" s="41">
        <v>4.42</v>
      </c>
      <c r="J13" s="41">
        <v>0.4</v>
      </c>
      <c r="K13" s="41">
        <v>256.83999999999997</v>
      </c>
      <c r="L13" s="41">
        <v>25.65</v>
      </c>
      <c r="M13" s="41">
        <v>99.74</v>
      </c>
      <c r="N13" s="41">
        <v>2.4</v>
      </c>
      <c r="O13" s="41">
        <v>0</v>
      </c>
      <c r="P13" s="41">
        <v>0.22</v>
      </c>
      <c r="Q13" s="41">
        <v>9.92</v>
      </c>
      <c r="R13" s="38"/>
      <c r="S13" s="38"/>
      <c r="T13" s="38"/>
      <c r="U13" s="38"/>
    </row>
    <row r="14" spans="1:21" customFormat="1">
      <c r="A14" s="40" t="s">
        <v>665</v>
      </c>
      <c r="B14" s="41">
        <v>4.05</v>
      </c>
      <c r="C14" s="41">
        <v>5.85</v>
      </c>
      <c r="D14" s="41">
        <v>2.71</v>
      </c>
      <c r="E14" s="41">
        <v>6.27</v>
      </c>
      <c r="F14" s="41">
        <v>3.13</v>
      </c>
      <c r="G14" s="41">
        <v>28.7</v>
      </c>
      <c r="H14" s="41">
        <v>14.53</v>
      </c>
      <c r="I14" s="41">
        <v>4.1500000000000004</v>
      </c>
      <c r="J14" s="41">
        <v>0.24</v>
      </c>
      <c r="K14" s="41">
        <v>253.23</v>
      </c>
      <c r="L14" s="41">
        <v>25.67</v>
      </c>
      <c r="M14" s="41">
        <v>99.75</v>
      </c>
      <c r="N14" s="41">
        <v>6.1</v>
      </c>
      <c r="O14" s="41">
        <v>0</v>
      </c>
      <c r="P14" s="41">
        <v>0.23</v>
      </c>
      <c r="Q14" s="41">
        <v>9.91</v>
      </c>
      <c r="R14" s="38"/>
      <c r="S14" s="38"/>
      <c r="T14" s="38"/>
      <c r="U14" s="38"/>
    </row>
    <row r="15" spans="1:21" customFormat="1">
      <c r="A15" s="40" t="s">
        <v>666</v>
      </c>
      <c r="B15" s="41">
        <v>5.13</v>
      </c>
      <c r="C15" s="41">
        <v>6.62</v>
      </c>
      <c r="D15" s="41">
        <v>2.21</v>
      </c>
      <c r="E15" s="41">
        <v>5.36</v>
      </c>
      <c r="F15" s="41">
        <v>2.46</v>
      </c>
      <c r="G15" s="41">
        <v>25.67</v>
      </c>
      <c r="H15" s="41">
        <v>15.53</v>
      </c>
      <c r="I15" s="41">
        <v>4.1900000000000004</v>
      </c>
      <c r="J15" s="41">
        <v>0.31</v>
      </c>
      <c r="K15" s="41">
        <v>285.20999999999998</v>
      </c>
      <c r="L15" s="41">
        <v>25.64</v>
      </c>
      <c r="M15" s="41">
        <v>99.75</v>
      </c>
      <c r="N15" s="41">
        <v>6.7</v>
      </c>
      <c r="O15" s="41">
        <v>10.4</v>
      </c>
      <c r="P15" s="41">
        <v>0.25</v>
      </c>
      <c r="Q15" s="41">
        <v>9.93</v>
      </c>
      <c r="R15" s="38"/>
      <c r="S15" s="38"/>
      <c r="T15" s="38"/>
      <c r="U15" s="38"/>
    </row>
    <row r="16" spans="1:21" customFormat="1">
      <c r="A16" s="40" t="s">
        <v>667</v>
      </c>
      <c r="B16" s="41">
        <v>5.61</v>
      </c>
      <c r="C16" s="41">
        <v>6.87</v>
      </c>
      <c r="D16" s="41">
        <v>2.11</v>
      </c>
      <c r="E16" s="41">
        <v>5.38</v>
      </c>
      <c r="F16" s="41">
        <v>2.4</v>
      </c>
      <c r="G16" s="41">
        <v>18.43</v>
      </c>
      <c r="H16" s="41">
        <v>15.53</v>
      </c>
      <c r="I16" s="41">
        <v>4.17</v>
      </c>
      <c r="J16" s="41">
        <v>0.28000000000000003</v>
      </c>
      <c r="K16" s="41">
        <v>252.09</v>
      </c>
      <c r="L16" s="41">
        <v>24.52</v>
      </c>
      <c r="M16" s="41">
        <v>99.65</v>
      </c>
      <c r="N16" s="41">
        <v>23</v>
      </c>
      <c r="O16" s="41">
        <v>0.8</v>
      </c>
      <c r="P16" s="41">
        <v>0.24</v>
      </c>
      <c r="Q16" s="41">
        <v>9.9499999999999993</v>
      </c>
      <c r="R16" s="38"/>
      <c r="S16" s="38"/>
      <c r="T16" s="38"/>
      <c r="U16" s="38"/>
    </row>
    <row r="17" spans="1:21" customFormat="1">
      <c r="A17" s="40" t="s">
        <v>668</v>
      </c>
      <c r="B17" s="41">
        <v>5.74</v>
      </c>
      <c r="C17" s="41">
        <v>7.05</v>
      </c>
      <c r="D17" s="41">
        <v>2.2999999999999998</v>
      </c>
      <c r="E17" s="41">
        <v>5.67</v>
      </c>
      <c r="F17" s="41">
        <v>2.27</v>
      </c>
      <c r="G17" s="41">
        <v>14.46</v>
      </c>
      <c r="H17" s="41">
        <v>11.37</v>
      </c>
      <c r="I17" s="41">
        <v>4.26</v>
      </c>
      <c r="J17" s="41">
        <v>0.61</v>
      </c>
      <c r="K17" s="41">
        <v>256.48</v>
      </c>
      <c r="L17" s="41">
        <v>24.6</v>
      </c>
      <c r="M17" s="41">
        <v>99.92</v>
      </c>
      <c r="N17" s="41">
        <v>81.7</v>
      </c>
      <c r="O17" s="41">
        <v>0.4</v>
      </c>
      <c r="P17" s="41">
        <v>0.26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669</v>
      </c>
      <c r="B18" s="41">
        <v>5.72</v>
      </c>
      <c r="C18" s="41">
        <v>7</v>
      </c>
      <c r="D18" s="41">
        <v>2.2599999999999998</v>
      </c>
      <c r="E18" s="41">
        <v>5.2</v>
      </c>
      <c r="F18" s="41">
        <v>2.85</v>
      </c>
      <c r="G18" s="41">
        <v>14.46</v>
      </c>
      <c r="H18" s="41">
        <v>8.67</v>
      </c>
      <c r="I18" s="41">
        <v>4.41</v>
      </c>
      <c r="J18" s="41">
        <v>0.59</v>
      </c>
      <c r="K18" s="41">
        <v>256.47000000000003</v>
      </c>
      <c r="L18" s="41">
        <v>25.24</v>
      </c>
      <c r="M18" s="41">
        <v>99.97</v>
      </c>
      <c r="N18" s="41">
        <v>79.900000000000006</v>
      </c>
      <c r="O18" s="41">
        <v>0.2</v>
      </c>
      <c r="P18" s="41">
        <v>0.26</v>
      </c>
      <c r="Q18" s="41">
        <v>9.94</v>
      </c>
      <c r="R18" s="38"/>
      <c r="S18" s="38"/>
      <c r="T18" s="38"/>
      <c r="U18" s="38"/>
    </row>
    <row r="19" spans="1:21" customFormat="1">
      <c r="A19" s="40" t="s">
        <v>670</v>
      </c>
      <c r="B19" s="41">
        <v>5.35</v>
      </c>
      <c r="C19" s="41">
        <v>7.3</v>
      </c>
      <c r="D19" s="41">
        <v>3.97</v>
      </c>
      <c r="E19" s="41">
        <v>5.52</v>
      </c>
      <c r="F19" s="41">
        <v>2.48</v>
      </c>
      <c r="G19" s="41">
        <v>12.64</v>
      </c>
      <c r="H19" s="41">
        <v>6.4</v>
      </c>
      <c r="I19" s="41">
        <v>4.3499999999999996</v>
      </c>
      <c r="J19" s="41">
        <v>0.66</v>
      </c>
      <c r="K19" s="41">
        <v>261.39</v>
      </c>
      <c r="L19" s="41">
        <v>26.01</v>
      </c>
      <c r="M19" s="41">
        <v>100.16</v>
      </c>
      <c r="N19" s="41">
        <v>136.6</v>
      </c>
      <c r="O19" s="41">
        <v>0</v>
      </c>
      <c r="P19" s="41">
        <v>0.24</v>
      </c>
      <c r="Q19" s="41">
        <v>9.93</v>
      </c>
      <c r="R19" s="38"/>
      <c r="S19" s="38"/>
      <c r="T19" s="38"/>
      <c r="U19" s="38"/>
    </row>
    <row r="20" spans="1:21" customFormat="1">
      <c r="A20" s="40" t="s">
        <v>671</v>
      </c>
      <c r="B20" s="41">
        <v>4.1100000000000003</v>
      </c>
      <c r="C20" s="41">
        <v>6.61</v>
      </c>
      <c r="D20" s="41">
        <v>3.91</v>
      </c>
      <c r="E20" s="41">
        <v>4.9800000000000004</v>
      </c>
      <c r="F20" s="41">
        <v>9.7799999999999994</v>
      </c>
      <c r="G20" s="41">
        <v>13.3</v>
      </c>
      <c r="H20" s="41">
        <v>5.32</v>
      </c>
      <c r="I20" s="41">
        <v>4.1100000000000003</v>
      </c>
      <c r="J20" s="41">
        <v>0.66</v>
      </c>
      <c r="K20" s="41">
        <v>266.72000000000003</v>
      </c>
      <c r="L20" s="41">
        <v>27.64</v>
      </c>
      <c r="M20" s="41">
        <v>100.16</v>
      </c>
      <c r="N20" s="41">
        <v>269.8</v>
      </c>
      <c r="O20" s="41">
        <v>0</v>
      </c>
      <c r="P20" s="41">
        <v>0.23</v>
      </c>
      <c r="Q20" s="41">
        <v>9.93</v>
      </c>
      <c r="R20" s="38"/>
      <c r="S20" s="38"/>
      <c r="T20" s="38"/>
      <c r="U20" s="38"/>
    </row>
    <row r="21" spans="1:21" customFormat="1">
      <c r="A21" s="40" t="s">
        <v>672</v>
      </c>
      <c r="B21" s="41">
        <v>2.85</v>
      </c>
      <c r="C21" s="41">
        <v>5.24</v>
      </c>
      <c r="D21" s="41">
        <v>3.19</v>
      </c>
      <c r="E21" s="41">
        <v>4.42</v>
      </c>
      <c r="F21" s="41">
        <v>15.33</v>
      </c>
      <c r="G21" s="41">
        <v>14.23</v>
      </c>
      <c r="H21" s="41">
        <v>7.74</v>
      </c>
      <c r="I21" s="41">
        <v>3.73</v>
      </c>
      <c r="J21" s="41">
        <v>0.71</v>
      </c>
      <c r="K21" s="41">
        <v>264.27</v>
      </c>
      <c r="L21" s="41">
        <v>28.67</v>
      </c>
      <c r="M21" s="41">
        <v>89.58</v>
      </c>
      <c r="N21" s="41">
        <v>339.8</v>
      </c>
      <c r="O21" s="41">
        <v>0</v>
      </c>
      <c r="P21" s="41">
        <v>0.2</v>
      </c>
      <c r="Q21" s="41">
        <v>9.94</v>
      </c>
      <c r="R21" s="38"/>
      <c r="S21" s="38"/>
      <c r="T21" s="38"/>
      <c r="U21" s="38"/>
    </row>
    <row r="22" spans="1:21" customFormat="1">
      <c r="A22" s="40" t="s">
        <v>673</v>
      </c>
      <c r="B22" s="41">
        <v>2.83</v>
      </c>
      <c r="C22" s="41">
        <v>5.08</v>
      </c>
      <c r="D22" s="41">
        <v>2.78</v>
      </c>
      <c r="E22" s="41">
        <v>4.3899999999999997</v>
      </c>
      <c r="F22" s="41">
        <v>19.03</v>
      </c>
      <c r="G22" s="41">
        <v>15.06</v>
      </c>
      <c r="H22" s="41">
        <v>7.74</v>
      </c>
      <c r="I22" s="41">
        <v>3.26</v>
      </c>
      <c r="J22" s="41">
        <v>0.83</v>
      </c>
      <c r="K22" s="41">
        <v>255.87</v>
      </c>
      <c r="L22" s="41">
        <v>30.21</v>
      </c>
      <c r="M22" s="41">
        <v>79.75</v>
      </c>
      <c r="N22" s="41">
        <v>674.8</v>
      </c>
      <c r="O22" s="41">
        <v>0</v>
      </c>
      <c r="P22" s="41">
        <v>0.19</v>
      </c>
      <c r="Q22" s="41">
        <v>9.94</v>
      </c>
      <c r="R22" s="38"/>
      <c r="S22" s="38"/>
      <c r="T22" s="38"/>
      <c r="U22" s="38"/>
    </row>
    <row r="23" spans="1:21" customFormat="1">
      <c r="A23" s="40" t="s">
        <v>674</v>
      </c>
      <c r="B23" s="41">
        <v>2.62</v>
      </c>
      <c r="C23" s="41">
        <v>4.83</v>
      </c>
      <c r="D23" s="41">
        <v>2.63</v>
      </c>
      <c r="E23" s="41">
        <v>4.29</v>
      </c>
      <c r="F23" s="41">
        <v>19.3</v>
      </c>
      <c r="G23" s="41">
        <v>15.06</v>
      </c>
      <c r="H23" s="41">
        <v>5.5</v>
      </c>
      <c r="I23" s="41">
        <v>2.87</v>
      </c>
      <c r="J23" s="41">
        <v>0.72</v>
      </c>
      <c r="K23" s="41">
        <v>261.70999999999998</v>
      </c>
      <c r="L23" s="41">
        <v>30.06</v>
      </c>
      <c r="M23" s="41">
        <v>77.33</v>
      </c>
      <c r="N23" s="41">
        <v>244.6</v>
      </c>
      <c r="O23" s="41">
        <v>0</v>
      </c>
      <c r="P23" s="41">
        <v>0.32</v>
      </c>
      <c r="Q23" s="41">
        <v>9.93</v>
      </c>
      <c r="R23" s="38"/>
      <c r="S23" s="38"/>
      <c r="T23" s="38"/>
      <c r="U23" s="38"/>
    </row>
    <row r="24" spans="1:21" customFormat="1">
      <c r="A24" s="40" t="s">
        <v>675</v>
      </c>
      <c r="B24" s="41">
        <v>2.73</v>
      </c>
      <c r="C24" s="41">
        <v>4.91</v>
      </c>
      <c r="D24" s="41">
        <v>2.81</v>
      </c>
      <c r="E24" s="41">
        <v>4.2</v>
      </c>
      <c r="F24" s="41">
        <v>18.91</v>
      </c>
      <c r="G24" s="41">
        <v>14.62</v>
      </c>
      <c r="H24" s="41">
        <v>6.93</v>
      </c>
      <c r="I24" s="41">
        <v>2.4900000000000002</v>
      </c>
      <c r="J24" s="41">
        <v>0.5</v>
      </c>
      <c r="K24" s="41">
        <v>246.29</v>
      </c>
      <c r="L24" s="41">
        <v>29.46</v>
      </c>
      <c r="M24" s="41">
        <v>100.5</v>
      </c>
      <c r="N24" s="41">
        <v>114.3</v>
      </c>
      <c r="O24" s="41">
        <v>3.2</v>
      </c>
      <c r="P24" s="41">
        <v>0.36</v>
      </c>
      <c r="Q24" s="41">
        <v>9.93</v>
      </c>
      <c r="R24" s="38"/>
      <c r="S24" s="38"/>
      <c r="T24" s="38"/>
      <c r="U24" s="38"/>
    </row>
    <row r="25" spans="1:21" customFormat="1">
      <c r="A25" s="40" t="s">
        <v>676</v>
      </c>
      <c r="B25" s="41">
        <v>2.59</v>
      </c>
      <c r="C25" s="41">
        <v>4.6500000000000004</v>
      </c>
      <c r="D25" s="41">
        <v>2.56</v>
      </c>
      <c r="E25" s="41">
        <v>3.16</v>
      </c>
      <c r="F25" s="41">
        <v>24.08</v>
      </c>
      <c r="G25" s="41">
        <v>11.97</v>
      </c>
      <c r="H25" s="41">
        <v>10</v>
      </c>
      <c r="I25" s="41">
        <v>2.2599999999999998</v>
      </c>
      <c r="J25" s="41">
        <v>0.76</v>
      </c>
      <c r="K25" s="41">
        <v>254.85</v>
      </c>
      <c r="L25" s="41">
        <v>27.37</v>
      </c>
      <c r="M25" s="41">
        <v>100.53</v>
      </c>
      <c r="N25" s="41">
        <v>97.5</v>
      </c>
      <c r="O25" s="41">
        <v>0</v>
      </c>
      <c r="P25" s="41">
        <v>0.34</v>
      </c>
      <c r="Q25" s="41">
        <v>9.9</v>
      </c>
      <c r="R25" s="38"/>
      <c r="S25" s="38"/>
      <c r="T25" s="38"/>
      <c r="U25" s="38"/>
    </row>
    <row r="26" spans="1:21" customFormat="1">
      <c r="A26" s="40" t="s">
        <v>677</v>
      </c>
      <c r="B26" s="41">
        <v>3.02</v>
      </c>
      <c r="C26" s="41">
        <v>4.8899999999999997</v>
      </c>
      <c r="D26" s="41">
        <v>2.71</v>
      </c>
      <c r="E26" s="41">
        <v>3.03</v>
      </c>
      <c r="F26" s="41">
        <v>5.84</v>
      </c>
      <c r="G26" s="41">
        <v>11.97</v>
      </c>
      <c r="H26" s="41">
        <v>10</v>
      </c>
      <c r="I26" s="41">
        <v>2.58</v>
      </c>
      <c r="J26" s="41">
        <v>0.67</v>
      </c>
      <c r="K26" s="41">
        <v>256.07</v>
      </c>
      <c r="L26" s="41">
        <v>27.33</v>
      </c>
      <c r="M26" s="41">
        <v>90.07</v>
      </c>
      <c r="N26" s="41">
        <v>83.4</v>
      </c>
      <c r="O26" s="41">
        <v>0</v>
      </c>
      <c r="P26" s="41">
        <v>0.35</v>
      </c>
      <c r="Q26" s="41">
        <v>9.91</v>
      </c>
      <c r="R26" s="38"/>
      <c r="S26" s="38"/>
      <c r="T26" s="38"/>
      <c r="U26" s="38"/>
    </row>
    <row r="27" spans="1:21" customFormat="1">
      <c r="A27" s="40" t="s">
        <v>678</v>
      </c>
      <c r="B27" s="41">
        <v>2.85</v>
      </c>
      <c r="C27" s="41">
        <v>4.67</v>
      </c>
      <c r="D27" s="41">
        <v>2.21</v>
      </c>
      <c r="E27" s="41">
        <v>4</v>
      </c>
      <c r="F27" s="41">
        <v>1.28</v>
      </c>
      <c r="G27" s="41">
        <v>9.17</v>
      </c>
      <c r="H27" s="41">
        <v>7.08</v>
      </c>
      <c r="I27" s="41">
        <v>2.89</v>
      </c>
      <c r="J27" s="41">
        <v>0.61</v>
      </c>
      <c r="K27" s="41">
        <v>257.62</v>
      </c>
      <c r="L27" s="41">
        <v>26.87</v>
      </c>
      <c r="M27" s="41">
        <v>88.31</v>
      </c>
      <c r="N27" s="41">
        <v>18.2</v>
      </c>
      <c r="O27" s="41">
        <v>0</v>
      </c>
      <c r="P27" s="41">
        <v>0.35</v>
      </c>
      <c r="Q27" s="41">
        <v>9.91</v>
      </c>
      <c r="R27" s="38"/>
      <c r="S27" s="38"/>
      <c r="T27" s="38"/>
      <c r="U27" s="38"/>
    </row>
    <row r="28" spans="1:21" customFormat="1">
      <c r="A28" s="40" t="s">
        <v>679</v>
      </c>
      <c r="B28" s="41">
        <v>3.24</v>
      </c>
      <c r="C28" s="41">
        <v>4.96</v>
      </c>
      <c r="D28" s="41">
        <v>2.0299999999999998</v>
      </c>
      <c r="E28" s="41">
        <v>3.96</v>
      </c>
      <c r="F28" s="41">
        <v>2</v>
      </c>
      <c r="G28" s="41">
        <v>16.37</v>
      </c>
      <c r="H28" s="41">
        <v>5.4</v>
      </c>
      <c r="I28" s="41">
        <v>3.34</v>
      </c>
      <c r="J28" s="41">
        <v>0.17</v>
      </c>
      <c r="K28" s="41">
        <v>235.41</v>
      </c>
      <c r="L28" s="41">
        <v>26.18</v>
      </c>
      <c r="M28" s="41">
        <v>92.57</v>
      </c>
      <c r="N28" s="41">
        <v>2.2999999999999998</v>
      </c>
      <c r="O28" s="41">
        <v>0</v>
      </c>
      <c r="P28" s="41">
        <v>0.36</v>
      </c>
      <c r="Q28" s="41">
        <v>9.92</v>
      </c>
      <c r="R28" s="38"/>
      <c r="S28" s="38"/>
      <c r="T28" s="38"/>
      <c r="U28" s="38"/>
    </row>
    <row r="29" spans="1:21" customFormat="1">
      <c r="A29" s="40" t="s">
        <v>680</v>
      </c>
      <c r="B29" s="41">
        <v>3.31</v>
      </c>
      <c r="C29" s="41">
        <v>5.34</v>
      </c>
      <c r="D29" s="41">
        <v>2.59</v>
      </c>
      <c r="E29" s="41">
        <v>4.91</v>
      </c>
      <c r="F29" s="41">
        <v>0.7</v>
      </c>
      <c r="G29" s="41">
        <v>17.350000000000001</v>
      </c>
      <c r="H29" s="41">
        <v>7.19</v>
      </c>
      <c r="I29" s="41">
        <v>3.75</v>
      </c>
      <c r="J29" s="41">
        <v>0.32</v>
      </c>
      <c r="K29" s="41">
        <v>253.31</v>
      </c>
      <c r="L29" s="41">
        <v>25.95</v>
      </c>
      <c r="M29" s="41">
        <v>94.35</v>
      </c>
      <c r="N29" s="41">
        <v>2.1</v>
      </c>
      <c r="O29" s="41">
        <v>0</v>
      </c>
      <c r="P29" s="41">
        <v>0.37</v>
      </c>
      <c r="Q29" s="41">
        <v>9.9</v>
      </c>
      <c r="R29" s="38"/>
      <c r="S29" s="38"/>
      <c r="T29" s="38"/>
      <c r="U29" s="38"/>
    </row>
    <row r="30" spans="1:21" customFormat="1">
      <c r="A30" s="40" t="s">
        <v>681</v>
      </c>
      <c r="B30" s="41">
        <v>3.22</v>
      </c>
      <c r="C30" s="41">
        <v>5.29</v>
      </c>
      <c r="D30" s="41">
        <v>2.6</v>
      </c>
      <c r="E30" s="41">
        <v>5.28</v>
      </c>
      <c r="F30" s="41">
        <v>0.72</v>
      </c>
      <c r="G30" s="41">
        <v>19.329999999999998</v>
      </c>
      <c r="H30" s="41">
        <v>7.19</v>
      </c>
      <c r="I30" s="41">
        <v>3.83</v>
      </c>
      <c r="J30" s="41">
        <v>0.6</v>
      </c>
      <c r="K30" s="41">
        <v>254.06</v>
      </c>
      <c r="L30" s="41">
        <v>26.31</v>
      </c>
      <c r="M30" s="41">
        <v>88.41</v>
      </c>
      <c r="N30" s="41">
        <v>2.1</v>
      </c>
      <c r="O30" s="41">
        <v>0</v>
      </c>
      <c r="P30" s="41">
        <v>0.37</v>
      </c>
      <c r="Q30" s="41">
        <v>9.92</v>
      </c>
      <c r="R30" s="38"/>
      <c r="S30" s="38"/>
      <c r="T30" s="38"/>
      <c r="U30" s="38"/>
    </row>
    <row r="31" spans="1:21" customFormat="1">
      <c r="A31" s="40" t="s">
        <v>682</v>
      </c>
      <c r="B31" s="41">
        <v>2.93</v>
      </c>
      <c r="C31" s="41">
        <v>5.0199999999999996</v>
      </c>
      <c r="D31" s="41">
        <v>2.54</v>
      </c>
      <c r="E31" s="41">
        <v>5.64</v>
      </c>
      <c r="F31" s="41">
        <v>0.6</v>
      </c>
      <c r="G31" s="41">
        <v>19.329999999999998</v>
      </c>
      <c r="H31" s="41">
        <v>5.03</v>
      </c>
      <c r="I31" s="41">
        <v>3.71</v>
      </c>
      <c r="J31" s="41">
        <v>0.47</v>
      </c>
      <c r="K31" s="41">
        <v>255.68</v>
      </c>
      <c r="L31" s="41">
        <v>26.19</v>
      </c>
      <c r="M31" s="41">
        <v>88.69</v>
      </c>
      <c r="N31" s="41">
        <v>2.2000000000000002</v>
      </c>
      <c r="O31" s="41">
        <v>0</v>
      </c>
      <c r="P31" s="41">
        <v>0.36</v>
      </c>
      <c r="Q31" s="41">
        <v>9.91</v>
      </c>
      <c r="R31" s="38"/>
      <c r="S31" s="38"/>
      <c r="T31" s="38"/>
      <c r="U31" s="38"/>
    </row>
    <row r="32" spans="1:21" customFormat="1">
      <c r="A32" s="40" t="s">
        <v>683</v>
      </c>
      <c r="B32" s="41">
        <v>3.02</v>
      </c>
      <c r="C32" s="41">
        <v>5.09</v>
      </c>
      <c r="D32" s="41">
        <v>2.5099999999999998</v>
      </c>
      <c r="E32" s="41">
        <v>5.94</v>
      </c>
      <c r="F32" s="41">
        <v>1.0900000000000001</v>
      </c>
      <c r="G32" s="41">
        <v>16.98</v>
      </c>
      <c r="H32" s="41">
        <v>6.58</v>
      </c>
      <c r="I32" s="41">
        <v>3.48</v>
      </c>
      <c r="J32" s="41">
        <v>0.35</v>
      </c>
      <c r="K32" s="41">
        <v>261.02999999999997</v>
      </c>
      <c r="L32" s="41">
        <v>25.92</v>
      </c>
      <c r="M32" s="41">
        <v>91.9</v>
      </c>
      <c r="N32" s="41">
        <v>2.1</v>
      </c>
      <c r="O32" s="41">
        <v>0</v>
      </c>
      <c r="P32" s="41">
        <v>0.35</v>
      </c>
      <c r="Q32" s="41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2.59</v>
      </c>
      <c r="C34" s="18">
        <f t="shared" si="0"/>
        <v>4.6500000000000004</v>
      </c>
      <c r="D34" s="18">
        <f t="shared" si="0"/>
        <v>2.0299999999999998</v>
      </c>
      <c r="E34" s="18">
        <f t="shared" si="0"/>
        <v>3.03</v>
      </c>
      <c r="F34" s="18">
        <f t="shared" si="0"/>
        <v>0.6</v>
      </c>
      <c r="G34" s="18">
        <f t="shared" si="0"/>
        <v>9.17</v>
      </c>
      <c r="H34" s="18">
        <f t="shared" si="0"/>
        <v>5.03</v>
      </c>
      <c r="I34" s="18">
        <f t="shared" si="0"/>
        <v>2.2599999999999998</v>
      </c>
      <c r="J34" s="18">
        <f t="shared" si="0"/>
        <v>0.17</v>
      </c>
      <c r="K34" s="18">
        <f t="shared" si="0"/>
        <v>235.41</v>
      </c>
      <c r="L34" s="18">
        <f t="shared" si="0"/>
        <v>24.52</v>
      </c>
      <c r="M34" s="18">
        <f t="shared" si="0"/>
        <v>77.33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5.74</v>
      </c>
      <c r="C35" s="3">
        <f t="shared" si="1"/>
        <v>7.3</v>
      </c>
      <c r="D35" s="3">
        <f t="shared" si="1"/>
        <v>3.97</v>
      </c>
      <c r="E35" s="3">
        <f t="shared" si="1"/>
        <v>6.28</v>
      </c>
      <c r="F35" s="3">
        <f t="shared" si="1"/>
        <v>24.08</v>
      </c>
      <c r="G35" s="3">
        <f t="shared" si="1"/>
        <v>29.09</v>
      </c>
      <c r="H35" s="3">
        <f t="shared" si="1"/>
        <v>16.079999999999998</v>
      </c>
      <c r="I35" s="3">
        <f t="shared" si="1"/>
        <v>5.45</v>
      </c>
      <c r="J35" s="3">
        <f t="shared" si="1"/>
        <v>0.83</v>
      </c>
      <c r="K35" s="3">
        <f t="shared" si="1"/>
        <v>285.20999999999998</v>
      </c>
      <c r="L35" s="3">
        <f t="shared" si="1"/>
        <v>30.21</v>
      </c>
      <c r="M35" s="3">
        <f t="shared" si="1"/>
        <v>100.53</v>
      </c>
      <c r="N35" s="3">
        <f t="shared" si="1"/>
        <v>674.8</v>
      </c>
      <c r="O35" s="3">
        <f t="shared" si="1"/>
        <v>10.4</v>
      </c>
      <c r="P35" s="3">
        <f t="shared" si="1"/>
        <v>0.37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3.875833333333333</v>
      </c>
      <c r="C36" s="18">
        <f t="shared" si="2"/>
        <v>5.8091666666666661</v>
      </c>
      <c r="D36" s="18">
        <f t="shared" si="2"/>
        <v>2.7595833333333335</v>
      </c>
      <c r="E36" s="18">
        <f t="shared" si="2"/>
        <v>4.9875000000000007</v>
      </c>
      <c r="F36" s="18">
        <f t="shared" si="2"/>
        <v>6.2195833333333326</v>
      </c>
      <c r="G36" s="18">
        <f t="shared" si="2"/>
        <v>18.812500000000004</v>
      </c>
      <c r="H36" s="18">
        <f t="shared" si="2"/>
        <v>9.8870833333333348</v>
      </c>
      <c r="I36" s="18">
        <f t="shared" si="2"/>
        <v>3.8624999999999994</v>
      </c>
      <c r="J36" s="18">
        <f t="shared" si="2"/>
        <v>0.49124999999999996</v>
      </c>
      <c r="K36" s="18">
        <f t="shared" si="2"/>
        <v>256.22708333333338</v>
      </c>
      <c r="L36" s="18">
        <f t="shared" si="2"/>
        <v>26.591249999999999</v>
      </c>
      <c r="M36" s="18">
        <f t="shared" si="2"/>
        <v>94.991249999999994</v>
      </c>
      <c r="N36" s="18">
        <f t="shared" si="2"/>
        <v>91.633333333333312</v>
      </c>
      <c r="O36" s="18">
        <f t="shared" si="2"/>
        <v>0.69166666666666676</v>
      </c>
      <c r="P36" s="18">
        <f t="shared" si="2"/>
        <v>0.28583333333333333</v>
      </c>
      <c r="Q36" s="18">
        <f t="shared" si="2"/>
        <v>9.9241666666666664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1.089638618460534</v>
      </c>
      <c r="C37" s="18">
        <f t="shared" ref="C37:Q37" si="3">STDEV(C9:C32)</f>
        <v>0.89501477600951707</v>
      </c>
      <c r="D37" s="18">
        <f t="shared" si="3"/>
        <v>0.51199082164553822</v>
      </c>
      <c r="E37" s="18">
        <f t="shared" si="3"/>
        <v>0.92756459988321849</v>
      </c>
      <c r="F37" s="18">
        <f t="shared" si="3"/>
        <v>7.234884380054293</v>
      </c>
      <c r="G37" s="18">
        <f t="shared" si="3"/>
        <v>6.5429319647732784</v>
      </c>
      <c r="H37" s="18">
        <f t="shared" si="3"/>
        <v>3.9567998478861544</v>
      </c>
      <c r="I37" s="18">
        <f t="shared" si="3"/>
        <v>0.8547628707527003</v>
      </c>
      <c r="J37" s="18">
        <f t="shared" si="3"/>
        <v>0.19004147144653782</v>
      </c>
      <c r="K37" s="18">
        <f t="shared" si="3"/>
        <v>8.8105660278942359</v>
      </c>
      <c r="L37" s="18">
        <f t="shared" si="3"/>
        <v>1.5842137331098711</v>
      </c>
      <c r="M37" s="18">
        <f t="shared" si="3"/>
        <v>6.8589721073616587</v>
      </c>
      <c r="N37" s="18">
        <f t="shared" si="3"/>
        <v>156.61633172284064</v>
      </c>
      <c r="O37" s="18">
        <f t="shared" si="3"/>
        <v>2.1717387677532303</v>
      </c>
      <c r="P37" s="18">
        <f t="shared" si="3"/>
        <v>6.2200004660049324E-2</v>
      </c>
      <c r="Q37" s="18">
        <f t="shared" si="3"/>
        <v>1.4421200175184614E-2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684</v>
      </c>
      <c r="B9" s="41">
        <v>4.38</v>
      </c>
      <c r="C9" s="41">
        <v>6.16</v>
      </c>
      <c r="D9" s="41">
        <v>2.63</v>
      </c>
      <c r="E9" s="41">
        <v>6.11</v>
      </c>
      <c r="F9" s="41">
        <v>0.93</v>
      </c>
      <c r="G9" s="41">
        <v>17.75</v>
      </c>
      <c r="H9" s="41">
        <v>7.62</v>
      </c>
      <c r="I9" s="41">
        <v>3.5</v>
      </c>
      <c r="J9" s="41">
        <v>0.36</v>
      </c>
      <c r="K9" s="41">
        <v>251</v>
      </c>
      <c r="L9" s="41">
        <v>25.84</v>
      </c>
      <c r="M9" s="41">
        <v>92.27</v>
      </c>
      <c r="N9" s="41">
        <v>1.7</v>
      </c>
      <c r="O9" s="41">
        <v>0</v>
      </c>
      <c r="P9" s="41">
        <v>0.35</v>
      </c>
      <c r="Q9" s="41">
        <v>9.93</v>
      </c>
      <c r="R9" s="38"/>
      <c r="S9" s="38"/>
      <c r="T9" s="38"/>
      <c r="U9" s="38"/>
    </row>
    <row r="10" spans="1:21" customFormat="1">
      <c r="A10" s="40" t="s">
        <v>685</v>
      </c>
      <c r="B10" s="41">
        <v>4.72</v>
      </c>
      <c r="C10" s="41">
        <v>6.18</v>
      </c>
      <c r="D10" s="41">
        <v>2.37</v>
      </c>
      <c r="E10" s="41">
        <v>6.28</v>
      </c>
      <c r="F10" s="41">
        <v>0.95</v>
      </c>
      <c r="G10" s="41">
        <v>17.75</v>
      </c>
      <c r="H10" s="41">
        <v>8.24</v>
      </c>
      <c r="I10" s="41">
        <v>3.38</v>
      </c>
      <c r="J10" s="41">
        <v>0.52</v>
      </c>
      <c r="K10" s="41">
        <v>257.38</v>
      </c>
      <c r="L10" s="41">
        <v>25.92</v>
      </c>
      <c r="M10" s="41">
        <v>89.62</v>
      </c>
      <c r="N10" s="41">
        <v>2.4</v>
      </c>
      <c r="O10" s="41">
        <v>0</v>
      </c>
      <c r="P10" s="41">
        <v>0.37</v>
      </c>
      <c r="Q10" s="41">
        <v>9.91</v>
      </c>
      <c r="R10" s="38"/>
      <c r="S10" s="38"/>
      <c r="T10" s="38"/>
      <c r="U10" s="38"/>
    </row>
    <row r="11" spans="1:21" customFormat="1">
      <c r="A11" s="40" t="s">
        <v>686</v>
      </c>
      <c r="B11" s="41">
        <v>5.18</v>
      </c>
      <c r="C11" s="41">
        <v>6.4</v>
      </c>
      <c r="D11" s="41">
        <v>1.85</v>
      </c>
      <c r="E11" s="41">
        <v>5.34</v>
      </c>
      <c r="F11" s="41">
        <v>0.87</v>
      </c>
      <c r="G11" s="41">
        <v>15.07</v>
      </c>
      <c r="H11" s="41">
        <v>8.24</v>
      </c>
      <c r="I11" s="41">
        <v>3.54</v>
      </c>
      <c r="J11" s="41">
        <v>0.57999999999999996</v>
      </c>
      <c r="K11" s="41">
        <v>258.70999999999998</v>
      </c>
      <c r="L11" s="41">
        <v>25.85</v>
      </c>
      <c r="M11" s="41">
        <v>89.89</v>
      </c>
      <c r="N11" s="41">
        <v>2.4</v>
      </c>
      <c r="O11" s="41">
        <v>0</v>
      </c>
      <c r="P11" s="41">
        <v>0.38</v>
      </c>
      <c r="Q11" s="41">
        <v>9.92</v>
      </c>
      <c r="R11" s="38"/>
      <c r="S11" s="38"/>
      <c r="T11" s="38"/>
      <c r="U11" s="38"/>
    </row>
    <row r="12" spans="1:21" customFormat="1">
      <c r="A12" s="40" t="s">
        <v>687</v>
      </c>
      <c r="B12" s="41">
        <v>5.46</v>
      </c>
      <c r="C12" s="41">
        <v>6.6</v>
      </c>
      <c r="D12" s="41">
        <v>1.71</v>
      </c>
      <c r="E12" s="41">
        <v>5.09</v>
      </c>
      <c r="F12" s="41">
        <v>0.3</v>
      </c>
      <c r="G12" s="41">
        <v>16.920000000000002</v>
      </c>
      <c r="H12" s="41">
        <v>6.55</v>
      </c>
      <c r="I12" s="41">
        <v>3.63</v>
      </c>
      <c r="J12" s="41">
        <v>0.73</v>
      </c>
      <c r="K12" s="41">
        <v>258.74</v>
      </c>
      <c r="L12" s="41">
        <v>25.77</v>
      </c>
      <c r="M12" s="41">
        <v>92.44</v>
      </c>
      <c r="N12" s="41">
        <v>2.7</v>
      </c>
      <c r="O12" s="41">
        <v>0.2</v>
      </c>
      <c r="P12" s="41">
        <v>0.37</v>
      </c>
      <c r="Q12" s="41">
        <v>9.92</v>
      </c>
      <c r="R12" s="38"/>
      <c r="S12" s="38"/>
      <c r="T12" s="38"/>
      <c r="U12" s="38"/>
    </row>
    <row r="13" spans="1:21" customFormat="1">
      <c r="A13" s="40" t="s">
        <v>688</v>
      </c>
      <c r="B13" s="41">
        <v>5.37</v>
      </c>
      <c r="C13" s="41">
        <v>6.62</v>
      </c>
      <c r="D13" s="41">
        <v>1.9</v>
      </c>
      <c r="E13" s="41">
        <v>5.36</v>
      </c>
      <c r="F13" s="41">
        <v>0.15</v>
      </c>
      <c r="G13" s="41">
        <v>16.920000000000002</v>
      </c>
      <c r="H13" s="41">
        <v>6.4</v>
      </c>
      <c r="I13" s="41">
        <v>3.64</v>
      </c>
      <c r="J13" s="41">
        <v>0.69</v>
      </c>
      <c r="K13" s="41">
        <v>257.01</v>
      </c>
      <c r="L13" s="41">
        <v>25.08</v>
      </c>
      <c r="M13" s="41">
        <v>94.05</v>
      </c>
      <c r="N13" s="41">
        <v>2</v>
      </c>
      <c r="O13" s="41">
        <v>0</v>
      </c>
      <c r="P13" s="41">
        <v>0.36</v>
      </c>
      <c r="Q13" s="41">
        <v>9.93</v>
      </c>
      <c r="R13" s="38"/>
      <c r="S13" s="38"/>
      <c r="T13" s="38"/>
      <c r="U13" s="38"/>
    </row>
    <row r="14" spans="1:21" customFormat="1">
      <c r="A14" s="40" t="s">
        <v>689</v>
      </c>
      <c r="B14" s="41">
        <v>5.33</v>
      </c>
      <c r="C14" s="41">
        <v>6.56</v>
      </c>
      <c r="D14" s="41">
        <v>1.99</v>
      </c>
      <c r="E14" s="41">
        <v>5.19</v>
      </c>
      <c r="F14" s="41">
        <v>0.18</v>
      </c>
      <c r="G14" s="41">
        <v>12.58</v>
      </c>
      <c r="H14" s="41">
        <v>5.28</v>
      </c>
      <c r="I14" s="41">
        <v>3.44</v>
      </c>
      <c r="J14" s="41">
        <v>0.72</v>
      </c>
      <c r="K14" s="41">
        <v>258.86</v>
      </c>
      <c r="L14" s="41">
        <v>25.03</v>
      </c>
      <c r="M14" s="41">
        <v>90.26</v>
      </c>
      <c r="N14" s="41">
        <v>15.5</v>
      </c>
      <c r="O14" s="41">
        <v>0</v>
      </c>
      <c r="P14" s="41">
        <v>0.36</v>
      </c>
      <c r="Q14" s="41">
        <v>9.92</v>
      </c>
      <c r="R14" s="38"/>
      <c r="S14" s="38"/>
      <c r="T14" s="38"/>
      <c r="U14" s="38"/>
    </row>
    <row r="15" spans="1:21" customFormat="1">
      <c r="A15" s="40" t="s">
        <v>690</v>
      </c>
      <c r="B15" s="41">
        <v>5.12</v>
      </c>
      <c r="C15" s="41">
        <v>6.74</v>
      </c>
      <c r="D15" s="41">
        <v>2.78</v>
      </c>
      <c r="E15" s="41">
        <v>5.9</v>
      </c>
      <c r="F15" s="41">
        <v>0.6</v>
      </c>
      <c r="G15" s="41">
        <v>10.66</v>
      </c>
      <c r="H15" s="41">
        <v>6.46</v>
      </c>
      <c r="I15" s="41">
        <v>3.44</v>
      </c>
      <c r="J15" s="41">
        <v>0.5</v>
      </c>
      <c r="K15" s="41">
        <v>258.27999999999997</v>
      </c>
      <c r="L15" s="41">
        <v>25.73</v>
      </c>
      <c r="M15" s="41">
        <v>90</v>
      </c>
      <c r="N15" s="41">
        <v>51.2</v>
      </c>
      <c r="O15" s="41">
        <v>0</v>
      </c>
      <c r="P15" s="41">
        <v>0.32</v>
      </c>
      <c r="Q15" s="41">
        <v>9.92</v>
      </c>
      <c r="R15" s="38"/>
      <c r="S15" s="38"/>
      <c r="T15" s="38"/>
      <c r="U15" s="38"/>
    </row>
    <row r="16" spans="1:21" customFormat="1">
      <c r="A16" s="40" t="s">
        <v>691</v>
      </c>
      <c r="B16" s="41">
        <v>4.7699999999999996</v>
      </c>
      <c r="C16" s="41">
        <v>6.6</v>
      </c>
      <c r="D16" s="41">
        <v>2.73</v>
      </c>
      <c r="E16" s="41">
        <v>6.05</v>
      </c>
      <c r="F16" s="41">
        <v>1.3</v>
      </c>
      <c r="G16" s="41">
        <v>10.98</v>
      </c>
      <c r="H16" s="41">
        <v>6.46</v>
      </c>
      <c r="I16" s="41">
        <v>3.52</v>
      </c>
      <c r="J16" s="41">
        <v>0.79</v>
      </c>
      <c r="K16" s="41">
        <v>256.86</v>
      </c>
      <c r="L16" s="41">
        <v>26.34</v>
      </c>
      <c r="M16" s="41">
        <v>87.45</v>
      </c>
      <c r="N16" s="41">
        <v>156.30000000000001</v>
      </c>
      <c r="O16" s="41">
        <v>0</v>
      </c>
      <c r="P16" s="41">
        <v>0.33</v>
      </c>
      <c r="Q16" s="41">
        <v>9.93</v>
      </c>
      <c r="R16" s="38"/>
      <c r="S16" s="38"/>
      <c r="T16" s="38"/>
      <c r="U16" s="38"/>
    </row>
    <row r="17" spans="1:21" customFormat="1">
      <c r="A17" s="40" t="s">
        <v>692</v>
      </c>
      <c r="B17" s="41">
        <v>4.47</v>
      </c>
      <c r="C17" s="41">
        <v>6.35</v>
      </c>
      <c r="D17" s="41">
        <v>2.71</v>
      </c>
      <c r="E17" s="41">
        <v>5.92</v>
      </c>
      <c r="F17" s="41">
        <v>1.07</v>
      </c>
      <c r="G17" s="41">
        <v>14.96</v>
      </c>
      <c r="H17" s="41">
        <v>7.39</v>
      </c>
      <c r="I17" s="41">
        <v>3.4</v>
      </c>
      <c r="J17" s="41">
        <v>0.96</v>
      </c>
      <c r="K17" s="41">
        <v>257.04000000000002</v>
      </c>
      <c r="L17" s="41">
        <v>26.9</v>
      </c>
      <c r="M17" s="41">
        <v>84.43</v>
      </c>
      <c r="N17" s="41">
        <v>185.6</v>
      </c>
      <c r="O17" s="41">
        <v>0</v>
      </c>
      <c r="P17" s="41">
        <v>0.32</v>
      </c>
      <c r="Q17" s="41">
        <v>9.92</v>
      </c>
      <c r="R17" s="38"/>
      <c r="S17" s="38"/>
      <c r="T17" s="38"/>
      <c r="U17" s="38"/>
    </row>
    <row r="18" spans="1:21" customFormat="1">
      <c r="A18" s="40" t="s">
        <v>693</v>
      </c>
      <c r="B18" s="41">
        <v>4.2300000000000004</v>
      </c>
      <c r="C18" s="41">
        <v>6.11</v>
      </c>
      <c r="D18" s="41">
        <v>2.61</v>
      </c>
      <c r="E18" s="41">
        <v>5.73</v>
      </c>
      <c r="F18" s="41">
        <v>1.18</v>
      </c>
      <c r="G18" s="41">
        <v>15.9</v>
      </c>
      <c r="H18" s="41">
        <v>8.1999999999999993</v>
      </c>
      <c r="I18" s="41">
        <v>3.3</v>
      </c>
      <c r="J18" s="41">
        <v>0.96</v>
      </c>
      <c r="K18" s="41">
        <v>257.33</v>
      </c>
      <c r="L18" s="41">
        <v>27.23</v>
      </c>
      <c r="M18" s="41">
        <v>84.58</v>
      </c>
      <c r="N18" s="41">
        <v>167.2</v>
      </c>
      <c r="O18" s="41">
        <v>0</v>
      </c>
      <c r="P18" s="41">
        <v>0.32</v>
      </c>
      <c r="Q18" s="41">
        <v>9.91</v>
      </c>
      <c r="R18" s="38"/>
      <c r="S18" s="38"/>
      <c r="T18" s="38"/>
      <c r="U18" s="38"/>
    </row>
    <row r="19" spans="1:21" customFormat="1">
      <c r="A19" s="40" t="s">
        <v>694</v>
      </c>
      <c r="B19" s="8" t="s">
        <v>4</v>
      </c>
      <c r="C19" s="8" t="s">
        <v>4</v>
      </c>
      <c r="D19" s="8" t="s">
        <v>4</v>
      </c>
      <c r="E19" s="8" t="s">
        <v>4</v>
      </c>
      <c r="F19" s="8" t="s">
        <v>4</v>
      </c>
      <c r="G19" s="8" t="s">
        <v>4</v>
      </c>
      <c r="H19" s="8" t="s">
        <v>4</v>
      </c>
      <c r="I19" s="8" t="s">
        <v>4</v>
      </c>
      <c r="J19" s="8" t="s">
        <v>4</v>
      </c>
      <c r="K19" s="8" t="s">
        <v>4</v>
      </c>
      <c r="L19" s="8" t="s">
        <v>4</v>
      </c>
      <c r="M19" s="8" t="s">
        <v>4</v>
      </c>
      <c r="N19" s="8" t="s">
        <v>4</v>
      </c>
      <c r="O19" s="8" t="s">
        <v>4</v>
      </c>
      <c r="P19" s="8" t="s">
        <v>4</v>
      </c>
      <c r="Q19" s="8" t="s">
        <v>4</v>
      </c>
      <c r="R19" s="38"/>
      <c r="S19" s="38"/>
      <c r="T19" s="38"/>
      <c r="U19" s="38"/>
    </row>
    <row r="20" spans="1:21" customFormat="1">
      <c r="A20" s="40" t="s">
        <v>695</v>
      </c>
      <c r="B20" s="8" t="s">
        <v>4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 t="s">
        <v>4</v>
      </c>
      <c r="I20" s="8" t="s">
        <v>4</v>
      </c>
      <c r="J20" s="8" t="s">
        <v>4</v>
      </c>
      <c r="K20" s="8" t="s">
        <v>4</v>
      </c>
      <c r="L20" s="8" t="s">
        <v>4</v>
      </c>
      <c r="M20" s="8" t="s">
        <v>4</v>
      </c>
      <c r="N20" s="8" t="s">
        <v>4</v>
      </c>
      <c r="O20" s="8" t="s">
        <v>4</v>
      </c>
      <c r="P20" s="8" t="s">
        <v>4</v>
      </c>
      <c r="Q20" s="8" t="s">
        <v>4</v>
      </c>
      <c r="R20" s="38"/>
      <c r="S20" s="38"/>
      <c r="T20" s="38"/>
      <c r="U20" s="38"/>
    </row>
    <row r="21" spans="1:21" customFormat="1">
      <c r="A21" s="40" t="s">
        <v>696</v>
      </c>
      <c r="B21" s="26" t="s">
        <v>21</v>
      </c>
      <c r="C21" s="26" t="s">
        <v>21</v>
      </c>
      <c r="D21" s="26" t="s">
        <v>21</v>
      </c>
      <c r="E21" s="26" t="s">
        <v>21</v>
      </c>
      <c r="F21" s="26" t="s">
        <v>21</v>
      </c>
      <c r="G21" s="26" t="s">
        <v>21</v>
      </c>
      <c r="H21" s="26" t="s">
        <v>21</v>
      </c>
      <c r="I21" s="26" t="s">
        <v>21</v>
      </c>
      <c r="J21" s="41">
        <v>1.18</v>
      </c>
      <c r="K21" s="41">
        <v>262.38</v>
      </c>
      <c r="L21" s="41">
        <v>28.76</v>
      </c>
      <c r="M21" s="41">
        <v>75.17</v>
      </c>
      <c r="N21" s="41">
        <v>420.2</v>
      </c>
      <c r="O21" s="41">
        <v>0</v>
      </c>
      <c r="P21" s="41">
        <v>0.47</v>
      </c>
      <c r="Q21" s="26" t="s">
        <v>21</v>
      </c>
      <c r="R21" s="38"/>
      <c r="S21" s="38"/>
      <c r="T21" s="38"/>
      <c r="U21" s="38"/>
    </row>
    <row r="22" spans="1:21" customFormat="1">
      <c r="A22" s="40" t="s">
        <v>697</v>
      </c>
      <c r="B22" s="41">
        <v>5.08</v>
      </c>
      <c r="C22" s="41">
        <v>6.26</v>
      </c>
      <c r="D22" s="41">
        <v>2.57</v>
      </c>
      <c r="E22" s="41">
        <v>6.4</v>
      </c>
      <c r="F22" s="41">
        <v>3.75</v>
      </c>
      <c r="G22" s="41">
        <v>35.54</v>
      </c>
      <c r="H22" s="41">
        <v>20.11</v>
      </c>
      <c r="I22" s="41">
        <v>3.77</v>
      </c>
      <c r="J22" s="41">
        <v>1.24</v>
      </c>
      <c r="K22" s="41">
        <v>262.10000000000002</v>
      </c>
      <c r="L22" s="41">
        <v>30.38</v>
      </c>
      <c r="M22" s="41">
        <v>72.650000000000006</v>
      </c>
      <c r="N22" s="41">
        <v>611</v>
      </c>
      <c r="O22" s="41">
        <v>0</v>
      </c>
      <c r="P22" s="41">
        <v>0.14000000000000001</v>
      </c>
      <c r="Q22" s="26" t="s">
        <v>21</v>
      </c>
      <c r="R22" s="38"/>
      <c r="S22" s="38"/>
      <c r="T22" s="38"/>
      <c r="U22" s="38"/>
    </row>
    <row r="23" spans="1:21" customFormat="1">
      <c r="A23" s="40" t="s">
        <v>698</v>
      </c>
      <c r="B23" s="41">
        <v>3.14</v>
      </c>
      <c r="C23" s="41">
        <v>5.19</v>
      </c>
      <c r="D23" s="41">
        <v>2.54</v>
      </c>
      <c r="E23" s="41">
        <v>6.4</v>
      </c>
      <c r="F23" s="41">
        <v>2.59</v>
      </c>
      <c r="G23" s="41">
        <v>35.54</v>
      </c>
      <c r="H23" s="41">
        <v>20.11</v>
      </c>
      <c r="I23" s="41">
        <v>3.48</v>
      </c>
      <c r="J23" s="41">
        <v>1.22</v>
      </c>
      <c r="K23" s="41">
        <v>258.52999999999997</v>
      </c>
      <c r="L23" s="41">
        <v>29.71</v>
      </c>
      <c r="M23" s="41">
        <v>72.400000000000006</v>
      </c>
      <c r="N23" s="41">
        <v>259.89999999999998</v>
      </c>
      <c r="O23" s="41">
        <v>0</v>
      </c>
      <c r="P23" s="41">
        <v>0.25</v>
      </c>
      <c r="Q23" s="26" t="s">
        <v>21</v>
      </c>
      <c r="R23" s="38"/>
      <c r="S23" s="38"/>
      <c r="T23" s="38"/>
      <c r="U23" s="38"/>
    </row>
    <row r="24" spans="1:21" customFormat="1">
      <c r="A24" s="40" t="s">
        <v>699</v>
      </c>
      <c r="B24" s="41">
        <v>2.4700000000000002</v>
      </c>
      <c r="C24" s="41">
        <v>4.5999999999999996</v>
      </c>
      <c r="D24" s="41">
        <v>2.42</v>
      </c>
      <c r="E24" s="41">
        <v>6.4</v>
      </c>
      <c r="F24" s="41">
        <v>3.06</v>
      </c>
      <c r="G24" s="41">
        <v>29.48</v>
      </c>
      <c r="H24" s="41">
        <v>16.170000000000002</v>
      </c>
      <c r="I24" s="41">
        <v>3.48</v>
      </c>
      <c r="J24" s="41">
        <v>1.05</v>
      </c>
      <c r="K24" s="41">
        <v>259.97000000000003</v>
      </c>
      <c r="L24" s="41">
        <v>28.91</v>
      </c>
      <c r="M24" s="41">
        <v>74.05</v>
      </c>
      <c r="N24" s="41">
        <v>130.30000000000001</v>
      </c>
      <c r="O24" s="41">
        <v>0</v>
      </c>
      <c r="P24" s="41">
        <v>0.23</v>
      </c>
      <c r="Q24" s="41">
        <v>10.58</v>
      </c>
      <c r="R24" s="38"/>
      <c r="S24" s="38"/>
      <c r="T24" s="38"/>
      <c r="U24" s="38"/>
    </row>
    <row r="25" spans="1:21" customFormat="1">
      <c r="A25" s="40" t="s">
        <v>700</v>
      </c>
      <c r="B25" s="41">
        <v>2</v>
      </c>
      <c r="C25" s="41">
        <v>4.18</v>
      </c>
      <c r="D25" s="41">
        <v>2.35</v>
      </c>
      <c r="E25" s="41">
        <v>6.4</v>
      </c>
      <c r="F25" s="41">
        <v>2.89</v>
      </c>
      <c r="G25" s="41">
        <v>31.11</v>
      </c>
      <c r="H25" s="41">
        <v>14.1</v>
      </c>
      <c r="I25" s="41">
        <v>3.4</v>
      </c>
      <c r="J25" s="41">
        <v>0.89</v>
      </c>
      <c r="K25" s="41">
        <v>260.79000000000002</v>
      </c>
      <c r="L25" s="41">
        <v>29.42</v>
      </c>
      <c r="M25" s="41">
        <v>71.78</v>
      </c>
      <c r="N25" s="41">
        <v>130.30000000000001</v>
      </c>
      <c r="O25" s="41">
        <v>0</v>
      </c>
      <c r="P25" s="41">
        <v>0.24</v>
      </c>
      <c r="Q25" s="41">
        <v>10.58</v>
      </c>
      <c r="R25" s="38"/>
      <c r="S25" s="38"/>
      <c r="T25" s="38"/>
      <c r="U25" s="38"/>
    </row>
    <row r="26" spans="1:21" customFormat="1">
      <c r="A26" s="40" t="s">
        <v>701</v>
      </c>
      <c r="B26" s="41">
        <v>2</v>
      </c>
      <c r="C26" s="41">
        <v>4.8499999999999996</v>
      </c>
      <c r="D26" s="41">
        <v>3.63</v>
      </c>
      <c r="E26" s="41">
        <v>6.4</v>
      </c>
      <c r="F26" s="41">
        <v>3.59</v>
      </c>
      <c r="G26" s="41">
        <v>34.07</v>
      </c>
      <c r="H26" s="41">
        <v>12.12</v>
      </c>
      <c r="I26" s="41">
        <v>3.41</v>
      </c>
      <c r="J26" s="41">
        <v>0.88</v>
      </c>
      <c r="K26" s="41">
        <v>260.31</v>
      </c>
      <c r="L26" s="41">
        <v>29.69</v>
      </c>
      <c r="M26" s="41">
        <v>69.349999999999994</v>
      </c>
      <c r="N26" s="41">
        <v>102.7</v>
      </c>
      <c r="O26" s="41">
        <v>0</v>
      </c>
      <c r="P26" s="41">
        <v>0.22</v>
      </c>
      <c r="Q26" s="41">
        <v>10.58</v>
      </c>
      <c r="R26" s="38"/>
      <c r="S26" s="38"/>
      <c r="T26" s="38"/>
      <c r="U26" s="38"/>
    </row>
    <row r="27" spans="1:21" customFormat="1">
      <c r="A27" s="40" t="s">
        <v>702</v>
      </c>
      <c r="B27" s="41">
        <v>2</v>
      </c>
      <c r="C27" s="41">
        <v>4.8499999999999996</v>
      </c>
      <c r="D27" s="41">
        <v>3.62</v>
      </c>
      <c r="E27" s="41">
        <v>4.59</v>
      </c>
      <c r="F27" s="41">
        <v>1.75</v>
      </c>
      <c r="G27" s="41">
        <v>34.07</v>
      </c>
      <c r="H27" s="41">
        <v>12.12</v>
      </c>
      <c r="I27" s="41">
        <v>3.31</v>
      </c>
      <c r="J27" s="41">
        <v>0.74</v>
      </c>
      <c r="K27" s="41">
        <v>260.42</v>
      </c>
      <c r="L27" s="41">
        <v>29.4</v>
      </c>
      <c r="M27" s="41">
        <v>72.72</v>
      </c>
      <c r="N27" s="41">
        <v>30.4</v>
      </c>
      <c r="O27" s="41">
        <v>0</v>
      </c>
      <c r="P27" s="41">
        <v>0.2</v>
      </c>
      <c r="Q27" s="41">
        <v>10.58</v>
      </c>
      <c r="R27" s="38"/>
      <c r="S27" s="38"/>
      <c r="T27" s="38"/>
      <c r="U27" s="38"/>
    </row>
    <row r="28" spans="1:21" customFormat="1">
      <c r="A28" s="40" t="s">
        <v>703</v>
      </c>
      <c r="B28" s="41">
        <v>2</v>
      </c>
      <c r="C28" s="41">
        <v>4.8</v>
      </c>
      <c r="D28" s="41">
        <v>3.53</v>
      </c>
      <c r="E28" s="41">
        <v>5.0199999999999996</v>
      </c>
      <c r="F28" s="41">
        <v>0.94</v>
      </c>
      <c r="G28" s="41">
        <v>31.42</v>
      </c>
      <c r="H28" s="41">
        <v>12</v>
      </c>
      <c r="I28" s="41">
        <v>3.39</v>
      </c>
      <c r="J28" s="41">
        <v>0.41</v>
      </c>
      <c r="K28" s="41">
        <v>254.41</v>
      </c>
      <c r="L28" s="41">
        <v>28.7</v>
      </c>
      <c r="M28" s="41">
        <v>77.41</v>
      </c>
      <c r="N28" s="41">
        <v>2.2999999999999998</v>
      </c>
      <c r="O28" s="41">
        <v>0</v>
      </c>
      <c r="P28" s="41">
        <v>0.23</v>
      </c>
      <c r="Q28" s="41">
        <v>10.58</v>
      </c>
      <c r="R28" s="38"/>
      <c r="S28" s="38"/>
      <c r="T28" s="38"/>
      <c r="U28" s="38"/>
    </row>
    <row r="29" spans="1:21" customFormat="1">
      <c r="A29" s="40" t="s">
        <v>704</v>
      </c>
      <c r="B29" s="41">
        <v>2.02</v>
      </c>
      <c r="C29" s="41">
        <v>4.83</v>
      </c>
      <c r="D29" s="41">
        <v>3.58</v>
      </c>
      <c r="E29" s="41">
        <v>5.01</v>
      </c>
      <c r="F29" s="41">
        <v>0.79</v>
      </c>
      <c r="G29" s="41">
        <v>33.54</v>
      </c>
      <c r="H29" s="41">
        <v>13.79</v>
      </c>
      <c r="I29" s="41">
        <v>3.96</v>
      </c>
      <c r="J29" s="41">
        <v>0.27</v>
      </c>
      <c r="K29" s="41">
        <v>237.84</v>
      </c>
      <c r="L29" s="41">
        <v>27.99</v>
      </c>
      <c r="M29" s="41">
        <v>89.82</v>
      </c>
      <c r="N29" s="41">
        <v>3.5</v>
      </c>
      <c r="O29" s="41">
        <v>0.2</v>
      </c>
      <c r="P29" s="41">
        <v>0.25</v>
      </c>
      <c r="Q29" s="41">
        <v>10.58</v>
      </c>
      <c r="R29" s="38"/>
      <c r="S29" s="38"/>
      <c r="T29" s="38"/>
      <c r="U29" s="38"/>
    </row>
    <row r="30" spans="1:21" customFormat="1">
      <c r="A30" s="40" t="s">
        <v>705</v>
      </c>
      <c r="B30" s="41">
        <v>2.0499999999999998</v>
      </c>
      <c r="C30" s="41">
        <v>4.76</v>
      </c>
      <c r="D30" s="41">
        <v>3.37</v>
      </c>
      <c r="E30" s="41">
        <v>5.0599999999999996</v>
      </c>
      <c r="F30" s="41">
        <v>1.69</v>
      </c>
      <c r="G30" s="41">
        <v>36.090000000000003</v>
      </c>
      <c r="H30" s="41">
        <v>13.79</v>
      </c>
      <c r="I30" s="41">
        <v>4.2</v>
      </c>
      <c r="J30" s="41">
        <v>1.42</v>
      </c>
      <c r="K30" s="41">
        <v>270.56</v>
      </c>
      <c r="L30" s="41">
        <v>27.02</v>
      </c>
      <c r="M30" s="41">
        <v>91.62</v>
      </c>
      <c r="N30" s="41">
        <v>4.9000000000000004</v>
      </c>
      <c r="O30" s="41">
        <v>0.2</v>
      </c>
      <c r="P30" s="41">
        <v>0.27</v>
      </c>
      <c r="Q30" s="41">
        <v>10.58</v>
      </c>
      <c r="R30" s="38"/>
      <c r="S30" s="38"/>
      <c r="T30" s="38"/>
      <c r="U30" s="38"/>
    </row>
    <row r="31" spans="1:21" customFormat="1">
      <c r="A31" s="40" t="s">
        <v>706</v>
      </c>
      <c r="B31" s="41">
        <v>2.2799999999999998</v>
      </c>
      <c r="C31" s="41">
        <v>5.04</v>
      </c>
      <c r="D31" s="41">
        <v>3.69</v>
      </c>
      <c r="E31" s="41">
        <v>5.14</v>
      </c>
      <c r="F31" s="41">
        <v>1.18</v>
      </c>
      <c r="G31" s="41">
        <v>36.090000000000003</v>
      </c>
      <c r="H31" s="41">
        <v>13.77</v>
      </c>
      <c r="I31" s="41">
        <v>4.17</v>
      </c>
      <c r="J31" s="41">
        <v>0.82</v>
      </c>
      <c r="K31" s="41">
        <v>273.31</v>
      </c>
      <c r="L31" s="41">
        <v>24.68</v>
      </c>
      <c r="M31" s="41">
        <v>94.41</v>
      </c>
      <c r="N31" s="41">
        <v>2.2000000000000002</v>
      </c>
      <c r="O31" s="41">
        <v>0.2</v>
      </c>
      <c r="P31" s="41">
        <v>0.35</v>
      </c>
      <c r="Q31" s="41">
        <v>10.58</v>
      </c>
      <c r="R31" s="38"/>
      <c r="S31" s="38"/>
      <c r="T31" s="38"/>
      <c r="U31" s="38"/>
    </row>
    <row r="32" spans="1:21" customFormat="1">
      <c r="A32" s="40" t="s">
        <v>707</v>
      </c>
      <c r="B32" s="41">
        <v>2.67</v>
      </c>
      <c r="C32" s="41">
        <v>4.84</v>
      </c>
      <c r="D32" s="41">
        <v>2.92</v>
      </c>
      <c r="E32" s="41">
        <v>4.74</v>
      </c>
      <c r="F32" s="41">
        <v>0.45</v>
      </c>
      <c r="G32" s="41">
        <v>35.79</v>
      </c>
      <c r="H32" s="41">
        <v>13.77</v>
      </c>
      <c r="I32" s="41">
        <v>4.3899999999999997</v>
      </c>
      <c r="J32" s="41">
        <v>0.73</v>
      </c>
      <c r="K32" s="41">
        <v>271.89</v>
      </c>
      <c r="L32" s="41">
        <v>24.65</v>
      </c>
      <c r="M32" s="41">
        <v>93.72</v>
      </c>
      <c r="N32" s="41">
        <v>2.5</v>
      </c>
      <c r="O32" s="41">
        <v>0</v>
      </c>
      <c r="P32" s="41">
        <v>0.35</v>
      </c>
      <c r="Q32" s="41">
        <v>10.58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</v>
      </c>
      <c r="C34" s="18">
        <f t="shared" si="0"/>
        <v>4.18</v>
      </c>
      <c r="D34" s="18">
        <f t="shared" si="0"/>
        <v>1.71</v>
      </c>
      <c r="E34" s="18">
        <f t="shared" si="0"/>
        <v>4.59</v>
      </c>
      <c r="F34" s="18">
        <f t="shared" si="0"/>
        <v>0.15</v>
      </c>
      <c r="G34" s="18">
        <f t="shared" si="0"/>
        <v>10.66</v>
      </c>
      <c r="H34" s="18">
        <f t="shared" si="0"/>
        <v>5.28</v>
      </c>
      <c r="I34" s="18">
        <f t="shared" si="0"/>
        <v>3.3</v>
      </c>
      <c r="J34" s="18">
        <f t="shared" si="0"/>
        <v>0.27</v>
      </c>
      <c r="K34" s="18">
        <f t="shared" si="0"/>
        <v>237.84</v>
      </c>
      <c r="L34" s="18">
        <f t="shared" si="0"/>
        <v>24.65</v>
      </c>
      <c r="M34" s="18">
        <f t="shared" si="0"/>
        <v>69.349999999999994</v>
      </c>
      <c r="N34" s="18">
        <f t="shared" si="0"/>
        <v>1.7</v>
      </c>
      <c r="O34" s="18">
        <f t="shared" si="0"/>
        <v>0</v>
      </c>
      <c r="P34" s="18">
        <f t="shared" si="0"/>
        <v>0.14000000000000001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5.46</v>
      </c>
      <c r="C35" s="3">
        <f t="shared" si="1"/>
        <v>6.74</v>
      </c>
      <c r="D35" s="3">
        <f t="shared" si="1"/>
        <v>3.69</v>
      </c>
      <c r="E35" s="3">
        <f t="shared" si="1"/>
        <v>6.4</v>
      </c>
      <c r="F35" s="3">
        <f t="shared" si="1"/>
        <v>3.75</v>
      </c>
      <c r="G35" s="3">
        <f t="shared" si="1"/>
        <v>36.090000000000003</v>
      </c>
      <c r="H35" s="3">
        <f t="shared" si="1"/>
        <v>20.11</v>
      </c>
      <c r="I35" s="3">
        <f t="shared" si="1"/>
        <v>4.3899999999999997</v>
      </c>
      <c r="J35" s="3">
        <f t="shared" si="1"/>
        <v>1.42</v>
      </c>
      <c r="K35" s="3">
        <f t="shared" si="1"/>
        <v>273.31</v>
      </c>
      <c r="L35" s="3">
        <f t="shared" si="1"/>
        <v>30.38</v>
      </c>
      <c r="M35" s="3">
        <f t="shared" si="1"/>
        <v>94.41</v>
      </c>
      <c r="N35" s="3">
        <f t="shared" si="1"/>
        <v>611</v>
      </c>
      <c r="O35" s="3">
        <f t="shared" si="1"/>
        <v>0.2</v>
      </c>
      <c r="P35" s="3">
        <f t="shared" si="1"/>
        <v>0.47</v>
      </c>
      <c r="Q35" s="3">
        <f t="shared" si="1"/>
        <v>10.58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3.6542857142857139</v>
      </c>
      <c r="C36" s="18">
        <f t="shared" si="2"/>
        <v>5.6438095238095247</v>
      </c>
      <c r="D36" s="18">
        <f t="shared" si="2"/>
        <v>2.7380952380952377</v>
      </c>
      <c r="E36" s="18">
        <f t="shared" si="2"/>
        <v>5.644285714285715</v>
      </c>
      <c r="F36" s="18">
        <f t="shared" si="2"/>
        <v>1.4385714285714286</v>
      </c>
      <c r="G36" s="18">
        <f t="shared" si="2"/>
        <v>24.86809523809524</v>
      </c>
      <c r="H36" s="18">
        <f t="shared" si="2"/>
        <v>11.080476190476192</v>
      </c>
      <c r="I36" s="18">
        <f t="shared" si="2"/>
        <v>3.6071428571428572</v>
      </c>
      <c r="J36" s="18">
        <f t="shared" si="2"/>
        <v>0.80272727272727273</v>
      </c>
      <c r="K36" s="18">
        <f t="shared" si="2"/>
        <v>259.26000000000005</v>
      </c>
      <c r="L36" s="18">
        <f t="shared" si="2"/>
        <v>27.227272727272723</v>
      </c>
      <c r="M36" s="18">
        <f t="shared" si="2"/>
        <v>84.095000000000013</v>
      </c>
      <c r="N36" s="18">
        <f t="shared" si="2"/>
        <v>103.96363636363635</v>
      </c>
      <c r="O36" s="18">
        <f t="shared" si="2"/>
        <v>3.6363636363636369E-2</v>
      </c>
      <c r="P36" s="18">
        <f t="shared" si="2"/>
        <v>0.30363636363636365</v>
      </c>
      <c r="Q36" s="18">
        <f t="shared" si="2"/>
        <v>10.233157894736845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1.4167024085127116</v>
      </c>
      <c r="C37" s="18">
        <f t="shared" ref="C37:Q37" si="3">STDEV(C9:C32)</f>
        <v>0.86338563915828537</v>
      </c>
      <c r="D37" s="18">
        <f t="shared" si="3"/>
        <v>0.62613592012932051</v>
      </c>
      <c r="E37" s="18">
        <f t="shared" si="3"/>
        <v>0.62425612875301817</v>
      </c>
      <c r="F37" s="18">
        <f t="shared" si="3"/>
        <v>1.0998376503570226</v>
      </c>
      <c r="G37" s="18">
        <f t="shared" si="3"/>
        <v>9.9866539036093656</v>
      </c>
      <c r="H37" s="18">
        <f t="shared" si="3"/>
        <v>4.4667980435547712</v>
      </c>
      <c r="I37" s="18">
        <f t="shared" si="3"/>
        <v>0.31238026277508085</v>
      </c>
      <c r="J37" s="18">
        <f t="shared" si="3"/>
        <v>0.30100121528281504</v>
      </c>
      <c r="K37" s="18">
        <f t="shared" si="3"/>
        <v>7.1830004342263019</v>
      </c>
      <c r="L37" s="18">
        <f t="shared" si="3"/>
        <v>1.86486098503521</v>
      </c>
      <c r="M37" s="18">
        <f t="shared" si="3"/>
        <v>8.901773365325381</v>
      </c>
      <c r="N37" s="18">
        <f t="shared" si="3"/>
        <v>156.57828878704902</v>
      </c>
      <c r="O37" s="18">
        <f t="shared" si="3"/>
        <v>7.8954203395172284E-2</v>
      </c>
      <c r="P37" s="18">
        <f t="shared" si="3"/>
        <v>7.650368522374508E-2</v>
      </c>
      <c r="Q37" s="18">
        <f t="shared" si="3"/>
        <v>0.33810012704291142</v>
      </c>
      <c r="R37" s="18"/>
      <c r="S37" s="18"/>
      <c r="T37" s="18"/>
      <c r="U37" s="18"/>
    </row>
    <row r="38" spans="1:21">
      <c r="A38" s="34" t="s">
        <v>52</v>
      </c>
      <c r="B38" s="34">
        <f>COUNT(B9:B32)+3</f>
        <v>24</v>
      </c>
      <c r="C38" s="34">
        <f t="shared" ref="C38:I38" si="4">COUNT(C9:C32)+3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>COUNT(J9:J32)+2</f>
        <v>24</v>
      </c>
      <c r="K38" s="34">
        <f t="shared" ref="K38:P38" si="5">COUNT(K9:K32)+2</f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>COUNT(Q9:Q32)+5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708</v>
      </c>
      <c r="B9" s="41">
        <v>5.6</v>
      </c>
      <c r="C9" s="41">
        <v>7.23</v>
      </c>
      <c r="D9" s="41">
        <v>2.66</v>
      </c>
      <c r="E9" s="41">
        <v>4.3899999999999997</v>
      </c>
      <c r="F9" s="41">
        <v>7.0000000000000007E-2</v>
      </c>
      <c r="G9" s="41">
        <v>26.35</v>
      </c>
      <c r="H9" s="41">
        <v>13.61</v>
      </c>
      <c r="I9" s="41">
        <v>4.55</v>
      </c>
      <c r="J9" s="41">
        <v>0.56999999999999995</v>
      </c>
      <c r="K9" s="41">
        <v>353.75</v>
      </c>
      <c r="L9" s="41">
        <v>24.74</v>
      </c>
      <c r="M9" s="41">
        <v>94.27</v>
      </c>
      <c r="N9" s="41">
        <v>2.6</v>
      </c>
      <c r="O9" s="41">
        <v>0</v>
      </c>
      <c r="P9" s="41">
        <v>0.36</v>
      </c>
      <c r="Q9" s="27" t="s">
        <v>8</v>
      </c>
      <c r="R9" s="38"/>
      <c r="S9" s="38"/>
      <c r="T9" s="38"/>
      <c r="U9" s="38"/>
    </row>
    <row r="10" spans="1:21" customFormat="1">
      <c r="A10" s="40" t="s">
        <v>709</v>
      </c>
      <c r="B10" s="41">
        <v>6.86</v>
      </c>
      <c r="C10" s="41">
        <v>8.23</v>
      </c>
      <c r="D10" s="41">
        <v>2.93</v>
      </c>
      <c r="E10" s="41">
        <v>4.28</v>
      </c>
      <c r="F10" s="41">
        <v>7.0000000000000007E-2</v>
      </c>
      <c r="G10" s="41">
        <v>36.770000000000003</v>
      </c>
      <c r="H10" s="41">
        <v>13.61</v>
      </c>
      <c r="I10" s="41">
        <v>5.03</v>
      </c>
      <c r="J10" s="41">
        <v>0.35</v>
      </c>
      <c r="K10" s="41">
        <v>352.14</v>
      </c>
      <c r="L10" s="41">
        <v>24.64</v>
      </c>
      <c r="M10" s="41">
        <v>95.42</v>
      </c>
      <c r="N10" s="41">
        <v>2.2999999999999998</v>
      </c>
      <c r="O10" s="41">
        <v>0.2</v>
      </c>
      <c r="P10" s="41">
        <v>0.38</v>
      </c>
      <c r="Q10" s="27" t="s">
        <v>8</v>
      </c>
      <c r="R10" s="38"/>
      <c r="S10" s="38"/>
      <c r="T10" s="38"/>
      <c r="U10" s="38"/>
    </row>
    <row r="11" spans="1:21" customFormat="1">
      <c r="A11" s="40" t="s">
        <v>710</v>
      </c>
      <c r="B11" s="41">
        <v>7.66</v>
      </c>
      <c r="C11" s="41">
        <v>8.6999999999999993</v>
      </c>
      <c r="D11" s="41">
        <v>2.62</v>
      </c>
      <c r="E11" s="41">
        <v>5.93</v>
      </c>
      <c r="F11" s="41">
        <v>0.02</v>
      </c>
      <c r="G11" s="41">
        <v>36.770000000000003</v>
      </c>
      <c r="H11" s="41">
        <v>15.06</v>
      </c>
      <c r="I11" s="41">
        <v>4.96</v>
      </c>
      <c r="J11" s="41">
        <v>0.25</v>
      </c>
      <c r="K11" s="41">
        <v>251.78</v>
      </c>
      <c r="L11" s="41">
        <v>24.65</v>
      </c>
      <c r="M11" s="41">
        <v>99.33</v>
      </c>
      <c r="N11" s="41">
        <v>2.2999999999999998</v>
      </c>
      <c r="O11" s="41">
        <v>0.6</v>
      </c>
      <c r="P11" s="41">
        <v>0.37</v>
      </c>
      <c r="Q11" s="27" t="s">
        <v>8</v>
      </c>
      <c r="R11" s="38"/>
      <c r="S11" s="38"/>
      <c r="T11" s="38"/>
      <c r="U11" s="38"/>
    </row>
    <row r="12" spans="1:21" customFormat="1">
      <c r="A12" s="40" t="s">
        <v>711</v>
      </c>
      <c r="B12" s="41">
        <v>7.91</v>
      </c>
      <c r="C12" s="41">
        <v>9.33</v>
      </c>
      <c r="D12" s="41">
        <v>3.51</v>
      </c>
      <c r="E12" s="41">
        <v>5.61</v>
      </c>
      <c r="F12" s="41">
        <v>0</v>
      </c>
      <c r="G12" s="41">
        <v>34.32</v>
      </c>
      <c r="H12" s="41">
        <v>15.06</v>
      </c>
      <c r="I12" s="41">
        <v>5.13</v>
      </c>
      <c r="J12" s="41">
        <v>0.21</v>
      </c>
      <c r="K12" s="41">
        <v>217.99</v>
      </c>
      <c r="L12" s="41">
        <v>24.32</v>
      </c>
      <c r="M12" s="41">
        <v>99.8</v>
      </c>
      <c r="N12" s="41">
        <v>2.2999999999999998</v>
      </c>
      <c r="O12" s="41">
        <v>0.6</v>
      </c>
      <c r="P12" s="41">
        <v>0.4</v>
      </c>
      <c r="Q12" s="27" t="s">
        <v>8</v>
      </c>
      <c r="R12" s="38"/>
      <c r="S12" s="38"/>
      <c r="T12" s="38"/>
      <c r="U12" s="38"/>
    </row>
    <row r="13" spans="1:21" customFormat="1">
      <c r="A13" s="40" t="s">
        <v>712</v>
      </c>
      <c r="B13" s="41">
        <v>7.6</v>
      </c>
      <c r="C13" s="41">
        <v>9.41</v>
      </c>
      <c r="D13" s="41">
        <v>3.86</v>
      </c>
      <c r="E13" s="41">
        <v>5.85</v>
      </c>
      <c r="F13" s="41">
        <v>0.12</v>
      </c>
      <c r="G13" s="41">
        <v>29.14</v>
      </c>
      <c r="H13" s="41">
        <v>12.39</v>
      </c>
      <c r="I13" s="41">
        <v>6.49</v>
      </c>
      <c r="J13" s="41">
        <v>0.2</v>
      </c>
      <c r="K13" s="41">
        <v>253.68</v>
      </c>
      <c r="L13" s="41">
        <v>24.27</v>
      </c>
      <c r="M13" s="41">
        <v>99.83</v>
      </c>
      <c r="N13" s="41">
        <v>2.4</v>
      </c>
      <c r="O13" s="41">
        <v>0.2</v>
      </c>
      <c r="P13" s="41">
        <v>0.45</v>
      </c>
      <c r="Q13" s="27" t="s">
        <v>8</v>
      </c>
      <c r="R13" s="38"/>
      <c r="S13" s="38"/>
      <c r="T13" s="38"/>
      <c r="U13" s="38"/>
    </row>
    <row r="14" spans="1:21" customFormat="1">
      <c r="A14" s="40" t="s">
        <v>713</v>
      </c>
      <c r="B14" s="41">
        <v>7.27</v>
      </c>
      <c r="C14" s="41">
        <v>9.1999999999999993</v>
      </c>
      <c r="D14" s="41">
        <v>3.86</v>
      </c>
      <c r="E14" s="41">
        <v>6.12</v>
      </c>
      <c r="F14" s="41">
        <v>0.86</v>
      </c>
      <c r="G14" s="41">
        <v>29.14</v>
      </c>
      <c r="H14" s="41">
        <v>9.66</v>
      </c>
      <c r="I14" s="41">
        <v>6.34</v>
      </c>
      <c r="J14" s="41">
        <v>0.86</v>
      </c>
      <c r="K14" s="41">
        <v>311.22000000000003</v>
      </c>
      <c r="L14" s="41">
        <v>24.22</v>
      </c>
      <c r="M14" s="41">
        <v>99.83</v>
      </c>
      <c r="N14" s="41">
        <v>4.5999999999999996</v>
      </c>
      <c r="O14" s="41">
        <v>4.5999999999999996</v>
      </c>
      <c r="P14" s="41">
        <v>0.41</v>
      </c>
      <c r="Q14" s="27" t="s">
        <v>8</v>
      </c>
      <c r="R14" s="38"/>
      <c r="S14" s="38"/>
      <c r="T14" s="38"/>
      <c r="U14" s="38"/>
    </row>
    <row r="15" spans="1:21" customFormat="1">
      <c r="A15" s="40" t="s">
        <v>714</v>
      </c>
      <c r="B15" s="41">
        <v>7.45</v>
      </c>
      <c r="C15" s="41">
        <v>9.6</v>
      </c>
      <c r="D15" s="41">
        <v>4.3499999999999996</v>
      </c>
      <c r="E15" s="41">
        <v>6.32</v>
      </c>
      <c r="F15" s="41">
        <v>0.9</v>
      </c>
      <c r="G15" s="41">
        <v>28.94</v>
      </c>
      <c r="H15" s="41">
        <v>10.27</v>
      </c>
      <c r="I15" s="41">
        <v>5.78</v>
      </c>
      <c r="J15" s="41">
        <v>0.75</v>
      </c>
      <c r="K15" s="41">
        <v>299.2</v>
      </c>
      <c r="L15" s="41">
        <v>23.75</v>
      </c>
      <c r="M15" s="41">
        <v>99.83</v>
      </c>
      <c r="N15" s="41">
        <v>15.6</v>
      </c>
      <c r="O15" s="41">
        <v>1.8</v>
      </c>
      <c r="P15" s="41">
        <v>0.38</v>
      </c>
      <c r="Q15" s="27" t="s">
        <v>8</v>
      </c>
      <c r="R15" s="38"/>
      <c r="S15" s="38"/>
      <c r="T15" s="38"/>
      <c r="U15" s="38"/>
    </row>
    <row r="16" spans="1:21" customFormat="1">
      <c r="A16" s="40" t="s">
        <v>715</v>
      </c>
      <c r="B16" s="41">
        <v>7.43</v>
      </c>
      <c r="C16" s="41">
        <v>9.6300000000000008</v>
      </c>
      <c r="D16" s="41">
        <v>4.4400000000000004</v>
      </c>
      <c r="E16" s="41">
        <v>6.45</v>
      </c>
      <c r="F16" s="41">
        <v>1.0900000000000001</v>
      </c>
      <c r="G16" s="41">
        <v>20.55</v>
      </c>
      <c r="H16" s="41">
        <v>10.27</v>
      </c>
      <c r="I16" s="41">
        <v>5.45</v>
      </c>
      <c r="J16" s="41">
        <v>0.97</v>
      </c>
      <c r="K16" s="41">
        <v>305.44</v>
      </c>
      <c r="L16" s="41">
        <v>24.02</v>
      </c>
      <c r="M16" s="41">
        <v>99.85</v>
      </c>
      <c r="N16" s="41">
        <v>53.2</v>
      </c>
      <c r="O16" s="41">
        <v>0.2</v>
      </c>
      <c r="P16" s="41">
        <v>0.34</v>
      </c>
      <c r="Q16" s="27" t="s">
        <v>8</v>
      </c>
      <c r="R16" s="38"/>
      <c r="S16" s="38"/>
      <c r="T16" s="38"/>
      <c r="U16" s="38"/>
    </row>
    <row r="17" spans="1:21" customFormat="1">
      <c r="A17" s="40" t="s">
        <v>716</v>
      </c>
      <c r="B17" s="41">
        <v>7.23</v>
      </c>
      <c r="C17" s="41">
        <v>9.4600000000000009</v>
      </c>
      <c r="D17" s="41">
        <v>4.42</v>
      </c>
      <c r="E17" s="41">
        <v>6.6</v>
      </c>
      <c r="F17" s="41">
        <v>0.77</v>
      </c>
      <c r="G17" s="41">
        <v>16.53</v>
      </c>
      <c r="H17" s="41">
        <v>7.41</v>
      </c>
      <c r="I17" s="41">
        <v>5.09</v>
      </c>
      <c r="J17" s="41">
        <v>0.54</v>
      </c>
      <c r="K17" s="41">
        <v>280.31</v>
      </c>
      <c r="L17" s="41">
        <v>25.29</v>
      </c>
      <c r="M17" s="41">
        <v>99.85</v>
      </c>
      <c r="N17" s="41">
        <v>168</v>
      </c>
      <c r="O17" s="41">
        <v>0.2</v>
      </c>
      <c r="P17" s="41">
        <v>0.34</v>
      </c>
      <c r="Q17" s="27" t="s">
        <v>8</v>
      </c>
      <c r="R17" s="38"/>
      <c r="S17" s="38"/>
      <c r="T17" s="38"/>
      <c r="U17" s="38"/>
    </row>
    <row r="18" spans="1:21" customFormat="1">
      <c r="A18" s="40" t="s">
        <v>717</v>
      </c>
      <c r="B18" s="41">
        <v>7.4</v>
      </c>
      <c r="C18" s="41">
        <v>8.98</v>
      </c>
      <c r="D18" s="41">
        <v>3.34</v>
      </c>
      <c r="E18" s="41">
        <v>5.93</v>
      </c>
      <c r="F18" s="41">
        <v>0.33</v>
      </c>
      <c r="G18" s="41">
        <v>16.53</v>
      </c>
      <c r="H18" s="41">
        <v>5.6</v>
      </c>
      <c r="I18" s="41">
        <v>4.95</v>
      </c>
      <c r="J18" s="41">
        <v>0.89</v>
      </c>
      <c r="K18" s="41">
        <v>286.2</v>
      </c>
      <c r="L18" s="41">
        <v>26.02</v>
      </c>
      <c r="M18" s="41">
        <v>98.78</v>
      </c>
      <c r="N18" s="41">
        <v>181.3</v>
      </c>
      <c r="O18" s="41">
        <v>0</v>
      </c>
      <c r="P18" s="41">
        <v>0.35</v>
      </c>
      <c r="Q18" s="27" t="s">
        <v>8</v>
      </c>
      <c r="R18" s="38"/>
      <c r="S18" s="38"/>
      <c r="T18" s="38"/>
      <c r="U18" s="38"/>
    </row>
    <row r="19" spans="1:21" customFormat="1">
      <c r="A19" s="40" t="s">
        <v>718</v>
      </c>
      <c r="B19" s="41">
        <v>7.44</v>
      </c>
      <c r="C19" s="41">
        <v>8.83</v>
      </c>
      <c r="D19" s="41">
        <v>2.98</v>
      </c>
      <c r="E19" s="41">
        <v>5.66</v>
      </c>
      <c r="F19" s="41">
        <v>0.54</v>
      </c>
      <c r="G19" s="41">
        <v>26.91</v>
      </c>
      <c r="H19" s="41">
        <v>9.99</v>
      </c>
      <c r="I19" s="41">
        <v>5.51</v>
      </c>
      <c r="J19" s="41">
        <v>0.79</v>
      </c>
      <c r="K19" s="41">
        <v>266.82</v>
      </c>
      <c r="L19" s="41">
        <v>27.28</v>
      </c>
      <c r="M19" s="41">
        <v>89.6</v>
      </c>
      <c r="N19" s="41">
        <v>241.6</v>
      </c>
      <c r="O19" s="41">
        <v>0</v>
      </c>
      <c r="P19" s="41">
        <v>0.39</v>
      </c>
      <c r="Q19" s="27" t="s">
        <v>8</v>
      </c>
      <c r="R19" s="38"/>
      <c r="S19" s="38"/>
      <c r="T19" s="38"/>
      <c r="U19" s="38"/>
    </row>
    <row r="20" spans="1:21" customFormat="1">
      <c r="A20" s="40" t="s">
        <v>719</v>
      </c>
      <c r="B20" s="41">
        <v>7.1</v>
      </c>
      <c r="C20" s="41">
        <v>8.61</v>
      </c>
      <c r="D20" s="41">
        <v>3</v>
      </c>
      <c r="E20" s="41">
        <v>5.39</v>
      </c>
      <c r="F20" s="41">
        <v>1.94</v>
      </c>
      <c r="G20" s="41">
        <v>33.32</v>
      </c>
      <c r="H20" s="41">
        <v>12.84</v>
      </c>
      <c r="I20" s="41">
        <v>6.09</v>
      </c>
      <c r="J20" s="41">
        <v>0.82</v>
      </c>
      <c r="K20" s="41">
        <v>264.26</v>
      </c>
      <c r="L20" s="41">
        <v>28.56</v>
      </c>
      <c r="M20" s="41">
        <v>87.41</v>
      </c>
      <c r="N20" s="41">
        <v>288.3</v>
      </c>
      <c r="O20" s="41">
        <v>0</v>
      </c>
      <c r="P20" s="41">
        <v>0.41</v>
      </c>
      <c r="Q20" s="27" t="s">
        <v>8</v>
      </c>
      <c r="R20" s="38"/>
      <c r="S20" s="38"/>
      <c r="T20" s="38"/>
      <c r="U20" s="38"/>
    </row>
    <row r="21" spans="1:21" customFormat="1">
      <c r="A21" s="40" t="s">
        <v>720</v>
      </c>
      <c r="B21" s="41">
        <v>6.46</v>
      </c>
      <c r="C21" s="41">
        <v>8.11</v>
      </c>
      <c r="D21" s="41">
        <v>3.34</v>
      </c>
      <c r="E21" s="41">
        <v>5.61</v>
      </c>
      <c r="F21" s="41">
        <v>1.96</v>
      </c>
      <c r="G21" s="41">
        <v>37.04</v>
      </c>
      <c r="H21" s="41">
        <v>12.84</v>
      </c>
      <c r="I21" s="41">
        <v>6.91</v>
      </c>
      <c r="J21" s="41">
        <v>0.99</v>
      </c>
      <c r="K21" s="41">
        <v>280.42</v>
      </c>
      <c r="L21" s="41">
        <v>29.1</v>
      </c>
      <c r="M21" s="41">
        <v>82.09</v>
      </c>
      <c r="N21" s="41">
        <v>340.5</v>
      </c>
      <c r="O21" s="41">
        <v>0</v>
      </c>
      <c r="P21" s="41">
        <v>0.43</v>
      </c>
      <c r="Q21" s="27" t="s">
        <v>8</v>
      </c>
      <c r="R21" s="38"/>
      <c r="S21" s="38"/>
      <c r="T21" s="38"/>
      <c r="U21" s="38"/>
    </row>
    <row r="22" spans="1:21" customFormat="1">
      <c r="A22" s="40" t="s">
        <v>721</v>
      </c>
      <c r="B22" s="41">
        <v>5.73</v>
      </c>
      <c r="C22" s="41">
        <v>7.95</v>
      </c>
      <c r="D22" s="41">
        <v>4.84</v>
      </c>
      <c r="E22" s="41">
        <v>5.24</v>
      </c>
      <c r="F22" s="41">
        <v>1.4</v>
      </c>
      <c r="G22" s="41">
        <v>40.57</v>
      </c>
      <c r="H22" s="41">
        <v>14.86</v>
      </c>
      <c r="I22" s="41">
        <v>7.27</v>
      </c>
      <c r="J22" s="41">
        <v>1.24</v>
      </c>
      <c r="K22" s="41">
        <v>279.58999999999997</v>
      </c>
      <c r="L22" s="41">
        <v>30.08</v>
      </c>
      <c r="M22" s="41">
        <v>79.91</v>
      </c>
      <c r="N22" s="41">
        <v>399.6</v>
      </c>
      <c r="O22" s="41">
        <v>0</v>
      </c>
      <c r="P22" s="41">
        <v>0.43</v>
      </c>
      <c r="Q22" s="27" t="s">
        <v>8</v>
      </c>
      <c r="R22" s="38"/>
      <c r="S22" s="38"/>
      <c r="T22" s="38"/>
      <c r="U22" s="38"/>
    </row>
    <row r="23" spans="1:21" customFormat="1">
      <c r="A23" s="40" t="s">
        <v>722</v>
      </c>
      <c r="B23" s="41">
        <v>4.4800000000000004</v>
      </c>
      <c r="C23" s="41">
        <v>7.57</v>
      </c>
      <c r="D23" s="41">
        <v>5.07</v>
      </c>
      <c r="E23" s="41">
        <v>5.69</v>
      </c>
      <c r="F23" s="41">
        <v>1.01</v>
      </c>
      <c r="G23" s="41">
        <v>49.3</v>
      </c>
      <c r="H23" s="41">
        <v>16.77</v>
      </c>
      <c r="I23" s="41">
        <v>7.11</v>
      </c>
      <c r="J23" s="41">
        <v>1.1499999999999999</v>
      </c>
      <c r="K23" s="41">
        <v>278.18</v>
      </c>
      <c r="L23" s="41">
        <v>29.74</v>
      </c>
      <c r="M23" s="41">
        <v>74.66</v>
      </c>
      <c r="N23" s="41">
        <v>250.5</v>
      </c>
      <c r="O23" s="41">
        <v>0</v>
      </c>
      <c r="P23" s="41">
        <v>0.44</v>
      </c>
      <c r="Q23" s="27" t="s">
        <v>8</v>
      </c>
      <c r="R23" s="38"/>
      <c r="S23" s="38"/>
      <c r="T23" s="38"/>
      <c r="U23" s="38"/>
    </row>
    <row r="24" spans="1:21" customFormat="1">
      <c r="A24" s="40" t="s">
        <v>723</v>
      </c>
      <c r="B24" s="41">
        <v>3.84</v>
      </c>
      <c r="C24" s="41">
        <v>6.96</v>
      </c>
      <c r="D24" s="41">
        <v>4.84</v>
      </c>
      <c r="E24" s="41">
        <v>5.37</v>
      </c>
      <c r="F24" s="41">
        <v>1.07</v>
      </c>
      <c r="G24" s="41">
        <v>49.3</v>
      </c>
      <c r="H24" s="41">
        <v>16.77</v>
      </c>
      <c r="I24" s="41">
        <v>7.26</v>
      </c>
      <c r="J24" s="41">
        <v>1.83</v>
      </c>
      <c r="K24" s="41">
        <v>298.82</v>
      </c>
      <c r="L24" s="41">
        <v>29.01</v>
      </c>
      <c r="M24" s="41">
        <v>77.37</v>
      </c>
      <c r="N24" s="41">
        <v>131.9</v>
      </c>
      <c r="O24" s="41">
        <v>0</v>
      </c>
      <c r="P24" s="41">
        <v>0.47</v>
      </c>
      <c r="Q24" s="27" t="s">
        <v>8</v>
      </c>
      <c r="R24" s="38"/>
      <c r="S24" s="38"/>
      <c r="T24" s="38"/>
      <c r="U24" s="38"/>
    </row>
    <row r="25" spans="1:21" customFormat="1">
      <c r="A25" s="40" t="s">
        <v>724</v>
      </c>
      <c r="B25" s="41">
        <v>4.25</v>
      </c>
      <c r="C25" s="41">
        <v>7.27</v>
      </c>
      <c r="D25" s="41">
        <v>4.8</v>
      </c>
      <c r="E25" s="41">
        <v>5.38</v>
      </c>
      <c r="F25" s="41">
        <v>0.76</v>
      </c>
      <c r="G25" s="41">
        <v>46.14</v>
      </c>
      <c r="H25" s="41">
        <v>14.32</v>
      </c>
      <c r="I25" s="41">
        <v>7.11</v>
      </c>
      <c r="J25" s="41">
        <v>1.1200000000000001</v>
      </c>
      <c r="K25" s="41">
        <v>301.07</v>
      </c>
      <c r="L25" s="41">
        <v>27.03</v>
      </c>
      <c r="M25" s="41">
        <v>86.29</v>
      </c>
      <c r="N25" s="41">
        <v>55</v>
      </c>
      <c r="O25" s="41">
        <v>0.2</v>
      </c>
      <c r="P25" s="41">
        <v>0.45</v>
      </c>
      <c r="Q25" s="27" t="s">
        <v>8</v>
      </c>
      <c r="R25" s="38"/>
      <c r="S25" s="38"/>
      <c r="T25" s="38"/>
      <c r="U25" s="38"/>
    </row>
    <row r="26" spans="1:21" customFormat="1">
      <c r="A26" s="40" t="s">
        <v>725</v>
      </c>
      <c r="B26" s="41">
        <v>4.17</v>
      </c>
      <c r="C26" s="41">
        <v>7.07</v>
      </c>
      <c r="D26" s="41">
        <v>4.62</v>
      </c>
      <c r="E26" s="41">
        <v>5.6</v>
      </c>
      <c r="F26" s="41">
        <v>1.1100000000000001</v>
      </c>
      <c r="G26" s="41">
        <v>42.44</v>
      </c>
      <c r="H26" s="41">
        <v>13.6</v>
      </c>
      <c r="I26" s="41">
        <v>6.29</v>
      </c>
      <c r="J26" s="41">
        <v>0.28000000000000003</v>
      </c>
      <c r="K26" s="41">
        <v>261.99</v>
      </c>
      <c r="L26" s="41">
        <v>25.43</v>
      </c>
      <c r="M26" s="41">
        <v>96.14</v>
      </c>
      <c r="N26" s="41">
        <v>19.399999999999999</v>
      </c>
      <c r="O26" s="41">
        <v>0.4</v>
      </c>
      <c r="P26" s="41">
        <v>0.45</v>
      </c>
      <c r="Q26" s="27" t="s">
        <v>8</v>
      </c>
      <c r="R26" s="38"/>
      <c r="S26" s="38"/>
      <c r="T26" s="38"/>
      <c r="U26" s="38"/>
    </row>
    <row r="27" spans="1:21" customFormat="1">
      <c r="A27" s="40" t="s">
        <v>726</v>
      </c>
      <c r="B27" s="41">
        <v>5.03</v>
      </c>
      <c r="C27" s="41">
        <v>7.59</v>
      </c>
      <c r="D27" s="41">
        <v>4.7</v>
      </c>
      <c r="E27" s="41">
        <v>4.7</v>
      </c>
      <c r="F27" s="41">
        <v>0.6</v>
      </c>
      <c r="G27" s="41">
        <v>48.69</v>
      </c>
      <c r="H27" s="41">
        <v>13.49</v>
      </c>
      <c r="I27" s="41">
        <v>7.26</v>
      </c>
      <c r="J27" s="41">
        <v>0.25</v>
      </c>
      <c r="K27" s="41">
        <v>238.94</v>
      </c>
      <c r="L27" s="41">
        <v>25.04</v>
      </c>
      <c r="M27" s="41">
        <v>99.15</v>
      </c>
      <c r="N27" s="41">
        <v>7.6</v>
      </c>
      <c r="O27" s="41">
        <v>0.4</v>
      </c>
      <c r="P27" s="41">
        <v>0.6</v>
      </c>
      <c r="Q27" s="27" t="s">
        <v>8</v>
      </c>
      <c r="R27" s="38"/>
      <c r="S27" s="38"/>
      <c r="T27" s="38"/>
      <c r="U27" s="38"/>
    </row>
    <row r="28" spans="1:21" customFormat="1">
      <c r="A28" s="40" t="s">
        <v>727</v>
      </c>
      <c r="B28" s="41">
        <v>5.57</v>
      </c>
      <c r="C28" s="41">
        <v>7.4</v>
      </c>
      <c r="D28" s="41">
        <v>3.52</v>
      </c>
      <c r="E28" s="41">
        <v>4.47</v>
      </c>
      <c r="F28" s="41">
        <v>0.35</v>
      </c>
      <c r="G28" s="41">
        <v>48.69</v>
      </c>
      <c r="H28" s="41">
        <v>13.49</v>
      </c>
      <c r="I28" s="41">
        <v>7.88</v>
      </c>
      <c r="J28" s="41">
        <v>0.28000000000000003</v>
      </c>
      <c r="K28" s="41">
        <v>250.33</v>
      </c>
      <c r="L28" s="41">
        <v>24.87</v>
      </c>
      <c r="M28" s="41">
        <v>99.73</v>
      </c>
      <c r="N28" s="41">
        <v>2.2999999999999998</v>
      </c>
      <c r="O28" s="41">
        <v>0.2</v>
      </c>
      <c r="P28" s="41">
        <v>0.61</v>
      </c>
      <c r="Q28" s="27" t="s">
        <v>8</v>
      </c>
      <c r="R28" s="38"/>
      <c r="S28" s="38"/>
      <c r="T28" s="38"/>
      <c r="U28" s="38"/>
    </row>
    <row r="29" spans="1:21" customFormat="1">
      <c r="A29" s="40" t="s">
        <v>728</v>
      </c>
      <c r="B29" s="41">
        <v>5.75</v>
      </c>
      <c r="C29" s="41">
        <v>7.42</v>
      </c>
      <c r="D29" s="41">
        <v>2.85</v>
      </c>
      <c r="E29" s="41">
        <v>4.38</v>
      </c>
      <c r="F29" s="41">
        <v>0.13</v>
      </c>
      <c r="G29" s="41">
        <v>43.05</v>
      </c>
      <c r="H29" s="41">
        <v>14.85</v>
      </c>
      <c r="I29" s="41">
        <v>7.96</v>
      </c>
      <c r="J29" s="41">
        <v>0.23</v>
      </c>
      <c r="K29" s="41">
        <v>260.89</v>
      </c>
      <c r="L29" s="41">
        <v>25.07</v>
      </c>
      <c r="M29" s="41">
        <v>99.69</v>
      </c>
      <c r="N29" s="41">
        <v>2.1</v>
      </c>
      <c r="O29" s="41">
        <v>0</v>
      </c>
      <c r="P29" s="41">
        <v>0.59</v>
      </c>
      <c r="Q29" s="27" t="s">
        <v>8</v>
      </c>
      <c r="R29" s="38"/>
      <c r="S29" s="38"/>
      <c r="T29" s="38"/>
      <c r="U29" s="38"/>
    </row>
    <row r="30" spans="1:21" customFormat="1">
      <c r="A30" s="40" t="s">
        <v>729</v>
      </c>
      <c r="B30" s="41">
        <v>5.91</v>
      </c>
      <c r="C30" s="41">
        <v>7.39</v>
      </c>
      <c r="D30" s="41">
        <v>2.5</v>
      </c>
      <c r="E30" s="41">
        <v>4.3099999999999996</v>
      </c>
      <c r="F30" s="41">
        <v>0.09</v>
      </c>
      <c r="G30" s="41">
        <v>37.67</v>
      </c>
      <c r="H30" s="41">
        <v>14.85</v>
      </c>
      <c r="I30" s="41">
        <v>7.59</v>
      </c>
      <c r="J30" s="41">
        <v>0.26</v>
      </c>
      <c r="K30" s="41">
        <v>254.53</v>
      </c>
      <c r="L30" s="41">
        <v>25.12</v>
      </c>
      <c r="M30" s="41">
        <v>99.73</v>
      </c>
      <c r="N30" s="41">
        <v>2.2999999999999998</v>
      </c>
      <c r="O30" s="41">
        <v>0</v>
      </c>
      <c r="P30" s="41">
        <v>0.59</v>
      </c>
      <c r="Q30" s="27" t="s">
        <v>8</v>
      </c>
      <c r="R30" s="38"/>
      <c r="S30" s="38"/>
      <c r="T30" s="38"/>
      <c r="U30" s="38"/>
    </row>
    <row r="31" spans="1:21" customFormat="1">
      <c r="A31" s="40" t="s">
        <v>730</v>
      </c>
      <c r="B31" s="41">
        <v>6.01</v>
      </c>
      <c r="C31" s="41">
        <v>7.35</v>
      </c>
      <c r="D31" s="41">
        <v>2.2999999999999998</v>
      </c>
      <c r="E31" s="41">
        <v>4.3499999999999996</v>
      </c>
      <c r="F31" s="41">
        <v>0.33</v>
      </c>
      <c r="G31" s="41">
        <v>30.88</v>
      </c>
      <c r="H31" s="41">
        <v>13.1</v>
      </c>
      <c r="I31" s="41">
        <v>7.34</v>
      </c>
      <c r="J31" s="41">
        <v>0.45</v>
      </c>
      <c r="K31" s="41">
        <v>260.91000000000003</v>
      </c>
      <c r="L31" s="41">
        <v>25.4</v>
      </c>
      <c r="M31" s="41">
        <v>98.55</v>
      </c>
      <c r="N31" s="41">
        <v>2.7</v>
      </c>
      <c r="O31" s="41">
        <v>0</v>
      </c>
      <c r="P31" s="41">
        <v>0.56000000000000005</v>
      </c>
      <c r="Q31" s="27" t="s">
        <v>8</v>
      </c>
      <c r="R31" s="38"/>
      <c r="S31" s="38"/>
      <c r="T31" s="38"/>
      <c r="U31" s="38"/>
    </row>
    <row r="32" spans="1:21" customFormat="1">
      <c r="A32" s="40" t="s">
        <v>731</v>
      </c>
      <c r="B32" s="41">
        <v>5.98</v>
      </c>
      <c r="C32" s="41">
        <v>7.76</v>
      </c>
      <c r="D32" s="41">
        <v>3.44</v>
      </c>
      <c r="E32" s="41">
        <v>4.3600000000000003</v>
      </c>
      <c r="F32" s="41">
        <v>0</v>
      </c>
      <c r="G32" s="41">
        <v>29.5</v>
      </c>
      <c r="H32" s="41">
        <v>15.24</v>
      </c>
      <c r="I32" s="41">
        <v>6.97</v>
      </c>
      <c r="J32" s="41">
        <v>0.54</v>
      </c>
      <c r="K32" s="41">
        <v>253.71</v>
      </c>
      <c r="L32" s="41">
        <v>25.6</v>
      </c>
      <c r="M32" s="41">
        <v>96.17</v>
      </c>
      <c r="N32" s="41">
        <v>2.7</v>
      </c>
      <c r="O32" s="41">
        <v>0</v>
      </c>
      <c r="P32" s="41">
        <v>0.51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3.84</v>
      </c>
      <c r="C34" s="18">
        <f t="shared" si="0"/>
        <v>6.96</v>
      </c>
      <c r="D34" s="18">
        <f t="shared" si="0"/>
        <v>2.2999999999999998</v>
      </c>
      <c r="E34" s="18">
        <f t="shared" si="0"/>
        <v>4.28</v>
      </c>
      <c r="F34" s="18">
        <f t="shared" si="0"/>
        <v>0</v>
      </c>
      <c r="G34" s="18">
        <f t="shared" si="0"/>
        <v>16.53</v>
      </c>
      <c r="H34" s="18">
        <f t="shared" si="0"/>
        <v>5.6</v>
      </c>
      <c r="I34" s="18">
        <f t="shared" si="0"/>
        <v>4.55</v>
      </c>
      <c r="J34" s="18">
        <f t="shared" si="0"/>
        <v>0.2</v>
      </c>
      <c r="K34" s="18">
        <f t="shared" si="0"/>
        <v>217.99</v>
      </c>
      <c r="L34" s="18">
        <f t="shared" si="0"/>
        <v>23.75</v>
      </c>
      <c r="M34" s="18">
        <f t="shared" si="0"/>
        <v>74.66</v>
      </c>
      <c r="N34" s="18">
        <f t="shared" si="0"/>
        <v>2.1</v>
      </c>
      <c r="O34" s="18">
        <f t="shared" si="0"/>
        <v>0</v>
      </c>
      <c r="P34" s="18">
        <f t="shared" si="0"/>
        <v>0.34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7.91</v>
      </c>
      <c r="C35" s="3">
        <f t="shared" si="1"/>
        <v>9.6300000000000008</v>
      </c>
      <c r="D35" s="3">
        <f t="shared" si="1"/>
        <v>5.07</v>
      </c>
      <c r="E35" s="3">
        <f t="shared" si="1"/>
        <v>6.6</v>
      </c>
      <c r="F35" s="3">
        <f t="shared" si="1"/>
        <v>1.96</v>
      </c>
      <c r="G35" s="3">
        <f t="shared" si="1"/>
        <v>49.3</v>
      </c>
      <c r="H35" s="3">
        <f t="shared" si="1"/>
        <v>16.77</v>
      </c>
      <c r="I35" s="3">
        <f t="shared" si="1"/>
        <v>7.96</v>
      </c>
      <c r="J35" s="3">
        <f t="shared" si="1"/>
        <v>1.83</v>
      </c>
      <c r="K35" s="3">
        <f t="shared" si="1"/>
        <v>353.75</v>
      </c>
      <c r="L35" s="3">
        <f t="shared" si="1"/>
        <v>30.08</v>
      </c>
      <c r="M35" s="3">
        <f t="shared" si="1"/>
        <v>99.85</v>
      </c>
      <c r="N35" s="3">
        <f t="shared" si="1"/>
        <v>399.6</v>
      </c>
      <c r="O35" s="3">
        <f t="shared" si="1"/>
        <v>4.5999999999999996</v>
      </c>
      <c r="P35" s="3">
        <f t="shared" si="1"/>
        <v>0.61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6.2554166666666662</v>
      </c>
      <c r="C36" s="18">
        <f t="shared" si="2"/>
        <v>8.2104166666666671</v>
      </c>
      <c r="D36" s="18">
        <f t="shared" si="2"/>
        <v>3.6995833333333326</v>
      </c>
      <c r="E36" s="18">
        <f t="shared" si="2"/>
        <v>5.3329166666666659</v>
      </c>
      <c r="F36" s="18">
        <f t="shared" si="2"/>
        <v>0.64666666666666661</v>
      </c>
      <c r="G36" s="18">
        <f t="shared" si="2"/>
        <v>34.939166666666665</v>
      </c>
      <c r="H36" s="18">
        <f t="shared" si="2"/>
        <v>12.914583333333335</v>
      </c>
      <c r="I36" s="18">
        <f t="shared" si="2"/>
        <v>6.3466666666666676</v>
      </c>
      <c r="J36" s="18">
        <f t="shared" si="2"/>
        <v>0.65916666666666668</v>
      </c>
      <c r="K36" s="18">
        <f t="shared" si="2"/>
        <v>277.59041666666661</v>
      </c>
      <c r="L36" s="18">
        <f t="shared" si="2"/>
        <v>25.968750000000004</v>
      </c>
      <c r="M36" s="18">
        <f t="shared" si="2"/>
        <v>93.886666666666699</v>
      </c>
      <c r="N36" s="18">
        <f t="shared" si="2"/>
        <v>90.879166666666663</v>
      </c>
      <c r="O36" s="18">
        <f t="shared" si="2"/>
        <v>0.39999999999999991</v>
      </c>
      <c r="P36" s="18">
        <f t="shared" si="2"/>
        <v>0.44624999999999998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1.2455694669914801</v>
      </c>
      <c r="C37" s="18">
        <f t="shared" ref="C37:Q37" si="3">STDEV(C9:C32)</f>
        <v>0.90974664015612405</v>
      </c>
      <c r="D37" s="18">
        <f t="shared" si="3"/>
        <v>0.87076417796278027</v>
      </c>
      <c r="E37" s="18">
        <f t="shared" si="3"/>
        <v>0.74927489102388145</v>
      </c>
      <c r="F37" s="18">
        <f t="shared" si="3"/>
        <v>0.58516936728249613</v>
      </c>
      <c r="G37" s="18">
        <f t="shared" si="3"/>
        <v>9.9210518011237063</v>
      </c>
      <c r="H37" s="18">
        <f t="shared" si="3"/>
        <v>2.7737104001784223</v>
      </c>
      <c r="I37" s="18">
        <f t="shared" si="3"/>
        <v>1.0568232408112652</v>
      </c>
      <c r="J37" s="18">
        <f t="shared" si="3"/>
        <v>0.42048539928812384</v>
      </c>
      <c r="K37" s="18">
        <f t="shared" si="3"/>
        <v>32.336987098390431</v>
      </c>
      <c r="L37" s="18">
        <f t="shared" si="3"/>
        <v>1.9443011765715186</v>
      </c>
      <c r="M37" s="18">
        <f t="shared" si="3"/>
        <v>8.1423379115992649</v>
      </c>
      <c r="N37" s="18">
        <f t="shared" si="3"/>
        <v>126.27518252219831</v>
      </c>
      <c r="O37" s="18">
        <f t="shared" si="3"/>
        <v>0.97445637018355225</v>
      </c>
      <c r="P37" s="18">
        <f t="shared" si="3"/>
        <v>8.6417213462415723E-2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1" zoomScale="82" zoomScaleNormal="82" workbookViewId="0">
      <selection activeCell="B43" sqref="B43"/>
    </sheetView>
  </sheetViews>
  <sheetFormatPr defaultColWidth="9" defaultRowHeight="15"/>
  <cols>
    <col min="1" max="1" width="13.42578125" bestFit="1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29/06/2025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0" t="s">
        <v>732</v>
      </c>
      <c r="B9" s="41">
        <v>5.34</v>
      </c>
      <c r="C9" s="41">
        <v>7.39</v>
      </c>
      <c r="D9" s="41">
        <v>3.65</v>
      </c>
      <c r="E9" s="41">
        <v>4.55</v>
      </c>
      <c r="F9" s="41">
        <v>0.35</v>
      </c>
      <c r="G9" s="41">
        <v>29.5</v>
      </c>
      <c r="H9" s="41">
        <v>15.24</v>
      </c>
      <c r="I9" s="41">
        <v>6.36</v>
      </c>
      <c r="J9" s="41">
        <v>0.91</v>
      </c>
      <c r="K9" s="41">
        <v>267.99</v>
      </c>
      <c r="L9" s="41">
        <v>25.82</v>
      </c>
      <c r="M9" s="41">
        <v>92.99</v>
      </c>
      <c r="N9" s="41">
        <v>3</v>
      </c>
      <c r="O9" s="41">
        <v>0</v>
      </c>
      <c r="P9" s="41">
        <v>0.43</v>
      </c>
      <c r="Q9" s="27" t="s">
        <v>8</v>
      </c>
      <c r="R9" s="38"/>
      <c r="S9" s="38"/>
      <c r="T9" s="38"/>
      <c r="U9" s="38"/>
    </row>
    <row r="10" spans="1:21">
      <c r="A10" s="40" t="s">
        <v>733</v>
      </c>
      <c r="B10" s="41">
        <v>4.8099999999999996</v>
      </c>
      <c r="C10" s="41">
        <v>7.2</v>
      </c>
      <c r="D10" s="41">
        <v>4.0199999999999996</v>
      </c>
      <c r="E10" s="41">
        <v>4.68</v>
      </c>
      <c r="F10" s="41">
        <v>0.57999999999999996</v>
      </c>
      <c r="G10" s="41">
        <v>29.46</v>
      </c>
      <c r="H10" s="41">
        <v>10.82</v>
      </c>
      <c r="I10" s="41">
        <v>5.79</v>
      </c>
      <c r="J10" s="41">
        <v>1.02</v>
      </c>
      <c r="K10" s="41">
        <v>266.74</v>
      </c>
      <c r="L10" s="41">
        <v>25.63</v>
      </c>
      <c r="M10" s="41">
        <v>85.99</v>
      </c>
      <c r="N10" s="41">
        <v>2.9</v>
      </c>
      <c r="O10" s="41">
        <v>0</v>
      </c>
      <c r="P10" s="41">
        <v>0.41</v>
      </c>
      <c r="Q10" s="27" t="s">
        <v>8</v>
      </c>
      <c r="R10" s="38"/>
      <c r="S10" s="38"/>
      <c r="T10" s="38"/>
      <c r="U10" s="38"/>
    </row>
    <row r="11" spans="1:21">
      <c r="A11" s="40" t="s">
        <v>734</v>
      </c>
      <c r="B11" s="41">
        <v>4.3499999999999996</v>
      </c>
      <c r="C11" s="41">
        <v>7.07</v>
      </c>
      <c r="D11" s="41">
        <v>4.32</v>
      </c>
      <c r="E11" s="41">
        <v>5.01</v>
      </c>
      <c r="F11" s="41">
        <v>0.82</v>
      </c>
      <c r="G11" s="41">
        <v>27.1</v>
      </c>
      <c r="H11" s="41">
        <v>11.85</v>
      </c>
      <c r="I11" s="41">
        <v>5.76</v>
      </c>
      <c r="J11" s="41">
        <v>1.46</v>
      </c>
      <c r="K11" s="41">
        <v>291.5</v>
      </c>
      <c r="L11" s="41">
        <v>25.33</v>
      </c>
      <c r="M11" s="41">
        <v>87.56</v>
      </c>
      <c r="N11" s="41">
        <v>3.4</v>
      </c>
      <c r="O11" s="41">
        <v>0.2</v>
      </c>
      <c r="P11" s="41">
        <v>0.4</v>
      </c>
      <c r="Q11" s="27" t="s">
        <v>8</v>
      </c>
      <c r="R11" s="38"/>
      <c r="S11" s="38"/>
      <c r="T11" s="38"/>
      <c r="U11" s="38"/>
    </row>
    <row r="12" spans="1:21">
      <c r="A12" s="40" t="s">
        <v>735</v>
      </c>
      <c r="B12" s="41">
        <v>4.3099999999999996</v>
      </c>
      <c r="C12" s="41">
        <v>6.96</v>
      </c>
      <c r="D12" s="41">
        <v>4.12</v>
      </c>
      <c r="E12" s="41">
        <v>5.41</v>
      </c>
      <c r="F12" s="41">
        <v>1.33</v>
      </c>
      <c r="G12" s="41">
        <v>35.4</v>
      </c>
      <c r="H12" s="41">
        <v>12.21</v>
      </c>
      <c r="I12" s="41">
        <v>5.82</v>
      </c>
      <c r="J12" s="41">
        <v>1</v>
      </c>
      <c r="K12" s="41">
        <v>287.72000000000003</v>
      </c>
      <c r="L12" s="41">
        <v>23.76</v>
      </c>
      <c r="M12" s="41">
        <v>96.77</v>
      </c>
      <c r="N12" s="41">
        <v>3.4</v>
      </c>
      <c r="O12" s="41">
        <v>1</v>
      </c>
      <c r="P12" s="41">
        <v>0.38</v>
      </c>
      <c r="Q12" s="27" t="s">
        <v>8</v>
      </c>
      <c r="R12" s="38"/>
      <c r="S12" s="38"/>
      <c r="T12" s="38"/>
      <c r="U12" s="38"/>
    </row>
    <row r="13" spans="1:21">
      <c r="A13" s="40" t="s">
        <v>736</v>
      </c>
      <c r="B13" s="41">
        <v>4.37</v>
      </c>
      <c r="C13" s="41">
        <v>6.54</v>
      </c>
      <c r="D13" s="41">
        <v>3.63</v>
      </c>
      <c r="E13" s="41">
        <v>5.43</v>
      </c>
      <c r="F13" s="41">
        <v>0.47</v>
      </c>
      <c r="G13" s="41">
        <v>35.4</v>
      </c>
      <c r="H13" s="41">
        <v>12.21</v>
      </c>
      <c r="I13" s="41">
        <v>5.16</v>
      </c>
      <c r="J13" s="41">
        <v>0.81</v>
      </c>
      <c r="K13" s="41">
        <v>260.83</v>
      </c>
      <c r="L13" s="41">
        <v>23.76</v>
      </c>
      <c r="M13" s="41">
        <v>97.14</v>
      </c>
      <c r="N13" s="41">
        <v>2.5</v>
      </c>
      <c r="O13" s="41">
        <v>1.6</v>
      </c>
      <c r="P13" s="41">
        <v>0.37</v>
      </c>
      <c r="Q13" s="27" t="s">
        <v>8</v>
      </c>
      <c r="R13" s="38"/>
      <c r="S13" s="38"/>
      <c r="T13" s="38"/>
      <c r="U13" s="38"/>
    </row>
    <row r="14" spans="1:21">
      <c r="A14" s="40" t="s">
        <v>737</v>
      </c>
      <c r="B14" s="41">
        <v>4.96</v>
      </c>
      <c r="C14" s="41">
        <v>6.64</v>
      </c>
      <c r="D14" s="41">
        <v>2.66</v>
      </c>
      <c r="E14" s="41">
        <v>4.92</v>
      </c>
      <c r="F14" s="41">
        <v>0.12</v>
      </c>
      <c r="G14" s="41">
        <v>28.15</v>
      </c>
      <c r="H14" s="41">
        <v>10.86</v>
      </c>
      <c r="I14" s="41">
        <v>5.22</v>
      </c>
      <c r="J14" s="41">
        <v>0.71</v>
      </c>
      <c r="K14" s="41">
        <v>260.58</v>
      </c>
      <c r="L14" s="41">
        <v>23.65</v>
      </c>
      <c r="M14" s="41">
        <v>98.74</v>
      </c>
      <c r="N14" s="41">
        <v>6.1</v>
      </c>
      <c r="O14" s="41">
        <v>0.6</v>
      </c>
      <c r="P14" s="41">
        <v>0.39</v>
      </c>
      <c r="Q14" s="27" t="s">
        <v>8</v>
      </c>
      <c r="R14" s="38"/>
      <c r="S14" s="38"/>
      <c r="T14" s="38"/>
      <c r="U14" s="38"/>
    </row>
    <row r="15" spans="1:21">
      <c r="A15" s="40" t="s">
        <v>738</v>
      </c>
      <c r="B15" s="41">
        <v>5.16</v>
      </c>
      <c r="C15" s="41">
        <v>6.94</v>
      </c>
      <c r="D15" s="41">
        <v>2.77</v>
      </c>
      <c r="E15" s="41">
        <v>4.82</v>
      </c>
      <c r="F15" s="41">
        <v>0.24</v>
      </c>
      <c r="G15" s="41">
        <v>28.15</v>
      </c>
      <c r="H15" s="41">
        <v>7.7</v>
      </c>
      <c r="I15" s="41">
        <v>5.29</v>
      </c>
      <c r="J15" s="41">
        <v>1.1299999999999999</v>
      </c>
      <c r="K15" s="41">
        <v>264.98</v>
      </c>
      <c r="L15" s="41">
        <v>23.97</v>
      </c>
      <c r="M15" s="41">
        <v>95.39</v>
      </c>
      <c r="N15" s="41">
        <v>28.5</v>
      </c>
      <c r="O15" s="41">
        <v>0</v>
      </c>
      <c r="P15" s="41">
        <v>0.4</v>
      </c>
      <c r="Q15" s="27" t="s">
        <v>8</v>
      </c>
      <c r="R15" s="38"/>
      <c r="S15" s="38"/>
      <c r="T15" s="38"/>
      <c r="U15" s="38"/>
    </row>
    <row r="16" spans="1:21">
      <c r="A16" s="40" t="s">
        <v>739</v>
      </c>
      <c r="B16" s="41">
        <v>5.36</v>
      </c>
      <c r="C16" s="41">
        <v>7.19</v>
      </c>
      <c r="D16" s="41">
        <v>3.02</v>
      </c>
      <c r="E16" s="41">
        <v>4.78</v>
      </c>
      <c r="F16" s="41">
        <v>0.12</v>
      </c>
      <c r="G16" s="41">
        <v>27.25</v>
      </c>
      <c r="H16" s="41">
        <v>11.24</v>
      </c>
      <c r="I16" s="41">
        <v>6.28</v>
      </c>
      <c r="J16" s="41">
        <v>0.91</v>
      </c>
      <c r="K16" s="41">
        <v>264.56</v>
      </c>
      <c r="L16" s="41">
        <v>24.1</v>
      </c>
      <c r="M16" s="41">
        <v>91.81</v>
      </c>
      <c r="N16" s="41">
        <v>41.6</v>
      </c>
      <c r="O16" s="41">
        <v>0</v>
      </c>
      <c r="P16" s="41">
        <v>0.49</v>
      </c>
      <c r="Q16" s="27" t="s">
        <v>8</v>
      </c>
      <c r="R16" s="38"/>
      <c r="S16" s="38"/>
      <c r="T16" s="38"/>
      <c r="U16" s="38"/>
    </row>
    <row r="17" spans="1:21">
      <c r="A17" s="40" t="s">
        <v>740</v>
      </c>
      <c r="B17" s="41">
        <v>5.63</v>
      </c>
      <c r="C17" s="41">
        <v>7.49</v>
      </c>
      <c r="D17" s="41">
        <v>3.11</v>
      </c>
      <c r="E17" s="41">
        <v>4.83</v>
      </c>
      <c r="F17" s="41">
        <v>0.09</v>
      </c>
      <c r="G17" s="41">
        <v>33.96</v>
      </c>
      <c r="H17" s="41">
        <v>11.24</v>
      </c>
      <c r="I17" s="41">
        <v>6.79</v>
      </c>
      <c r="J17" s="41">
        <v>1.33</v>
      </c>
      <c r="K17" s="41">
        <v>276.04000000000002</v>
      </c>
      <c r="L17" s="41">
        <v>24.71</v>
      </c>
      <c r="M17" s="41">
        <v>90.54</v>
      </c>
      <c r="N17" s="41">
        <v>139.6</v>
      </c>
      <c r="O17" s="41">
        <v>0</v>
      </c>
      <c r="P17" s="41">
        <v>0.53</v>
      </c>
      <c r="Q17" s="27" t="s">
        <v>8</v>
      </c>
      <c r="R17" s="38"/>
      <c r="S17" s="38"/>
      <c r="T17" s="38"/>
      <c r="U17" s="38"/>
    </row>
    <row r="18" spans="1:21">
      <c r="A18" s="40" t="s">
        <v>741</v>
      </c>
      <c r="B18" s="41">
        <v>5.54</v>
      </c>
      <c r="C18" s="41">
        <v>8.1999999999999993</v>
      </c>
      <c r="D18" s="41">
        <v>4.7</v>
      </c>
      <c r="E18" s="41">
        <v>4.72</v>
      </c>
      <c r="F18" s="41">
        <v>0.06</v>
      </c>
      <c r="G18" s="41">
        <v>37.99</v>
      </c>
      <c r="H18" s="41">
        <v>13.07</v>
      </c>
      <c r="I18" s="41">
        <v>7.5</v>
      </c>
      <c r="J18" s="41">
        <v>1.1100000000000001</v>
      </c>
      <c r="K18" s="41">
        <v>273.12</v>
      </c>
      <c r="L18" s="41">
        <v>25.4</v>
      </c>
      <c r="M18" s="41">
        <v>86.11</v>
      </c>
      <c r="N18" s="41">
        <v>181.1</v>
      </c>
      <c r="O18" s="41">
        <v>0</v>
      </c>
      <c r="P18" s="41">
        <v>0.57999999999999996</v>
      </c>
      <c r="Q18" s="27" t="s">
        <v>8</v>
      </c>
      <c r="R18" s="38"/>
      <c r="S18" s="38"/>
      <c r="T18" s="38"/>
      <c r="U18" s="38"/>
    </row>
    <row r="19" spans="1:21">
      <c r="A19" s="40" t="s">
        <v>742</v>
      </c>
      <c r="B19" s="41">
        <v>5.27</v>
      </c>
      <c r="C19" s="41">
        <v>8</v>
      </c>
      <c r="D19" s="41">
        <v>4.6399999999999997</v>
      </c>
      <c r="E19" s="41">
        <v>4.82</v>
      </c>
      <c r="F19" s="41">
        <v>0.28999999999999998</v>
      </c>
      <c r="G19" s="41">
        <v>38.950000000000003</v>
      </c>
      <c r="H19" s="41">
        <v>14.46</v>
      </c>
      <c r="I19" s="41">
        <v>8.1300000000000008</v>
      </c>
      <c r="J19" s="41">
        <v>1.34</v>
      </c>
      <c r="K19" s="41">
        <v>269.99</v>
      </c>
      <c r="L19" s="41">
        <v>26.73</v>
      </c>
      <c r="M19" s="41">
        <v>82.32</v>
      </c>
      <c r="N19" s="41">
        <v>408.2</v>
      </c>
      <c r="O19" s="41">
        <v>0</v>
      </c>
      <c r="P19" s="41">
        <v>0.56000000000000005</v>
      </c>
      <c r="Q19" s="27" t="s">
        <v>8</v>
      </c>
      <c r="R19" s="38"/>
      <c r="S19" s="38"/>
      <c r="T19" s="38"/>
      <c r="U19" s="38"/>
    </row>
    <row r="20" spans="1:21">
      <c r="A20" s="40" t="s">
        <v>743</v>
      </c>
      <c r="B20" s="41">
        <v>4.4400000000000004</v>
      </c>
      <c r="C20" s="41">
        <v>7.06</v>
      </c>
      <c r="D20" s="41">
        <v>4.1100000000000003</v>
      </c>
      <c r="E20" s="41">
        <v>4.82</v>
      </c>
      <c r="F20" s="41">
        <v>1.35</v>
      </c>
      <c r="G20" s="41">
        <v>38.950000000000003</v>
      </c>
      <c r="H20" s="41">
        <v>14.46</v>
      </c>
      <c r="I20" s="41">
        <v>7.29</v>
      </c>
      <c r="J20" s="41">
        <v>1.33</v>
      </c>
      <c r="K20" s="41">
        <v>268.48</v>
      </c>
      <c r="L20" s="41">
        <v>26.63</v>
      </c>
      <c r="M20" s="41">
        <v>79.540000000000006</v>
      </c>
      <c r="N20" s="41">
        <v>276.7</v>
      </c>
      <c r="O20" s="41">
        <v>0</v>
      </c>
      <c r="P20" s="41">
        <v>0.49</v>
      </c>
      <c r="Q20" s="27" t="s">
        <v>8</v>
      </c>
      <c r="R20" s="38"/>
      <c r="S20" s="38"/>
      <c r="T20" s="38"/>
      <c r="U20" s="38"/>
    </row>
    <row r="21" spans="1:21">
      <c r="A21" s="40" t="s">
        <v>744</v>
      </c>
      <c r="B21" s="41">
        <v>3.92</v>
      </c>
      <c r="C21" s="41">
        <v>6.42</v>
      </c>
      <c r="D21" s="41">
        <v>3.69</v>
      </c>
      <c r="E21" s="41">
        <v>4.7699999999999996</v>
      </c>
      <c r="F21" s="41">
        <v>1.3</v>
      </c>
      <c r="G21" s="41">
        <v>35.35</v>
      </c>
      <c r="H21" s="41">
        <v>12.04</v>
      </c>
      <c r="I21" s="41">
        <v>6.21</v>
      </c>
      <c r="J21" s="41">
        <v>1.42</v>
      </c>
      <c r="K21" s="41">
        <v>271.25</v>
      </c>
      <c r="L21" s="41">
        <v>26.39</v>
      </c>
      <c r="M21" s="41">
        <v>88.18</v>
      </c>
      <c r="N21" s="41">
        <v>191.1</v>
      </c>
      <c r="O21" s="41">
        <v>0</v>
      </c>
      <c r="P21" s="41">
        <v>0.43</v>
      </c>
      <c r="Q21" s="27" t="s">
        <v>8</v>
      </c>
      <c r="R21" s="38"/>
      <c r="S21" s="38"/>
      <c r="T21" s="38"/>
      <c r="U21" s="38"/>
    </row>
    <row r="22" spans="1:21">
      <c r="A22" s="40" t="s">
        <v>745</v>
      </c>
      <c r="B22" s="41">
        <v>4.05</v>
      </c>
      <c r="C22" s="41">
        <v>6.47</v>
      </c>
      <c r="D22" s="41">
        <v>3.62</v>
      </c>
      <c r="E22" s="41">
        <v>5.04</v>
      </c>
      <c r="F22" s="41">
        <v>1.04</v>
      </c>
      <c r="G22" s="41">
        <v>30.42</v>
      </c>
      <c r="H22" s="41">
        <v>12.51</v>
      </c>
      <c r="I22" s="41">
        <v>5.72</v>
      </c>
      <c r="J22" s="41">
        <v>0.88</v>
      </c>
      <c r="K22" s="41">
        <v>275.08</v>
      </c>
      <c r="L22" s="41">
        <v>25.1</v>
      </c>
      <c r="M22" s="41">
        <v>95.31</v>
      </c>
      <c r="N22" s="41">
        <v>162.30000000000001</v>
      </c>
      <c r="O22" s="41">
        <v>0.2</v>
      </c>
      <c r="P22" s="41">
        <v>0.4</v>
      </c>
      <c r="Q22" s="27" t="s">
        <v>8</v>
      </c>
      <c r="R22" s="38"/>
      <c r="S22" s="38"/>
      <c r="T22" s="38"/>
      <c r="U22" s="38"/>
    </row>
    <row r="23" spans="1:21">
      <c r="A23" s="40" t="s">
        <v>746</v>
      </c>
      <c r="B23" s="41">
        <v>4.34</v>
      </c>
      <c r="C23" s="41">
        <v>6.5</v>
      </c>
      <c r="D23" s="41">
        <v>3.58</v>
      </c>
      <c r="E23" s="41">
        <v>5.01</v>
      </c>
      <c r="F23" s="41">
        <v>0.18</v>
      </c>
      <c r="G23" s="41">
        <v>30.42</v>
      </c>
      <c r="H23" s="41">
        <v>12.51</v>
      </c>
      <c r="I23" s="41">
        <v>5.53</v>
      </c>
      <c r="J23" s="41">
        <v>0.63</v>
      </c>
      <c r="K23" s="41">
        <v>268.72000000000003</v>
      </c>
      <c r="L23" s="41">
        <v>25.78</v>
      </c>
      <c r="M23" s="41">
        <v>97.08</v>
      </c>
      <c r="N23" s="41">
        <v>204.6</v>
      </c>
      <c r="O23" s="41">
        <v>0.2</v>
      </c>
      <c r="P23" s="41">
        <v>0.41</v>
      </c>
      <c r="Q23" s="27" t="s">
        <v>8</v>
      </c>
      <c r="R23" s="38"/>
      <c r="S23" s="38"/>
      <c r="T23" s="38"/>
      <c r="U23" s="38"/>
    </row>
    <row r="24" spans="1:21">
      <c r="A24" s="40" t="s">
        <v>747</v>
      </c>
      <c r="B24" s="41">
        <v>4.47</v>
      </c>
      <c r="C24" s="41">
        <v>6.24</v>
      </c>
      <c r="D24" s="41">
        <v>2.58</v>
      </c>
      <c r="E24" s="41">
        <v>4.51</v>
      </c>
      <c r="F24" s="41">
        <v>0.41</v>
      </c>
      <c r="G24" s="41">
        <v>26.46</v>
      </c>
      <c r="H24" s="41">
        <v>12.41</v>
      </c>
      <c r="I24" s="41">
        <v>5.28</v>
      </c>
      <c r="J24" s="41">
        <v>0.81</v>
      </c>
      <c r="K24" s="41">
        <v>268.01</v>
      </c>
      <c r="L24" s="41">
        <v>26.17</v>
      </c>
      <c r="M24" s="41">
        <v>89.21</v>
      </c>
      <c r="N24" s="41">
        <v>127.8</v>
      </c>
      <c r="O24" s="41">
        <v>0</v>
      </c>
      <c r="P24" s="41">
        <v>0.4</v>
      </c>
      <c r="Q24" s="27" t="s">
        <v>8</v>
      </c>
      <c r="R24" s="38"/>
      <c r="S24" s="38"/>
      <c r="T24" s="38"/>
      <c r="U24" s="38"/>
    </row>
    <row r="25" spans="1:21">
      <c r="A25" s="40" t="s">
        <v>748</v>
      </c>
      <c r="B25" s="41">
        <v>4.45</v>
      </c>
      <c r="C25" s="41">
        <v>6.23</v>
      </c>
      <c r="D25" s="41">
        <v>2.54</v>
      </c>
      <c r="E25" s="41">
        <v>4.46</v>
      </c>
      <c r="F25" s="41">
        <v>0.47</v>
      </c>
      <c r="G25" s="41">
        <v>25.48</v>
      </c>
      <c r="H25" s="41">
        <v>12.41</v>
      </c>
      <c r="I25" s="41">
        <v>4.8499999999999996</v>
      </c>
      <c r="J25" s="41">
        <v>0.97</v>
      </c>
      <c r="K25" s="41">
        <v>262.93</v>
      </c>
      <c r="L25" s="41">
        <v>26.15</v>
      </c>
      <c r="M25" s="41">
        <v>86.85</v>
      </c>
      <c r="N25" s="41">
        <v>90.9</v>
      </c>
      <c r="O25" s="41">
        <v>0</v>
      </c>
      <c r="P25" s="41">
        <v>0.4</v>
      </c>
      <c r="Q25" s="27" t="s">
        <v>8</v>
      </c>
      <c r="R25" s="38"/>
      <c r="S25" s="38"/>
      <c r="T25" s="38"/>
      <c r="U25" s="38"/>
    </row>
    <row r="26" spans="1:21">
      <c r="A26" s="40" t="s">
        <v>749</v>
      </c>
      <c r="B26" s="41">
        <v>4.3600000000000003</v>
      </c>
      <c r="C26" s="41">
        <v>6.14</v>
      </c>
      <c r="D26" s="41">
        <v>2.4900000000000002</v>
      </c>
      <c r="E26" s="41">
        <v>4.3</v>
      </c>
      <c r="F26" s="41">
        <v>0.34</v>
      </c>
      <c r="G26" s="41">
        <v>21.83</v>
      </c>
      <c r="H26" s="41">
        <v>10.07</v>
      </c>
      <c r="I26" s="41">
        <v>4.67</v>
      </c>
      <c r="J26" s="41">
        <v>1.03</v>
      </c>
      <c r="K26" s="41">
        <v>260.26</v>
      </c>
      <c r="L26" s="41">
        <v>25.83</v>
      </c>
      <c r="M26" s="41">
        <v>90.1</v>
      </c>
      <c r="N26" s="41">
        <v>49.9</v>
      </c>
      <c r="O26" s="41">
        <v>0</v>
      </c>
      <c r="P26" s="41">
        <v>0.36</v>
      </c>
      <c r="Q26" s="27" t="s">
        <v>8</v>
      </c>
      <c r="R26" s="38"/>
      <c r="S26" s="38"/>
      <c r="T26" s="38"/>
      <c r="U26" s="38"/>
    </row>
    <row r="27" spans="1:21">
      <c r="A27" s="40" t="s">
        <v>750</v>
      </c>
      <c r="B27" s="41">
        <v>4.28</v>
      </c>
      <c r="C27" s="41">
        <v>6.31</v>
      </c>
      <c r="D27" s="41">
        <v>2.91</v>
      </c>
      <c r="E27" s="41">
        <v>5.32</v>
      </c>
      <c r="F27" s="41">
        <v>0.22</v>
      </c>
      <c r="G27" s="41">
        <v>21.83</v>
      </c>
      <c r="H27" s="41">
        <v>10.07</v>
      </c>
      <c r="I27" s="41">
        <v>4.4800000000000004</v>
      </c>
      <c r="J27" s="41">
        <v>0.81</v>
      </c>
      <c r="K27" s="41">
        <v>262.29000000000002</v>
      </c>
      <c r="L27" s="41">
        <v>25.34</v>
      </c>
      <c r="M27" s="41">
        <v>91.33</v>
      </c>
      <c r="N27" s="41">
        <v>11.2</v>
      </c>
      <c r="O27" s="41">
        <v>0</v>
      </c>
      <c r="P27" s="41">
        <v>0.36</v>
      </c>
      <c r="Q27" s="27" t="s">
        <v>8</v>
      </c>
      <c r="R27" s="38"/>
      <c r="S27" s="38"/>
      <c r="T27" s="38"/>
      <c r="U27" s="38"/>
    </row>
    <row r="28" spans="1:21">
      <c r="A28" s="40" t="s">
        <v>751</v>
      </c>
      <c r="B28" s="41">
        <v>4.2</v>
      </c>
      <c r="C28" s="41">
        <v>6.52</v>
      </c>
      <c r="D28" s="41">
        <v>3.53</v>
      </c>
      <c r="E28" s="41">
        <v>5.72</v>
      </c>
      <c r="F28" s="41">
        <v>0.42</v>
      </c>
      <c r="G28" s="41">
        <v>16.22</v>
      </c>
      <c r="H28" s="41">
        <v>7.12</v>
      </c>
      <c r="I28" s="41">
        <v>4.3899999999999997</v>
      </c>
      <c r="J28" s="41">
        <v>0.92</v>
      </c>
      <c r="K28" s="41">
        <v>264.17</v>
      </c>
      <c r="L28" s="41">
        <v>25.34</v>
      </c>
      <c r="M28" s="41">
        <v>90.47</v>
      </c>
      <c r="N28" s="41">
        <v>2.5</v>
      </c>
      <c r="O28" s="41">
        <v>0</v>
      </c>
      <c r="P28" s="41">
        <v>0.32</v>
      </c>
      <c r="Q28" s="27" t="s">
        <v>8</v>
      </c>
      <c r="R28" s="38"/>
      <c r="S28" s="38"/>
      <c r="T28" s="38"/>
      <c r="U28" s="38"/>
    </row>
    <row r="29" spans="1:21">
      <c r="A29" s="40" t="s">
        <v>752</v>
      </c>
      <c r="B29" s="41">
        <v>4.01</v>
      </c>
      <c r="C29" s="41">
        <v>6.41</v>
      </c>
      <c r="D29" s="41">
        <v>3.57</v>
      </c>
      <c r="E29" s="41">
        <v>5.96</v>
      </c>
      <c r="F29" s="41">
        <v>0.79</v>
      </c>
      <c r="G29" s="41">
        <v>14.23</v>
      </c>
      <c r="H29" s="41">
        <v>4.9800000000000004</v>
      </c>
      <c r="I29" s="41">
        <v>4.1399999999999997</v>
      </c>
      <c r="J29" s="41">
        <v>0.94</v>
      </c>
      <c r="K29" s="41">
        <v>261.18</v>
      </c>
      <c r="L29" s="41">
        <v>25.18</v>
      </c>
      <c r="M29" s="41">
        <v>91.07</v>
      </c>
      <c r="N29" s="41">
        <v>2.8</v>
      </c>
      <c r="O29" s="41">
        <v>0</v>
      </c>
      <c r="P29" s="41">
        <v>0.31</v>
      </c>
      <c r="Q29" s="27" t="s">
        <v>8</v>
      </c>
      <c r="R29" s="38"/>
      <c r="S29" s="38"/>
      <c r="T29" s="38"/>
      <c r="U29" s="38"/>
    </row>
    <row r="30" spans="1:21">
      <c r="A30" s="40" t="s">
        <v>753</v>
      </c>
      <c r="B30" s="41">
        <v>3.98</v>
      </c>
      <c r="C30" s="41">
        <v>6.36</v>
      </c>
      <c r="D30" s="41">
        <v>3.48</v>
      </c>
      <c r="E30" s="41">
        <v>6.07</v>
      </c>
      <c r="F30" s="41">
        <v>1.08</v>
      </c>
      <c r="G30" s="41">
        <v>14.23</v>
      </c>
      <c r="H30" s="41">
        <v>4.38</v>
      </c>
      <c r="I30" s="41">
        <v>4</v>
      </c>
      <c r="J30" s="41">
        <v>0.97</v>
      </c>
      <c r="K30" s="41">
        <v>261.58999999999997</v>
      </c>
      <c r="L30" s="41">
        <v>24.87</v>
      </c>
      <c r="M30" s="41">
        <v>92.17</v>
      </c>
      <c r="N30" s="41">
        <v>1.8</v>
      </c>
      <c r="O30" s="41">
        <v>0</v>
      </c>
      <c r="P30" s="41">
        <v>0.31</v>
      </c>
      <c r="Q30" s="27" t="s">
        <v>8</v>
      </c>
      <c r="R30" s="38"/>
      <c r="S30" s="38"/>
      <c r="T30" s="38"/>
      <c r="U30" s="38"/>
    </row>
    <row r="31" spans="1:21">
      <c r="A31" s="40" t="s">
        <v>754</v>
      </c>
      <c r="B31" s="41">
        <v>3.93</v>
      </c>
      <c r="C31" s="41">
        <v>6.11</v>
      </c>
      <c r="D31" s="41">
        <v>3.09</v>
      </c>
      <c r="E31" s="41">
        <v>6.16</v>
      </c>
      <c r="F31" s="41">
        <v>1.1100000000000001</v>
      </c>
      <c r="G31" s="41">
        <v>11.87</v>
      </c>
      <c r="H31" s="41">
        <v>6.77</v>
      </c>
      <c r="I31" s="41">
        <v>3.95</v>
      </c>
      <c r="J31" s="41">
        <v>0.91</v>
      </c>
      <c r="K31" s="41">
        <v>262.32</v>
      </c>
      <c r="L31" s="41">
        <v>24.87</v>
      </c>
      <c r="M31" s="41">
        <v>88.95</v>
      </c>
      <c r="N31" s="41">
        <v>2.6</v>
      </c>
      <c r="O31" s="41">
        <v>0</v>
      </c>
      <c r="P31" s="41">
        <v>0.28999999999999998</v>
      </c>
      <c r="Q31" s="27" t="s">
        <v>8</v>
      </c>
      <c r="R31" s="38"/>
      <c r="S31" s="38"/>
      <c r="T31" s="38"/>
      <c r="U31" s="38"/>
    </row>
    <row r="32" spans="1:21">
      <c r="A32" s="40" t="s">
        <v>755</v>
      </c>
      <c r="B32" s="41">
        <v>3.88</v>
      </c>
      <c r="C32" s="41">
        <v>5.95</v>
      </c>
      <c r="D32" s="41">
        <v>2.88</v>
      </c>
      <c r="E32" s="41">
        <v>6.4</v>
      </c>
      <c r="F32" s="41">
        <v>1.29</v>
      </c>
      <c r="G32" s="41">
        <v>19.14</v>
      </c>
      <c r="H32" s="41">
        <v>6.77</v>
      </c>
      <c r="I32" s="41">
        <v>3.65</v>
      </c>
      <c r="J32" s="41">
        <v>0.95</v>
      </c>
      <c r="K32" s="41">
        <v>261.64</v>
      </c>
      <c r="L32" s="41">
        <v>24.24</v>
      </c>
      <c r="M32" s="41">
        <v>94.32</v>
      </c>
      <c r="N32" s="41">
        <v>2.8</v>
      </c>
      <c r="O32" s="41">
        <v>0.4</v>
      </c>
      <c r="P32" s="41">
        <v>0.28999999999999998</v>
      </c>
      <c r="Q32" s="27" t="s">
        <v>8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3.88</v>
      </c>
      <c r="C34" s="18">
        <f t="shared" si="0"/>
        <v>5.95</v>
      </c>
      <c r="D34" s="18">
        <f t="shared" si="0"/>
        <v>2.4900000000000002</v>
      </c>
      <c r="E34" s="18">
        <f t="shared" si="0"/>
        <v>4.3</v>
      </c>
      <c r="F34" s="18">
        <f t="shared" si="0"/>
        <v>0.06</v>
      </c>
      <c r="G34" s="18">
        <f t="shared" si="0"/>
        <v>11.87</v>
      </c>
      <c r="H34" s="18">
        <f t="shared" si="0"/>
        <v>4.38</v>
      </c>
      <c r="I34" s="18">
        <f t="shared" si="0"/>
        <v>3.65</v>
      </c>
      <c r="J34" s="18">
        <f t="shared" si="0"/>
        <v>0.63</v>
      </c>
      <c r="K34" s="18">
        <f t="shared" si="0"/>
        <v>260.26</v>
      </c>
      <c r="L34" s="18">
        <f t="shared" si="0"/>
        <v>23.65</v>
      </c>
      <c r="M34" s="18">
        <f t="shared" si="0"/>
        <v>79.540000000000006</v>
      </c>
      <c r="N34" s="18">
        <f t="shared" si="0"/>
        <v>1.8</v>
      </c>
      <c r="O34" s="18">
        <f t="shared" si="0"/>
        <v>0</v>
      </c>
      <c r="P34" s="18">
        <f t="shared" si="0"/>
        <v>0.28999999999999998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5.63</v>
      </c>
      <c r="C35" s="3">
        <f t="shared" si="1"/>
        <v>8.1999999999999993</v>
      </c>
      <c r="D35" s="3">
        <f t="shared" si="1"/>
        <v>4.7</v>
      </c>
      <c r="E35" s="3">
        <f t="shared" si="1"/>
        <v>6.4</v>
      </c>
      <c r="F35" s="3">
        <f t="shared" si="1"/>
        <v>1.35</v>
      </c>
      <c r="G35" s="3">
        <f t="shared" si="1"/>
        <v>38.950000000000003</v>
      </c>
      <c r="H35" s="3">
        <f t="shared" si="1"/>
        <v>15.24</v>
      </c>
      <c r="I35" s="3">
        <f t="shared" si="1"/>
        <v>8.1300000000000008</v>
      </c>
      <c r="J35" s="3">
        <f t="shared" si="1"/>
        <v>1.46</v>
      </c>
      <c r="K35" s="3">
        <f t="shared" si="1"/>
        <v>291.5</v>
      </c>
      <c r="L35" s="3">
        <f t="shared" si="1"/>
        <v>26.73</v>
      </c>
      <c r="M35" s="3">
        <f t="shared" si="1"/>
        <v>98.74</v>
      </c>
      <c r="N35" s="3">
        <f t="shared" si="1"/>
        <v>408.2</v>
      </c>
      <c r="O35" s="3">
        <f t="shared" si="1"/>
        <v>1.6</v>
      </c>
      <c r="P35" s="3">
        <f t="shared" si="1"/>
        <v>0.57999999999999996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4.5587500000000007</v>
      </c>
      <c r="C36" s="18">
        <f t="shared" si="2"/>
        <v>6.764166666666668</v>
      </c>
      <c r="D36" s="18">
        <f t="shared" si="2"/>
        <v>3.4462499999999996</v>
      </c>
      <c r="E36" s="18">
        <f t="shared" si="2"/>
        <v>5.1045833333333341</v>
      </c>
      <c r="F36" s="18">
        <f t="shared" si="2"/>
        <v>0.60291666666666677</v>
      </c>
      <c r="G36" s="18">
        <f t="shared" si="2"/>
        <v>27.405833333333344</v>
      </c>
      <c r="H36" s="18">
        <f t="shared" si="2"/>
        <v>10.725</v>
      </c>
      <c r="I36" s="18">
        <f t="shared" si="2"/>
        <v>5.5108333333333333</v>
      </c>
      <c r="J36" s="18">
        <f t="shared" si="2"/>
        <v>1.0125</v>
      </c>
      <c r="K36" s="18">
        <f t="shared" si="2"/>
        <v>267.99875000000003</v>
      </c>
      <c r="L36" s="18">
        <f t="shared" si="2"/>
        <v>25.197916666666661</v>
      </c>
      <c r="M36" s="18">
        <f t="shared" si="2"/>
        <v>90.830833333333317</v>
      </c>
      <c r="N36" s="18">
        <f t="shared" si="2"/>
        <v>81.137499999999989</v>
      </c>
      <c r="O36" s="18">
        <f t="shared" si="2"/>
        <v>0.17500000000000002</v>
      </c>
      <c r="P36" s="18">
        <f t="shared" si="2"/>
        <v>0.40458333333333346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0.55489374227628829</v>
      </c>
      <c r="C37" s="18">
        <f t="shared" ref="C37:Q37" si="3">STDEV(C9:C32)</f>
        <v>0.59214361262367299</v>
      </c>
      <c r="D37" s="18">
        <f t="shared" si="3"/>
        <v>0.65214570591174714</v>
      </c>
      <c r="E37" s="18">
        <f t="shared" si="3"/>
        <v>0.57950487987341104</v>
      </c>
      <c r="F37" s="18">
        <f t="shared" si="3"/>
        <v>0.44826699309836449</v>
      </c>
      <c r="G37" s="18">
        <f t="shared" si="3"/>
        <v>8.0467081666256739</v>
      </c>
      <c r="H37" s="18">
        <f t="shared" si="3"/>
        <v>2.9587850032829679</v>
      </c>
      <c r="I37" s="18">
        <f t="shared" si="3"/>
        <v>1.1708930692894823</v>
      </c>
      <c r="J37" s="18">
        <f t="shared" si="3"/>
        <v>0.22167838042494309</v>
      </c>
      <c r="K37" s="18">
        <f t="shared" si="3"/>
        <v>8.1282846537903417</v>
      </c>
      <c r="L37" s="18">
        <f t="shared" si="3"/>
        <v>0.92563481937564296</v>
      </c>
      <c r="M37" s="18">
        <f t="shared" si="3"/>
        <v>4.7710767326051036</v>
      </c>
      <c r="N37" s="18">
        <f t="shared" si="3"/>
        <v>108.76139345614207</v>
      </c>
      <c r="O37" s="18">
        <f t="shared" si="3"/>
        <v>0.38813937433999596</v>
      </c>
      <c r="P37" s="18">
        <f t="shared" si="3"/>
        <v>7.9124512041446451E-2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59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9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756</v>
      </c>
      <c r="B9" s="41">
        <v>4.38</v>
      </c>
      <c r="C9" s="41">
        <v>6.04</v>
      </c>
      <c r="D9" s="41">
        <v>2.65</v>
      </c>
      <c r="E9" s="41">
        <v>6.39</v>
      </c>
      <c r="F9" s="41">
        <v>0.36</v>
      </c>
      <c r="G9" s="41">
        <v>19.71</v>
      </c>
      <c r="H9" s="41">
        <v>6.7</v>
      </c>
      <c r="I9" s="41">
        <v>3.33</v>
      </c>
      <c r="J9" s="41">
        <v>0.89</v>
      </c>
      <c r="K9" s="41">
        <v>262.25</v>
      </c>
      <c r="L9" s="41">
        <v>23.41</v>
      </c>
      <c r="M9" s="41">
        <v>96.13</v>
      </c>
      <c r="N9" s="41">
        <v>2.8</v>
      </c>
      <c r="O9" s="41">
        <v>0</v>
      </c>
      <c r="P9" s="41">
        <v>0.28999999999999998</v>
      </c>
      <c r="Q9" s="27" t="s">
        <v>8</v>
      </c>
      <c r="R9" s="38"/>
      <c r="S9" s="38"/>
      <c r="T9" s="38"/>
      <c r="U9" s="38"/>
    </row>
    <row r="10" spans="1:21" customFormat="1">
      <c r="A10" s="40" t="s">
        <v>757</v>
      </c>
      <c r="B10" s="41">
        <v>4.63</v>
      </c>
      <c r="C10" s="41">
        <v>6.18</v>
      </c>
      <c r="D10" s="41">
        <v>2.1800000000000002</v>
      </c>
      <c r="E10" s="41">
        <v>5.36</v>
      </c>
      <c r="F10" s="41">
        <v>0.11</v>
      </c>
      <c r="G10" s="41">
        <v>19.71</v>
      </c>
      <c r="H10" s="41">
        <v>6.7</v>
      </c>
      <c r="I10" s="41">
        <v>3.32</v>
      </c>
      <c r="J10" s="41">
        <v>0.85</v>
      </c>
      <c r="K10" s="41">
        <v>261.32</v>
      </c>
      <c r="L10" s="41">
        <v>23.53</v>
      </c>
      <c r="M10" s="41">
        <v>96.27</v>
      </c>
      <c r="N10" s="41">
        <v>2.7</v>
      </c>
      <c r="O10" s="41">
        <v>0</v>
      </c>
      <c r="P10" s="41">
        <v>0.28999999999999998</v>
      </c>
      <c r="Q10" s="27" t="s">
        <v>8</v>
      </c>
      <c r="R10" s="38"/>
      <c r="S10" s="38"/>
      <c r="T10" s="38"/>
      <c r="U10" s="38"/>
    </row>
    <row r="11" spans="1:21" customFormat="1">
      <c r="A11" s="40" t="s">
        <v>758</v>
      </c>
      <c r="B11" s="41">
        <v>4.82</v>
      </c>
      <c r="C11" s="41">
        <v>6.31</v>
      </c>
      <c r="D11" s="41">
        <v>2.11</v>
      </c>
      <c r="E11" s="41">
        <v>4.92</v>
      </c>
      <c r="F11" s="41">
        <v>0.09</v>
      </c>
      <c r="G11" s="41">
        <v>14.43</v>
      </c>
      <c r="H11" s="41">
        <v>5.1100000000000003</v>
      </c>
      <c r="I11" s="41">
        <v>3.37</v>
      </c>
      <c r="J11" s="41">
        <v>0.73</v>
      </c>
      <c r="K11" s="41">
        <v>261.01</v>
      </c>
      <c r="L11" s="41">
        <v>23.57</v>
      </c>
      <c r="M11" s="41">
        <v>97.01</v>
      </c>
      <c r="N11" s="41">
        <v>2.5</v>
      </c>
      <c r="O11" s="41">
        <v>0</v>
      </c>
      <c r="P11" s="41">
        <v>0.28999999999999998</v>
      </c>
      <c r="Q11" s="27" t="s">
        <v>8</v>
      </c>
      <c r="R11" s="38"/>
      <c r="S11" s="38"/>
      <c r="T11" s="38"/>
      <c r="U11" s="38"/>
    </row>
    <row r="12" spans="1:21" customFormat="1">
      <c r="A12" s="40" t="s">
        <v>759</v>
      </c>
      <c r="B12" s="41">
        <v>5.04</v>
      </c>
      <c r="C12" s="41">
        <v>6.54</v>
      </c>
      <c r="D12" s="41">
        <v>2.2000000000000002</v>
      </c>
      <c r="E12" s="41">
        <v>5.07</v>
      </c>
      <c r="F12" s="41">
        <v>0</v>
      </c>
      <c r="G12" s="41">
        <v>16.03</v>
      </c>
      <c r="H12" s="41">
        <v>7.03</v>
      </c>
      <c r="I12" s="41">
        <v>3.54</v>
      </c>
      <c r="J12" s="41">
        <v>0.8</v>
      </c>
      <c r="K12" s="41">
        <v>260.42</v>
      </c>
      <c r="L12" s="41">
        <v>23.54</v>
      </c>
      <c r="M12" s="41">
        <v>97.64</v>
      </c>
      <c r="N12" s="41">
        <v>2.2000000000000002</v>
      </c>
      <c r="O12" s="41">
        <v>0</v>
      </c>
      <c r="P12" s="41">
        <v>0.3</v>
      </c>
      <c r="Q12" s="27" t="s">
        <v>8</v>
      </c>
      <c r="R12" s="38"/>
      <c r="S12" s="38"/>
      <c r="T12" s="38"/>
      <c r="U12" s="38"/>
    </row>
    <row r="13" spans="1:21" customFormat="1">
      <c r="A13" s="40" t="s">
        <v>760</v>
      </c>
      <c r="B13" s="41">
        <v>5.14</v>
      </c>
      <c r="C13" s="41">
        <v>6.91</v>
      </c>
      <c r="D13" s="41">
        <v>2.82</v>
      </c>
      <c r="E13" s="41">
        <v>5.16</v>
      </c>
      <c r="F13" s="41">
        <v>0.01</v>
      </c>
      <c r="G13" s="41">
        <v>16.03</v>
      </c>
      <c r="H13" s="41">
        <v>7.03</v>
      </c>
      <c r="I13" s="41">
        <v>3.71</v>
      </c>
      <c r="J13" s="41">
        <v>0.73</v>
      </c>
      <c r="K13" s="41">
        <v>263.7</v>
      </c>
      <c r="L13" s="41">
        <v>23.48</v>
      </c>
      <c r="M13" s="41">
        <v>98.83</v>
      </c>
      <c r="N13" s="41">
        <v>2.5</v>
      </c>
      <c r="O13" s="41">
        <v>0.2</v>
      </c>
      <c r="P13" s="41">
        <v>0.3</v>
      </c>
      <c r="Q13" s="27" t="s">
        <v>8</v>
      </c>
      <c r="R13" s="38"/>
      <c r="S13" s="38"/>
      <c r="T13" s="38"/>
      <c r="U13" s="38"/>
    </row>
    <row r="14" spans="1:21" customFormat="1">
      <c r="A14" s="40" t="s">
        <v>761</v>
      </c>
      <c r="B14" s="41">
        <v>4.93</v>
      </c>
      <c r="C14" s="41">
        <v>6.88</v>
      </c>
      <c r="D14" s="41">
        <v>3.04</v>
      </c>
      <c r="E14" s="41">
        <v>4.84</v>
      </c>
      <c r="F14" s="41">
        <v>0.05</v>
      </c>
      <c r="G14" s="41">
        <v>13.19</v>
      </c>
      <c r="H14" s="41">
        <v>7</v>
      </c>
      <c r="I14" s="41">
        <v>3.55</v>
      </c>
      <c r="J14" s="41">
        <v>0.74</v>
      </c>
      <c r="K14" s="41">
        <v>262.42</v>
      </c>
      <c r="L14" s="41">
        <v>23.28</v>
      </c>
      <c r="M14" s="41">
        <v>99.06</v>
      </c>
      <c r="N14" s="41">
        <v>6.4</v>
      </c>
      <c r="O14" s="41">
        <v>0.2</v>
      </c>
      <c r="P14" s="41">
        <v>0.24</v>
      </c>
      <c r="Q14" s="27" t="s">
        <v>8</v>
      </c>
      <c r="R14" s="38"/>
      <c r="S14" s="38"/>
      <c r="T14" s="38"/>
      <c r="U14" s="38"/>
    </row>
    <row r="15" spans="1:21" customFormat="1">
      <c r="A15" s="40" t="s">
        <v>762</v>
      </c>
      <c r="B15" s="41">
        <v>4.55</v>
      </c>
      <c r="C15" s="41">
        <v>6.55</v>
      </c>
      <c r="D15" s="41">
        <v>3.06</v>
      </c>
      <c r="E15" s="41">
        <v>5.12</v>
      </c>
      <c r="F15" s="41">
        <v>0.08</v>
      </c>
      <c r="G15" s="41">
        <v>13.19</v>
      </c>
      <c r="H15" s="41">
        <v>4.9000000000000004</v>
      </c>
      <c r="I15" s="41">
        <v>3.26</v>
      </c>
      <c r="J15" s="41">
        <v>0.75</v>
      </c>
      <c r="K15" s="41">
        <v>265.89</v>
      </c>
      <c r="L15" s="41">
        <v>23.32</v>
      </c>
      <c r="M15" s="41">
        <v>99.7</v>
      </c>
      <c r="N15" s="41">
        <v>17.3</v>
      </c>
      <c r="O15" s="41">
        <v>0.2</v>
      </c>
      <c r="P15" s="41">
        <v>0.25</v>
      </c>
      <c r="Q15" s="27" t="s">
        <v>8</v>
      </c>
      <c r="R15" s="38"/>
      <c r="S15" s="38"/>
      <c r="T15" s="38"/>
      <c r="U15" s="38"/>
    </row>
    <row r="16" spans="1:21" customFormat="1">
      <c r="A16" s="40" t="s">
        <v>763</v>
      </c>
      <c r="B16" s="41">
        <v>5.07</v>
      </c>
      <c r="C16" s="41">
        <v>7.33</v>
      </c>
      <c r="D16" s="41">
        <v>3.66</v>
      </c>
      <c r="E16" s="41">
        <v>5.0999999999999996</v>
      </c>
      <c r="F16" s="41">
        <v>0.23</v>
      </c>
      <c r="G16" s="41">
        <v>10.130000000000001</v>
      </c>
      <c r="H16" s="41">
        <v>4</v>
      </c>
      <c r="I16" s="41">
        <v>4.37</v>
      </c>
      <c r="J16" s="41">
        <v>0.83</v>
      </c>
      <c r="K16" s="41">
        <v>276.89999999999998</v>
      </c>
      <c r="L16" s="41">
        <v>23.36</v>
      </c>
      <c r="M16" s="41">
        <v>99.63</v>
      </c>
      <c r="N16" s="41">
        <v>34.4</v>
      </c>
      <c r="O16" s="41">
        <v>0.4</v>
      </c>
      <c r="P16" s="41">
        <v>0.37</v>
      </c>
      <c r="Q16" s="27" t="s">
        <v>8</v>
      </c>
      <c r="R16" s="38"/>
      <c r="S16" s="38"/>
      <c r="T16" s="38"/>
      <c r="U16" s="38"/>
    </row>
    <row r="17" spans="1:21" customFormat="1">
      <c r="A17" s="40" t="s">
        <v>764</v>
      </c>
      <c r="B17" s="41">
        <v>5.67</v>
      </c>
      <c r="C17" s="41">
        <v>7.94</v>
      </c>
      <c r="D17" s="41">
        <v>3.9</v>
      </c>
      <c r="E17" s="41">
        <v>5.68</v>
      </c>
      <c r="F17" s="41">
        <v>0.52</v>
      </c>
      <c r="G17" s="41">
        <v>9.89</v>
      </c>
      <c r="H17" s="41">
        <v>6.91</v>
      </c>
      <c r="I17" s="41">
        <v>6.63</v>
      </c>
      <c r="J17" s="41">
        <v>0.84</v>
      </c>
      <c r="K17" s="41">
        <v>267.94</v>
      </c>
      <c r="L17" s="41">
        <v>23.63</v>
      </c>
      <c r="M17" s="41">
        <v>99.28</v>
      </c>
      <c r="N17" s="41">
        <v>99.5</v>
      </c>
      <c r="O17" s="41">
        <v>0.4</v>
      </c>
      <c r="P17" s="41">
        <v>0.52</v>
      </c>
      <c r="Q17" s="27" t="s">
        <v>8</v>
      </c>
      <c r="R17" s="38"/>
      <c r="S17" s="38"/>
      <c r="T17" s="38"/>
      <c r="U17" s="38"/>
    </row>
    <row r="18" spans="1:21" customFormat="1">
      <c r="A18" s="40" t="s">
        <v>765</v>
      </c>
      <c r="B18" s="41">
        <v>6.36</v>
      </c>
      <c r="C18" s="41">
        <v>8.5</v>
      </c>
      <c r="D18" s="41">
        <v>4.04</v>
      </c>
      <c r="E18" s="41">
        <v>5.69</v>
      </c>
      <c r="F18" s="41">
        <v>0.63</v>
      </c>
      <c r="G18" s="41">
        <v>9.89</v>
      </c>
      <c r="H18" s="41">
        <v>8.6300000000000008</v>
      </c>
      <c r="I18" s="41">
        <v>7.67</v>
      </c>
      <c r="J18" s="41">
        <v>0.85</v>
      </c>
      <c r="K18" s="41">
        <v>272.06</v>
      </c>
      <c r="L18" s="41">
        <v>24.08</v>
      </c>
      <c r="M18" s="41">
        <v>99.1</v>
      </c>
      <c r="N18" s="41">
        <v>87.9</v>
      </c>
      <c r="O18" s="41">
        <v>0</v>
      </c>
      <c r="P18" s="41">
        <v>0.61</v>
      </c>
      <c r="Q18" s="27" t="s">
        <v>8</v>
      </c>
      <c r="R18" s="38"/>
      <c r="S18" s="38"/>
      <c r="T18" s="38"/>
      <c r="U18" s="38"/>
    </row>
    <row r="19" spans="1:21" customFormat="1">
      <c r="A19" s="40" t="s">
        <v>766</v>
      </c>
      <c r="B19" s="41">
        <v>7.28</v>
      </c>
      <c r="C19" s="41">
        <v>8.64</v>
      </c>
      <c r="D19" s="41">
        <v>3.39</v>
      </c>
      <c r="E19" s="41">
        <v>5.18</v>
      </c>
      <c r="F19" s="41">
        <v>0.14000000000000001</v>
      </c>
      <c r="G19" s="41">
        <v>30.68</v>
      </c>
      <c r="H19" s="41">
        <v>13.18</v>
      </c>
      <c r="I19" s="41">
        <v>8.14</v>
      </c>
      <c r="J19" s="41">
        <v>0.8</v>
      </c>
      <c r="K19" s="41">
        <v>269.18</v>
      </c>
      <c r="L19" s="41">
        <v>24.75</v>
      </c>
      <c r="M19" s="41">
        <v>95.6</v>
      </c>
      <c r="N19" s="41">
        <v>135.30000000000001</v>
      </c>
      <c r="O19" s="41">
        <v>0</v>
      </c>
      <c r="P19" s="41">
        <v>0.65</v>
      </c>
      <c r="Q19" s="27" t="s">
        <v>8</v>
      </c>
      <c r="R19" s="38"/>
      <c r="S19" s="38"/>
      <c r="T19" s="38"/>
      <c r="U19" s="38"/>
    </row>
    <row r="20" spans="1:21" customFormat="1">
      <c r="A20" s="40" t="s">
        <v>767</v>
      </c>
      <c r="B20" s="41">
        <v>7.63</v>
      </c>
      <c r="C20" s="41">
        <v>8.99</v>
      </c>
      <c r="D20" s="41">
        <v>2.91</v>
      </c>
      <c r="E20" s="41">
        <v>5.18</v>
      </c>
      <c r="F20" s="41">
        <v>7.0000000000000007E-2</v>
      </c>
      <c r="G20" s="41">
        <v>31.87</v>
      </c>
      <c r="H20" s="41">
        <v>14.17</v>
      </c>
      <c r="I20" s="41">
        <v>8.2799999999999994</v>
      </c>
      <c r="J20" s="41">
        <v>0.75</v>
      </c>
      <c r="K20" s="41">
        <v>262.31</v>
      </c>
      <c r="L20" s="41">
        <v>25.5</v>
      </c>
      <c r="M20" s="41">
        <v>91.53</v>
      </c>
      <c r="N20" s="41">
        <v>110</v>
      </c>
      <c r="O20" s="41">
        <v>0</v>
      </c>
      <c r="P20" s="41">
        <v>0.67</v>
      </c>
      <c r="Q20" s="27" t="s">
        <v>8</v>
      </c>
      <c r="R20" s="38"/>
      <c r="S20" s="38"/>
      <c r="T20" s="38"/>
      <c r="U20" s="38"/>
    </row>
    <row r="21" spans="1:21" customFormat="1">
      <c r="A21" s="40" t="s">
        <v>768</v>
      </c>
      <c r="B21" s="41">
        <v>7.72</v>
      </c>
      <c r="C21" s="41">
        <v>8.9499999999999993</v>
      </c>
      <c r="D21" s="41">
        <v>2.83</v>
      </c>
      <c r="E21" s="41">
        <v>5.16</v>
      </c>
      <c r="F21" s="41">
        <v>0.03</v>
      </c>
      <c r="G21" s="41">
        <v>31.87</v>
      </c>
      <c r="H21" s="41">
        <v>14.17</v>
      </c>
      <c r="I21" s="41">
        <v>8.4700000000000006</v>
      </c>
      <c r="J21" s="41">
        <v>0.99</v>
      </c>
      <c r="K21" s="41">
        <v>266.13</v>
      </c>
      <c r="L21" s="41">
        <v>26.12</v>
      </c>
      <c r="M21" s="41">
        <v>88.19</v>
      </c>
      <c r="N21" s="41">
        <v>212.6</v>
      </c>
      <c r="O21" s="41">
        <v>0</v>
      </c>
      <c r="P21" s="41">
        <v>0.66</v>
      </c>
      <c r="Q21" s="27" t="s">
        <v>8</v>
      </c>
      <c r="R21" s="38"/>
      <c r="S21" s="38"/>
      <c r="T21" s="38"/>
      <c r="U21" s="38"/>
    </row>
    <row r="22" spans="1:21" customFormat="1">
      <c r="A22" s="40" t="s">
        <v>769</v>
      </c>
      <c r="B22" s="41">
        <v>7.51</v>
      </c>
      <c r="C22" s="41">
        <v>8.85</v>
      </c>
      <c r="D22" s="41">
        <v>2.94</v>
      </c>
      <c r="E22" s="41">
        <v>4.88</v>
      </c>
      <c r="F22" s="41">
        <v>0.08</v>
      </c>
      <c r="G22" s="41">
        <v>24.91</v>
      </c>
      <c r="H22" s="41">
        <v>12.03</v>
      </c>
      <c r="I22" s="41">
        <v>8.6300000000000008</v>
      </c>
      <c r="J22" s="41">
        <v>1.04</v>
      </c>
      <c r="K22" s="41">
        <v>261.95</v>
      </c>
      <c r="L22" s="41">
        <v>26.32</v>
      </c>
      <c r="M22" s="41">
        <v>86.83</v>
      </c>
      <c r="N22" s="41">
        <v>247.7</v>
      </c>
      <c r="O22" s="41">
        <v>0</v>
      </c>
      <c r="P22" s="41">
        <v>0.65</v>
      </c>
      <c r="Q22" s="27" t="s">
        <v>8</v>
      </c>
      <c r="R22" s="38"/>
      <c r="S22" s="38"/>
      <c r="T22" s="38"/>
      <c r="U22" s="38"/>
    </row>
    <row r="23" spans="1:21" customFormat="1">
      <c r="A23" s="40" t="s">
        <v>770</v>
      </c>
      <c r="B23" s="41">
        <v>7.04</v>
      </c>
      <c r="C23" s="41">
        <v>8.67</v>
      </c>
      <c r="D23" s="41">
        <v>3.85</v>
      </c>
      <c r="E23" s="41">
        <v>4.8099999999999996</v>
      </c>
      <c r="F23" s="41">
        <v>0</v>
      </c>
      <c r="G23" s="41">
        <v>30.72</v>
      </c>
      <c r="H23" s="41">
        <v>12.03</v>
      </c>
      <c r="I23" s="41">
        <v>8.74</v>
      </c>
      <c r="J23" s="41">
        <v>0.92</v>
      </c>
      <c r="K23" s="41">
        <v>267.83999999999997</v>
      </c>
      <c r="L23" s="41">
        <v>26.64</v>
      </c>
      <c r="M23" s="41">
        <v>85.78</v>
      </c>
      <c r="N23" s="41">
        <v>232</v>
      </c>
      <c r="O23" s="41">
        <v>0</v>
      </c>
      <c r="P23" s="41">
        <v>0.62</v>
      </c>
      <c r="Q23" s="27" t="s">
        <v>8</v>
      </c>
      <c r="R23" s="38"/>
      <c r="S23" s="38"/>
      <c r="T23" s="38"/>
      <c r="U23" s="38"/>
    </row>
    <row r="24" spans="1:21" customFormat="1">
      <c r="A24" s="40" t="s">
        <v>771</v>
      </c>
      <c r="B24" s="41">
        <v>6.34</v>
      </c>
      <c r="C24" s="41">
        <v>8.6199999999999992</v>
      </c>
      <c r="D24" s="41">
        <v>4.6500000000000004</v>
      </c>
      <c r="E24" s="41">
        <v>4.82</v>
      </c>
      <c r="F24" s="41">
        <v>0.28999999999999998</v>
      </c>
      <c r="G24" s="41">
        <v>32.770000000000003</v>
      </c>
      <c r="H24" s="41">
        <v>13.07</v>
      </c>
      <c r="I24" s="41">
        <v>9.39</v>
      </c>
      <c r="J24" s="41">
        <v>1.04</v>
      </c>
      <c r="K24" s="41">
        <v>267.48</v>
      </c>
      <c r="L24" s="41">
        <v>26.83</v>
      </c>
      <c r="M24" s="41">
        <v>85.74</v>
      </c>
      <c r="N24" s="41">
        <v>176.7</v>
      </c>
      <c r="O24" s="41">
        <v>0</v>
      </c>
      <c r="P24" s="41">
        <v>0.59</v>
      </c>
      <c r="Q24" s="27" t="s">
        <v>8</v>
      </c>
      <c r="R24" s="38"/>
      <c r="S24" s="38"/>
      <c r="T24" s="38"/>
      <c r="U24" s="38"/>
    </row>
    <row r="25" spans="1:21" customFormat="1">
      <c r="A25" s="40" t="s">
        <v>772</v>
      </c>
      <c r="B25" s="41">
        <v>5.35</v>
      </c>
      <c r="C25" s="41">
        <v>8.11</v>
      </c>
      <c r="D25" s="41">
        <v>4.72</v>
      </c>
      <c r="E25" s="41">
        <v>5.01</v>
      </c>
      <c r="F25" s="41">
        <v>0.34</v>
      </c>
      <c r="G25" s="41">
        <v>32.770000000000003</v>
      </c>
      <c r="H25" s="41">
        <v>13.07</v>
      </c>
      <c r="I25" s="41">
        <v>9.5500000000000007</v>
      </c>
      <c r="J25" s="41">
        <v>0.82</v>
      </c>
      <c r="K25" s="41">
        <v>262.44</v>
      </c>
      <c r="L25" s="41">
        <v>25.9</v>
      </c>
      <c r="M25" s="41">
        <v>90</v>
      </c>
      <c r="N25" s="41">
        <v>56</v>
      </c>
      <c r="O25" s="41">
        <v>0.2</v>
      </c>
      <c r="P25" s="41">
        <v>0.57999999999999996</v>
      </c>
      <c r="Q25" s="27" t="s">
        <v>8</v>
      </c>
      <c r="R25" s="38"/>
      <c r="S25" s="38"/>
      <c r="T25" s="38"/>
      <c r="U25" s="38"/>
    </row>
    <row r="26" spans="1:21" customFormat="1">
      <c r="A26" s="40" t="s">
        <v>773</v>
      </c>
      <c r="B26" s="41">
        <v>4.63</v>
      </c>
      <c r="C26" s="41">
        <v>7.32</v>
      </c>
      <c r="D26" s="41">
        <v>4.32</v>
      </c>
      <c r="E26" s="41">
        <v>5.14</v>
      </c>
      <c r="F26" s="41">
        <v>0.81</v>
      </c>
      <c r="G26" s="41">
        <v>32.57</v>
      </c>
      <c r="H26" s="41">
        <v>11.8</v>
      </c>
      <c r="I26" s="41">
        <v>8.76</v>
      </c>
      <c r="J26" s="41">
        <v>0.99</v>
      </c>
      <c r="K26" s="41">
        <v>267.14</v>
      </c>
      <c r="L26" s="41">
        <v>25.87</v>
      </c>
      <c r="M26" s="41">
        <v>88.75</v>
      </c>
      <c r="N26" s="41">
        <v>25.4</v>
      </c>
      <c r="O26" s="41">
        <v>0</v>
      </c>
      <c r="P26" s="41">
        <v>0.53</v>
      </c>
      <c r="Q26" s="27" t="s">
        <v>8</v>
      </c>
      <c r="R26" s="38"/>
      <c r="S26" s="38"/>
      <c r="T26" s="38"/>
      <c r="U26" s="38"/>
    </row>
    <row r="27" spans="1:21" customFormat="1">
      <c r="A27" s="40" t="s">
        <v>774</v>
      </c>
      <c r="B27" s="41">
        <v>4.24</v>
      </c>
      <c r="C27" s="41">
        <v>6.75</v>
      </c>
      <c r="D27" s="41">
        <v>3.81</v>
      </c>
      <c r="E27" s="41">
        <v>5.01</v>
      </c>
      <c r="F27" s="41">
        <v>1.1100000000000001</v>
      </c>
      <c r="G27" s="41">
        <v>25.59</v>
      </c>
      <c r="H27" s="41">
        <v>11.28</v>
      </c>
      <c r="I27" s="41">
        <v>7.61</v>
      </c>
      <c r="J27" s="41">
        <v>0.89</v>
      </c>
      <c r="K27" s="41">
        <v>261.47000000000003</v>
      </c>
      <c r="L27" s="41">
        <v>25.58</v>
      </c>
      <c r="M27" s="41">
        <v>88.34</v>
      </c>
      <c r="N27" s="41">
        <v>13.7</v>
      </c>
      <c r="O27" s="41">
        <v>0</v>
      </c>
      <c r="P27" s="41">
        <v>0.47</v>
      </c>
      <c r="Q27" s="27" t="s">
        <v>8</v>
      </c>
      <c r="R27" s="38"/>
      <c r="S27" s="38"/>
      <c r="T27" s="38"/>
      <c r="U27" s="38"/>
    </row>
    <row r="28" spans="1:21" customFormat="1">
      <c r="A28" s="40" t="s">
        <v>775</v>
      </c>
      <c r="B28" s="41">
        <v>4.1900000000000004</v>
      </c>
      <c r="C28" s="41">
        <v>6.41</v>
      </c>
      <c r="D28" s="41">
        <v>3.45</v>
      </c>
      <c r="E28" s="41">
        <v>5.16</v>
      </c>
      <c r="F28" s="41">
        <v>0.79</v>
      </c>
      <c r="G28" s="41">
        <v>17.96</v>
      </c>
      <c r="H28" s="41">
        <v>7.9</v>
      </c>
      <c r="I28" s="41">
        <v>6.97</v>
      </c>
      <c r="J28" s="41">
        <v>0.85</v>
      </c>
      <c r="K28" s="41">
        <v>260.29000000000002</v>
      </c>
      <c r="L28" s="41">
        <v>25.36</v>
      </c>
      <c r="M28" s="41">
        <v>90.72</v>
      </c>
      <c r="N28" s="41">
        <v>2.2999999999999998</v>
      </c>
      <c r="O28" s="41">
        <v>0</v>
      </c>
      <c r="P28" s="41">
        <v>0.44</v>
      </c>
      <c r="Q28" s="27" t="s">
        <v>8</v>
      </c>
      <c r="R28" s="38"/>
      <c r="S28" s="38"/>
      <c r="T28" s="38"/>
      <c r="U28" s="38"/>
    </row>
    <row r="29" spans="1:21" customFormat="1">
      <c r="A29" s="40" t="s">
        <v>776</v>
      </c>
      <c r="B29" s="41">
        <v>4.5</v>
      </c>
      <c r="C29" s="41">
        <v>6.16</v>
      </c>
      <c r="D29" s="41">
        <v>2.56</v>
      </c>
      <c r="E29" s="41">
        <v>4.59</v>
      </c>
      <c r="F29" s="41">
        <v>0.47</v>
      </c>
      <c r="G29" s="41">
        <v>20.91</v>
      </c>
      <c r="H29" s="41">
        <v>5.53</v>
      </c>
      <c r="I29" s="41">
        <v>6.3</v>
      </c>
      <c r="J29" s="41">
        <v>0.84</v>
      </c>
      <c r="K29" s="41">
        <v>261.39</v>
      </c>
      <c r="L29" s="41">
        <v>25.07</v>
      </c>
      <c r="M29" s="41">
        <v>91.43</v>
      </c>
      <c r="N29" s="41">
        <v>2.4</v>
      </c>
      <c r="O29" s="41">
        <v>0</v>
      </c>
      <c r="P29" s="41">
        <v>0.43</v>
      </c>
      <c r="Q29" s="27" t="s">
        <v>8</v>
      </c>
      <c r="R29" s="38"/>
      <c r="S29" s="38"/>
      <c r="T29" s="38"/>
      <c r="U29" s="38"/>
    </row>
    <row r="30" spans="1:21" customFormat="1">
      <c r="A30" s="40" t="s">
        <v>777</v>
      </c>
      <c r="B30" s="41">
        <v>4.68</v>
      </c>
      <c r="C30" s="41">
        <v>6.25</v>
      </c>
      <c r="D30" s="41">
        <v>2.2200000000000002</v>
      </c>
      <c r="E30" s="41">
        <v>4.5999999999999996</v>
      </c>
      <c r="F30" s="41">
        <v>0.19</v>
      </c>
      <c r="G30" s="41">
        <v>20.91</v>
      </c>
      <c r="H30" s="41">
        <v>6</v>
      </c>
      <c r="I30" s="41">
        <v>6.07</v>
      </c>
      <c r="J30" s="41">
        <v>0.77</v>
      </c>
      <c r="K30" s="41">
        <v>262.86</v>
      </c>
      <c r="L30" s="41">
        <v>24.98</v>
      </c>
      <c r="M30" s="41">
        <v>92.23</v>
      </c>
      <c r="N30" s="41">
        <v>2.2999999999999998</v>
      </c>
      <c r="O30" s="41">
        <v>0</v>
      </c>
      <c r="P30" s="41">
        <v>0.42</v>
      </c>
      <c r="Q30" s="27" t="s">
        <v>8</v>
      </c>
      <c r="R30" s="38"/>
      <c r="S30" s="38"/>
      <c r="T30" s="38"/>
      <c r="U30" s="38"/>
    </row>
    <row r="31" spans="1:21" customFormat="1">
      <c r="A31" s="40" t="s">
        <v>778</v>
      </c>
      <c r="B31" s="41">
        <v>4.8</v>
      </c>
      <c r="C31" s="41">
        <v>6.29</v>
      </c>
      <c r="D31" s="41">
        <v>2.08</v>
      </c>
      <c r="E31" s="41">
        <v>4.66</v>
      </c>
      <c r="F31" s="41">
        <v>7.0000000000000007E-2</v>
      </c>
      <c r="G31" s="41">
        <v>14.87</v>
      </c>
      <c r="H31" s="41">
        <v>6</v>
      </c>
      <c r="I31" s="41">
        <v>5.84</v>
      </c>
      <c r="J31" s="41">
        <v>0.89</v>
      </c>
      <c r="K31" s="41">
        <v>270.8</v>
      </c>
      <c r="L31" s="41">
        <v>25.06</v>
      </c>
      <c r="M31" s="41">
        <v>92.01</v>
      </c>
      <c r="N31" s="41">
        <v>2.2999999999999998</v>
      </c>
      <c r="O31" s="41">
        <v>0</v>
      </c>
      <c r="P31" s="41">
        <v>0.4</v>
      </c>
      <c r="Q31" s="27" t="s">
        <v>8</v>
      </c>
      <c r="R31" s="38"/>
      <c r="S31" s="38"/>
      <c r="T31" s="38"/>
      <c r="U31" s="38"/>
    </row>
    <row r="32" spans="1:21" customFormat="1">
      <c r="A32" s="40" t="s">
        <v>779</v>
      </c>
      <c r="B32" s="41">
        <v>4.92</v>
      </c>
      <c r="C32" s="41">
        <v>6.37</v>
      </c>
      <c r="D32" s="41">
        <v>2.08</v>
      </c>
      <c r="E32" s="41">
        <v>4.5999999999999996</v>
      </c>
      <c r="F32" s="41">
        <v>0.14000000000000001</v>
      </c>
      <c r="G32" s="41">
        <v>12.81</v>
      </c>
      <c r="H32" s="41">
        <v>5.54</v>
      </c>
      <c r="I32" s="41">
        <v>5.61</v>
      </c>
      <c r="J32" s="41">
        <v>0.83</v>
      </c>
      <c r="K32" s="41">
        <v>270.22000000000003</v>
      </c>
      <c r="L32" s="41">
        <v>25.03</v>
      </c>
      <c r="M32" s="41">
        <v>93.21</v>
      </c>
      <c r="N32" s="41">
        <v>2.2999999999999998</v>
      </c>
      <c r="O32" s="41">
        <v>0</v>
      </c>
      <c r="P32" s="41">
        <v>0.39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4.1900000000000004</v>
      </c>
      <c r="C34" s="18">
        <f t="shared" si="0"/>
        <v>6.04</v>
      </c>
      <c r="D34" s="18">
        <f t="shared" si="0"/>
        <v>2.08</v>
      </c>
      <c r="E34" s="18">
        <f t="shared" si="0"/>
        <v>4.59</v>
      </c>
      <c r="F34" s="18">
        <f t="shared" si="0"/>
        <v>0</v>
      </c>
      <c r="G34" s="18">
        <f t="shared" si="0"/>
        <v>9.89</v>
      </c>
      <c r="H34" s="18">
        <f t="shared" si="0"/>
        <v>4</v>
      </c>
      <c r="I34" s="18">
        <f t="shared" si="0"/>
        <v>3.26</v>
      </c>
      <c r="J34" s="18">
        <f t="shared" si="0"/>
        <v>0.73</v>
      </c>
      <c r="K34" s="18">
        <f t="shared" si="0"/>
        <v>260.29000000000002</v>
      </c>
      <c r="L34" s="18">
        <f t="shared" si="0"/>
        <v>23.28</v>
      </c>
      <c r="M34" s="18">
        <f t="shared" si="0"/>
        <v>85.74</v>
      </c>
      <c r="N34" s="18">
        <f t="shared" si="0"/>
        <v>2.2000000000000002</v>
      </c>
      <c r="O34" s="18">
        <f t="shared" si="0"/>
        <v>0</v>
      </c>
      <c r="P34" s="18">
        <f t="shared" si="0"/>
        <v>0.24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7.72</v>
      </c>
      <c r="C35" s="3">
        <f t="shared" si="1"/>
        <v>8.99</v>
      </c>
      <c r="D35" s="3">
        <f t="shared" si="1"/>
        <v>4.72</v>
      </c>
      <c r="E35" s="3">
        <f t="shared" si="1"/>
        <v>6.39</v>
      </c>
      <c r="F35" s="3">
        <f t="shared" si="1"/>
        <v>1.1100000000000001</v>
      </c>
      <c r="G35" s="3">
        <f t="shared" si="1"/>
        <v>32.770000000000003</v>
      </c>
      <c r="H35" s="3">
        <f t="shared" si="1"/>
        <v>14.17</v>
      </c>
      <c r="I35" s="3">
        <f t="shared" si="1"/>
        <v>9.5500000000000007</v>
      </c>
      <c r="J35" s="3">
        <f t="shared" si="1"/>
        <v>1.04</v>
      </c>
      <c r="K35" s="3">
        <f t="shared" si="1"/>
        <v>276.89999999999998</v>
      </c>
      <c r="L35" s="3">
        <f t="shared" si="1"/>
        <v>26.83</v>
      </c>
      <c r="M35" s="3">
        <f t="shared" si="1"/>
        <v>99.7</v>
      </c>
      <c r="N35" s="3">
        <f t="shared" si="1"/>
        <v>247.7</v>
      </c>
      <c r="O35" s="3">
        <f t="shared" si="1"/>
        <v>0.4</v>
      </c>
      <c r="P35" s="3">
        <f t="shared" si="1"/>
        <v>0.67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5.4758333333333331</v>
      </c>
      <c r="C36" s="18">
        <f t="shared" si="2"/>
        <v>7.3149999999999986</v>
      </c>
      <c r="D36" s="18">
        <f t="shared" si="2"/>
        <v>3.1445833333333328</v>
      </c>
      <c r="E36" s="18">
        <f t="shared" si="2"/>
        <v>5.0887499999999992</v>
      </c>
      <c r="F36" s="18">
        <f t="shared" si="2"/>
        <v>0.2754166666666667</v>
      </c>
      <c r="G36" s="18">
        <f t="shared" si="2"/>
        <v>20.975416666666664</v>
      </c>
      <c r="H36" s="18">
        <f t="shared" si="2"/>
        <v>8.7408333333333328</v>
      </c>
      <c r="I36" s="18">
        <f t="shared" si="2"/>
        <v>6.2962500000000006</v>
      </c>
      <c r="J36" s="18">
        <f t="shared" si="2"/>
        <v>0.85124999999999995</v>
      </c>
      <c r="K36" s="18">
        <f t="shared" si="2"/>
        <v>265.22541666666672</v>
      </c>
      <c r="L36" s="18">
        <f t="shared" si="2"/>
        <v>24.758749999999996</v>
      </c>
      <c r="M36" s="18">
        <f t="shared" si="2"/>
        <v>93.458750000000009</v>
      </c>
      <c r="N36" s="18">
        <f t="shared" si="2"/>
        <v>61.633333333333333</v>
      </c>
      <c r="O36" s="18">
        <f t="shared" si="2"/>
        <v>6.6666666666666666E-2</v>
      </c>
      <c r="P36" s="18">
        <f t="shared" si="2"/>
        <v>0.45666666666666672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1.1668348740024912</v>
      </c>
      <c r="C37" s="18">
        <f t="shared" ref="C37:Q37" si="3">STDEV(C9:C32)</f>
        <v>1.0748103978397143</v>
      </c>
      <c r="D37" s="18">
        <f t="shared" si="3"/>
        <v>0.82835604173813004</v>
      </c>
      <c r="E37" s="18">
        <f t="shared" si="3"/>
        <v>0.40219303714812721</v>
      </c>
      <c r="F37" s="18">
        <f t="shared" si="3"/>
        <v>0.30099803793476748</v>
      </c>
      <c r="G37" s="18">
        <f t="shared" si="3"/>
        <v>8.2582922643358074</v>
      </c>
      <c r="H37" s="18">
        <f t="shared" si="3"/>
        <v>3.3677471719968479</v>
      </c>
      <c r="I37" s="18">
        <f t="shared" si="3"/>
        <v>2.2418117915417559</v>
      </c>
      <c r="J37" s="18">
        <f t="shared" si="3"/>
        <v>9.2139426485319309E-2</v>
      </c>
      <c r="K37" s="18">
        <f t="shared" si="3"/>
        <v>4.3728400672358427</v>
      </c>
      <c r="L37" s="18">
        <f t="shared" si="3"/>
        <v>1.1862117726465276</v>
      </c>
      <c r="M37" s="18">
        <f t="shared" si="3"/>
        <v>4.7652586156380901</v>
      </c>
      <c r="N37" s="18">
        <f t="shared" si="3"/>
        <v>81.831617503190088</v>
      </c>
      <c r="O37" s="18">
        <f t="shared" si="3"/>
        <v>0.12740441145412124</v>
      </c>
      <c r="P37" s="18">
        <f t="shared" si="3"/>
        <v>0.14654474510824519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S32" sqref="S32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57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01/06/2025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58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01/06/2025 01:00</v>
      </c>
      <c r="B9" s="15">
        <f>'01'!B36</f>
        <v>5.1300000000000008</v>
      </c>
      <c r="C9" s="15">
        <f>'01'!C36</f>
        <v>8.0233333333333334</v>
      </c>
      <c r="D9" s="15">
        <f>'01'!D36</f>
        <v>5.0216666666666665</v>
      </c>
      <c r="E9" s="15">
        <f>'01'!E36</f>
        <v>8.8108333333333348</v>
      </c>
      <c r="F9" s="15">
        <f>'01'!F36</f>
        <v>8.2975000000000012</v>
      </c>
      <c r="G9" s="15">
        <f>'01'!G36</f>
        <v>64.486249999999998</v>
      </c>
      <c r="H9" s="15">
        <f>'01'!H36</f>
        <v>26.794166666666669</v>
      </c>
      <c r="I9" s="15">
        <f>'01'!I36</f>
        <v>6.8850000000000016</v>
      </c>
      <c r="J9" s="15">
        <f>'01'!J36</f>
        <v>0.75541666666666674</v>
      </c>
      <c r="K9" s="15">
        <f>'01'!K36</f>
        <v>252.39458333333334</v>
      </c>
      <c r="L9" s="15">
        <f>'01'!L36</f>
        <v>31.387083333333326</v>
      </c>
      <c r="M9" s="15">
        <f>'01'!M36</f>
        <v>67.349166666666676</v>
      </c>
      <c r="N9" s="15">
        <f>'01'!N36</f>
        <v>177.85416666666666</v>
      </c>
      <c r="O9" s="15">
        <f>'01'!O36</f>
        <v>0</v>
      </c>
      <c r="P9" s="15">
        <f>'01'!P36</f>
        <v>0.505</v>
      </c>
      <c r="Q9" s="15">
        <f>'01'!Q36</f>
        <v>28</v>
      </c>
      <c r="R9" s="29"/>
      <c r="S9" s="29"/>
      <c r="T9" s="29"/>
      <c r="U9" s="29"/>
    </row>
    <row r="10" spans="1:21" s="2" customFormat="1">
      <c r="A10" s="14" t="str">
        <f>'02'!$B$2</f>
        <v>02/06/2025 01:00</v>
      </c>
      <c r="B10" s="15">
        <f>'02'!B36</f>
        <v>4.2708333333333339</v>
      </c>
      <c r="C10" s="15">
        <f>'02'!C36</f>
        <v>6.9712499999999977</v>
      </c>
      <c r="D10" s="15">
        <f>'02'!D36</f>
        <v>4.3324999999999996</v>
      </c>
      <c r="E10" s="15">
        <f>'02'!E36</f>
        <v>8.0112499999999986</v>
      </c>
      <c r="F10" s="15">
        <f>'02'!F36</f>
        <v>6.2520833333333323</v>
      </c>
      <c r="G10" s="15">
        <f>'02'!G36</f>
        <v>41.4925</v>
      </c>
      <c r="H10" s="15">
        <f>'02'!H36</f>
        <v>19.93333333333333</v>
      </c>
      <c r="I10" s="15">
        <f>'02'!I36</f>
        <v>4.6499999999999995</v>
      </c>
      <c r="J10" s="15">
        <f>'02'!J36</f>
        <v>0.71666666666666667</v>
      </c>
      <c r="K10" s="15">
        <f>'02'!K36</f>
        <v>249.10999999999999</v>
      </c>
      <c r="L10" s="15">
        <f>'02'!L36</f>
        <v>31.889583333333334</v>
      </c>
      <c r="M10" s="15">
        <f>'02'!M36</f>
        <v>56.184583333333329</v>
      </c>
      <c r="N10" s="15">
        <f>'02'!N36</f>
        <v>193.23333333333335</v>
      </c>
      <c r="O10" s="15">
        <f>'02'!O36</f>
        <v>0</v>
      </c>
      <c r="P10" s="15">
        <f>'02'!P36</f>
        <v>0.32333333333333331</v>
      </c>
      <c r="Q10" s="15">
        <f>'02'!Q36</f>
        <v>28</v>
      </c>
      <c r="R10" s="30"/>
      <c r="S10" s="30"/>
      <c r="T10" s="30"/>
      <c r="U10" s="30"/>
    </row>
    <row r="11" spans="1:21" s="2" customFormat="1">
      <c r="A11" s="14" t="str">
        <f>'03'!$B$2</f>
        <v>03/06/2025 01:00</v>
      </c>
      <c r="B11" s="15">
        <f>'03'!B36</f>
        <v>4.484166666666666</v>
      </c>
      <c r="C11" s="15">
        <f>'03'!C36</f>
        <v>7.5283333333333333</v>
      </c>
      <c r="D11" s="15">
        <f>'03'!D36</f>
        <v>5.029583333333334</v>
      </c>
      <c r="E11" s="15">
        <f>'03'!E36</f>
        <v>8.3783333333333339</v>
      </c>
      <c r="F11" s="15">
        <f>'03'!F36</f>
        <v>8.9070833333333344</v>
      </c>
      <c r="G11" s="15">
        <f>'03'!G36</f>
        <v>41.739166666666669</v>
      </c>
      <c r="H11" s="15">
        <f>'03'!H36</f>
        <v>18.900416666666661</v>
      </c>
      <c r="I11" s="15">
        <f>'03'!I36</f>
        <v>4.8516666666666683</v>
      </c>
      <c r="J11" s="15">
        <f>'03'!J36</f>
        <v>0.74041666666666661</v>
      </c>
      <c r="K11" s="15">
        <f>'03'!K36</f>
        <v>248.77458333333334</v>
      </c>
      <c r="L11" s="15">
        <f>'03'!L36</f>
        <v>32.298750000000005</v>
      </c>
      <c r="M11" s="15">
        <f>'03'!M36</f>
        <v>54.440416666666671</v>
      </c>
      <c r="N11" s="15">
        <f>'03'!N36</f>
        <v>179.98749999999995</v>
      </c>
      <c r="O11" s="15">
        <f>'03'!O36</f>
        <v>0</v>
      </c>
      <c r="P11" s="15">
        <f>'03'!P36</f>
        <v>0.38166666666666665</v>
      </c>
      <c r="Q11" s="15">
        <f>'03'!Q36</f>
        <v>28</v>
      </c>
      <c r="R11" s="30"/>
      <c r="S11" s="30"/>
      <c r="T11" s="30"/>
      <c r="U11" s="30"/>
    </row>
    <row r="12" spans="1:21" s="2" customFormat="1">
      <c r="A12" s="14" t="str">
        <f>'04'!$B$2</f>
        <v>04/06/2025 01:00</v>
      </c>
      <c r="B12" s="15">
        <f>'04'!B36</f>
        <v>4.6774999999999993</v>
      </c>
      <c r="C12" s="15">
        <f>'04'!C36</f>
        <v>9.2654166666666686</v>
      </c>
      <c r="D12" s="15">
        <f>'04'!D36</f>
        <v>8.1258333333333344</v>
      </c>
      <c r="E12" s="15">
        <f>'04'!E36</f>
        <v>9.4833333333333325</v>
      </c>
      <c r="F12" s="15">
        <f>'04'!F36</f>
        <v>9.8437499999999982</v>
      </c>
      <c r="G12" s="15">
        <f>'04'!G36</f>
        <v>57.182916666666664</v>
      </c>
      <c r="H12" s="15">
        <f>'04'!H36</f>
        <v>27.637916666666666</v>
      </c>
      <c r="I12" s="15">
        <f>'04'!I36</f>
        <v>7.7687500000000007</v>
      </c>
      <c r="J12" s="15">
        <f>'04'!J36</f>
        <v>0.86791666666666656</v>
      </c>
      <c r="K12" s="15">
        <f>'04'!K36</f>
        <v>272.93874999999997</v>
      </c>
      <c r="L12" s="15">
        <f>'04'!L36</f>
        <v>32.71125</v>
      </c>
      <c r="M12" s="15">
        <f>'04'!M36</f>
        <v>50.745416666666671</v>
      </c>
      <c r="N12" s="15">
        <f>'04'!N36</f>
        <v>180.54583333333335</v>
      </c>
      <c r="O12" s="15">
        <f>'04'!O36</f>
        <v>0</v>
      </c>
      <c r="P12" s="15">
        <f>'04'!P36</f>
        <v>0.53291666666666659</v>
      </c>
      <c r="Q12" s="15">
        <f>'04'!Q36</f>
        <v>28</v>
      </c>
      <c r="R12" s="30"/>
      <c r="S12" s="30"/>
      <c r="T12" s="30"/>
      <c r="U12" s="30"/>
    </row>
    <row r="13" spans="1:21" s="2" customFormat="1">
      <c r="A13" s="14" t="str">
        <f>'05'!$B$2</f>
        <v>05/06/2025 01:00</v>
      </c>
      <c r="B13" s="15">
        <f>'05'!B36</f>
        <v>5.7995652173913035</v>
      </c>
      <c r="C13" s="15">
        <f>'05'!C36</f>
        <v>12.529565217391305</v>
      </c>
      <c r="D13" s="15">
        <f>'05'!D36</f>
        <v>9.4347826086956523</v>
      </c>
      <c r="E13" s="15">
        <f>'05'!E36</f>
        <v>7.6924999999999972</v>
      </c>
      <c r="F13" s="15">
        <f>'05'!F36</f>
        <v>22.502083333333331</v>
      </c>
      <c r="G13" s="15">
        <f>'05'!G36</f>
        <v>67.566956521739129</v>
      </c>
      <c r="H13" s="15">
        <f>'05'!H36</f>
        <v>30.418695652173913</v>
      </c>
      <c r="I13" s="15">
        <f>'05'!I36</f>
        <v>10.247083333333334</v>
      </c>
      <c r="J13" s="15">
        <f>'05'!J36</f>
        <v>0.59166666666666679</v>
      </c>
      <c r="K13" s="15">
        <f>'05'!K36</f>
        <v>243.55750000000003</v>
      </c>
      <c r="L13" s="15">
        <f>'05'!L36</f>
        <v>32.257916666666667</v>
      </c>
      <c r="M13" s="15">
        <f>'05'!M36</f>
        <v>54.613749999999989</v>
      </c>
      <c r="N13" s="15">
        <f>'05'!N36</f>
        <v>153.70416666666668</v>
      </c>
      <c r="O13" s="15">
        <f>'05'!O36</f>
        <v>0</v>
      </c>
      <c r="P13" s="15">
        <f>'05'!P36</f>
        <v>0.49416666666666687</v>
      </c>
      <c r="Q13" s="15">
        <f>'05'!Q36</f>
        <v>21.996250000000003</v>
      </c>
      <c r="R13" s="30"/>
      <c r="S13" s="30"/>
      <c r="T13" s="30"/>
      <c r="U13" s="30"/>
    </row>
    <row r="14" spans="1:21" s="2" customFormat="1">
      <c r="A14" s="14" t="str">
        <f>'06'!$B$2</f>
        <v>06/06/2025 01:00</v>
      </c>
      <c r="B14" s="16">
        <f>'06'!B36</f>
        <v>5.8179166666666653</v>
      </c>
      <c r="C14" s="16">
        <f>'06'!C36</f>
        <v>12.883750000000001</v>
      </c>
      <c r="D14" s="16">
        <f>'06'!D36</f>
        <v>7.3091666666666661</v>
      </c>
      <c r="E14" s="16">
        <f>'06'!E36</f>
        <v>6.2266666666666675</v>
      </c>
      <c r="F14" s="16">
        <f>'06'!F36</f>
        <v>14.159999999999998</v>
      </c>
      <c r="G14" s="16">
        <f>'06'!G36</f>
        <v>82.075416666666655</v>
      </c>
      <c r="H14" s="16">
        <f>'06'!H36</f>
        <v>38.561250000000001</v>
      </c>
      <c r="I14" s="16">
        <f>'06'!I36</f>
        <v>10.335833333333332</v>
      </c>
      <c r="J14" s="16">
        <f>'06'!J36</f>
        <v>0.50583333333333336</v>
      </c>
      <c r="K14" s="16">
        <f>'06'!K36</f>
        <v>246.04374999999996</v>
      </c>
      <c r="L14" s="16">
        <f>'06'!L36</f>
        <v>33.613750000000003</v>
      </c>
      <c r="M14" s="16">
        <f>'06'!M36</f>
        <v>51.777499999999996</v>
      </c>
      <c r="N14" s="16">
        <f>'06'!N36</f>
        <v>167.26666666666665</v>
      </c>
      <c r="O14" s="16">
        <f>'06'!O36</f>
        <v>0</v>
      </c>
      <c r="P14" s="16">
        <f>'06'!P36</f>
        <v>0.65041666666666664</v>
      </c>
      <c r="Q14" s="16">
        <f>'06'!Q36</f>
        <v>9.9841666666666669</v>
      </c>
      <c r="R14" s="30"/>
      <c r="S14" s="30"/>
      <c r="T14" s="30"/>
      <c r="U14" s="30"/>
    </row>
    <row r="15" spans="1:21" s="2" customFormat="1">
      <c r="A15" s="14" t="str">
        <f>'07'!$B$2</f>
        <v>07/06/2025 01:00</v>
      </c>
      <c r="B15" s="16">
        <f>'07'!B36</f>
        <v>3.8958333333333326</v>
      </c>
      <c r="C15" s="16">
        <f>'07'!C36</f>
        <v>10.971666666666666</v>
      </c>
      <c r="D15" s="16">
        <f>'07'!D36</f>
        <v>7.1495833333333332</v>
      </c>
      <c r="E15" s="16">
        <f>'07'!E36</f>
        <v>5.8825000000000003</v>
      </c>
      <c r="F15" s="16">
        <f>'07'!F36</f>
        <v>15.382083333333332</v>
      </c>
      <c r="G15" s="16">
        <f>'07'!G36</f>
        <v>58.875833333333333</v>
      </c>
      <c r="H15" s="16">
        <f>'07'!H36</f>
        <v>28.507499999999997</v>
      </c>
      <c r="I15" s="16">
        <f>'07'!I36</f>
        <v>7.8062500000000012</v>
      </c>
      <c r="J15" s="16">
        <f>'07'!J36</f>
        <v>0.65541666666666665</v>
      </c>
      <c r="K15" s="16">
        <f>'07'!K36</f>
        <v>265.05166666666668</v>
      </c>
      <c r="L15" s="16">
        <f>'07'!L36</f>
        <v>34.712083333333339</v>
      </c>
      <c r="M15" s="16">
        <f>'07'!M36</f>
        <v>43.252916666666664</v>
      </c>
      <c r="N15" s="16">
        <f>'07'!N36</f>
        <v>162.90416666666664</v>
      </c>
      <c r="O15" s="16">
        <f>'07'!O36</f>
        <v>0</v>
      </c>
      <c r="P15" s="16">
        <f>'07'!P36</f>
        <v>0.505</v>
      </c>
      <c r="Q15" s="16">
        <f>'07'!Q36</f>
        <v>9.9512499999999982</v>
      </c>
      <c r="R15" s="30"/>
      <c r="S15" s="30"/>
      <c r="T15" s="30"/>
      <c r="U15" s="30"/>
    </row>
    <row r="16" spans="1:21" s="2" customFormat="1">
      <c r="A16" s="14" t="str">
        <f>'08'!$B$2</f>
        <v>08/06/2025 01:00</v>
      </c>
      <c r="B16" s="16">
        <f>'08'!B36</f>
        <v>4.2545833333333336</v>
      </c>
      <c r="C16" s="16">
        <f>'08'!C36</f>
        <v>10.897083333333335</v>
      </c>
      <c r="D16" s="16">
        <f>'08'!D36</f>
        <v>6.68</v>
      </c>
      <c r="E16" s="16">
        <f>'08'!E36</f>
        <v>6.8745833333333337</v>
      </c>
      <c r="F16" s="16">
        <f>'08'!F36</f>
        <v>16.985833333333332</v>
      </c>
      <c r="G16" s="16">
        <f>'08'!G36</f>
        <v>64.835833333333326</v>
      </c>
      <c r="H16" s="16">
        <f>'08'!H36</f>
        <v>32.173333333333339</v>
      </c>
      <c r="I16" s="16">
        <f>'08'!I36</f>
        <v>7.0312500000000009</v>
      </c>
      <c r="J16" s="16">
        <f>'08'!J36</f>
        <v>0.69708333333333339</v>
      </c>
      <c r="K16" s="16">
        <f>'08'!K36</f>
        <v>260.05</v>
      </c>
      <c r="L16" s="16">
        <f>'08'!L36</f>
        <v>34.905000000000001</v>
      </c>
      <c r="M16" s="16">
        <f>'08'!M36</f>
        <v>45.988750000000003</v>
      </c>
      <c r="N16" s="16">
        <f>'08'!N36</f>
        <v>157.19999999999999</v>
      </c>
      <c r="O16" s="16">
        <f>'08'!O36</f>
        <v>0</v>
      </c>
      <c r="P16" s="16">
        <f>'08'!P36</f>
        <v>0.53958333333333341</v>
      </c>
      <c r="Q16" s="16">
        <f>'08'!Q36</f>
        <v>9.9445833333333322</v>
      </c>
      <c r="R16" s="30"/>
      <c r="S16" s="30"/>
      <c r="T16" s="30"/>
      <c r="U16" s="30"/>
    </row>
    <row r="17" spans="1:24" s="2" customFormat="1">
      <c r="A17" s="14" t="str">
        <f>'09'!$B$2</f>
        <v>09/06/2025 01:00</v>
      </c>
      <c r="B17" s="16">
        <f>'09'!B36</f>
        <v>3.9625000000000008</v>
      </c>
      <c r="C17" s="16">
        <f>'09'!C36</f>
        <v>8.8670833333333334</v>
      </c>
      <c r="D17" s="16">
        <f>'09'!D36</f>
        <v>4.94625</v>
      </c>
      <c r="E17" s="16">
        <f>'09'!E36</f>
        <v>5.8704166666666664</v>
      </c>
      <c r="F17" s="16">
        <f>'09'!F36</f>
        <v>17.850416666666671</v>
      </c>
      <c r="G17" s="16">
        <f>'09'!G36</f>
        <v>45.635416666666664</v>
      </c>
      <c r="H17" s="16">
        <f>'09'!H36</f>
        <v>24.867083333333337</v>
      </c>
      <c r="I17" s="16">
        <f>'09'!I36</f>
        <v>5.5533333333333337</v>
      </c>
      <c r="J17" s="16">
        <f>'09'!J36</f>
        <v>0.63708333333333333</v>
      </c>
      <c r="K17" s="16">
        <f>'09'!K36</f>
        <v>251.86291666666668</v>
      </c>
      <c r="L17" s="16">
        <f>'09'!L36</f>
        <v>33.649583333333339</v>
      </c>
      <c r="M17" s="16">
        <f>'09'!M36</f>
        <v>51.512083333333344</v>
      </c>
      <c r="N17" s="16">
        <f>'09'!N36</f>
        <v>141.76666666666668</v>
      </c>
      <c r="O17" s="16">
        <f>'09'!O36</f>
        <v>0</v>
      </c>
      <c r="P17" s="16">
        <f>'09'!P36</f>
        <v>0.43916666666666665</v>
      </c>
      <c r="Q17" s="16">
        <f>'09'!Q36</f>
        <v>9.9354166666666668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10/06/2025 01:00</v>
      </c>
      <c r="B18" s="16">
        <f>'10'!B36</f>
        <v>3.9937499999999999</v>
      </c>
      <c r="C18" s="16">
        <f>'10'!C36</f>
        <v>9.2795833333333313</v>
      </c>
      <c r="D18" s="16">
        <f>'10'!D36</f>
        <v>5.3316666666666679</v>
      </c>
      <c r="E18" s="16">
        <f>'10'!E36</f>
        <v>6.864583333333333</v>
      </c>
      <c r="F18" s="16">
        <f>'10'!F36</f>
        <v>18.539583333333333</v>
      </c>
      <c r="G18" s="16">
        <f>'10'!G36</f>
        <v>54.036250000000017</v>
      </c>
      <c r="H18" s="16">
        <f>'10'!H36</f>
        <v>29.838333333333324</v>
      </c>
      <c r="I18" s="16">
        <f>'10'!I36</f>
        <v>6.3408333333333351</v>
      </c>
      <c r="J18" s="16">
        <f>'10'!J36</f>
        <v>0.61333333333333317</v>
      </c>
      <c r="K18" s="16">
        <f>'10'!K36</f>
        <v>243.38499999999999</v>
      </c>
      <c r="L18" s="16">
        <f>'10'!L36</f>
        <v>31.501666666666665</v>
      </c>
      <c r="M18" s="16">
        <f>'10'!M36</f>
        <v>66.185833333333349</v>
      </c>
      <c r="N18" s="16">
        <f>'10'!N36</f>
        <v>142.25416666666666</v>
      </c>
      <c r="O18" s="16">
        <f>'10'!O36</f>
        <v>0.76666666666666661</v>
      </c>
      <c r="P18" s="16">
        <f>'10'!P36</f>
        <v>0.49083333333333329</v>
      </c>
      <c r="Q18" s="16">
        <f>'10'!Q36</f>
        <v>9.9341666666666644</v>
      </c>
      <c r="R18" s="30"/>
      <c r="S18" s="30"/>
      <c r="T18" s="30"/>
      <c r="U18" s="30"/>
    </row>
    <row r="19" spans="1:24" s="2" customFormat="1">
      <c r="A19" s="14" t="str">
        <f>'11'!$B$2</f>
        <v>11/06/2025 01:00</v>
      </c>
      <c r="B19" s="16">
        <f>'11'!B36</f>
        <v>4.9883333333333342</v>
      </c>
      <c r="C19" s="16">
        <f>'11'!C36</f>
        <v>10.895833333333336</v>
      </c>
      <c r="D19" s="16">
        <f>'11'!D36</f>
        <v>6.024583333333335</v>
      </c>
      <c r="E19" s="16">
        <f>'11'!E36</f>
        <v>5.0391666666666657</v>
      </c>
      <c r="F19" s="16">
        <f>'11'!F36</f>
        <v>9.0358333333333345</v>
      </c>
      <c r="G19" s="16">
        <f>'11'!G36</f>
        <v>49.630416666666662</v>
      </c>
      <c r="H19" s="16">
        <f>'11'!H36</f>
        <v>29.784166666666664</v>
      </c>
      <c r="I19" s="16">
        <f>'11'!I36</f>
        <v>5.7966666666666677</v>
      </c>
      <c r="J19" s="16">
        <f>'11'!J36</f>
        <v>0.51416666666666677</v>
      </c>
      <c r="K19" s="16">
        <f>'11'!K36</f>
        <v>144.92666666666665</v>
      </c>
      <c r="L19" s="16">
        <f>'11'!L36</f>
        <v>30.86291666666666</v>
      </c>
      <c r="M19" s="16">
        <f>'11'!M36</f>
        <v>69.545416666666668</v>
      </c>
      <c r="N19" s="16">
        <f>'11'!N36</f>
        <v>162.00416666666663</v>
      </c>
      <c r="O19" s="16">
        <f>'11'!O36</f>
        <v>0</v>
      </c>
      <c r="P19" s="16">
        <f>'11'!P36</f>
        <v>0.50166666666666682</v>
      </c>
      <c r="Q19" s="16">
        <f>'11'!Q36</f>
        <v>9.9470833333333317</v>
      </c>
      <c r="R19" s="30"/>
      <c r="S19" s="30"/>
      <c r="T19" s="30"/>
      <c r="U19" s="30"/>
    </row>
    <row r="20" spans="1:24" s="2" customFormat="1">
      <c r="A20" s="14" t="str">
        <f>'12'!$B$2</f>
        <v>12/06/2025 01:00</v>
      </c>
      <c r="B20" s="16">
        <f>'12'!B36</f>
        <v>4.9274999999999993</v>
      </c>
      <c r="C20" s="16">
        <f>'12'!C36</f>
        <v>9.9929166666666678</v>
      </c>
      <c r="D20" s="16">
        <f>'12'!D36</f>
        <v>5.1304166666666662</v>
      </c>
      <c r="E20" s="16">
        <f>'12'!E36</f>
        <v>5.0930434782608698</v>
      </c>
      <c r="F20" s="16">
        <f>'12'!F36</f>
        <v>17.852083333333336</v>
      </c>
      <c r="G20" s="16">
        <f>'12'!G36</f>
        <v>34.155714285714282</v>
      </c>
      <c r="H20" s="16">
        <f>'12'!H36</f>
        <v>26.09238095238095</v>
      </c>
      <c r="I20" s="16">
        <f>'12'!I36</f>
        <v>7.4420833333333327</v>
      </c>
      <c r="J20" s="16">
        <f>'12'!J36</f>
        <v>0.50624999999999998</v>
      </c>
      <c r="K20" s="16">
        <f>'12'!K36</f>
        <v>115.73500000000001</v>
      </c>
      <c r="L20" s="16">
        <f>'12'!L36</f>
        <v>32.337916666666665</v>
      </c>
      <c r="M20" s="16">
        <f>'12'!M36</f>
        <v>61.027916666666648</v>
      </c>
      <c r="N20" s="16">
        <f>'12'!N36</f>
        <v>157.74583333333334</v>
      </c>
      <c r="O20" s="16">
        <f>'12'!O36</f>
        <v>8.3333333333333332E-3</v>
      </c>
      <c r="P20" s="16">
        <f>'12'!P36</f>
        <v>0.36916666666666664</v>
      </c>
      <c r="Q20" s="16">
        <f>'12'!Q36</f>
        <v>9.9420833333333309</v>
      </c>
      <c r="R20" s="30"/>
      <c r="S20" s="30"/>
      <c r="T20" s="30"/>
      <c r="U20" s="30"/>
    </row>
    <row r="21" spans="1:24" s="2" customFormat="1">
      <c r="A21" s="14" t="str">
        <f>'13'!$B$2</f>
        <v>13/06/2025 01:00</v>
      </c>
      <c r="B21" s="16">
        <f>'13'!B36</f>
        <v>4.859166666666666</v>
      </c>
      <c r="C21" s="16">
        <f>'13'!C36</f>
        <v>9.8941666666666652</v>
      </c>
      <c r="D21" s="16">
        <f>'13'!D36</f>
        <v>5.0737500000000004</v>
      </c>
      <c r="E21" s="16">
        <f>'13'!E36</f>
        <v>4.5820833333333324</v>
      </c>
      <c r="F21" s="16">
        <f>'13'!F36</f>
        <v>20.241250000000001</v>
      </c>
      <c r="G21" s="16">
        <f>'13'!G36</f>
        <v>31.368333333333329</v>
      </c>
      <c r="H21" s="16">
        <f>'13'!H36</f>
        <v>11.670416666666666</v>
      </c>
      <c r="I21" s="16">
        <f>'13'!I36</f>
        <v>3.8516666666666666</v>
      </c>
      <c r="J21" s="16">
        <f>'13'!J36</f>
        <v>0.42458333333333331</v>
      </c>
      <c r="K21" s="16">
        <f>'13'!K36</f>
        <v>200.24291666666667</v>
      </c>
      <c r="L21" s="16">
        <f>'13'!L36</f>
        <v>32.776250000000005</v>
      </c>
      <c r="M21" s="16">
        <f>'13'!M36</f>
        <v>62.841666666666669</v>
      </c>
      <c r="N21" s="16">
        <f>'13'!N36</f>
        <v>164.72083333333339</v>
      </c>
      <c r="O21" s="16">
        <f>'13'!O36</f>
        <v>0</v>
      </c>
      <c r="P21" s="16">
        <f>'13'!P36</f>
        <v>0.32208333333333333</v>
      </c>
      <c r="Q21" s="16">
        <f>'13'!Q36</f>
        <v>9.93</v>
      </c>
      <c r="R21" s="30"/>
      <c r="S21" s="30"/>
      <c r="T21" s="30"/>
      <c r="U21" s="30"/>
    </row>
    <row r="22" spans="1:24" s="2" customFormat="1">
      <c r="A22" s="14" t="str">
        <f>'14'!$B$2</f>
        <v>14/06/2025 01:00</v>
      </c>
      <c r="B22" s="16">
        <f>'14'!B36</f>
        <v>4.2870833333333325</v>
      </c>
      <c r="C22" s="16">
        <f>'14'!C36</f>
        <v>8.9774999999999991</v>
      </c>
      <c r="D22" s="16">
        <f>'14'!D36</f>
        <v>4.7379166666666661</v>
      </c>
      <c r="E22" s="16">
        <f>'14'!E36</f>
        <v>5.2</v>
      </c>
      <c r="F22" s="16">
        <f>'14'!F36</f>
        <v>13.276666666666669</v>
      </c>
      <c r="G22" s="16">
        <f>'14'!G36</f>
        <v>62.521666666666675</v>
      </c>
      <c r="H22" s="16">
        <f>'14'!H36</f>
        <v>21.744166666666668</v>
      </c>
      <c r="I22" s="16">
        <f>'14'!I36</f>
        <v>5.777916666666667</v>
      </c>
      <c r="J22" s="16">
        <f>'14'!J36</f>
        <v>0.47541666666666677</v>
      </c>
      <c r="K22" s="16">
        <f>'14'!K36</f>
        <v>218.39916666666667</v>
      </c>
      <c r="L22" s="16">
        <f>'14'!L36</f>
        <v>32.076666666666661</v>
      </c>
      <c r="M22" s="16">
        <f>'14'!M36</f>
        <v>67.567083333333315</v>
      </c>
      <c r="N22" s="16">
        <f>'14'!N36</f>
        <v>146.90416666666667</v>
      </c>
      <c r="O22" s="16">
        <f>'14'!O36</f>
        <v>0</v>
      </c>
      <c r="P22" s="16">
        <f>'14'!P36</f>
        <v>0.46833333333333321</v>
      </c>
      <c r="Q22" s="16">
        <f>'14'!Q36</f>
        <v>9.9270833333333339</v>
      </c>
      <c r="R22" s="32"/>
      <c r="S22" s="32"/>
      <c r="T22" s="32"/>
      <c r="U22" s="32"/>
    </row>
    <row r="23" spans="1:24" s="2" customFormat="1">
      <c r="A23" s="14" t="str">
        <f>'15'!$B$2</f>
        <v>15/06/2025 01:00</v>
      </c>
      <c r="B23" s="17">
        <f>'15'!B36</f>
        <v>4.1570833333333335</v>
      </c>
      <c r="C23" s="17">
        <f>'15'!C36</f>
        <v>8.211666666666666</v>
      </c>
      <c r="D23" s="17">
        <f>'15'!D36</f>
        <v>4.0979166666666655</v>
      </c>
      <c r="E23" s="17">
        <f>'15'!E36</f>
        <v>4.9558333333333335</v>
      </c>
      <c r="F23" s="17">
        <f>'15'!F36</f>
        <v>9.2924999999999986</v>
      </c>
      <c r="G23" s="17">
        <f>'15'!G36</f>
        <v>42.106250000000003</v>
      </c>
      <c r="H23" s="17">
        <f>'15'!H36</f>
        <v>15.620416666666664</v>
      </c>
      <c r="I23" s="17">
        <f>'15'!I36</f>
        <v>4.3912500000000003</v>
      </c>
      <c r="J23" s="17">
        <f>'15'!J36</f>
        <v>0.62416666666666665</v>
      </c>
      <c r="K23" s="17">
        <f>'15'!K36</f>
        <v>243.44083333333333</v>
      </c>
      <c r="L23" s="17">
        <f>'15'!L36</f>
        <v>31.810833333333331</v>
      </c>
      <c r="M23" s="17">
        <f>'15'!M36</f>
        <v>68.271249999999995</v>
      </c>
      <c r="N23" s="17">
        <f>'15'!N36</f>
        <v>172.90833333333333</v>
      </c>
      <c r="O23" s="17">
        <f>'15'!O36</f>
        <v>0</v>
      </c>
      <c r="P23" s="17">
        <f>'15'!P36</f>
        <v>0.42333333333333334</v>
      </c>
      <c r="Q23" s="17">
        <f>'15'!Q36</f>
        <v>9.9170833333333306</v>
      </c>
      <c r="R23" s="32"/>
      <c r="S23" s="32"/>
      <c r="T23" s="32"/>
      <c r="U23" s="30"/>
    </row>
    <row r="24" spans="1:24" s="2" customFormat="1">
      <c r="A24" s="14" t="str">
        <f>'16'!$B$2</f>
        <v>16/06/2025 01:00</v>
      </c>
      <c r="B24" s="16">
        <f>'16'!B36</f>
        <v>4.3925000000000001</v>
      </c>
      <c r="C24" s="16">
        <f>'16'!C36</f>
        <v>8.1591666666666658</v>
      </c>
      <c r="D24" s="16">
        <f>'16'!D36</f>
        <v>3.8170833333333327</v>
      </c>
      <c r="E24" s="16">
        <f>'16'!E36</f>
        <v>4.4433333333333325</v>
      </c>
      <c r="F24" s="16">
        <f>'16'!F36</f>
        <v>6.9504166666666665</v>
      </c>
      <c r="G24" s="16">
        <f>'16'!G36</f>
        <v>32.430416666666666</v>
      </c>
      <c r="H24" s="16">
        <f>'16'!H36</f>
        <v>11.407083333333333</v>
      </c>
      <c r="I24" s="16">
        <f>'16'!I36</f>
        <v>4.9266666666666667</v>
      </c>
      <c r="J24" s="16">
        <f>'16'!J36</f>
        <v>0.43500000000000011</v>
      </c>
      <c r="K24" s="16">
        <f>'16'!K36</f>
        <v>224.63333333333333</v>
      </c>
      <c r="L24" s="16">
        <f>'16'!L36</f>
        <v>30.408750000000001</v>
      </c>
      <c r="M24" s="16">
        <f>'16'!M36</f>
        <v>73.618333333333354</v>
      </c>
      <c r="N24" s="16">
        <f>'16'!N36</f>
        <v>168.28750000000002</v>
      </c>
      <c r="O24" s="16">
        <f>'16'!O36</f>
        <v>0</v>
      </c>
      <c r="P24" s="16">
        <f>'16'!P36</f>
        <v>0.37416666666666681</v>
      </c>
      <c r="Q24" s="16">
        <f>'16'!Q36</f>
        <v>9.9208333333333307</v>
      </c>
      <c r="R24" s="32"/>
      <c r="S24" s="32"/>
      <c r="T24" s="32"/>
      <c r="U24" s="30"/>
    </row>
    <row r="25" spans="1:24" s="2" customFormat="1">
      <c r="A25" s="14" t="str">
        <f>'17'!$B$2</f>
        <v>17/06/2025 01:00</v>
      </c>
      <c r="B25" s="16">
        <f>'17'!B36</f>
        <v>4.308749999999999</v>
      </c>
      <c r="C25" s="16">
        <f>'17'!C36</f>
        <v>7.7729166666666645</v>
      </c>
      <c r="D25" s="16">
        <f>'17'!D36</f>
        <v>3.5212499999999998</v>
      </c>
      <c r="E25" s="16">
        <f>'17'!E36</f>
        <v>5.4375</v>
      </c>
      <c r="F25" s="16">
        <f>'17'!F36</f>
        <v>6.300416666666667</v>
      </c>
      <c r="G25" s="16">
        <f>'17'!G36</f>
        <v>36.585833333333333</v>
      </c>
      <c r="H25" s="16">
        <f>'17'!H36</f>
        <v>9.1570833333333344</v>
      </c>
      <c r="I25" s="16">
        <f>'17'!I36</f>
        <v>3.6795833333333339</v>
      </c>
      <c r="J25" s="16">
        <f>'17'!J36</f>
        <v>0.87458333333333316</v>
      </c>
      <c r="K25" s="16">
        <f>'17'!K36</f>
        <v>257.29166666666674</v>
      </c>
      <c r="L25" s="16">
        <f>'17'!L36</f>
        <v>29.787500000000005</v>
      </c>
      <c r="M25" s="16">
        <f>'17'!M36</f>
        <v>70.150833333333352</v>
      </c>
      <c r="N25" s="16">
        <f>'17'!N36</f>
        <v>107.95416666666665</v>
      </c>
      <c r="O25" s="16">
        <f>'17'!O36</f>
        <v>0</v>
      </c>
      <c r="P25" s="16">
        <f>'17'!P36</f>
        <v>0.25208333333333327</v>
      </c>
      <c r="Q25" s="16">
        <f>'17'!Q36</f>
        <v>9.9179166666666649</v>
      </c>
      <c r="R25" s="32"/>
      <c r="S25" s="32"/>
      <c r="T25" s="32"/>
      <c r="U25" s="30"/>
    </row>
    <row r="26" spans="1:24" s="2" customFormat="1">
      <c r="A26" s="14" t="str">
        <f>'18'!$B$2</f>
        <v>18/06/2025 01:00</v>
      </c>
      <c r="B26" s="16">
        <f>'18'!B36</f>
        <v>4.201249999999999</v>
      </c>
      <c r="C26" s="16">
        <f>'18'!C36</f>
        <v>7.6808333333333332</v>
      </c>
      <c r="D26" s="16">
        <f>'18'!D36</f>
        <v>3.5412499999999998</v>
      </c>
      <c r="E26" s="16">
        <f>'18'!E36</f>
        <v>5.145833333333333</v>
      </c>
      <c r="F26" s="16">
        <f>'18'!F36</f>
        <v>6.1404166666666669</v>
      </c>
      <c r="G26" s="16">
        <f>'18'!G36</f>
        <v>61.499583333333334</v>
      </c>
      <c r="H26" s="16">
        <f>'18'!H36</f>
        <v>14.513750000000002</v>
      </c>
      <c r="I26" s="16">
        <f>'18'!I36</f>
        <v>4.5983333333333336</v>
      </c>
      <c r="J26" s="16">
        <f>'18'!J36</f>
        <v>0.63958333333333339</v>
      </c>
      <c r="K26" s="16">
        <f>'18'!K36</f>
        <v>250.9004166666667</v>
      </c>
      <c r="L26" s="16">
        <f>'18'!L36</f>
        <v>29.734583333333337</v>
      </c>
      <c r="M26" s="16">
        <f>'18'!M36</f>
        <v>67.258749999999992</v>
      </c>
      <c r="N26" s="16">
        <f>'18'!N36</f>
        <v>75.958333333333314</v>
      </c>
      <c r="O26" s="16">
        <f>'18'!O36</f>
        <v>0</v>
      </c>
      <c r="P26" s="16">
        <f>'18'!P36</f>
        <v>0.32416666666666671</v>
      </c>
      <c r="Q26" s="16">
        <f>'18'!Q36</f>
        <v>9.9166666666666643</v>
      </c>
      <c r="R26" s="32"/>
      <c r="S26" s="32"/>
      <c r="T26" s="32"/>
      <c r="U26" s="30"/>
    </row>
    <row r="27" spans="1:24" s="2" customFormat="1">
      <c r="A27" s="14" t="str">
        <f>'19'!$B$2</f>
        <v>19/06/2025 01:00</v>
      </c>
      <c r="B27" s="16">
        <f>'19'!B36</f>
        <v>4.3833333333333329</v>
      </c>
      <c r="C27" s="16">
        <f>'19'!C36</f>
        <v>7.3629166666666661</v>
      </c>
      <c r="D27" s="16">
        <f>'19'!D36</f>
        <v>3.0483333333333333</v>
      </c>
      <c r="E27" s="16">
        <f>'19'!E36</f>
        <v>5.28125</v>
      </c>
      <c r="F27" s="16">
        <f>'19'!F36</f>
        <v>5.2299999999999995</v>
      </c>
      <c r="G27" s="16">
        <f>'19'!G36</f>
        <v>36.798333333333339</v>
      </c>
      <c r="H27" s="16">
        <f>'19'!H36</f>
        <v>8.6325000000000003</v>
      </c>
      <c r="I27" s="16">
        <f>'19'!I36</f>
        <v>3.4895833333333339</v>
      </c>
      <c r="J27" s="16">
        <f>'19'!J36</f>
        <v>0.70083333333333331</v>
      </c>
      <c r="K27" s="16">
        <f>'19'!K36</f>
        <v>254.26249999999996</v>
      </c>
      <c r="L27" s="16">
        <f>'19'!L36</f>
        <v>28.789583333333329</v>
      </c>
      <c r="M27" s="16">
        <f>'19'!M36</f>
        <v>75.138333333333335</v>
      </c>
      <c r="N27" s="16">
        <f>'19'!N36</f>
        <v>54.579166666666673</v>
      </c>
      <c r="O27" s="16">
        <f>'19'!O36</f>
        <v>1.6666666666666666E-2</v>
      </c>
      <c r="P27" s="16">
        <f>'19'!P36</f>
        <v>0.23916666666666667</v>
      </c>
      <c r="Q27" s="16">
        <f>'19'!Q36</f>
        <v>9.9166666666666643</v>
      </c>
      <c r="R27" s="32"/>
      <c r="S27" s="32"/>
      <c r="T27" s="32"/>
      <c r="U27" s="30"/>
    </row>
    <row r="28" spans="1:24" s="2" customFormat="1">
      <c r="A28" s="14" t="str">
        <f>'20'!$B$2</f>
        <v>20/06/2025 01:00</v>
      </c>
      <c r="B28" s="16">
        <f>'20'!B36</f>
        <v>4.6895833333333323</v>
      </c>
      <c r="C28" s="16">
        <f>'20'!C36</f>
        <v>8.9579166666666676</v>
      </c>
      <c r="D28" s="16">
        <f>'20'!D36</f>
        <v>4.3274999999999997</v>
      </c>
      <c r="E28" s="16">
        <f>'20'!E36</f>
        <v>4.4375000000000009</v>
      </c>
      <c r="F28" s="16">
        <f>'20'!F36</f>
        <v>3.8045833333333321</v>
      </c>
      <c r="G28" s="16">
        <f>'20'!G36</f>
        <v>44.037916666666668</v>
      </c>
      <c r="H28" s="16">
        <f>'20'!H36</f>
        <v>11.87166666666667</v>
      </c>
      <c r="I28" s="16">
        <f>'20'!I36</f>
        <v>4.354166666666667</v>
      </c>
      <c r="J28" s="16">
        <f>'20'!J36</f>
        <v>0.9158333333333335</v>
      </c>
      <c r="K28" s="16">
        <f>'20'!K36</f>
        <v>264.43624999999997</v>
      </c>
      <c r="L28" s="16">
        <f>'20'!L36</f>
        <v>26.932500000000001</v>
      </c>
      <c r="M28" s="16">
        <f>'20'!M36</f>
        <v>84.037083333333342</v>
      </c>
      <c r="N28" s="16">
        <f>'20'!N36</f>
        <v>80.937499999999986</v>
      </c>
      <c r="O28" s="16">
        <f>'20'!O36</f>
        <v>1.6666666666666666E-2</v>
      </c>
      <c r="P28" s="16">
        <f>'20'!P36</f>
        <v>0.36708333333333337</v>
      </c>
      <c r="Q28" s="16">
        <f>'20'!Q36</f>
        <v>9.9220833333333331</v>
      </c>
      <c r="R28" s="32"/>
      <c r="S28" s="32"/>
      <c r="T28" s="32"/>
      <c r="U28" s="30"/>
    </row>
    <row r="29" spans="1:24" s="2" customFormat="1">
      <c r="A29" s="14" t="str">
        <f>'21'!$B$2</f>
        <v>21/06/2025 01:00</v>
      </c>
      <c r="B29" s="16">
        <f>'21'!B36</f>
        <v>4.984583333333334</v>
      </c>
      <c r="C29" s="16">
        <f>'21'!C36</f>
        <v>10.030833333333334</v>
      </c>
      <c r="D29" s="16">
        <f>'21'!D36</f>
        <v>5.109583333333334</v>
      </c>
      <c r="E29" s="16">
        <f>'21'!E36</f>
        <v>5.4537499999999994</v>
      </c>
      <c r="F29" s="16">
        <f>'21'!F36</f>
        <v>7.9366666666666665</v>
      </c>
      <c r="G29" s="16">
        <f>'21'!G36</f>
        <v>64.312500000000014</v>
      </c>
      <c r="H29" s="16">
        <f>'21'!H36</f>
        <v>17.57375</v>
      </c>
      <c r="I29" s="16">
        <f>'21'!I36</f>
        <v>6.0025000000000013</v>
      </c>
      <c r="J29" s="16">
        <f>'21'!J36</f>
        <v>0.85791666666666677</v>
      </c>
      <c r="K29" s="16">
        <f>'21'!K36</f>
        <v>266.29625000000004</v>
      </c>
      <c r="L29" s="16">
        <f>'21'!L36</f>
        <v>31.356250000000003</v>
      </c>
      <c r="M29" s="16">
        <f>'21'!M36</f>
        <v>64.10499999999999</v>
      </c>
      <c r="N29" s="16">
        <f>'21'!N36</f>
        <v>186.64999999999998</v>
      </c>
      <c r="O29" s="16">
        <f>'21'!O36</f>
        <v>0</v>
      </c>
      <c r="P29" s="16">
        <f>'21'!P36</f>
        <v>0.44958333333333328</v>
      </c>
      <c r="Q29" s="16">
        <f>'21'!Q36</f>
        <v>9.9241666666666664</v>
      </c>
      <c r="R29" s="32"/>
      <c r="S29" s="32"/>
      <c r="T29" s="32"/>
      <c r="U29" s="30"/>
    </row>
    <row r="30" spans="1:24" s="2" customFormat="1">
      <c r="A30" s="14" t="str">
        <f>'22'!$B$2</f>
        <v>22/06/2025 01:00</v>
      </c>
      <c r="B30" s="16">
        <f>'22'!B36</f>
        <v>4.9229166666666666</v>
      </c>
      <c r="C30" s="16">
        <f>'22'!C36</f>
        <v>9.7541666666666682</v>
      </c>
      <c r="D30" s="16">
        <f>'22'!D36</f>
        <v>4.93</v>
      </c>
      <c r="E30" s="16">
        <f>'22'!E36</f>
        <v>5.0854166666666671</v>
      </c>
      <c r="F30" s="16">
        <f>'22'!F36</f>
        <v>4.2875000000000005</v>
      </c>
      <c r="G30" s="16">
        <f>'22'!G36</f>
        <v>58.216666666666647</v>
      </c>
      <c r="H30" s="16">
        <f>'22'!H36</f>
        <v>15.194166666666666</v>
      </c>
      <c r="I30" s="16">
        <f>'22'!I36</f>
        <v>5.5229166666666671</v>
      </c>
      <c r="J30" s="16">
        <f>'22'!J36</f>
        <v>0.95374999999999999</v>
      </c>
      <c r="K30" s="16">
        <f>'22'!K36</f>
        <v>274.39541666666668</v>
      </c>
      <c r="L30" s="16">
        <f>'22'!L36</f>
        <v>29.625416666666666</v>
      </c>
      <c r="M30" s="16">
        <f>'22'!M36</f>
        <v>70.169166666666669</v>
      </c>
      <c r="N30" s="16">
        <f>'22'!N36</f>
        <v>107.23333333333333</v>
      </c>
      <c r="O30" s="16">
        <f>'22'!O36</f>
        <v>8.3333333333333332E-3</v>
      </c>
      <c r="P30" s="16">
        <f>'22'!P36</f>
        <v>0.38166666666666665</v>
      </c>
      <c r="Q30" s="16">
        <f>'22'!Q36</f>
        <v>9.9241666666666628</v>
      </c>
      <c r="R30" s="32"/>
      <c r="S30" s="30"/>
      <c r="T30" s="30"/>
      <c r="U30" s="30"/>
    </row>
    <row r="31" spans="1:24" s="2" customFormat="1">
      <c r="A31" s="14" t="str">
        <f>'23'!$B$2</f>
        <v>23/06/2025 01:00</v>
      </c>
      <c r="B31" s="16">
        <f>'23'!B36</f>
        <v>4.7787499999999996</v>
      </c>
      <c r="C31" s="16">
        <f>'23'!C36</f>
        <v>8.6070833333333336</v>
      </c>
      <c r="D31" s="16">
        <f>'23'!D36</f>
        <v>3.9445833333333336</v>
      </c>
      <c r="E31" s="16">
        <f>'23'!E36</f>
        <v>5.1591666666666667</v>
      </c>
      <c r="F31" s="16">
        <f>'23'!F36</f>
        <v>4.2383333333333333</v>
      </c>
      <c r="G31" s="16">
        <f>'23'!G36</f>
        <v>53.275833333333317</v>
      </c>
      <c r="H31" s="16">
        <f>'23'!H36</f>
        <v>12.655833333333334</v>
      </c>
      <c r="I31" s="16">
        <f>'23'!I36</f>
        <v>5.3583333333333316</v>
      </c>
      <c r="J31" s="16">
        <f>'23'!J36</f>
        <v>0.9245833333333332</v>
      </c>
      <c r="K31" s="16">
        <f>'23'!K36</f>
        <v>265.2924999999999</v>
      </c>
      <c r="L31" s="16">
        <f>'23'!L36</f>
        <v>29.091666666666665</v>
      </c>
      <c r="M31" s="16">
        <f>'23'!M36</f>
        <v>72.179583333333355</v>
      </c>
      <c r="N31" s="16">
        <f>'23'!N36</f>
        <v>112.67916666666667</v>
      </c>
      <c r="O31" s="16">
        <f>'23'!O36</f>
        <v>0</v>
      </c>
      <c r="P31" s="16">
        <f>'23'!P36</f>
        <v>0.35624999999999996</v>
      </c>
      <c r="Q31" s="16">
        <f>'23'!Q36</f>
        <v>9.9220833333333331</v>
      </c>
      <c r="R31" s="30"/>
      <c r="S31" s="30"/>
      <c r="T31" s="30"/>
      <c r="U31" s="30"/>
    </row>
    <row r="32" spans="1:24" s="2" customFormat="1">
      <c r="A32" s="14" t="str">
        <f>'24'!$B$2</f>
        <v>24/06/2025 01:00</v>
      </c>
      <c r="B32" s="16">
        <f>'24'!B36</f>
        <v>4.0579166666666682</v>
      </c>
      <c r="C32" s="16">
        <f>'24'!C36</f>
        <v>6.6083333333333334</v>
      </c>
      <c r="D32" s="16">
        <f>'24'!D36</f>
        <v>3.0533333333333332</v>
      </c>
      <c r="E32" s="16">
        <f>'24'!E36</f>
        <v>4.34</v>
      </c>
      <c r="F32" s="16">
        <f>'24'!F36</f>
        <v>7.3604166666666693</v>
      </c>
      <c r="G32" s="16">
        <f>'24'!G36</f>
        <v>32.087083333333339</v>
      </c>
      <c r="H32" s="16">
        <f>'24'!H36</f>
        <v>7.6616666666666662</v>
      </c>
      <c r="I32" s="16">
        <f>'24'!I36</f>
        <v>5.4499999999999993</v>
      </c>
      <c r="J32" s="16">
        <f>'24'!J36</f>
        <v>0.78249999999999986</v>
      </c>
      <c r="K32" s="16">
        <f>'24'!K36</f>
        <v>258.43666666666667</v>
      </c>
      <c r="L32" s="16">
        <f>'24'!L36</f>
        <v>27.323333333333334</v>
      </c>
      <c r="M32" s="16">
        <f>'24'!M36</f>
        <v>86.113749999999996</v>
      </c>
      <c r="N32" s="16">
        <f>'24'!N36</f>
        <v>94.399999999999991</v>
      </c>
      <c r="O32" s="16">
        <f>'24'!O36</f>
        <v>2.5000000000000005E-2</v>
      </c>
      <c r="P32" s="16">
        <f>'24'!P36</f>
        <v>0.32291666666666669</v>
      </c>
      <c r="Q32" s="16">
        <f>'24'!Q36</f>
        <v>9.9124999999999979</v>
      </c>
      <c r="R32" s="30"/>
      <c r="S32" s="30"/>
      <c r="T32" s="30"/>
      <c r="U32" s="30"/>
    </row>
    <row r="33" spans="1:21" s="2" customFormat="1">
      <c r="A33" s="14" t="str">
        <f>'25'!$B$2</f>
        <v>25/06/2025 01:00</v>
      </c>
      <c r="B33" s="16">
        <f>'25'!B36</f>
        <v>4.9629166666666675</v>
      </c>
      <c r="C33" s="16">
        <f>'25'!C36</f>
        <v>6.9708333333333341</v>
      </c>
      <c r="D33" s="16">
        <f>'25'!D36</f>
        <v>3.242916666666666</v>
      </c>
      <c r="E33" s="16">
        <f>'25'!E36</f>
        <v>5.2299999999999995</v>
      </c>
      <c r="F33" s="16">
        <f>'25'!F36</f>
        <v>3.8166666666666669</v>
      </c>
      <c r="G33" s="16">
        <f>'25'!G36</f>
        <v>35.972083333333337</v>
      </c>
      <c r="H33" s="16">
        <f>'25'!H36</f>
        <v>13.458749999999997</v>
      </c>
      <c r="I33" s="16">
        <f>'25'!I36</f>
        <v>6.682500000000001</v>
      </c>
      <c r="J33" s="16">
        <f>'25'!J36</f>
        <v>0.67666666666666664</v>
      </c>
      <c r="K33" s="16">
        <f>'25'!K36</f>
        <v>263.05833333333334</v>
      </c>
      <c r="L33" s="16">
        <f>'25'!L36</f>
        <v>28.009166666666662</v>
      </c>
      <c r="M33" s="16">
        <f>'25'!M36</f>
        <v>85.562083333333348</v>
      </c>
      <c r="N33" s="16">
        <f>'25'!N36</f>
        <v>104.3</v>
      </c>
      <c r="O33" s="16">
        <f>'25'!O36</f>
        <v>7.4999999999999997E-2</v>
      </c>
      <c r="P33" s="16">
        <f>'25'!P36</f>
        <v>0.41375000000000006</v>
      </c>
      <c r="Q33" s="16">
        <f>'25'!Q36</f>
        <v>9.9225000000000012</v>
      </c>
      <c r="R33" s="30"/>
      <c r="S33" s="30"/>
      <c r="T33" s="30"/>
      <c r="U33" s="30"/>
    </row>
    <row r="34" spans="1:21" s="2" customFormat="1">
      <c r="A34" s="14" t="str">
        <f>'26'!$B$2</f>
        <v>26/06/2025 01:00</v>
      </c>
      <c r="B34" s="16">
        <f>'26'!B36</f>
        <v>3.875833333333333</v>
      </c>
      <c r="C34" s="16">
        <f>'26'!C36</f>
        <v>5.8091666666666661</v>
      </c>
      <c r="D34" s="16">
        <f>'26'!D36</f>
        <v>2.7595833333333335</v>
      </c>
      <c r="E34" s="16">
        <f>'26'!E36</f>
        <v>4.9875000000000007</v>
      </c>
      <c r="F34" s="16">
        <f>'26'!F36</f>
        <v>6.2195833333333326</v>
      </c>
      <c r="G34" s="16">
        <f>'26'!G36</f>
        <v>18.812500000000004</v>
      </c>
      <c r="H34" s="16">
        <f>'26'!H36</f>
        <v>9.8870833333333348</v>
      </c>
      <c r="I34" s="16">
        <f>'26'!I36</f>
        <v>3.8624999999999994</v>
      </c>
      <c r="J34" s="16">
        <f>'26'!J36</f>
        <v>0.49124999999999996</v>
      </c>
      <c r="K34" s="16">
        <f>'26'!K36</f>
        <v>256.22708333333338</v>
      </c>
      <c r="L34" s="16">
        <f>'26'!L36</f>
        <v>26.591249999999999</v>
      </c>
      <c r="M34" s="16">
        <f>'26'!M36</f>
        <v>94.991249999999994</v>
      </c>
      <c r="N34" s="16">
        <f>'26'!N36</f>
        <v>91.633333333333312</v>
      </c>
      <c r="O34" s="16">
        <f>'26'!O36</f>
        <v>0.69166666666666676</v>
      </c>
      <c r="P34" s="16">
        <f>'26'!P36</f>
        <v>0.28583333333333333</v>
      </c>
      <c r="Q34" s="16">
        <f>'26'!Q36</f>
        <v>9.9241666666666664</v>
      </c>
      <c r="R34" s="30"/>
      <c r="S34" s="30"/>
      <c r="T34" s="30"/>
      <c r="U34" s="30"/>
    </row>
    <row r="35" spans="1:21" s="2" customFormat="1">
      <c r="A35" s="14" t="str">
        <f>'27'!$B$2</f>
        <v>27/06/2025 01:00</v>
      </c>
      <c r="B35" s="16">
        <f>'27'!B36</f>
        <v>3.6542857142857139</v>
      </c>
      <c r="C35" s="16">
        <f>'27'!C36</f>
        <v>5.6438095238095247</v>
      </c>
      <c r="D35" s="16">
        <f>'27'!D36</f>
        <v>2.7380952380952377</v>
      </c>
      <c r="E35" s="16">
        <f>'27'!E36</f>
        <v>5.644285714285715</v>
      </c>
      <c r="F35" s="16">
        <f>'27'!F36</f>
        <v>1.4385714285714286</v>
      </c>
      <c r="G35" s="16">
        <f>'27'!G36</f>
        <v>24.86809523809524</v>
      </c>
      <c r="H35" s="16">
        <f>'27'!H36</f>
        <v>11.080476190476192</v>
      </c>
      <c r="I35" s="16">
        <f>'27'!I36</f>
        <v>3.6071428571428572</v>
      </c>
      <c r="J35" s="16">
        <f>'27'!J36</f>
        <v>0.80272727272727273</v>
      </c>
      <c r="K35" s="16">
        <f>'27'!K36</f>
        <v>259.26000000000005</v>
      </c>
      <c r="L35" s="16">
        <f>'27'!L36</f>
        <v>27.227272727272723</v>
      </c>
      <c r="M35" s="16">
        <f>'27'!M36</f>
        <v>84.095000000000013</v>
      </c>
      <c r="N35" s="16">
        <f>'27'!N36</f>
        <v>103.96363636363635</v>
      </c>
      <c r="O35" s="16">
        <f>'27'!O36</f>
        <v>3.6363636363636369E-2</v>
      </c>
      <c r="P35" s="16">
        <f>'27'!P36</f>
        <v>0.30363636363636365</v>
      </c>
      <c r="Q35" s="16">
        <f>'27'!Q36</f>
        <v>10.233157894736845</v>
      </c>
      <c r="R35" s="30"/>
      <c r="S35" s="30"/>
      <c r="T35" s="30"/>
      <c r="U35" s="30"/>
    </row>
    <row r="36" spans="1:21" s="2" customFormat="1">
      <c r="A36" s="14" t="str">
        <f>'28'!$B$2</f>
        <v>28/06/2025 01:00</v>
      </c>
      <c r="B36" s="16">
        <f>'28'!B36</f>
        <v>6.2554166666666662</v>
      </c>
      <c r="C36" s="16">
        <f>'28'!C36</f>
        <v>8.2104166666666671</v>
      </c>
      <c r="D36" s="16">
        <f>'28'!D36</f>
        <v>3.6995833333333326</v>
      </c>
      <c r="E36" s="16">
        <f>'28'!E36</f>
        <v>5.3329166666666659</v>
      </c>
      <c r="F36" s="16">
        <f>'28'!F36</f>
        <v>0.64666666666666661</v>
      </c>
      <c r="G36" s="16">
        <f>'28'!G36</f>
        <v>34.939166666666665</v>
      </c>
      <c r="H36" s="16">
        <f>'28'!H36</f>
        <v>12.914583333333335</v>
      </c>
      <c r="I36" s="16">
        <f>'28'!I36</f>
        <v>6.3466666666666676</v>
      </c>
      <c r="J36" s="16">
        <f>'28'!J36</f>
        <v>0.65916666666666668</v>
      </c>
      <c r="K36" s="16">
        <f>'28'!K36</f>
        <v>277.59041666666661</v>
      </c>
      <c r="L36" s="16">
        <f>'28'!L36</f>
        <v>25.968750000000004</v>
      </c>
      <c r="M36" s="16">
        <f>'28'!M36</f>
        <v>93.886666666666699</v>
      </c>
      <c r="N36" s="16">
        <f>'28'!N36</f>
        <v>90.879166666666663</v>
      </c>
      <c r="O36" s="16">
        <f>'28'!O36</f>
        <v>0.39999999999999991</v>
      </c>
      <c r="P36" s="16">
        <f>'28'!P36</f>
        <v>0.44624999999999998</v>
      </c>
      <c r="Q36" s="27" t="s">
        <v>8</v>
      </c>
      <c r="R36" s="30"/>
      <c r="S36" s="30"/>
      <c r="T36" s="30"/>
      <c r="U36" s="30"/>
    </row>
    <row r="37" spans="1:21" s="2" customFormat="1">
      <c r="A37" s="14" t="str">
        <f>'29'!$B$2</f>
        <v>29/06/2025 01:00</v>
      </c>
      <c r="B37" s="16">
        <f>'29'!B36</f>
        <v>4.5587500000000007</v>
      </c>
      <c r="C37" s="16">
        <f>'29'!C36</f>
        <v>6.764166666666668</v>
      </c>
      <c r="D37" s="16">
        <f>'29'!D36</f>
        <v>3.4462499999999996</v>
      </c>
      <c r="E37" s="16">
        <f>'29'!E36</f>
        <v>5.1045833333333341</v>
      </c>
      <c r="F37" s="16">
        <f>'29'!F36</f>
        <v>0.60291666666666677</v>
      </c>
      <c r="G37" s="16">
        <f>'29'!G36</f>
        <v>27.405833333333344</v>
      </c>
      <c r="H37" s="16">
        <f>'29'!H36</f>
        <v>10.725</v>
      </c>
      <c r="I37" s="16">
        <f>'29'!I36</f>
        <v>5.5108333333333333</v>
      </c>
      <c r="J37" s="16">
        <f>'29'!J36</f>
        <v>1.0125</v>
      </c>
      <c r="K37" s="16">
        <f>'29'!K36</f>
        <v>267.99875000000003</v>
      </c>
      <c r="L37" s="16">
        <f>'29'!L36</f>
        <v>25.197916666666661</v>
      </c>
      <c r="M37" s="16">
        <f>'29'!M36</f>
        <v>90.830833333333317</v>
      </c>
      <c r="N37" s="16">
        <f>'29'!N36</f>
        <v>81.137499999999989</v>
      </c>
      <c r="O37" s="16">
        <f>'29'!O36</f>
        <v>0.17500000000000002</v>
      </c>
      <c r="P37" s="16">
        <f>'29'!P36</f>
        <v>0.40458333333333346</v>
      </c>
      <c r="Q37" s="27" t="s">
        <v>8</v>
      </c>
      <c r="R37" s="30"/>
      <c r="S37" s="30"/>
      <c r="T37" s="30"/>
      <c r="U37" s="30"/>
    </row>
    <row r="38" spans="1:21" s="2" customFormat="1">
      <c r="A38" s="14" t="str">
        <f>'30'!$B$2</f>
        <v>30/06/2025 01:00</v>
      </c>
      <c r="B38" s="16">
        <f>'30'!B36</f>
        <v>5.4758333333333331</v>
      </c>
      <c r="C38" s="16">
        <f>'30'!C36</f>
        <v>7.3149999999999986</v>
      </c>
      <c r="D38" s="16">
        <f>'30'!D36</f>
        <v>3.1445833333333328</v>
      </c>
      <c r="E38" s="16">
        <f>'30'!E36</f>
        <v>5.0887499999999992</v>
      </c>
      <c r="F38" s="16">
        <f>'30'!F36</f>
        <v>0.2754166666666667</v>
      </c>
      <c r="G38" s="16">
        <f>'30'!G36</f>
        <v>20.975416666666664</v>
      </c>
      <c r="H38" s="16">
        <f>'30'!H36</f>
        <v>8.7408333333333328</v>
      </c>
      <c r="I38" s="16">
        <f>'30'!I36</f>
        <v>6.2962500000000006</v>
      </c>
      <c r="J38" s="16">
        <f>'30'!J36</f>
        <v>0.85124999999999995</v>
      </c>
      <c r="K38" s="16">
        <f>'30'!K36</f>
        <v>265.22541666666672</v>
      </c>
      <c r="L38" s="16">
        <f>'30'!L36</f>
        <v>24.758749999999996</v>
      </c>
      <c r="M38" s="16">
        <f>'30'!M36</f>
        <v>93.458750000000009</v>
      </c>
      <c r="N38" s="16">
        <f>'30'!N36</f>
        <v>61.633333333333333</v>
      </c>
      <c r="O38" s="16">
        <f>'30'!O36</f>
        <v>6.6666666666666666E-2</v>
      </c>
      <c r="P38" s="16">
        <f>'30'!P36</f>
        <v>0.45666666666666672</v>
      </c>
      <c r="Q38" s="27" t="s">
        <v>8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3.6542857142857139</v>
      </c>
      <c r="C40" s="18">
        <f t="shared" si="0"/>
        <v>5.6438095238095247</v>
      </c>
      <c r="D40" s="18">
        <f t="shared" si="0"/>
        <v>2.7380952380952377</v>
      </c>
      <c r="E40" s="18">
        <f t="shared" si="0"/>
        <v>4.34</v>
      </c>
      <c r="F40" s="18">
        <f t="shared" si="0"/>
        <v>0.2754166666666667</v>
      </c>
      <c r="G40" s="18">
        <f t="shared" si="0"/>
        <v>18.812500000000004</v>
      </c>
      <c r="H40" s="18">
        <f t="shared" si="0"/>
        <v>7.6616666666666662</v>
      </c>
      <c r="I40" s="18">
        <f t="shared" si="0"/>
        <v>3.4895833333333339</v>
      </c>
      <c r="J40" s="18">
        <f t="shared" si="0"/>
        <v>0.42458333333333331</v>
      </c>
      <c r="K40" s="18">
        <f t="shared" si="0"/>
        <v>115.73500000000001</v>
      </c>
      <c r="L40" s="18">
        <f t="shared" si="0"/>
        <v>24.758749999999996</v>
      </c>
      <c r="M40" s="18">
        <f t="shared" si="0"/>
        <v>43.252916666666664</v>
      </c>
      <c r="N40" s="18">
        <f t="shared" si="0"/>
        <v>54.579166666666673</v>
      </c>
      <c r="O40" s="18">
        <f t="shared" si="0"/>
        <v>0</v>
      </c>
      <c r="P40" s="18">
        <f t="shared" si="0"/>
        <v>0.23916666666666667</v>
      </c>
      <c r="Q40" s="18">
        <f t="shared" si="0"/>
        <v>9.9124999999999979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6.2554166666666662</v>
      </c>
      <c r="C41" s="18">
        <f t="shared" si="1"/>
        <v>12.883750000000001</v>
      </c>
      <c r="D41" s="18">
        <f t="shared" si="1"/>
        <v>9.4347826086956523</v>
      </c>
      <c r="E41" s="18">
        <f t="shared" si="1"/>
        <v>9.4833333333333325</v>
      </c>
      <c r="F41" s="18">
        <f t="shared" si="1"/>
        <v>22.502083333333331</v>
      </c>
      <c r="G41" s="18">
        <f t="shared" si="1"/>
        <v>82.075416666666655</v>
      </c>
      <c r="H41" s="18">
        <f t="shared" si="1"/>
        <v>38.561250000000001</v>
      </c>
      <c r="I41" s="18">
        <f t="shared" si="1"/>
        <v>10.335833333333332</v>
      </c>
      <c r="J41" s="18">
        <f t="shared" si="1"/>
        <v>1.0125</v>
      </c>
      <c r="K41" s="18">
        <f t="shared" si="1"/>
        <v>277.59041666666661</v>
      </c>
      <c r="L41" s="18">
        <f t="shared" si="1"/>
        <v>34.905000000000001</v>
      </c>
      <c r="M41" s="18">
        <f t="shared" si="1"/>
        <v>94.991249999999994</v>
      </c>
      <c r="N41" s="18">
        <f t="shared" si="1"/>
        <v>193.23333333333335</v>
      </c>
      <c r="O41" s="18">
        <f t="shared" si="1"/>
        <v>0.76666666666666661</v>
      </c>
      <c r="P41" s="18">
        <f t="shared" si="1"/>
        <v>0.65041666666666664</v>
      </c>
      <c r="Q41" s="18">
        <f t="shared" si="1"/>
        <v>28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4.6336144755003454</v>
      </c>
      <c r="C42" s="18">
        <f t="shared" si="2"/>
        <v>8.6945569358178076</v>
      </c>
      <c r="D42" s="18">
        <f t="shared" si="2"/>
        <v>4.7583181504485843</v>
      </c>
      <c r="E42" s="18">
        <f t="shared" si="2"/>
        <v>5.8378970841959967</v>
      </c>
      <c r="F42" s="18">
        <f t="shared" si="2"/>
        <v>9.1222440476190467</v>
      </c>
      <c r="G42" s="18">
        <f t="shared" si="2"/>
        <v>45.997539423740513</v>
      </c>
      <c r="H42" s="18">
        <f t="shared" si="2"/>
        <v>18.600593426501039</v>
      </c>
      <c r="I42" s="18">
        <f t="shared" si="2"/>
        <v>5.8139186507936511</v>
      </c>
      <c r="J42" s="18">
        <f t="shared" si="2"/>
        <v>0.69678535353535342</v>
      </c>
      <c r="K42" s="18">
        <f t="shared" si="2"/>
        <v>245.37394444444442</v>
      </c>
      <c r="L42" s="18">
        <f t="shared" si="2"/>
        <v>30.319797979797986</v>
      </c>
      <c r="M42" s="18">
        <f t="shared" si="2"/>
        <v>69.22997222222223</v>
      </c>
      <c r="N42" s="18">
        <f t="shared" si="2"/>
        <v>132.77420454545455</v>
      </c>
      <c r="O42" s="18">
        <f t="shared" si="2"/>
        <v>7.6212121212121217E-2</v>
      </c>
      <c r="P42" s="18">
        <f t="shared" si="2"/>
        <v>0.41081565656565644</v>
      </c>
      <c r="Q42" s="18">
        <f t="shared" si="2"/>
        <v>13.06541016894087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0.62380953758423785</v>
      </c>
      <c r="C43" s="18">
        <f t="shared" si="3"/>
        <v>1.7984417737091885</v>
      </c>
      <c r="D43" s="18">
        <f t="shared" si="3"/>
        <v>1.6467521135645544</v>
      </c>
      <c r="E43" s="18">
        <f t="shared" si="3"/>
        <v>1.3612818556436328</v>
      </c>
      <c r="F43" s="18">
        <f t="shared" si="3"/>
        <v>6.2475924910221439</v>
      </c>
      <c r="G43" s="18">
        <f t="shared" si="3"/>
        <v>15.785218525174502</v>
      </c>
      <c r="H43" s="18">
        <f t="shared" si="3"/>
        <v>8.7199655409916623</v>
      </c>
      <c r="I43" s="18">
        <f t="shared" si="3"/>
        <v>1.727347859341205</v>
      </c>
      <c r="J43" s="18">
        <f t="shared" si="3"/>
        <v>0.16339824966172914</v>
      </c>
      <c r="K43" s="18">
        <f t="shared" si="3"/>
        <v>35.530874865206584</v>
      </c>
      <c r="L43" s="18">
        <f t="shared" si="3"/>
        <v>2.8023709536747341</v>
      </c>
      <c r="M43" s="18">
        <f t="shared" si="3"/>
        <v>14.755906308600094</v>
      </c>
      <c r="N43" s="18">
        <f t="shared" si="3"/>
        <v>41.508093579357173</v>
      </c>
      <c r="O43" s="18">
        <f t="shared" si="3"/>
        <v>0.19433956559416193</v>
      </c>
      <c r="P43" s="18">
        <f t="shared" si="3"/>
        <v>9.461650015360068E-2</v>
      </c>
      <c r="Q43" s="18">
        <f t="shared" si="3"/>
        <v>6.7549406716342268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P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 t="shared" si="4"/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18">
        <f>COUNT(Q9:Q38)+3</f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56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2025-12-12T09:25:06Z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