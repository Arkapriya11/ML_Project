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jun 2025\"/>
    </mc:Choice>
  </mc:AlternateContent>
  <xr:revisionPtr revIDLastSave="0" documentId="13_ncr:1_{9DCE0AA5-E64B-4558-B6ED-EBF048CE3274}" xr6:coauthVersionLast="47" xr6:coauthVersionMax="47" xr10:uidLastSave="{00000000-0000-0000-0000-000000000000}"/>
  <bookViews>
    <workbookView xWindow="-120" yWindow="-120" windowWidth="20730" windowHeight="11040" tabRatio="814" firstSheet="10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91029"/>
</workbook>
</file>

<file path=xl/calcChain.xml><?xml version="1.0" encoding="utf-8"?>
<calcChain xmlns="http://schemas.openxmlformats.org/spreadsheetml/2006/main">
  <c r="Q45" i="39" l="1"/>
  <c r="Q110" i="40"/>
  <c r="Q110" i="33"/>
  <c r="Q112" i="33" s="1"/>
  <c r="Q110" i="44"/>
  <c r="Q112" i="44" s="1"/>
  <c r="Q110" i="32"/>
  <c r="Q112" i="32" s="1"/>
  <c r="E110" i="32"/>
  <c r="G110" i="32"/>
  <c r="H110" i="32"/>
  <c r="I110" i="32"/>
  <c r="J110" i="32"/>
  <c r="J112" i="32" s="1"/>
  <c r="K110" i="32"/>
  <c r="K112" i="32" s="1"/>
  <c r="L110" i="32"/>
  <c r="L112" i="32" s="1"/>
  <c r="M110" i="32"/>
  <c r="M112" i="32" s="1"/>
  <c r="N110" i="32"/>
  <c r="O110" i="32"/>
  <c r="P110" i="32"/>
  <c r="F110" i="32"/>
  <c r="F112" i="32" s="1"/>
  <c r="E112" i="32"/>
  <c r="C110" i="32"/>
  <c r="D110" i="32"/>
  <c r="D112" i="32" s="1"/>
  <c r="B110" i="32"/>
  <c r="B111" i="32" s="1"/>
  <c r="H110" i="17"/>
  <c r="H111" i="17" s="1"/>
  <c r="G110" i="17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H29" i="39"/>
  <c r="O28" i="39"/>
  <c r="Q112" i="40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1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C111" i="44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1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G111" i="33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P112" i="32"/>
  <c r="O112" i="32"/>
  <c r="N112" i="32"/>
  <c r="I112" i="32"/>
  <c r="H112" i="32"/>
  <c r="G112" i="32"/>
  <c r="C112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C111" i="3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J111" i="30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1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N111" i="27"/>
  <c r="Q110" i="27"/>
  <c r="Q112" i="27" s="1"/>
  <c r="P110" i="27"/>
  <c r="P112" i="27" s="1"/>
  <c r="O110" i="27"/>
  <c r="O112" i="27" s="1"/>
  <c r="N110" i="27"/>
  <c r="N112" i="27" s="1"/>
  <c r="M110" i="27"/>
  <c r="M111" i="27" s="1"/>
  <c r="L110" i="27"/>
  <c r="L112" i="27" s="1"/>
  <c r="K110" i="27"/>
  <c r="K112" i="27" s="1"/>
  <c r="J110" i="27"/>
  <c r="J111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N111" i="26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L112" i="25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1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1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1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2" i="22"/>
  <c r="P112" i="22"/>
  <c r="O112" i="22"/>
  <c r="Q110" i="22"/>
  <c r="Q111" i="22" s="1"/>
  <c r="P110" i="22"/>
  <c r="P111" i="22" s="1"/>
  <c r="O110" i="22"/>
  <c r="O111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1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2" i="21"/>
  <c r="E112" i="21"/>
  <c r="Q110" i="21"/>
  <c r="Q111" i="21" s="1"/>
  <c r="P110" i="21"/>
  <c r="P111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1" i="21" s="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1" i="20"/>
  <c r="Q110" i="20"/>
  <c r="Q112" i="20" s="1"/>
  <c r="P110" i="20"/>
  <c r="P112" i="20" s="1"/>
  <c r="O110" i="20"/>
  <c r="O112" i="20" s="1"/>
  <c r="N110" i="20"/>
  <c r="N111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1" i="20" s="1"/>
  <c r="E110" i="20"/>
  <c r="E111" i="20" s="1"/>
  <c r="D110" i="20"/>
  <c r="D111" i="20" s="1"/>
  <c r="C110" i="20"/>
  <c r="C111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1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1" i="19" s="1"/>
  <c r="F110" i="19"/>
  <c r="F111" i="19" s="1"/>
  <c r="E110" i="19"/>
  <c r="E111" i="19" s="1"/>
  <c r="D110" i="19"/>
  <c r="D111" i="19" s="1"/>
  <c r="C110" i="19"/>
  <c r="C111" i="19" s="1"/>
  <c r="B110" i="19"/>
  <c r="B111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1" i="18" s="1"/>
  <c r="G110" i="18"/>
  <c r="G111" i="18" s="1"/>
  <c r="F110" i="18"/>
  <c r="F111" i="18" s="1"/>
  <c r="E110" i="18"/>
  <c r="E111" i="18" s="1"/>
  <c r="D110" i="18"/>
  <c r="D111" i="18" s="1"/>
  <c r="C110" i="18"/>
  <c r="C111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E111" i="17"/>
  <c r="D111" i="17"/>
  <c r="Q110" i="17"/>
  <c r="Q111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1" i="17" s="1"/>
  <c r="G112" i="17"/>
  <c r="F110" i="17"/>
  <c r="F111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1" i="16" s="1"/>
  <c r="I110" i="16"/>
  <c r="I111" i="16" s="1"/>
  <c r="H110" i="16"/>
  <c r="H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J111" i="15"/>
  <c r="I111" i="15"/>
  <c r="Q110" i="15"/>
  <c r="Q112" i="15" s="1"/>
  <c r="P110" i="15"/>
  <c r="P112" i="15" s="1"/>
  <c r="O110" i="15"/>
  <c r="O112" i="15" s="1"/>
  <c r="N110" i="15"/>
  <c r="N112" i="15" s="1"/>
  <c r="M110" i="15"/>
  <c r="M112" i="15" s="1"/>
  <c r="L110" i="15"/>
  <c r="K110" i="15"/>
  <c r="K111" i="15" s="1"/>
  <c r="J110" i="15"/>
  <c r="J112" i="15" s="1"/>
  <c r="I110" i="15"/>
  <c r="I112" i="15" s="1"/>
  <c r="H110" i="15"/>
  <c r="H111" i="15" s="1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1" i="11" s="1"/>
  <c r="D110" i="11"/>
  <c r="D112" i="11" s="1"/>
  <c r="C110" i="11"/>
  <c r="C111" i="11" s="1"/>
  <c r="B110" i="11"/>
  <c r="B111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1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1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1" i="8" s="1"/>
  <c r="K110" i="8"/>
  <c r="K112" i="8" s="1"/>
  <c r="J110" i="8"/>
  <c r="J112" i="8" s="1"/>
  <c r="I110" i="8"/>
  <c r="I112" i="8" s="1"/>
  <c r="H110" i="8"/>
  <c r="H111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1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1" i="3" s="1"/>
  <c r="F110" i="3"/>
  <c r="F111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1" i="2" s="1"/>
  <c r="P110" i="2"/>
  <c r="P112" i="2" s="1"/>
  <c r="O110" i="2"/>
  <c r="O112" i="2" s="1"/>
  <c r="N110" i="2"/>
  <c r="N111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B112" i="40" l="1"/>
  <c r="P111" i="44"/>
  <c r="E111" i="32"/>
  <c r="H111" i="32"/>
  <c r="D111" i="30"/>
  <c r="G111" i="30"/>
  <c r="F111" i="28"/>
  <c r="I112" i="28"/>
  <c r="J112" i="27"/>
  <c r="M112" i="27"/>
  <c r="H111" i="26"/>
  <c r="P111" i="25"/>
  <c r="M111" i="24"/>
  <c r="P111" i="24"/>
  <c r="J112" i="24"/>
  <c r="B112" i="23"/>
  <c r="C112" i="22"/>
  <c r="B112" i="21"/>
  <c r="D112" i="21"/>
  <c r="P112" i="21"/>
  <c r="C112" i="20"/>
  <c r="E112" i="20"/>
  <c r="F112" i="20"/>
  <c r="D112" i="20"/>
  <c r="Q42" i="39"/>
  <c r="B112" i="19"/>
  <c r="C112" i="19"/>
  <c r="D112" i="19"/>
  <c r="E112" i="19"/>
  <c r="F112" i="19"/>
  <c r="C112" i="18"/>
  <c r="D112" i="18"/>
  <c r="F112" i="18"/>
  <c r="H112" i="18"/>
  <c r="G111" i="17"/>
  <c r="F112" i="17"/>
  <c r="H112" i="17"/>
  <c r="E111" i="16"/>
  <c r="F111" i="16"/>
  <c r="H111" i="16"/>
  <c r="G112" i="16"/>
  <c r="I112" i="16"/>
  <c r="G111" i="15"/>
  <c r="H112" i="15"/>
  <c r="K112" i="15"/>
  <c r="D43" i="39"/>
  <c r="N41" i="39"/>
  <c r="O45" i="39"/>
  <c r="O44" i="39"/>
  <c r="O43" i="39"/>
  <c r="O42" i="39"/>
  <c r="O41" i="39"/>
  <c r="L45" i="39"/>
  <c r="L44" i="39"/>
  <c r="L43" i="39"/>
  <c r="L42" i="39"/>
  <c r="L41" i="39"/>
  <c r="G112" i="3"/>
  <c r="B45" i="39"/>
  <c r="B44" i="39"/>
  <c r="B43" i="39"/>
  <c r="B42" i="39"/>
  <c r="B41" i="39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E112" i="18"/>
  <c r="Q111" i="24"/>
  <c r="K111" i="26"/>
  <c r="B112" i="32"/>
  <c r="E112" i="11"/>
  <c r="D111" i="12"/>
  <c r="B111" i="14"/>
  <c r="N112" i="20"/>
  <c r="D44" i="5"/>
  <c r="G45" i="39"/>
  <c r="G44" i="39"/>
  <c r="G43" i="39"/>
  <c r="G42" i="39"/>
  <c r="G41" i="39"/>
  <c r="F111" i="8"/>
  <c r="C111" i="13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B112" i="15"/>
  <c r="B111" i="15"/>
  <c r="C111" i="15"/>
  <c r="J112" i="16"/>
  <c r="I112" i="17"/>
  <c r="G112" i="18"/>
  <c r="G112" i="19"/>
  <c r="O111" i="26"/>
  <c r="D41" i="39"/>
  <c r="E111" i="8"/>
  <c r="D112" i="9"/>
  <c r="C111" i="10"/>
  <c r="B112" i="11"/>
  <c r="H45" i="39"/>
  <c r="H44" i="39"/>
  <c r="H43" i="39"/>
  <c r="H42" i="39"/>
  <c r="H41" i="39"/>
  <c r="P111" i="14"/>
  <c r="I111" i="3"/>
  <c r="L111" i="2"/>
  <c r="K111" i="3"/>
  <c r="J111" i="8"/>
  <c r="I111" i="9"/>
  <c r="H111" i="10"/>
  <c r="G111" i="11"/>
  <c r="F111" i="12"/>
  <c r="E111" i="13"/>
  <c r="D111" i="14"/>
  <c r="E111" i="15"/>
  <c r="B111" i="16"/>
  <c r="Q112" i="17"/>
  <c r="O112" i="19"/>
  <c r="B111" i="22"/>
  <c r="K111" i="23"/>
  <c r="L111" i="28"/>
  <c r="E111" i="40"/>
  <c r="G111" i="2"/>
  <c r="F112" i="3"/>
  <c r="B111" i="12"/>
  <c r="Q111" i="13"/>
  <c r="M45" i="39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E111" i="14"/>
  <c r="F111" i="15"/>
  <c r="D111" i="16"/>
  <c r="C111" i="17"/>
  <c r="P112" i="18"/>
  <c r="N111" i="23"/>
  <c r="D111" i="33"/>
  <c r="O111" i="40"/>
  <c r="Q41" i="39"/>
  <c r="H111" i="2"/>
  <c r="H112" i="8"/>
  <c r="N45" i="39"/>
  <c r="N44" i="39"/>
  <c r="N112" i="2"/>
  <c r="M112" i="3"/>
  <c r="L112" i="8"/>
  <c r="K111" i="9"/>
  <c r="J111" i="10"/>
  <c r="I111" i="11"/>
  <c r="H111" i="12"/>
  <c r="G111" i="13"/>
  <c r="F111" i="14"/>
  <c r="B111" i="18"/>
  <c r="B111" i="20"/>
  <c r="C111" i="21"/>
  <c r="D111" i="22"/>
  <c r="O111" i="23"/>
  <c r="D42" i="39"/>
  <c r="Q111" i="12"/>
  <c r="O111" i="2"/>
  <c r="N111" i="3"/>
  <c r="M111" i="8"/>
  <c r="L111" i="9"/>
  <c r="K111" i="10"/>
  <c r="J111" i="11"/>
  <c r="I111" i="12"/>
  <c r="H111" i="13"/>
  <c r="G111" i="14"/>
  <c r="L111" i="22"/>
  <c r="Q111" i="23"/>
  <c r="I111" i="25"/>
  <c r="Q111" i="33"/>
  <c r="N42" i="39"/>
  <c r="J111" i="2"/>
  <c r="P45" i="39"/>
  <c r="P44" i="39"/>
  <c r="P43" i="39"/>
  <c r="P42" i="39"/>
  <c r="P41" i="39"/>
  <c r="P111" i="2"/>
  <c r="O111" i="3"/>
  <c r="N111" i="8"/>
  <c r="M111" i="9"/>
  <c r="L111" i="10"/>
  <c r="K111" i="11"/>
  <c r="J111" i="12"/>
  <c r="I111" i="13"/>
  <c r="H111" i="14"/>
  <c r="F111" i="31"/>
  <c r="P111" i="13"/>
  <c r="O111" i="14"/>
  <c r="C112" i="11"/>
  <c r="G111" i="9"/>
  <c r="Q112" i="2"/>
  <c r="P111" i="3"/>
  <c r="O111" i="8"/>
  <c r="N111" i="9"/>
  <c r="M111" i="10"/>
  <c r="L111" i="11"/>
  <c r="K111" i="12"/>
  <c r="J111" i="13"/>
  <c r="I111" i="14"/>
  <c r="M111" i="21"/>
  <c r="O111" i="25"/>
  <c r="G111" i="27"/>
  <c r="E111" i="29"/>
  <c r="I111" i="31"/>
  <c r="E111" i="9"/>
  <c r="J45" i="39"/>
  <c r="J44" i="39"/>
  <c r="J43" i="39"/>
  <c r="J42" i="39"/>
  <c r="J41" i="39"/>
  <c r="F111" i="10"/>
  <c r="Q44" i="39"/>
  <c r="B111" i="2"/>
  <c r="Q111" i="3"/>
  <c r="P111" i="8"/>
  <c r="O111" i="9"/>
  <c r="N111" i="10"/>
  <c r="M111" i="11"/>
  <c r="L111" i="12"/>
  <c r="K111" i="13"/>
  <c r="J111" i="14"/>
  <c r="H111" i="29"/>
  <c r="N43" i="39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K111" i="29"/>
  <c r="Q43" i="39"/>
  <c r="D112" i="10"/>
  <c r="F112" i="44"/>
  <c r="D45" i="39"/>
  <c r="D44" i="39"/>
  <c r="D111" i="2"/>
  <c r="C111" i="3"/>
  <c r="B111" i="8"/>
  <c r="Q111" i="9"/>
  <c r="P111" i="10"/>
  <c r="O111" i="11"/>
  <c r="N111" i="12"/>
  <c r="M111" i="13"/>
  <c r="L111" i="14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M111" i="14"/>
  <c r="L112" i="15"/>
  <c r="L111" i="15"/>
  <c r="F45" i="39"/>
  <c r="F44" i="39"/>
  <c r="F43" i="39"/>
  <c r="F42" i="39"/>
  <c r="F41" i="39"/>
  <c r="F111" i="2"/>
  <c r="E111" i="3"/>
  <c r="D111" i="8"/>
  <c r="C111" i="9"/>
  <c r="B111" i="10"/>
  <c r="Q111" i="11"/>
  <c r="P111" i="12"/>
  <c r="O111" i="13"/>
  <c r="N111" i="14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O111" i="15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P111" i="15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M111" i="28"/>
  <c r="L111" i="29"/>
  <c r="K111" i="30"/>
  <c r="J111" i="31"/>
  <c r="I111" i="32"/>
  <c r="H111" i="33"/>
  <c r="G111" i="44"/>
  <c r="F111" i="40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P47" i="39" l="1"/>
  <c r="P46" i="39"/>
  <c r="K47" i="39"/>
  <c r="K46" i="39"/>
  <c r="N47" i="39"/>
  <c r="N46" i="39"/>
  <c r="H47" i="39"/>
  <c r="H46" i="39"/>
  <c r="D47" i="39"/>
  <c r="D46" i="39"/>
  <c r="G47" i="39"/>
  <c r="G46" i="39"/>
  <c r="B47" i="39"/>
  <c r="B46" i="39"/>
  <c r="Q47" i="39"/>
  <c r="Q46" i="39"/>
  <c r="M47" i="39"/>
  <c r="M46" i="39"/>
  <c r="L47" i="39"/>
  <c r="L46" i="39"/>
  <c r="C47" i="39"/>
  <c r="C46" i="39"/>
  <c r="F47" i="39"/>
  <c r="F46" i="39"/>
  <c r="E47" i="39"/>
  <c r="E46" i="39"/>
  <c r="J47" i="39"/>
  <c r="J46" i="39"/>
  <c r="I47" i="39"/>
  <c r="I46" i="39"/>
  <c r="O47" i="39"/>
  <c r="O46" i="39"/>
</calcChain>
</file>

<file path=xl/sharedStrings.xml><?xml version="1.0" encoding="utf-8"?>
<sst xmlns="http://schemas.openxmlformats.org/spreadsheetml/2006/main" count="6211" uniqueCount="3120">
  <si>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</si>
  <si>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</si>
  <si>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</si>
  <si>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</si>
  <si>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</si>
  <si>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</si>
  <si>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</si>
  <si>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</si>
  <si>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</si>
  <si>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</si>
  <si>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</si>
  <si>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</si>
  <si>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</si>
  <si>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</si>
  <si>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</si>
  <si>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</si>
  <si>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</si>
  <si>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</si>
  <si>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</si>
  <si>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</si>
  <si>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</si>
  <si>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</si>
  <si>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</si>
  <si>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</si>
  <si>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</si>
  <si>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</si>
  <si>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</si>
  <si>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</si>
  <si>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</si>
  <si>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</si>
  <si>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</si>
  <si>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</si>
  <si>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</si>
  <si>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</si>
  <si>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</si>
  <si>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</si>
  <si>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</si>
  <si>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</si>
  <si>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</si>
  <si>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</si>
  <si>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</si>
  <si>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</si>
  <si>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</si>
  <si>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</si>
  <si>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</si>
  <si>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</si>
  <si>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</si>
  <si>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</si>
  <si>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</si>
  <si>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</si>
  <si>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</si>
  <si>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</si>
  <si>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</si>
  <si>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</si>
  <si>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</si>
  <si>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</si>
  <si>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</si>
  <si>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</si>
  <si>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</si>
  <si>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</si>
  <si>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</si>
  <si>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</si>
  <si>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</si>
  <si>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</si>
  <si>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</si>
  <si>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</si>
  <si>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</si>
  <si>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</si>
  <si>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</si>
  <si>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</si>
  <si>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</si>
  <si>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</si>
  <si>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</si>
  <si>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</si>
  <si>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</si>
  <si>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</si>
  <si>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</si>
  <si>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</si>
  <si>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</si>
  <si>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</si>
  <si>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</si>
  <si>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</si>
  <si>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</si>
  <si>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</si>
  <si>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</si>
  <si>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</si>
  <si>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</si>
  <si>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</si>
  <si>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</si>
  <si>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</si>
  <si>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</si>
  <si>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</si>
  <si>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</si>
  <si>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</si>
  <si>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</si>
  <si>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</si>
  <si>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</si>
  <si>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</si>
  <si>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</si>
  <si>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</si>
  <si>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</si>
  <si>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</si>
  <si>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</si>
  <si>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</si>
  <si>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</si>
  <si>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</si>
  <si>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</si>
  <si>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</si>
  <si>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</si>
  <si>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</si>
  <si>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</si>
  <si>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</si>
  <si>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</si>
  <si>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</si>
  <si>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</si>
  <si>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</si>
  <si>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</si>
  <si>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</si>
  <si>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</si>
  <si>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</si>
  <si>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</si>
  <si>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</si>
  <si>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</si>
  <si>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</si>
  <si>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</si>
  <si>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</si>
  <si>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</si>
  <si>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</si>
  <si>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</si>
  <si>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</si>
  <si>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</si>
  <si>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</si>
  <si>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</si>
  <si>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</si>
  <si>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</si>
  <si>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</si>
  <si>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</si>
  <si>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</si>
  <si>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</si>
  <si>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</si>
  <si>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</si>
  <si>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</si>
  <si>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</si>
  <si>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</si>
  <si>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</si>
  <si>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</si>
  <si>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</si>
  <si>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</si>
  <si>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</si>
  <si>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</si>
  <si>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</si>
  <si>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</si>
  <si>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</si>
  <si>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</si>
  <si>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</si>
  <si>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</si>
  <si>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</si>
  <si>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</si>
  <si>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</si>
  <si>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</si>
  <si>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</si>
  <si>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</si>
  <si>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</si>
  <si>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</si>
  <si>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</si>
  <si>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</si>
  <si>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</si>
  <si>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</si>
  <si>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</si>
  <si>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</si>
  <si>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</si>
  <si>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</si>
  <si>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</si>
  <si>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</si>
  <si>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</si>
  <si>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</si>
  <si>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</si>
  <si>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</si>
  <si>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</si>
  <si>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</si>
  <si>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</si>
  <si>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</si>
  <si>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</si>
  <si>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</si>
  <si>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</si>
  <si>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</si>
  <si>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</si>
  <si>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</si>
  <si>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</si>
  <si>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</si>
  <si>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</si>
  <si>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</si>
  <si>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</si>
  <si>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</si>
  <si>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</si>
  <si>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</si>
  <si>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</si>
  <si>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</si>
  <si>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</si>
  <si>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</si>
  <si>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</si>
  <si>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</si>
  <si>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</si>
  <si>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</si>
  <si>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</si>
  <si>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</si>
  <si>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</si>
  <si>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</si>
  <si>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</si>
  <si>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</si>
  <si>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</si>
  <si>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</si>
  <si>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</si>
  <si>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</si>
  <si>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</si>
  <si>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</si>
  <si>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</si>
  <si>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</si>
  <si>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</si>
  <si>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</si>
  <si>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</si>
  <si>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</si>
  <si>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</si>
  <si>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</si>
  <si>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</si>
  <si>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</si>
  <si>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</si>
  <si>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</si>
  <si>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</si>
  <si>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</si>
  <si>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</si>
  <si>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</si>
  <si>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</si>
  <si>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</si>
  <si>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</si>
  <si>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</si>
  <si>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</si>
  <si>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</si>
  <si>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</si>
  <si>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ANIMESH</t>
  </si>
  <si>
    <t>01/06/2025 00:15</t>
  </si>
  <si>
    <t>01/06/2025 00:30</t>
  </si>
  <si>
    <t>01/06/2025 00:45</t>
  </si>
  <si>
    <t>01/06/2025 01:00</t>
  </si>
  <si>
    <t>01/06/2025 01:15</t>
  </si>
  <si>
    <t>01/06/2025 01:30</t>
  </si>
  <si>
    <t>01/06/2025 01:45</t>
  </si>
  <si>
    <t>01/06/2025 02:00</t>
  </si>
  <si>
    <t>01/06/2025 02:15</t>
  </si>
  <si>
    <t>01/06/2025 02:30</t>
  </si>
  <si>
    <t>01/06/2025 02:45</t>
  </si>
  <si>
    <t>01/06/2025 03:00</t>
  </si>
  <si>
    <t>01/06/2025 03:15</t>
  </si>
  <si>
    <t>01/06/2025 03:30</t>
  </si>
  <si>
    <t>01/06/2025 03:45</t>
  </si>
  <si>
    <t>01/06/2025 04:00</t>
  </si>
  <si>
    <t>01/06/2025 04:15</t>
  </si>
  <si>
    <t>01/06/2025 04:30</t>
  </si>
  <si>
    <t>01/06/2025 04:45</t>
  </si>
  <si>
    <t>01/06/2025 05:00</t>
  </si>
  <si>
    <t>01/06/2025 05:15</t>
  </si>
  <si>
    <t>01/06/2025 05:30</t>
  </si>
  <si>
    <t>01/06/2025 05:45</t>
  </si>
  <si>
    <t>01/06/2025 06:00</t>
  </si>
  <si>
    <t>01/06/2025 06:15</t>
  </si>
  <si>
    <t>01/06/2025 06:30</t>
  </si>
  <si>
    <t>01/06/2025 06:45</t>
  </si>
  <si>
    <t>01/06/2025 07:00</t>
  </si>
  <si>
    <t>01/06/2025 07:15</t>
  </si>
  <si>
    <t>01/06/2025 07:30</t>
  </si>
  <si>
    <t>01/06/2025 07:45</t>
  </si>
  <si>
    <t>01/06/2025 08:00</t>
  </si>
  <si>
    <t>01/06/2025 08:15</t>
  </si>
  <si>
    <t>01/06/2025 08:30</t>
  </si>
  <si>
    <t>01/06/2025 08:45</t>
  </si>
  <si>
    <t>01/06/2025 09:00</t>
  </si>
  <si>
    <t>01/06/2025 09:15</t>
  </si>
  <si>
    <t>01/06/2025 09:30</t>
  </si>
  <si>
    <t>01/06/2025 09:45</t>
  </si>
  <si>
    <t>01/06/2025 10:00</t>
  </si>
  <si>
    <t>01/06/2025 10:15</t>
  </si>
  <si>
    <t>01/06/2025 10:30</t>
  </si>
  <si>
    <t>01/06/2025 10:45</t>
  </si>
  <si>
    <t>01/06/2025 11:00</t>
  </si>
  <si>
    <t>01/06/2025 11:15</t>
  </si>
  <si>
    <t>01/06/2025 11:30</t>
  </si>
  <si>
    <t>01/06/2025 11:45</t>
  </si>
  <si>
    <t>01/06/2025 12:00</t>
  </si>
  <si>
    <t>01/06/2025 12:15</t>
  </si>
  <si>
    <t>01/06/2025 12:30</t>
  </si>
  <si>
    <t>01/06/2025 12:45</t>
  </si>
  <si>
    <t>01/06/2025 13:00</t>
  </si>
  <si>
    <t>01/06/2025 13:15</t>
  </si>
  <si>
    <t>01/06/2025 13:30</t>
  </si>
  <si>
    <t>01/06/2025 13:45</t>
  </si>
  <si>
    <t>01/06/2025 14:00</t>
  </si>
  <si>
    <t>01/06/2025 14:15</t>
  </si>
  <si>
    <t>01/06/2025 14:30</t>
  </si>
  <si>
    <t>01/06/2025 14:45</t>
  </si>
  <si>
    <t>01/06/2025 15:00</t>
  </si>
  <si>
    <t>01/06/2025 15:15</t>
  </si>
  <si>
    <t>01/06/2025 15:30</t>
  </si>
  <si>
    <t>01/06/2025 15:45</t>
  </si>
  <si>
    <t>01/06/2025 16:00</t>
  </si>
  <si>
    <t>01/06/2025 16:15</t>
  </si>
  <si>
    <t>01/06/2025 16:30</t>
  </si>
  <si>
    <t>01/06/2025 16:45</t>
  </si>
  <si>
    <t>01/06/2025 17:00</t>
  </si>
  <si>
    <t>01/06/2025 17:15</t>
  </si>
  <si>
    <t>01/06/2025 17:30</t>
  </si>
  <si>
    <t>01/06/2025 17:45</t>
  </si>
  <si>
    <t>01/06/2025 18:00</t>
  </si>
  <si>
    <t>01/06/2025 18:15</t>
  </si>
  <si>
    <t>01/06/2025 18:30</t>
  </si>
  <si>
    <t>01/06/2025 18:45</t>
  </si>
  <si>
    <t>01/06/2025 19:00</t>
  </si>
  <si>
    <t>01/06/2025 19:15</t>
  </si>
  <si>
    <t>01/06/2025 19:30</t>
  </si>
  <si>
    <t>01/06/2025 19:45</t>
  </si>
  <si>
    <t>01/06/2025 20:00</t>
  </si>
  <si>
    <t>01/06/2025 20:15</t>
  </si>
  <si>
    <t>01/06/2025 20:30</t>
  </si>
  <si>
    <t>01/06/2025 20:45</t>
  </si>
  <si>
    <t>01/06/2025 21:00</t>
  </si>
  <si>
    <t>01/06/2025 21:15</t>
  </si>
  <si>
    <t>01/06/2025 21:30</t>
  </si>
  <si>
    <t>01/06/2025 21:45</t>
  </si>
  <si>
    <t>01/06/2025 22:00</t>
  </si>
  <si>
    <t>01/06/2025 22:15</t>
  </si>
  <si>
    <t>01/06/2025 22:30</t>
  </si>
  <si>
    <t>01/06/2025 22:45</t>
  </si>
  <si>
    <t>01/06/2025 23:00</t>
  </si>
  <si>
    <t>01/06/2025 23:15</t>
  </si>
  <si>
    <t>01/06/2025 23:30</t>
  </si>
  <si>
    <t>01/06/2025 23:45</t>
  </si>
  <si>
    <t>01/06/2025 24:00</t>
  </si>
  <si>
    <t>02/06/2025 00:15</t>
  </si>
  <si>
    <t>02/06/2025 00:30</t>
  </si>
  <si>
    <t>02/06/2025 00:45</t>
  </si>
  <si>
    <t>02/06/2025 01:00</t>
  </si>
  <si>
    <t>02/06/2025 01:15</t>
  </si>
  <si>
    <t>02/06/2025 01:30</t>
  </si>
  <si>
    <t>02/06/2025 01:45</t>
  </si>
  <si>
    <t>02/06/2025 02:00</t>
  </si>
  <si>
    <t>02/06/2025 02:15</t>
  </si>
  <si>
    <t>02/06/2025 02:30</t>
  </si>
  <si>
    <t>02/06/2025 02:45</t>
  </si>
  <si>
    <t>02/06/2025 03:00</t>
  </si>
  <si>
    <t>02/06/2025 03:15</t>
  </si>
  <si>
    <t>02/06/2025 03:30</t>
  </si>
  <si>
    <t>02/06/2025 03:45</t>
  </si>
  <si>
    <t>02/06/2025 04:00</t>
  </si>
  <si>
    <t>02/06/2025 04:15</t>
  </si>
  <si>
    <t>02/06/2025 04:30</t>
  </si>
  <si>
    <t>02/06/2025 04:45</t>
  </si>
  <si>
    <t>02/06/2025 05:00</t>
  </si>
  <si>
    <t>02/06/2025 05:15</t>
  </si>
  <si>
    <t>02/06/2025 05:30</t>
  </si>
  <si>
    <t>02/06/2025 05:45</t>
  </si>
  <si>
    <t>02/06/2025 06:00</t>
  </si>
  <si>
    <t>02/06/2025 06:15</t>
  </si>
  <si>
    <t>02/06/2025 06:30</t>
  </si>
  <si>
    <t>02/06/2025 06:45</t>
  </si>
  <si>
    <t>02/06/2025 07:00</t>
  </si>
  <si>
    <t>02/06/2025 07:15</t>
  </si>
  <si>
    <t>02/06/2025 07:30</t>
  </si>
  <si>
    <t>02/06/2025 07:45</t>
  </si>
  <si>
    <t>02/06/2025 08:00</t>
  </si>
  <si>
    <t>02/06/2025 08:15</t>
  </si>
  <si>
    <t>02/06/2025 08:30</t>
  </si>
  <si>
    <t>02/06/2025 08:45</t>
  </si>
  <si>
    <t>02/06/2025 09:00</t>
  </si>
  <si>
    <t>02/06/2025 09:15</t>
  </si>
  <si>
    <t>02/06/2025 09:30</t>
  </si>
  <si>
    <t>02/06/2025 09:45</t>
  </si>
  <si>
    <t>02/06/2025 10:00</t>
  </si>
  <si>
    <t>02/06/2025 10:15</t>
  </si>
  <si>
    <t>02/06/2025 10:30</t>
  </si>
  <si>
    <t>02/06/2025 10:45</t>
  </si>
  <si>
    <t>02/06/2025 11:00</t>
  </si>
  <si>
    <t>02/06/2025 11:15</t>
  </si>
  <si>
    <t>02/06/2025 11:30</t>
  </si>
  <si>
    <t>02/06/2025 11:45</t>
  </si>
  <si>
    <t>02/06/2025 12:00</t>
  </si>
  <si>
    <t>02/06/2025 12:15</t>
  </si>
  <si>
    <t>02/06/2025 12:30</t>
  </si>
  <si>
    <t>02/06/2025 12:45</t>
  </si>
  <si>
    <t>02/06/2025 13:00</t>
  </si>
  <si>
    <t>02/06/2025 13:15</t>
  </si>
  <si>
    <t>02/06/2025 13:30</t>
  </si>
  <si>
    <t>02/06/2025 13:45</t>
  </si>
  <si>
    <t>02/06/2025 14:00</t>
  </si>
  <si>
    <t>02/06/2025 14:15</t>
  </si>
  <si>
    <t>02/06/2025 14:30</t>
  </si>
  <si>
    <t>02/06/2025 14:45</t>
  </si>
  <si>
    <t>02/06/2025 15:00</t>
  </si>
  <si>
    <t>02/06/2025 15:15</t>
  </si>
  <si>
    <t>02/06/2025 15:30</t>
  </si>
  <si>
    <t>02/06/2025 15:45</t>
  </si>
  <si>
    <t>02/06/2025 16:00</t>
  </si>
  <si>
    <t>02/06/2025 16:15</t>
  </si>
  <si>
    <t>02/06/2025 16:30</t>
  </si>
  <si>
    <t>02/06/2025 16:45</t>
  </si>
  <si>
    <t>02/06/2025 17:00</t>
  </si>
  <si>
    <t>02/06/2025 17:15</t>
  </si>
  <si>
    <t>02/06/2025 17:30</t>
  </si>
  <si>
    <t>02/06/2025 17:45</t>
  </si>
  <si>
    <t>02/06/2025 18:00</t>
  </si>
  <si>
    <t>02/06/2025 18:15</t>
  </si>
  <si>
    <t>02/06/2025 18:30</t>
  </si>
  <si>
    <t>02/06/2025 18:45</t>
  </si>
  <si>
    <t>02/06/2025 19:00</t>
  </si>
  <si>
    <t>02/06/2025 19:15</t>
  </si>
  <si>
    <t>02/06/2025 19:30</t>
  </si>
  <si>
    <t>02/06/2025 19:45</t>
  </si>
  <si>
    <t>02/06/2025 20:00</t>
  </si>
  <si>
    <t>02/06/2025 20:15</t>
  </si>
  <si>
    <t>02/06/2025 20:30</t>
  </si>
  <si>
    <t>02/06/2025 20:45</t>
  </si>
  <si>
    <t>02/06/2025 21:00</t>
  </si>
  <si>
    <t>02/06/2025 21:15</t>
  </si>
  <si>
    <t>02/06/2025 21:30</t>
  </si>
  <si>
    <t>02/06/2025 21:45</t>
  </si>
  <si>
    <t>02/06/2025 22:00</t>
  </si>
  <si>
    <t>02/06/2025 22:15</t>
  </si>
  <si>
    <t>02/06/2025 22:30</t>
  </si>
  <si>
    <t>02/06/2025 22:45</t>
  </si>
  <si>
    <t>02/06/2025 23:00</t>
  </si>
  <si>
    <t>02/06/2025 23:15</t>
  </si>
  <si>
    <t>02/06/2025 23:30</t>
  </si>
  <si>
    <t>02/06/2025 23:45</t>
  </si>
  <si>
    <t>02/06/2025 24:00</t>
  </si>
  <si>
    <t>03/06/2025 00:15</t>
  </si>
  <si>
    <t>03/06/2025 00:30</t>
  </si>
  <si>
    <t>03/06/2025 00:45</t>
  </si>
  <si>
    <t>03/06/2025 01:00</t>
  </si>
  <si>
    <t>03/06/2025 01:15</t>
  </si>
  <si>
    <t>03/06/2025 01:30</t>
  </si>
  <si>
    <t>03/06/2025 01:45</t>
  </si>
  <si>
    <t>03/06/2025 02:00</t>
  </si>
  <si>
    <t>03/06/2025 02:15</t>
  </si>
  <si>
    <t>03/06/2025 02:30</t>
  </si>
  <si>
    <t>03/06/2025 02:45</t>
  </si>
  <si>
    <t>03/06/2025 03:00</t>
  </si>
  <si>
    <t>03/06/2025 03:15</t>
  </si>
  <si>
    <t>03/06/2025 03:30</t>
  </si>
  <si>
    <t>03/06/2025 03:45</t>
  </si>
  <si>
    <t>03/06/2025 04:00</t>
  </si>
  <si>
    <t>03/06/2025 04:15</t>
  </si>
  <si>
    <t>03/06/2025 04:30</t>
  </si>
  <si>
    <t>03/06/2025 04:45</t>
  </si>
  <si>
    <t>03/06/2025 05:00</t>
  </si>
  <si>
    <t>03/06/2025 05:15</t>
  </si>
  <si>
    <t>03/06/2025 05:30</t>
  </si>
  <si>
    <t>03/06/2025 05:45</t>
  </si>
  <si>
    <t>03/06/2025 06:00</t>
  </si>
  <si>
    <t>03/06/2025 06:15</t>
  </si>
  <si>
    <t>03/06/2025 06:30</t>
  </si>
  <si>
    <t>03/06/2025 06:45</t>
  </si>
  <si>
    <t>03/06/2025 07:00</t>
  </si>
  <si>
    <t>03/06/2025 07:15</t>
  </si>
  <si>
    <t>03/06/2025 07:30</t>
  </si>
  <si>
    <t>03/06/2025 07:45</t>
  </si>
  <si>
    <t>03/06/2025 08:00</t>
  </si>
  <si>
    <t>03/06/2025 08:15</t>
  </si>
  <si>
    <t>03/06/2025 08:30</t>
  </si>
  <si>
    <t>03/06/2025 08:45</t>
  </si>
  <si>
    <t>03/06/2025 09:00</t>
  </si>
  <si>
    <t>03/06/2025 09:15</t>
  </si>
  <si>
    <t>03/06/2025 09:30</t>
  </si>
  <si>
    <t>03/06/2025 09:45</t>
  </si>
  <si>
    <t>03/06/2025 10:00</t>
  </si>
  <si>
    <t>03/06/2025 10:15</t>
  </si>
  <si>
    <t>03/06/2025 10:30</t>
  </si>
  <si>
    <t>03/06/2025 10:45</t>
  </si>
  <si>
    <t>03/06/2025 11:00</t>
  </si>
  <si>
    <t>03/06/2025 11:15</t>
  </si>
  <si>
    <t>03/06/2025 11:30</t>
  </si>
  <si>
    <t>03/06/2025 11:45</t>
  </si>
  <si>
    <t>03/06/2025 12:00</t>
  </si>
  <si>
    <t>03/06/2025 12:15</t>
  </si>
  <si>
    <t>03/06/2025 12:30</t>
  </si>
  <si>
    <t>03/06/2025 12:45</t>
  </si>
  <si>
    <t>03/06/2025 13:00</t>
  </si>
  <si>
    <t>03/06/2025 13:15</t>
  </si>
  <si>
    <t>03/06/2025 13:30</t>
  </si>
  <si>
    <t>03/06/2025 13:45</t>
  </si>
  <si>
    <t>03/06/2025 14:00</t>
  </si>
  <si>
    <t>03/06/2025 14:15</t>
  </si>
  <si>
    <t>03/06/2025 14:30</t>
  </si>
  <si>
    <t>03/06/2025 14:45</t>
  </si>
  <si>
    <t>03/06/2025 15:00</t>
  </si>
  <si>
    <t>03/06/2025 15:15</t>
  </si>
  <si>
    <t>03/06/2025 15:30</t>
  </si>
  <si>
    <t>03/06/2025 15:45</t>
  </si>
  <si>
    <t>03/06/2025 16:00</t>
  </si>
  <si>
    <t>03/06/2025 16:15</t>
  </si>
  <si>
    <t>03/06/2025 16:30</t>
  </si>
  <si>
    <t>03/06/2025 16:45</t>
  </si>
  <si>
    <t>03/06/2025 17:00</t>
  </si>
  <si>
    <t>03/06/2025 17:15</t>
  </si>
  <si>
    <t>03/06/2025 17:30</t>
  </si>
  <si>
    <t>03/06/2025 17:45</t>
  </si>
  <si>
    <t>03/06/2025 18:00</t>
  </si>
  <si>
    <t>03/06/2025 18:15</t>
  </si>
  <si>
    <t>03/06/2025 18:30</t>
  </si>
  <si>
    <t>03/06/2025 18:45</t>
  </si>
  <si>
    <t>03/06/2025 19:00</t>
  </si>
  <si>
    <t>03/06/2025 19:15</t>
  </si>
  <si>
    <t>03/06/2025 19:30</t>
  </si>
  <si>
    <t>03/06/2025 19:45</t>
  </si>
  <si>
    <t>03/06/2025 20:00</t>
  </si>
  <si>
    <t>03/06/2025 20:15</t>
  </si>
  <si>
    <t>03/06/2025 20:30</t>
  </si>
  <si>
    <t>03/06/2025 20:45</t>
  </si>
  <si>
    <t>03/06/2025 21:00</t>
  </si>
  <si>
    <t>03/06/2025 21:15</t>
  </si>
  <si>
    <t>03/06/2025 21:30</t>
  </si>
  <si>
    <t>03/06/2025 21:45</t>
  </si>
  <si>
    <t>03/06/2025 22:00</t>
  </si>
  <si>
    <t>03/06/2025 22:15</t>
  </si>
  <si>
    <t>03/06/2025 22:30</t>
  </si>
  <si>
    <t>03/06/2025 22:45</t>
  </si>
  <si>
    <t>03/06/2025 23:00</t>
  </si>
  <si>
    <t>03/06/2025 23:15</t>
  </si>
  <si>
    <t>03/06/2025 23:30</t>
  </si>
  <si>
    <t>03/06/2025 23:45</t>
  </si>
  <si>
    <t>03/06/2025 24:00</t>
  </si>
  <si>
    <t>04/06/2025 00:15</t>
  </si>
  <si>
    <t>04/06/2025 00:30</t>
  </si>
  <si>
    <t>04/06/2025 00:45</t>
  </si>
  <si>
    <t>04/06/2025 01:00</t>
  </si>
  <si>
    <t>04/06/2025 01:15</t>
  </si>
  <si>
    <t>04/06/2025 01:30</t>
  </si>
  <si>
    <t>04/06/2025 01:45</t>
  </si>
  <si>
    <t>04/06/2025 02:00</t>
  </si>
  <si>
    <t>04/06/2025 02:15</t>
  </si>
  <si>
    <t>04/06/2025 02:30</t>
  </si>
  <si>
    <t>04/06/2025 02:45</t>
  </si>
  <si>
    <t>04/06/2025 03:00</t>
  </si>
  <si>
    <t>04/06/2025 03:15</t>
  </si>
  <si>
    <t>04/06/2025 03:30</t>
  </si>
  <si>
    <t>04/06/2025 03:45</t>
  </si>
  <si>
    <t>04/06/2025 04:00</t>
  </si>
  <si>
    <t>04/06/2025 04:15</t>
  </si>
  <si>
    <t>04/06/2025 04:30</t>
  </si>
  <si>
    <t>04/06/2025 04:45</t>
  </si>
  <si>
    <t>04/06/2025 05:00</t>
  </si>
  <si>
    <t>04/06/2025 05:15</t>
  </si>
  <si>
    <t>04/06/2025 05:30</t>
  </si>
  <si>
    <t>04/06/2025 05:45</t>
  </si>
  <si>
    <t>04/06/2025 06:00</t>
  </si>
  <si>
    <t>04/06/2025 06:15</t>
  </si>
  <si>
    <t>04/06/2025 06:30</t>
  </si>
  <si>
    <t>04/06/2025 06:45</t>
  </si>
  <si>
    <t>04/06/2025 07:00</t>
  </si>
  <si>
    <t>04/06/2025 07:15</t>
  </si>
  <si>
    <t>04/06/2025 07:30</t>
  </si>
  <si>
    <t>04/06/2025 07:45</t>
  </si>
  <si>
    <t>04/06/2025 08:00</t>
  </si>
  <si>
    <t>04/06/2025 08:15</t>
  </si>
  <si>
    <t>04/06/2025 08:30</t>
  </si>
  <si>
    <t>04/06/2025 08:45</t>
  </si>
  <si>
    <t>04/06/2025 09:00</t>
  </si>
  <si>
    <t>04/06/2025 09:15</t>
  </si>
  <si>
    <t>04/06/2025 09:30</t>
  </si>
  <si>
    <t>04/06/2025 09:45</t>
  </si>
  <si>
    <t>04/06/2025 10:00</t>
  </si>
  <si>
    <t>04/06/2025 10:15</t>
  </si>
  <si>
    <t>04/06/2025 10:30</t>
  </si>
  <si>
    <t>04/06/2025 10:45</t>
  </si>
  <si>
    <t>04/06/2025 11:00</t>
  </si>
  <si>
    <t>04/06/2025 11:15</t>
  </si>
  <si>
    <t>04/06/2025 11:30</t>
  </si>
  <si>
    <t>04/06/2025 11:45</t>
  </si>
  <si>
    <t>04/06/2025 12:00</t>
  </si>
  <si>
    <t>04/06/2025 12:15</t>
  </si>
  <si>
    <t>04/06/2025 12:30</t>
  </si>
  <si>
    <t>04/06/2025 12:45</t>
  </si>
  <si>
    <t>04/06/2025 13:00</t>
  </si>
  <si>
    <t>04/06/2025 13:15</t>
  </si>
  <si>
    <t>04/06/2025 13:30</t>
  </si>
  <si>
    <t>04/06/2025 13:45</t>
  </si>
  <si>
    <t>04/06/2025 14:00</t>
  </si>
  <si>
    <t>04/06/2025 14:15</t>
  </si>
  <si>
    <t>04/06/2025 14:30</t>
  </si>
  <si>
    <t>04/06/2025 14:45</t>
  </si>
  <si>
    <t>04/06/2025 15:00</t>
  </si>
  <si>
    <t>04/06/2025 15:15</t>
  </si>
  <si>
    <t>04/06/2025 15:30</t>
  </si>
  <si>
    <t>04/06/2025 15:45</t>
  </si>
  <si>
    <t>04/06/2025 16:00</t>
  </si>
  <si>
    <t>04/06/2025 16:15</t>
  </si>
  <si>
    <t>04/06/2025 16:30</t>
  </si>
  <si>
    <t>04/06/2025 16:45</t>
  </si>
  <si>
    <t>04/06/2025 17:00</t>
  </si>
  <si>
    <t>04/06/2025 17:15</t>
  </si>
  <si>
    <t>04/06/2025 17:30</t>
  </si>
  <si>
    <t>04/06/2025 17:45</t>
  </si>
  <si>
    <t>04/06/2025 18:00</t>
  </si>
  <si>
    <t>04/06/2025 18:15</t>
  </si>
  <si>
    <t>04/06/2025 18:30</t>
  </si>
  <si>
    <t>04/06/2025 18:45</t>
  </si>
  <si>
    <t>04/06/2025 19:00</t>
  </si>
  <si>
    <t>04/06/2025 19:15</t>
  </si>
  <si>
    <t>04/06/2025 19:30</t>
  </si>
  <si>
    <t>04/06/2025 19:45</t>
  </si>
  <si>
    <t>04/06/2025 20:00</t>
  </si>
  <si>
    <t>04/06/2025 20:15</t>
  </si>
  <si>
    <t>04/06/2025 20:30</t>
  </si>
  <si>
    <t>04/06/2025 20:45</t>
  </si>
  <si>
    <t>04/06/2025 21:00</t>
  </si>
  <si>
    <t>04/06/2025 21:15</t>
  </si>
  <si>
    <t>04/06/2025 21:30</t>
  </si>
  <si>
    <t>04/06/2025 21:45</t>
  </si>
  <si>
    <t>04/06/2025 22:00</t>
  </si>
  <si>
    <t>04/06/2025 22:15</t>
  </si>
  <si>
    <t>04/06/2025 22:30</t>
  </si>
  <si>
    <t>04/06/2025 22:45</t>
  </si>
  <si>
    <t>04/06/2025 23:00</t>
  </si>
  <si>
    <t>04/06/2025 23:15</t>
  </si>
  <si>
    <t>04/06/2025 23:30</t>
  </si>
  <si>
    <t>04/06/2025 23:45</t>
  </si>
  <si>
    <t>04/06/2025 24:00</t>
  </si>
  <si>
    <t>05/06/2025 00:15</t>
  </si>
  <si>
    <t>05/06/2025 00:30</t>
  </si>
  <si>
    <t>05/06/2025 00:45</t>
  </si>
  <si>
    <t>05/06/2025 01:00</t>
  </si>
  <si>
    <t>05/06/2025 01:15</t>
  </si>
  <si>
    <t>05/06/2025 01:30</t>
  </si>
  <si>
    <t>05/06/2025 01:45</t>
  </si>
  <si>
    <t>05/06/2025 02:00</t>
  </si>
  <si>
    <t>05/06/2025 02:15</t>
  </si>
  <si>
    <t>05/06/2025 02:30</t>
  </si>
  <si>
    <t>05/06/2025 02:45</t>
  </si>
  <si>
    <t>05/06/2025 03:00</t>
  </si>
  <si>
    <t>05/06/2025 03:15</t>
  </si>
  <si>
    <t>05/06/2025 03:30</t>
  </si>
  <si>
    <t>05/06/2025 03:45</t>
  </si>
  <si>
    <t>05/06/2025 04:00</t>
  </si>
  <si>
    <t>05/06/2025 04:15</t>
  </si>
  <si>
    <t>05/06/2025 04:30</t>
  </si>
  <si>
    <t>05/06/2025 04:45</t>
  </si>
  <si>
    <t>05/06/2025 05:00</t>
  </si>
  <si>
    <t>05/06/2025 05:15</t>
  </si>
  <si>
    <t>05/06/2025 05:30</t>
  </si>
  <si>
    <t>05/06/2025 05:45</t>
  </si>
  <si>
    <t>05/06/2025 06:00</t>
  </si>
  <si>
    <t>05/06/2025 06:15</t>
  </si>
  <si>
    <t>05/06/2025 06:30</t>
  </si>
  <si>
    <t>05/06/2025 06:45</t>
  </si>
  <si>
    <t>05/06/2025 07:00</t>
  </si>
  <si>
    <t>05/06/2025 07:15</t>
  </si>
  <si>
    <t>05/06/2025 07:30</t>
  </si>
  <si>
    <t>05/06/2025 07:45</t>
  </si>
  <si>
    <t>05/06/2025 08:00</t>
  </si>
  <si>
    <t>05/06/2025 08:15</t>
  </si>
  <si>
    <t>05/06/2025 08:30</t>
  </si>
  <si>
    <t>05/06/2025 08:45</t>
  </si>
  <si>
    <t>05/06/2025 09:00</t>
  </si>
  <si>
    <t>05/06/2025 09:15</t>
  </si>
  <si>
    <t>05/06/2025 09:30</t>
  </si>
  <si>
    <t>05/06/2025 09:45</t>
  </si>
  <si>
    <t>05/06/2025 10:00</t>
  </si>
  <si>
    <t>05/06/2025 10:15</t>
  </si>
  <si>
    <t>05/06/2025 10:30</t>
  </si>
  <si>
    <t>05/06/2025 10:45</t>
  </si>
  <si>
    <t>05/06/2025 11:00</t>
  </si>
  <si>
    <t>05/06/2025 11:15</t>
  </si>
  <si>
    <t>05/06/2025 11:30</t>
  </si>
  <si>
    <t>05/06/2025 11:45</t>
  </si>
  <si>
    <t>05/06/2025 12:00</t>
  </si>
  <si>
    <t>05/06/2025 12:15</t>
  </si>
  <si>
    <t>05/06/2025 12:30</t>
  </si>
  <si>
    <t>05/06/2025 12:45</t>
  </si>
  <si>
    <t>05/06/2025 13:00</t>
  </si>
  <si>
    <t>05/06/2025 13:15</t>
  </si>
  <si>
    <t>05/06/2025 13:30</t>
  </si>
  <si>
    <t>05/06/2025 13:45</t>
  </si>
  <si>
    <t>05/06/2025 14:00</t>
  </si>
  <si>
    <t>05/06/2025 14:15</t>
  </si>
  <si>
    <t>05/06/2025 14:30</t>
  </si>
  <si>
    <t>05/06/2025 14:45</t>
  </si>
  <si>
    <t>05/06/2025 15:00</t>
  </si>
  <si>
    <t>05/06/2025 15:15</t>
  </si>
  <si>
    <t>05/06/2025 15:30</t>
  </si>
  <si>
    <t>05/06/2025 15:45</t>
  </si>
  <si>
    <t>05/06/2025 16:00</t>
  </si>
  <si>
    <t>05/06/2025 16:15</t>
  </si>
  <si>
    <t>05/06/2025 16:30</t>
  </si>
  <si>
    <t>05/06/2025 16:45</t>
  </si>
  <si>
    <t>05/06/2025 17:00</t>
  </si>
  <si>
    <t>05/06/2025 17:15</t>
  </si>
  <si>
    <t>05/06/2025 17:30</t>
  </si>
  <si>
    <t>05/06/2025 17:45</t>
  </si>
  <si>
    <t>05/06/2025 18:00</t>
  </si>
  <si>
    <t>05/06/2025 18:15</t>
  </si>
  <si>
    <t>05/06/2025 18:30</t>
  </si>
  <si>
    <t>05/06/2025 18:45</t>
  </si>
  <si>
    <t>05/06/2025 19:00</t>
  </si>
  <si>
    <t>05/06/2025 19:15</t>
  </si>
  <si>
    <t>05/06/2025 19:30</t>
  </si>
  <si>
    <t>05/06/2025 19:45</t>
  </si>
  <si>
    <t>05/06/2025 20:00</t>
  </si>
  <si>
    <t>05/06/2025 20:15</t>
  </si>
  <si>
    <t>05/06/2025 20:30</t>
  </si>
  <si>
    <t>05/06/2025 20:45</t>
  </si>
  <si>
    <t>05/06/2025 21:00</t>
  </si>
  <si>
    <t>05/06/2025 21:15</t>
  </si>
  <si>
    <t>05/06/2025 21:30</t>
  </si>
  <si>
    <t>05/06/2025 21:45</t>
  </si>
  <si>
    <t>05/06/2025 22:00</t>
  </si>
  <si>
    <t>05/06/2025 22:15</t>
  </si>
  <si>
    <t>05/06/2025 22:30</t>
  </si>
  <si>
    <t>05/06/2025 22:45</t>
  </si>
  <si>
    <t>05/06/2025 23:00</t>
  </si>
  <si>
    <t>05/06/2025 23:15</t>
  </si>
  <si>
    <t>05/06/2025 23:30</t>
  </si>
  <si>
    <t>05/06/2025 23:45</t>
  </si>
  <si>
    <t>05/06/2025 24:00</t>
  </si>
  <si>
    <t>06/06/2025 00:15</t>
  </si>
  <si>
    <t>06/06/2025 00:30</t>
  </si>
  <si>
    <t>06/06/2025 00:45</t>
  </si>
  <si>
    <t>06/06/2025 01:00</t>
  </si>
  <si>
    <t>06/06/2025 01:15</t>
  </si>
  <si>
    <t>06/06/2025 01:30</t>
  </si>
  <si>
    <t>06/06/2025 01:45</t>
  </si>
  <si>
    <t>06/06/2025 02:00</t>
  </si>
  <si>
    <t>06/06/2025 02:15</t>
  </si>
  <si>
    <t>06/06/2025 02:30</t>
  </si>
  <si>
    <t>06/06/2025 02:45</t>
  </si>
  <si>
    <t>06/06/2025 03:00</t>
  </si>
  <si>
    <t>06/06/2025 03:15</t>
  </si>
  <si>
    <t>06/06/2025 03:30</t>
  </si>
  <si>
    <t>06/06/2025 03:45</t>
  </si>
  <si>
    <t>06/06/2025 04:00</t>
  </si>
  <si>
    <t>06/06/2025 04:15</t>
  </si>
  <si>
    <t>06/06/2025 04:30</t>
  </si>
  <si>
    <t>06/06/2025 04:45</t>
  </si>
  <si>
    <t>06/06/2025 05:00</t>
  </si>
  <si>
    <t>06/06/2025 05:15</t>
  </si>
  <si>
    <t>06/06/2025 05:30</t>
  </si>
  <si>
    <t>06/06/2025 05:45</t>
  </si>
  <si>
    <t>06/06/2025 06:00</t>
  </si>
  <si>
    <t>06/06/2025 06:15</t>
  </si>
  <si>
    <t>06/06/2025 06:30</t>
  </si>
  <si>
    <t>06/06/2025 06:45</t>
  </si>
  <si>
    <t>06/06/2025 07:00</t>
  </si>
  <si>
    <t>06/06/2025 07:15</t>
  </si>
  <si>
    <t>06/06/2025 07:30</t>
  </si>
  <si>
    <t>06/06/2025 07:45</t>
  </si>
  <si>
    <t>06/06/2025 08:00</t>
  </si>
  <si>
    <t>06/06/2025 08:15</t>
  </si>
  <si>
    <t>06/06/2025 08:30</t>
  </si>
  <si>
    <t>06/06/2025 08:45</t>
  </si>
  <si>
    <t>06/06/2025 09:00</t>
  </si>
  <si>
    <t>06/06/2025 09:15</t>
  </si>
  <si>
    <t>06/06/2025 09:30</t>
  </si>
  <si>
    <t>06/06/2025 09:45</t>
  </si>
  <si>
    <t>06/06/2025 10:00</t>
  </si>
  <si>
    <t>06/06/2025 10:15</t>
  </si>
  <si>
    <t>06/06/2025 10:30</t>
  </si>
  <si>
    <t>06/06/2025 10:45</t>
  </si>
  <si>
    <t>06/06/2025 11:00</t>
  </si>
  <si>
    <t>06/06/2025 11:15</t>
  </si>
  <si>
    <t>06/06/2025 11:30</t>
  </si>
  <si>
    <t>06/06/2025 11:45</t>
  </si>
  <si>
    <t>06/06/2025 12:00</t>
  </si>
  <si>
    <t>06/06/2025 12:15</t>
  </si>
  <si>
    <t>06/06/2025 12:30</t>
  </si>
  <si>
    <t>06/06/2025 12:45</t>
  </si>
  <si>
    <t>06/06/2025 13:00</t>
  </si>
  <si>
    <t>06/06/2025 13:15</t>
  </si>
  <si>
    <t>06/06/2025 13:30</t>
  </si>
  <si>
    <t>06/06/2025 13:45</t>
  </si>
  <si>
    <t>06/06/2025 14:00</t>
  </si>
  <si>
    <t>06/06/2025 14:15</t>
  </si>
  <si>
    <t>06/06/2025 14:30</t>
  </si>
  <si>
    <t>06/06/2025 14:45</t>
  </si>
  <si>
    <t>06/06/2025 15:00</t>
  </si>
  <si>
    <t>06/06/2025 15:15</t>
  </si>
  <si>
    <t>06/06/2025 15:30</t>
  </si>
  <si>
    <t>06/06/2025 15:45</t>
  </si>
  <si>
    <t>06/06/2025 16:00</t>
  </si>
  <si>
    <t>06/06/2025 16:15</t>
  </si>
  <si>
    <t>06/06/2025 16:30</t>
  </si>
  <si>
    <t>06/06/2025 16:45</t>
  </si>
  <si>
    <t>06/06/2025 17:00</t>
  </si>
  <si>
    <t>06/06/2025 17:15</t>
  </si>
  <si>
    <t>06/06/2025 17:30</t>
  </si>
  <si>
    <t>06/06/2025 17:45</t>
  </si>
  <si>
    <t>06/06/2025 18:00</t>
  </si>
  <si>
    <t>06/06/2025 18:15</t>
  </si>
  <si>
    <t>06/06/2025 18:30</t>
  </si>
  <si>
    <t>06/06/2025 18:45</t>
  </si>
  <si>
    <t>06/06/2025 19:00</t>
  </si>
  <si>
    <t>06/06/2025 19:15</t>
  </si>
  <si>
    <t>06/06/2025 19:30</t>
  </si>
  <si>
    <t>06/06/2025 19:45</t>
  </si>
  <si>
    <t>06/06/2025 20:00</t>
  </si>
  <si>
    <t>06/06/2025 20:15</t>
  </si>
  <si>
    <t>06/06/2025 20:30</t>
  </si>
  <si>
    <t>06/06/2025 20:45</t>
  </si>
  <si>
    <t>06/06/2025 21:00</t>
  </si>
  <si>
    <t>06/06/2025 21:15</t>
  </si>
  <si>
    <t>06/06/2025 21:30</t>
  </si>
  <si>
    <t>06/06/2025 21:45</t>
  </si>
  <si>
    <t>06/06/2025 22:00</t>
  </si>
  <si>
    <t>06/06/2025 22:15</t>
  </si>
  <si>
    <t>06/06/2025 22:30</t>
  </si>
  <si>
    <t>06/06/2025 22:45</t>
  </si>
  <si>
    <t>06/06/2025 23:00</t>
  </si>
  <si>
    <t>06/06/2025 23:15</t>
  </si>
  <si>
    <t>06/06/2025 23:30</t>
  </si>
  <si>
    <t>06/06/2025 23:45</t>
  </si>
  <si>
    <t>06/06/2025 24:00</t>
  </si>
  <si>
    <t>07/06/2025 00:15</t>
  </si>
  <si>
    <t>07/06/2025 00:30</t>
  </si>
  <si>
    <t>07/06/2025 00:45</t>
  </si>
  <si>
    <t>07/06/2025 01:00</t>
  </si>
  <si>
    <t>07/06/2025 01:15</t>
  </si>
  <si>
    <t>07/06/2025 01:30</t>
  </si>
  <si>
    <t>07/06/2025 01:45</t>
  </si>
  <si>
    <t>07/06/2025 02:00</t>
  </si>
  <si>
    <t>07/06/2025 02:15</t>
  </si>
  <si>
    <t>07/06/2025 02:30</t>
  </si>
  <si>
    <t>07/06/2025 02:45</t>
  </si>
  <si>
    <t>07/06/2025 03:00</t>
  </si>
  <si>
    <t>07/06/2025 03:15</t>
  </si>
  <si>
    <t>07/06/2025 03:30</t>
  </si>
  <si>
    <t>07/06/2025 03:45</t>
  </si>
  <si>
    <t>07/06/2025 04:00</t>
  </si>
  <si>
    <t>07/06/2025 04:15</t>
  </si>
  <si>
    <t>07/06/2025 04:30</t>
  </si>
  <si>
    <t>07/06/2025 04:45</t>
  </si>
  <si>
    <t>07/06/2025 05:00</t>
  </si>
  <si>
    <t>07/06/2025 05:15</t>
  </si>
  <si>
    <t>07/06/2025 05:30</t>
  </si>
  <si>
    <t>07/06/2025 05:45</t>
  </si>
  <si>
    <t>07/06/2025 06:00</t>
  </si>
  <si>
    <t>07/06/2025 06:15</t>
  </si>
  <si>
    <t>07/06/2025 06:30</t>
  </si>
  <si>
    <t>07/06/2025 06:45</t>
  </si>
  <si>
    <t>07/06/2025 07:00</t>
  </si>
  <si>
    <t>07/06/2025 07:15</t>
  </si>
  <si>
    <t>07/06/2025 07:30</t>
  </si>
  <si>
    <t>07/06/2025 07:45</t>
  </si>
  <si>
    <t>07/06/2025 08:00</t>
  </si>
  <si>
    <t>07/06/2025 08:15</t>
  </si>
  <si>
    <t>07/06/2025 08:30</t>
  </si>
  <si>
    <t>07/06/2025 08:45</t>
  </si>
  <si>
    <t>07/06/2025 09:00</t>
  </si>
  <si>
    <t>07/06/2025 09:15</t>
  </si>
  <si>
    <t>07/06/2025 09:30</t>
  </si>
  <si>
    <t>07/06/2025 09:45</t>
  </si>
  <si>
    <t>07/06/2025 10:00</t>
  </si>
  <si>
    <t>07/06/2025 10:15</t>
  </si>
  <si>
    <t>07/06/2025 10:30</t>
  </si>
  <si>
    <t>07/06/2025 10:45</t>
  </si>
  <si>
    <t>07/06/2025 11:00</t>
  </si>
  <si>
    <t>07/06/2025 11:15</t>
  </si>
  <si>
    <t>07/06/2025 11:30</t>
  </si>
  <si>
    <t>07/06/2025 11:45</t>
  </si>
  <si>
    <t>07/06/2025 12:00</t>
  </si>
  <si>
    <t>07/06/2025 12:15</t>
  </si>
  <si>
    <t>07/06/2025 12:30</t>
  </si>
  <si>
    <t>07/06/2025 12:45</t>
  </si>
  <si>
    <t>07/06/2025 13:00</t>
  </si>
  <si>
    <t>07/06/2025 13:15</t>
  </si>
  <si>
    <t>07/06/2025 13:30</t>
  </si>
  <si>
    <t>07/06/2025 13:45</t>
  </si>
  <si>
    <t>07/06/2025 14:00</t>
  </si>
  <si>
    <t>07/06/2025 14:15</t>
  </si>
  <si>
    <t>07/06/2025 14:30</t>
  </si>
  <si>
    <t>07/06/2025 14:45</t>
  </si>
  <si>
    <t>07/06/2025 15:00</t>
  </si>
  <si>
    <t>07/06/2025 15:15</t>
  </si>
  <si>
    <t>07/06/2025 15:30</t>
  </si>
  <si>
    <t>07/06/2025 15:45</t>
  </si>
  <si>
    <t>07/06/2025 16:00</t>
  </si>
  <si>
    <t>07/06/2025 16:15</t>
  </si>
  <si>
    <t>07/06/2025 16:30</t>
  </si>
  <si>
    <t>07/06/2025 16:45</t>
  </si>
  <si>
    <t>07/06/2025 17:00</t>
  </si>
  <si>
    <t>07/06/2025 17:15</t>
  </si>
  <si>
    <t>07/06/2025 17:30</t>
  </si>
  <si>
    <t>07/06/2025 17:45</t>
  </si>
  <si>
    <t>07/06/2025 18:00</t>
  </si>
  <si>
    <t>07/06/2025 18:15</t>
  </si>
  <si>
    <t>07/06/2025 18:30</t>
  </si>
  <si>
    <t>07/06/2025 18:45</t>
  </si>
  <si>
    <t>07/06/2025 19:00</t>
  </si>
  <si>
    <t>07/06/2025 19:15</t>
  </si>
  <si>
    <t>07/06/2025 19:30</t>
  </si>
  <si>
    <t>07/06/2025 19:45</t>
  </si>
  <si>
    <t>07/06/2025 20:00</t>
  </si>
  <si>
    <t>07/06/2025 20:15</t>
  </si>
  <si>
    <t>07/06/2025 20:30</t>
  </si>
  <si>
    <t>07/06/2025 20:45</t>
  </si>
  <si>
    <t>07/06/2025 21:00</t>
  </si>
  <si>
    <t>07/06/2025 21:15</t>
  </si>
  <si>
    <t>07/06/2025 21:30</t>
  </si>
  <si>
    <t>07/06/2025 21:45</t>
  </si>
  <si>
    <t>07/06/2025 22:00</t>
  </si>
  <si>
    <t>07/06/2025 22:15</t>
  </si>
  <si>
    <t>07/06/2025 22:30</t>
  </si>
  <si>
    <t>07/06/2025 22:45</t>
  </si>
  <si>
    <t>07/06/2025 23:00</t>
  </si>
  <si>
    <t>07/06/2025 23:15</t>
  </si>
  <si>
    <t>07/06/2025 23:30</t>
  </si>
  <si>
    <t>07/06/2025 23:45</t>
  </si>
  <si>
    <t>07/06/2025 24:00</t>
  </si>
  <si>
    <t>08/06/2025 00:15</t>
  </si>
  <si>
    <t>08/06/2025 00:30</t>
  </si>
  <si>
    <t>08/06/2025 00:45</t>
  </si>
  <si>
    <t>08/06/2025 01:00</t>
  </si>
  <si>
    <t>08/06/2025 01:15</t>
  </si>
  <si>
    <t>08/06/2025 01:30</t>
  </si>
  <si>
    <t>08/06/2025 01:45</t>
  </si>
  <si>
    <t>08/06/2025 02:00</t>
  </si>
  <si>
    <t>08/06/2025 02:15</t>
  </si>
  <si>
    <t>08/06/2025 02:30</t>
  </si>
  <si>
    <t>08/06/2025 02:45</t>
  </si>
  <si>
    <t>08/06/2025 03:00</t>
  </si>
  <si>
    <t>08/06/2025 03:15</t>
  </si>
  <si>
    <t>08/06/2025 03:30</t>
  </si>
  <si>
    <t>08/06/2025 03:45</t>
  </si>
  <si>
    <t>08/06/2025 04:00</t>
  </si>
  <si>
    <t>08/06/2025 04:15</t>
  </si>
  <si>
    <t>08/06/2025 04:30</t>
  </si>
  <si>
    <t>08/06/2025 04:45</t>
  </si>
  <si>
    <t>08/06/2025 05:00</t>
  </si>
  <si>
    <t>08/06/2025 05:15</t>
  </si>
  <si>
    <t>08/06/2025 05:30</t>
  </si>
  <si>
    <t>08/06/2025 05:45</t>
  </si>
  <si>
    <t>08/06/2025 06:00</t>
  </si>
  <si>
    <t>08/06/2025 06:15</t>
  </si>
  <si>
    <t>08/06/2025 06:30</t>
  </si>
  <si>
    <t>08/06/2025 06:45</t>
  </si>
  <si>
    <t>08/06/2025 07:00</t>
  </si>
  <si>
    <t>08/06/2025 07:15</t>
  </si>
  <si>
    <t>08/06/2025 07:30</t>
  </si>
  <si>
    <t>08/06/2025 07:45</t>
  </si>
  <si>
    <t>08/06/2025 08:00</t>
  </si>
  <si>
    <t>08/06/2025 08:15</t>
  </si>
  <si>
    <t>08/06/2025 08:30</t>
  </si>
  <si>
    <t>08/06/2025 08:45</t>
  </si>
  <si>
    <t>08/06/2025 09:00</t>
  </si>
  <si>
    <t>08/06/2025 09:15</t>
  </si>
  <si>
    <t>08/06/2025 09:30</t>
  </si>
  <si>
    <t>08/06/2025 09:45</t>
  </si>
  <si>
    <t>08/06/2025 10:00</t>
  </si>
  <si>
    <t>08/06/2025 10:15</t>
  </si>
  <si>
    <t>08/06/2025 10:30</t>
  </si>
  <si>
    <t>08/06/2025 10:45</t>
  </si>
  <si>
    <t>08/06/2025 11:00</t>
  </si>
  <si>
    <t>08/06/2025 11:15</t>
  </si>
  <si>
    <t>08/06/2025 11:30</t>
  </si>
  <si>
    <t>08/06/2025 11:45</t>
  </si>
  <si>
    <t>08/06/2025 12:00</t>
  </si>
  <si>
    <t>08/06/2025 12:15</t>
  </si>
  <si>
    <t>08/06/2025 12:30</t>
  </si>
  <si>
    <t>08/06/2025 12:45</t>
  </si>
  <si>
    <t>08/06/2025 13:00</t>
  </si>
  <si>
    <t>08/06/2025 13:15</t>
  </si>
  <si>
    <t>08/06/2025 13:30</t>
  </si>
  <si>
    <t>08/06/2025 13:45</t>
  </si>
  <si>
    <t>08/06/2025 14:00</t>
  </si>
  <si>
    <t>08/06/2025 14:15</t>
  </si>
  <si>
    <t>08/06/2025 14:30</t>
  </si>
  <si>
    <t>08/06/2025 14:45</t>
  </si>
  <si>
    <t>08/06/2025 15:00</t>
  </si>
  <si>
    <t>08/06/2025 15:15</t>
  </si>
  <si>
    <t>08/06/2025 15:30</t>
  </si>
  <si>
    <t>08/06/2025 15:45</t>
  </si>
  <si>
    <t>08/06/2025 16:00</t>
  </si>
  <si>
    <t>08/06/2025 16:15</t>
  </si>
  <si>
    <t>08/06/2025 16:30</t>
  </si>
  <si>
    <t>08/06/2025 16:45</t>
  </si>
  <si>
    <t>08/06/2025 17:00</t>
  </si>
  <si>
    <t>08/06/2025 17:15</t>
  </si>
  <si>
    <t>08/06/2025 17:30</t>
  </si>
  <si>
    <t>08/06/2025 17:45</t>
  </si>
  <si>
    <t>08/06/2025 18:00</t>
  </si>
  <si>
    <t>08/06/2025 18:15</t>
  </si>
  <si>
    <t>08/06/2025 18:30</t>
  </si>
  <si>
    <t>08/06/2025 18:45</t>
  </si>
  <si>
    <t>08/06/2025 19:00</t>
  </si>
  <si>
    <t>08/06/2025 19:15</t>
  </si>
  <si>
    <t>08/06/2025 19:30</t>
  </si>
  <si>
    <t>08/06/2025 19:45</t>
  </si>
  <si>
    <t>08/06/2025 20:00</t>
  </si>
  <si>
    <t>08/06/2025 20:15</t>
  </si>
  <si>
    <t>08/06/2025 20:30</t>
  </si>
  <si>
    <t>08/06/2025 20:45</t>
  </si>
  <si>
    <t>08/06/2025 21:00</t>
  </si>
  <si>
    <t>08/06/2025 21:15</t>
  </si>
  <si>
    <t>08/06/2025 21:30</t>
  </si>
  <si>
    <t>08/06/2025 21:45</t>
  </si>
  <si>
    <t>08/06/2025 22:00</t>
  </si>
  <si>
    <t>08/06/2025 22:15</t>
  </si>
  <si>
    <t>08/06/2025 22:30</t>
  </si>
  <si>
    <t>08/06/2025 22:45</t>
  </si>
  <si>
    <t>08/06/2025 23:00</t>
  </si>
  <si>
    <t>08/06/2025 23:15</t>
  </si>
  <si>
    <t>08/06/2025 23:30</t>
  </si>
  <si>
    <t>08/06/2025 23:45</t>
  </si>
  <si>
    <t>08/06/2025 24:00</t>
  </si>
  <si>
    <t>09/06/2025 00:15</t>
  </si>
  <si>
    <t>09/06/2025 00:30</t>
  </si>
  <si>
    <t>09/06/2025 00:45</t>
  </si>
  <si>
    <t>09/06/2025 01:00</t>
  </si>
  <si>
    <t>09/06/2025 01:15</t>
  </si>
  <si>
    <t>09/06/2025 01:30</t>
  </si>
  <si>
    <t>09/06/2025 01:45</t>
  </si>
  <si>
    <t>09/06/2025 02:00</t>
  </si>
  <si>
    <t>09/06/2025 02:15</t>
  </si>
  <si>
    <t>09/06/2025 02:30</t>
  </si>
  <si>
    <t>09/06/2025 02:45</t>
  </si>
  <si>
    <t>09/06/2025 03:00</t>
  </si>
  <si>
    <t>09/06/2025 03:15</t>
  </si>
  <si>
    <t>09/06/2025 03:30</t>
  </si>
  <si>
    <t>09/06/2025 03:45</t>
  </si>
  <si>
    <t>09/06/2025 04:00</t>
  </si>
  <si>
    <t>09/06/2025 04:15</t>
  </si>
  <si>
    <t>09/06/2025 04:30</t>
  </si>
  <si>
    <t>09/06/2025 04:45</t>
  </si>
  <si>
    <t>09/06/2025 05:00</t>
  </si>
  <si>
    <t>09/06/2025 05:15</t>
  </si>
  <si>
    <t>09/06/2025 05:30</t>
  </si>
  <si>
    <t>09/06/2025 05:45</t>
  </si>
  <si>
    <t>09/06/2025 06:00</t>
  </si>
  <si>
    <t>09/06/2025 06:15</t>
  </si>
  <si>
    <t>09/06/2025 06:30</t>
  </si>
  <si>
    <t>09/06/2025 06:45</t>
  </si>
  <si>
    <t>09/06/2025 07:00</t>
  </si>
  <si>
    <t>09/06/2025 07:15</t>
  </si>
  <si>
    <t>09/06/2025 07:30</t>
  </si>
  <si>
    <t>09/06/2025 07:45</t>
  </si>
  <si>
    <t>09/06/2025 08:00</t>
  </si>
  <si>
    <t>09/06/2025 08:15</t>
  </si>
  <si>
    <t>09/06/2025 08:30</t>
  </si>
  <si>
    <t>09/06/2025 08:45</t>
  </si>
  <si>
    <t>09/06/2025 09:00</t>
  </si>
  <si>
    <t>09/06/2025 09:15</t>
  </si>
  <si>
    <t>09/06/2025 09:30</t>
  </si>
  <si>
    <t>09/06/2025 09:45</t>
  </si>
  <si>
    <t>09/06/2025 10:00</t>
  </si>
  <si>
    <t>09/06/2025 10:15</t>
  </si>
  <si>
    <t>09/06/2025 10:30</t>
  </si>
  <si>
    <t>09/06/2025 10:45</t>
  </si>
  <si>
    <t>09/06/2025 11:00</t>
  </si>
  <si>
    <t>09/06/2025 11:15</t>
  </si>
  <si>
    <t>09/06/2025 11:30</t>
  </si>
  <si>
    <t>09/06/2025 11:45</t>
  </si>
  <si>
    <t>09/06/2025 12:00</t>
  </si>
  <si>
    <t>09/06/2025 12:15</t>
  </si>
  <si>
    <t>09/06/2025 12:30</t>
  </si>
  <si>
    <t>09/06/2025 12:45</t>
  </si>
  <si>
    <t>09/06/2025 13:00</t>
  </si>
  <si>
    <t>09/06/2025 13:15</t>
  </si>
  <si>
    <t>09/06/2025 13:30</t>
  </si>
  <si>
    <t>09/06/2025 13:45</t>
  </si>
  <si>
    <t>09/06/2025 14:00</t>
  </si>
  <si>
    <t>09/06/2025 14:15</t>
  </si>
  <si>
    <t>09/06/2025 14:30</t>
  </si>
  <si>
    <t>09/06/2025 14:45</t>
  </si>
  <si>
    <t>09/06/2025 15:00</t>
  </si>
  <si>
    <t>09/06/2025 15:15</t>
  </si>
  <si>
    <t>09/06/2025 15:30</t>
  </si>
  <si>
    <t>09/06/2025 15:45</t>
  </si>
  <si>
    <t>09/06/2025 16:00</t>
  </si>
  <si>
    <t>09/06/2025 16:15</t>
  </si>
  <si>
    <t>09/06/2025 16:30</t>
  </si>
  <si>
    <t>09/06/2025 16:45</t>
  </si>
  <si>
    <t>09/06/2025 17:00</t>
  </si>
  <si>
    <t>09/06/2025 17:15</t>
  </si>
  <si>
    <t>09/06/2025 17:30</t>
  </si>
  <si>
    <t>09/06/2025 17:45</t>
  </si>
  <si>
    <t>09/06/2025 18:00</t>
  </si>
  <si>
    <t>09/06/2025 18:15</t>
  </si>
  <si>
    <t>09/06/2025 18:30</t>
  </si>
  <si>
    <t>09/06/2025 18:45</t>
  </si>
  <si>
    <t>09/06/2025 19:00</t>
  </si>
  <si>
    <t>09/06/2025 19:15</t>
  </si>
  <si>
    <t>09/06/2025 19:30</t>
  </si>
  <si>
    <t>09/06/2025 19:45</t>
  </si>
  <si>
    <t>09/06/2025 20:00</t>
  </si>
  <si>
    <t>09/06/2025 20:15</t>
  </si>
  <si>
    <t>09/06/2025 20:30</t>
  </si>
  <si>
    <t>09/06/2025 20:45</t>
  </si>
  <si>
    <t>09/06/2025 21:00</t>
  </si>
  <si>
    <t>09/06/2025 21:15</t>
  </si>
  <si>
    <t>09/06/2025 21:30</t>
  </si>
  <si>
    <t>09/06/2025 21:45</t>
  </si>
  <si>
    <t>09/06/2025 22:00</t>
  </si>
  <si>
    <t>09/06/2025 22:15</t>
  </si>
  <si>
    <t>09/06/2025 22:30</t>
  </si>
  <si>
    <t>09/06/2025 22:45</t>
  </si>
  <si>
    <t>09/06/2025 23:00</t>
  </si>
  <si>
    <t>09/06/2025 23:15</t>
  </si>
  <si>
    <t>09/06/2025 23:30</t>
  </si>
  <si>
    <t>09/06/2025 23:45</t>
  </si>
  <si>
    <t>09/06/2025 24:00</t>
  </si>
  <si>
    <t>10/06/2025 00:15</t>
  </si>
  <si>
    <t>10/06/2025 00:30</t>
  </si>
  <si>
    <t>10/06/2025 00:45</t>
  </si>
  <si>
    <t>10/06/2025 01:00</t>
  </si>
  <si>
    <t>10/06/2025 01:15</t>
  </si>
  <si>
    <t>10/06/2025 01:30</t>
  </si>
  <si>
    <t>10/06/2025 01:45</t>
  </si>
  <si>
    <t>10/06/2025 02:00</t>
  </si>
  <si>
    <t>10/06/2025 02:15</t>
  </si>
  <si>
    <t>10/06/2025 02:30</t>
  </si>
  <si>
    <t>10/06/2025 02:45</t>
  </si>
  <si>
    <t>10/06/2025 03:00</t>
  </si>
  <si>
    <t>10/06/2025 03:15</t>
  </si>
  <si>
    <t>10/06/2025 03:30</t>
  </si>
  <si>
    <t>10/06/2025 03:45</t>
  </si>
  <si>
    <t>10/06/2025 04:00</t>
  </si>
  <si>
    <t>10/06/2025 04:15</t>
  </si>
  <si>
    <t>10/06/2025 04:30</t>
  </si>
  <si>
    <t>10/06/2025 04:45</t>
  </si>
  <si>
    <t>10/06/2025 05:00</t>
  </si>
  <si>
    <t>10/06/2025 05:15</t>
  </si>
  <si>
    <t>10/06/2025 05:30</t>
  </si>
  <si>
    <t>10/06/2025 05:45</t>
  </si>
  <si>
    <t>10/06/2025 06:00</t>
  </si>
  <si>
    <t>10/06/2025 06:15</t>
  </si>
  <si>
    <t>10/06/2025 06:30</t>
  </si>
  <si>
    <t>10/06/2025 06:45</t>
  </si>
  <si>
    <t>10/06/2025 07:00</t>
  </si>
  <si>
    <t>10/06/2025 07:15</t>
  </si>
  <si>
    <t>10/06/2025 07:30</t>
  </si>
  <si>
    <t>10/06/2025 07:45</t>
  </si>
  <si>
    <t>10/06/2025 08:00</t>
  </si>
  <si>
    <t>10/06/2025 08:15</t>
  </si>
  <si>
    <t>10/06/2025 08:30</t>
  </si>
  <si>
    <t>10/06/2025 08:45</t>
  </si>
  <si>
    <t>10/06/2025 09:00</t>
  </si>
  <si>
    <t>10/06/2025 09:15</t>
  </si>
  <si>
    <t>10/06/2025 09:30</t>
  </si>
  <si>
    <t>10/06/2025 09:45</t>
  </si>
  <si>
    <t>10/06/2025 10:00</t>
  </si>
  <si>
    <t>10/06/2025 10:15</t>
  </si>
  <si>
    <t>10/06/2025 10:30</t>
  </si>
  <si>
    <t>10/06/2025 10:45</t>
  </si>
  <si>
    <t>10/06/2025 11:00</t>
  </si>
  <si>
    <t>10/06/2025 11:15</t>
  </si>
  <si>
    <t>10/06/2025 11:30</t>
  </si>
  <si>
    <t>10/06/2025 11:45</t>
  </si>
  <si>
    <t>10/06/2025 12:00</t>
  </si>
  <si>
    <t>10/06/2025 12:15</t>
  </si>
  <si>
    <t>10/06/2025 12:30</t>
  </si>
  <si>
    <t>10/06/2025 12:45</t>
  </si>
  <si>
    <t>10/06/2025 13:00</t>
  </si>
  <si>
    <t>10/06/2025 13:15</t>
  </si>
  <si>
    <t>10/06/2025 13:30</t>
  </si>
  <si>
    <t>10/06/2025 13:45</t>
  </si>
  <si>
    <t>10/06/2025 14:00</t>
  </si>
  <si>
    <t>10/06/2025 14:15</t>
  </si>
  <si>
    <t>10/06/2025 14:30</t>
  </si>
  <si>
    <t>10/06/2025 14:45</t>
  </si>
  <si>
    <t>10/06/2025 15:00</t>
  </si>
  <si>
    <t>10/06/2025 15:15</t>
  </si>
  <si>
    <t>10/06/2025 15:30</t>
  </si>
  <si>
    <t>10/06/2025 15:45</t>
  </si>
  <si>
    <t>10/06/2025 16:00</t>
  </si>
  <si>
    <t>10/06/2025 16:15</t>
  </si>
  <si>
    <t>10/06/2025 16:30</t>
  </si>
  <si>
    <t>10/06/2025 16:45</t>
  </si>
  <si>
    <t>10/06/2025 17:00</t>
  </si>
  <si>
    <t>10/06/2025 17:15</t>
  </si>
  <si>
    <t>10/06/2025 17:30</t>
  </si>
  <si>
    <t>10/06/2025 17:45</t>
  </si>
  <si>
    <t>10/06/2025 18:00</t>
  </si>
  <si>
    <t>10/06/2025 18:15</t>
  </si>
  <si>
    <t>10/06/2025 18:30</t>
  </si>
  <si>
    <t>10/06/2025 18:45</t>
  </si>
  <si>
    <t>10/06/2025 19:00</t>
  </si>
  <si>
    <t>10/06/2025 19:15</t>
  </si>
  <si>
    <t>10/06/2025 19:30</t>
  </si>
  <si>
    <t>10/06/2025 19:45</t>
  </si>
  <si>
    <t>10/06/2025 20:00</t>
  </si>
  <si>
    <t>10/06/2025 20:15</t>
  </si>
  <si>
    <t>10/06/2025 20:30</t>
  </si>
  <si>
    <t>10/06/2025 20:45</t>
  </si>
  <si>
    <t>10/06/2025 21:00</t>
  </si>
  <si>
    <t>10/06/2025 21:15</t>
  </si>
  <si>
    <t>10/06/2025 21:30</t>
  </si>
  <si>
    <t>10/06/2025 21:45</t>
  </si>
  <si>
    <t>10/06/2025 22:00</t>
  </si>
  <si>
    <t>10/06/2025 22:15</t>
  </si>
  <si>
    <t>10/06/2025 22:30</t>
  </si>
  <si>
    <t>10/06/2025 22:45</t>
  </si>
  <si>
    <t>10/06/2025 23:00</t>
  </si>
  <si>
    <t>10/06/2025 23:15</t>
  </si>
  <si>
    <t>10/06/2025 23:30</t>
  </si>
  <si>
    <t>10/06/2025 23:45</t>
  </si>
  <si>
    <t>10/06/2025 24:00</t>
  </si>
  <si>
    <t>11/06/2025 00:15</t>
  </si>
  <si>
    <t>11/06/2025 00:30</t>
  </si>
  <si>
    <t>11/06/2025 00:45</t>
  </si>
  <si>
    <t>11/06/2025 01:00</t>
  </si>
  <si>
    <t>11/06/2025 01:15</t>
  </si>
  <si>
    <t>11/06/2025 01:30</t>
  </si>
  <si>
    <t>11/06/2025 01:45</t>
  </si>
  <si>
    <t>11/06/2025 02:00</t>
  </si>
  <si>
    <t>11/06/2025 02:15</t>
  </si>
  <si>
    <t>11/06/2025 02:30</t>
  </si>
  <si>
    <t>11/06/2025 02:45</t>
  </si>
  <si>
    <t>11/06/2025 03:00</t>
  </si>
  <si>
    <t>11/06/2025 03:15</t>
  </si>
  <si>
    <t>11/06/2025 03:30</t>
  </si>
  <si>
    <t>11/06/2025 03:45</t>
  </si>
  <si>
    <t>11/06/2025 04:00</t>
  </si>
  <si>
    <t>11/06/2025 04:15</t>
  </si>
  <si>
    <t>11/06/2025 04:30</t>
  </si>
  <si>
    <t>11/06/2025 04:45</t>
  </si>
  <si>
    <t>11/06/2025 05:00</t>
  </si>
  <si>
    <t>11/06/2025 05:15</t>
  </si>
  <si>
    <t>11/06/2025 05:30</t>
  </si>
  <si>
    <t>11/06/2025 05:45</t>
  </si>
  <si>
    <t>11/06/2025 06:00</t>
  </si>
  <si>
    <t>11/06/2025 06:15</t>
  </si>
  <si>
    <t>11/06/2025 06:30</t>
  </si>
  <si>
    <t>11/06/2025 06:45</t>
  </si>
  <si>
    <t>11/06/2025 07:00</t>
  </si>
  <si>
    <t>11/06/2025 07:15</t>
  </si>
  <si>
    <t>11/06/2025 07:30</t>
  </si>
  <si>
    <t>11/06/2025 07:45</t>
  </si>
  <si>
    <t>11/06/2025 08:00</t>
  </si>
  <si>
    <t>11/06/2025 08:15</t>
  </si>
  <si>
    <t>11/06/2025 08:30</t>
  </si>
  <si>
    <t>11/06/2025 08:45</t>
  </si>
  <si>
    <t>11/06/2025 09:00</t>
  </si>
  <si>
    <t>11/06/2025 09:15</t>
  </si>
  <si>
    <t>11/06/2025 09:30</t>
  </si>
  <si>
    <t>11/06/2025 09:45</t>
  </si>
  <si>
    <t>11/06/2025 10:00</t>
  </si>
  <si>
    <t>11/06/2025 10:15</t>
  </si>
  <si>
    <t>11/06/2025 10:30</t>
  </si>
  <si>
    <t>11/06/2025 10:45</t>
  </si>
  <si>
    <t>11/06/2025 11:00</t>
  </si>
  <si>
    <t>11/06/2025 11:15</t>
  </si>
  <si>
    <t>11/06/2025 11:30</t>
  </si>
  <si>
    <t>11/06/2025 11:45</t>
  </si>
  <si>
    <t>11/06/2025 12:00</t>
  </si>
  <si>
    <t>11/06/2025 12:15</t>
  </si>
  <si>
    <t>11/06/2025 12:30</t>
  </si>
  <si>
    <t>11/06/2025 12:45</t>
  </si>
  <si>
    <t>11/06/2025 13:00</t>
  </si>
  <si>
    <t>11/06/2025 13:15</t>
  </si>
  <si>
    <t>11/06/2025 13:30</t>
  </si>
  <si>
    <t>11/06/2025 13:45</t>
  </si>
  <si>
    <t>11/06/2025 14:00</t>
  </si>
  <si>
    <t>11/06/2025 14:15</t>
  </si>
  <si>
    <t>11/06/2025 14:30</t>
  </si>
  <si>
    <t>11/06/2025 14:45</t>
  </si>
  <si>
    <t>11/06/2025 15:00</t>
  </si>
  <si>
    <t>11/06/2025 15:15</t>
  </si>
  <si>
    <t>11/06/2025 15:30</t>
  </si>
  <si>
    <t>11/06/2025 15:45</t>
  </si>
  <si>
    <t>11/06/2025 16:00</t>
  </si>
  <si>
    <t>11/06/2025 16:15</t>
  </si>
  <si>
    <t>11/06/2025 16:30</t>
  </si>
  <si>
    <t>11/06/2025 16:45</t>
  </si>
  <si>
    <t>11/06/2025 17:00</t>
  </si>
  <si>
    <t>11/06/2025 17:15</t>
  </si>
  <si>
    <t>11/06/2025 17:30</t>
  </si>
  <si>
    <t>11/06/2025 17:45</t>
  </si>
  <si>
    <t>11/06/2025 18:00</t>
  </si>
  <si>
    <t>11/06/2025 18:15</t>
  </si>
  <si>
    <t>11/06/2025 18:30</t>
  </si>
  <si>
    <t>11/06/2025 18:45</t>
  </si>
  <si>
    <t>11/06/2025 19:00</t>
  </si>
  <si>
    <t>11/06/2025 19:15</t>
  </si>
  <si>
    <t>11/06/2025 19:30</t>
  </si>
  <si>
    <t>11/06/2025 19:45</t>
  </si>
  <si>
    <t>11/06/2025 20:00</t>
  </si>
  <si>
    <t>11/06/2025 20:15</t>
  </si>
  <si>
    <t>11/06/2025 20:30</t>
  </si>
  <si>
    <t>11/06/2025 20:45</t>
  </si>
  <si>
    <t>11/06/2025 21:00</t>
  </si>
  <si>
    <t>11/06/2025 21:15</t>
  </si>
  <si>
    <t>11/06/2025 21:30</t>
  </si>
  <si>
    <t>11/06/2025 21:45</t>
  </si>
  <si>
    <t>11/06/2025 22:00</t>
  </si>
  <si>
    <t>11/06/2025 22:15</t>
  </si>
  <si>
    <t>11/06/2025 22:30</t>
  </si>
  <si>
    <t>11/06/2025 22:45</t>
  </si>
  <si>
    <t>11/06/2025 23:00</t>
  </si>
  <si>
    <t>11/06/2025 23:15</t>
  </si>
  <si>
    <t>11/06/2025 23:30</t>
  </si>
  <si>
    <t>11/06/2025 23:45</t>
  </si>
  <si>
    <t>11/06/2025 24:00</t>
  </si>
  <si>
    <t>12/06/2025 00:15</t>
  </si>
  <si>
    <t>12/06/2025 00:30</t>
  </si>
  <si>
    <t>12/06/2025 00:45</t>
  </si>
  <si>
    <t>12/06/2025 01:00</t>
  </si>
  <si>
    <t>12/06/2025 01:15</t>
  </si>
  <si>
    <t>12/06/2025 01:30</t>
  </si>
  <si>
    <t>12/06/2025 01:45</t>
  </si>
  <si>
    <t>12/06/2025 02:00</t>
  </si>
  <si>
    <t>12/06/2025 02:15</t>
  </si>
  <si>
    <t>12/06/2025 02:30</t>
  </si>
  <si>
    <t>12/06/2025 02:45</t>
  </si>
  <si>
    <t>12/06/2025 03:00</t>
  </si>
  <si>
    <t>12/06/2025 03:15</t>
  </si>
  <si>
    <t>12/06/2025 03:30</t>
  </si>
  <si>
    <t>12/06/2025 03:45</t>
  </si>
  <si>
    <t>12/06/2025 04:00</t>
  </si>
  <si>
    <t>12/06/2025 04:15</t>
  </si>
  <si>
    <t>12/06/2025 04:30</t>
  </si>
  <si>
    <t>12/06/2025 04:45</t>
  </si>
  <si>
    <t>12/06/2025 05:00</t>
  </si>
  <si>
    <t>12/06/2025 05:15</t>
  </si>
  <si>
    <t>12/06/2025 05:30</t>
  </si>
  <si>
    <t>12/06/2025 05:45</t>
  </si>
  <si>
    <t>12/06/2025 06:00</t>
  </si>
  <si>
    <t>12/06/2025 06:15</t>
  </si>
  <si>
    <t>12/06/2025 06:30</t>
  </si>
  <si>
    <t>12/06/2025 06:45</t>
  </si>
  <si>
    <t>12/06/2025 07:00</t>
  </si>
  <si>
    <t>12/06/2025 07:15</t>
  </si>
  <si>
    <t>12/06/2025 07:30</t>
  </si>
  <si>
    <t>12/06/2025 07:45</t>
  </si>
  <si>
    <t>12/06/2025 08:00</t>
  </si>
  <si>
    <t>12/06/2025 08:15</t>
  </si>
  <si>
    <t>12/06/2025 08:30</t>
  </si>
  <si>
    <t>12/06/2025 08:45</t>
  </si>
  <si>
    <t>12/06/2025 09:00</t>
  </si>
  <si>
    <t>12/06/2025 09:15</t>
  </si>
  <si>
    <t>12/06/2025 09:30</t>
  </si>
  <si>
    <t>12/06/2025 09:45</t>
  </si>
  <si>
    <t>12/06/2025 10:00</t>
  </si>
  <si>
    <t>12/06/2025 10:15</t>
  </si>
  <si>
    <t>12/06/2025 10:30</t>
  </si>
  <si>
    <t>12/06/2025 10:45</t>
  </si>
  <si>
    <t>12/06/2025 11:00</t>
  </si>
  <si>
    <t>12/06/2025 11:15</t>
  </si>
  <si>
    <t>12/06/2025 11:30</t>
  </si>
  <si>
    <t>12/06/2025 11:45</t>
  </si>
  <si>
    <t>12/06/2025 12:00</t>
  </si>
  <si>
    <t>12/06/2025 12:15</t>
  </si>
  <si>
    <t>12/06/2025 12:30</t>
  </si>
  <si>
    <t>12/06/2025 12:45</t>
  </si>
  <si>
    <t>12/06/2025 13:00</t>
  </si>
  <si>
    <t>12/06/2025 13:15</t>
  </si>
  <si>
    <t>12/06/2025 13:30</t>
  </si>
  <si>
    <t>12/06/2025 13:45</t>
  </si>
  <si>
    <t>12/06/2025 14:00</t>
  </si>
  <si>
    <t>12/06/2025 14:15</t>
  </si>
  <si>
    <t>12/06/2025 14:30</t>
  </si>
  <si>
    <t>12/06/2025 14:45</t>
  </si>
  <si>
    <t>12/06/2025 15:00</t>
  </si>
  <si>
    <t>12/06/2025 15:15</t>
  </si>
  <si>
    <t>12/06/2025 15:30</t>
  </si>
  <si>
    <t>12/06/2025 15:45</t>
  </si>
  <si>
    <t>12/06/2025 16:00</t>
  </si>
  <si>
    <t>12/06/2025 16:15</t>
  </si>
  <si>
    <t>12/06/2025 16:30</t>
  </si>
  <si>
    <t>12/06/2025 16:45</t>
  </si>
  <si>
    <t>12/06/2025 17:00</t>
  </si>
  <si>
    <t>12/06/2025 17:15</t>
  </si>
  <si>
    <t>12/06/2025 17:30</t>
  </si>
  <si>
    <t>12/06/2025 17:45</t>
  </si>
  <si>
    <t>12/06/2025 18:00</t>
  </si>
  <si>
    <t>12/06/2025 18:15</t>
  </si>
  <si>
    <t>12/06/2025 18:30</t>
  </si>
  <si>
    <t>12/06/2025 18:45</t>
  </si>
  <si>
    <t>12/06/2025 19:00</t>
  </si>
  <si>
    <t>12/06/2025 19:15</t>
  </si>
  <si>
    <t>12/06/2025 19:30</t>
  </si>
  <si>
    <t>12/06/2025 19:45</t>
  </si>
  <si>
    <t>12/06/2025 20:00</t>
  </si>
  <si>
    <t>12/06/2025 20:15</t>
  </si>
  <si>
    <t>12/06/2025 20:30</t>
  </si>
  <si>
    <t>12/06/2025 20:45</t>
  </si>
  <si>
    <t>12/06/2025 21:00</t>
  </si>
  <si>
    <t>12/06/2025 21:15</t>
  </si>
  <si>
    <t>12/06/2025 21:30</t>
  </si>
  <si>
    <t>12/06/2025 21:45</t>
  </si>
  <si>
    <t>12/06/2025 22:00</t>
  </si>
  <si>
    <t>12/06/2025 22:15</t>
  </si>
  <si>
    <t>12/06/2025 22:30</t>
  </si>
  <si>
    <t>12/06/2025 22:45</t>
  </si>
  <si>
    <t>12/06/2025 23:00</t>
  </si>
  <si>
    <t>12/06/2025 23:15</t>
  </si>
  <si>
    <t>12/06/2025 23:30</t>
  </si>
  <si>
    <t>12/06/2025 23:45</t>
  </si>
  <si>
    <t>12/06/2025 24:00</t>
  </si>
  <si>
    <t>13/06/2025 00:15</t>
  </si>
  <si>
    <t>13/06/2025 00:30</t>
  </si>
  <si>
    <t>13/06/2025 00:45</t>
  </si>
  <si>
    <t>13/06/2025 01:00</t>
  </si>
  <si>
    <t>13/06/2025 01:15</t>
  </si>
  <si>
    <t>13/06/2025 01:30</t>
  </si>
  <si>
    <t>13/06/2025 01:45</t>
  </si>
  <si>
    <t>13/06/2025 02:00</t>
  </si>
  <si>
    <t>13/06/2025 02:15</t>
  </si>
  <si>
    <t>13/06/2025 02:30</t>
  </si>
  <si>
    <t>13/06/2025 02:45</t>
  </si>
  <si>
    <t>13/06/2025 03:00</t>
  </si>
  <si>
    <t>13/06/2025 03:15</t>
  </si>
  <si>
    <t>13/06/2025 03:30</t>
  </si>
  <si>
    <t>13/06/2025 03:45</t>
  </si>
  <si>
    <t>13/06/2025 04:00</t>
  </si>
  <si>
    <t>13/06/2025 04:15</t>
  </si>
  <si>
    <t>13/06/2025 04:30</t>
  </si>
  <si>
    <t>13/06/2025 04:45</t>
  </si>
  <si>
    <t>13/06/2025 05:00</t>
  </si>
  <si>
    <t>13/06/2025 05:15</t>
  </si>
  <si>
    <t>13/06/2025 05:30</t>
  </si>
  <si>
    <t>13/06/2025 05:45</t>
  </si>
  <si>
    <t>13/06/2025 06:00</t>
  </si>
  <si>
    <t>13/06/2025 06:15</t>
  </si>
  <si>
    <t>13/06/2025 06:30</t>
  </si>
  <si>
    <t>13/06/2025 06:45</t>
  </si>
  <si>
    <t>13/06/2025 07:00</t>
  </si>
  <si>
    <t>13/06/2025 07:15</t>
  </si>
  <si>
    <t>13/06/2025 07:30</t>
  </si>
  <si>
    <t>13/06/2025 07:45</t>
  </si>
  <si>
    <t>13/06/2025 08:00</t>
  </si>
  <si>
    <t>13/06/2025 08:15</t>
  </si>
  <si>
    <t>13/06/2025 08:30</t>
  </si>
  <si>
    <t>13/06/2025 08:45</t>
  </si>
  <si>
    <t>13/06/2025 09:00</t>
  </si>
  <si>
    <t>13/06/2025 09:15</t>
  </si>
  <si>
    <t>13/06/2025 09:30</t>
  </si>
  <si>
    <t>13/06/2025 09:45</t>
  </si>
  <si>
    <t>13/06/2025 10:00</t>
  </si>
  <si>
    <t>13/06/2025 10:15</t>
  </si>
  <si>
    <t>13/06/2025 10:30</t>
  </si>
  <si>
    <t>13/06/2025 10:45</t>
  </si>
  <si>
    <t>13/06/2025 11:00</t>
  </si>
  <si>
    <t>13/06/2025 11:15</t>
  </si>
  <si>
    <t>13/06/2025 11:30</t>
  </si>
  <si>
    <t>13/06/2025 11:45</t>
  </si>
  <si>
    <t>13/06/2025 12:00</t>
  </si>
  <si>
    <t>13/06/2025 12:15</t>
  </si>
  <si>
    <t>13/06/2025 12:30</t>
  </si>
  <si>
    <t>13/06/2025 12:45</t>
  </si>
  <si>
    <t>13/06/2025 13:00</t>
  </si>
  <si>
    <t>13/06/2025 13:15</t>
  </si>
  <si>
    <t>13/06/2025 13:30</t>
  </si>
  <si>
    <t>13/06/2025 13:45</t>
  </si>
  <si>
    <t>13/06/2025 14:00</t>
  </si>
  <si>
    <t>13/06/2025 14:15</t>
  </si>
  <si>
    <t>13/06/2025 14:30</t>
  </si>
  <si>
    <t>13/06/2025 14:45</t>
  </si>
  <si>
    <t>13/06/2025 15:00</t>
  </si>
  <si>
    <t>13/06/2025 15:15</t>
  </si>
  <si>
    <t>13/06/2025 15:30</t>
  </si>
  <si>
    <t>13/06/2025 15:45</t>
  </si>
  <si>
    <t>13/06/2025 16:00</t>
  </si>
  <si>
    <t>13/06/2025 16:15</t>
  </si>
  <si>
    <t>13/06/2025 16:30</t>
  </si>
  <si>
    <t>13/06/2025 16:45</t>
  </si>
  <si>
    <t>13/06/2025 17:00</t>
  </si>
  <si>
    <t>13/06/2025 17:15</t>
  </si>
  <si>
    <t>13/06/2025 17:30</t>
  </si>
  <si>
    <t>13/06/2025 17:45</t>
  </si>
  <si>
    <t>13/06/2025 18:00</t>
  </si>
  <si>
    <t>13/06/2025 18:15</t>
  </si>
  <si>
    <t>13/06/2025 18:30</t>
  </si>
  <si>
    <t>13/06/2025 18:45</t>
  </si>
  <si>
    <t>13/06/2025 19:00</t>
  </si>
  <si>
    <t>13/06/2025 19:15</t>
  </si>
  <si>
    <t>13/06/2025 19:30</t>
  </si>
  <si>
    <t>13/06/2025 19:45</t>
  </si>
  <si>
    <t>13/06/2025 20:00</t>
  </si>
  <si>
    <t>13/06/2025 20:15</t>
  </si>
  <si>
    <t>13/06/2025 20:30</t>
  </si>
  <si>
    <t>13/06/2025 20:45</t>
  </si>
  <si>
    <t>13/06/2025 21:00</t>
  </si>
  <si>
    <t>13/06/2025 21:15</t>
  </si>
  <si>
    <t>13/06/2025 21:30</t>
  </si>
  <si>
    <t>13/06/2025 21:45</t>
  </si>
  <si>
    <t>13/06/2025 22:00</t>
  </si>
  <si>
    <t>13/06/2025 22:15</t>
  </si>
  <si>
    <t>13/06/2025 22:30</t>
  </si>
  <si>
    <t>13/06/2025 22:45</t>
  </si>
  <si>
    <t>13/06/2025 23:00</t>
  </si>
  <si>
    <t>13/06/2025 23:15</t>
  </si>
  <si>
    <t>13/06/2025 23:30</t>
  </si>
  <si>
    <t>13/06/2025 23:45</t>
  </si>
  <si>
    <t>13/06/2025 24:00</t>
  </si>
  <si>
    <t>14/06/2025 00:15</t>
  </si>
  <si>
    <t>14/06/2025 00:30</t>
  </si>
  <si>
    <t>14/06/2025 00:45</t>
  </si>
  <si>
    <t>14/06/2025 01:00</t>
  </si>
  <si>
    <t>14/06/2025 01:15</t>
  </si>
  <si>
    <t>14/06/2025 01:30</t>
  </si>
  <si>
    <t>14/06/2025 01:45</t>
  </si>
  <si>
    <t>14/06/2025 02:00</t>
  </si>
  <si>
    <t>14/06/2025 02:15</t>
  </si>
  <si>
    <t>14/06/2025 02:30</t>
  </si>
  <si>
    <t>14/06/2025 02:45</t>
  </si>
  <si>
    <t>14/06/2025 03:00</t>
  </si>
  <si>
    <t>14/06/2025 03:15</t>
  </si>
  <si>
    <t>14/06/2025 03:30</t>
  </si>
  <si>
    <t>14/06/2025 03:45</t>
  </si>
  <si>
    <t>14/06/2025 04:00</t>
  </si>
  <si>
    <t>14/06/2025 04:15</t>
  </si>
  <si>
    <t>14/06/2025 04:30</t>
  </si>
  <si>
    <t>14/06/2025 04:45</t>
  </si>
  <si>
    <t>14/06/2025 05:00</t>
  </si>
  <si>
    <t>14/06/2025 05:15</t>
  </si>
  <si>
    <t>14/06/2025 05:30</t>
  </si>
  <si>
    <t>14/06/2025 05:45</t>
  </si>
  <si>
    <t>14/06/2025 06:00</t>
  </si>
  <si>
    <t>14/06/2025 06:15</t>
  </si>
  <si>
    <t>14/06/2025 06:30</t>
  </si>
  <si>
    <t>14/06/2025 06:45</t>
  </si>
  <si>
    <t>14/06/2025 07:00</t>
  </si>
  <si>
    <t>14/06/2025 07:15</t>
  </si>
  <si>
    <t>14/06/2025 07:30</t>
  </si>
  <si>
    <t>14/06/2025 07:45</t>
  </si>
  <si>
    <t>14/06/2025 08:00</t>
  </si>
  <si>
    <t>14/06/2025 08:15</t>
  </si>
  <si>
    <t>14/06/2025 08:30</t>
  </si>
  <si>
    <t>14/06/2025 08:45</t>
  </si>
  <si>
    <t>14/06/2025 09:00</t>
  </si>
  <si>
    <t>14/06/2025 09:15</t>
  </si>
  <si>
    <t>14/06/2025 09:30</t>
  </si>
  <si>
    <t>14/06/2025 09:45</t>
  </si>
  <si>
    <t>14/06/2025 10:00</t>
  </si>
  <si>
    <t>14/06/2025 10:15</t>
  </si>
  <si>
    <t>14/06/2025 10:30</t>
  </si>
  <si>
    <t>14/06/2025 10:45</t>
  </si>
  <si>
    <t>14/06/2025 11:00</t>
  </si>
  <si>
    <t>14/06/2025 11:15</t>
  </si>
  <si>
    <t>14/06/2025 11:30</t>
  </si>
  <si>
    <t>14/06/2025 11:45</t>
  </si>
  <si>
    <t>14/06/2025 12:00</t>
  </si>
  <si>
    <t>14/06/2025 12:15</t>
  </si>
  <si>
    <t>14/06/2025 12:30</t>
  </si>
  <si>
    <t>14/06/2025 12:45</t>
  </si>
  <si>
    <t>14/06/2025 13:00</t>
  </si>
  <si>
    <t>14/06/2025 13:15</t>
  </si>
  <si>
    <t>14/06/2025 13:30</t>
  </si>
  <si>
    <t>14/06/2025 13:45</t>
  </si>
  <si>
    <t>14/06/2025 14:00</t>
  </si>
  <si>
    <t>14/06/2025 14:15</t>
  </si>
  <si>
    <t>14/06/2025 14:30</t>
  </si>
  <si>
    <t>14/06/2025 14:45</t>
  </si>
  <si>
    <t>14/06/2025 15:00</t>
  </si>
  <si>
    <t>14/06/2025 15:15</t>
  </si>
  <si>
    <t>14/06/2025 15:30</t>
  </si>
  <si>
    <t>14/06/2025 15:45</t>
  </si>
  <si>
    <t>14/06/2025 16:00</t>
  </si>
  <si>
    <t>14/06/2025 16:15</t>
  </si>
  <si>
    <t>14/06/2025 16:30</t>
  </si>
  <si>
    <t>14/06/2025 16:45</t>
  </si>
  <si>
    <t>14/06/2025 17:00</t>
  </si>
  <si>
    <t>14/06/2025 17:15</t>
  </si>
  <si>
    <t>14/06/2025 17:30</t>
  </si>
  <si>
    <t>14/06/2025 17:45</t>
  </si>
  <si>
    <t>14/06/2025 18:00</t>
  </si>
  <si>
    <t>14/06/2025 18:15</t>
  </si>
  <si>
    <t>14/06/2025 18:30</t>
  </si>
  <si>
    <t>14/06/2025 18:45</t>
  </si>
  <si>
    <t>14/06/2025 19:00</t>
  </si>
  <si>
    <t>14/06/2025 19:15</t>
  </si>
  <si>
    <t>14/06/2025 19:30</t>
  </si>
  <si>
    <t>14/06/2025 19:45</t>
  </si>
  <si>
    <t>14/06/2025 20:00</t>
  </si>
  <si>
    <t>14/06/2025 20:15</t>
  </si>
  <si>
    <t>14/06/2025 20:30</t>
  </si>
  <si>
    <t>14/06/2025 20:45</t>
  </si>
  <si>
    <t>14/06/2025 21:00</t>
  </si>
  <si>
    <t>14/06/2025 21:15</t>
  </si>
  <si>
    <t>14/06/2025 21:30</t>
  </si>
  <si>
    <t>14/06/2025 21:45</t>
  </si>
  <si>
    <t>14/06/2025 22:00</t>
  </si>
  <si>
    <t>14/06/2025 22:15</t>
  </si>
  <si>
    <t>14/06/2025 22:30</t>
  </si>
  <si>
    <t>14/06/2025 22:45</t>
  </si>
  <si>
    <t>14/06/2025 23:00</t>
  </si>
  <si>
    <t>14/06/2025 23:15</t>
  </si>
  <si>
    <t>14/06/2025 23:30</t>
  </si>
  <si>
    <t>14/06/2025 23:45</t>
  </si>
  <si>
    <t>14/06/2025 24:00</t>
  </si>
  <si>
    <t>15/06/2025 00:15</t>
  </si>
  <si>
    <t>15/06/2025 00:30</t>
  </si>
  <si>
    <t>15/06/2025 00:45</t>
  </si>
  <si>
    <t>15/06/2025 01:00</t>
  </si>
  <si>
    <t>15/06/2025 01:15</t>
  </si>
  <si>
    <t>15/06/2025 01:30</t>
  </si>
  <si>
    <t>15/06/2025 01:45</t>
  </si>
  <si>
    <t>15/06/2025 02:00</t>
  </si>
  <si>
    <t>15/06/2025 02:15</t>
  </si>
  <si>
    <t>15/06/2025 02:30</t>
  </si>
  <si>
    <t>15/06/2025 02:45</t>
  </si>
  <si>
    <t>15/06/2025 03:00</t>
  </si>
  <si>
    <t>15/06/2025 03:15</t>
  </si>
  <si>
    <t>15/06/2025 03:30</t>
  </si>
  <si>
    <t>15/06/2025 03:45</t>
  </si>
  <si>
    <t>15/06/2025 04:00</t>
  </si>
  <si>
    <t>15/06/2025 04:15</t>
  </si>
  <si>
    <t>15/06/2025 04:30</t>
  </si>
  <si>
    <t>15/06/2025 04:45</t>
  </si>
  <si>
    <t>15/06/2025 05:00</t>
  </si>
  <si>
    <t>15/06/2025 05:15</t>
  </si>
  <si>
    <t>15/06/2025 05:30</t>
  </si>
  <si>
    <t>15/06/2025 05:45</t>
  </si>
  <si>
    <t>15/06/2025 06:00</t>
  </si>
  <si>
    <t>15/06/2025 06:15</t>
  </si>
  <si>
    <t>15/06/2025 06:30</t>
  </si>
  <si>
    <t>15/06/2025 06:45</t>
  </si>
  <si>
    <t>15/06/2025 07:00</t>
  </si>
  <si>
    <t>15/06/2025 07:15</t>
  </si>
  <si>
    <t>15/06/2025 07:30</t>
  </si>
  <si>
    <t>15/06/2025 07:45</t>
  </si>
  <si>
    <t>15/06/2025 08:00</t>
  </si>
  <si>
    <t>15/06/2025 08:15</t>
  </si>
  <si>
    <t>15/06/2025 08:30</t>
  </si>
  <si>
    <t>15/06/2025 08:45</t>
  </si>
  <si>
    <t>15/06/2025 09:00</t>
  </si>
  <si>
    <t>15/06/2025 09:15</t>
  </si>
  <si>
    <t>15/06/2025 09:30</t>
  </si>
  <si>
    <t>15/06/2025 09:45</t>
  </si>
  <si>
    <t>15/06/2025 10:00</t>
  </si>
  <si>
    <t>15/06/2025 10:15</t>
  </si>
  <si>
    <t>15/06/2025 10:30</t>
  </si>
  <si>
    <t>15/06/2025 10:45</t>
  </si>
  <si>
    <t>15/06/2025 11:00</t>
  </si>
  <si>
    <t>15/06/2025 11:15</t>
  </si>
  <si>
    <t>15/06/2025 11:30</t>
  </si>
  <si>
    <t>15/06/2025 11:45</t>
  </si>
  <si>
    <t>15/06/2025 12:00</t>
  </si>
  <si>
    <t>15/06/2025 12:15</t>
  </si>
  <si>
    <t>15/06/2025 12:30</t>
  </si>
  <si>
    <t>15/06/2025 12:45</t>
  </si>
  <si>
    <t>15/06/2025 13:00</t>
  </si>
  <si>
    <t>15/06/2025 13:15</t>
  </si>
  <si>
    <t>15/06/2025 13:30</t>
  </si>
  <si>
    <t>15/06/2025 13:45</t>
  </si>
  <si>
    <t>15/06/2025 14:00</t>
  </si>
  <si>
    <t>15/06/2025 14:15</t>
  </si>
  <si>
    <t>15/06/2025 14:30</t>
  </si>
  <si>
    <t>15/06/2025 14:45</t>
  </si>
  <si>
    <t>15/06/2025 15:00</t>
  </si>
  <si>
    <t>15/06/2025 15:15</t>
  </si>
  <si>
    <t>15/06/2025 15:30</t>
  </si>
  <si>
    <t>15/06/2025 15:45</t>
  </si>
  <si>
    <t>15/06/2025 16:00</t>
  </si>
  <si>
    <t>15/06/2025 16:15</t>
  </si>
  <si>
    <t>15/06/2025 16:30</t>
  </si>
  <si>
    <t>15/06/2025 16:45</t>
  </si>
  <si>
    <t>15/06/2025 17:00</t>
  </si>
  <si>
    <t>15/06/2025 17:15</t>
  </si>
  <si>
    <t>15/06/2025 17:30</t>
  </si>
  <si>
    <t>15/06/2025 17:45</t>
  </si>
  <si>
    <t>15/06/2025 18:00</t>
  </si>
  <si>
    <t>15/06/2025 18:15</t>
  </si>
  <si>
    <t>15/06/2025 18:30</t>
  </si>
  <si>
    <t>15/06/2025 18:45</t>
  </si>
  <si>
    <t>15/06/2025 19:00</t>
  </si>
  <si>
    <t>15/06/2025 19:15</t>
  </si>
  <si>
    <t>15/06/2025 19:30</t>
  </si>
  <si>
    <t>15/06/2025 19:45</t>
  </si>
  <si>
    <t>15/06/2025 20:00</t>
  </si>
  <si>
    <t>15/06/2025 20:15</t>
  </si>
  <si>
    <t>15/06/2025 20:30</t>
  </si>
  <si>
    <t>15/06/2025 20:45</t>
  </si>
  <si>
    <t>15/06/2025 21:00</t>
  </si>
  <si>
    <t>15/06/2025 21:15</t>
  </si>
  <si>
    <t>15/06/2025 21:30</t>
  </si>
  <si>
    <t>15/06/2025 21:45</t>
  </si>
  <si>
    <t>15/06/2025 22:00</t>
  </si>
  <si>
    <t>15/06/2025 22:15</t>
  </si>
  <si>
    <t>15/06/2025 22:30</t>
  </si>
  <si>
    <t>15/06/2025 22:45</t>
  </si>
  <si>
    <t>15/06/2025 23:00</t>
  </si>
  <si>
    <t>15/06/2025 23:15</t>
  </si>
  <si>
    <t>15/06/2025 23:30</t>
  </si>
  <si>
    <t>15/06/2025 23:45</t>
  </si>
  <si>
    <t>15/06/2025 24:00</t>
  </si>
  <si>
    <t>16/06/2025 00:15</t>
  </si>
  <si>
    <t>16/06/2025 00:30</t>
  </si>
  <si>
    <t>16/06/2025 00:45</t>
  </si>
  <si>
    <t>16/06/2025 01:00</t>
  </si>
  <si>
    <t>16/06/2025 01:15</t>
  </si>
  <si>
    <t>16/06/2025 01:30</t>
  </si>
  <si>
    <t>16/06/2025 01:45</t>
  </si>
  <si>
    <t>16/06/2025 02:00</t>
  </si>
  <si>
    <t>16/06/2025 02:15</t>
  </si>
  <si>
    <t>16/06/2025 02:30</t>
  </si>
  <si>
    <t>16/06/2025 02:45</t>
  </si>
  <si>
    <t>16/06/2025 03:00</t>
  </si>
  <si>
    <t>16/06/2025 03:15</t>
  </si>
  <si>
    <t>16/06/2025 03:30</t>
  </si>
  <si>
    <t>16/06/2025 03:45</t>
  </si>
  <si>
    <t>16/06/2025 04:00</t>
  </si>
  <si>
    <t>16/06/2025 04:15</t>
  </si>
  <si>
    <t>16/06/2025 04:30</t>
  </si>
  <si>
    <t>16/06/2025 04:45</t>
  </si>
  <si>
    <t>16/06/2025 05:00</t>
  </si>
  <si>
    <t>16/06/2025 05:15</t>
  </si>
  <si>
    <t>16/06/2025 05:30</t>
  </si>
  <si>
    <t>16/06/2025 05:45</t>
  </si>
  <si>
    <t>16/06/2025 06:00</t>
  </si>
  <si>
    <t>16/06/2025 06:15</t>
  </si>
  <si>
    <t>16/06/2025 06:30</t>
  </si>
  <si>
    <t>16/06/2025 06:45</t>
  </si>
  <si>
    <t>16/06/2025 07:00</t>
  </si>
  <si>
    <t>16/06/2025 07:15</t>
  </si>
  <si>
    <t>16/06/2025 07:30</t>
  </si>
  <si>
    <t>16/06/2025 07:45</t>
  </si>
  <si>
    <t>16/06/2025 08:00</t>
  </si>
  <si>
    <t>16/06/2025 08:15</t>
  </si>
  <si>
    <t>16/06/2025 08:30</t>
  </si>
  <si>
    <t>16/06/2025 08:45</t>
  </si>
  <si>
    <t>16/06/2025 09:00</t>
  </si>
  <si>
    <t>16/06/2025 09:15</t>
  </si>
  <si>
    <t>16/06/2025 09:30</t>
  </si>
  <si>
    <t>16/06/2025 09:45</t>
  </si>
  <si>
    <t>16/06/2025 10:00</t>
  </si>
  <si>
    <t>16/06/2025 10:15</t>
  </si>
  <si>
    <t>16/06/2025 10:30</t>
  </si>
  <si>
    <t>16/06/2025 10:45</t>
  </si>
  <si>
    <t>16/06/2025 11:00</t>
  </si>
  <si>
    <t>16/06/2025 11:15</t>
  </si>
  <si>
    <t>16/06/2025 11:30</t>
  </si>
  <si>
    <t>16/06/2025 11:45</t>
  </si>
  <si>
    <t>16/06/2025 12:00</t>
  </si>
  <si>
    <t>16/06/2025 12:15</t>
  </si>
  <si>
    <t>16/06/2025 12:30</t>
  </si>
  <si>
    <t>16/06/2025 12:45</t>
  </si>
  <si>
    <t>16/06/2025 13:00</t>
  </si>
  <si>
    <t>16/06/2025 13:15</t>
  </si>
  <si>
    <t>16/06/2025 13:30</t>
  </si>
  <si>
    <t>16/06/2025 13:45</t>
  </si>
  <si>
    <t>16/06/2025 14:00</t>
  </si>
  <si>
    <t>16/06/2025 14:15</t>
  </si>
  <si>
    <t>16/06/2025 14:30</t>
  </si>
  <si>
    <t>16/06/2025 14:45</t>
  </si>
  <si>
    <t>16/06/2025 15:00</t>
  </si>
  <si>
    <t>16/06/2025 15:15</t>
  </si>
  <si>
    <t>16/06/2025 15:30</t>
  </si>
  <si>
    <t>16/06/2025 15:45</t>
  </si>
  <si>
    <t>16/06/2025 16:00</t>
  </si>
  <si>
    <t>16/06/2025 16:15</t>
  </si>
  <si>
    <t>16/06/2025 16:30</t>
  </si>
  <si>
    <t>16/06/2025 16:45</t>
  </si>
  <si>
    <t>16/06/2025 17:00</t>
  </si>
  <si>
    <t>16/06/2025 17:15</t>
  </si>
  <si>
    <t>16/06/2025 17:30</t>
  </si>
  <si>
    <t>16/06/2025 17:45</t>
  </si>
  <si>
    <t>16/06/2025 18:00</t>
  </si>
  <si>
    <t>16/06/2025 18:15</t>
  </si>
  <si>
    <t>16/06/2025 18:30</t>
  </si>
  <si>
    <t>16/06/2025 18:45</t>
  </si>
  <si>
    <t>16/06/2025 19:00</t>
  </si>
  <si>
    <t>16/06/2025 19:15</t>
  </si>
  <si>
    <t>16/06/2025 19:30</t>
  </si>
  <si>
    <t>16/06/2025 19:45</t>
  </si>
  <si>
    <t>16/06/2025 20:00</t>
  </si>
  <si>
    <t>16/06/2025 20:15</t>
  </si>
  <si>
    <t>16/06/2025 20:30</t>
  </si>
  <si>
    <t>16/06/2025 20:45</t>
  </si>
  <si>
    <t>16/06/2025 21:00</t>
  </si>
  <si>
    <t>16/06/2025 21:15</t>
  </si>
  <si>
    <t>16/06/2025 21:30</t>
  </si>
  <si>
    <t>16/06/2025 21:45</t>
  </si>
  <si>
    <t>16/06/2025 22:00</t>
  </si>
  <si>
    <t>16/06/2025 22:15</t>
  </si>
  <si>
    <t>16/06/2025 22:30</t>
  </si>
  <si>
    <t>16/06/2025 22:45</t>
  </si>
  <si>
    <t>16/06/2025 23:00</t>
  </si>
  <si>
    <t>16/06/2025 23:15</t>
  </si>
  <si>
    <t>16/06/2025 23:30</t>
  </si>
  <si>
    <t>16/06/2025 23:45</t>
  </si>
  <si>
    <t>16/06/2025 24:00</t>
  </si>
  <si>
    <t>17/06/2025 00:15</t>
  </si>
  <si>
    <t>17/06/2025 00:30</t>
  </si>
  <si>
    <t>17/06/2025 00:45</t>
  </si>
  <si>
    <t>17/06/2025 01:00</t>
  </si>
  <si>
    <t>17/06/2025 01:15</t>
  </si>
  <si>
    <t>17/06/2025 01:30</t>
  </si>
  <si>
    <t>17/06/2025 01:45</t>
  </si>
  <si>
    <t>17/06/2025 02:00</t>
  </si>
  <si>
    <t>17/06/2025 02:15</t>
  </si>
  <si>
    <t>17/06/2025 02:30</t>
  </si>
  <si>
    <t>17/06/2025 02:45</t>
  </si>
  <si>
    <t>17/06/2025 03:00</t>
  </si>
  <si>
    <t>17/06/2025 03:15</t>
  </si>
  <si>
    <t>17/06/2025 03:30</t>
  </si>
  <si>
    <t>17/06/2025 03:45</t>
  </si>
  <si>
    <t>17/06/2025 04:00</t>
  </si>
  <si>
    <t>17/06/2025 04:15</t>
  </si>
  <si>
    <t>17/06/2025 04:30</t>
  </si>
  <si>
    <t>17/06/2025 04:45</t>
  </si>
  <si>
    <t>17/06/2025 05:00</t>
  </si>
  <si>
    <t>17/06/2025 05:15</t>
  </si>
  <si>
    <t>17/06/2025 05:30</t>
  </si>
  <si>
    <t>17/06/2025 05:45</t>
  </si>
  <si>
    <t>17/06/2025 06:00</t>
  </si>
  <si>
    <t>17/06/2025 06:15</t>
  </si>
  <si>
    <t>17/06/2025 06:30</t>
  </si>
  <si>
    <t>17/06/2025 06:45</t>
  </si>
  <si>
    <t>17/06/2025 07:00</t>
  </si>
  <si>
    <t>17/06/2025 07:15</t>
  </si>
  <si>
    <t>17/06/2025 07:30</t>
  </si>
  <si>
    <t>17/06/2025 07:45</t>
  </si>
  <si>
    <t>17/06/2025 08:00</t>
  </si>
  <si>
    <t>17/06/2025 08:15</t>
  </si>
  <si>
    <t>17/06/2025 08:30</t>
  </si>
  <si>
    <t>17/06/2025 08:45</t>
  </si>
  <si>
    <t>17/06/2025 09:00</t>
  </si>
  <si>
    <t>17/06/2025 09:15</t>
  </si>
  <si>
    <t>17/06/2025 09:30</t>
  </si>
  <si>
    <t>17/06/2025 09:45</t>
  </si>
  <si>
    <t>17/06/2025 10:00</t>
  </si>
  <si>
    <t>17/06/2025 10:15</t>
  </si>
  <si>
    <t>17/06/2025 10:30</t>
  </si>
  <si>
    <t>17/06/2025 10:45</t>
  </si>
  <si>
    <t>17/06/2025 11:00</t>
  </si>
  <si>
    <t>17/06/2025 11:15</t>
  </si>
  <si>
    <t>17/06/2025 11:30</t>
  </si>
  <si>
    <t>17/06/2025 11:45</t>
  </si>
  <si>
    <t>17/06/2025 12:00</t>
  </si>
  <si>
    <t>17/06/2025 12:15</t>
  </si>
  <si>
    <t>17/06/2025 12:30</t>
  </si>
  <si>
    <t>17/06/2025 12:45</t>
  </si>
  <si>
    <t>17/06/2025 13:00</t>
  </si>
  <si>
    <t>17/06/2025 13:15</t>
  </si>
  <si>
    <t>17/06/2025 13:30</t>
  </si>
  <si>
    <t>17/06/2025 13:45</t>
  </si>
  <si>
    <t>17/06/2025 14:00</t>
  </si>
  <si>
    <t>17/06/2025 14:15</t>
  </si>
  <si>
    <t>17/06/2025 14:30</t>
  </si>
  <si>
    <t>17/06/2025 14:45</t>
  </si>
  <si>
    <t>17/06/2025 15:00</t>
  </si>
  <si>
    <t>17/06/2025 15:15</t>
  </si>
  <si>
    <t>17/06/2025 15:30</t>
  </si>
  <si>
    <t>17/06/2025 15:45</t>
  </si>
  <si>
    <t>17/06/2025 16:00</t>
  </si>
  <si>
    <t>17/06/2025 16:15</t>
  </si>
  <si>
    <t>17/06/2025 16:30</t>
  </si>
  <si>
    <t>17/06/2025 16:45</t>
  </si>
  <si>
    <t>17/06/2025 17:00</t>
  </si>
  <si>
    <t>17/06/2025 17:15</t>
  </si>
  <si>
    <t>17/06/2025 17:30</t>
  </si>
  <si>
    <t>17/06/2025 17:45</t>
  </si>
  <si>
    <t>17/06/2025 18:00</t>
  </si>
  <si>
    <t>17/06/2025 18:15</t>
  </si>
  <si>
    <t>17/06/2025 18:30</t>
  </si>
  <si>
    <t>17/06/2025 18:45</t>
  </si>
  <si>
    <t>17/06/2025 19:00</t>
  </si>
  <si>
    <t>17/06/2025 19:15</t>
  </si>
  <si>
    <t>17/06/2025 19:30</t>
  </si>
  <si>
    <t>17/06/2025 19:45</t>
  </si>
  <si>
    <t>17/06/2025 20:00</t>
  </si>
  <si>
    <t>17/06/2025 20:15</t>
  </si>
  <si>
    <t>17/06/2025 20:30</t>
  </si>
  <si>
    <t>17/06/2025 20:45</t>
  </si>
  <si>
    <t>17/06/2025 21:00</t>
  </si>
  <si>
    <t>17/06/2025 21:15</t>
  </si>
  <si>
    <t>17/06/2025 21:30</t>
  </si>
  <si>
    <t>17/06/2025 21:45</t>
  </si>
  <si>
    <t>17/06/2025 22:00</t>
  </si>
  <si>
    <t>17/06/2025 22:15</t>
  </si>
  <si>
    <t>17/06/2025 22:30</t>
  </si>
  <si>
    <t>17/06/2025 22:45</t>
  </si>
  <si>
    <t>17/06/2025 23:00</t>
  </si>
  <si>
    <t>17/06/2025 23:15</t>
  </si>
  <si>
    <t>17/06/2025 23:30</t>
  </si>
  <si>
    <t>17/06/2025 23:45</t>
  </si>
  <si>
    <t>17/06/2025 24:00</t>
  </si>
  <si>
    <t>18/06/2025 00:15</t>
  </si>
  <si>
    <t>18/06/2025 00:30</t>
  </si>
  <si>
    <t>18/06/2025 00:45</t>
  </si>
  <si>
    <t>18/06/2025 01:00</t>
  </si>
  <si>
    <t>18/06/2025 01:15</t>
  </si>
  <si>
    <t>18/06/2025 01:30</t>
  </si>
  <si>
    <t>18/06/2025 01:45</t>
  </si>
  <si>
    <t>18/06/2025 02:00</t>
  </si>
  <si>
    <t>18/06/2025 02:15</t>
  </si>
  <si>
    <t>18/06/2025 02:30</t>
  </si>
  <si>
    <t>18/06/2025 02:45</t>
  </si>
  <si>
    <t>18/06/2025 03:00</t>
  </si>
  <si>
    <t>18/06/2025 03:15</t>
  </si>
  <si>
    <t>18/06/2025 03:30</t>
  </si>
  <si>
    <t>18/06/2025 03:45</t>
  </si>
  <si>
    <t>18/06/2025 04:00</t>
  </si>
  <si>
    <t>18/06/2025 04:15</t>
  </si>
  <si>
    <t>18/06/2025 04:30</t>
  </si>
  <si>
    <t>18/06/2025 04:45</t>
  </si>
  <si>
    <t>18/06/2025 05:00</t>
  </si>
  <si>
    <t>18/06/2025 05:15</t>
  </si>
  <si>
    <t>18/06/2025 05:30</t>
  </si>
  <si>
    <t>18/06/2025 05:45</t>
  </si>
  <si>
    <t>18/06/2025 06:00</t>
  </si>
  <si>
    <t>18/06/2025 06:15</t>
  </si>
  <si>
    <t>18/06/2025 06:30</t>
  </si>
  <si>
    <t>18/06/2025 06:45</t>
  </si>
  <si>
    <t>18/06/2025 07:00</t>
  </si>
  <si>
    <t>18/06/2025 07:15</t>
  </si>
  <si>
    <t>18/06/2025 07:30</t>
  </si>
  <si>
    <t>18/06/2025 07:45</t>
  </si>
  <si>
    <t>18/06/2025 08:00</t>
  </si>
  <si>
    <t>18/06/2025 08:15</t>
  </si>
  <si>
    <t>18/06/2025 08:30</t>
  </si>
  <si>
    <t>18/06/2025 08:45</t>
  </si>
  <si>
    <t>18/06/2025 09:00</t>
  </si>
  <si>
    <t>18/06/2025 09:15</t>
  </si>
  <si>
    <t>18/06/2025 09:30</t>
  </si>
  <si>
    <t>18/06/2025 09:45</t>
  </si>
  <si>
    <t>18/06/2025 10:00</t>
  </si>
  <si>
    <t>18/06/2025 10:15</t>
  </si>
  <si>
    <t>18/06/2025 10:30</t>
  </si>
  <si>
    <t>18/06/2025 10:45</t>
  </si>
  <si>
    <t>18/06/2025 11:00</t>
  </si>
  <si>
    <t>18/06/2025 11:15</t>
  </si>
  <si>
    <t>18/06/2025 11:30</t>
  </si>
  <si>
    <t>18/06/2025 11:45</t>
  </si>
  <si>
    <t>18/06/2025 12:00</t>
  </si>
  <si>
    <t>18/06/2025 12:15</t>
  </si>
  <si>
    <t>18/06/2025 12:30</t>
  </si>
  <si>
    <t>18/06/2025 12:45</t>
  </si>
  <si>
    <t>18/06/2025 13:00</t>
  </si>
  <si>
    <t>18/06/2025 13:15</t>
  </si>
  <si>
    <t>18/06/2025 13:30</t>
  </si>
  <si>
    <t>18/06/2025 13:45</t>
  </si>
  <si>
    <t>18/06/2025 14:00</t>
  </si>
  <si>
    <t>18/06/2025 14:15</t>
  </si>
  <si>
    <t>18/06/2025 14:30</t>
  </si>
  <si>
    <t>18/06/2025 14:45</t>
  </si>
  <si>
    <t>18/06/2025 15:00</t>
  </si>
  <si>
    <t>18/06/2025 15:15</t>
  </si>
  <si>
    <t>18/06/2025 15:30</t>
  </si>
  <si>
    <t>18/06/2025 15:45</t>
  </si>
  <si>
    <t>18/06/2025 16:00</t>
  </si>
  <si>
    <t>18/06/2025 16:15</t>
  </si>
  <si>
    <t>18/06/2025 16:30</t>
  </si>
  <si>
    <t>18/06/2025 16:45</t>
  </si>
  <si>
    <t>18/06/2025 17:00</t>
  </si>
  <si>
    <t>18/06/2025 17:15</t>
  </si>
  <si>
    <t>18/06/2025 17:30</t>
  </si>
  <si>
    <t>18/06/2025 17:45</t>
  </si>
  <si>
    <t>18/06/2025 18:00</t>
  </si>
  <si>
    <t>18/06/2025 18:15</t>
  </si>
  <si>
    <t>18/06/2025 18:30</t>
  </si>
  <si>
    <t>18/06/2025 18:45</t>
  </si>
  <si>
    <t>18/06/2025 19:00</t>
  </si>
  <si>
    <t>18/06/2025 19:15</t>
  </si>
  <si>
    <t>18/06/2025 19:30</t>
  </si>
  <si>
    <t>18/06/2025 19:45</t>
  </si>
  <si>
    <t>18/06/2025 20:00</t>
  </si>
  <si>
    <t>18/06/2025 20:15</t>
  </si>
  <si>
    <t>18/06/2025 20:30</t>
  </si>
  <si>
    <t>18/06/2025 20:45</t>
  </si>
  <si>
    <t>18/06/2025 21:00</t>
  </si>
  <si>
    <t>18/06/2025 21:15</t>
  </si>
  <si>
    <t>18/06/2025 21:30</t>
  </si>
  <si>
    <t>18/06/2025 21:45</t>
  </si>
  <si>
    <t>18/06/2025 22:00</t>
  </si>
  <si>
    <t>18/06/2025 22:15</t>
  </si>
  <si>
    <t>18/06/2025 22:30</t>
  </si>
  <si>
    <t>18/06/2025 22:45</t>
  </si>
  <si>
    <t>18/06/2025 23:00</t>
  </si>
  <si>
    <t>18/06/2025 23:15</t>
  </si>
  <si>
    <t>18/06/2025 23:30</t>
  </si>
  <si>
    <t>18/06/2025 23:45</t>
  </si>
  <si>
    <t>18/06/2025 24:00</t>
  </si>
  <si>
    <t>19/06/2025 00:15</t>
  </si>
  <si>
    <t>19/06/2025 00:30</t>
  </si>
  <si>
    <t>19/06/2025 00:45</t>
  </si>
  <si>
    <t>19/06/2025 01:00</t>
  </si>
  <si>
    <t>19/06/2025 01:15</t>
  </si>
  <si>
    <t>19/06/2025 01:30</t>
  </si>
  <si>
    <t>19/06/2025 01:45</t>
  </si>
  <si>
    <t>19/06/2025 02:00</t>
  </si>
  <si>
    <t>19/06/2025 02:15</t>
  </si>
  <si>
    <t>19/06/2025 02:30</t>
  </si>
  <si>
    <t>19/06/2025 02:45</t>
  </si>
  <si>
    <t>19/06/2025 03:00</t>
  </si>
  <si>
    <t>19/06/2025 03:15</t>
  </si>
  <si>
    <t>19/06/2025 03:30</t>
  </si>
  <si>
    <t>19/06/2025 03:45</t>
  </si>
  <si>
    <t>19/06/2025 04:00</t>
  </si>
  <si>
    <t>19/06/2025 04:15</t>
  </si>
  <si>
    <t>19/06/2025 04:30</t>
  </si>
  <si>
    <t>19/06/2025 04:45</t>
  </si>
  <si>
    <t>19/06/2025 05:00</t>
  </si>
  <si>
    <t>19/06/2025 05:15</t>
  </si>
  <si>
    <t>19/06/2025 05:30</t>
  </si>
  <si>
    <t>19/06/2025 05:45</t>
  </si>
  <si>
    <t>19/06/2025 06:00</t>
  </si>
  <si>
    <t>19/06/2025 06:15</t>
  </si>
  <si>
    <t>19/06/2025 06:30</t>
  </si>
  <si>
    <t>19/06/2025 06:45</t>
  </si>
  <si>
    <t>19/06/2025 07:00</t>
  </si>
  <si>
    <t>19/06/2025 07:15</t>
  </si>
  <si>
    <t>19/06/2025 07:30</t>
  </si>
  <si>
    <t>19/06/2025 07:45</t>
  </si>
  <si>
    <t>19/06/2025 08:00</t>
  </si>
  <si>
    <t>19/06/2025 08:15</t>
  </si>
  <si>
    <t>19/06/2025 08:30</t>
  </si>
  <si>
    <t>19/06/2025 08:45</t>
  </si>
  <si>
    <t>19/06/2025 09:00</t>
  </si>
  <si>
    <t>19/06/2025 09:15</t>
  </si>
  <si>
    <t>19/06/2025 09:30</t>
  </si>
  <si>
    <t>19/06/2025 09:45</t>
  </si>
  <si>
    <t>19/06/2025 10:00</t>
  </si>
  <si>
    <t>19/06/2025 10:15</t>
  </si>
  <si>
    <t>19/06/2025 10:30</t>
  </si>
  <si>
    <t>19/06/2025 10:45</t>
  </si>
  <si>
    <t>19/06/2025 11:00</t>
  </si>
  <si>
    <t>19/06/2025 11:15</t>
  </si>
  <si>
    <t>19/06/2025 11:30</t>
  </si>
  <si>
    <t>19/06/2025 11:45</t>
  </si>
  <si>
    <t>19/06/2025 12:00</t>
  </si>
  <si>
    <t>19/06/2025 12:15</t>
  </si>
  <si>
    <t>19/06/2025 12:30</t>
  </si>
  <si>
    <t>19/06/2025 12:45</t>
  </si>
  <si>
    <t>19/06/2025 13:00</t>
  </si>
  <si>
    <t>19/06/2025 13:15</t>
  </si>
  <si>
    <t>19/06/2025 13:30</t>
  </si>
  <si>
    <t>19/06/2025 13:45</t>
  </si>
  <si>
    <t>19/06/2025 14:00</t>
  </si>
  <si>
    <t>19/06/2025 14:15</t>
  </si>
  <si>
    <t>19/06/2025 14:30</t>
  </si>
  <si>
    <t>19/06/2025 14:45</t>
  </si>
  <si>
    <t>19/06/2025 15:00</t>
  </si>
  <si>
    <t>19/06/2025 15:15</t>
  </si>
  <si>
    <t>19/06/2025 15:30</t>
  </si>
  <si>
    <t>19/06/2025 15:45</t>
  </si>
  <si>
    <t>19/06/2025 16:00</t>
  </si>
  <si>
    <t>19/06/2025 16:15</t>
  </si>
  <si>
    <t>19/06/2025 16:30</t>
  </si>
  <si>
    <t>19/06/2025 16:45</t>
  </si>
  <si>
    <t>19/06/2025 17:00</t>
  </si>
  <si>
    <t>19/06/2025 17:15</t>
  </si>
  <si>
    <t>19/06/2025 17:30</t>
  </si>
  <si>
    <t>19/06/2025 17:45</t>
  </si>
  <si>
    <t>19/06/2025 18:00</t>
  </si>
  <si>
    <t>19/06/2025 18:15</t>
  </si>
  <si>
    <t>19/06/2025 18:30</t>
  </si>
  <si>
    <t>19/06/2025 18:45</t>
  </si>
  <si>
    <t>19/06/2025 19:00</t>
  </si>
  <si>
    <t>19/06/2025 19:15</t>
  </si>
  <si>
    <t>19/06/2025 19:30</t>
  </si>
  <si>
    <t>19/06/2025 19:45</t>
  </si>
  <si>
    <t>19/06/2025 20:00</t>
  </si>
  <si>
    <t>19/06/2025 20:15</t>
  </si>
  <si>
    <t>19/06/2025 20:30</t>
  </si>
  <si>
    <t>19/06/2025 20:45</t>
  </si>
  <si>
    <t>19/06/2025 21:00</t>
  </si>
  <si>
    <t>19/06/2025 21:15</t>
  </si>
  <si>
    <t>19/06/2025 21:30</t>
  </si>
  <si>
    <t>19/06/2025 21:45</t>
  </si>
  <si>
    <t>19/06/2025 22:00</t>
  </si>
  <si>
    <t>19/06/2025 22:15</t>
  </si>
  <si>
    <t>19/06/2025 22:30</t>
  </si>
  <si>
    <t>19/06/2025 22:45</t>
  </si>
  <si>
    <t>19/06/2025 23:00</t>
  </si>
  <si>
    <t>19/06/2025 23:15</t>
  </si>
  <si>
    <t>19/06/2025 23:30</t>
  </si>
  <si>
    <t>19/06/2025 23:45</t>
  </si>
  <si>
    <t>19/06/2025 24:00</t>
  </si>
  <si>
    <t>20/06/2025 00:15</t>
  </si>
  <si>
    <t>20/06/2025 00:30</t>
  </si>
  <si>
    <t>20/06/2025 00:45</t>
  </si>
  <si>
    <t>20/06/2025 01:00</t>
  </si>
  <si>
    <t>20/06/2025 01:15</t>
  </si>
  <si>
    <t>20/06/2025 01:30</t>
  </si>
  <si>
    <t>20/06/2025 01:45</t>
  </si>
  <si>
    <t>20/06/2025 02:00</t>
  </si>
  <si>
    <t>20/06/2025 02:15</t>
  </si>
  <si>
    <t>20/06/2025 02:30</t>
  </si>
  <si>
    <t>20/06/2025 02:45</t>
  </si>
  <si>
    <t>20/06/2025 03:00</t>
  </si>
  <si>
    <t>20/06/2025 03:15</t>
  </si>
  <si>
    <t>20/06/2025 03:30</t>
  </si>
  <si>
    <t>20/06/2025 03:45</t>
  </si>
  <si>
    <t>20/06/2025 04:00</t>
  </si>
  <si>
    <t>20/06/2025 04:15</t>
  </si>
  <si>
    <t>20/06/2025 04:30</t>
  </si>
  <si>
    <t>20/06/2025 04:45</t>
  </si>
  <si>
    <t>20/06/2025 05:00</t>
  </si>
  <si>
    <t>20/06/2025 05:15</t>
  </si>
  <si>
    <t>20/06/2025 05:30</t>
  </si>
  <si>
    <t>20/06/2025 05:45</t>
  </si>
  <si>
    <t>20/06/2025 06:00</t>
  </si>
  <si>
    <t>20/06/2025 06:15</t>
  </si>
  <si>
    <t>20/06/2025 06:30</t>
  </si>
  <si>
    <t>20/06/2025 06:45</t>
  </si>
  <si>
    <t>20/06/2025 07:00</t>
  </si>
  <si>
    <t>20/06/2025 07:15</t>
  </si>
  <si>
    <t>20/06/2025 07:30</t>
  </si>
  <si>
    <t>20/06/2025 07:45</t>
  </si>
  <si>
    <t>20/06/2025 08:00</t>
  </si>
  <si>
    <t>20/06/2025 08:15</t>
  </si>
  <si>
    <t>20/06/2025 08:30</t>
  </si>
  <si>
    <t>20/06/2025 08:45</t>
  </si>
  <si>
    <t>20/06/2025 09:00</t>
  </si>
  <si>
    <t>20/06/2025 09:15</t>
  </si>
  <si>
    <t>20/06/2025 09:30</t>
  </si>
  <si>
    <t>20/06/2025 09:45</t>
  </si>
  <si>
    <t>20/06/2025 10:00</t>
  </si>
  <si>
    <t>20/06/2025 10:15</t>
  </si>
  <si>
    <t>20/06/2025 10:30</t>
  </si>
  <si>
    <t>20/06/2025 10:45</t>
  </si>
  <si>
    <t>20/06/2025 11:00</t>
  </si>
  <si>
    <t>20/06/2025 11:15</t>
  </si>
  <si>
    <t>20/06/2025 11:30</t>
  </si>
  <si>
    <t>20/06/2025 11:45</t>
  </si>
  <si>
    <t>20/06/2025 12:00</t>
  </si>
  <si>
    <t>20/06/2025 12:15</t>
  </si>
  <si>
    <t>20/06/2025 12:30</t>
  </si>
  <si>
    <t>20/06/2025 12:45</t>
  </si>
  <si>
    <t>20/06/2025 13:00</t>
  </si>
  <si>
    <t>20/06/2025 13:15</t>
  </si>
  <si>
    <t>20/06/2025 13:30</t>
  </si>
  <si>
    <t>20/06/2025 13:45</t>
  </si>
  <si>
    <t>20/06/2025 14:00</t>
  </si>
  <si>
    <t>20/06/2025 14:15</t>
  </si>
  <si>
    <t>20/06/2025 14:30</t>
  </si>
  <si>
    <t>20/06/2025 14:45</t>
  </si>
  <si>
    <t>20/06/2025 15:00</t>
  </si>
  <si>
    <t>20/06/2025 15:15</t>
  </si>
  <si>
    <t>20/06/2025 15:30</t>
  </si>
  <si>
    <t>20/06/2025 15:45</t>
  </si>
  <si>
    <t>20/06/2025 16:00</t>
  </si>
  <si>
    <t>20/06/2025 16:15</t>
  </si>
  <si>
    <t>20/06/2025 16:30</t>
  </si>
  <si>
    <t>20/06/2025 16:45</t>
  </si>
  <si>
    <t>20/06/2025 17:00</t>
  </si>
  <si>
    <t>20/06/2025 17:15</t>
  </si>
  <si>
    <t>20/06/2025 17:30</t>
  </si>
  <si>
    <t>20/06/2025 17:45</t>
  </si>
  <si>
    <t>20/06/2025 18:00</t>
  </si>
  <si>
    <t>20/06/2025 18:15</t>
  </si>
  <si>
    <t>20/06/2025 18:30</t>
  </si>
  <si>
    <t>20/06/2025 18:45</t>
  </si>
  <si>
    <t>20/06/2025 19:00</t>
  </si>
  <si>
    <t>20/06/2025 19:15</t>
  </si>
  <si>
    <t>20/06/2025 19:30</t>
  </si>
  <si>
    <t>20/06/2025 19:45</t>
  </si>
  <si>
    <t>20/06/2025 20:00</t>
  </si>
  <si>
    <t>20/06/2025 20:15</t>
  </si>
  <si>
    <t>20/06/2025 20:30</t>
  </si>
  <si>
    <t>20/06/2025 20:45</t>
  </si>
  <si>
    <t>20/06/2025 21:00</t>
  </si>
  <si>
    <t>20/06/2025 21:15</t>
  </si>
  <si>
    <t>20/06/2025 21:30</t>
  </si>
  <si>
    <t>20/06/2025 21:45</t>
  </si>
  <si>
    <t>20/06/2025 22:00</t>
  </si>
  <si>
    <t>20/06/2025 22:15</t>
  </si>
  <si>
    <t>20/06/2025 22:30</t>
  </si>
  <si>
    <t>20/06/2025 22:45</t>
  </si>
  <si>
    <t>20/06/2025 23:00</t>
  </si>
  <si>
    <t>20/06/2025 23:15</t>
  </si>
  <si>
    <t>20/06/2025 23:30</t>
  </si>
  <si>
    <t>20/06/2025 23:45</t>
  </si>
  <si>
    <t>20/06/2025 24:00</t>
  </si>
  <si>
    <t>21/06/2025 00:15</t>
  </si>
  <si>
    <t>21/06/2025 00:30</t>
  </si>
  <si>
    <t>21/06/2025 00:45</t>
  </si>
  <si>
    <t>21/06/2025 01:00</t>
  </si>
  <si>
    <t>21/06/2025 01:15</t>
  </si>
  <si>
    <t>21/06/2025 01:30</t>
  </si>
  <si>
    <t>21/06/2025 01:45</t>
  </si>
  <si>
    <t>21/06/2025 02:00</t>
  </si>
  <si>
    <t>21/06/2025 02:15</t>
  </si>
  <si>
    <t>21/06/2025 02:30</t>
  </si>
  <si>
    <t>21/06/2025 02:45</t>
  </si>
  <si>
    <t>21/06/2025 03:00</t>
  </si>
  <si>
    <t>21/06/2025 03:15</t>
  </si>
  <si>
    <t>21/06/2025 03:30</t>
  </si>
  <si>
    <t>21/06/2025 03:45</t>
  </si>
  <si>
    <t>21/06/2025 04:00</t>
  </si>
  <si>
    <t>21/06/2025 04:15</t>
  </si>
  <si>
    <t>21/06/2025 04:30</t>
  </si>
  <si>
    <t>21/06/2025 04:45</t>
  </si>
  <si>
    <t>21/06/2025 05:00</t>
  </si>
  <si>
    <t>21/06/2025 05:15</t>
  </si>
  <si>
    <t>21/06/2025 05:30</t>
  </si>
  <si>
    <t>21/06/2025 05:45</t>
  </si>
  <si>
    <t>21/06/2025 06:00</t>
  </si>
  <si>
    <t>21/06/2025 06:15</t>
  </si>
  <si>
    <t>21/06/2025 06:30</t>
  </si>
  <si>
    <t>21/06/2025 06:45</t>
  </si>
  <si>
    <t>21/06/2025 07:00</t>
  </si>
  <si>
    <t>21/06/2025 07:15</t>
  </si>
  <si>
    <t>21/06/2025 07:30</t>
  </si>
  <si>
    <t>21/06/2025 07:45</t>
  </si>
  <si>
    <t>21/06/2025 08:00</t>
  </si>
  <si>
    <t>21/06/2025 08:15</t>
  </si>
  <si>
    <t>21/06/2025 08:30</t>
  </si>
  <si>
    <t>21/06/2025 08:45</t>
  </si>
  <si>
    <t>21/06/2025 09:00</t>
  </si>
  <si>
    <t>21/06/2025 09:15</t>
  </si>
  <si>
    <t>21/06/2025 09:30</t>
  </si>
  <si>
    <t>21/06/2025 09:45</t>
  </si>
  <si>
    <t>21/06/2025 10:00</t>
  </si>
  <si>
    <t>21/06/2025 10:15</t>
  </si>
  <si>
    <t>21/06/2025 10:30</t>
  </si>
  <si>
    <t>21/06/2025 10:45</t>
  </si>
  <si>
    <t>21/06/2025 11:00</t>
  </si>
  <si>
    <t>21/06/2025 11:15</t>
  </si>
  <si>
    <t>21/06/2025 11:30</t>
  </si>
  <si>
    <t>21/06/2025 11:45</t>
  </si>
  <si>
    <t>21/06/2025 12:00</t>
  </si>
  <si>
    <t>21/06/2025 12:15</t>
  </si>
  <si>
    <t>21/06/2025 12:30</t>
  </si>
  <si>
    <t>21/06/2025 12:45</t>
  </si>
  <si>
    <t>21/06/2025 13:00</t>
  </si>
  <si>
    <t>21/06/2025 13:15</t>
  </si>
  <si>
    <t>21/06/2025 13:30</t>
  </si>
  <si>
    <t>21/06/2025 13:45</t>
  </si>
  <si>
    <t>21/06/2025 14:00</t>
  </si>
  <si>
    <t>21/06/2025 14:15</t>
  </si>
  <si>
    <t>21/06/2025 14:30</t>
  </si>
  <si>
    <t>21/06/2025 14:45</t>
  </si>
  <si>
    <t>21/06/2025 15:00</t>
  </si>
  <si>
    <t>21/06/2025 15:15</t>
  </si>
  <si>
    <t>21/06/2025 15:30</t>
  </si>
  <si>
    <t>21/06/2025 15:45</t>
  </si>
  <si>
    <t>21/06/2025 16:00</t>
  </si>
  <si>
    <t>21/06/2025 16:15</t>
  </si>
  <si>
    <t>21/06/2025 16:30</t>
  </si>
  <si>
    <t>21/06/2025 16:45</t>
  </si>
  <si>
    <t>21/06/2025 17:00</t>
  </si>
  <si>
    <t>21/06/2025 17:15</t>
  </si>
  <si>
    <t>21/06/2025 17:30</t>
  </si>
  <si>
    <t>21/06/2025 17:45</t>
  </si>
  <si>
    <t>21/06/2025 18:00</t>
  </si>
  <si>
    <t>21/06/2025 18:15</t>
  </si>
  <si>
    <t>21/06/2025 18:30</t>
  </si>
  <si>
    <t>21/06/2025 18:45</t>
  </si>
  <si>
    <t>21/06/2025 19:00</t>
  </si>
  <si>
    <t>21/06/2025 19:15</t>
  </si>
  <si>
    <t>21/06/2025 19:30</t>
  </si>
  <si>
    <t>21/06/2025 19:45</t>
  </si>
  <si>
    <t>21/06/2025 20:00</t>
  </si>
  <si>
    <t>21/06/2025 20:15</t>
  </si>
  <si>
    <t>21/06/2025 20:30</t>
  </si>
  <si>
    <t>21/06/2025 20:45</t>
  </si>
  <si>
    <t>21/06/2025 21:00</t>
  </si>
  <si>
    <t>21/06/2025 21:15</t>
  </si>
  <si>
    <t>21/06/2025 21:30</t>
  </si>
  <si>
    <t>21/06/2025 21:45</t>
  </si>
  <si>
    <t>21/06/2025 22:00</t>
  </si>
  <si>
    <t>21/06/2025 22:15</t>
  </si>
  <si>
    <t>21/06/2025 22:30</t>
  </si>
  <si>
    <t>21/06/2025 22:45</t>
  </si>
  <si>
    <t>21/06/2025 23:00</t>
  </si>
  <si>
    <t>21/06/2025 23:15</t>
  </si>
  <si>
    <t>21/06/2025 23:30</t>
  </si>
  <si>
    <t>21/06/2025 23:45</t>
  </si>
  <si>
    <t>21/06/2025 24:00</t>
  </si>
  <si>
    <t>22/06/2025 00:15</t>
  </si>
  <si>
    <t>22/06/2025 00:30</t>
  </si>
  <si>
    <t>22/06/2025 00:45</t>
  </si>
  <si>
    <t>22/06/2025 01:00</t>
  </si>
  <si>
    <t>22/06/2025 01:15</t>
  </si>
  <si>
    <t>22/06/2025 01:30</t>
  </si>
  <si>
    <t>22/06/2025 01:45</t>
  </si>
  <si>
    <t>22/06/2025 02:00</t>
  </si>
  <si>
    <t>22/06/2025 02:15</t>
  </si>
  <si>
    <t>22/06/2025 02:30</t>
  </si>
  <si>
    <t>22/06/2025 02:45</t>
  </si>
  <si>
    <t>22/06/2025 03:00</t>
  </si>
  <si>
    <t>22/06/2025 03:15</t>
  </si>
  <si>
    <t>22/06/2025 03:30</t>
  </si>
  <si>
    <t>22/06/2025 03:45</t>
  </si>
  <si>
    <t>22/06/2025 04:00</t>
  </si>
  <si>
    <t>22/06/2025 04:15</t>
  </si>
  <si>
    <t>22/06/2025 04:30</t>
  </si>
  <si>
    <t>22/06/2025 04:45</t>
  </si>
  <si>
    <t>22/06/2025 05:00</t>
  </si>
  <si>
    <t>22/06/2025 05:15</t>
  </si>
  <si>
    <t>22/06/2025 05:30</t>
  </si>
  <si>
    <t>22/06/2025 05:45</t>
  </si>
  <si>
    <t>22/06/2025 06:00</t>
  </si>
  <si>
    <t>22/06/2025 06:15</t>
  </si>
  <si>
    <t>22/06/2025 06:30</t>
  </si>
  <si>
    <t>22/06/2025 06:45</t>
  </si>
  <si>
    <t>22/06/2025 07:00</t>
  </si>
  <si>
    <t>22/06/2025 07:15</t>
  </si>
  <si>
    <t>22/06/2025 07:30</t>
  </si>
  <si>
    <t>22/06/2025 07:45</t>
  </si>
  <si>
    <t>22/06/2025 08:00</t>
  </si>
  <si>
    <t>22/06/2025 08:15</t>
  </si>
  <si>
    <t>22/06/2025 08:30</t>
  </si>
  <si>
    <t>22/06/2025 08:45</t>
  </si>
  <si>
    <t>22/06/2025 09:00</t>
  </si>
  <si>
    <t>22/06/2025 09:15</t>
  </si>
  <si>
    <t>22/06/2025 09:30</t>
  </si>
  <si>
    <t>22/06/2025 09:45</t>
  </si>
  <si>
    <t>22/06/2025 10:00</t>
  </si>
  <si>
    <t>22/06/2025 10:15</t>
  </si>
  <si>
    <t>22/06/2025 10:30</t>
  </si>
  <si>
    <t>22/06/2025 10:45</t>
  </si>
  <si>
    <t>22/06/2025 11:00</t>
  </si>
  <si>
    <t>22/06/2025 11:15</t>
  </si>
  <si>
    <t>22/06/2025 11:30</t>
  </si>
  <si>
    <t>22/06/2025 11:45</t>
  </si>
  <si>
    <t>22/06/2025 12:00</t>
  </si>
  <si>
    <t>22/06/2025 12:15</t>
  </si>
  <si>
    <t>22/06/2025 12:30</t>
  </si>
  <si>
    <t>22/06/2025 12:45</t>
  </si>
  <si>
    <t>22/06/2025 13:00</t>
  </si>
  <si>
    <t>22/06/2025 13:15</t>
  </si>
  <si>
    <t>22/06/2025 13:30</t>
  </si>
  <si>
    <t>22/06/2025 13:45</t>
  </si>
  <si>
    <t>22/06/2025 14:00</t>
  </si>
  <si>
    <t>22/06/2025 14:15</t>
  </si>
  <si>
    <t>22/06/2025 14:30</t>
  </si>
  <si>
    <t>22/06/2025 14:45</t>
  </si>
  <si>
    <t>22/06/2025 15:00</t>
  </si>
  <si>
    <t>22/06/2025 15:15</t>
  </si>
  <si>
    <t>22/06/2025 15:30</t>
  </si>
  <si>
    <t>22/06/2025 15:45</t>
  </si>
  <si>
    <t>22/06/2025 16:00</t>
  </si>
  <si>
    <t>22/06/2025 16:15</t>
  </si>
  <si>
    <t>22/06/2025 16:30</t>
  </si>
  <si>
    <t>22/06/2025 16:45</t>
  </si>
  <si>
    <t>22/06/2025 17:00</t>
  </si>
  <si>
    <t>22/06/2025 17:15</t>
  </si>
  <si>
    <t>22/06/2025 17:30</t>
  </si>
  <si>
    <t>22/06/2025 17:45</t>
  </si>
  <si>
    <t>22/06/2025 18:00</t>
  </si>
  <si>
    <t>22/06/2025 18:15</t>
  </si>
  <si>
    <t>22/06/2025 18:30</t>
  </si>
  <si>
    <t>22/06/2025 18:45</t>
  </si>
  <si>
    <t>22/06/2025 19:00</t>
  </si>
  <si>
    <t>22/06/2025 19:15</t>
  </si>
  <si>
    <t>22/06/2025 19:30</t>
  </si>
  <si>
    <t>22/06/2025 19:45</t>
  </si>
  <si>
    <t>22/06/2025 20:00</t>
  </si>
  <si>
    <t>22/06/2025 20:15</t>
  </si>
  <si>
    <t>22/06/2025 20:30</t>
  </si>
  <si>
    <t>22/06/2025 20:45</t>
  </si>
  <si>
    <t>22/06/2025 21:00</t>
  </si>
  <si>
    <t>22/06/2025 21:15</t>
  </si>
  <si>
    <t>22/06/2025 21:30</t>
  </si>
  <si>
    <t>22/06/2025 21:45</t>
  </si>
  <si>
    <t>22/06/2025 22:00</t>
  </si>
  <si>
    <t>22/06/2025 22:15</t>
  </si>
  <si>
    <t>22/06/2025 22:30</t>
  </si>
  <si>
    <t>22/06/2025 22:45</t>
  </si>
  <si>
    <t>22/06/2025 23:00</t>
  </si>
  <si>
    <t>22/06/2025 23:15</t>
  </si>
  <si>
    <t>22/06/2025 23:30</t>
  </si>
  <si>
    <t>22/06/2025 23:45</t>
  </si>
  <si>
    <t>22/06/2025 24:00</t>
  </si>
  <si>
    <t>23/06/2025 00:15</t>
  </si>
  <si>
    <t>23/06/2025 00:30</t>
  </si>
  <si>
    <t>23/06/2025 00:45</t>
  </si>
  <si>
    <t>23/06/2025 01:00</t>
  </si>
  <si>
    <t>23/06/2025 01:15</t>
  </si>
  <si>
    <t>23/06/2025 01:30</t>
  </si>
  <si>
    <t>23/06/2025 01:45</t>
  </si>
  <si>
    <t>23/06/2025 02:00</t>
  </si>
  <si>
    <t>23/06/2025 02:15</t>
  </si>
  <si>
    <t>23/06/2025 02:30</t>
  </si>
  <si>
    <t>23/06/2025 02:45</t>
  </si>
  <si>
    <t>23/06/2025 03:00</t>
  </si>
  <si>
    <t>23/06/2025 03:15</t>
  </si>
  <si>
    <t>23/06/2025 03:30</t>
  </si>
  <si>
    <t>23/06/2025 03:45</t>
  </si>
  <si>
    <t>23/06/2025 04:00</t>
  </si>
  <si>
    <t>23/06/2025 04:15</t>
  </si>
  <si>
    <t>23/06/2025 04:30</t>
  </si>
  <si>
    <t>23/06/2025 04:45</t>
  </si>
  <si>
    <t>23/06/2025 05:00</t>
  </si>
  <si>
    <t>23/06/2025 05:15</t>
  </si>
  <si>
    <t>23/06/2025 05:30</t>
  </si>
  <si>
    <t>23/06/2025 05:45</t>
  </si>
  <si>
    <t>23/06/2025 06:00</t>
  </si>
  <si>
    <t>23/06/2025 06:15</t>
  </si>
  <si>
    <t>23/06/2025 06:30</t>
  </si>
  <si>
    <t>23/06/2025 06:45</t>
  </si>
  <si>
    <t>23/06/2025 07:00</t>
  </si>
  <si>
    <t>23/06/2025 07:15</t>
  </si>
  <si>
    <t>23/06/2025 07:30</t>
  </si>
  <si>
    <t>23/06/2025 07:45</t>
  </si>
  <si>
    <t>23/06/2025 08:00</t>
  </si>
  <si>
    <t>23/06/2025 08:15</t>
  </si>
  <si>
    <t>23/06/2025 08:30</t>
  </si>
  <si>
    <t>23/06/2025 08:45</t>
  </si>
  <si>
    <t>23/06/2025 09:00</t>
  </si>
  <si>
    <t>23/06/2025 09:15</t>
  </si>
  <si>
    <t>23/06/2025 09:30</t>
  </si>
  <si>
    <t>23/06/2025 09:45</t>
  </si>
  <si>
    <t>23/06/2025 10:00</t>
  </si>
  <si>
    <t>23/06/2025 10:15</t>
  </si>
  <si>
    <t>23/06/2025 10:30</t>
  </si>
  <si>
    <t>23/06/2025 10:45</t>
  </si>
  <si>
    <t>23/06/2025 11:00</t>
  </si>
  <si>
    <t>23/06/2025 11:15</t>
  </si>
  <si>
    <t>23/06/2025 11:30</t>
  </si>
  <si>
    <t>23/06/2025 11:45</t>
  </si>
  <si>
    <t>23/06/2025 12:00</t>
  </si>
  <si>
    <t>23/06/2025 12:15</t>
  </si>
  <si>
    <t>23/06/2025 12:30</t>
  </si>
  <si>
    <t>23/06/2025 12:45</t>
  </si>
  <si>
    <t>23/06/2025 13:00</t>
  </si>
  <si>
    <t>23/06/2025 13:15</t>
  </si>
  <si>
    <t>23/06/2025 13:30</t>
  </si>
  <si>
    <t>23/06/2025 13:45</t>
  </si>
  <si>
    <t>23/06/2025 14:00</t>
  </si>
  <si>
    <t>23/06/2025 14:15</t>
  </si>
  <si>
    <t>23/06/2025 14:30</t>
  </si>
  <si>
    <t>23/06/2025 14:45</t>
  </si>
  <si>
    <t>23/06/2025 15:00</t>
  </si>
  <si>
    <t>23/06/2025 15:15</t>
  </si>
  <si>
    <t>23/06/2025 15:30</t>
  </si>
  <si>
    <t>23/06/2025 15:45</t>
  </si>
  <si>
    <t>23/06/2025 16:00</t>
  </si>
  <si>
    <t>23/06/2025 16:15</t>
  </si>
  <si>
    <t>23/06/2025 16:30</t>
  </si>
  <si>
    <t>23/06/2025 16:45</t>
  </si>
  <si>
    <t>23/06/2025 17:00</t>
  </si>
  <si>
    <t>23/06/2025 17:15</t>
  </si>
  <si>
    <t>23/06/2025 17:30</t>
  </si>
  <si>
    <t>23/06/2025 17:45</t>
  </si>
  <si>
    <t>23/06/2025 18:00</t>
  </si>
  <si>
    <t>23/06/2025 18:15</t>
  </si>
  <si>
    <t>23/06/2025 18:30</t>
  </si>
  <si>
    <t>23/06/2025 18:45</t>
  </si>
  <si>
    <t>23/06/2025 19:00</t>
  </si>
  <si>
    <t>23/06/2025 19:15</t>
  </si>
  <si>
    <t>23/06/2025 19:30</t>
  </si>
  <si>
    <t>23/06/2025 19:45</t>
  </si>
  <si>
    <t>23/06/2025 20:00</t>
  </si>
  <si>
    <t>23/06/2025 20:15</t>
  </si>
  <si>
    <t>23/06/2025 20:30</t>
  </si>
  <si>
    <t>23/06/2025 20:45</t>
  </si>
  <si>
    <t>23/06/2025 21:00</t>
  </si>
  <si>
    <t>23/06/2025 21:15</t>
  </si>
  <si>
    <t>23/06/2025 21:30</t>
  </si>
  <si>
    <t>23/06/2025 21:45</t>
  </si>
  <si>
    <t>23/06/2025 22:00</t>
  </si>
  <si>
    <t>23/06/2025 22:15</t>
  </si>
  <si>
    <t>23/06/2025 22:30</t>
  </si>
  <si>
    <t>23/06/2025 22:45</t>
  </si>
  <si>
    <t>23/06/2025 23:00</t>
  </si>
  <si>
    <t>23/06/2025 23:15</t>
  </si>
  <si>
    <t>23/06/2025 23:30</t>
  </si>
  <si>
    <t>23/06/2025 23:45</t>
  </si>
  <si>
    <t>23/06/2025 24:00</t>
  </si>
  <si>
    <t>24/06/2025 00:15</t>
  </si>
  <si>
    <t>24/06/2025 00:30</t>
  </si>
  <si>
    <t>24/06/2025 00:45</t>
  </si>
  <si>
    <t>24/06/2025 01:00</t>
  </si>
  <si>
    <t>24/06/2025 01:15</t>
  </si>
  <si>
    <t>24/06/2025 01:30</t>
  </si>
  <si>
    <t>24/06/2025 01:45</t>
  </si>
  <si>
    <t>24/06/2025 02:00</t>
  </si>
  <si>
    <t>24/06/2025 02:15</t>
  </si>
  <si>
    <t>24/06/2025 02:30</t>
  </si>
  <si>
    <t>24/06/2025 02:45</t>
  </si>
  <si>
    <t>24/06/2025 03:00</t>
  </si>
  <si>
    <t>24/06/2025 03:15</t>
  </si>
  <si>
    <t>24/06/2025 03:30</t>
  </si>
  <si>
    <t>24/06/2025 03:45</t>
  </si>
  <si>
    <t>24/06/2025 04:00</t>
  </si>
  <si>
    <t>24/06/2025 04:15</t>
  </si>
  <si>
    <t>24/06/2025 04:30</t>
  </si>
  <si>
    <t>24/06/2025 04:45</t>
  </si>
  <si>
    <t>24/06/2025 05:00</t>
  </si>
  <si>
    <t>24/06/2025 05:15</t>
  </si>
  <si>
    <t>24/06/2025 05:30</t>
  </si>
  <si>
    <t>24/06/2025 05:45</t>
  </si>
  <si>
    <t>24/06/2025 06:00</t>
  </si>
  <si>
    <t>24/06/2025 06:15</t>
  </si>
  <si>
    <t>24/06/2025 06:30</t>
  </si>
  <si>
    <t>24/06/2025 06:45</t>
  </si>
  <si>
    <t>24/06/2025 07:00</t>
  </si>
  <si>
    <t>24/06/2025 07:15</t>
  </si>
  <si>
    <t>24/06/2025 07:30</t>
  </si>
  <si>
    <t>24/06/2025 07:45</t>
  </si>
  <si>
    <t>24/06/2025 08:00</t>
  </si>
  <si>
    <t>24/06/2025 08:15</t>
  </si>
  <si>
    <t>24/06/2025 08:30</t>
  </si>
  <si>
    <t>24/06/2025 08:45</t>
  </si>
  <si>
    <t>24/06/2025 09:00</t>
  </si>
  <si>
    <t>24/06/2025 09:15</t>
  </si>
  <si>
    <t>24/06/2025 09:30</t>
  </si>
  <si>
    <t>24/06/2025 09:45</t>
  </si>
  <si>
    <t>24/06/2025 10:00</t>
  </si>
  <si>
    <t>24/06/2025 10:15</t>
  </si>
  <si>
    <t>24/06/2025 10:30</t>
  </si>
  <si>
    <t>24/06/2025 10:45</t>
  </si>
  <si>
    <t>24/06/2025 11:00</t>
  </si>
  <si>
    <t>24/06/2025 11:15</t>
  </si>
  <si>
    <t>24/06/2025 11:30</t>
  </si>
  <si>
    <t>24/06/2025 11:45</t>
  </si>
  <si>
    <t>24/06/2025 12:00</t>
  </si>
  <si>
    <t>24/06/2025 12:15</t>
  </si>
  <si>
    <t>24/06/2025 12:30</t>
  </si>
  <si>
    <t>24/06/2025 12:45</t>
  </si>
  <si>
    <t>24/06/2025 13:00</t>
  </si>
  <si>
    <t>24/06/2025 13:15</t>
  </si>
  <si>
    <t>24/06/2025 13:30</t>
  </si>
  <si>
    <t>24/06/2025 13:45</t>
  </si>
  <si>
    <t>24/06/2025 14:00</t>
  </si>
  <si>
    <t>24/06/2025 14:15</t>
  </si>
  <si>
    <t>24/06/2025 14:30</t>
  </si>
  <si>
    <t>24/06/2025 14:45</t>
  </si>
  <si>
    <t>24/06/2025 15:00</t>
  </si>
  <si>
    <t>24/06/2025 15:15</t>
  </si>
  <si>
    <t>24/06/2025 15:30</t>
  </si>
  <si>
    <t>24/06/2025 15:45</t>
  </si>
  <si>
    <t>24/06/2025 16:00</t>
  </si>
  <si>
    <t>24/06/2025 16:15</t>
  </si>
  <si>
    <t>24/06/2025 16:30</t>
  </si>
  <si>
    <t>24/06/2025 16:45</t>
  </si>
  <si>
    <t>24/06/2025 17:00</t>
  </si>
  <si>
    <t>24/06/2025 17:15</t>
  </si>
  <si>
    <t>24/06/2025 17:30</t>
  </si>
  <si>
    <t>24/06/2025 17:45</t>
  </si>
  <si>
    <t>24/06/2025 18:00</t>
  </si>
  <si>
    <t>24/06/2025 18:15</t>
  </si>
  <si>
    <t>24/06/2025 18:30</t>
  </si>
  <si>
    <t>24/06/2025 18:45</t>
  </si>
  <si>
    <t>24/06/2025 19:00</t>
  </si>
  <si>
    <t>24/06/2025 19:15</t>
  </si>
  <si>
    <t>24/06/2025 19:30</t>
  </si>
  <si>
    <t>24/06/2025 19:45</t>
  </si>
  <si>
    <t>24/06/2025 20:00</t>
  </si>
  <si>
    <t>24/06/2025 20:15</t>
  </si>
  <si>
    <t>24/06/2025 20:30</t>
  </si>
  <si>
    <t>24/06/2025 20:45</t>
  </si>
  <si>
    <t>24/06/2025 21:00</t>
  </si>
  <si>
    <t>24/06/2025 21:15</t>
  </si>
  <si>
    <t>24/06/2025 21:30</t>
  </si>
  <si>
    <t>24/06/2025 21:45</t>
  </si>
  <si>
    <t>24/06/2025 22:00</t>
  </si>
  <si>
    <t>24/06/2025 22:15</t>
  </si>
  <si>
    <t>24/06/2025 22:30</t>
  </si>
  <si>
    <t>24/06/2025 22:45</t>
  </si>
  <si>
    <t>24/06/2025 23:00</t>
  </si>
  <si>
    <t>24/06/2025 23:15</t>
  </si>
  <si>
    <t>24/06/2025 23:30</t>
  </si>
  <si>
    <t>24/06/2025 23:45</t>
  </si>
  <si>
    <t>24/06/2025 24:00</t>
  </si>
  <si>
    <t>25/06/2025 00:15</t>
  </si>
  <si>
    <t>25/06/2025 00:30</t>
  </si>
  <si>
    <t>25/06/2025 00:45</t>
  </si>
  <si>
    <t>25/06/2025 01:00</t>
  </si>
  <si>
    <t>25/06/2025 01:15</t>
  </si>
  <si>
    <t>25/06/2025 01:30</t>
  </si>
  <si>
    <t>25/06/2025 01:45</t>
  </si>
  <si>
    <t>25/06/2025 02:00</t>
  </si>
  <si>
    <t>25/06/2025 02:15</t>
  </si>
  <si>
    <t>25/06/2025 02:30</t>
  </si>
  <si>
    <t>25/06/2025 02:45</t>
  </si>
  <si>
    <t>25/06/2025 03:00</t>
  </si>
  <si>
    <t>25/06/2025 03:15</t>
  </si>
  <si>
    <t>25/06/2025 03:30</t>
  </si>
  <si>
    <t>25/06/2025 03:45</t>
  </si>
  <si>
    <t>25/06/2025 04:00</t>
  </si>
  <si>
    <t>25/06/2025 04:15</t>
  </si>
  <si>
    <t>25/06/2025 04:30</t>
  </si>
  <si>
    <t>25/06/2025 04:45</t>
  </si>
  <si>
    <t>25/06/2025 05:00</t>
  </si>
  <si>
    <t>25/06/2025 05:15</t>
  </si>
  <si>
    <t>25/06/2025 05:30</t>
  </si>
  <si>
    <t>25/06/2025 05:45</t>
  </si>
  <si>
    <t>25/06/2025 06:00</t>
  </si>
  <si>
    <t>25/06/2025 06:15</t>
  </si>
  <si>
    <t>25/06/2025 06:30</t>
  </si>
  <si>
    <t>25/06/2025 06:45</t>
  </si>
  <si>
    <t>25/06/2025 07:00</t>
  </si>
  <si>
    <t>25/06/2025 07:15</t>
  </si>
  <si>
    <t>25/06/2025 07:30</t>
  </si>
  <si>
    <t>25/06/2025 07:45</t>
  </si>
  <si>
    <t>25/06/2025 08:00</t>
  </si>
  <si>
    <t>25/06/2025 08:15</t>
  </si>
  <si>
    <t>25/06/2025 08:30</t>
  </si>
  <si>
    <t>25/06/2025 08:45</t>
  </si>
  <si>
    <t>25/06/2025 09:00</t>
  </si>
  <si>
    <t>25/06/2025 09:15</t>
  </si>
  <si>
    <t>25/06/2025 09:30</t>
  </si>
  <si>
    <t>25/06/2025 09:45</t>
  </si>
  <si>
    <t>25/06/2025 10:00</t>
  </si>
  <si>
    <t>25/06/2025 10:15</t>
  </si>
  <si>
    <t>25/06/2025 10:30</t>
  </si>
  <si>
    <t>25/06/2025 10:45</t>
  </si>
  <si>
    <t>25/06/2025 11:00</t>
  </si>
  <si>
    <t>25/06/2025 11:15</t>
  </si>
  <si>
    <t>25/06/2025 11:30</t>
  </si>
  <si>
    <t>25/06/2025 11:45</t>
  </si>
  <si>
    <t>25/06/2025 12:00</t>
  </si>
  <si>
    <t>25/06/2025 12:15</t>
  </si>
  <si>
    <t>25/06/2025 12:30</t>
  </si>
  <si>
    <t>25/06/2025 12:45</t>
  </si>
  <si>
    <t>25/06/2025 13:00</t>
  </si>
  <si>
    <t>25/06/2025 13:15</t>
  </si>
  <si>
    <t>25/06/2025 13:30</t>
  </si>
  <si>
    <t>25/06/2025 13:45</t>
  </si>
  <si>
    <t>25/06/2025 14:00</t>
  </si>
  <si>
    <t>25/06/2025 14:15</t>
  </si>
  <si>
    <t>25/06/2025 14:30</t>
  </si>
  <si>
    <t>25/06/2025 14:45</t>
  </si>
  <si>
    <t>25/06/2025 15:00</t>
  </si>
  <si>
    <t>25/06/2025 15:15</t>
  </si>
  <si>
    <t>25/06/2025 15:30</t>
  </si>
  <si>
    <t>25/06/2025 15:45</t>
  </si>
  <si>
    <t>25/06/2025 16:00</t>
  </si>
  <si>
    <t>25/06/2025 16:15</t>
  </si>
  <si>
    <t>25/06/2025 16:30</t>
  </si>
  <si>
    <t>25/06/2025 16:45</t>
  </si>
  <si>
    <t>25/06/2025 17:00</t>
  </si>
  <si>
    <t>25/06/2025 17:15</t>
  </si>
  <si>
    <t>25/06/2025 17:30</t>
  </si>
  <si>
    <t>25/06/2025 17:45</t>
  </si>
  <si>
    <t>25/06/2025 18:00</t>
  </si>
  <si>
    <t>25/06/2025 18:15</t>
  </si>
  <si>
    <t>25/06/2025 18:30</t>
  </si>
  <si>
    <t>25/06/2025 18:45</t>
  </si>
  <si>
    <t>25/06/2025 19:00</t>
  </si>
  <si>
    <t>25/06/2025 19:15</t>
  </si>
  <si>
    <t>25/06/2025 19:30</t>
  </si>
  <si>
    <t>25/06/2025 19:45</t>
  </si>
  <si>
    <t>25/06/2025 20:00</t>
  </si>
  <si>
    <t>25/06/2025 20:15</t>
  </si>
  <si>
    <t>25/06/2025 20:30</t>
  </si>
  <si>
    <t>25/06/2025 20:45</t>
  </si>
  <si>
    <t>25/06/2025 21:00</t>
  </si>
  <si>
    <t>25/06/2025 21:15</t>
  </si>
  <si>
    <t>25/06/2025 21:30</t>
  </si>
  <si>
    <t>25/06/2025 21:45</t>
  </si>
  <si>
    <t>25/06/2025 22:00</t>
  </si>
  <si>
    <t>25/06/2025 22:15</t>
  </si>
  <si>
    <t>25/06/2025 22:30</t>
  </si>
  <si>
    <t>25/06/2025 22:45</t>
  </si>
  <si>
    <t>25/06/2025 23:00</t>
  </si>
  <si>
    <t>25/06/2025 23:15</t>
  </si>
  <si>
    <t>25/06/2025 23:30</t>
  </si>
  <si>
    <t>25/06/2025 23:45</t>
  </si>
  <si>
    <t>25/06/2025 24:00</t>
  </si>
  <si>
    <t>26/06/2025 00:15</t>
  </si>
  <si>
    <t>26/06/2025 00:30</t>
  </si>
  <si>
    <t>26/06/2025 00:45</t>
  </si>
  <si>
    <t>26/06/2025 01:00</t>
  </si>
  <si>
    <t>26/06/2025 01:15</t>
  </si>
  <si>
    <t>26/06/2025 01:30</t>
  </si>
  <si>
    <t>26/06/2025 01:45</t>
  </si>
  <si>
    <t>26/06/2025 02:00</t>
  </si>
  <si>
    <t>26/06/2025 02:15</t>
  </si>
  <si>
    <t>26/06/2025 02:30</t>
  </si>
  <si>
    <t>26/06/2025 02:45</t>
  </si>
  <si>
    <t>26/06/2025 03:00</t>
  </si>
  <si>
    <t>26/06/2025 03:15</t>
  </si>
  <si>
    <t>26/06/2025 03:30</t>
  </si>
  <si>
    <t>26/06/2025 03:45</t>
  </si>
  <si>
    <t>26/06/2025 04:00</t>
  </si>
  <si>
    <t>26/06/2025 04:15</t>
  </si>
  <si>
    <t>26/06/2025 04:30</t>
  </si>
  <si>
    <t>26/06/2025 04:45</t>
  </si>
  <si>
    <t>26/06/2025 05:00</t>
  </si>
  <si>
    <t>26/06/2025 05:15</t>
  </si>
  <si>
    <t>26/06/2025 05:30</t>
  </si>
  <si>
    <t>26/06/2025 05:45</t>
  </si>
  <si>
    <t>26/06/2025 06:00</t>
  </si>
  <si>
    <t>26/06/2025 06:15</t>
  </si>
  <si>
    <t>26/06/2025 06:30</t>
  </si>
  <si>
    <t>26/06/2025 06:45</t>
  </si>
  <si>
    <t>26/06/2025 07:00</t>
  </si>
  <si>
    <t>26/06/2025 07:15</t>
  </si>
  <si>
    <t>26/06/2025 07:30</t>
  </si>
  <si>
    <t>26/06/2025 07:45</t>
  </si>
  <si>
    <t>26/06/2025 08:00</t>
  </si>
  <si>
    <t>26/06/2025 08:15</t>
  </si>
  <si>
    <t>26/06/2025 08:30</t>
  </si>
  <si>
    <t>26/06/2025 08:45</t>
  </si>
  <si>
    <t>26/06/2025 09:00</t>
  </si>
  <si>
    <t>26/06/2025 09:15</t>
  </si>
  <si>
    <t>26/06/2025 09:30</t>
  </si>
  <si>
    <t>26/06/2025 09:45</t>
  </si>
  <si>
    <t>26/06/2025 10:00</t>
  </si>
  <si>
    <t>26/06/2025 10:15</t>
  </si>
  <si>
    <t>26/06/2025 10:30</t>
  </si>
  <si>
    <t>26/06/2025 10:45</t>
  </si>
  <si>
    <t>26/06/2025 11:00</t>
  </si>
  <si>
    <t>26/06/2025 11:15</t>
  </si>
  <si>
    <t>26/06/2025 11:30</t>
  </si>
  <si>
    <t>26/06/2025 11:45</t>
  </si>
  <si>
    <t>26/06/2025 12:00</t>
  </si>
  <si>
    <t>26/06/2025 12:15</t>
  </si>
  <si>
    <t>26/06/2025 12:30</t>
  </si>
  <si>
    <t>26/06/2025 12:45</t>
  </si>
  <si>
    <t>26/06/2025 13:00</t>
  </si>
  <si>
    <t>26/06/2025 13:15</t>
  </si>
  <si>
    <t>26/06/2025 13:30</t>
  </si>
  <si>
    <t>26/06/2025 13:45</t>
  </si>
  <si>
    <t>26/06/2025 14:00</t>
  </si>
  <si>
    <t>26/06/2025 14:15</t>
  </si>
  <si>
    <t>26/06/2025 14:30</t>
  </si>
  <si>
    <t>26/06/2025 14:45</t>
  </si>
  <si>
    <t>26/06/2025 15:00</t>
  </si>
  <si>
    <t>26/06/2025 15:15</t>
  </si>
  <si>
    <t>26/06/2025 15:30</t>
  </si>
  <si>
    <t>26/06/2025 15:45</t>
  </si>
  <si>
    <t>26/06/2025 16:00</t>
  </si>
  <si>
    <t>26/06/2025 16:15</t>
  </si>
  <si>
    <t>26/06/2025 16:30</t>
  </si>
  <si>
    <t>26/06/2025 16:45</t>
  </si>
  <si>
    <t>26/06/2025 17:00</t>
  </si>
  <si>
    <t>26/06/2025 17:15</t>
  </si>
  <si>
    <t>26/06/2025 17:30</t>
  </si>
  <si>
    <t>26/06/2025 17:45</t>
  </si>
  <si>
    <t>26/06/2025 18:00</t>
  </si>
  <si>
    <t>26/06/2025 18:15</t>
  </si>
  <si>
    <t>26/06/2025 18:30</t>
  </si>
  <si>
    <t>26/06/2025 18:45</t>
  </si>
  <si>
    <t>26/06/2025 19:00</t>
  </si>
  <si>
    <t>26/06/2025 19:15</t>
  </si>
  <si>
    <t>26/06/2025 19:30</t>
  </si>
  <si>
    <t>26/06/2025 19:45</t>
  </si>
  <si>
    <t>26/06/2025 20:00</t>
  </si>
  <si>
    <t>26/06/2025 20:15</t>
  </si>
  <si>
    <t>26/06/2025 20:30</t>
  </si>
  <si>
    <t>26/06/2025 20:45</t>
  </si>
  <si>
    <t>26/06/2025 21:00</t>
  </si>
  <si>
    <t>26/06/2025 21:15</t>
  </si>
  <si>
    <t>26/06/2025 21:30</t>
  </si>
  <si>
    <t>26/06/2025 21:45</t>
  </si>
  <si>
    <t>26/06/2025 22:00</t>
  </si>
  <si>
    <t>26/06/2025 22:15</t>
  </si>
  <si>
    <t>26/06/2025 22:30</t>
  </si>
  <si>
    <t>26/06/2025 22:45</t>
  </si>
  <si>
    <t>26/06/2025 23:00</t>
  </si>
  <si>
    <t>26/06/2025 23:15</t>
  </si>
  <si>
    <t>26/06/2025 23:30</t>
  </si>
  <si>
    <t>26/06/2025 23:45</t>
  </si>
  <si>
    <t>26/06/2025 24:00</t>
  </si>
  <si>
    <t>27/06/2025 00:15</t>
  </si>
  <si>
    <t>27/06/2025 00:30</t>
  </si>
  <si>
    <t>27/06/2025 00:45</t>
  </si>
  <si>
    <t>27/06/2025 01:00</t>
  </si>
  <si>
    <t>27/06/2025 01:15</t>
  </si>
  <si>
    <t>27/06/2025 01:30</t>
  </si>
  <si>
    <t>27/06/2025 01:45</t>
  </si>
  <si>
    <t>27/06/2025 02:00</t>
  </si>
  <si>
    <t>27/06/2025 02:15</t>
  </si>
  <si>
    <t>27/06/2025 02:30</t>
  </si>
  <si>
    <t>27/06/2025 02:45</t>
  </si>
  <si>
    <t>27/06/2025 03:00</t>
  </si>
  <si>
    <t>27/06/2025 03:15</t>
  </si>
  <si>
    <t>27/06/2025 03:30</t>
  </si>
  <si>
    <t>27/06/2025 03:45</t>
  </si>
  <si>
    <t>27/06/2025 04:00</t>
  </si>
  <si>
    <t>27/06/2025 04:15</t>
  </si>
  <si>
    <t>27/06/2025 04:30</t>
  </si>
  <si>
    <t>27/06/2025 04:45</t>
  </si>
  <si>
    <t>27/06/2025 05:00</t>
  </si>
  <si>
    <t>27/06/2025 05:15</t>
  </si>
  <si>
    <t>27/06/2025 05:30</t>
  </si>
  <si>
    <t>27/06/2025 05:45</t>
  </si>
  <si>
    <t>27/06/2025 06:00</t>
  </si>
  <si>
    <t>27/06/2025 06:15</t>
  </si>
  <si>
    <t>27/06/2025 06:30</t>
  </si>
  <si>
    <t>27/06/2025 06:45</t>
  </si>
  <si>
    <t>27/06/2025 07:00</t>
  </si>
  <si>
    <t>27/06/2025 07:15</t>
  </si>
  <si>
    <t>27/06/2025 07:30</t>
  </si>
  <si>
    <t>27/06/2025 07:45</t>
  </si>
  <si>
    <t>27/06/2025 08:00</t>
  </si>
  <si>
    <t>27/06/2025 08:15</t>
  </si>
  <si>
    <t>27/06/2025 08:30</t>
  </si>
  <si>
    <t>27/06/2025 08:45</t>
  </si>
  <si>
    <t>27/06/2025 09:00</t>
  </si>
  <si>
    <t>27/06/2025 09:15</t>
  </si>
  <si>
    <t>27/06/2025 09:30</t>
  </si>
  <si>
    <t>27/06/2025 09:45</t>
  </si>
  <si>
    <t>27/06/2025 10:00</t>
  </si>
  <si>
    <t>27/06/2025 10:15</t>
  </si>
  <si>
    <t>27/06/2025 10:30</t>
  </si>
  <si>
    <t>27/06/2025 10:45</t>
  </si>
  <si>
    <t>27/06/2025 11:00</t>
  </si>
  <si>
    <t>27/06/2025 11:15</t>
  </si>
  <si>
    <t>27/06/2025 11:30</t>
  </si>
  <si>
    <t>27/06/2025 11:45</t>
  </si>
  <si>
    <t>27/06/2025 12:00</t>
  </si>
  <si>
    <t>27/06/2025 12:15</t>
  </si>
  <si>
    <t>27/06/2025 12:30</t>
  </si>
  <si>
    <t>27/06/2025 12:45</t>
  </si>
  <si>
    <t>27/06/2025 13:00</t>
  </si>
  <si>
    <t>27/06/2025 13:15</t>
  </si>
  <si>
    <t>27/06/2025 13:30</t>
  </si>
  <si>
    <t>27/06/2025 13:45</t>
  </si>
  <si>
    <t>27/06/2025 14:00</t>
  </si>
  <si>
    <t>27/06/2025 14:15</t>
  </si>
  <si>
    <t>27/06/2025 14:30</t>
  </si>
  <si>
    <t>27/06/2025 14:45</t>
  </si>
  <si>
    <t>27/06/2025 15:00</t>
  </si>
  <si>
    <t>27/06/2025 15:15</t>
  </si>
  <si>
    <t>27/06/2025 15:30</t>
  </si>
  <si>
    <t>27/06/2025 15:45</t>
  </si>
  <si>
    <t>27/06/2025 16:00</t>
  </si>
  <si>
    <t>27/06/2025 16:15</t>
  </si>
  <si>
    <t>27/06/2025 16:30</t>
  </si>
  <si>
    <t>27/06/2025 16:45</t>
  </si>
  <si>
    <t>27/06/2025 17:00</t>
  </si>
  <si>
    <t>27/06/2025 17:15</t>
  </si>
  <si>
    <t>27/06/2025 17:30</t>
  </si>
  <si>
    <t>27/06/2025 17:45</t>
  </si>
  <si>
    <t>27/06/2025 18:00</t>
  </si>
  <si>
    <t>27/06/2025 18:15</t>
  </si>
  <si>
    <t>27/06/2025 18:30</t>
  </si>
  <si>
    <t>27/06/2025 18:45</t>
  </si>
  <si>
    <t>27/06/2025 19:00</t>
  </si>
  <si>
    <t>27/06/2025 19:15</t>
  </si>
  <si>
    <t>27/06/2025 19:30</t>
  </si>
  <si>
    <t>27/06/2025 19:45</t>
  </si>
  <si>
    <t>27/06/2025 20:00</t>
  </si>
  <si>
    <t>27/06/2025 20:15</t>
  </si>
  <si>
    <t>27/06/2025 20:30</t>
  </si>
  <si>
    <t>27/06/2025 20:45</t>
  </si>
  <si>
    <t>27/06/2025 21:00</t>
  </si>
  <si>
    <t>27/06/2025 21:15</t>
  </si>
  <si>
    <t>27/06/2025 21:30</t>
  </si>
  <si>
    <t>27/06/2025 21:45</t>
  </si>
  <si>
    <t>27/06/2025 22:00</t>
  </si>
  <si>
    <t>27/06/2025 22:15</t>
  </si>
  <si>
    <t>27/06/2025 22:30</t>
  </si>
  <si>
    <t>27/06/2025 22:45</t>
  </si>
  <si>
    <t>27/06/2025 23:00</t>
  </si>
  <si>
    <t>27/06/2025 23:15</t>
  </si>
  <si>
    <t>27/06/2025 23:30</t>
  </si>
  <si>
    <t>27/06/2025 23:45</t>
  </si>
  <si>
    <t>27/06/2025 24:00</t>
  </si>
  <si>
    <t>28/06/2025 00:15</t>
  </si>
  <si>
    <t>28/06/2025 00:30</t>
  </si>
  <si>
    <t>28/06/2025 00:45</t>
  </si>
  <si>
    <t>28/06/2025 01:00</t>
  </si>
  <si>
    <t>28/06/2025 01:15</t>
  </si>
  <si>
    <t>28/06/2025 01:30</t>
  </si>
  <si>
    <t>28/06/2025 01:45</t>
  </si>
  <si>
    <t>28/06/2025 02:00</t>
  </si>
  <si>
    <t>28/06/2025 02:15</t>
  </si>
  <si>
    <t>28/06/2025 02:30</t>
  </si>
  <si>
    <t>28/06/2025 02:45</t>
  </si>
  <si>
    <t>28/06/2025 03:00</t>
  </si>
  <si>
    <t>28/06/2025 03:15</t>
  </si>
  <si>
    <t>28/06/2025 03:30</t>
  </si>
  <si>
    <t>28/06/2025 03:45</t>
  </si>
  <si>
    <t>28/06/2025 04:00</t>
  </si>
  <si>
    <t>28/06/2025 04:15</t>
  </si>
  <si>
    <t>28/06/2025 04:30</t>
  </si>
  <si>
    <t>28/06/2025 04:45</t>
  </si>
  <si>
    <t>28/06/2025 05:00</t>
  </si>
  <si>
    <t>28/06/2025 05:15</t>
  </si>
  <si>
    <t>28/06/2025 05:30</t>
  </si>
  <si>
    <t>28/06/2025 05:45</t>
  </si>
  <si>
    <t>28/06/2025 06:00</t>
  </si>
  <si>
    <t>28/06/2025 06:15</t>
  </si>
  <si>
    <t>28/06/2025 06:30</t>
  </si>
  <si>
    <t>28/06/2025 06:45</t>
  </si>
  <si>
    <t>28/06/2025 07:00</t>
  </si>
  <si>
    <t>28/06/2025 07:15</t>
  </si>
  <si>
    <t>28/06/2025 07:30</t>
  </si>
  <si>
    <t>28/06/2025 07:45</t>
  </si>
  <si>
    <t>28/06/2025 08:00</t>
  </si>
  <si>
    <t>28/06/2025 08:15</t>
  </si>
  <si>
    <t>28/06/2025 08:30</t>
  </si>
  <si>
    <t>28/06/2025 08:45</t>
  </si>
  <si>
    <t>28/06/2025 09:00</t>
  </si>
  <si>
    <t>28/06/2025 09:15</t>
  </si>
  <si>
    <t>28/06/2025 09:30</t>
  </si>
  <si>
    <t>28/06/2025 09:45</t>
  </si>
  <si>
    <t>28/06/2025 10:00</t>
  </si>
  <si>
    <t>28/06/2025 10:15</t>
  </si>
  <si>
    <t>28/06/2025 10:30</t>
  </si>
  <si>
    <t>28/06/2025 10:45</t>
  </si>
  <si>
    <t>28/06/2025 11:00</t>
  </si>
  <si>
    <t>28/06/2025 11:15</t>
  </si>
  <si>
    <t>28/06/2025 11:30</t>
  </si>
  <si>
    <t>28/06/2025 11:45</t>
  </si>
  <si>
    <t>28/06/2025 12:00</t>
  </si>
  <si>
    <t>28/06/2025 12:15</t>
  </si>
  <si>
    <t>28/06/2025 12:30</t>
  </si>
  <si>
    <t>28/06/2025 12:45</t>
  </si>
  <si>
    <t>28/06/2025 13:00</t>
  </si>
  <si>
    <t>28/06/2025 13:15</t>
  </si>
  <si>
    <t>28/06/2025 13:30</t>
  </si>
  <si>
    <t>28/06/2025 13:45</t>
  </si>
  <si>
    <t>28/06/2025 14:00</t>
  </si>
  <si>
    <t>28/06/2025 14:15</t>
  </si>
  <si>
    <t>28/06/2025 14:30</t>
  </si>
  <si>
    <t>28/06/2025 14:45</t>
  </si>
  <si>
    <t>28/06/2025 15:00</t>
  </si>
  <si>
    <t>28/06/2025 15:15</t>
  </si>
  <si>
    <t>28/06/2025 15:30</t>
  </si>
  <si>
    <t>28/06/2025 15:45</t>
  </si>
  <si>
    <t>28/06/2025 16:00</t>
  </si>
  <si>
    <t>28/06/2025 16:15</t>
  </si>
  <si>
    <t>28/06/2025 16:30</t>
  </si>
  <si>
    <t>28/06/2025 16:45</t>
  </si>
  <si>
    <t>28/06/2025 17:00</t>
  </si>
  <si>
    <t>28/06/2025 17:15</t>
  </si>
  <si>
    <t>28/06/2025 17:30</t>
  </si>
  <si>
    <t>28/06/2025 17:45</t>
  </si>
  <si>
    <t>28/06/2025 18:00</t>
  </si>
  <si>
    <t>28/06/2025 18:15</t>
  </si>
  <si>
    <t>28/06/2025 18:30</t>
  </si>
  <si>
    <t>28/06/2025 18:45</t>
  </si>
  <si>
    <t>28/06/2025 19:00</t>
  </si>
  <si>
    <t>28/06/2025 19:15</t>
  </si>
  <si>
    <t>28/06/2025 19:30</t>
  </si>
  <si>
    <t>28/06/2025 19:45</t>
  </si>
  <si>
    <t>28/06/2025 20:00</t>
  </si>
  <si>
    <t>28/06/2025 20:15</t>
  </si>
  <si>
    <t>28/06/2025 20:30</t>
  </si>
  <si>
    <t>28/06/2025 20:45</t>
  </si>
  <si>
    <t>28/06/2025 21:00</t>
  </si>
  <si>
    <t>28/06/2025 21:15</t>
  </si>
  <si>
    <t>28/06/2025 21:30</t>
  </si>
  <si>
    <t>28/06/2025 21:45</t>
  </si>
  <si>
    <t>28/06/2025 22:00</t>
  </si>
  <si>
    <t>28/06/2025 22:15</t>
  </si>
  <si>
    <t>28/06/2025 22:30</t>
  </si>
  <si>
    <t>28/06/2025 22:45</t>
  </si>
  <si>
    <t>28/06/2025 23:00</t>
  </si>
  <si>
    <t>28/06/2025 23:15</t>
  </si>
  <si>
    <t>28/06/2025 23:30</t>
  </si>
  <si>
    <t>28/06/2025 23:45</t>
  </si>
  <si>
    <t>28/06/2025 24:00</t>
  </si>
  <si>
    <t>29/06/2025 00:15</t>
  </si>
  <si>
    <t>29/06/2025 00:30</t>
  </si>
  <si>
    <t>29/06/2025 00:45</t>
  </si>
  <si>
    <t>29/06/2025 01:00</t>
  </si>
  <si>
    <t>29/06/2025 01:15</t>
  </si>
  <si>
    <t>29/06/2025 01:30</t>
  </si>
  <si>
    <t>29/06/2025 01:45</t>
  </si>
  <si>
    <t>29/06/2025 02:00</t>
  </si>
  <si>
    <t>29/06/2025 02:15</t>
  </si>
  <si>
    <t>29/06/2025 02:30</t>
  </si>
  <si>
    <t>29/06/2025 02:45</t>
  </si>
  <si>
    <t>29/06/2025 03:00</t>
  </si>
  <si>
    <t>29/06/2025 03:15</t>
  </si>
  <si>
    <t>29/06/2025 03:30</t>
  </si>
  <si>
    <t>29/06/2025 03:45</t>
  </si>
  <si>
    <t>29/06/2025 04:00</t>
  </si>
  <si>
    <t>29/06/2025 04:15</t>
  </si>
  <si>
    <t>29/06/2025 04:30</t>
  </si>
  <si>
    <t>29/06/2025 04:45</t>
  </si>
  <si>
    <t>29/06/2025 05:00</t>
  </si>
  <si>
    <t>29/06/2025 05:15</t>
  </si>
  <si>
    <t>29/06/2025 05:30</t>
  </si>
  <si>
    <t>29/06/2025 05:45</t>
  </si>
  <si>
    <t>29/06/2025 06:00</t>
  </si>
  <si>
    <t>29/06/2025 06:15</t>
  </si>
  <si>
    <t>29/06/2025 06:30</t>
  </si>
  <si>
    <t>29/06/2025 06:45</t>
  </si>
  <si>
    <t>29/06/2025 07:00</t>
  </si>
  <si>
    <t>29/06/2025 07:15</t>
  </si>
  <si>
    <t>29/06/2025 07:30</t>
  </si>
  <si>
    <t>29/06/2025 07:45</t>
  </si>
  <si>
    <t>29/06/2025 08:00</t>
  </si>
  <si>
    <t>29/06/2025 08:15</t>
  </si>
  <si>
    <t>29/06/2025 08:30</t>
  </si>
  <si>
    <t>29/06/2025 08:45</t>
  </si>
  <si>
    <t>29/06/2025 09:00</t>
  </si>
  <si>
    <t>29/06/2025 09:15</t>
  </si>
  <si>
    <t>29/06/2025 09:30</t>
  </si>
  <si>
    <t>29/06/2025 09:45</t>
  </si>
  <si>
    <t>29/06/2025 10:00</t>
  </si>
  <si>
    <t>29/06/2025 10:15</t>
  </si>
  <si>
    <t>29/06/2025 10:30</t>
  </si>
  <si>
    <t>29/06/2025 10:45</t>
  </si>
  <si>
    <t>29/06/2025 11:00</t>
  </si>
  <si>
    <t>29/06/2025 11:15</t>
  </si>
  <si>
    <t>29/06/2025 11:30</t>
  </si>
  <si>
    <t>29/06/2025 11:45</t>
  </si>
  <si>
    <t>29/06/2025 12:00</t>
  </si>
  <si>
    <t>29/06/2025 12:15</t>
  </si>
  <si>
    <t>29/06/2025 12:30</t>
  </si>
  <si>
    <t>29/06/2025 12:45</t>
  </si>
  <si>
    <t>29/06/2025 13:00</t>
  </si>
  <si>
    <t>29/06/2025 13:15</t>
  </si>
  <si>
    <t>29/06/2025 13:30</t>
  </si>
  <si>
    <t>29/06/2025 13:45</t>
  </si>
  <si>
    <t>29/06/2025 14:00</t>
  </si>
  <si>
    <t>29/06/2025 14:15</t>
  </si>
  <si>
    <t>29/06/2025 14:30</t>
  </si>
  <si>
    <t>29/06/2025 14:45</t>
  </si>
  <si>
    <t>29/06/2025 15:00</t>
  </si>
  <si>
    <t>29/06/2025 15:15</t>
  </si>
  <si>
    <t>29/06/2025 15:30</t>
  </si>
  <si>
    <t>29/06/2025 15:45</t>
  </si>
  <si>
    <t>29/06/2025 16:00</t>
  </si>
  <si>
    <t>29/06/2025 16:15</t>
  </si>
  <si>
    <t>29/06/2025 16:30</t>
  </si>
  <si>
    <t>29/06/2025 16:45</t>
  </si>
  <si>
    <t>29/06/2025 17:00</t>
  </si>
  <si>
    <t>29/06/2025 17:15</t>
  </si>
  <si>
    <t>29/06/2025 17:30</t>
  </si>
  <si>
    <t>29/06/2025 17:45</t>
  </si>
  <si>
    <t>29/06/2025 18:00</t>
  </si>
  <si>
    <t>29/06/2025 18:15</t>
  </si>
  <si>
    <t>29/06/2025 18:30</t>
  </si>
  <si>
    <t>29/06/2025 18:45</t>
  </si>
  <si>
    <t>29/06/2025 19:00</t>
  </si>
  <si>
    <t>29/06/2025 19:15</t>
  </si>
  <si>
    <t>29/06/2025 19:30</t>
  </si>
  <si>
    <t>29/06/2025 19:45</t>
  </si>
  <si>
    <t>29/06/2025 20:00</t>
  </si>
  <si>
    <t>29/06/2025 20:15</t>
  </si>
  <si>
    <t>29/06/2025 20:30</t>
  </si>
  <si>
    <t>29/06/2025 20:45</t>
  </si>
  <si>
    <t>29/06/2025 21:00</t>
  </si>
  <si>
    <t>29/06/2025 21:15</t>
  </si>
  <si>
    <t>29/06/2025 21:30</t>
  </si>
  <si>
    <t>29/06/2025 21:45</t>
  </si>
  <si>
    <t>29/06/2025 22:00</t>
  </si>
  <si>
    <t>29/06/2025 22:15</t>
  </si>
  <si>
    <t>29/06/2025 22:30</t>
  </si>
  <si>
    <t>29/06/2025 22:45</t>
  </si>
  <si>
    <t>29/06/2025 23:00</t>
  </si>
  <si>
    <t>29/06/2025 23:15</t>
  </si>
  <si>
    <t>29/06/2025 23:30</t>
  </si>
  <si>
    <t>29/06/2025 23:45</t>
  </si>
  <si>
    <t>29/06/2025 24:00</t>
  </si>
  <si>
    <t>30/06/2025 00:15</t>
  </si>
  <si>
    <t>30/06/2025 00:30</t>
  </si>
  <si>
    <t>30/06/2025 00:45</t>
  </si>
  <si>
    <t>30/06/2025 01:00</t>
  </si>
  <si>
    <t>30/06/2025 01:15</t>
  </si>
  <si>
    <t>30/06/2025 01:30</t>
  </si>
  <si>
    <t>30/06/2025 01:45</t>
  </si>
  <si>
    <t>30/06/2025 02:00</t>
  </si>
  <si>
    <t>30/06/2025 02:15</t>
  </si>
  <si>
    <t>30/06/2025 02:30</t>
  </si>
  <si>
    <t>30/06/2025 02:45</t>
  </si>
  <si>
    <t>30/06/2025 03:00</t>
  </si>
  <si>
    <t>30/06/2025 03:15</t>
  </si>
  <si>
    <t>30/06/2025 03:30</t>
  </si>
  <si>
    <t>30/06/2025 03:45</t>
  </si>
  <si>
    <t>30/06/2025 04:00</t>
  </si>
  <si>
    <t>30/06/2025 04:15</t>
  </si>
  <si>
    <t>30/06/2025 04:30</t>
  </si>
  <si>
    <t>30/06/2025 04:45</t>
  </si>
  <si>
    <t>30/06/2025 05:00</t>
  </si>
  <si>
    <t>30/06/2025 05:15</t>
  </si>
  <si>
    <t>30/06/2025 05:30</t>
  </si>
  <si>
    <t>30/06/2025 05:45</t>
  </si>
  <si>
    <t>30/06/2025 06:00</t>
  </si>
  <si>
    <t>30/06/2025 06:15</t>
  </si>
  <si>
    <t>30/06/2025 06:30</t>
  </si>
  <si>
    <t>30/06/2025 06:45</t>
  </si>
  <si>
    <t>30/06/2025 07:00</t>
  </si>
  <si>
    <t>30/06/2025 07:15</t>
  </si>
  <si>
    <t>30/06/2025 07:30</t>
  </si>
  <si>
    <t>30/06/2025 07:45</t>
  </si>
  <si>
    <t>30/06/2025 08:00</t>
  </si>
  <si>
    <t>30/06/2025 08:15</t>
  </si>
  <si>
    <t>30/06/2025 08:30</t>
  </si>
  <si>
    <t>30/06/2025 08:45</t>
  </si>
  <si>
    <t>30/06/2025 09:00</t>
  </si>
  <si>
    <t>30/06/2025 09:15</t>
  </si>
  <si>
    <t>30/06/2025 09:30</t>
  </si>
  <si>
    <t>30/06/2025 09:45</t>
  </si>
  <si>
    <t>30/06/2025 10:00</t>
  </si>
  <si>
    <t>30/06/2025 10:15</t>
  </si>
  <si>
    <t>30/06/2025 10:30</t>
  </si>
  <si>
    <t>30/06/2025 10:45</t>
  </si>
  <si>
    <t>30/06/2025 11:00</t>
  </si>
  <si>
    <t>30/06/2025 11:15</t>
  </si>
  <si>
    <t>30/06/2025 11:30</t>
  </si>
  <si>
    <t>30/06/2025 11:45</t>
  </si>
  <si>
    <t>30/06/2025 12:00</t>
  </si>
  <si>
    <t>30/06/2025 12:15</t>
  </si>
  <si>
    <t>30/06/2025 12:30</t>
  </si>
  <si>
    <t>30/06/2025 12:45</t>
  </si>
  <si>
    <t>30/06/2025 13:00</t>
  </si>
  <si>
    <t>30/06/2025 13:15</t>
  </si>
  <si>
    <t>30/06/2025 13:30</t>
  </si>
  <si>
    <t>30/06/2025 13:45</t>
  </si>
  <si>
    <t>30/06/2025 14:00</t>
  </si>
  <si>
    <t>30/06/2025 14:15</t>
  </si>
  <si>
    <t>30/06/2025 14:30</t>
  </si>
  <si>
    <t>30/06/2025 14:45</t>
  </si>
  <si>
    <t>30/06/2025 15:00</t>
  </si>
  <si>
    <t>30/06/2025 15:15</t>
  </si>
  <si>
    <t>30/06/2025 15:30</t>
  </si>
  <si>
    <t>30/06/2025 15:45</t>
  </si>
  <si>
    <t>30/06/2025 16:00</t>
  </si>
  <si>
    <t>30/06/2025 16:15</t>
  </si>
  <si>
    <t>30/06/2025 16:30</t>
  </si>
  <si>
    <t>30/06/2025 16:45</t>
  </si>
  <si>
    <t>30/06/2025 17:00</t>
  </si>
  <si>
    <t>30/06/2025 17:15</t>
  </si>
  <si>
    <t>30/06/2025 17:30</t>
  </si>
  <si>
    <t>30/06/2025 17:45</t>
  </si>
  <si>
    <t>30/06/2025 18:00</t>
  </si>
  <si>
    <t>30/06/2025 18:15</t>
  </si>
  <si>
    <t>30/06/2025 18:30</t>
  </si>
  <si>
    <t>30/06/2025 18:45</t>
  </si>
  <si>
    <t>30/06/2025 19:00</t>
  </si>
  <si>
    <t>30/06/2025 19:15</t>
  </si>
  <si>
    <t>30/06/2025 19:30</t>
  </si>
  <si>
    <t>30/06/2025 19:45</t>
  </si>
  <si>
    <t>30/06/2025 20:00</t>
  </si>
  <si>
    <t>30/06/2025 20:15</t>
  </si>
  <si>
    <t>30/06/2025 20:30</t>
  </si>
  <si>
    <t>30/06/2025 20:45</t>
  </si>
  <si>
    <t>30/06/2025 21:00</t>
  </si>
  <si>
    <t>30/06/2025 21:15</t>
  </si>
  <si>
    <t>30/06/2025 21:30</t>
  </si>
  <si>
    <t>30/06/2025 21:45</t>
  </si>
  <si>
    <t>30/06/2025 22:00</t>
  </si>
  <si>
    <t>30/06/2025 22:15</t>
  </si>
  <si>
    <t>30/06/2025 22:30</t>
  </si>
  <si>
    <t>30/06/2025 22:45</t>
  </si>
  <si>
    <t>30/06/2025 23:00</t>
  </si>
  <si>
    <t>30/06/2025 23:15</t>
  </si>
  <si>
    <t>30/06/2025 23:30</t>
  </si>
  <si>
    <t>30/06/2025 23:45</t>
  </si>
  <si>
    <t>30/06/2025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</si>
</sst>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102" activePane="bottomRight" state="frozen"/>
      <selection pane="topRight"/>
      <selection pane="bottomLeft"/>
      <selection pane="bottomRight" activeCell="I16" sqref="I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240</v>
      </c>
      <c r="B9" s="100">
        <v>5.18</v>
      </c>
      <c r="C9" s="100">
        <v>7.63</v>
      </c>
      <c r="D9" s="100">
        <v>4.0599999999999996</v>
      </c>
      <c r="E9" s="100">
        <v>7.29</v>
      </c>
      <c r="F9" s="100">
        <v>6.43</v>
      </c>
      <c r="G9" s="100">
        <v>54.71</v>
      </c>
      <c r="H9" s="100">
        <v>22.48</v>
      </c>
      <c r="I9" s="100">
        <v>7.89</v>
      </c>
      <c r="J9" s="100">
        <v>0.13</v>
      </c>
      <c r="K9" s="100">
        <v>242.7</v>
      </c>
      <c r="L9" s="100">
        <v>27.35</v>
      </c>
      <c r="M9" s="100">
        <v>91.28</v>
      </c>
      <c r="N9" s="100">
        <v>1.8</v>
      </c>
      <c r="O9" s="100">
        <v>0</v>
      </c>
      <c r="P9" s="100">
        <v>0.6</v>
      </c>
      <c r="Q9" s="100">
        <v>28</v>
      </c>
      <c r="R9" s="6"/>
      <c r="S9" s="6"/>
      <c r="T9" s="156"/>
      <c r="U9" s="6"/>
    </row>
    <row r="10" spans="1:21" customFormat="1">
      <c r="A10" s="163" t="s">
        <v>241</v>
      </c>
      <c r="B10" s="100">
        <v>5.1100000000000003</v>
      </c>
      <c r="C10" s="100">
        <v>7.51</v>
      </c>
      <c r="D10" s="100">
        <v>3.94</v>
      </c>
      <c r="E10" s="100">
        <v>6.7</v>
      </c>
      <c r="F10" s="100">
        <v>9.1999999999999993</v>
      </c>
      <c r="G10" s="100">
        <v>54.71</v>
      </c>
      <c r="H10" s="100">
        <v>22.48</v>
      </c>
      <c r="I10" s="100">
        <v>7.27</v>
      </c>
      <c r="J10" s="100">
        <v>0.06</v>
      </c>
      <c r="K10" s="100">
        <v>172.43</v>
      </c>
      <c r="L10" s="100">
        <v>27.15</v>
      </c>
      <c r="M10" s="100">
        <v>92.03</v>
      </c>
      <c r="N10" s="100">
        <v>2</v>
      </c>
      <c r="O10" s="100">
        <v>0</v>
      </c>
      <c r="P10" s="100">
        <v>0.56999999999999995</v>
      </c>
      <c r="Q10" s="100">
        <v>28</v>
      </c>
      <c r="R10" s="6"/>
      <c r="S10" s="6"/>
      <c r="T10" s="156"/>
      <c r="U10" s="6"/>
    </row>
    <row r="11" spans="1:21" customFormat="1">
      <c r="A11" s="163" t="s">
        <v>242</v>
      </c>
      <c r="B11" s="100">
        <v>5.67</v>
      </c>
      <c r="C11" s="100">
        <v>7.85</v>
      </c>
      <c r="D11" s="100">
        <v>3.73</v>
      </c>
      <c r="E11" s="100">
        <v>7.3</v>
      </c>
      <c r="F11" s="100">
        <v>4.4800000000000004</v>
      </c>
      <c r="G11" s="100">
        <v>54.71</v>
      </c>
      <c r="H11" s="100">
        <v>22.48</v>
      </c>
      <c r="I11" s="100">
        <v>7.17</v>
      </c>
      <c r="J11" s="100">
        <v>0.68</v>
      </c>
      <c r="K11" s="100">
        <v>52.22</v>
      </c>
      <c r="L11" s="100">
        <v>27.36</v>
      </c>
      <c r="M11" s="100">
        <v>91.11</v>
      </c>
      <c r="N11" s="100">
        <v>1.5</v>
      </c>
      <c r="O11" s="100">
        <v>0</v>
      </c>
      <c r="P11" s="100">
        <v>0.59</v>
      </c>
      <c r="Q11" s="100">
        <v>28</v>
      </c>
      <c r="R11" s="6"/>
      <c r="S11" s="6"/>
      <c r="T11" s="156"/>
      <c r="U11" s="6"/>
    </row>
    <row r="12" spans="1:21" customFormat="1">
      <c r="A12" s="163" t="s">
        <v>243</v>
      </c>
      <c r="B12" s="100">
        <v>6.63</v>
      </c>
      <c r="C12" s="100">
        <v>9.93</v>
      </c>
      <c r="D12" s="100">
        <v>6.23</v>
      </c>
      <c r="E12" s="100">
        <v>6.8</v>
      </c>
      <c r="F12" s="100">
        <v>2.4</v>
      </c>
      <c r="G12" s="100">
        <v>55.02</v>
      </c>
      <c r="H12" s="100">
        <v>27.37</v>
      </c>
      <c r="I12" s="100">
        <v>6.97</v>
      </c>
      <c r="J12" s="100">
        <v>0.1</v>
      </c>
      <c r="K12" s="100">
        <v>62.21</v>
      </c>
      <c r="L12" s="100">
        <v>27.34</v>
      </c>
      <c r="M12" s="100">
        <v>91.07</v>
      </c>
      <c r="N12" s="100">
        <v>1.9</v>
      </c>
      <c r="O12" s="100">
        <v>0</v>
      </c>
      <c r="P12" s="100">
        <v>0.65</v>
      </c>
      <c r="Q12" s="100">
        <v>28</v>
      </c>
      <c r="R12" s="6"/>
      <c r="S12" s="6"/>
      <c r="T12" s="156"/>
      <c r="U12" s="6"/>
    </row>
    <row r="13" spans="1:21" customFormat="1">
      <c r="A13" s="163" t="s">
        <v>244</v>
      </c>
      <c r="B13" s="100">
        <v>7.33</v>
      </c>
      <c r="C13" s="100">
        <v>10.74</v>
      </c>
      <c r="D13" s="100">
        <v>6.72</v>
      </c>
      <c r="E13" s="100">
        <v>6.79</v>
      </c>
      <c r="F13" s="100">
        <v>2.3199999999999998</v>
      </c>
      <c r="G13" s="100">
        <v>55.05</v>
      </c>
      <c r="H13" s="100">
        <v>27.37</v>
      </c>
      <c r="I13" s="100">
        <v>7.19</v>
      </c>
      <c r="J13" s="100">
        <v>0.05</v>
      </c>
      <c r="K13" s="100">
        <v>138.08000000000001</v>
      </c>
      <c r="L13" s="100">
        <v>27.12</v>
      </c>
      <c r="M13" s="100">
        <v>93.16</v>
      </c>
      <c r="N13" s="100">
        <v>2</v>
      </c>
      <c r="O13" s="100">
        <v>0</v>
      </c>
      <c r="P13" s="100">
        <v>0.63</v>
      </c>
      <c r="Q13" s="100">
        <v>28</v>
      </c>
      <c r="R13" s="6"/>
      <c r="S13" s="6"/>
      <c r="T13" s="156"/>
      <c r="U13" s="6"/>
    </row>
    <row r="14" spans="1:21" customFormat="1">
      <c r="A14" s="163" t="s">
        <v>245</v>
      </c>
      <c r="B14" s="100">
        <v>8.16</v>
      </c>
      <c r="C14" s="100">
        <v>10.75</v>
      </c>
      <c r="D14" s="100">
        <v>5.46</v>
      </c>
      <c r="E14" s="100">
        <v>7.22</v>
      </c>
      <c r="F14" s="100">
        <v>2.33</v>
      </c>
      <c r="G14" s="100">
        <v>55.05</v>
      </c>
      <c r="H14" s="100">
        <v>27.37</v>
      </c>
      <c r="I14" s="100">
        <v>7.58</v>
      </c>
      <c r="J14" s="100">
        <v>0.32</v>
      </c>
      <c r="K14" s="100">
        <v>60.69</v>
      </c>
      <c r="L14" s="100">
        <v>26.95</v>
      </c>
      <c r="M14" s="100">
        <v>94.84</v>
      </c>
      <c r="N14" s="100">
        <v>1.8</v>
      </c>
      <c r="O14" s="100">
        <v>0</v>
      </c>
      <c r="P14" s="100">
        <v>0.64</v>
      </c>
      <c r="Q14" s="100">
        <v>28</v>
      </c>
      <c r="R14" s="6"/>
      <c r="S14" s="6"/>
      <c r="T14" s="156"/>
      <c r="U14" s="6"/>
    </row>
    <row r="15" spans="1:21" customFormat="1">
      <c r="A15" s="163" t="s">
        <v>246</v>
      </c>
      <c r="B15" s="100">
        <v>8.09</v>
      </c>
      <c r="C15" s="100">
        <v>11</v>
      </c>
      <c r="D15" s="100">
        <v>6.05</v>
      </c>
      <c r="E15" s="100">
        <v>7.04</v>
      </c>
      <c r="F15" s="100">
        <v>2.12</v>
      </c>
      <c r="G15" s="100">
        <v>55.05</v>
      </c>
      <c r="H15" s="100">
        <v>27.37</v>
      </c>
      <c r="I15" s="100">
        <v>7.63</v>
      </c>
      <c r="J15" s="100">
        <v>0.17</v>
      </c>
      <c r="K15" s="100">
        <v>151.19</v>
      </c>
      <c r="L15" s="100">
        <v>26.93</v>
      </c>
      <c r="M15" s="100">
        <v>97.25</v>
      </c>
      <c r="N15" s="100">
        <v>1.9</v>
      </c>
      <c r="O15" s="100">
        <v>0</v>
      </c>
      <c r="P15" s="100">
        <v>0.64</v>
      </c>
      <c r="Q15" s="100">
        <v>28</v>
      </c>
      <c r="R15" s="6"/>
      <c r="S15" s="6"/>
      <c r="T15" s="156"/>
      <c r="U15" s="6"/>
    </row>
    <row r="16" spans="1:21" customFormat="1">
      <c r="A16" s="163" t="s">
        <v>247</v>
      </c>
      <c r="B16" s="100">
        <v>7.61</v>
      </c>
      <c r="C16" s="100">
        <v>10.74</v>
      </c>
      <c r="D16" s="100">
        <v>6.29</v>
      </c>
      <c r="E16" s="100">
        <v>6.75</v>
      </c>
      <c r="F16" s="100">
        <v>2.1</v>
      </c>
      <c r="G16" s="100">
        <v>59.3</v>
      </c>
      <c r="H16" s="100">
        <v>28.24</v>
      </c>
      <c r="I16" s="100">
        <v>7.73</v>
      </c>
      <c r="J16" s="100">
        <v>0.14000000000000001</v>
      </c>
      <c r="K16" s="100">
        <v>201.99</v>
      </c>
      <c r="L16" s="100">
        <v>26.71</v>
      </c>
      <c r="M16" s="100">
        <v>96.13</v>
      </c>
      <c r="N16" s="100">
        <v>2</v>
      </c>
      <c r="O16" s="100">
        <v>0</v>
      </c>
      <c r="P16" s="100">
        <v>0.61</v>
      </c>
      <c r="Q16" s="100">
        <v>28</v>
      </c>
      <c r="R16" s="6"/>
      <c r="S16" s="6"/>
      <c r="T16" s="156"/>
      <c r="U16" s="6"/>
    </row>
    <row r="17" spans="1:21" customFormat="1">
      <c r="A17" s="163" t="s">
        <v>248</v>
      </c>
      <c r="B17" s="100">
        <v>7.52</v>
      </c>
      <c r="C17" s="100">
        <v>10.58</v>
      </c>
      <c r="D17" s="100">
        <v>6.13</v>
      </c>
      <c r="E17" s="100">
        <v>7.47</v>
      </c>
      <c r="F17" s="100">
        <v>2.11</v>
      </c>
      <c r="G17" s="100">
        <v>59.83</v>
      </c>
      <c r="H17" s="100">
        <v>28.24</v>
      </c>
      <c r="I17" s="100">
        <v>7.88</v>
      </c>
      <c r="J17" s="100">
        <v>0.13</v>
      </c>
      <c r="K17" s="100">
        <v>213.91</v>
      </c>
      <c r="L17" s="100">
        <v>26.54</v>
      </c>
      <c r="M17" s="100">
        <v>97.07</v>
      </c>
      <c r="N17" s="100">
        <v>2</v>
      </c>
      <c r="O17" s="100">
        <v>0</v>
      </c>
      <c r="P17" s="100">
        <v>0.62</v>
      </c>
      <c r="Q17" s="100">
        <v>28</v>
      </c>
      <c r="R17" s="6"/>
      <c r="S17" s="6"/>
      <c r="T17" s="156"/>
      <c r="U17" s="6"/>
    </row>
    <row r="18" spans="1:21" customFormat="1">
      <c r="A18" s="163" t="s">
        <v>249</v>
      </c>
      <c r="B18" s="100">
        <v>7.47</v>
      </c>
      <c r="C18" s="100">
        <v>10.42</v>
      </c>
      <c r="D18" s="100">
        <v>5.89</v>
      </c>
      <c r="E18" s="100">
        <v>8.81</v>
      </c>
      <c r="F18" s="100">
        <v>2.1</v>
      </c>
      <c r="G18" s="100">
        <v>59.83</v>
      </c>
      <c r="H18" s="100">
        <v>28.24</v>
      </c>
      <c r="I18" s="100">
        <v>7.83</v>
      </c>
      <c r="J18" s="100">
        <v>0.18</v>
      </c>
      <c r="K18" s="100">
        <v>201.05</v>
      </c>
      <c r="L18" s="100">
        <v>26.42</v>
      </c>
      <c r="M18" s="100">
        <v>98.49</v>
      </c>
      <c r="N18" s="100">
        <v>1.9</v>
      </c>
      <c r="O18" s="100">
        <v>0</v>
      </c>
      <c r="P18" s="100">
        <v>0.61</v>
      </c>
      <c r="Q18" s="100">
        <v>28</v>
      </c>
      <c r="R18" s="6"/>
      <c r="S18" s="6"/>
      <c r="T18" s="156"/>
      <c r="U18" s="6"/>
    </row>
    <row r="19" spans="1:21" customFormat="1">
      <c r="A19" s="163" t="s">
        <v>250</v>
      </c>
      <c r="B19" s="100">
        <v>7.48</v>
      </c>
      <c r="C19" s="100">
        <v>10.26</v>
      </c>
      <c r="D19" s="100">
        <v>5.58</v>
      </c>
      <c r="E19" s="100">
        <v>8.68</v>
      </c>
      <c r="F19" s="100">
        <v>2.1</v>
      </c>
      <c r="G19" s="100">
        <v>59.83</v>
      </c>
      <c r="H19" s="100">
        <v>28.24</v>
      </c>
      <c r="I19" s="100">
        <v>7.95</v>
      </c>
      <c r="J19" s="100">
        <v>0.16</v>
      </c>
      <c r="K19" s="100">
        <v>187.31</v>
      </c>
      <c r="L19" s="100">
        <v>26.26</v>
      </c>
      <c r="M19" s="100">
        <v>99.98</v>
      </c>
      <c r="N19" s="100">
        <v>2</v>
      </c>
      <c r="O19" s="100">
        <v>0</v>
      </c>
      <c r="P19" s="100">
        <v>0.62</v>
      </c>
      <c r="Q19" s="100">
        <v>28</v>
      </c>
      <c r="R19" s="6"/>
      <c r="S19" s="6"/>
      <c r="T19" s="156"/>
      <c r="U19" s="6"/>
    </row>
    <row r="20" spans="1:21" customFormat="1">
      <c r="A20" s="163" t="s">
        <v>251</v>
      </c>
      <c r="B20" s="100">
        <v>7.47</v>
      </c>
      <c r="C20" s="100">
        <v>10.119999999999999</v>
      </c>
      <c r="D20" s="100">
        <v>5.32</v>
      </c>
      <c r="E20" s="100">
        <v>8.76</v>
      </c>
      <c r="F20" s="100">
        <v>2.12</v>
      </c>
      <c r="G20" s="100">
        <v>58.39</v>
      </c>
      <c r="H20" s="100">
        <v>27.98</v>
      </c>
      <c r="I20" s="100">
        <v>8.0500000000000007</v>
      </c>
      <c r="J20" s="100">
        <v>0.15</v>
      </c>
      <c r="K20" s="100">
        <v>189.16</v>
      </c>
      <c r="L20" s="100">
        <v>26.19</v>
      </c>
      <c r="M20" s="100">
        <v>100.28</v>
      </c>
      <c r="N20" s="100">
        <v>1.8</v>
      </c>
      <c r="O20" s="100">
        <v>0</v>
      </c>
      <c r="P20" s="100">
        <v>0.63</v>
      </c>
      <c r="Q20" s="100">
        <v>28</v>
      </c>
      <c r="R20" s="6"/>
      <c r="S20" s="6"/>
      <c r="T20" s="156"/>
      <c r="U20" s="6"/>
    </row>
    <row r="21" spans="1:21" customFormat="1">
      <c r="A21" s="163" t="s">
        <v>252</v>
      </c>
      <c r="B21" s="100">
        <v>7.43</v>
      </c>
      <c r="C21" s="100">
        <v>10</v>
      </c>
      <c r="D21" s="100">
        <v>5.15</v>
      </c>
      <c r="E21" s="100">
        <v>9.0500000000000007</v>
      </c>
      <c r="F21" s="100">
        <v>2.12</v>
      </c>
      <c r="G21" s="100">
        <v>58.2</v>
      </c>
      <c r="H21" s="100">
        <v>27.98</v>
      </c>
      <c r="I21" s="100">
        <v>8.14</v>
      </c>
      <c r="J21" s="100">
        <v>0.15</v>
      </c>
      <c r="K21" s="100">
        <v>181.35</v>
      </c>
      <c r="L21" s="100">
        <v>26.17</v>
      </c>
      <c r="M21" s="100">
        <v>100.36</v>
      </c>
      <c r="N21" s="100">
        <v>1.7</v>
      </c>
      <c r="O21" s="100">
        <v>0</v>
      </c>
      <c r="P21" s="100">
        <v>0.62</v>
      </c>
      <c r="Q21" s="100">
        <v>28</v>
      </c>
      <c r="R21" s="6"/>
      <c r="S21" s="6"/>
      <c r="T21" s="156"/>
      <c r="U21" s="6"/>
    </row>
    <row r="22" spans="1:21" customFormat="1">
      <c r="A22" s="163" t="s">
        <v>253</v>
      </c>
      <c r="B22" s="100">
        <v>7.39</v>
      </c>
      <c r="C22" s="100">
        <v>9.8699999999999992</v>
      </c>
      <c r="D22" s="100">
        <v>4.95</v>
      </c>
      <c r="E22" s="100">
        <v>8.8800000000000008</v>
      </c>
      <c r="F22" s="100">
        <v>2.2000000000000002</v>
      </c>
      <c r="G22" s="100">
        <v>58.2</v>
      </c>
      <c r="H22" s="100">
        <v>27.98</v>
      </c>
      <c r="I22" s="100">
        <v>8.18</v>
      </c>
      <c r="J22" s="100">
        <v>0.12</v>
      </c>
      <c r="K22" s="100">
        <v>183.92</v>
      </c>
      <c r="L22" s="100">
        <v>26.14</v>
      </c>
      <c r="M22" s="100">
        <v>101.66</v>
      </c>
      <c r="N22" s="100">
        <v>1.7</v>
      </c>
      <c r="O22" s="100">
        <v>0</v>
      </c>
      <c r="P22" s="100">
        <v>0.62</v>
      </c>
      <c r="Q22" s="100">
        <v>28</v>
      </c>
      <c r="R22" s="6"/>
      <c r="S22" s="6"/>
      <c r="T22" s="156"/>
      <c r="U22" s="6"/>
    </row>
    <row r="23" spans="1:21" customFormat="1">
      <c r="A23" s="163" t="s">
        <v>254</v>
      </c>
      <c r="B23" s="100">
        <v>7.38</v>
      </c>
      <c r="C23" s="100">
        <v>9.75</v>
      </c>
      <c r="D23" s="100">
        <v>4.74</v>
      </c>
      <c r="E23" s="100">
        <v>9.19</v>
      </c>
      <c r="F23" s="100">
        <v>2.2599999999999998</v>
      </c>
      <c r="G23" s="100">
        <v>58.2</v>
      </c>
      <c r="H23" s="100">
        <v>27.98</v>
      </c>
      <c r="I23" s="100">
        <v>8.11</v>
      </c>
      <c r="J23" s="100">
        <v>0.25</v>
      </c>
      <c r="K23" s="100">
        <v>232.11</v>
      </c>
      <c r="L23" s="100">
        <v>26.1</v>
      </c>
      <c r="M23" s="100">
        <v>100.48</v>
      </c>
      <c r="N23" s="100">
        <v>1.7</v>
      </c>
      <c r="O23" s="100">
        <v>0</v>
      </c>
      <c r="P23" s="100">
        <v>0.61</v>
      </c>
      <c r="Q23" s="100">
        <v>28</v>
      </c>
      <c r="R23" s="6"/>
      <c r="S23" s="6"/>
      <c r="T23" s="156"/>
      <c r="U23" s="6"/>
    </row>
    <row r="24" spans="1:21" customFormat="1">
      <c r="A24" s="163" t="s">
        <v>255</v>
      </c>
      <c r="B24" s="100">
        <v>7.32</v>
      </c>
      <c r="C24" s="100">
        <v>9.6999999999999993</v>
      </c>
      <c r="D24" s="100">
        <v>4.7300000000000004</v>
      </c>
      <c r="E24" s="100">
        <v>9.2100000000000009</v>
      </c>
      <c r="F24" s="100">
        <v>2.42</v>
      </c>
      <c r="G24" s="100">
        <v>53.89</v>
      </c>
      <c r="H24" s="100">
        <v>23.84</v>
      </c>
      <c r="I24" s="100">
        <v>8.06</v>
      </c>
      <c r="J24" s="100">
        <v>0.14000000000000001</v>
      </c>
      <c r="K24" s="100">
        <v>207.46</v>
      </c>
      <c r="L24" s="100">
        <v>26.08</v>
      </c>
      <c r="M24" s="100">
        <v>100.46</v>
      </c>
      <c r="N24" s="100">
        <v>1.7</v>
      </c>
      <c r="O24" s="100">
        <v>0</v>
      </c>
      <c r="P24" s="100">
        <v>0.62</v>
      </c>
      <c r="Q24" s="100">
        <v>28</v>
      </c>
      <c r="R24" s="6"/>
      <c r="S24" s="6"/>
      <c r="T24" s="156"/>
      <c r="U24" s="6"/>
    </row>
    <row r="25" spans="1:21" customFormat="1">
      <c r="A25" s="163" t="s">
        <v>256</v>
      </c>
      <c r="B25" s="100">
        <v>7.28</v>
      </c>
      <c r="C25" s="100">
        <v>9.58</v>
      </c>
      <c r="D25" s="100">
        <v>4.57</v>
      </c>
      <c r="E25" s="100">
        <v>9.0500000000000007</v>
      </c>
      <c r="F25" s="100">
        <v>2.57</v>
      </c>
      <c r="G25" s="100">
        <v>53.36</v>
      </c>
      <c r="H25" s="100">
        <v>23.84</v>
      </c>
      <c r="I25" s="100">
        <v>8.0299999999999994</v>
      </c>
      <c r="J25" s="100">
        <v>0.15</v>
      </c>
      <c r="K25" s="100">
        <v>218.93</v>
      </c>
      <c r="L25" s="100">
        <v>26</v>
      </c>
      <c r="M25" s="100">
        <v>100.93</v>
      </c>
      <c r="N25" s="100">
        <v>1.7</v>
      </c>
      <c r="O25" s="100">
        <v>0</v>
      </c>
      <c r="P25" s="100">
        <v>0.61</v>
      </c>
      <c r="Q25" s="100">
        <v>28</v>
      </c>
      <c r="R25" s="6"/>
      <c r="S25" s="6"/>
      <c r="T25" s="156"/>
      <c r="U25" s="6"/>
    </row>
    <row r="26" spans="1:21" customFormat="1">
      <c r="A26" s="163" t="s">
        <v>257</v>
      </c>
      <c r="B26" s="100">
        <v>7.14</v>
      </c>
      <c r="C26" s="100">
        <v>9.41</v>
      </c>
      <c r="D26" s="100">
        <v>4.46</v>
      </c>
      <c r="E26" s="100">
        <v>9.17</v>
      </c>
      <c r="F26" s="100">
        <v>2.85</v>
      </c>
      <c r="G26" s="100">
        <v>53.36</v>
      </c>
      <c r="H26" s="100">
        <v>23.84</v>
      </c>
      <c r="I26" s="100">
        <v>7.94</v>
      </c>
      <c r="J26" s="100">
        <v>0.13</v>
      </c>
      <c r="K26" s="100">
        <v>186.87</v>
      </c>
      <c r="L26" s="100">
        <v>25.92</v>
      </c>
      <c r="M26" s="100">
        <v>99.76</v>
      </c>
      <c r="N26" s="100">
        <v>1.7</v>
      </c>
      <c r="O26" s="100">
        <v>0</v>
      </c>
      <c r="P26" s="100">
        <v>0.59</v>
      </c>
      <c r="Q26" s="100">
        <v>28</v>
      </c>
      <c r="R26" s="6"/>
      <c r="S26" s="6"/>
      <c r="T26" s="156"/>
      <c r="U26" s="6"/>
    </row>
    <row r="27" spans="1:21" customFormat="1">
      <c r="A27" s="163" t="s">
        <v>258</v>
      </c>
      <c r="B27" s="100">
        <v>6.97</v>
      </c>
      <c r="C27" s="100">
        <v>9.18</v>
      </c>
      <c r="D27" s="100">
        <v>4.28</v>
      </c>
      <c r="E27" s="100">
        <v>9.49</v>
      </c>
      <c r="F27" s="100">
        <v>2.66</v>
      </c>
      <c r="G27" s="100">
        <v>53.36</v>
      </c>
      <c r="H27" s="100">
        <v>23.84</v>
      </c>
      <c r="I27" s="100">
        <v>7.92</v>
      </c>
      <c r="J27" s="100">
        <v>0.15</v>
      </c>
      <c r="K27" s="100">
        <v>185.58</v>
      </c>
      <c r="L27" s="100">
        <v>25.85</v>
      </c>
      <c r="M27" s="100">
        <v>101.51</v>
      </c>
      <c r="N27" s="100">
        <v>1.7</v>
      </c>
      <c r="O27" s="100">
        <v>0</v>
      </c>
      <c r="P27" s="100">
        <v>0.59</v>
      </c>
      <c r="Q27" s="100">
        <v>28</v>
      </c>
      <c r="R27" s="6"/>
      <c r="S27" s="6"/>
      <c r="T27" s="156"/>
      <c r="U27" s="6"/>
    </row>
    <row r="28" spans="1:21" customFormat="1">
      <c r="A28" s="163" t="s">
        <v>259</v>
      </c>
      <c r="B28" s="100">
        <v>6.83</v>
      </c>
      <c r="C28" s="100">
        <v>9.1300000000000008</v>
      </c>
      <c r="D28" s="100">
        <v>4.4000000000000004</v>
      </c>
      <c r="E28" s="100">
        <v>9.34</v>
      </c>
      <c r="F28" s="100">
        <v>2.64</v>
      </c>
      <c r="G28" s="100">
        <v>51.96</v>
      </c>
      <c r="H28" s="100">
        <v>23.11</v>
      </c>
      <c r="I28" s="100">
        <v>7.79</v>
      </c>
      <c r="J28" s="100">
        <v>0.13</v>
      </c>
      <c r="K28" s="100">
        <v>204.67</v>
      </c>
      <c r="L28" s="100">
        <v>25.75</v>
      </c>
      <c r="M28" s="100">
        <v>101.38</v>
      </c>
      <c r="N28" s="100">
        <v>1.7</v>
      </c>
      <c r="O28" s="100">
        <v>0</v>
      </c>
      <c r="P28" s="100">
        <v>0.57999999999999996</v>
      </c>
      <c r="Q28" s="100">
        <v>28</v>
      </c>
      <c r="R28" s="6"/>
      <c r="S28" s="6"/>
      <c r="T28" s="156"/>
      <c r="U28" s="6"/>
    </row>
    <row r="29" spans="1:21" customFormat="1">
      <c r="A29" s="163" t="s">
        <v>260</v>
      </c>
      <c r="B29" s="100">
        <v>6.76</v>
      </c>
      <c r="C29" s="100">
        <v>8.9499999999999993</v>
      </c>
      <c r="D29" s="100">
        <v>4.17</v>
      </c>
      <c r="E29" s="100">
        <v>9.5500000000000007</v>
      </c>
      <c r="F29" s="100">
        <v>3.43</v>
      </c>
      <c r="G29" s="100">
        <v>51.79</v>
      </c>
      <c r="H29" s="100">
        <v>23.11</v>
      </c>
      <c r="I29" s="100">
        <v>7.63</v>
      </c>
      <c r="J29" s="100">
        <v>0.23</v>
      </c>
      <c r="K29" s="100">
        <v>242.63</v>
      </c>
      <c r="L29" s="100">
        <v>25.74</v>
      </c>
      <c r="M29" s="100">
        <v>101.5</v>
      </c>
      <c r="N29" s="100">
        <v>2</v>
      </c>
      <c r="O29" s="100">
        <v>0</v>
      </c>
      <c r="P29" s="100">
        <v>0.56999999999999995</v>
      </c>
      <c r="Q29" s="100">
        <v>28</v>
      </c>
      <c r="R29" s="6"/>
      <c r="S29" s="6"/>
      <c r="T29" s="156"/>
      <c r="U29" s="6"/>
    </row>
    <row r="30" spans="1:21" customFormat="1">
      <c r="A30" s="163" t="s">
        <v>261</v>
      </c>
      <c r="B30" s="100">
        <v>6.65</v>
      </c>
      <c r="C30" s="100">
        <v>8.81</v>
      </c>
      <c r="D30" s="100">
        <v>4.0599999999999996</v>
      </c>
      <c r="E30" s="100">
        <v>9.61</v>
      </c>
      <c r="F30" s="100">
        <v>3.04</v>
      </c>
      <c r="G30" s="100">
        <v>51.79</v>
      </c>
      <c r="H30" s="100">
        <v>23.11</v>
      </c>
      <c r="I30" s="100">
        <v>7.6</v>
      </c>
      <c r="J30" s="100">
        <v>0.2</v>
      </c>
      <c r="K30" s="100">
        <v>238.27</v>
      </c>
      <c r="L30" s="100">
        <v>25.74</v>
      </c>
      <c r="M30" s="100">
        <v>99.74</v>
      </c>
      <c r="N30" s="100">
        <v>4.5999999999999996</v>
      </c>
      <c r="O30" s="100">
        <v>0</v>
      </c>
      <c r="P30" s="100">
        <v>0.56999999999999995</v>
      </c>
      <c r="Q30" s="100">
        <v>28</v>
      </c>
      <c r="R30" s="6"/>
      <c r="S30" s="6"/>
      <c r="T30" s="156"/>
      <c r="U30" s="6"/>
    </row>
    <row r="31" spans="1:21" customFormat="1">
      <c r="A31" s="163" t="s">
        <v>262</v>
      </c>
      <c r="B31" s="100">
        <v>6.54</v>
      </c>
      <c r="C31" s="100">
        <v>8.6999999999999993</v>
      </c>
      <c r="D31" s="100">
        <v>4.03</v>
      </c>
      <c r="E31" s="100">
        <v>9.32</v>
      </c>
      <c r="F31" s="100">
        <v>3.11</v>
      </c>
      <c r="G31" s="100">
        <v>51.79</v>
      </c>
      <c r="H31" s="100">
        <v>23.11</v>
      </c>
      <c r="I31" s="100">
        <v>7.41</v>
      </c>
      <c r="J31" s="100">
        <v>0.15</v>
      </c>
      <c r="K31" s="100">
        <v>225.02</v>
      </c>
      <c r="L31" s="100">
        <v>25.67</v>
      </c>
      <c r="M31" s="100">
        <v>100.73</v>
      </c>
      <c r="N31" s="100">
        <v>11.9</v>
      </c>
      <c r="O31" s="100">
        <v>0</v>
      </c>
      <c r="P31" s="100">
        <v>0.55000000000000004</v>
      </c>
      <c r="Q31" s="100">
        <v>28</v>
      </c>
      <c r="R31" s="6"/>
      <c r="S31" s="6"/>
      <c r="T31" s="156"/>
      <c r="U31" s="6"/>
    </row>
    <row r="32" spans="1:21" customFormat="1">
      <c r="A32" s="163" t="s">
        <v>263</v>
      </c>
      <c r="B32" s="100">
        <v>6.44</v>
      </c>
      <c r="C32" s="100">
        <v>8.7100000000000009</v>
      </c>
      <c r="D32" s="100">
        <v>4.2</v>
      </c>
      <c r="E32" s="100">
        <v>9.56</v>
      </c>
      <c r="F32" s="100">
        <v>2.77</v>
      </c>
      <c r="G32" s="100">
        <v>49</v>
      </c>
      <c r="H32" s="100">
        <v>19.3</v>
      </c>
      <c r="I32" s="100">
        <v>7.22</v>
      </c>
      <c r="J32" s="100">
        <v>0.15</v>
      </c>
      <c r="K32" s="100">
        <v>225.6</v>
      </c>
      <c r="L32" s="100">
        <v>25.85</v>
      </c>
      <c r="M32" s="100">
        <v>104.28</v>
      </c>
      <c r="N32" s="100">
        <v>22.2</v>
      </c>
      <c r="O32" s="100">
        <v>0</v>
      </c>
      <c r="P32" s="100">
        <v>0.56000000000000005</v>
      </c>
      <c r="Q32" s="100">
        <v>28</v>
      </c>
      <c r="R32" s="6"/>
      <c r="S32" s="6"/>
      <c r="T32" s="156"/>
      <c r="U32" s="6"/>
    </row>
    <row r="33" spans="1:21" customFormat="1">
      <c r="A33" s="163" t="s">
        <v>264</v>
      </c>
      <c r="B33" s="100">
        <v>6.4</v>
      </c>
      <c r="C33" s="100">
        <v>8.52</v>
      </c>
      <c r="D33" s="100">
        <v>3.89</v>
      </c>
      <c r="E33" s="100">
        <v>9.5500000000000007</v>
      </c>
      <c r="F33" s="100">
        <v>3.08</v>
      </c>
      <c r="G33" s="100">
        <v>48.65</v>
      </c>
      <c r="H33" s="100">
        <v>19.3</v>
      </c>
      <c r="I33" s="100">
        <v>7.11</v>
      </c>
      <c r="J33" s="100">
        <v>0.42</v>
      </c>
      <c r="K33" s="100">
        <v>247.07</v>
      </c>
      <c r="L33" s="100">
        <v>26.15</v>
      </c>
      <c r="M33" s="100">
        <v>103.7</v>
      </c>
      <c r="N33" s="100">
        <v>34.9</v>
      </c>
      <c r="O33" s="100">
        <v>0</v>
      </c>
      <c r="P33" s="100">
        <v>0.55000000000000004</v>
      </c>
      <c r="Q33" s="100">
        <v>28</v>
      </c>
      <c r="R33" s="6"/>
      <c r="S33" s="6"/>
      <c r="T33" s="156"/>
      <c r="U33" s="6"/>
    </row>
    <row r="34" spans="1:21" customFormat="1">
      <c r="A34" s="163" t="s">
        <v>265</v>
      </c>
      <c r="B34" s="100">
        <v>6.3</v>
      </c>
      <c r="C34" s="100">
        <v>8.39</v>
      </c>
      <c r="D34" s="100">
        <v>3.81</v>
      </c>
      <c r="E34" s="100">
        <v>9.58</v>
      </c>
      <c r="F34" s="100">
        <v>3.61</v>
      </c>
      <c r="G34" s="100">
        <v>48.65</v>
      </c>
      <c r="H34" s="100">
        <v>19.3</v>
      </c>
      <c r="I34" s="100">
        <v>7.16</v>
      </c>
      <c r="J34" s="100">
        <v>0.31</v>
      </c>
      <c r="K34" s="100">
        <v>247.69</v>
      </c>
      <c r="L34" s="100">
        <v>26.51</v>
      </c>
      <c r="M34" s="100">
        <v>95.46</v>
      </c>
      <c r="N34" s="100">
        <v>51.3</v>
      </c>
      <c r="O34" s="100">
        <v>0</v>
      </c>
      <c r="P34" s="100">
        <v>0.54</v>
      </c>
      <c r="Q34" s="100">
        <v>28</v>
      </c>
      <c r="R34" s="6"/>
      <c r="S34" s="6"/>
      <c r="T34" s="156"/>
      <c r="U34" s="6"/>
    </row>
    <row r="35" spans="1:21" customFormat="1">
      <c r="A35" s="163" t="s">
        <v>266</v>
      </c>
      <c r="B35" s="100">
        <v>6.15</v>
      </c>
      <c r="C35" s="100">
        <v>8.2799999999999994</v>
      </c>
      <c r="D35" s="100">
        <v>3.83</v>
      </c>
      <c r="E35" s="100">
        <v>9.68</v>
      </c>
      <c r="F35" s="100">
        <v>2.73</v>
      </c>
      <c r="G35" s="100">
        <v>48.65</v>
      </c>
      <c r="H35" s="100">
        <v>19.3</v>
      </c>
      <c r="I35" s="100">
        <v>7.16</v>
      </c>
      <c r="J35" s="100">
        <v>0.38</v>
      </c>
      <c r="K35" s="100">
        <v>238.96</v>
      </c>
      <c r="L35" s="100">
        <v>26.97</v>
      </c>
      <c r="M35" s="100">
        <v>91.78</v>
      </c>
      <c r="N35" s="100">
        <v>66.7</v>
      </c>
      <c r="O35" s="100">
        <v>0</v>
      </c>
      <c r="P35" s="100">
        <v>0.54</v>
      </c>
      <c r="Q35" s="100">
        <v>28</v>
      </c>
      <c r="R35" s="6"/>
      <c r="S35" s="6"/>
      <c r="T35" s="156"/>
      <c r="U35" s="6"/>
    </row>
    <row r="36" spans="1:21" customFormat="1">
      <c r="A36" s="163" t="s">
        <v>267</v>
      </c>
      <c r="B36" s="100">
        <v>6.07</v>
      </c>
      <c r="C36" s="100">
        <v>8.11</v>
      </c>
      <c r="D36" s="100">
        <v>3.61</v>
      </c>
      <c r="E36" s="100">
        <v>9.52</v>
      </c>
      <c r="F36" s="100">
        <v>2.2000000000000002</v>
      </c>
      <c r="G36" s="100">
        <v>47.57</v>
      </c>
      <c r="H36" s="100">
        <v>20.77</v>
      </c>
      <c r="I36" s="100">
        <v>7.13</v>
      </c>
      <c r="J36" s="100">
        <v>0.44</v>
      </c>
      <c r="K36" s="100">
        <v>240.52</v>
      </c>
      <c r="L36" s="100">
        <v>27.34</v>
      </c>
      <c r="M36" s="100">
        <v>88.28</v>
      </c>
      <c r="N36" s="100">
        <v>81.599999999999994</v>
      </c>
      <c r="O36" s="100">
        <v>0</v>
      </c>
      <c r="P36" s="100">
        <v>0.56000000000000005</v>
      </c>
      <c r="Q36" s="100">
        <v>28</v>
      </c>
      <c r="R36" s="6"/>
      <c r="S36" s="6"/>
      <c r="T36" s="156"/>
      <c r="U36" s="6"/>
    </row>
    <row r="37" spans="1:21" customFormat="1">
      <c r="A37" s="163" t="s">
        <v>268</v>
      </c>
      <c r="B37" s="100">
        <v>6.22</v>
      </c>
      <c r="C37" s="100">
        <v>8.15</v>
      </c>
      <c r="D37" s="100">
        <v>3.47</v>
      </c>
      <c r="E37" s="100">
        <v>9.51</v>
      </c>
      <c r="F37" s="100">
        <v>2.42</v>
      </c>
      <c r="G37" s="100">
        <v>47.43</v>
      </c>
      <c r="H37" s="100">
        <v>20.77</v>
      </c>
      <c r="I37" s="100">
        <v>7.1</v>
      </c>
      <c r="J37" s="100">
        <v>0.43</v>
      </c>
      <c r="K37" s="100">
        <v>245.43</v>
      </c>
      <c r="L37" s="100">
        <v>27.91</v>
      </c>
      <c r="M37" s="100">
        <v>84.49</v>
      </c>
      <c r="N37" s="100">
        <v>96.1</v>
      </c>
      <c r="O37" s="100">
        <v>0</v>
      </c>
      <c r="P37" s="100">
        <v>0.55000000000000004</v>
      </c>
      <c r="Q37" s="100">
        <v>28</v>
      </c>
      <c r="R37" s="6"/>
      <c r="S37" s="6"/>
      <c r="T37" s="156"/>
      <c r="U37" s="6"/>
    </row>
    <row r="38" spans="1:21" customFormat="1">
      <c r="A38" s="163" t="s">
        <v>269</v>
      </c>
      <c r="B38" s="100">
        <v>6.26</v>
      </c>
      <c r="C38" s="100">
        <v>8.0299999999999994</v>
      </c>
      <c r="D38" s="100">
        <v>3.17</v>
      </c>
      <c r="E38" s="100">
        <v>9.1999999999999993</v>
      </c>
      <c r="F38" s="100">
        <v>2.71</v>
      </c>
      <c r="G38" s="100">
        <v>47.43</v>
      </c>
      <c r="H38" s="100">
        <v>20.77</v>
      </c>
      <c r="I38" s="100">
        <v>7.12</v>
      </c>
      <c r="J38" s="100">
        <v>0.44</v>
      </c>
      <c r="K38" s="100">
        <v>243.44</v>
      </c>
      <c r="L38" s="100">
        <v>28.46</v>
      </c>
      <c r="M38" s="100">
        <v>81.540000000000006</v>
      </c>
      <c r="N38" s="100">
        <v>107.9</v>
      </c>
      <c r="O38" s="100">
        <v>0</v>
      </c>
      <c r="P38" s="100">
        <v>0.55000000000000004</v>
      </c>
      <c r="Q38" s="100">
        <v>28</v>
      </c>
      <c r="R38" s="6"/>
      <c r="S38" s="6"/>
      <c r="T38" s="156"/>
      <c r="U38" s="6"/>
    </row>
    <row r="39" spans="1:21" customFormat="1">
      <c r="A39" s="163" t="s">
        <v>270</v>
      </c>
      <c r="B39" s="100">
        <v>6.18</v>
      </c>
      <c r="C39" s="100">
        <v>7.98</v>
      </c>
      <c r="D39" s="100">
        <v>3.2</v>
      </c>
      <c r="E39" s="100">
        <v>9.14</v>
      </c>
      <c r="F39" s="100">
        <v>2.15</v>
      </c>
      <c r="G39" s="100">
        <v>47.43</v>
      </c>
      <c r="H39" s="100">
        <v>20.77</v>
      </c>
      <c r="I39" s="100">
        <v>7.17</v>
      </c>
      <c r="J39" s="100">
        <v>0.52</v>
      </c>
      <c r="K39" s="100">
        <v>251.16</v>
      </c>
      <c r="L39" s="100">
        <v>29.15</v>
      </c>
      <c r="M39" s="100">
        <v>75.83</v>
      </c>
      <c r="N39" s="100">
        <v>118.9</v>
      </c>
      <c r="O39" s="100">
        <v>0</v>
      </c>
      <c r="P39" s="100">
        <v>0.56999999999999995</v>
      </c>
      <c r="Q39" s="100">
        <v>28</v>
      </c>
      <c r="R39" s="6"/>
      <c r="S39" s="6"/>
      <c r="T39" s="156"/>
      <c r="U39" s="6"/>
    </row>
    <row r="40" spans="1:21" customFormat="1">
      <c r="A40" s="163" t="s">
        <v>271</v>
      </c>
      <c r="B40" s="100">
        <v>6.16</v>
      </c>
      <c r="C40" s="100">
        <v>7.95</v>
      </c>
      <c r="D40" s="100">
        <v>3.18</v>
      </c>
      <c r="E40" s="100">
        <v>8.9700000000000006</v>
      </c>
      <c r="F40" s="100">
        <v>3.46</v>
      </c>
      <c r="G40" s="100">
        <v>48.87</v>
      </c>
      <c r="H40" s="100">
        <v>22</v>
      </c>
      <c r="I40" s="100">
        <v>7.24</v>
      </c>
      <c r="J40" s="100">
        <v>0.62</v>
      </c>
      <c r="K40" s="100">
        <v>252.27</v>
      </c>
      <c r="L40" s="100">
        <v>29.55</v>
      </c>
      <c r="M40" s="100">
        <v>72.11</v>
      </c>
      <c r="N40" s="100">
        <v>130</v>
      </c>
      <c r="O40" s="100">
        <v>0</v>
      </c>
      <c r="P40" s="100">
        <v>0.55000000000000004</v>
      </c>
      <c r="Q40" s="100">
        <v>28</v>
      </c>
      <c r="R40" s="6"/>
      <c r="S40" s="6"/>
      <c r="T40" s="156"/>
      <c r="U40" s="6"/>
    </row>
    <row r="41" spans="1:21" customFormat="1">
      <c r="A41" s="163" t="s">
        <v>272</v>
      </c>
      <c r="B41" s="100">
        <v>5.98</v>
      </c>
      <c r="C41" s="100">
        <v>7.84</v>
      </c>
      <c r="D41" s="100">
        <v>3.24</v>
      </c>
      <c r="E41" s="100">
        <v>8.4499999999999993</v>
      </c>
      <c r="F41" s="100">
        <v>2.8</v>
      </c>
      <c r="G41" s="100">
        <v>49.05</v>
      </c>
      <c r="H41" s="100">
        <v>22</v>
      </c>
      <c r="I41" s="100">
        <v>7.32</v>
      </c>
      <c r="J41" s="100">
        <v>0.56000000000000005</v>
      </c>
      <c r="K41" s="100">
        <v>247.05</v>
      </c>
      <c r="L41" s="100">
        <v>30.17</v>
      </c>
      <c r="M41" s="100">
        <v>69.98</v>
      </c>
      <c r="N41" s="100">
        <v>138.9</v>
      </c>
      <c r="O41" s="100">
        <v>0</v>
      </c>
      <c r="P41" s="100">
        <v>0.57999999999999996</v>
      </c>
      <c r="Q41" s="100">
        <v>28</v>
      </c>
      <c r="R41" s="6"/>
      <c r="S41" s="6"/>
      <c r="T41" s="156"/>
      <c r="U41" s="6"/>
    </row>
    <row r="42" spans="1:21" customFormat="1">
      <c r="A42" s="163" t="s">
        <v>273</v>
      </c>
      <c r="B42" s="100">
        <v>5.84</v>
      </c>
      <c r="C42" s="100">
        <v>8</v>
      </c>
      <c r="D42" s="100">
        <v>3.77</v>
      </c>
      <c r="E42" s="100">
        <v>8.85</v>
      </c>
      <c r="F42" s="100">
        <v>2.1</v>
      </c>
      <c r="G42" s="100">
        <v>49.05</v>
      </c>
      <c r="H42" s="100">
        <v>22</v>
      </c>
      <c r="I42" s="100">
        <v>7.44</v>
      </c>
      <c r="J42" s="100">
        <v>0.72</v>
      </c>
      <c r="K42" s="100">
        <v>265.33999999999997</v>
      </c>
      <c r="L42" s="100">
        <v>30.71</v>
      </c>
      <c r="M42" s="100">
        <v>67.349999999999994</v>
      </c>
      <c r="N42" s="100">
        <v>149.19999999999999</v>
      </c>
      <c r="O42" s="100">
        <v>0</v>
      </c>
      <c r="P42" s="100">
        <v>0.61</v>
      </c>
      <c r="Q42" s="100">
        <v>28</v>
      </c>
      <c r="R42" s="6"/>
      <c r="S42" s="6"/>
      <c r="T42" s="156"/>
      <c r="U42" s="6"/>
    </row>
    <row r="43" spans="1:21" customFormat="1">
      <c r="A43" s="163" t="s">
        <v>274</v>
      </c>
      <c r="B43" s="100">
        <v>5.77</v>
      </c>
      <c r="C43" s="100">
        <v>8.1300000000000008</v>
      </c>
      <c r="D43" s="100">
        <v>4.12</v>
      </c>
      <c r="E43" s="100">
        <v>8.8699999999999992</v>
      </c>
      <c r="F43" s="100">
        <v>4.1500000000000004</v>
      </c>
      <c r="G43" s="100">
        <v>49.05</v>
      </c>
      <c r="H43" s="100">
        <v>22</v>
      </c>
      <c r="I43" s="100">
        <v>7.55</v>
      </c>
      <c r="J43" s="100">
        <v>0.77</v>
      </c>
      <c r="K43" s="100">
        <v>260.69</v>
      </c>
      <c r="L43" s="100">
        <v>31.02</v>
      </c>
      <c r="M43" s="100">
        <v>65.27</v>
      </c>
      <c r="N43" s="100">
        <v>160</v>
      </c>
      <c r="O43" s="100">
        <v>0</v>
      </c>
      <c r="P43" s="100">
        <v>0.61</v>
      </c>
      <c r="Q43" s="100">
        <v>28</v>
      </c>
      <c r="R43" s="6"/>
      <c r="S43" s="6"/>
      <c r="T43" s="156"/>
      <c r="U43" s="6"/>
    </row>
    <row r="44" spans="1:21" customFormat="1">
      <c r="A44" s="163" t="s">
        <v>275</v>
      </c>
      <c r="B44" s="100">
        <v>5.62</v>
      </c>
      <c r="C44" s="100">
        <v>8.17</v>
      </c>
      <c r="D44" s="100">
        <v>4.43</v>
      </c>
      <c r="E44" s="100">
        <v>8.82</v>
      </c>
      <c r="F44" s="100">
        <v>3.06</v>
      </c>
      <c r="G44" s="100">
        <v>58.2</v>
      </c>
      <c r="H44" s="100">
        <v>27.21</v>
      </c>
      <c r="I44" s="100">
        <v>7.83</v>
      </c>
      <c r="J44" s="100">
        <v>0.9</v>
      </c>
      <c r="K44" s="100">
        <v>272.57</v>
      </c>
      <c r="L44" s="100">
        <v>31.45</v>
      </c>
      <c r="M44" s="100">
        <v>64.13</v>
      </c>
      <c r="N44" s="100">
        <v>170.2</v>
      </c>
      <c r="O44" s="100">
        <v>0</v>
      </c>
      <c r="P44" s="100">
        <v>0.63</v>
      </c>
      <c r="Q44" s="100">
        <v>28</v>
      </c>
      <c r="R44" s="6"/>
      <c r="S44" s="6"/>
      <c r="T44" s="156"/>
      <c r="U44" s="6"/>
    </row>
    <row r="45" spans="1:21" customFormat="1">
      <c r="A45" s="163" t="s">
        <v>276</v>
      </c>
      <c r="B45" s="100">
        <v>5.44</v>
      </c>
      <c r="C45" s="100">
        <v>8.01</v>
      </c>
      <c r="D45" s="100">
        <v>4.38</v>
      </c>
      <c r="E45" s="100">
        <v>8.86</v>
      </c>
      <c r="F45" s="100">
        <v>2.35</v>
      </c>
      <c r="G45" s="100">
        <v>59.34</v>
      </c>
      <c r="H45" s="100">
        <v>27.21</v>
      </c>
      <c r="I45" s="100">
        <v>8.08</v>
      </c>
      <c r="J45" s="100">
        <v>0.9</v>
      </c>
      <c r="K45" s="100">
        <v>257.93</v>
      </c>
      <c r="L45" s="100">
        <v>31.71</v>
      </c>
      <c r="M45" s="100">
        <v>63.15</v>
      </c>
      <c r="N45" s="100">
        <v>178.8</v>
      </c>
      <c r="O45" s="100">
        <v>0</v>
      </c>
      <c r="P45" s="100">
        <v>0.65</v>
      </c>
      <c r="Q45" s="100">
        <v>28</v>
      </c>
      <c r="R45" s="6"/>
      <c r="S45" s="6"/>
      <c r="T45" s="156"/>
      <c r="U45" s="6"/>
    </row>
    <row r="46" spans="1:21" customFormat="1">
      <c r="A46" s="163" t="s">
        <v>277</v>
      </c>
      <c r="B46" s="100">
        <v>5.28</v>
      </c>
      <c r="C46" s="100">
        <v>8.0500000000000007</v>
      </c>
      <c r="D46" s="100">
        <v>4.72</v>
      </c>
      <c r="E46" s="100">
        <v>8.7100000000000009</v>
      </c>
      <c r="F46" s="100">
        <v>4.45</v>
      </c>
      <c r="G46" s="100">
        <v>59.34</v>
      </c>
      <c r="H46" s="100">
        <v>27.21</v>
      </c>
      <c r="I46" s="100">
        <v>8.32</v>
      </c>
      <c r="J46" s="100">
        <v>0.89</v>
      </c>
      <c r="K46" s="100">
        <v>278.23</v>
      </c>
      <c r="L46" s="100">
        <v>32.44</v>
      </c>
      <c r="M46" s="100">
        <v>60.89</v>
      </c>
      <c r="N46" s="100">
        <v>184.6</v>
      </c>
      <c r="O46" s="100">
        <v>0</v>
      </c>
      <c r="P46" s="100">
        <v>0.67</v>
      </c>
      <c r="Q46" s="100">
        <v>28</v>
      </c>
      <c r="R46" s="6"/>
      <c r="S46" s="6"/>
      <c r="T46" s="156"/>
      <c r="U46" s="6"/>
    </row>
    <row r="47" spans="1:21" customFormat="1">
      <c r="A47" s="163" t="s">
        <v>278</v>
      </c>
      <c r="B47" s="100">
        <v>5.27</v>
      </c>
      <c r="C47" s="100">
        <v>8.1999999999999993</v>
      </c>
      <c r="D47" s="100">
        <v>5.03</v>
      </c>
      <c r="E47" s="100">
        <v>8.36</v>
      </c>
      <c r="F47" s="100">
        <v>4.3899999999999997</v>
      </c>
      <c r="G47" s="100">
        <v>59.34</v>
      </c>
      <c r="H47" s="100">
        <v>27.21</v>
      </c>
      <c r="I47" s="100">
        <v>8.58</v>
      </c>
      <c r="J47" s="100">
        <v>1.0900000000000001</v>
      </c>
      <c r="K47" s="100">
        <v>274.05</v>
      </c>
      <c r="L47" s="100">
        <v>32.590000000000003</v>
      </c>
      <c r="M47" s="100">
        <v>58.62</v>
      </c>
      <c r="N47" s="100">
        <v>193.8</v>
      </c>
      <c r="O47" s="100">
        <v>0</v>
      </c>
      <c r="P47" s="100">
        <v>0.66</v>
      </c>
      <c r="Q47" s="100">
        <v>28</v>
      </c>
      <c r="R47" s="6"/>
      <c r="S47" s="6"/>
      <c r="T47" s="156"/>
      <c r="U47" s="6"/>
    </row>
    <row r="48" spans="1:21" customFormat="1">
      <c r="A48" s="163" t="s">
        <v>279</v>
      </c>
      <c r="B48" s="100">
        <v>4.9400000000000004</v>
      </c>
      <c r="C48" s="100">
        <v>7.9</v>
      </c>
      <c r="D48" s="100">
        <v>4.9400000000000004</v>
      </c>
      <c r="E48" s="100">
        <v>8.5500000000000007</v>
      </c>
      <c r="F48" s="100">
        <v>5.25</v>
      </c>
      <c r="G48" s="100">
        <v>63.6</v>
      </c>
      <c r="H48" s="100">
        <v>28.56</v>
      </c>
      <c r="I48" s="100">
        <v>8.86</v>
      </c>
      <c r="J48" s="100">
        <v>0.85</v>
      </c>
      <c r="K48" s="100">
        <v>251.99</v>
      </c>
      <c r="L48" s="100">
        <v>32.770000000000003</v>
      </c>
      <c r="M48" s="100">
        <v>59.34</v>
      </c>
      <c r="N48" s="100">
        <v>200.8</v>
      </c>
      <c r="O48" s="100">
        <v>0</v>
      </c>
      <c r="P48" s="100">
        <v>0.68</v>
      </c>
      <c r="Q48" s="100">
        <v>28</v>
      </c>
      <c r="R48" s="6"/>
      <c r="S48" s="6"/>
      <c r="T48" s="156"/>
      <c r="U48" s="6"/>
    </row>
    <row r="49" spans="1:21" customFormat="1">
      <c r="A49" s="163" t="s">
        <v>280</v>
      </c>
      <c r="B49" s="100">
        <v>4.6399999999999997</v>
      </c>
      <c r="C49" s="100">
        <v>7.7</v>
      </c>
      <c r="D49" s="100">
        <v>5.04</v>
      </c>
      <c r="E49" s="100">
        <v>7.96</v>
      </c>
      <c r="F49" s="100">
        <v>7.19</v>
      </c>
      <c r="G49" s="100">
        <v>64.13</v>
      </c>
      <c r="H49" s="100">
        <v>28.56</v>
      </c>
      <c r="I49" s="100">
        <v>8.92</v>
      </c>
      <c r="J49" s="100">
        <v>0.89</v>
      </c>
      <c r="K49" s="100">
        <v>275.36</v>
      </c>
      <c r="L49" s="100">
        <v>33.25</v>
      </c>
      <c r="M49" s="100">
        <v>57.66</v>
      </c>
      <c r="N49" s="100">
        <v>202.6</v>
      </c>
      <c r="O49" s="100">
        <v>0</v>
      </c>
      <c r="P49" s="100">
        <v>0.68</v>
      </c>
      <c r="Q49" s="100">
        <v>28</v>
      </c>
      <c r="R49" s="6"/>
      <c r="S49" s="6"/>
      <c r="T49" s="156"/>
      <c r="U49" s="6"/>
    </row>
    <row r="50" spans="1:21" customFormat="1">
      <c r="A50" s="163" t="s">
        <v>281</v>
      </c>
      <c r="B50" s="100">
        <v>4.43</v>
      </c>
      <c r="C50" s="100">
        <v>7.45</v>
      </c>
      <c r="D50" s="100">
        <v>4.88</v>
      </c>
      <c r="E50" s="100">
        <v>8.93</v>
      </c>
      <c r="F50" s="100">
        <v>6.93</v>
      </c>
      <c r="G50" s="100">
        <v>64.13</v>
      </c>
      <c r="H50" s="100">
        <v>28.56</v>
      </c>
      <c r="I50" s="100">
        <v>9.0500000000000007</v>
      </c>
      <c r="J50" s="100">
        <v>1.0900000000000001</v>
      </c>
      <c r="K50" s="100">
        <v>273.82</v>
      </c>
      <c r="L50" s="100">
        <v>33.86</v>
      </c>
      <c r="M50" s="100">
        <v>53.78</v>
      </c>
      <c r="N50" s="100">
        <v>206.1</v>
      </c>
      <c r="O50" s="100">
        <v>0</v>
      </c>
      <c r="P50" s="100">
        <v>0.67</v>
      </c>
      <c r="Q50" s="100">
        <v>28</v>
      </c>
      <c r="R50" s="6"/>
      <c r="S50" s="6"/>
      <c r="T50" s="156"/>
      <c r="U50" s="6"/>
    </row>
    <row r="51" spans="1:21" customFormat="1">
      <c r="A51" s="163" t="s">
        <v>282</v>
      </c>
      <c r="B51" s="100">
        <v>4.3600000000000003</v>
      </c>
      <c r="C51" s="100">
        <v>7.38</v>
      </c>
      <c r="D51" s="100">
        <v>4.84</v>
      </c>
      <c r="E51" s="100">
        <v>8.58</v>
      </c>
      <c r="F51" s="100">
        <v>5.59</v>
      </c>
      <c r="G51" s="100">
        <v>64.13</v>
      </c>
      <c r="H51" s="100">
        <v>28.56</v>
      </c>
      <c r="I51" s="100">
        <v>8.9499999999999993</v>
      </c>
      <c r="J51" s="100">
        <v>1.92</v>
      </c>
      <c r="K51" s="100">
        <v>297.25</v>
      </c>
      <c r="L51" s="100">
        <v>33.92</v>
      </c>
      <c r="M51" s="100">
        <v>49.72</v>
      </c>
      <c r="N51" s="100">
        <v>213.9</v>
      </c>
      <c r="O51" s="100">
        <v>0</v>
      </c>
      <c r="P51" s="100">
        <v>0.65</v>
      </c>
      <c r="Q51" s="100">
        <v>28</v>
      </c>
      <c r="R51" s="6"/>
      <c r="S51" s="6"/>
      <c r="T51" s="156"/>
      <c r="U51" s="6"/>
    </row>
    <row r="52" spans="1:21" customFormat="1">
      <c r="A52" s="163" t="s">
        <v>283</v>
      </c>
      <c r="B52" s="100">
        <v>4.34</v>
      </c>
      <c r="C52" s="100">
        <v>7.27</v>
      </c>
      <c r="D52" s="100">
        <v>4.67</v>
      </c>
      <c r="E52" s="100">
        <v>8.2899999999999991</v>
      </c>
      <c r="F52" s="100">
        <v>6.69</v>
      </c>
      <c r="G52" s="100">
        <v>67.13</v>
      </c>
      <c r="H52" s="100">
        <v>25.75</v>
      </c>
      <c r="I52" s="100">
        <v>8.83</v>
      </c>
      <c r="J52" s="100">
        <v>1.86</v>
      </c>
      <c r="K52" s="100">
        <v>297.99</v>
      </c>
      <c r="L52" s="100">
        <v>34.21</v>
      </c>
      <c r="M52" s="100">
        <v>48.19</v>
      </c>
      <c r="N52" s="100">
        <v>219.7</v>
      </c>
      <c r="O52" s="100">
        <v>0</v>
      </c>
      <c r="P52" s="100">
        <v>0.64</v>
      </c>
      <c r="Q52" s="100">
        <v>28</v>
      </c>
      <c r="R52" s="6"/>
      <c r="S52" s="6"/>
      <c r="T52" s="156"/>
      <c r="U52" s="6"/>
    </row>
    <row r="53" spans="1:21" customFormat="1">
      <c r="A53" s="163" t="s">
        <v>284</v>
      </c>
      <c r="B53" s="100">
        <v>4.2699999999999996</v>
      </c>
      <c r="C53" s="100">
        <v>7.25</v>
      </c>
      <c r="D53" s="100">
        <v>4.74</v>
      </c>
      <c r="E53" s="100">
        <v>8.5399999999999991</v>
      </c>
      <c r="F53" s="100">
        <v>4.8499999999999996</v>
      </c>
      <c r="G53" s="100">
        <v>67.510000000000005</v>
      </c>
      <c r="H53" s="100">
        <v>25.75</v>
      </c>
      <c r="I53" s="100">
        <v>8.64</v>
      </c>
      <c r="J53" s="100">
        <v>1.48</v>
      </c>
      <c r="K53" s="100">
        <v>293.72000000000003</v>
      </c>
      <c r="L53" s="100">
        <v>34.56</v>
      </c>
      <c r="M53" s="100">
        <v>48.16</v>
      </c>
      <c r="N53" s="100">
        <v>226.3</v>
      </c>
      <c r="O53" s="100">
        <v>0</v>
      </c>
      <c r="P53" s="100">
        <v>0.65</v>
      </c>
      <c r="Q53" s="100">
        <v>28</v>
      </c>
      <c r="R53" s="6"/>
      <c r="S53" s="6"/>
      <c r="T53" s="156"/>
      <c r="U53" s="6"/>
    </row>
    <row r="54" spans="1:21" customFormat="1">
      <c r="A54" s="163" t="s">
        <v>285</v>
      </c>
      <c r="B54" s="100">
        <v>4.47</v>
      </c>
      <c r="C54" s="100">
        <v>7.61</v>
      </c>
      <c r="D54" s="100">
        <v>5.13</v>
      </c>
      <c r="E54" s="100">
        <v>8.52</v>
      </c>
      <c r="F54" s="100">
        <v>5.9</v>
      </c>
      <c r="G54" s="100">
        <v>67.510000000000005</v>
      </c>
      <c r="H54" s="100">
        <v>25.75</v>
      </c>
      <c r="I54" s="100">
        <v>8.44</v>
      </c>
      <c r="J54" s="100">
        <v>1.51</v>
      </c>
      <c r="K54" s="100">
        <v>299.67</v>
      </c>
      <c r="L54" s="100">
        <v>34.89</v>
      </c>
      <c r="M54" s="100">
        <v>47.08</v>
      </c>
      <c r="N54" s="100">
        <v>237.7</v>
      </c>
      <c r="O54" s="100">
        <v>0</v>
      </c>
      <c r="P54" s="100">
        <v>0.64</v>
      </c>
      <c r="Q54" s="100">
        <v>28</v>
      </c>
      <c r="R54" s="6"/>
      <c r="S54" s="6"/>
      <c r="T54" s="156"/>
      <c r="U54" s="6"/>
    </row>
    <row r="55" spans="1:21" customFormat="1">
      <c r="A55" s="163" t="s">
        <v>286</v>
      </c>
      <c r="B55" s="100">
        <v>4.34</v>
      </c>
      <c r="C55" s="100">
        <v>7.79</v>
      </c>
      <c r="D55" s="100">
        <v>5.65</v>
      </c>
      <c r="E55" s="100">
        <v>8.74</v>
      </c>
      <c r="F55" s="100">
        <v>3.71</v>
      </c>
      <c r="G55" s="100">
        <v>67.510000000000005</v>
      </c>
      <c r="H55" s="100">
        <v>25.75</v>
      </c>
      <c r="I55" s="100">
        <v>8.41</v>
      </c>
      <c r="J55" s="100">
        <v>1.52</v>
      </c>
      <c r="K55" s="100">
        <v>281.10000000000002</v>
      </c>
      <c r="L55" s="100">
        <v>34.96</v>
      </c>
      <c r="M55" s="100">
        <v>45.61</v>
      </c>
      <c r="N55" s="100">
        <v>280.3</v>
      </c>
      <c r="O55" s="100">
        <v>0</v>
      </c>
      <c r="P55" s="100">
        <v>0.6</v>
      </c>
      <c r="Q55" s="100">
        <v>28</v>
      </c>
      <c r="R55" s="6"/>
      <c r="S55" s="6"/>
      <c r="T55" s="156"/>
      <c r="U55" s="6"/>
    </row>
    <row r="56" spans="1:21" customFormat="1">
      <c r="A56" s="163" t="s">
        <v>287</v>
      </c>
      <c r="B56" s="100">
        <v>4.1900000000000004</v>
      </c>
      <c r="C56" s="100">
        <v>7.89</v>
      </c>
      <c r="D56" s="100">
        <v>6.08</v>
      </c>
      <c r="E56" s="100">
        <v>8.58</v>
      </c>
      <c r="F56" s="100">
        <v>4.43</v>
      </c>
      <c r="G56" s="100">
        <v>66.69</v>
      </c>
      <c r="H56" s="100">
        <v>24.89</v>
      </c>
      <c r="I56" s="100">
        <v>8.2200000000000006</v>
      </c>
      <c r="J56" s="100">
        <v>1.34</v>
      </c>
      <c r="K56" s="100">
        <v>285.77</v>
      </c>
      <c r="L56" s="100">
        <v>35.200000000000003</v>
      </c>
      <c r="M56" s="100">
        <v>45.86</v>
      </c>
      <c r="N56" s="100">
        <v>591.6</v>
      </c>
      <c r="O56" s="100">
        <v>0</v>
      </c>
      <c r="P56" s="100">
        <v>0.55000000000000004</v>
      </c>
      <c r="Q56" s="100">
        <v>28</v>
      </c>
      <c r="R56" s="6"/>
      <c r="S56" s="6"/>
      <c r="T56" s="156"/>
      <c r="U56" s="6"/>
    </row>
    <row r="57" spans="1:21" customFormat="1">
      <c r="A57" s="163" t="s">
        <v>288</v>
      </c>
      <c r="B57" s="100">
        <v>4.03</v>
      </c>
      <c r="C57" s="100">
        <v>7.72</v>
      </c>
      <c r="D57" s="100">
        <v>6.01</v>
      </c>
      <c r="E57" s="100">
        <v>8.98</v>
      </c>
      <c r="F57" s="100">
        <v>4.62</v>
      </c>
      <c r="G57" s="100">
        <v>66.58</v>
      </c>
      <c r="H57" s="100">
        <v>24.89</v>
      </c>
      <c r="I57" s="100">
        <v>8.06</v>
      </c>
      <c r="J57" s="100">
        <v>1.25</v>
      </c>
      <c r="K57" s="100">
        <v>272.83999999999997</v>
      </c>
      <c r="L57" s="100">
        <v>35.51</v>
      </c>
      <c r="M57" s="100">
        <v>45.39</v>
      </c>
      <c r="N57" s="100">
        <v>847.7</v>
      </c>
      <c r="O57" s="100">
        <v>0</v>
      </c>
      <c r="P57" s="100">
        <v>0.52</v>
      </c>
      <c r="Q57" s="100">
        <v>28</v>
      </c>
      <c r="R57" s="6"/>
      <c r="S57" s="6"/>
      <c r="T57" s="156"/>
      <c r="U57" s="6"/>
    </row>
    <row r="58" spans="1:21" customFormat="1">
      <c r="A58" s="163" t="s">
        <v>289</v>
      </c>
      <c r="B58" s="100">
        <v>3.87</v>
      </c>
      <c r="C58" s="100">
        <v>7.57</v>
      </c>
      <c r="D58" s="100">
        <v>5.96</v>
      </c>
      <c r="E58" s="100">
        <v>8.5399999999999991</v>
      </c>
      <c r="F58" s="100">
        <v>4.47</v>
      </c>
      <c r="G58" s="100">
        <v>66.58</v>
      </c>
      <c r="H58" s="100">
        <v>24.89</v>
      </c>
      <c r="I58" s="100">
        <v>7.79</v>
      </c>
      <c r="J58" s="100">
        <v>1.25</v>
      </c>
      <c r="K58" s="100">
        <v>269.70999999999998</v>
      </c>
      <c r="L58" s="100">
        <v>35.74</v>
      </c>
      <c r="M58" s="100">
        <v>42.9</v>
      </c>
      <c r="N58" s="100">
        <v>840.7</v>
      </c>
      <c r="O58" s="100">
        <v>0</v>
      </c>
      <c r="P58" s="100">
        <v>0.5</v>
      </c>
      <c r="Q58" s="100">
        <v>28</v>
      </c>
      <c r="R58" s="6"/>
      <c r="S58" s="6"/>
      <c r="T58" s="156"/>
      <c r="U58" s="6"/>
    </row>
    <row r="59" spans="1:21" customFormat="1">
      <c r="A59" s="163" t="s">
        <v>290</v>
      </c>
      <c r="B59" s="100">
        <v>3.76</v>
      </c>
      <c r="C59" s="100">
        <v>7.39</v>
      </c>
      <c r="D59" s="100">
        <v>5.77</v>
      </c>
      <c r="E59" s="100">
        <v>8.17</v>
      </c>
      <c r="F59" s="100">
        <v>5.61</v>
      </c>
      <c r="G59" s="100">
        <v>66.58</v>
      </c>
      <c r="H59" s="100">
        <v>24.89</v>
      </c>
      <c r="I59" s="100">
        <v>7.47</v>
      </c>
      <c r="J59" s="100">
        <v>0.99</v>
      </c>
      <c r="K59" s="100">
        <v>264.85000000000002</v>
      </c>
      <c r="L59" s="100">
        <v>36.17</v>
      </c>
      <c r="M59" s="100">
        <v>41.84</v>
      </c>
      <c r="N59" s="100">
        <v>830.7</v>
      </c>
      <c r="O59" s="100">
        <v>0</v>
      </c>
      <c r="P59" s="100">
        <v>0.49</v>
      </c>
      <c r="Q59" s="100">
        <v>28</v>
      </c>
      <c r="R59" s="6"/>
      <c r="S59" s="6"/>
      <c r="T59" s="156"/>
      <c r="U59" s="6"/>
    </row>
    <row r="60" spans="1:21" customFormat="1">
      <c r="A60" s="163" t="s">
        <v>291</v>
      </c>
      <c r="B60" s="100">
        <v>3.73</v>
      </c>
      <c r="C60" s="100">
        <v>7.49</v>
      </c>
      <c r="D60" s="100">
        <v>6.02</v>
      </c>
      <c r="E60" s="100">
        <v>8.6300000000000008</v>
      </c>
      <c r="F60" s="100">
        <v>5.38</v>
      </c>
      <c r="G60" s="100">
        <v>71.41</v>
      </c>
      <c r="H60" s="100">
        <v>26.24</v>
      </c>
      <c r="I60" s="100">
        <v>7.18</v>
      </c>
      <c r="J60" s="100">
        <v>0.9</v>
      </c>
      <c r="K60" s="100">
        <v>272.42</v>
      </c>
      <c r="L60" s="100">
        <v>36.76</v>
      </c>
      <c r="M60" s="100">
        <v>40.950000000000003</v>
      </c>
      <c r="N60" s="100">
        <v>820</v>
      </c>
      <c r="O60" s="100">
        <v>0</v>
      </c>
      <c r="P60" s="100">
        <v>0.48</v>
      </c>
      <c r="Q60" s="100">
        <v>28</v>
      </c>
      <c r="R60" s="6"/>
      <c r="S60" s="6"/>
      <c r="T60" s="156"/>
      <c r="U60" s="6"/>
    </row>
    <row r="61" spans="1:21" customFormat="1">
      <c r="A61" s="163" t="s">
        <v>292</v>
      </c>
      <c r="B61" s="100">
        <v>3.73</v>
      </c>
      <c r="C61" s="100">
        <v>7.23</v>
      </c>
      <c r="D61" s="100">
        <v>5.52</v>
      </c>
      <c r="E61" s="100">
        <v>8.9600000000000009</v>
      </c>
      <c r="F61" s="100">
        <v>5.79</v>
      </c>
      <c r="G61" s="100">
        <v>72.010000000000005</v>
      </c>
      <c r="H61" s="100">
        <v>26.24</v>
      </c>
      <c r="I61" s="100">
        <v>6.91</v>
      </c>
      <c r="J61" s="100">
        <v>1.18</v>
      </c>
      <c r="K61" s="100">
        <v>278.60000000000002</v>
      </c>
      <c r="L61" s="100">
        <v>36.69</v>
      </c>
      <c r="M61" s="100">
        <v>39.979999999999997</v>
      </c>
      <c r="N61" s="100">
        <v>744.6</v>
      </c>
      <c r="O61" s="100">
        <v>0</v>
      </c>
      <c r="P61" s="100">
        <v>0.47</v>
      </c>
      <c r="Q61" s="100">
        <v>28</v>
      </c>
      <c r="R61" s="6"/>
      <c r="S61" s="6"/>
      <c r="T61" s="156"/>
      <c r="U61" s="6"/>
    </row>
    <row r="62" spans="1:21" customFormat="1">
      <c r="A62" s="163" t="s">
        <v>293</v>
      </c>
      <c r="B62" s="100">
        <v>3.74</v>
      </c>
      <c r="C62" s="100">
        <v>7.37</v>
      </c>
      <c r="D62" s="100">
        <v>5.78</v>
      </c>
      <c r="E62" s="100">
        <v>8.81</v>
      </c>
      <c r="F62" s="100">
        <v>4.51</v>
      </c>
      <c r="G62" s="100">
        <v>72.010000000000005</v>
      </c>
      <c r="H62" s="100">
        <v>26.24</v>
      </c>
      <c r="I62" s="100">
        <v>6.72</v>
      </c>
      <c r="J62" s="100">
        <v>1.1599999999999999</v>
      </c>
      <c r="K62" s="100">
        <v>281.74</v>
      </c>
      <c r="L62" s="100">
        <v>36.909999999999997</v>
      </c>
      <c r="M62" s="100">
        <v>39.65</v>
      </c>
      <c r="N62" s="100">
        <v>736.2</v>
      </c>
      <c r="O62" s="100">
        <v>0</v>
      </c>
      <c r="P62" s="100">
        <v>0.47</v>
      </c>
      <c r="Q62" s="100">
        <v>28</v>
      </c>
      <c r="R62" s="6"/>
      <c r="S62" s="6"/>
      <c r="T62" s="156"/>
      <c r="U62" s="6"/>
    </row>
    <row r="63" spans="1:21" customFormat="1">
      <c r="A63" s="163" t="s">
        <v>294</v>
      </c>
      <c r="B63" s="100">
        <v>3.76</v>
      </c>
      <c r="C63" s="100">
        <v>6.92</v>
      </c>
      <c r="D63" s="100">
        <v>4.88</v>
      </c>
      <c r="E63" s="100">
        <v>8.9600000000000009</v>
      </c>
      <c r="F63" s="100">
        <v>5.07</v>
      </c>
      <c r="G63" s="100">
        <v>72.010000000000005</v>
      </c>
      <c r="H63" s="100">
        <v>26.24</v>
      </c>
      <c r="I63" s="100">
        <v>6.6</v>
      </c>
      <c r="J63" s="100">
        <v>1.24</v>
      </c>
      <c r="K63" s="100">
        <v>269.70999999999998</v>
      </c>
      <c r="L63" s="100">
        <v>36.82</v>
      </c>
      <c r="M63" s="100">
        <v>38.85</v>
      </c>
      <c r="N63" s="100">
        <v>675.9</v>
      </c>
      <c r="O63" s="100">
        <v>0</v>
      </c>
      <c r="P63" s="100">
        <v>0.44</v>
      </c>
      <c r="Q63" s="100">
        <v>28</v>
      </c>
      <c r="R63" s="6"/>
      <c r="S63" s="6"/>
      <c r="T63" s="156"/>
      <c r="U63" s="6"/>
    </row>
    <row r="64" spans="1:21" customFormat="1">
      <c r="A64" s="163" t="s">
        <v>295</v>
      </c>
      <c r="B64" s="100">
        <v>3.79</v>
      </c>
      <c r="C64" s="100">
        <v>7.59</v>
      </c>
      <c r="D64" s="100">
        <v>6.14</v>
      </c>
      <c r="E64" s="100">
        <v>9</v>
      </c>
      <c r="F64" s="100">
        <v>4.41</v>
      </c>
      <c r="G64" s="100">
        <v>74</v>
      </c>
      <c r="H64" s="100">
        <v>23.28</v>
      </c>
      <c r="I64" s="100">
        <v>6.4</v>
      </c>
      <c r="J64" s="100">
        <v>1.51</v>
      </c>
      <c r="K64" s="100">
        <v>280.79000000000002</v>
      </c>
      <c r="L64" s="100">
        <v>36.44</v>
      </c>
      <c r="M64" s="100">
        <v>36.69</v>
      </c>
      <c r="N64" s="100">
        <v>419.4</v>
      </c>
      <c r="O64" s="100">
        <v>0</v>
      </c>
      <c r="P64" s="100">
        <v>0.45</v>
      </c>
      <c r="Q64" s="100">
        <v>28</v>
      </c>
      <c r="R64" s="6"/>
      <c r="S64" s="6"/>
      <c r="T64" s="156"/>
      <c r="U64" s="6"/>
    </row>
    <row r="65" spans="1:21" customFormat="1">
      <c r="A65" s="163" t="s">
        <v>296</v>
      </c>
      <c r="B65" s="100">
        <v>3.79</v>
      </c>
      <c r="C65" s="100">
        <v>7.08</v>
      </c>
      <c r="D65" s="100">
        <v>5.16</v>
      </c>
      <c r="E65" s="100">
        <v>9.24</v>
      </c>
      <c r="F65" s="100">
        <v>5.2</v>
      </c>
      <c r="G65" s="100">
        <v>74.25</v>
      </c>
      <c r="H65" s="100">
        <v>23.28</v>
      </c>
      <c r="I65" s="100">
        <v>6.2</v>
      </c>
      <c r="J65" s="100">
        <v>1.17</v>
      </c>
      <c r="K65" s="100">
        <v>262.81</v>
      </c>
      <c r="L65" s="100">
        <v>36.479999999999997</v>
      </c>
      <c r="M65" s="100">
        <v>37.78</v>
      </c>
      <c r="N65" s="100">
        <v>341</v>
      </c>
      <c r="O65" s="100">
        <v>0</v>
      </c>
      <c r="P65" s="100">
        <v>0.36</v>
      </c>
      <c r="Q65" s="100">
        <v>28</v>
      </c>
      <c r="R65" s="6"/>
      <c r="S65" s="6"/>
      <c r="T65" s="156"/>
      <c r="U65" s="6"/>
    </row>
    <row r="66" spans="1:21" customFormat="1">
      <c r="A66" s="163" t="s">
        <v>297</v>
      </c>
      <c r="B66" s="100">
        <v>3.7</v>
      </c>
      <c r="C66" s="100">
        <v>6.91</v>
      </c>
      <c r="D66" s="100">
        <v>4.96</v>
      </c>
      <c r="E66" s="100">
        <v>8.9600000000000009</v>
      </c>
      <c r="F66" s="100">
        <v>6.64</v>
      </c>
      <c r="G66" s="100">
        <v>74.25</v>
      </c>
      <c r="H66" s="100">
        <v>23.28</v>
      </c>
      <c r="I66" s="100">
        <v>6.03</v>
      </c>
      <c r="J66" s="100">
        <v>1.18</v>
      </c>
      <c r="K66" s="100">
        <v>261.33</v>
      </c>
      <c r="L66" s="100">
        <v>36.46</v>
      </c>
      <c r="M66" s="100">
        <v>36.79</v>
      </c>
      <c r="N66" s="100">
        <v>252.5</v>
      </c>
      <c r="O66" s="100">
        <v>0</v>
      </c>
      <c r="P66" s="100">
        <v>0.38</v>
      </c>
      <c r="Q66" s="100">
        <v>28</v>
      </c>
      <c r="R66" s="6"/>
      <c r="S66" s="6"/>
      <c r="T66" s="156"/>
      <c r="U66" s="6"/>
    </row>
    <row r="67" spans="1:21" customFormat="1">
      <c r="A67" s="163" t="s">
        <v>298</v>
      </c>
      <c r="B67" s="100">
        <v>3.66</v>
      </c>
      <c r="C67" s="100">
        <v>7.2</v>
      </c>
      <c r="D67" s="100">
        <v>5.58</v>
      </c>
      <c r="E67" s="100">
        <v>9.1300000000000008</v>
      </c>
      <c r="F67" s="100">
        <v>4.6500000000000004</v>
      </c>
      <c r="G67" s="100">
        <v>74.25</v>
      </c>
      <c r="H67" s="100">
        <v>23.28</v>
      </c>
      <c r="I67" s="100">
        <v>5.87</v>
      </c>
      <c r="J67" s="100">
        <v>0.94</v>
      </c>
      <c r="K67" s="100">
        <v>250.84</v>
      </c>
      <c r="L67" s="100">
        <v>36.61</v>
      </c>
      <c r="M67" s="100">
        <v>35.770000000000003</v>
      </c>
      <c r="N67" s="100">
        <v>337.8</v>
      </c>
      <c r="O67" s="100">
        <v>0</v>
      </c>
      <c r="P67" s="100">
        <v>0.37</v>
      </c>
      <c r="Q67" s="100">
        <v>28</v>
      </c>
      <c r="R67" s="6"/>
      <c r="S67" s="6"/>
      <c r="T67" s="156"/>
      <c r="U67" s="6"/>
    </row>
    <row r="68" spans="1:21" customFormat="1">
      <c r="A68" s="163" t="s">
        <v>299</v>
      </c>
      <c r="B68" s="100">
        <v>3.63</v>
      </c>
      <c r="C68" s="100">
        <v>6.63</v>
      </c>
      <c r="D68" s="100">
        <v>4.53</v>
      </c>
      <c r="E68" s="100">
        <v>8.98</v>
      </c>
      <c r="F68" s="100">
        <v>7.24</v>
      </c>
      <c r="G68" s="100">
        <v>71.98</v>
      </c>
      <c r="H68" s="100">
        <v>24.65</v>
      </c>
      <c r="I68" s="100">
        <v>5.75</v>
      </c>
      <c r="J68" s="100">
        <v>1.17</v>
      </c>
      <c r="K68" s="100">
        <v>248.43</v>
      </c>
      <c r="L68" s="100">
        <v>36.36</v>
      </c>
      <c r="M68" s="100">
        <v>35.78</v>
      </c>
      <c r="N68" s="100">
        <v>490.8</v>
      </c>
      <c r="O68" s="100">
        <v>0</v>
      </c>
      <c r="P68" s="100">
        <v>0.35</v>
      </c>
      <c r="Q68" s="100">
        <v>28</v>
      </c>
      <c r="R68" s="6"/>
      <c r="S68" s="6"/>
      <c r="T68" s="156"/>
      <c r="U68" s="6"/>
    </row>
    <row r="69" spans="1:21" customFormat="1">
      <c r="A69" s="163" t="s">
        <v>300</v>
      </c>
      <c r="B69" s="100">
        <v>3.6</v>
      </c>
      <c r="C69" s="100">
        <v>6.98</v>
      </c>
      <c r="D69" s="100">
        <v>5.24</v>
      </c>
      <c r="E69" s="100">
        <v>9.06</v>
      </c>
      <c r="F69" s="100">
        <v>4.13</v>
      </c>
      <c r="G69" s="100">
        <v>71.69</v>
      </c>
      <c r="H69" s="100">
        <v>24.65</v>
      </c>
      <c r="I69" s="100">
        <v>5.65</v>
      </c>
      <c r="J69" s="100">
        <v>0.75</v>
      </c>
      <c r="K69" s="100">
        <v>241.66</v>
      </c>
      <c r="L69" s="100">
        <v>36.380000000000003</v>
      </c>
      <c r="M69" s="100">
        <v>37.96</v>
      </c>
      <c r="N69" s="100">
        <v>433.6</v>
      </c>
      <c r="O69" s="100">
        <v>0</v>
      </c>
      <c r="P69" s="100">
        <v>0.38</v>
      </c>
      <c r="Q69" s="100">
        <v>28</v>
      </c>
      <c r="R69" s="6"/>
      <c r="S69" s="6"/>
      <c r="T69" s="156"/>
      <c r="U69" s="6"/>
    </row>
    <row r="70" spans="1:21" customFormat="1">
      <c r="A70" s="163" t="s">
        <v>301</v>
      </c>
      <c r="B70" s="100">
        <v>3.6</v>
      </c>
      <c r="C70" s="100">
        <v>6.57</v>
      </c>
      <c r="D70" s="100">
        <v>4.46</v>
      </c>
      <c r="E70" s="100">
        <v>9.27</v>
      </c>
      <c r="F70" s="100">
        <v>6.13</v>
      </c>
      <c r="G70" s="100">
        <v>71.69</v>
      </c>
      <c r="H70" s="100">
        <v>24.65</v>
      </c>
      <c r="I70" s="100">
        <v>5.63</v>
      </c>
      <c r="J70" s="100">
        <v>0.97</v>
      </c>
      <c r="K70" s="100">
        <v>252.19</v>
      </c>
      <c r="L70" s="100">
        <v>36.5</v>
      </c>
      <c r="M70" s="100">
        <v>37.35</v>
      </c>
      <c r="N70" s="100">
        <v>445.6</v>
      </c>
      <c r="O70" s="100">
        <v>0</v>
      </c>
      <c r="P70" s="100">
        <v>0.36</v>
      </c>
      <c r="Q70" s="100">
        <v>28</v>
      </c>
      <c r="R70" s="6"/>
      <c r="S70" s="6"/>
      <c r="T70" s="156"/>
      <c r="U70" s="6"/>
    </row>
    <row r="71" spans="1:21" customFormat="1">
      <c r="A71" s="163" t="s">
        <v>302</v>
      </c>
      <c r="B71" s="100">
        <v>3.63</v>
      </c>
      <c r="C71" s="100">
        <v>6.68</v>
      </c>
      <c r="D71" s="100">
        <v>4.62</v>
      </c>
      <c r="E71" s="100">
        <v>9.26</v>
      </c>
      <c r="F71" s="100">
        <v>5.74</v>
      </c>
      <c r="G71" s="100">
        <v>71.69</v>
      </c>
      <c r="H71" s="100">
        <v>24.65</v>
      </c>
      <c r="I71" s="100">
        <v>5.7</v>
      </c>
      <c r="J71" s="100">
        <v>1.1599999999999999</v>
      </c>
      <c r="K71" s="100">
        <v>266.95999999999998</v>
      </c>
      <c r="L71" s="100">
        <v>36.520000000000003</v>
      </c>
      <c r="M71" s="100">
        <v>34.68</v>
      </c>
      <c r="N71" s="100">
        <v>366.1</v>
      </c>
      <c r="O71" s="100">
        <v>0</v>
      </c>
      <c r="P71" s="100">
        <v>0.36</v>
      </c>
      <c r="Q71" s="100">
        <v>28</v>
      </c>
      <c r="R71" s="6"/>
      <c r="S71" s="6"/>
      <c r="T71" s="156"/>
      <c r="U71" s="6"/>
    </row>
    <row r="72" spans="1:21" customFormat="1">
      <c r="A72" s="163" t="s">
        <v>303</v>
      </c>
      <c r="B72" s="100">
        <v>3.69</v>
      </c>
      <c r="C72" s="100">
        <v>6.96</v>
      </c>
      <c r="D72" s="100">
        <v>5.0599999999999996</v>
      </c>
      <c r="E72" s="100">
        <v>9.3699999999999992</v>
      </c>
      <c r="F72" s="100">
        <v>4.96</v>
      </c>
      <c r="G72" s="100">
        <v>74.67</v>
      </c>
      <c r="H72" s="100">
        <v>27.49</v>
      </c>
      <c r="I72" s="100">
        <v>5.61</v>
      </c>
      <c r="J72" s="100">
        <v>1.07</v>
      </c>
      <c r="K72" s="100">
        <v>250.45</v>
      </c>
      <c r="L72" s="100">
        <v>36.28</v>
      </c>
      <c r="M72" s="100">
        <v>33.82</v>
      </c>
      <c r="N72" s="100">
        <v>292.7</v>
      </c>
      <c r="O72" s="100">
        <v>0</v>
      </c>
      <c r="P72" s="100">
        <v>0.36</v>
      </c>
      <c r="Q72" s="100">
        <v>28</v>
      </c>
      <c r="R72" s="6"/>
      <c r="S72" s="6"/>
      <c r="T72" s="156"/>
      <c r="U72" s="6"/>
    </row>
    <row r="73" spans="1:21" customFormat="1">
      <c r="A73" s="163" t="s">
        <v>304</v>
      </c>
      <c r="B73" s="100">
        <v>3.66</v>
      </c>
      <c r="C73" s="100">
        <v>6.76</v>
      </c>
      <c r="D73" s="100">
        <v>4.7300000000000004</v>
      </c>
      <c r="E73" s="100">
        <v>9.2899999999999991</v>
      </c>
      <c r="F73" s="100">
        <v>6.15</v>
      </c>
      <c r="G73" s="100">
        <v>75.040000000000006</v>
      </c>
      <c r="H73" s="100">
        <v>27.49</v>
      </c>
      <c r="I73" s="100">
        <v>5.51</v>
      </c>
      <c r="J73" s="100">
        <v>0.95</v>
      </c>
      <c r="K73" s="100">
        <v>250.51</v>
      </c>
      <c r="L73" s="100">
        <v>35.79</v>
      </c>
      <c r="M73" s="100">
        <v>35.33</v>
      </c>
      <c r="N73" s="100">
        <v>137.6</v>
      </c>
      <c r="O73" s="100">
        <v>0</v>
      </c>
      <c r="P73" s="100">
        <v>0.35</v>
      </c>
      <c r="Q73" s="100">
        <v>28</v>
      </c>
      <c r="R73" s="6"/>
      <c r="S73" s="6"/>
      <c r="T73" s="156"/>
      <c r="U73" s="6"/>
    </row>
    <row r="74" spans="1:21" customFormat="1">
      <c r="A74" s="163" t="s">
        <v>305</v>
      </c>
      <c r="B74" s="100">
        <v>3.63</v>
      </c>
      <c r="C74" s="100">
        <v>6.84</v>
      </c>
      <c r="D74" s="100">
        <v>4.93</v>
      </c>
      <c r="E74" s="100">
        <v>9.2799999999999994</v>
      </c>
      <c r="F74" s="100">
        <v>6.37</v>
      </c>
      <c r="G74" s="100">
        <v>75.040000000000006</v>
      </c>
      <c r="H74" s="100">
        <v>27.49</v>
      </c>
      <c r="I74" s="100">
        <v>5.34</v>
      </c>
      <c r="J74" s="100">
        <v>0.88</v>
      </c>
      <c r="K74" s="100">
        <v>251.99</v>
      </c>
      <c r="L74" s="100">
        <v>35.58</v>
      </c>
      <c r="M74" s="100">
        <v>37.33</v>
      </c>
      <c r="N74" s="100">
        <v>128</v>
      </c>
      <c r="O74" s="100">
        <v>0</v>
      </c>
      <c r="P74" s="100">
        <v>0.34</v>
      </c>
      <c r="Q74" s="100">
        <v>28</v>
      </c>
      <c r="R74" s="6"/>
      <c r="S74" s="6"/>
      <c r="T74" s="156"/>
      <c r="U74" s="6"/>
    </row>
    <row r="75" spans="1:21" customFormat="1">
      <c r="A75" s="163" t="s">
        <v>306</v>
      </c>
      <c r="B75" s="100">
        <v>3.64</v>
      </c>
      <c r="C75" s="100">
        <v>6.55</v>
      </c>
      <c r="D75" s="100">
        <v>4.3600000000000003</v>
      </c>
      <c r="E75" s="100">
        <v>9.27</v>
      </c>
      <c r="F75" s="100">
        <v>12.98</v>
      </c>
      <c r="G75" s="100">
        <v>75.040000000000006</v>
      </c>
      <c r="H75" s="100">
        <v>27.49</v>
      </c>
      <c r="I75" s="100">
        <v>5.22</v>
      </c>
      <c r="J75" s="100">
        <v>0.66</v>
      </c>
      <c r="K75" s="100">
        <v>245.03</v>
      </c>
      <c r="L75" s="100">
        <v>35.4</v>
      </c>
      <c r="M75" s="100">
        <v>40.01</v>
      </c>
      <c r="N75" s="100">
        <v>130.69999999999999</v>
      </c>
      <c r="O75" s="100">
        <v>0</v>
      </c>
      <c r="P75" s="100">
        <v>0.36</v>
      </c>
      <c r="Q75" s="100">
        <v>28</v>
      </c>
      <c r="R75" s="6"/>
      <c r="S75" s="6"/>
      <c r="T75" s="156"/>
      <c r="U75" s="6"/>
    </row>
    <row r="76" spans="1:21" customFormat="1">
      <c r="A76" s="163" t="s">
        <v>307</v>
      </c>
      <c r="B76" s="100">
        <v>3.68</v>
      </c>
      <c r="C76" s="100">
        <v>6.41</v>
      </c>
      <c r="D76" s="100">
        <v>4.04</v>
      </c>
      <c r="E76" s="100">
        <v>9.0500000000000007</v>
      </c>
      <c r="F76" s="100">
        <v>16.28</v>
      </c>
      <c r="G76" s="100">
        <v>74.239999999999995</v>
      </c>
      <c r="H76" s="100">
        <v>28.37</v>
      </c>
      <c r="I76" s="100">
        <v>5.07</v>
      </c>
      <c r="J76" s="100">
        <v>0.75</v>
      </c>
      <c r="K76" s="100">
        <v>248.15</v>
      </c>
      <c r="L76" s="100">
        <v>35.22</v>
      </c>
      <c r="M76" s="100">
        <v>39.89</v>
      </c>
      <c r="N76" s="100">
        <v>130.5</v>
      </c>
      <c r="O76" s="100">
        <v>0</v>
      </c>
      <c r="P76" s="100">
        <v>0.36</v>
      </c>
      <c r="Q76" s="100">
        <v>28</v>
      </c>
      <c r="R76" s="6"/>
      <c r="S76" s="6"/>
      <c r="T76" s="156"/>
      <c r="U76" s="6"/>
    </row>
    <row r="77" spans="1:21" customFormat="1">
      <c r="A77" s="163" t="s">
        <v>308</v>
      </c>
      <c r="B77" s="100">
        <v>3.74</v>
      </c>
      <c r="C77" s="100">
        <v>6.2</v>
      </c>
      <c r="D77" s="100">
        <v>3.53</v>
      </c>
      <c r="E77" s="100">
        <v>9.06</v>
      </c>
      <c r="F77" s="100">
        <v>15.41</v>
      </c>
      <c r="G77" s="100">
        <v>74.14</v>
      </c>
      <c r="H77" s="100">
        <v>28.37</v>
      </c>
      <c r="I77" s="100">
        <v>4.78</v>
      </c>
      <c r="J77" s="100">
        <v>0.76</v>
      </c>
      <c r="K77" s="100">
        <v>243.28</v>
      </c>
      <c r="L77" s="100">
        <v>34.99</v>
      </c>
      <c r="M77" s="100">
        <v>39.24</v>
      </c>
      <c r="N77" s="100">
        <v>128.1</v>
      </c>
      <c r="O77" s="100">
        <v>0</v>
      </c>
      <c r="P77" s="100">
        <v>0.37</v>
      </c>
      <c r="Q77" s="100">
        <v>28</v>
      </c>
      <c r="R77" s="6"/>
      <c r="S77" s="6"/>
      <c r="T77" s="156"/>
      <c r="U77" s="6"/>
    </row>
    <row r="78" spans="1:21" customFormat="1">
      <c r="A78" s="163" t="s">
        <v>309</v>
      </c>
      <c r="B78" s="100">
        <v>3.71</v>
      </c>
      <c r="C78" s="100">
        <v>6.07</v>
      </c>
      <c r="D78" s="100">
        <v>3.34</v>
      </c>
      <c r="E78" s="100">
        <v>9.43</v>
      </c>
      <c r="F78" s="100">
        <v>19.7</v>
      </c>
      <c r="G78" s="100">
        <v>74.14</v>
      </c>
      <c r="H78" s="100">
        <v>28.37</v>
      </c>
      <c r="I78" s="100">
        <v>4.4800000000000004</v>
      </c>
      <c r="J78" s="100">
        <v>0.57999999999999996</v>
      </c>
      <c r="K78" s="100">
        <v>237.77</v>
      </c>
      <c r="L78" s="100">
        <v>34.76</v>
      </c>
      <c r="M78" s="100">
        <v>40.700000000000003</v>
      </c>
      <c r="N78" s="100">
        <v>96</v>
      </c>
      <c r="O78" s="100">
        <v>0</v>
      </c>
      <c r="P78" s="100">
        <v>0.36</v>
      </c>
      <c r="Q78" s="100">
        <v>28</v>
      </c>
      <c r="R78" s="6"/>
      <c r="S78" s="6"/>
      <c r="T78" s="156"/>
      <c r="U78" s="6"/>
    </row>
    <row r="79" spans="1:21" customFormat="1">
      <c r="A79" s="163" t="s">
        <v>310</v>
      </c>
      <c r="B79" s="100">
        <v>3.69</v>
      </c>
      <c r="C79" s="100">
        <v>6.06</v>
      </c>
      <c r="D79" s="100">
        <v>3.34</v>
      </c>
      <c r="E79" s="100">
        <v>9.3800000000000008</v>
      </c>
      <c r="F79" s="100">
        <v>24.02</v>
      </c>
      <c r="G79" s="100">
        <v>74.14</v>
      </c>
      <c r="H79" s="100">
        <v>28.37</v>
      </c>
      <c r="I79" s="100">
        <v>4.6500000000000004</v>
      </c>
      <c r="J79" s="100">
        <v>0.55000000000000004</v>
      </c>
      <c r="K79" s="100">
        <v>243.1</v>
      </c>
      <c r="L79" s="100">
        <v>34.49</v>
      </c>
      <c r="M79" s="100">
        <v>42.12</v>
      </c>
      <c r="N79" s="100">
        <v>86.4</v>
      </c>
      <c r="O79" s="100">
        <v>0</v>
      </c>
      <c r="P79" s="100">
        <v>0.35</v>
      </c>
      <c r="Q79" s="100">
        <v>28</v>
      </c>
      <c r="R79" s="6"/>
      <c r="S79" s="6"/>
      <c r="T79" s="156"/>
      <c r="U79" s="6"/>
    </row>
    <row r="80" spans="1:21" customFormat="1">
      <c r="A80" s="163" t="s">
        <v>311</v>
      </c>
      <c r="B80" s="100">
        <v>3.68</v>
      </c>
      <c r="C80" s="100">
        <v>6.14</v>
      </c>
      <c r="D80" s="100">
        <v>3.52</v>
      </c>
      <c r="E80" s="100">
        <v>9.6300000000000008</v>
      </c>
      <c r="F80" s="100">
        <v>24.98</v>
      </c>
      <c r="G80" s="100">
        <v>71.17</v>
      </c>
      <c r="H80" s="100">
        <v>26.97</v>
      </c>
      <c r="I80" s="100">
        <v>4.5</v>
      </c>
      <c r="J80" s="100">
        <v>0.56999999999999995</v>
      </c>
      <c r="K80" s="100">
        <v>246.81</v>
      </c>
      <c r="L80" s="100">
        <v>34.130000000000003</v>
      </c>
      <c r="M80" s="100">
        <v>43.77</v>
      </c>
      <c r="N80" s="100">
        <v>62.8</v>
      </c>
      <c r="O80" s="100">
        <v>0</v>
      </c>
      <c r="P80" s="100">
        <v>0.35</v>
      </c>
      <c r="Q80" s="100">
        <v>28</v>
      </c>
      <c r="R80" s="6"/>
      <c r="S80" s="6"/>
      <c r="T80" s="156"/>
      <c r="U80" s="6"/>
    </row>
    <row r="81" spans="1:21" customFormat="1">
      <c r="A81" s="163" t="s">
        <v>312</v>
      </c>
      <c r="B81" s="100">
        <v>3.68</v>
      </c>
      <c r="C81" s="100">
        <v>6.12</v>
      </c>
      <c r="D81" s="100">
        <v>3.49</v>
      </c>
      <c r="E81" s="100">
        <v>7.86</v>
      </c>
      <c r="F81" s="100">
        <v>20.83</v>
      </c>
      <c r="G81" s="100">
        <v>70.84</v>
      </c>
      <c r="H81" s="100">
        <v>26.97</v>
      </c>
      <c r="I81" s="100">
        <v>4.4800000000000004</v>
      </c>
      <c r="J81" s="100">
        <v>0.51</v>
      </c>
      <c r="K81" s="100">
        <v>245.85</v>
      </c>
      <c r="L81" s="100">
        <v>33.74</v>
      </c>
      <c r="M81" s="100">
        <v>45.05</v>
      </c>
      <c r="N81" s="100">
        <v>38.299999999999997</v>
      </c>
      <c r="O81" s="100">
        <v>0</v>
      </c>
      <c r="P81" s="100">
        <v>0.34</v>
      </c>
      <c r="Q81" s="100">
        <v>28</v>
      </c>
      <c r="R81" s="6"/>
      <c r="S81" s="6"/>
      <c r="T81" s="156"/>
      <c r="U81" s="6"/>
    </row>
    <row r="82" spans="1:21" customFormat="1">
      <c r="A82" s="163" t="s">
        <v>313</v>
      </c>
      <c r="B82" s="100">
        <v>3.68</v>
      </c>
      <c r="C82" s="100">
        <v>6.14</v>
      </c>
      <c r="D82" s="100">
        <v>3.53</v>
      </c>
      <c r="E82" s="100">
        <v>8.15</v>
      </c>
      <c r="F82" s="100">
        <v>22.46</v>
      </c>
      <c r="G82" s="100">
        <v>70.84</v>
      </c>
      <c r="H82" s="100">
        <v>26.97</v>
      </c>
      <c r="I82" s="100">
        <v>4.33</v>
      </c>
      <c r="J82" s="100">
        <v>0.6</v>
      </c>
      <c r="K82" s="100">
        <v>248.32</v>
      </c>
      <c r="L82" s="100">
        <v>33.39</v>
      </c>
      <c r="M82" s="100">
        <v>45.66</v>
      </c>
      <c r="N82" s="100">
        <v>18.399999999999999</v>
      </c>
      <c r="O82" s="100">
        <v>0</v>
      </c>
      <c r="P82" s="100">
        <v>0.34</v>
      </c>
      <c r="Q82" s="100">
        <v>28</v>
      </c>
      <c r="R82" s="6"/>
      <c r="S82" s="6"/>
      <c r="T82" s="156"/>
      <c r="U82" s="6"/>
    </row>
    <row r="83" spans="1:21" customFormat="1">
      <c r="A83" s="163" t="s">
        <v>314</v>
      </c>
      <c r="B83" s="100">
        <v>3.66</v>
      </c>
      <c r="C83" s="100">
        <v>6.29</v>
      </c>
      <c r="D83" s="100">
        <v>3.84</v>
      </c>
      <c r="E83" s="100">
        <v>7.87</v>
      </c>
      <c r="F83" s="100">
        <v>27.3</v>
      </c>
      <c r="G83" s="100">
        <v>70.84</v>
      </c>
      <c r="H83" s="100">
        <v>26.97</v>
      </c>
      <c r="I83" s="100">
        <v>4.4000000000000004</v>
      </c>
      <c r="J83" s="100">
        <v>0.31</v>
      </c>
      <c r="K83" s="100">
        <v>243.01</v>
      </c>
      <c r="L83" s="100">
        <v>32.799999999999997</v>
      </c>
      <c r="M83" s="100">
        <v>48.21</v>
      </c>
      <c r="N83" s="100">
        <v>7.6</v>
      </c>
      <c r="O83" s="100">
        <v>0</v>
      </c>
      <c r="P83" s="100">
        <v>0.33</v>
      </c>
      <c r="Q83" s="100">
        <v>28</v>
      </c>
      <c r="R83" s="6"/>
      <c r="S83" s="6"/>
      <c r="T83" s="156"/>
      <c r="U83" s="6"/>
    </row>
    <row r="84" spans="1:21" customFormat="1">
      <c r="A84" s="163" t="s">
        <v>315</v>
      </c>
      <c r="B84" s="100">
        <v>3.65</v>
      </c>
      <c r="C84" s="100">
        <v>6.35</v>
      </c>
      <c r="D84" s="100">
        <v>3.97</v>
      </c>
      <c r="E84" s="100">
        <v>7.76</v>
      </c>
      <c r="F84" s="100">
        <v>25.25</v>
      </c>
      <c r="G84" s="100">
        <v>71.02</v>
      </c>
      <c r="H84" s="100">
        <v>23.86</v>
      </c>
      <c r="I84" s="100">
        <v>4.32</v>
      </c>
      <c r="J84" s="100">
        <v>0.3</v>
      </c>
      <c r="K84" s="100">
        <v>233.58</v>
      </c>
      <c r="L84" s="100">
        <v>32.36</v>
      </c>
      <c r="M84" s="100">
        <v>49.73</v>
      </c>
      <c r="N84" s="100">
        <v>4.5</v>
      </c>
      <c r="O84" s="100">
        <v>0</v>
      </c>
      <c r="P84" s="100">
        <v>0.32</v>
      </c>
      <c r="Q84" s="100">
        <v>28</v>
      </c>
      <c r="R84" s="6"/>
      <c r="S84" s="6"/>
      <c r="T84" s="156"/>
      <c r="U84" s="6"/>
    </row>
    <row r="85" spans="1:21" customFormat="1">
      <c r="A85" s="163" t="s">
        <v>316</v>
      </c>
      <c r="B85" s="100">
        <v>3.69</v>
      </c>
      <c r="C85" s="100">
        <v>6.41</v>
      </c>
      <c r="D85" s="100">
        <v>4.0199999999999996</v>
      </c>
      <c r="E85" s="100">
        <v>7.66</v>
      </c>
      <c r="F85" s="100">
        <v>22.19</v>
      </c>
      <c r="G85" s="100">
        <v>71.040000000000006</v>
      </c>
      <c r="H85" s="100">
        <v>23.86</v>
      </c>
      <c r="I85" s="100">
        <v>4.3</v>
      </c>
      <c r="J85" s="100">
        <v>0.19</v>
      </c>
      <c r="K85" s="100">
        <v>223.96</v>
      </c>
      <c r="L85" s="100">
        <v>31.74</v>
      </c>
      <c r="M85" s="100">
        <v>54.18</v>
      </c>
      <c r="N85" s="100">
        <v>2.2000000000000002</v>
      </c>
      <c r="O85" s="100">
        <v>0</v>
      </c>
      <c r="P85" s="100">
        <v>0.33</v>
      </c>
      <c r="Q85" s="100">
        <v>28</v>
      </c>
      <c r="R85" s="6"/>
      <c r="S85" s="6"/>
      <c r="T85" s="156"/>
      <c r="U85" s="6"/>
    </row>
    <row r="86" spans="1:21" customFormat="1">
      <c r="A86" s="163" t="s">
        <v>317</v>
      </c>
      <c r="B86" s="100">
        <v>3.75</v>
      </c>
      <c r="C86" s="100">
        <v>6.55</v>
      </c>
      <c r="D86" s="100">
        <v>4.1900000000000004</v>
      </c>
      <c r="E86" s="100">
        <v>7.78</v>
      </c>
      <c r="F86" s="100">
        <v>14.17</v>
      </c>
      <c r="G86" s="100">
        <v>71.040000000000006</v>
      </c>
      <c r="H86" s="100">
        <v>23.86</v>
      </c>
      <c r="I86" s="100">
        <v>4.33</v>
      </c>
      <c r="J86" s="100">
        <v>0.26</v>
      </c>
      <c r="K86" s="100">
        <v>233.88</v>
      </c>
      <c r="L86" s="100">
        <v>31.37</v>
      </c>
      <c r="M86" s="100">
        <v>55.58</v>
      </c>
      <c r="N86" s="100">
        <v>1.9</v>
      </c>
      <c r="O86" s="100">
        <v>0</v>
      </c>
      <c r="P86" s="100">
        <v>0.37</v>
      </c>
      <c r="Q86" s="100">
        <v>28</v>
      </c>
      <c r="R86" s="6"/>
      <c r="S86" s="6"/>
      <c r="T86" s="156"/>
      <c r="U86" s="6"/>
    </row>
    <row r="87" spans="1:21" customFormat="1">
      <c r="A87" s="163" t="s">
        <v>318</v>
      </c>
      <c r="B87" s="100">
        <v>3.76</v>
      </c>
      <c r="C87" s="100">
        <v>6.68</v>
      </c>
      <c r="D87" s="100">
        <v>4.42</v>
      </c>
      <c r="E87" s="100">
        <v>7.44</v>
      </c>
      <c r="F87" s="100">
        <v>18.02</v>
      </c>
      <c r="G87" s="100">
        <v>71.040000000000006</v>
      </c>
      <c r="H87" s="100">
        <v>23.86</v>
      </c>
      <c r="I87" s="100">
        <v>4.46</v>
      </c>
      <c r="J87" s="100">
        <v>0.33</v>
      </c>
      <c r="K87" s="100">
        <v>239.09</v>
      </c>
      <c r="L87" s="100">
        <v>31.26</v>
      </c>
      <c r="M87" s="100">
        <v>56.13</v>
      </c>
      <c r="N87" s="100">
        <v>1.9</v>
      </c>
      <c r="O87" s="100">
        <v>0</v>
      </c>
      <c r="P87" s="100">
        <v>0.38</v>
      </c>
      <c r="Q87" s="100">
        <v>28</v>
      </c>
      <c r="R87" s="6"/>
      <c r="S87" s="6"/>
      <c r="T87" s="156"/>
      <c r="U87" s="6"/>
    </row>
    <row r="88" spans="1:21" customFormat="1">
      <c r="A88" s="163" t="s">
        <v>319</v>
      </c>
      <c r="B88" s="100">
        <v>3.79</v>
      </c>
      <c r="C88" s="100">
        <v>6.56</v>
      </c>
      <c r="D88" s="100">
        <v>4.1399999999999997</v>
      </c>
      <c r="E88" s="100">
        <v>7.66</v>
      </c>
      <c r="F88" s="100">
        <v>17.62</v>
      </c>
      <c r="G88" s="100">
        <v>71.7</v>
      </c>
      <c r="H88" s="100">
        <v>29.86</v>
      </c>
      <c r="I88" s="100">
        <v>5.3</v>
      </c>
      <c r="J88" s="100">
        <v>0.43</v>
      </c>
      <c r="K88" s="100">
        <v>240.25</v>
      </c>
      <c r="L88" s="100">
        <v>31.12</v>
      </c>
      <c r="M88" s="100">
        <v>56.2</v>
      </c>
      <c r="N88" s="100">
        <v>1.7</v>
      </c>
      <c r="O88" s="100">
        <v>0</v>
      </c>
      <c r="P88" s="100">
        <v>0.37</v>
      </c>
      <c r="Q88" s="100">
        <v>28</v>
      </c>
      <c r="R88" s="6"/>
      <c r="S88" s="6"/>
      <c r="T88" s="156"/>
      <c r="U88" s="6"/>
    </row>
    <row r="89" spans="1:21" customFormat="1">
      <c r="A89" s="163" t="s">
        <v>320</v>
      </c>
      <c r="B89" s="100">
        <v>3.89</v>
      </c>
      <c r="C89" s="100">
        <v>6.48</v>
      </c>
      <c r="D89" s="100">
        <v>3.84</v>
      </c>
      <c r="E89" s="100">
        <v>7.74</v>
      </c>
      <c r="F89" s="100">
        <v>15.99</v>
      </c>
      <c r="G89" s="100">
        <v>71.78</v>
      </c>
      <c r="H89" s="100">
        <v>29.86</v>
      </c>
      <c r="I89" s="100">
        <v>6.24</v>
      </c>
      <c r="J89" s="100">
        <v>0.56000000000000005</v>
      </c>
      <c r="K89" s="100">
        <v>249.71</v>
      </c>
      <c r="L89" s="100">
        <v>31.14</v>
      </c>
      <c r="M89" s="100">
        <v>55.34</v>
      </c>
      <c r="N89" s="100">
        <v>1.7</v>
      </c>
      <c r="O89" s="100">
        <v>0</v>
      </c>
      <c r="P89" s="100">
        <v>0.36</v>
      </c>
      <c r="Q89" s="100">
        <v>28</v>
      </c>
      <c r="R89" s="6"/>
      <c r="S89" s="6"/>
      <c r="T89" s="156"/>
      <c r="U89" s="6"/>
    </row>
    <row r="90" spans="1:21" customFormat="1">
      <c r="A90" s="163" t="s">
        <v>321</v>
      </c>
      <c r="B90" s="100">
        <v>3.94</v>
      </c>
      <c r="C90" s="100">
        <v>6.37</v>
      </c>
      <c r="D90" s="100">
        <v>3.56</v>
      </c>
      <c r="E90" s="100">
        <v>7.38</v>
      </c>
      <c r="F90" s="100">
        <v>10.3</v>
      </c>
      <c r="G90" s="100">
        <v>71.78</v>
      </c>
      <c r="H90" s="100">
        <v>29.86</v>
      </c>
      <c r="I90" s="100">
        <v>5.44</v>
      </c>
      <c r="J90" s="100">
        <v>0.46</v>
      </c>
      <c r="K90" s="100">
        <v>240.13</v>
      </c>
      <c r="L90" s="100">
        <v>30.89</v>
      </c>
      <c r="M90" s="100">
        <v>56.49</v>
      </c>
      <c r="N90" s="100">
        <v>1.9</v>
      </c>
      <c r="O90" s="100">
        <v>0</v>
      </c>
      <c r="P90" s="100">
        <v>0.36</v>
      </c>
      <c r="Q90" s="100">
        <v>28</v>
      </c>
      <c r="R90" s="6"/>
      <c r="S90" s="6"/>
      <c r="T90" s="156"/>
      <c r="U90" s="6"/>
    </row>
    <row r="91" spans="1:21" customFormat="1">
      <c r="A91" s="163" t="s">
        <v>322</v>
      </c>
      <c r="B91" s="100">
        <v>3.93</v>
      </c>
      <c r="C91" s="100">
        <v>6.54</v>
      </c>
      <c r="D91" s="100">
        <v>3.89</v>
      </c>
      <c r="E91" s="100">
        <v>7.83</v>
      </c>
      <c r="F91" s="100">
        <v>10.050000000000001</v>
      </c>
      <c r="G91" s="100">
        <v>71.78</v>
      </c>
      <c r="H91" s="100">
        <v>29.86</v>
      </c>
      <c r="I91" s="100">
        <v>5.07</v>
      </c>
      <c r="J91" s="100">
        <v>0.47</v>
      </c>
      <c r="K91" s="100">
        <v>246.86</v>
      </c>
      <c r="L91" s="100">
        <v>30.6</v>
      </c>
      <c r="M91" s="100">
        <v>57.48</v>
      </c>
      <c r="N91" s="100">
        <v>1.8</v>
      </c>
      <c r="O91" s="100">
        <v>0</v>
      </c>
      <c r="P91" s="100">
        <v>0.39</v>
      </c>
      <c r="Q91" s="100">
        <v>28</v>
      </c>
      <c r="R91" s="6"/>
      <c r="S91" s="6"/>
      <c r="T91" s="156"/>
      <c r="U91" s="6"/>
    </row>
    <row r="92" spans="1:21" customFormat="1">
      <c r="A92" s="163" t="s">
        <v>323</v>
      </c>
      <c r="B92" s="100">
        <v>3.97</v>
      </c>
      <c r="C92" s="100">
        <v>6.55</v>
      </c>
      <c r="D92" s="100">
        <v>3.86</v>
      </c>
      <c r="E92" s="100">
        <v>7.68</v>
      </c>
      <c r="F92" s="100">
        <v>12.05</v>
      </c>
      <c r="G92" s="100">
        <v>67.81</v>
      </c>
      <c r="H92" s="100">
        <v>29.91</v>
      </c>
      <c r="I92" s="100">
        <v>5.14</v>
      </c>
      <c r="J92" s="100">
        <v>0.66</v>
      </c>
      <c r="K92" s="100">
        <v>249.33</v>
      </c>
      <c r="L92" s="100">
        <v>30.63</v>
      </c>
      <c r="M92" s="100">
        <v>56.04</v>
      </c>
      <c r="N92" s="100">
        <v>1.7</v>
      </c>
      <c r="O92" s="100">
        <v>0</v>
      </c>
      <c r="P92" s="100">
        <v>0.38</v>
      </c>
      <c r="Q92" s="100">
        <v>28</v>
      </c>
      <c r="R92" s="6"/>
      <c r="S92" s="6"/>
      <c r="T92" s="156"/>
      <c r="U92" s="6"/>
    </row>
    <row r="93" spans="1:21" customFormat="1">
      <c r="A93" s="163" t="s">
        <v>324</v>
      </c>
      <c r="B93" s="100">
        <v>4.07</v>
      </c>
      <c r="C93" s="100">
        <v>6.35</v>
      </c>
      <c r="D93" s="100">
        <v>3.33</v>
      </c>
      <c r="E93" s="100">
        <v>7.56</v>
      </c>
      <c r="F93" s="100">
        <v>7.66</v>
      </c>
      <c r="G93" s="100">
        <v>67.319999999999993</v>
      </c>
      <c r="H93" s="100">
        <v>29.91</v>
      </c>
      <c r="I93" s="100">
        <v>5.23</v>
      </c>
      <c r="J93" s="100">
        <v>0.61</v>
      </c>
      <c r="K93" s="100">
        <v>247.69</v>
      </c>
      <c r="L93" s="100">
        <v>30.57</v>
      </c>
      <c r="M93" s="100">
        <v>55.36</v>
      </c>
      <c r="N93" s="100">
        <v>1.7</v>
      </c>
      <c r="O93" s="100">
        <v>0</v>
      </c>
      <c r="P93" s="100">
        <v>0.36</v>
      </c>
      <c r="Q93" s="100">
        <v>28</v>
      </c>
      <c r="R93" s="6"/>
      <c r="S93" s="6"/>
      <c r="T93" s="156"/>
      <c r="U93" s="6"/>
    </row>
    <row r="94" spans="1:21" customFormat="1">
      <c r="A94" s="163" t="s">
        <v>325</v>
      </c>
      <c r="B94" s="100">
        <v>4.05</v>
      </c>
      <c r="C94" s="100">
        <v>6.84</v>
      </c>
      <c r="D94" s="100">
        <v>4.29</v>
      </c>
      <c r="E94" s="100">
        <v>7.86</v>
      </c>
      <c r="F94" s="100">
        <v>4.25</v>
      </c>
      <c r="G94" s="100">
        <v>67.319999999999993</v>
      </c>
      <c r="H94" s="100">
        <v>29.91</v>
      </c>
      <c r="I94" s="100">
        <v>5.18</v>
      </c>
      <c r="J94" s="100">
        <v>0.62</v>
      </c>
      <c r="K94" s="100">
        <v>250.32</v>
      </c>
      <c r="L94" s="100">
        <v>30.64</v>
      </c>
      <c r="M94" s="100">
        <v>54.2</v>
      </c>
      <c r="N94" s="100">
        <v>1.7</v>
      </c>
      <c r="O94" s="100">
        <v>0</v>
      </c>
      <c r="P94" s="100">
        <v>0.36</v>
      </c>
      <c r="Q94" s="100">
        <v>28</v>
      </c>
      <c r="R94" s="6"/>
      <c r="S94" s="6"/>
      <c r="T94" s="156"/>
      <c r="U94" s="6"/>
    </row>
    <row r="95" spans="1:21" customFormat="1">
      <c r="A95" s="163" t="s">
        <v>326</v>
      </c>
      <c r="B95" s="100">
        <v>3.96</v>
      </c>
      <c r="C95" s="100">
        <v>7.11</v>
      </c>
      <c r="D95" s="100">
        <v>4.95</v>
      </c>
      <c r="E95" s="100">
        <v>8.09</v>
      </c>
      <c r="F95" s="100">
        <v>4.57</v>
      </c>
      <c r="G95" s="100">
        <v>67.319999999999993</v>
      </c>
      <c r="H95" s="100">
        <v>29.91</v>
      </c>
      <c r="I95" s="100">
        <v>5.25</v>
      </c>
      <c r="J95" s="100">
        <v>0.41</v>
      </c>
      <c r="K95" s="100">
        <v>241.91</v>
      </c>
      <c r="L95" s="100">
        <v>30.45</v>
      </c>
      <c r="M95" s="100">
        <v>55.24</v>
      </c>
      <c r="N95" s="100">
        <v>1.9</v>
      </c>
      <c r="O95" s="100">
        <v>0</v>
      </c>
      <c r="P95" s="100">
        <v>0.34</v>
      </c>
      <c r="Q95" s="100">
        <v>28</v>
      </c>
      <c r="R95" s="6"/>
      <c r="S95" s="6"/>
      <c r="T95" s="156"/>
      <c r="U95" s="6"/>
    </row>
    <row r="96" spans="1:21" customFormat="1">
      <c r="A96" s="163" t="s">
        <v>327</v>
      </c>
      <c r="B96" s="100">
        <v>3.9</v>
      </c>
      <c r="C96" s="100">
        <v>7.22</v>
      </c>
      <c r="D96" s="100">
        <v>5.26</v>
      </c>
      <c r="E96" s="100">
        <v>8.2200000000000006</v>
      </c>
      <c r="F96" s="100">
        <v>5.0199999999999996</v>
      </c>
      <c r="G96" s="100">
        <v>63.7</v>
      </c>
      <c r="H96" s="100">
        <v>26.14</v>
      </c>
      <c r="I96" s="100">
        <v>5.4</v>
      </c>
      <c r="J96" s="100">
        <v>0.21</v>
      </c>
      <c r="K96" s="100">
        <v>227.37</v>
      </c>
      <c r="L96" s="100">
        <v>30.09</v>
      </c>
      <c r="M96" s="100">
        <v>57.44</v>
      </c>
      <c r="N96" s="100">
        <v>2</v>
      </c>
      <c r="O96" s="100">
        <v>0</v>
      </c>
      <c r="P96" s="100">
        <v>0.34</v>
      </c>
      <c r="Q96" s="100">
        <v>28</v>
      </c>
      <c r="R96" s="6"/>
      <c r="S96" s="6"/>
      <c r="T96" s="156"/>
      <c r="U96" s="6"/>
    </row>
    <row r="97" spans="1:28" customFormat="1">
      <c r="A97" s="163" t="s">
        <v>328</v>
      </c>
      <c r="B97" s="100">
        <v>3.89</v>
      </c>
      <c r="C97" s="100">
        <v>7.23</v>
      </c>
      <c r="D97" s="100">
        <v>5.29</v>
      </c>
      <c r="E97" s="100">
        <v>8.66</v>
      </c>
      <c r="F97" s="100">
        <v>4.22</v>
      </c>
      <c r="G97" s="100">
        <v>63.25</v>
      </c>
      <c r="H97" s="100">
        <v>26.14</v>
      </c>
      <c r="I97" s="100">
        <v>5.34</v>
      </c>
      <c r="J97" s="100">
        <v>0.26</v>
      </c>
      <c r="K97" s="100">
        <v>237.59</v>
      </c>
      <c r="L97" s="100">
        <v>29.76</v>
      </c>
      <c r="M97" s="100">
        <v>59.36</v>
      </c>
      <c r="N97" s="100">
        <v>2.1</v>
      </c>
      <c r="O97" s="100">
        <v>0</v>
      </c>
      <c r="P97" s="100">
        <v>0.34</v>
      </c>
      <c r="Q97" s="100">
        <v>28</v>
      </c>
      <c r="R97" s="6"/>
      <c r="S97" s="6"/>
      <c r="T97" s="156"/>
      <c r="U97" s="6"/>
    </row>
    <row r="98" spans="1:28" customFormat="1">
      <c r="A98" s="163" t="s">
        <v>329</v>
      </c>
      <c r="B98" s="100">
        <v>3.9</v>
      </c>
      <c r="C98" s="100">
        <v>7.22</v>
      </c>
      <c r="D98" s="100">
        <v>5.25</v>
      </c>
      <c r="E98" s="100">
        <v>8.67</v>
      </c>
      <c r="F98" s="100">
        <v>3.61</v>
      </c>
      <c r="G98" s="100">
        <v>63.25</v>
      </c>
      <c r="H98" s="100">
        <v>26.14</v>
      </c>
      <c r="I98" s="100">
        <v>5.23</v>
      </c>
      <c r="J98" s="100">
        <v>0.36</v>
      </c>
      <c r="K98" s="100">
        <v>239.94</v>
      </c>
      <c r="L98" s="100">
        <v>29.55</v>
      </c>
      <c r="M98" s="100">
        <v>60.21</v>
      </c>
      <c r="N98" s="100">
        <v>1.8</v>
      </c>
      <c r="O98" s="100">
        <v>0</v>
      </c>
      <c r="P98" s="100">
        <v>0.34</v>
      </c>
      <c r="Q98" s="100">
        <v>28</v>
      </c>
      <c r="R98" s="6"/>
      <c r="S98" s="6"/>
      <c r="T98" s="156"/>
      <c r="U98" s="6"/>
    </row>
    <row r="99" spans="1:28" customFormat="1">
      <c r="A99" s="163" t="s">
        <v>330</v>
      </c>
      <c r="B99" s="100">
        <v>3.9</v>
      </c>
      <c r="C99" s="100">
        <v>7.17</v>
      </c>
      <c r="D99" s="100">
        <v>5.14</v>
      </c>
      <c r="E99" s="100">
        <v>8.7100000000000009</v>
      </c>
      <c r="F99" s="100">
        <v>3.22</v>
      </c>
      <c r="G99" s="100">
        <v>63.25</v>
      </c>
      <c r="H99" s="100">
        <v>26.14</v>
      </c>
      <c r="I99" s="100">
        <v>5.15</v>
      </c>
      <c r="J99" s="100">
        <v>0.23</v>
      </c>
      <c r="K99" s="100">
        <v>228.19</v>
      </c>
      <c r="L99" s="100">
        <v>29.41</v>
      </c>
      <c r="M99" s="100">
        <v>60.69</v>
      </c>
      <c r="N99" s="100">
        <v>2</v>
      </c>
      <c r="O99" s="100">
        <v>0</v>
      </c>
      <c r="P99" s="100">
        <v>0.34</v>
      </c>
      <c r="Q99" s="100">
        <v>28</v>
      </c>
      <c r="R99" s="6"/>
      <c r="S99" s="6"/>
      <c r="T99" s="156"/>
      <c r="U99" s="6"/>
    </row>
    <row r="100" spans="1:28" customFormat="1">
      <c r="A100" s="163" t="s">
        <v>331</v>
      </c>
      <c r="B100" s="100">
        <v>3.91</v>
      </c>
      <c r="C100" s="100">
        <v>7.27</v>
      </c>
      <c r="D100" s="100">
        <v>5.33</v>
      </c>
      <c r="E100" s="100">
        <v>8.75</v>
      </c>
      <c r="F100" s="100">
        <v>4.7</v>
      </c>
      <c r="G100" s="100">
        <v>65.31</v>
      </c>
      <c r="H100" s="100">
        <v>26.71</v>
      </c>
      <c r="I100" s="100">
        <v>5.07</v>
      </c>
      <c r="J100" s="100">
        <v>0.17</v>
      </c>
      <c r="K100" s="100">
        <v>207.46</v>
      </c>
      <c r="L100" s="100">
        <v>29.21</v>
      </c>
      <c r="M100" s="100">
        <v>62.89</v>
      </c>
      <c r="N100" s="100">
        <v>2</v>
      </c>
      <c r="O100" s="100">
        <v>0</v>
      </c>
      <c r="P100" s="100">
        <v>0.34</v>
      </c>
      <c r="Q100" s="100">
        <v>28</v>
      </c>
      <c r="R100" s="6"/>
      <c r="S100" s="6"/>
      <c r="T100" s="156"/>
      <c r="U100" s="6"/>
      <c r="AB100" s="161"/>
    </row>
    <row r="101" spans="1:28" customFormat="1">
      <c r="A101" s="163" t="s">
        <v>332</v>
      </c>
      <c r="B101" s="100">
        <v>3.97</v>
      </c>
      <c r="C101" s="100">
        <v>7.29</v>
      </c>
      <c r="D101" s="100">
        <v>5.27</v>
      </c>
      <c r="E101" s="100">
        <v>8.9</v>
      </c>
      <c r="F101" s="100">
        <v>3.01</v>
      </c>
      <c r="G101" s="100">
        <v>65.569999999999993</v>
      </c>
      <c r="H101" s="100">
        <v>26.71</v>
      </c>
      <c r="I101" s="100">
        <v>5.03</v>
      </c>
      <c r="J101" s="100">
        <v>0.35</v>
      </c>
      <c r="K101" s="100">
        <v>241.84</v>
      </c>
      <c r="L101" s="100">
        <v>29.13</v>
      </c>
      <c r="M101" s="100">
        <v>61.4</v>
      </c>
      <c r="N101" s="100">
        <v>1.9</v>
      </c>
      <c r="O101" s="100">
        <v>0</v>
      </c>
      <c r="P101" s="100">
        <v>0.34</v>
      </c>
      <c r="Q101" s="100">
        <v>28</v>
      </c>
      <c r="R101" s="6"/>
      <c r="S101" s="6"/>
      <c r="T101" s="156"/>
      <c r="U101" s="6"/>
    </row>
    <row r="102" spans="1:28" customFormat="1">
      <c r="A102" s="163" t="s">
        <v>333</v>
      </c>
      <c r="B102" s="100">
        <v>4.01</v>
      </c>
      <c r="C102" s="100">
        <v>7.2</v>
      </c>
      <c r="D102" s="100">
        <v>5.05</v>
      </c>
      <c r="E102" s="100">
        <v>8.9700000000000006</v>
      </c>
      <c r="F102" s="100">
        <v>3.1</v>
      </c>
      <c r="G102" s="100">
        <v>65.569999999999993</v>
      </c>
      <c r="H102" s="100">
        <v>26.71</v>
      </c>
      <c r="I102" s="100">
        <v>4.97</v>
      </c>
      <c r="J102" s="100">
        <v>0.3</v>
      </c>
      <c r="K102" s="100">
        <v>245.09</v>
      </c>
      <c r="L102" s="100">
        <v>28.88</v>
      </c>
      <c r="M102" s="100">
        <v>62.89</v>
      </c>
      <c r="N102" s="100">
        <v>2.1</v>
      </c>
      <c r="O102" s="100">
        <v>0</v>
      </c>
      <c r="P102" s="100">
        <v>0.33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334</v>
      </c>
      <c r="B103" s="100">
        <v>4.01</v>
      </c>
      <c r="C103" s="100">
        <v>7.13</v>
      </c>
      <c r="D103" s="100">
        <v>4.9000000000000004</v>
      </c>
      <c r="E103" s="100">
        <v>8.5399999999999991</v>
      </c>
      <c r="F103" s="100">
        <v>2.86</v>
      </c>
      <c r="G103" s="100">
        <v>65.569999999999993</v>
      </c>
      <c r="H103" s="100">
        <v>26.71</v>
      </c>
      <c r="I103" s="100">
        <v>4.9800000000000004</v>
      </c>
      <c r="J103" s="100">
        <v>0.3</v>
      </c>
      <c r="K103" s="100">
        <v>241.09</v>
      </c>
      <c r="L103" s="100">
        <v>28.75</v>
      </c>
      <c r="M103" s="100">
        <v>63.42</v>
      </c>
      <c r="N103" s="100">
        <v>1.9</v>
      </c>
      <c r="O103" s="100">
        <v>0</v>
      </c>
      <c r="P103" s="100">
        <v>0.33</v>
      </c>
      <c r="Q103" s="100">
        <v>28</v>
      </c>
      <c r="R103" s="6"/>
      <c r="S103" s="6"/>
      <c r="T103" s="156"/>
      <c r="U103" s="6"/>
    </row>
    <row r="104" spans="1:28" customFormat="1">
      <c r="A104" s="163" t="s">
        <v>335</v>
      </c>
      <c r="B104" s="100">
        <v>4</v>
      </c>
      <c r="C104" s="100">
        <v>7.19</v>
      </c>
      <c r="D104" s="100">
        <v>5.03</v>
      </c>
      <c r="E104" s="100">
        <v>8.99</v>
      </c>
      <c r="F104" s="100">
        <v>3.36</v>
      </c>
      <c r="G104" s="100">
        <v>62.09</v>
      </c>
      <c r="H104" s="100">
        <v>23.5</v>
      </c>
      <c r="I104" s="100">
        <v>4.9400000000000004</v>
      </c>
      <c r="J104" s="100">
        <v>0.28000000000000003</v>
      </c>
      <c r="K104" s="100">
        <v>233.16</v>
      </c>
      <c r="L104" s="100">
        <v>28.58</v>
      </c>
      <c r="M104" s="100">
        <v>63.6</v>
      </c>
      <c r="N104" s="100">
        <v>2</v>
      </c>
      <c r="O104" s="100">
        <v>0</v>
      </c>
      <c r="P104" s="100">
        <v>0.34</v>
      </c>
      <c r="Q104" s="100">
        <v>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</v>
      </c>
      <c r="C106" s="158">
        <f>MIN(C9:C104)</f>
        <v>6.06</v>
      </c>
      <c r="D106" s="158">
        <f t="shared" ref="D106:Q106" si="0">MIN(D9:D104)</f>
        <v>3.17</v>
      </c>
      <c r="E106" s="158">
        <f t="shared" si="0"/>
        <v>6.7</v>
      </c>
      <c r="F106" s="158">
        <f t="shared" si="0"/>
        <v>2.1</v>
      </c>
      <c r="G106" s="158">
        <f t="shared" si="0"/>
        <v>47.43</v>
      </c>
      <c r="H106" s="158">
        <f t="shared" si="0"/>
        <v>19.3</v>
      </c>
      <c r="I106" s="158">
        <f t="shared" si="0"/>
        <v>4.3</v>
      </c>
      <c r="J106" s="158">
        <f t="shared" si="0"/>
        <v>0.05</v>
      </c>
      <c r="K106" s="158">
        <f t="shared" si="0"/>
        <v>52.22</v>
      </c>
      <c r="L106" s="158">
        <f t="shared" si="0"/>
        <v>25.67</v>
      </c>
      <c r="M106" s="158">
        <f t="shared" si="0"/>
        <v>33.82</v>
      </c>
      <c r="N106" s="158">
        <f t="shared" si="0"/>
        <v>1.5</v>
      </c>
      <c r="O106" s="158">
        <f t="shared" si="0"/>
        <v>0</v>
      </c>
      <c r="P106" s="158">
        <f t="shared" si="0"/>
        <v>0.32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8.16</v>
      </c>
      <c r="C107" s="157">
        <f t="shared" ref="C107:Q107" si="1">MAX(C9:C104)</f>
        <v>11</v>
      </c>
      <c r="D107" s="157">
        <f t="shared" si="1"/>
        <v>6.72</v>
      </c>
      <c r="E107" s="157">
        <f t="shared" si="1"/>
        <v>9.68</v>
      </c>
      <c r="F107" s="157">
        <f t="shared" si="1"/>
        <v>27.3</v>
      </c>
      <c r="G107" s="157">
        <f t="shared" si="1"/>
        <v>75.040000000000006</v>
      </c>
      <c r="H107" s="157">
        <f t="shared" si="1"/>
        <v>29.91</v>
      </c>
      <c r="I107" s="157">
        <f t="shared" si="1"/>
        <v>9.0500000000000007</v>
      </c>
      <c r="J107" s="157">
        <f t="shared" si="1"/>
        <v>1.92</v>
      </c>
      <c r="K107" s="157">
        <f t="shared" si="1"/>
        <v>299.67</v>
      </c>
      <c r="L107" s="157">
        <f t="shared" si="1"/>
        <v>36.909999999999997</v>
      </c>
      <c r="M107" s="157">
        <f t="shared" si="1"/>
        <v>104.28</v>
      </c>
      <c r="N107" s="157">
        <f t="shared" si="1"/>
        <v>847.7</v>
      </c>
      <c r="O107" s="157">
        <f t="shared" si="1"/>
        <v>0</v>
      </c>
      <c r="P107" s="157">
        <f t="shared" si="1"/>
        <v>0.68</v>
      </c>
      <c r="Q107" s="157">
        <f t="shared" si="1"/>
        <v>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4.9882291666666676</v>
      </c>
      <c r="C108" s="158">
        <f t="shared" ref="C108:Q108" si="2">AVERAGE(C9:C104)</f>
        <v>7.7807291666666645</v>
      </c>
      <c r="D108" s="158">
        <f t="shared" si="2"/>
        <v>4.6487499999999988</v>
      </c>
      <c r="E108" s="158">
        <f t="shared" si="2"/>
        <v>8.6065624999999972</v>
      </c>
      <c r="F108" s="158">
        <f t="shared" si="2"/>
        <v>6.7117708333333335</v>
      </c>
      <c r="G108" s="158">
        <f t="shared" si="2"/>
        <v>63.087500000000013</v>
      </c>
      <c r="H108" s="158">
        <f t="shared" si="2"/>
        <v>25.634791666666654</v>
      </c>
      <c r="I108" s="158">
        <f t="shared" si="2"/>
        <v>6.6510416666666687</v>
      </c>
      <c r="J108" s="158">
        <f t="shared" si="2"/>
        <v>0.61291666666666633</v>
      </c>
      <c r="K108" s="158">
        <f t="shared" si="2"/>
        <v>236.58343749999995</v>
      </c>
      <c r="L108" s="158">
        <f t="shared" si="2"/>
        <v>31.063854166666662</v>
      </c>
      <c r="M108" s="158">
        <f t="shared" si="2"/>
        <v>65.008541666666645</v>
      </c>
      <c r="N108" s="158">
        <f t="shared" si="2"/>
        <v>147.92604166666669</v>
      </c>
      <c r="O108" s="158">
        <f t="shared" si="2"/>
        <v>0</v>
      </c>
      <c r="P108" s="158">
        <f t="shared" si="2"/>
        <v>0.48989583333333364</v>
      </c>
      <c r="Q108" s="158">
        <f t="shared" si="2"/>
        <v>28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1.4452441023408014</v>
      </c>
      <c r="C109" s="158">
        <f t="shared" ref="C109:Q109" si="3">STDEV(C9:C104)</f>
        <v>1.2782424156808658</v>
      </c>
      <c r="D109" s="158">
        <f t="shared" si="3"/>
        <v>0.85800165623691005</v>
      </c>
      <c r="E109" s="158">
        <f t="shared" si="3"/>
        <v>0.75996236489225666</v>
      </c>
      <c r="F109" s="158">
        <f t="shared" si="3"/>
        <v>6.2184118796381238</v>
      </c>
      <c r="G109" s="158">
        <f t="shared" si="3"/>
        <v>8.7825909137276668</v>
      </c>
      <c r="H109" s="158">
        <f t="shared" si="3"/>
        <v>2.7712011377043861</v>
      </c>
      <c r="I109" s="158">
        <f t="shared" si="3"/>
        <v>1.4109037634879749</v>
      </c>
      <c r="J109" s="158">
        <f t="shared" si="3"/>
        <v>0.44507105681456705</v>
      </c>
      <c r="K109" s="158">
        <f t="shared" si="3"/>
        <v>44.081450779166161</v>
      </c>
      <c r="L109" s="158">
        <f t="shared" si="3"/>
        <v>3.7950167796013785</v>
      </c>
      <c r="M109" s="158">
        <f t="shared" si="3"/>
        <v>23.465003369146128</v>
      </c>
      <c r="N109" s="158">
        <f t="shared" si="3"/>
        <v>222.13064588437314</v>
      </c>
      <c r="O109" s="158">
        <f t="shared" si="3"/>
        <v>0</v>
      </c>
      <c r="P109" s="158">
        <f t="shared" si="3"/>
        <v>0.12504731560633578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0" sqref="G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336</v>
      </c>
      <c r="B9" s="100">
        <v>4.04</v>
      </c>
      <c r="C9" s="100">
        <v>7.29</v>
      </c>
      <c r="D9" s="100">
        <v>5.17</v>
      </c>
      <c r="E9" s="100">
        <v>9.16</v>
      </c>
      <c r="F9" s="100">
        <v>3.05</v>
      </c>
      <c r="G9" s="100">
        <v>61.71</v>
      </c>
      <c r="H9" s="100">
        <v>23.5</v>
      </c>
      <c r="I9" s="100">
        <v>4.97</v>
      </c>
      <c r="J9" s="100">
        <v>0.25</v>
      </c>
      <c r="K9" s="100">
        <v>229.97</v>
      </c>
      <c r="L9" s="100">
        <v>28.34</v>
      </c>
      <c r="M9" s="100">
        <v>63.53</v>
      </c>
      <c r="N9" s="100">
        <v>1.9</v>
      </c>
      <c r="O9" s="100">
        <v>0</v>
      </c>
      <c r="P9" s="100">
        <v>0.34</v>
      </c>
      <c r="Q9" s="100">
        <v>28</v>
      </c>
      <c r="R9" s="6"/>
      <c r="S9" s="6"/>
      <c r="T9" s="156"/>
      <c r="U9" s="6"/>
    </row>
    <row r="10" spans="1:21" customFormat="1">
      <c r="A10" s="163" t="s">
        <v>337</v>
      </c>
      <c r="B10" s="100">
        <v>4.07</v>
      </c>
      <c r="C10" s="100">
        <v>7.24</v>
      </c>
      <c r="D10" s="100">
        <v>5.0199999999999996</v>
      </c>
      <c r="E10" s="100">
        <v>8.9600000000000009</v>
      </c>
      <c r="F10" s="100">
        <v>3.18</v>
      </c>
      <c r="G10" s="100">
        <v>61.71</v>
      </c>
      <c r="H10" s="100">
        <v>23.5</v>
      </c>
      <c r="I10" s="100">
        <v>4.96</v>
      </c>
      <c r="J10" s="100">
        <v>0.21</v>
      </c>
      <c r="K10" s="100">
        <v>212.41</v>
      </c>
      <c r="L10" s="100">
        <v>28.15</v>
      </c>
      <c r="M10" s="100">
        <v>64.03</v>
      </c>
      <c r="N10" s="100">
        <v>1.8</v>
      </c>
      <c r="O10" s="100">
        <v>0</v>
      </c>
      <c r="P10" s="100">
        <v>0.33</v>
      </c>
      <c r="Q10" s="100">
        <v>28</v>
      </c>
      <c r="R10" s="6"/>
      <c r="S10" s="6"/>
      <c r="T10" s="156"/>
      <c r="U10" s="6"/>
    </row>
    <row r="11" spans="1:21" customFormat="1">
      <c r="A11" s="163" t="s">
        <v>338</v>
      </c>
      <c r="B11" s="100">
        <v>4.0999999999999996</v>
      </c>
      <c r="C11" s="100">
        <v>7.24</v>
      </c>
      <c r="D11" s="100">
        <v>4.9800000000000004</v>
      </c>
      <c r="E11" s="100">
        <v>9.11</v>
      </c>
      <c r="F11" s="100">
        <v>2.84</v>
      </c>
      <c r="G11" s="100">
        <v>61.71</v>
      </c>
      <c r="H11" s="100">
        <v>23.5</v>
      </c>
      <c r="I11" s="100">
        <v>4.95</v>
      </c>
      <c r="J11" s="100">
        <v>0.19</v>
      </c>
      <c r="K11" s="100">
        <v>164.43</v>
      </c>
      <c r="L11" s="100">
        <v>27.93</v>
      </c>
      <c r="M11" s="100">
        <v>66.739999999999995</v>
      </c>
      <c r="N11" s="100">
        <v>2</v>
      </c>
      <c r="O11" s="100">
        <v>0</v>
      </c>
      <c r="P11" s="100">
        <v>0.33</v>
      </c>
      <c r="Q11" s="100">
        <v>28</v>
      </c>
      <c r="R11" s="6"/>
      <c r="S11" s="6"/>
      <c r="T11" s="156"/>
      <c r="U11" s="6"/>
    </row>
    <row r="12" spans="1:21" customFormat="1">
      <c r="A12" s="163" t="s">
        <v>339</v>
      </c>
      <c r="B12" s="100">
        <v>4.1500000000000004</v>
      </c>
      <c r="C12" s="100">
        <v>7.34</v>
      </c>
      <c r="D12" s="100">
        <v>5.1100000000000003</v>
      </c>
      <c r="E12" s="100">
        <v>9.49</v>
      </c>
      <c r="F12" s="100">
        <v>2.87</v>
      </c>
      <c r="G12" s="100">
        <v>57.77</v>
      </c>
      <c r="H12" s="100">
        <v>21.93</v>
      </c>
      <c r="I12" s="100">
        <v>4.95</v>
      </c>
      <c r="J12" s="100">
        <v>0.21</v>
      </c>
      <c r="K12" s="100">
        <v>191.46</v>
      </c>
      <c r="L12" s="100">
        <v>27.51</v>
      </c>
      <c r="M12" s="100">
        <v>67.78</v>
      </c>
      <c r="N12" s="100">
        <v>1.9</v>
      </c>
      <c r="O12" s="100">
        <v>0</v>
      </c>
      <c r="P12" s="100">
        <v>0.34</v>
      </c>
      <c r="Q12" s="100">
        <v>28</v>
      </c>
      <c r="R12" s="6"/>
      <c r="S12" s="6"/>
      <c r="T12" s="156"/>
      <c r="U12" s="6"/>
    </row>
    <row r="13" spans="1:21" customFormat="1">
      <c r="A13" s="163" t="s">
        <v>340</v>
      </c>
      <c r="B13" s="100">
        <v>4.2</v>
      </c>
      <c r="C13" s="100">
        <v>7.29</v>
      </c>
      <c r="D13" s="100">
        <v>4.93</v>
      </c>
      <c r="E13" s="100">
        <v>9.1199999999999992</v>
      </c>
      <c r="F13" s="100">
        <v>3.19</v>
      </c>
      <c r="G13" s="100">
        <v>57.27</v>
      </c>
      <c r="H13" s="100">
        <v>21.93</v>
      </c>
      <c r="I13" s="100">
        <v>4.93</v>
      </c>
      <c r="J13" s="100">
        <v>0.3</v>
      </c>
      <c r="K13" s="100">
        <v>236.5</v>
      </c>
      <c r="L13" s="100">
        <v>27.4</v>
      </c>
      <c r="M13" s="100">
        <v>65.8</v>
      </c>
      <c r="N13" s="100">
        <v>1.6</v>
      </c>
      <c r="O13" s="100">
        <v>0</v>
      </c>
      <c r="P13" s="100">
        <v>0.33</v>
      </c>
      <c r="Q13" s="100">
        <v>28</v>
      </c>
      <c r="R13" s="6"/>
      <c r="S13" s="6"/>
      <c r="T13" s="156"/>
      <c r="U13" s="6"/>
    </row>
    <row r="14" spans="1:21" customFormat="1">
      <c r="A14" s="163" t="s">
        <v>341</v>
      </c>
      <c r="B14" s="100">
        <v>4.2300000000000004</v>
      </c>
      <c r="C14" s="100">
        <v>7.32</v>
      </c>
      <c r="D14" s="100">
        <v>4.9400000000000004</v>
      </c>
      <c r="E14" s="100">
        <v>9.35</v>
      </c>
      <c r="F14" s="100">
        <v>3.34</v>
      </c>
      <c r="G14" s="100">
        <v>57.27</v>
      </c>
      <c r="H14" s="100">
        <v>21.93</v>
      </c>
      <c r="I14" s="100">
        <v>4.93</v>
      </c>
      <c r="J14" s="100">
        <v>0.4</v>
      </c>
      <c r="K14" s="100">
        <v>248.97</v>
      </c>
      <c r="L14" s="100">
        <v>27.56</v>
      </c>
      <c r="M14" s="100">
        <v>61.41</v>
      </c>
      <c r="N14" s="100">
        <v>1.3</v>
      </c>
      <c r="O14" s="100">
        <v>0</v>
      </c>
      <c r="P14" s="100">
        <v>0.33</v>
      </c>
      <c r="Q14" s="100">
        <v>28</v>
      </c>
      <c r="R14" s="6"/>
      <c r="S14" s="6"/>
      <c r="T14" s="156"/>
      <c r="U14" s="6"/>
    </row>
    <row r="15" spans="1:21" customFormat="1">
      <c r="A15" s="163" t="s">
        <v>342</v>
      </c>
      <c r="B15" s="100">
        <v>4.21</v>
      </c>
      <c r="C15" s="100">
        <v>7.32</v>
      </c>
      <c r="D15" s="100">
        <v>4.97</v>
      </c>
      <c r="E15" s="100">
        <v>9.1999999999999993</v>
      </c>
      <c r="F15" s="100">
        <v>3.3</v>
      </c>
      <c r="G15" s="100">
        <v>57.27</v>
      </c>
      <c r="H15" s="100">
        <v>21.93</v>
      </c>
      <c r="I15" s="100">
        <v>4.93</v>
      </c>
      <c r="J15" s="100">
        <v>0.3</v>
      </c>
      <c r="K15" s="100">
        <v>247.41</v>
      </c>
      <c r="L15" s="100">
        <v>27.46</v>
      </c>
      <c r="M15" s="100">
        <v>60.28</v>
      </c>
      <c r="N15" s="100">
        <v>1.6</v>
      </c>
      <c r="O15" s="100">
        <v>0</v>
      </c>
      <c r="P15" s="100">
        <v>0.33</v>
      </c>
      <c r="Q15" s="100">
        <v>28</v>
      </c>
      <c r="R15" s="6"/>
      <c r="S15" s="6"/>
      <c r="T15" s="156"/>
      <c r="U15" s="6"/>
    </row>
    <row r="16" spans="1:21" customFormat="1">
      <c r="A16" s="163" t="s">
        <v>343</v>
      </c>
      <c r="B16" s="100">
        <v>4.2</v>
      </c>
      <c r="C16" s="100">
        <v>7.32</v>
      </c>
      <c r="D16" s="100">
        <v>4.9800000000000004</v>
      </c>
      <c r="E16" s="100">
        <v>9.1300000000000008</v>
      </c>
      <c r="F16" s="100">
        <v>3.24</v>
      </c>
      <c r="G16" s="100">
        <v>57.9</v>
      </c>
      <c r="H16" s="100">
        <v>21.64</v>
      </c>
      <c r="I16" s="100">
        <v>4.9000000000000004</v>
      </c>
      <c r="J16" s="100">
        <v>0.25</v>
      </c>
      <c r="K16" s="100">
        <v>239.12</v>
      </c>
      <c r="L16" s="100">
        <v>27.26</v>
      </c>
      <c r="M16" s="100">
        <v>60.31</v>
      </c>
      <c r="N16" s="100">
        <v>1.6</v>
      </c>
      <c r="O16" s="100">
        <v>0</v>
      </c>
      <c r="P16" s="100">
        <v>0.33</v>
      </c>
      <c r="Q16" s="100">
        <v>28</v>
      </c>
      <c r="R16" s="6"/>
      <c r="S16" s="6"/>
      <c r="T16" s="156"/>
      <c r="U16" s="6"/>
    </row>
    <row r="17" spans="1:21" customFormat="1">
      <c r="A17" s="163" t="s">
        <v>344</v>
      </c>
      <c r="B17" s="100">
        <v>4.18</v>
      </c>
      <c r="C17" s="100">
        <v>7.31</v>
      </c>
      <c r="D17" s="100">
        <v>4.9800000000000004</v>
      </c>
      <c r="E17" s="100">
        <v>6.86</v>
      </c>
      <c r="F17" s="100">
        <v>3.27</v>
      </c>
      <c r="G17" s="100">
        <v>57.97</v>
      </c>
      <c r="H17" s="100">
        <v>21.64</v>
      </c>
      <c r="I17" s="100">
        <v>4.87</v>
      </c>
      <c r="J17" s="100">
        <v>0.27</v>
      </c>
      <c r="K17" s="100">
        <v>241.63</v>
      </c>
      <c r="L17" s="100">
        <v>27.03</v>
      </c>
      <c r="M17" s="100">
        <v>61.1</v>
      </c>
      <c r="N17" s="100">
        <v>1.6</v>
      </c>
      <c r="O17" s="100">
        <v>0</v>
      </c>
      <c r="P17" s="100">
        <v>0.32</v>
      </c>
      <c r="Q17" s="100">
        <v>28</v>
      </c>
      <c r="R17" s="6"/>
      <c r="S17" s="6"/>
      <c r="T17" s="156"/>
      <c r="U17" s="6"/>
    </row>
    <row r="18" spans="1:21" customFormat="1">
      <c r="A18" s="163" t="s">
        <v>345</v>
      </c>
      <c r="B18" s="100">
        <v>4.2</v>
      </c>
      <c r="C18" s="100">
        <v>7.19</v>
      </c>
      <c r="D18" s="100">
        <v>4.74</v>
      </c>
      <c r="E18" s="100">
        <v>7.69</v>
      </c>
      <c r="F18" s="100">
        <v>2.89</v>
      </c>
      <c r="G18" s="100">
        <v>57.97</v>
      </c>
      <c r="H18" s="100">
        <v>21.64</v>
      </c>
      <c r="I18" s="100">
        <v>4.82</v>
      </c>
      <c r="J18" s="100">
        <v>0.18</v>
      </c>
      <c r="K18" s="100">
        <v>231.83</v>
      </c>
      <c r="L18" s="100">
        <v>26.77</v>
      </c>
      <c r="M18" s="100">
        <v>63</v>
      </c>
      <c r="N18" s="100">
        <v>1.7</v>
      </c>
      <c r="O18" s="100">
        <v>0</v>
      </c>
      <c r="P18" s="100">
        <v>0.33</v>
      </c>
      <c r="Q18" s="100">
        <v>28</v>
      </c>
      <c r="R18" s="6"/>
      <c r="S18" s="6"/>
      <c r="T18" s="156"/>
      <c r="U18" s="6"/>
    </row>
    <row r="19" spans="1:21" customFormat="1">
      <c r="A19" s="163" t="s">
        <v>346</v>
      </c>
      <c r="B19" s="100">
        <v>4.33</v>
      </c>
      <c r="C19" s="100">
        <v>7.11</v>
      </c>
      <c r="D19" s="100">
        <v>4.38</v>
      </c>
      <c r="E19" s="100">
        <v>7.87</v>
      </c>
      <c r="F19" s="100">
        <v>2.65</v>
      </c>
      <c r="G19" s="100">
        <v>57.97</v>
      </c>
      <c r="H19" s="100">
        <v>21.64</v>
      </c>
      <c r="I19" s="100">
        <v>4.82</v>
      </c>
      <c r="J19" s="100">
        <v>0.17</v>
      </c>
      <c r="K19" s="100">
        <v>213.86</v>
      </c>
      <c r="L19" s="100">
        <v>26.52</v>
      </c>
      <c r="M19" s="100">
        <v>64.319999999999993</v>
      </c>
      <c r="N19" s="100">
        <v>1.7</v>
      </c>
      <c r="O19" s="100">
        <v>0</v>
      </c>
      <c r="P19" s="100">
        <v>0.34</v>
      </c>
      <c r="Q19" s="100">
        <v>28</v>
      </c>
      <c r="R19" s="6"/>
      <c r="S19" s="6"/>
      <c r="T19" s="156"/>
      <c r="U19" s="6"/>
    </row>
    <row r="20" spans="1:21" customFormat="1">
      <c r="A20" s="163" t="s">
        <v>347</v>
      </c>
      <c r="B20" s="100">
        <v>4.45</v>
      </c>
      <c r="C20" s="100">
        <v>6.84</v>
      </c>
      <c r="D20" s="100">
        <v>3.69</v>
      </c>
      <c r="E20" s="100">
        <v>7.23</v>
      </c>
      <c r="F20" s="100">
        <v>5.09</v>
      </c>
      <c r="G20" s="100">
        <v>52.95</v>
      </c>
      <c r="H20" s="100">
        <v>22.84</v>
      </c>
      <c r="I20" s="100">
        <v>4.72</v>
      </c>
      <c r="J20" s="100">
        <v>0.26</v>
      </c>
      <c r="K20" s="100">
        <v>222.03</v>
      </c>
      <c r="L20" s="100">
        <v>26.43</v>
      </c>
      <c r="M20" s="100">
        <v>64.55</v>
      </c>
      <c r="N20" s="100">
        <v>1.4</v>
      </c>
      <c r="O20" s="100">
        <v>0</v>
      </c>
      <c r="P20" s="100">
        <v>0.35</v>
      </c>
      <c r="Q20" s="100">
        <v>28</v>
      </c>
      <c r="R20" s="6"/>
      <c r="S20" s="6"/>
      <c r="T20" s="156"/>
      <c r="U20" s="6"/>
    </row>
    <row r="21" spans="1:21" customFormat="1">
      <c r="A21" s="163" t="s">
        <v>348</v>
      </c>
      <c r="B21" s="100">
        <v>4.6399999999999997</v>
      </c>
      <c r="C21" s="100">
        <v>6.97</v>
      </c>
      <c r="D21" s="100">
        <v>3.63</v>
      </c>
      <c r="E21" s="100">
        <v>7.26</v>
      </c>
      <c r="F21" s="100">
        <v>2.14</v>
      </c>
      <c r="G21" s="100">
        <v>52.32</v>
      </c>
      <c r="H21" s="100">
        <v>22.84</v>
      </c>
      <c r="I21" s="100">
        <v>4.72</v>
      </c>
      <c r="J21" s="100">
        <v>0.39</v>
      </c>
      <c r="K21" s="100">
        <v>249.64</v>
      </c>
      <c r="L21" s="100">
        <v>26.48</v>
      </c>
      <c r="M21" s="100">
        <v>64.28</v>
      </c>
      <c r="N21" s="100">
        <v>1.2</v>
      </c>
      <c r="O21" s="100">
        <v>0</v>
      </c>
      <c r="P21" s="100">
        <v>0.35</v>
      </c>
      <c r="Q21" s="100">
        <v>28</v>
      </c>
      <c r="R21" s="6"/>
      <c r="S21" s="6"/>
      <c r="T21" s="156"/>
      <c r="U21" s="6"/>
    </row>
    <row r="22" spans="1:21" customFormat="1">
      <c r="A22" s="163" t="s">
        <v>349</v>
      </c>
      <c r="B22" s="100">
        <v>4.7699999999999996</v>
      </c>
      <c r="C22" s="100">
        <v>6.88</v>
      </c>
      <c r="D22" s="100">
        <v>3.26</v>
      </c>
      <c r="E22" s="100">
        <v>7.06</v>
      </c>
      <c r="F22" s="100">
        <v>2.77</v>
      </c>
      <c r="G22" s="100">
        <v>52.32</v>
      </c>
      <c r="H22" s="100">
        <v>22.84</v>
      </c>
      <c r="I22" s="100">
        <v>4.76</v>
      </c>
      <c r="J22" s="100">
        <v>0.35</v>
      </c>
      <c r="K22" s="100">
        <v>249.83</v>
      </c>
      <c r="L22" s="100">
        <v>26.56</v>
      </c>
      <c r="M22" s="100">
        <v>64.790000000000006</v>
      </c>
      <c r="N22" s="100">
        <v>1.4</v>
      </c>
      <c r="O22" s="100">
        <v>0</v>
      </c>
      <c r="P22" s="100">
        <v>0.34</v>
      </c>
      <c r="Q22" s="100">
        <v>28</v>
      </c>
      <c r="R22" s="6"/>
      <c r="S22" s="6"/>
      <c r="T22" s="156"/>
      <c r="U22" s="6"/>
    </row>
    <row r="23" spans="1:21" customFormat="1">
      <c r="A23" s="163" t="s">
        <v>350</v>
      </c>
      <c r="B23" s="100">
        <v>4.84</v>
      </c>
      <c r="C23" s="100">
        <v>7.03</v>
      </c>
      <c r="D23" s="100">
        <v>3.44</v>
      </c>
      <c r="E23" s="100">
        <v>7.16</v>
      </c>
      <c r="F23" s="100">
        <v>2.31</v>
      </c>
      <c r="G23" s="100">
        <v>52.32</v>
      </c>
      <c r="H23" s="100">
        <v>22.84</v>
      </c>
      <c r="I23" s="100">
        <v>4.91</v>
      </c>
      <c r="J23" s="100">
        <v>0.47</v>
      </c>
      <c r="K23" s="100">
        <v>250.29</v>
      </c>
      <c r="L23" s="100">
        <v>26.61</v>
      </c>
      <c r="M23" s="100">
        <v>65.39</v>
      </c>
      <c r="N23" s="100">
        <v>1.2</v>
      </c>
      <c r="O23" s="100">
        <v>0</v>
      </c>
      <c r="P23" s="100">
        <v>0.36</v>
      </c>
      <c r="Q23" s="100">
        <v>28</v>
      </c>
      <c r="R23" s="6"/>
      <c r="S23" s="6"/>
      <c r="T23" s="156"/>
      <c r="U23" s="6"/>
    </row>
    <row r="24" spans="1:21" customFormat="1">
      <c r="A24" s="163" t="s">
        <v>351</v>
      </c>
      <c r="B24" s="100">
        <v>4.9400000000000004</v>
      </c>
      <c r="C24" s="100">
        <v>7.01</v>
      </c>
      <c r="D24" s="100">
        <v>3.26</v>
      </c>
      <c r="E24" s="100">
        <v>7.14</v>
      </c>
      <c r="F24" s="100">
        <v>2.88</v>
      </c>
      <c r="G24" s="100">
        <v>49.51</v>
      </c>
      <c r="H24" s="100">
        <v>23.2</v>
      </c>
      <c r="I24" s="100">
        <v>4.84</v>
      </c>
      <c r="J24" s="100">
        <v>0.53</v>
      </c>
      <c r="K24" s="100">
        <v>250.68</v>
      </c>
      <c r="L24" s="100">
        <v>26.6</v>
      </c>
      <c r="M24" s="100">
        <v>66.33</v>
      </c>
      <c r="N24" s="100">
        <v>1.4</v>
      </c>
      <c r="O24" s="100">
        <v>0</v>
      </c>
      <c r="P24" s="100">
        <v>0.36</v>
      </c>
      <c r="Q24" s="100">
        <v>28</v>
      </c>
      <c r="R24" s="6"/>
      <c r="S24" s="6"/>
      <c r="T24" s="156"/>
      <c r="U24" s="6"/>
    </row>
    <row r="25" spans="1:21" customFormat="1">
      <c r="A25" s="163" t="s">
        <v>352</v>
      </c>
      <c r="B25" s="100">
        <v>5.0199999999999996</v>
      </c>
      <c r="C25" s="100">
        <v>7.15</v>
      </c>
      <c r="D25" s="100">
        <v>3.38</v>
      </c>
      <c r="E25" s="100">
        <v>7.28</v>
      </c>
      <c r="F25" s="100">
        <v>2.12</v>
      </c>
      <c r="G25" s="100">
        <v>49.16</v>
      </c>
      <c r="H25" s="100">
        <v>23.2</v>
      </c>
      <c r="I25" s="100">
        <v>5.0199999999999996</v>
      </c>
      <c r="J25" s="100">
        <v>0.44</v>
      </c>
      <c r="K25" s="100">
        <v>246.02</v>
      </c>
      <c r="L25" s="100">
        <v>26.62</v>
      </c>
      <c r="M25" s="100">
        <v>66.92</v>
      </c>
      <c r="N25" s="100">
        <v>1.5</v>
      </c>
      <c r="O25" s="100">
        <v>0</v>
      </c>
      <c r="P25" s="100">
        <v>0.35</v>
      </c>
      <c r="Q25" s="100">
        <v>28</v>
      </c>
      <c r="R25" s="6"/>
      <c r="S25" s="6"/>
      <c r="T25" s="156"/>
      <c r="U25" s="6"/>
    </row>
    <row r="26" spans="1:21" customFormat="1">
      <c r="A26" s="163" t="s">
        <v>353</v>
      </c>
      <c r="B26" s="100">
        <v>5.0599999999999996</v>
      </c>
      <c r="C26" s="100">
        <v>7.04</v>
      </c>
      <c r="D26" s="100">
        <v>3.11</v>
      </c>
      <c r="E26" s="100">
        <v>7.05</v>
      </c>
      <c r="F26" s="100">
        <v>2.6</v>
      </c>
      <c r="G26" s="100">
        <v>49.16</v>
      </c>
      <c r="H26" s="100">
        <v>23.2</v>
      </c>
      <c r="I26" s="100">
        <v>4.8899999999999997</v>
      </c>
      <c r="J26" s="100">
        <v>0.34</v>
      </c>
      <c r="K26" s="100">
        <v>247.38</v>
      </c>
      <c r="L26" s="100">
        <v>26.47</v>
      </c>
      <c r="M26" s="100">
        <v>67.55</v>
      </c>
      <c r="N26" s="100">
        <v>1.7</v>
      </c>
      <c r="O26" s="100">
        <v>0</v>
      </c>
      <c r="P26" s="100">
        <v>0.34</v>
      </c>
      <c r="Q26" s="100">
        <v>28</v>
      </c>
      <c r="R26" s="6"/>
      <c r="S26" s="6"/>
      <c r="T26" s="156"/>
      <c r="U26" s="6"/>
    </row>
    <row r="27" spans="1:21" customFormat="1">
      <c r="A27" s="163" t="s">
        <v>354</v>
      </c>
      <c r="B27" s="100">
        <v>5.0599999999999996</v>
      </c>
      <c r="C27" s="100">
        <v>7.19</v>
      </c>
      <c r="D27" s="100">
        <v>3.41</v>
      </c>
      <c r="E27" s="100">
        <v>6.76</v>
      </c>
      <c r="F27" s="100">
        <v>2.39</v>
      </c>
      <c r="G27" s="100">
        <v>49.16</v>
      </c>
      <c r="H27" s="100">
        <v>23.2</v>
      </c>
      <c r="I27" s="100">
        <v>5</v>
      </c>
      <c r="J27" s="100">
        <v>0.21</v>
      </c>
      <c r="K27" s="100">
        <v>223.88</v>
      </c>
      <c r="L27" s="100">
        <v>26.23</v>
      </c>
      <c r="M27" s="100">
        <v>69.61</v>
      </c>
      <c r="N27" s="100">
        <v>1.9</v>
      </c>
      <c r="O27" s="100">
        <v>0</v>
      </c>
      <c r="P27" s="100">
        <v>0.36</v>
      </c>
      <c r="Q27" s="100">
        <v>28</v>
      </c>
      <c r="R27" s="6"/>
      <c r="S27" s="6"/>
      <c r="T27" s="156"/>
      <c r="U27" s="6"/>
    </row>
    <row r="28" spans="1:21" customFormat="1">
      <c r="A28" s="163" t="s">
        <v>355</v>
      </c>
      <c r="B28" s="100">
        <v>5.1100000000000003</v>
      </c>
      <c r="C28" s="100">
        <v>7.16</v>
      </c>
      <c r="D28" s="100">
        <v>3.28</v>
      </c>
      <c r="E28" s="100">
        <v>6.81</v>
      </c>
      <c r="F28" s="100">
        <v>4.13</v>
      </c>
      <c r="G28" s="100">
        <v>48.45</v>
      </c>
      <c r="H28" s="100">
        <v>20.74</v>
      </c>
      <c r="I28" s="100">
        <v>4.93</v>
      </c>
      <c r="J28" s="100">
        <v>0.19</v>
      </c>
      <c r="K28" s="100">
        <v>207.24</v>
      </c>
      <c r="L28" s="100">
        <v>25.8</v>
      </c>
      <c r="M28" s="100">
        <v>72.33</v>
      </c>
      <c r="N28" s="100">
        <v>2</v>
      </c>
      <c r="O28" s="100">
        <v>0</v>
      </c>
      <c r="P28" s="100">
        <v>0.34</v>
      </c>
      <c r="Q28" s="100">
        <v>28</v>
      </c>
      <c r="R28" s="6"/>
      <c r="S28" s="6"/>
      <c r="T28" s="156"/>
      <c r="U28" s="6"/>
    </row>
    <row r="29" spans="1:21" customFormat="1">
      <c r="A29" s="163" t="s">
        <v>356</v>
      </c>
      <c r="B29" s="100">
        <v>5.29</v>
      </c>
      <c r="C29" s="100">
        <v>7.38</v>
      </c>
      <c r="D29" s="100">
        <v>3.41</v>
      </c>
      <c r="E29" s="100">
        <v>7.29</v>
      </c>
      <c r="F29" s="100">
        <v>2.25</v>
      </c>
      <c r="G29" s="100">
        <v>48.36</v>
      </c>
      <c r="H29" s="100">
        <v>20.74</v>
      </c>
      <c r="I29" s="100">
        <v>5.08</v>
      </c>
      <c r="J29" s="100">
        <v>0.19</v>
      </c>
      <c r="K29" s="100">
        <v>209.42</v>
      </c>
      <c r="L29" s="100">
        <v>25.52</v>
      </c>
      <c r="M29" s="100">
        <v>74.849999999999994</v>
      </c>
      <c r="N29" s="100">
        <v>2.2999999999999998</v>
      </c>
      <c r="O29" s="100">
        <v>0</v>
      </c>
      <c r="P29" s="100">
        <v>0.35</v>
      </c>
      <c r="Q29" s="100">
        <v>28</v>
      </c>
      <c r="R29" s="6"/>
      <c r="S29" s="6"/>
      <c r="T29" s="156"/>
      <c r="U29" s="6"/>
    </row>
    <row r="30" spans="1:21" customFormat="1">
      <c r="A30" s="163" t="s">
        <v>357</v>
      </c>
      <c r="B30" s="100">
        <v>5.45</v>
      </c>
      <c r="C30" s="100">
        <v>7.34</v>
      </c>
      <c r="D30" s="100">
        <v>3.1</v>
      </c>
      <c r="E30" s="100">
        <v>6.82</v>
      </c>
      <c r="F30" s="100">
        <v>2.11</v>
      </c>
      <c r="G30" s="100">
        <v>48.36</v>
      </c>
      <c r="H30" s="100">
        <v>20.74</v>
      </c>
      <c r="I30" s="100">
        <v>4.96</v>
      </c>
      <c r="J30" s="100">
        <v>0.16</v>
      </c>
      <c r="K30" s="100">
        <v>210.07</v>
      </c>
      <c r="L30" s="100">
        <v>25.49</v>
      </c>
      <c r="M30" s="100">
        <v>71.92</v>
      </c>
      <c r="N30" s="100">
        <v>5.7</v>
      </c>
      <c r="O30" s="100">
        <v>0</v>
      </c>
      <c r="P30" s="100">
        <v>0.34</v>
      </c>
      <c r="Q30" s="100">
        <v>28</v>
      </c>
      <c r="R30" s="6"/>
      <c r="S30" s="6"/>
      <c r="T30" s="156"/>
      <c r="U30" s="6"/>
    </row>
    <row r="31" spans="1:21" customFormat="1">
      <c r="A31" s="163" t="s">
        <v>358</v>
      </c>
      <c r="B31" s="100">
        <v>5.5</v>
      </c>
      <c r="C31" s="100">
        <v>7.5</v>
      </c>
      <c r="D31" s="100">
        <v>3.32</v>
      </c>
      <c r="E31" s="100">
        <v>6.98</v>
      </c>
      <c r="F31" s="100">
        <v>2.11</v>
      </c>
      <c r="G31" s="100">
        <v>48.36</v>
      </c>
      <c r="H31" s="100">
        <v>20.74</v>
      </c>
      <c r="I31" s="100">
        <v>4.95</v>
      </c>
      <c r="J31" s="100">
        <v>0.11</v>
      </c>
      <c r="K31" s="100">
        <v>185.09</v>
      </c>
      <c r="L31" s="100">
        <v>25.32</v>
      </c>
      <c r="M31" s="100">
        <v>72.2</v>
      </c>
      <c r="N31" s="100">
        <v>14.6</v>
      </c>
      <c r="O31" s="100">
        <v>0</v>
      </c>
      <c r="P31" s="100">
        <v>0.36</v>
      </c>
      <c r="Q31" s="100">
        <v>28</v>
      </c>
      <c r="R31" s="6"/>
      <c r="S31" s="6"/>
      <c r="T31" s="156"/>
      <c r="U31" s="6"/>
    </row>
    <row r="32" spans="1:21" customFormat="1">
      <c r="A32" s="163" t="s">
        <v>359</v>
      </c>
      <c r="B32" s="100">
        <v>5.61</v>
      </c>
      <c r="C32" s="100">
        <v>7.52</v>
      </c>
      <c r="D32" s="100">
        <v>3.2</v>
      </c>
      <c r="E32" s="100">
        <v>6.92</v>
      </c>
      <c r="F32" s="100">
        <v>2.1</v>
      </c>
      <c r="G32" s="100">
        <v>44.92</v>
      </c>
      <c r="H32" s="100">
        <v>19.7</v>
      </c>
      <c r="I32" s="100">
        <v>4.9000000000000004</v>
      </c>
      <c r="J32" s="100">
        <v>0.13</v>
      </c>
      <c r="K32" s="100">
        <v>153.69999999999999</v>
      </c>
      <c r="L32" s="100">
        <v>25.33</v>
      </c>
      <c r="M32" s="100">
        <v>74.45</v>
      </c>
      <c r="N32" s="100">
        <v>26.3</v>
      </c>
      <c r="O32" s="100">
        <v>0</v>
      </c>
      <c r="P32" s="100">
        <v>0.36</v>
      </c>
      <c r="Q32" s="100">
        <v>28</v>
      </c>
      <c r="R32" s="6"/>
      <c r="S32" s="6"/>
      <c r="T32" s="156"/>
      <c r="U32" s="6"/>
    </row>
    <row r="33" spans="1:21" customFormat="1">
      <c r="A33" s="163" t="s">
        <v>360</v>
      </c>
      <c r="B33" s="100">
        <v>5.79</v>
      </c>
      <c r="C33" s="100">
        <v>7.79</v>
      </c>
      <c r="D33" s="100">
        <v>3.43</v>
      </c>
      <c r="E33" s="100">
        <v>6.86</v>
      </c>
      <c r="F33" s="100">
        <v>2.1</v>
      </c>
      <c r="G33" s="100">
        <v>44.49</v>
      </c>
      <c r="H33" s="100">
        <v>19.7</v>
      </c>
      <c r="I33" s="100">
        <v>5.18</v>
      </c>
      <c r="J33" s="100">
        <v>0.14000000000000001</v>
      </c>
      <c r="K33" s="100">
        <v>160.63</v>
      </c>
      <c r="L33" s="100">
        <v>25.47</v>
      </c>
      <c r="M33" s="100">
        <v>75.930000000000007</v>
      </c>
      <c r="N33" s="100">
        <v>40.5</v>
      </c>
      <c r="O33" s="100">
        <v>0</v>
      </c>
      <c r="P33" s="100">
        <v>0.36</v>
      </c>
      <c r="Q33" s="100">
        <v>28</v>
      </c>
      <c r="R33" s="6"/>
      <c r="S33" s="6"/>
      <c r="T33" s="156"/>
      <c r="U33" s="6"/>
    </row>
    <row r="34" spans="1:21" customFormat="1">
      <c r="A34" s="163" t="s">
        <v>361</v>
      </c>
      <c r="B34" s="100">
        <v>5.94</v>
      </c>
      <c r="C34" s="100">
        <v>7.7</v>
      </c>
      <c r="D34" s="100">
        <v>3.04</v>
      </c>
      <c r="E34" s="100">
        <v>6.72</v>
      </c>
      <c r="F34" s="100">
        <v>2.1</v>
      </c>
      <c r="G34" s="100">
        <v>44.49</v>
      </c>
      <c r="H34" s="100">
        <v>19.7</v>
      </c>
      <c r="I34" s="100">
        <v>4.95</v>
      </c>
      <c r="J34" s="100">
        <v>0.16</v>
      </c>
      <c r="K34" s="100">
        <v>184.8</v>
      </c>
      <c r="L34" s="100">
        <v>25.82</v>
      </c>
      <c r="M34" s="100">
        <v>75.930000000000007</v>
      </c>
      <c r="N34" s="100">
        <v>53.1</v>
      </c>
      <c r="O34" s="100">
        <v>0</v>
      </c>
      <c r="P34" s="100">
        <v>0.35</v>
      </c>
      <c r="Q34" s="100">
        <v>28</v>
      </c>
      <c r="R34" s="6"/>
      <c r="S34" s="6"/>
      <c r="T34" s="156"/>
      <c r="U34" s="6"/>
    </row>
    <row r="35" spans="1:21" customFormat="1">
      <c r="A35" s="163" t="s">
        <v>362</v>
      </c>
      <c r="B35" s="100">
        <v>6</v>
      </c>
      <c r="C35" s="100">
        <v>7.94</v>
      </c>
      <c r="D35" s="100">
        <v>3.4</v>
      </c>
      <c r="E35" s="100">
        <v>7.07</v>
      </c>
      <c r="F35" s="100">
        <v>2.1</v>
      </c>
      <c r="G35" s="100">
        <v>44.49</v>
      </c>
      <c r="H35" s="100">
        <v>19.7</v>
      </c>
      <c r="I35" s="100">
        <v>5.05</v>
      </c>
      <c r="J35" s="100">
        <v>0.19</v>
      </c>
      <c r="K35" s="100">
        <v>222.87</v>
      </c>
      <c r="L35" s="100">
        <v>26.36</v>
      </c>
      <c r="M35" s="100">
        <v>73.98</v>
      </c>
      <c r="N35" s="100">
        <v>64.8</v>
      </c>
      <c r="O35" s="100">
        <v>0</v>
      </c>
      <c r="P35" s="100">
        <v>0.36</v>
      </c>
      <c r="Q35" s="100">
        <v>28</v>
      </c>
      <c r="R35" s="6"/>
      <c r="S35" s="6"/>
      <c r="T35" s="156"/>
      <c r="U35" s="6"/>
    </row>
    <row r="36" spans="1:21" customFormat="1">
      <c r="A36" s="163" t="s">
        <v>363</v>
      </c>
      <c r="B36" s="100">
        <v>6.05</v>
      </c>
      <c r="C36" s="100">
        <v>7.93</v>
      </c>
      <c r="D36" s="100">
        <v>3.3</v>
      </c>
      <c r="E36" s="100">
        <v>6.89</v>
      </c>
      <c r="F36" s="100">
        <v>2.12</v>
      </c>
      <c r="G36" s="100">
        <v>45.28</v>
      </c>
      <c r="H36" s="100">
        <v>17.98</v>
      </c>
      <c r="I36" s="100">
        <v>5.0199999999999996</v>
      </c>
      <c r="J36" s="100">
        <v>0.51</v>
      </c>
      <c r="K36" s="100">
        <v>252.58</v>
      </c>
      <c r="L36" s="100">
        <v>27</v>
      </c>
      <c r="M36" s="100">
        <v>69.97</v>
      </c>
      <c r="N36" s="100">
        <v>75.8</v>
      </c>
      <c r="O36" s="100">
        <v>0</v>
      </c>
      <c r="P36" s="100">
        <v>0.37</v>
      </c>
      <c r="Q36" s="100">
        <v>28</v>
      </c>
      <c r="R36" s="6"/>
      <c r="S36" s="6"/>
      <c r="T36" s="156"/>
      <c r="U36" s="6"/>
    </row>
    <row r="37" spans="1:21" customFormat="1">
      <c r="A37" s="163" t="s">
        <v>364</v>
      </c>
      <c r="B37" s="100">
        <v>6.06</v>
      </c>
      <c r="C37" s="100">
        <v>8.2899999999999991</v>
      </c>
      <c r="D37" s="100">
        <v>3.98</v>
      </c>
      <c r="E37" s="100">
        <v>7.21</v>
      </c>
      <c r="F37" s="100">
        <v>2.1</v>
      </c>
      <c r="G37" s="100">
        <v>45.38</v>
      </c>
      <c r="H37" s="100">
        <v>17.98</v>
      </c>
      <c r="I37" s="100">
        <v>5.13</v>
      </c>
      <c r="J37" s="100">
        <v>0.71</v>
      </c>
      <c r="K37" s="100">
        <v>245.96</v>
      </c>
      <c r="L37" s="100">
        <v>27.9</v>
      </c>
      <c r="M37" s="100">
        <v>64.989999999999995</v>
      </c>
      <c r="N37" s="100">
        <v>86.3</v>
      </c>
      <c r="O37" s="100">
        <v>0</v>
      </c>
      <c r="P37" s="100">
        <v>0.35</v>
      </c>
      <c r="Q37" s="100">
        <v>28</v>
      </c>
      <c r="R37" s="6"/>
      <c r="S37" s="6"/>
      <c r="T37" s="156"/>
      <c r="U37" s="6"/>
    </row>
    <row r="38" spans="1:21" customFormat="1">
      <c r="A38" s="163" t="s">
        <v>365</v>
      </c>
      <c r="B38" s="100">
        <v>5.79</v>
      </c>
      <c r="C38" s="100">
        <v>8.44</v>
      </c>
      <c r="D38" s="100">
        <v>4.68</v>
      </c>
      <c r="E38" s="100">
        <v>7.22</v>
      </c>
      <c r="F38" s="100">
        <v>2.1</v>
      </c>
      <c r="G38" s="100">
        <v>45.38</v>
      </c>
      <c r="H38" s="100">
        <v>17.98</v>
      </c>
      <c r="I38" s="100">
        <v>5.15</v>
      </c>
      <c r="J38" s="100">
        <v>0.48</v>
      </c>
      <c r="K38" s="100">
        <v>243.52</v>
      </c>
      <c r="L38" s="100">
        <v>28.72</v>
      </c>
      <c r="M38" s="100">
        <v>63.42</v>
      </c>
      <c r="N38" s="100">
        <v>95.6</v>
      </c>
      <c r="O38" s="100">
        <v>0</v>
      </c>
      <c r="P38" s="100">
        <v>0.33</v>
      </c>
      <c r="Q38" s="100">
        <v>28</v>
      </c>
      <c r="R38" s="6"/>
      <c r="S38" s="6"/>
      <c r="T38" s="156"/>
      <c r="U38" s="6"/>
    </row>
    <row r="39" spans="1:21" customFormat="1">
      <c r="A39" s="163" t="s">
        <v>366</v>
      </c>
      <c r="B39" s="100">
        <v>5.39</v>
      </c>
      <c r="C39" s="100">
        <v>8.2899999999999991</v>
      </c>
      <c r="D39" s="100">
        <v>5</v>
      </c>
      <c r="E39" s="100">
        <v>6.3</v>
      </c>
      <c r="F39" s="100">
        <v>2.35</v>
      </c>
      <c r="G39" s="100">
        <v>45.38</v>
      </c>
      <c r="H39" s="100">
        <v>17.98</v>
      </c>
      <c r="I39" s="100">
        <v>5.17</v>
      </c>
      <c r="J39" s="100">
        <v>0.72</v>
      </c>
      <c r="K39" s="100">
        <v>251.64</v>
      </c>
      <c r="L39" s="100">
        <v>29.31</v>
      </c>
      <c r="M39" s="100">
        <v>62.26</v>
      </c>
      <c r="N39" s="100">
        <v>104</v>
      </c>
      <c r="O39" s="100">
        <v>0</v>
      </c>
      <c r="P39" s="100">
        <v>0.32</v>
      </c>
      <c r="Q39" s="100">
        <v>28</v>
      </c>
      <c r="R39" s="6"/>
      <c r="S39" s="6"/>
      <c r="T39" s="156"/>
      <c r="U39" s="6"/>
    </row>
    <row r="40" spans="1:21" customFormat="1">
      <c r="A40" s="163" t="s">
        <v>367</v>
      </c>
      <c r="B40" s="100">
        <v>5.0199999999999996</v>
      </c>
      <c r="C40" s="100">
        <v>8.09</v>
      </c>
      <c r="D40" s="100">
        <v>5.19</v>
      </c>
      <c r="E40" s="100">
        <v>6.99</v>
      </c>
      <c r="F40" s="100">
        <v>2.4</v>
      </c>
      <c r="G40" s="100">
        <v>40.479999999999997</v>
      </c>
      <c r="H40" s="100">
        <v>17.23</v>
      </c>
      <c r="I40" s="100">
        <v>5.15</v>
      </c>
      <c r="J40" s="100">
        <v>0.73</v>
      </c>
      <c r="K40" s="100">
        <v>244.51</v>
      </c>
      <c r="L40" s="100">
        <v>29.91</v>
      </c>
      <c r="M40" s="100">
        <v>60.95</v>
      </c>
      <c r="N40" s="100">
        <v>112.1</v>
      </c>
      <c r="O40" s="100">
        <v>0</v>
      </c>
      <c r="P40" s="100">
        <v>0.32</v>
      </c>
      <c r="Q40" s="100">
        <v>28</v>
      </c>
      <c r="R40" s="6"/>
      <c r="S40" s="6"/>
      <c r="T40" s="156"/>
      <c r="U40" s="6"/>
    </row>
    <row r="41" spans="1:21" customFormat="1">
      <c r="A41" s="163" t="s">
        <v>368</v>
      </c>
      <c r="B41" s="100">
        <v>4.67</v>
      </c>
      <c r="C41" s="100">
        <v>7.89</v>
      </c>
      <c r="D41" s="100">
        <v>5.35</v>
      </c>
      <c r="E41" s="100">
        <v>6.78</v>
      </c>
      <c r="F41" s="100">
        <v>2.36</v>
      </c>
      <c r="G41" s="100">
        <v>39.86</v>
      </c>
      <c r="H41" s="100">
        <v>17.23</v>
      </c>
      <c r="I41" s="100">
        <v>5.15</v>
      </c>
      <c r="J41" s="100">
        <v>0.74</v>
      </c>
      <c r="K41" s="100">
        <v>253.81</v>
      </c>
      <c r="L41" s="100">
        <v>30.31</v>
      </c>
      <c r="M41" s="100">
        <v>60.24</v>
      </c>
      <c r="N41" s="100">
        <v>120.2</v>
      </c>
      <c r="O41" s="100">
        <v>0</v>
      </c>
      <c r="P41" s="100">
        <v>0.32</v>
      </c>
      <c r="Q41" s="100">
        <v>28</v>
      </c>
      <c r="R41" s="6"/>
      <c r="S41" s="6"/>
      <c r="T41" s="156"/>
      <c r="U41" s="6"/>
    </row>
    <row r="42" spans="1:21" customFormat="1">
      <c r="A42" s="163" t="s">
        <v>369</v>
      </c>
      <c r="B42" s="100">
        <v>4.4000000000000004</v>
      </c>
      <c r="C42" s="100">
        <v>7.62</v>
      </c>
      <c r="D42" s="100">
        <v>5.25</v>
      </c>
      <c r="E42" s="100">
        <v>6.99</v>
      </c>
      <c r="F42" s="100">
        <v>2.37</v>
      </c>
      <c r="G42" s="100">
        <v>39.86</v>
      </c>
      <c r="H42" s="100">
        <v>17.23</v>
      </c>
      <c r="I42" s="100">
        <v>5.1100000000000003</v>
      </c>
      <c r="J42" s="100">
        <v>0.77</v>
      </c>
      <c r="K42" s="100">
        <v>251.29</v>
      </c>
      <c r="L42" s="100">
        <v>31.03</v>
      </c>
      <c r="M42" s="100">
        <v>59.04</v>
      </c>
      <c r="N42" s="100">
        <v>128.6</v>
      </c>
      <c r="O42" s="100">
        <v>0</v>
      </c>
      <c r="P42" s="100">
        <v>0.32</v>
      </c>
      <c r="Q42" s="100">
        <v>28</v>
      </c>
      <c r="R42" s="6"/>
      <c r="S42" s="6"/>
      <c r="T42" s="156"/>
      <c r="U42" s="6"/>
    </row>
    <row r="43" spans="1:21" customFormat="1">
      <c r="A43" s="163" t="s">
        <v>370</v>
      </c>
      <c r="B43" s="100">
        <v>4.2</v>
      </c>
      <c r="C43" s="100">
        <v>7.43</v>
      </c>
      <c r="D43" s="100">
        <v>5.19</v>
      </c>
      <c r="E43" s="100">
        <v>6.8</v>
      </c>
      <c r="F43" s="100">
        <v>2.92</v>
      </c>
      <c r="G43" s="100">
        <v>39.86</v>
      </c>
      <c r="H43" s="100">
        <v>17.23</v>
      </c>
      <c r="I43" s="100">
        <v>5.24</v>
      </c>
      <c r="J43" s="100">
        <v>1.1000000000000001</v>
      </c>
      <c r="K43" s="100">
        <v>255.31</v>
      </c>
      <c r="L43" s="100">
        <v>31.35</v>
      </c>
      <c r="M43" s="100">
        <v>57.37</v>
      </c>
      <c r="N43" s="100">
        <v>135.69999999999999</v>
      </c>
      <c r="O43" s="100">
        <v>0</v>
      </c>
      <c r="P43" s="100">
        <v>0.31</v>
      </c>
      <c r="Q43" s="100">
        <v>28</v>
      </c>
      <c r="R43" s="6"/>
      <c r="S43" s="6"/>
      <c r="T43" s="156"/>
      <c r="U43" s="6"/>
    </row>
    <row r="44" spans="1:21" customFormat="1">
      <c r="A44" s="163" t="s">
        <v>371</v>
      </c>
      <c r="B44" s="100">
        <v>4.03</v>
      </c>
      <c r="C44" s="100">
        <v>7.33</v>
      </c>
      <c r="D44" s="100">
        <v>5.25</v>
      </c>
      <c r="E44" s="100">
        <v>6.84</v>
      </c>
      <c r="F44" s="100">
        <v>3.34</v>
      </c>
      <c r="G44" s="100">
        <v>40.78</v>
      </c>
      <c r="H44" s="100">
        <v>20.99</v>
      </c>
      <c r="I44" s="100">
        <v>5.1100000000000003</v>
      </c>
      <c r="J44" s="100">
        <v>1.08</v>
      </c>
      <c r="K44" s="100">
        <v>250.97</v>
      </c>
      <c r="L44" s="100">
        <v>31.7</v>
      </c>
      <c r="M44" s="100">
        <v>56.23</v>
      </c>
      <c r="N44" s="100">
        <v>139.5</v>
      </c>
      <c r="O44" s="100">
        <v>0</v>
      </c>
      <c r="P44" s="100">
        <v>0.31</v>
      </c>
      <c r="Q44" s="100">
        <v>28</v>
      </c>
      <c r="R44" s="6"/>
      <c r="S44" s="6"/>
      <c r="T44" s="156"/>
      <c r="U44" s="6"/>
    </row>
    <row r="45" spans="1:21" customFormat="1">
      <c r="A45" s="163" t="s">
        <v>372</v>
      </c>
      <c r="B45" s="100">
        <v>3.9</v>
      </c>
      <c r="C45" s="100">
        <v>7.11</v>
      </c>
      <c r="D45" s="100">
        <v>5.03</v>
      </c>
      <c r="E45" s="100">
        <v>6.93</v>
      </c>
      <c r="F45" s="100">
        <v>3.79</v>
      </c>
      <c r="G45" s="100">
        <v>40.9</v>
      </c>
      <c r="H45" s="100">
        <v>20.99</v>
      </c>
      <c r="I45" s="100">
        <v>5.04</v>
      </c>
      <c r="J45" s="100">
        <v>0.95</v>
      </c>
      <c r="K45" s="100">
        <v>253.24</v>
      </c>
      <c r="L45" s="100">
        <v>32.31</v>
      </c>
      <c r="M45" s="100">
        <v>55.05</v>
      </c>
      <c r="N45" s="100">
        <v>143.6</v>
      </c>
      <c r="O45" s="100">
        <v>0</v>
      </c>
      <c r="P45" s="100">
        <v>0.3</v>
      </c>
      <c r="Q45" s="100">
        <v>28</v>
      </c>
      <c r="R45" s="6"/>
      <c r="S45" s="6"/>
      <c r="T45" s="156"/>
      <c r="U45" s="6"/>
    </row>
    <row r="46" spans="1:21" customFormat="1">
      <c r="A46" s="163" t="s">
        <v>373</v>
      </c>
      <c r="B46" s="100">
        <v>3.79</v>
      </c>
      <c r="C46" s="100">
        <v>6.94</v>
      </c>
      <c r="D46" s="100">
        <v>4.88</v>
      </c>
      <c r="E46" s="100">
        <v>6.87</v>
      </c>
      <c r="F46" s="100">
        <v>3.86</v>
      </c>
      <c r="G46" s="100">
        <v>40.9</v>
      </c>
      <c r="H46" s="100">
        <v>20.99</v>
      </c>
      <c r="I46" s="100">
        <v>5.03</v>
      </c>
      <c r="J46" s="100">
        <v>1.08</v>
      </c>
      <c r="K46" s="100">
        <v>250.03</v>
      </c>
      <c r="L46" s="100">
        <v>32.78</v>
      </c>
      <c r="M46" s="100">
        <v>53.24</v>
      </c>
      <c r="N46" s="100">
        <v>149.80000000000001</v>
      </c>
      <c r="O46" s="100">
        <v>0</v>
      </c>
      <c r="P46" s="100">
        <v>0.31</v>
      </c>
      <c r="Q46" s="100">
        <v>28</v>
      </c>
      <c r="R46" s="6"/>
      <c r="S46" s="6"/>
      <c r="T46" s="156"/>
      <c r="U46" s="6"/>
    </row>
    <row r="47" spans="1:21" customFormat="1">
      <c r="A47" s="163" t="s">
        <v>374</v>
      </c>
      <c r="B47" s="100">
        <v>3.74</v>
      </c>
      <c r="C47" s="100">
        <v>6.84</v>
      </c>
      <c r="D47" s="100">
        <v>4.7699999999999996</v>
      </c>
      <c r="E47" s="100">
        <v>7.07</v>
      </c>
      <c r="F47" s="100">
        <v>3.51</v>
      </c>
      <c r="G47" s="100">
        <v>40.9</v>
      </c>
      <c r="H47" s="100">
        <v>20.99</v>
      </c>
      <c r="I47" s="100">
        <v>4.97</v>
      </c>
      <c r="J47" s="100">
        <v>1.01</v>
      </c>
      <c r="K47" s="100">
        <v>256.60000000000002</v>
      </c>
      <c r="L47" s="100">
        <v>33.42</v>
      </c>
      <c r="M47" s="100">
        <v>51.64</v>
      </c>
      <c r="N47" s="100">
        <v>173</v>
      </c>
      <c r="O47" s="100">
        <v>0</v>
      </c>
      <c r="P47" s="100">
        <v>0.3</v>
      </c>
      <c r="Q47" s="100">
        <v>28</v>
      </c>
      <c r="R47" s="6"/>
      <c r="S47" s="6"/>
      <c r="T47" s="156"/>
      <c r="U47" s="6"/>
    </row>
    <row r="48" spans="1:21" customFormat="1">
      <c r="A48" s="163" t="s">
        <v>375</v>
      </c>
      <c r="B48" s="100">
        <v>3.72</v>
      </c>
      <c r="C48" s="100">
        <v>6.8</v>
      </c>
      <c r="D48" s="100">
        <v>4.72</v>
      </c>
      <c r="E48" s="100">
        <v>7.34</v>
      </c>
      <c r="F48" s="100">
        <v>3.21</v>
      </c>
      <c r="G48" s="100">
        <v>43.56</v>
      </c>
      <c r="H48" s="100">
        <v>19.690000000000001</v>
      </c>
      <c r="I48" s="100">
        <v>4.8499999999999996</v>
      </c>
      <c r="J48" s="100">
        <v>0.99</v>
      </c>
      <c r="K48" s="100">
        <v>265.75</v>
      </c>
      <c r="L48" s="100">
        <v>33.729999999999997</v>
      </c>
      <c r="M48" s="100">
        <v>50.32</v>
      </c>
      <c r="N48" s="100">
        <v>181</v>
      </c>
      <c r="O48" s="100">
        <v>0</v>
      </c>
      <c r="P48" s="100">
        <v>0.3</v>
      </c>
      <c r="Q48" s="100">
        <v>28</v>
      </c>
      <c r="R48" s="6"/>
      <c r="S48" s="6"/>
      <c r="T48" s="156"/>
      <c r="U48" s="6"/>
    </row>
    <row r="49" spans="1:21" customFormat="1">
      <c r="A49" s="163" t="s">
        <v>376</v>
      </c>
      <c r="B49" s="100">
        <v>3.72</v>
      </c>
      <c r="C49" s="100">
        <v>6.76</v>
      </c>
      <c r="D49" s="100">
        <v>4.6500000000000004</v>
      </c>
      <c r="E49" s="100">
        <v>7.88</v>
      </c>
      <c r="F49" s="100">
        <v>3.57</v>
      </c>
      <c r="G49" s="100">
        <v>43.89</v>
      </c>
      <c r="H49" s="100">
        <v>19.690000000000001</v>
      </c>
      <c r="I49" s="100">
        <v>4.7699999999999996</v>
      </c>
      <c r="J49" s="100">
        <v>1.2</v>
      </c>
      <c r="K49" s="100">
        <v>257.68</v>
      </c>
      <c r="L49" s="100">
        <v>33.82</v>
      </c>
      <c r="M49" s="100">
        <v>49.85</v>
      </c>
      <c r="N49" s="100">
        <v>169.9</v>
      </c>
      <c r="O49" s="100">
        <v>0</v>
      </c>
      <c r="P49" s="100">
        <v>0.28999999999999998</v>
      </c>
      <c r="Q49" s="100">
        <v>28</v>
      </c>
      <c r="R49" s="6"/>
      <c r="S49" s="6"/>
      <c r="T49" s="156"/>
      <c r="U49" s="6"/>
    </row>
    <row r="50" spans="1:21" customFormat="1">
      <c r="A50" s="163" t="s">
        <v>377</v>
      </c>
      <c r="B50" s="100">
        <v>3.69</v>
      </c>
      <c r="C50" s="100">
        <v>6.69</v>
      </c>
      <c r="D50" s="100">
        <v>4.5599999999999996</v>
      </c>
      <c r="E50" s="100">
        <v>8.44</v>
      </c>
      <c r="F50" s="100">
        <v>3.23</v>
      </c>
      <c r="G50" s="100">
        <v>43.89</v>
      </c>
      <c r="H50" s="100">
        <v>19.690000000000001</v>
      </c>
      <c r="I50" s="100">
        <v>4.68</v>
      </c>
      <c r="J50" s="100">
        <v>0.75</v>
      </c>
      <c r="K50" s="100">
        <v>246.79</v>
      </c>
      <c r="L50" s="100">
        <v>34.72</v>
      </c>
      <c r="M50" s="100">
        <v>49.48</v>
      </c>
      <c r="N50" s="100">
        <v>166.7</v>
      </c>
      <c r="O50" s="100">
        <v>0</v>
      </c>
      <c r="P50" s="100">
        <v>0.3</v>
      </c>
      <c r="Q50" s="100">
        <v>28</v>
      </c>
      <c r="R50" s="6"/>
      <c r="S50" s="6"/>
      <c r="T50" s="156"/>
      <c r="U50" s="6"/>
    </row>
    <row r="51" spans="1:21" customFormat="1">
      <c r="A51" s="163" t="s">
        <v>378</v>
      </c>
      <c r="B51" s="100">
        <v>3.66</v>
      </c>
      <c r="C51" s="100">
        <v>6.43</v>
      </c>
      <c r="D51" s="100">
        <v>4.0999999999999996</v>
      </c>
      <c r="E51" s="100">
        <v>8.6199999999999992</v>
      </c>
      <c r="F51" s="100">
        <v>4.62</v>
      </c>
      <c r="G51" s="100">
        <v>43.89</v>
      </c>
      <c r="H51" s="100">
        <v>19.690000000000001</v>
      </c>
      <c r="I51" s="100">
        <v>4.66</v>
      </c>
      <c r="J51" s="100">
        <v>0.93</v>
      </c>
      <c r="K51" s="100">
        <v>263.69</v>
      </c>
      <c r="L51" s="100">
        <v>34.83</v>
      </c>
      <c r="M51" s="100">
        <v>47.42</v>
      </c>
      <c r="N51" s="100">
        <v>202.2</v>
      </c>
      <c r="O51" s="100">
        <v>0</v>
      </c>
      <c r="P51" s="100">
        <v>0.28999999999999998</v>
      </c>
      <c r="Q51" s="100">
        <v>28</v>
      </c>
      <c r="R51" s="6"/>
      <c r="S51" s="6"/>
      <c r="T51" s="156"/>
      <c r="U51" s="6"/>
    </row>
    <row r="52" spans="1:21" customFormat="1">
      <c r="A52" s="163" t="s">
        <v>379</v>
      </c>
      <c r="B52" s="100">
        <v>3.64</v>
      </c>
      <c r="C52" s="100">
        <v>6.57</v>
      </c>
      <c r="D52" s="100">
        <v>4.3899999999999997</v>
      </c>
      <c r="E52" s="100">
        <v>8.93</v>
      </c>
      <c r="F52" s="100">
        <v>5.22</v>
      </c>
      <c r="G52" s="100">
        <v>41.56</v>
      </c>
      <c r="H52" s="100">
        <v>19.45</v>
      </c>
      <c r="I52" s="100">
        <v>4.6500000000000004</v>
      </c>
      <c r="J52" s="100">
        <v>0.99</v>
      </c>
      <c r="K52" s="100">
        <v>254.86</v>
      </c>
      <c r="L52" s="100">
        <v>34.520000000000003</v>
      </c>
      <c r="M52" s="100">
        <v>48.69</v>
      </c>
      <c r="N52" s="100">
        <v>310.2</v>
      </c>
      <c r="O52" s="100">
        <v>0</v>
      </c>
      <c r="P52" s="100">
        <v>0.3</v>
      </c>
      <c r="Q52" s="100">
        <v>28</v>
      </c>
      <c r="R52" s="6"/>
      <c r="S52" s="6"/>
      <c r="T52" s="156"/>
      <c r="U52" s="6"/>
    </row>
    <row r="53" spans="1:21" customFormat="1">
      <c r="A53" s="163" t="s">
        <v>380</v>
      </c>
      <c r="B53" s="100">
        <v>3.65</v>
      </c>
      <c r="C53" s="100">
        <v>6.53</v>
      </c>
      <c r="D53" s="100">
        <v>4.32</v>
      </c>
      <c r="E53" s="100">
        <v>8.56</v>
      </c>
      <c r="F53" s="100">
        <v>3.45</v>
      </c>
      <c r="G53" s="100">
        <v>41.27</v>
      </c>
      <c r="H53" s="100">
        <v>19.45</v>
      </c>
      <c r="I53" s="100">
        <v>4.59</v>
      </c>
      <c r="J53" s="100">
        <v>0.74</v>
      </c>
      <c r="K53" s="100">
        <v>253.6</v>
      </c>
      <c r="L53" s="100">
        <v>35</v>
      </c>
      <c r="M53" s="100">
        <v>47.91</v>
      </c>
      <c r="N53" s="100">
        <v>343.7</v>
      </c>
      <c r="O53" s="100">
        <v>0</v>
      </c>
      <c r="P53" s="100">
        <v>0.28000000000000003</v>
      </c>
      <c r="Q53" s="100">
        <v>28</v>
      </c>
      <c r="R53" s="6"/>
      <c r="S53" s="6"/>
      <c r="T53" s="156"/>
      <c r="U53" s="6"/>
    </row>
    <row r="54" spans="1:21" customFormat="1">
      <c r="A54" s="163" t="s">
        <v>381</v>
      </c>
      <c r="B54" s="100">
        <v>3.64</v>
      </c>
      <c r="C54" s="100">
        <v>6.26</v>
      </c>
      <c r="D54" s="100">
        <v>3.8</v>
      </c>
      <c r="E54" s="100">
        <v>8.76</v>
      </c>
      <c r="F54" s="100">
        <v>5.68</v>
      </c>
      <c r="G54" s="100">
        <v>41.27</v>
      </c>
      <c r="H54" s="100">
        <v>19.45</v>
      </c>
      <c r="I54" s="100">
        <v>4.49</v>
      </c>
      <c r="J54" s="100">
        <v>1.0900000000000001</v>
      </c>
      <c r="K54" s="100">
        <v>258.74</v>
      </c>
      <c r="L54" s="100">
        <v>35.729999999999997</v>
      </c>
      <c r="M54" s="100">
        <v>44.16</v>
      </c>
      <c r="N54" s="100">
        <v>275.8</v>
      </c>
      <c r="O54" s="100">
        <v>0</v>
      </c>
      <c r="P54" s="100">
        <v>0.28000000000000003</v>
      </c>
      <c r="Q54" s="100">
        <v>28</v>
      </c>
      <c r="R54" s="6"/>
      <c r="S54" s="6"/>
      <c r="T54" s="156"/>
      <c r="U54" s="6"/>
    </row>
    <row r="55" spans="1:21" customFormat="1">
      <c r="A55" s="163" t="s">
        <v>382</v>
      </c>
      <c r="B55" s="100">
        <v>3.66</v>
      </c>
      <c r="C55" s="100">
        <v>6.4</v>
      </c>
      <c r="D55" s="100">
        <v>4.05</v>
      </c>
      <c r="E55" s="100">
        <v>8.58</v>
      </c>
      <c r="F55" s="100">
        <v>3.52</v>
      </c>
      <c r="G55" s="100">
        <v>41.27</v>
      </c>
      <c r="H55" s="100">
        <v>19.45</v>
      </c>
      <c r="I55" s="100">
        <v>4.5199999999999996</v>
      </c>
      <c r="J55" s="100">
        <v>0.87</v>
      </c>
      <c r="K55" s="100">
        <v>243.35</v>
      </c>
      <c r="L55" s="100">
        <v>36.29</v>
      </c>
      <c r="M55" s="100">
        <v>42.33</v>
      </c>
      <c r="N55" s="100">
        <v>324.60000000000002</v>
      </c>
      <c r="O55" s="100">
        <v>0</v>
      </c>
      <c r="P55" s="100">
        <v>0.27</v>
      </c>
      <c r="Q55" s="100">
        <v>28</v>
      </c>
      <c r="R55" s="6"/>
      <c r="S55" s="6"/>
      <c r="T55" s="156"/>
      <c r="U55" s="6"/>
    </row>
    <row r="56" spans="1:21" customFormat="1">
      <c r="A56" s="163" t="s">
        <v>383</v>
      </c>
      <c r="B56" s="100">
        <v>3.65</v>
      </c>
      <c r="C56" s="100">
        <v>6.28</v>
      </c>
      <c r="D56" s="100">
        <v>3.83</v>
      </c>
      <c r="E56" s="100">
        <v>8.7899999999999991</v>
      </c>
      <c r="F56" s="100">
        <v>5.5</v>
      </c>
      <c r="G56" s="100">
        <v>36.020000000000003</v>
      </c>
      <c r="H56" s="100">
        <v>13.77</v>
      </c>
      <c r="I56" s="100">
        <v>4.51</v>
      </c>
      <c r="J56" s="100">
        <v>1.1499999999999999</v>
      </c>
      <c r="K56" s="100">
        <v>264.10000000000002</v>
      </c>
      <c r="L56" s="100">
        <v>36.21</v>
      </c>
      <c r="M56" s="100">
        <v>42.22</v>
      </c>
      <c r="N56" s="100">
        <v>573</v>
      </c>
      <c r="O56" s="100">
        <v>0</v>
      </c>
      <c r="P56" s="100">
        <v>0.28000000000000003</v>
      </c>
      <c r="Q56" s="100">
        <v>28</v>
      </c>
      <c r="R56" s="6"/>
      <c r="S56" s="6"/>
      <c r="T56" s="156"/>
      <c r="U56" s="6"/>
    </row>
    <row r="57" spans="1:21" customFormat="1">
      <c r="A57" s="163" t="s">
        <v>384</v>
      </c>
      <c r="B57" s="100">
        <v>3.66</v>
      </c>
      <c r="C57" s="100">
        <v>6.32</v>
      </c>
      <c r="D57" s="100">
        <v>3.89</v>
      </c>
      <c r="E57" s="100">
        <v>8.8800000000000008</v>
      </c>
      <c r="F57" s="100">
        <v>5.54</v>
      </c>
      <c r="G57" s="100">
        <v>35.369999999999997</v>
      </c>
      <c r="H57" s="100">
        <v>13.77</v>
      </c>
      <c r="I57" s="100">
        <v>4.4400000000000004</v>
      </c>
      <c r="J57" s="100">
        <v>1.03</v>
      </c>
      <c r="K57" s="100">
        <v>250.02</v>
      </c>
      <c r="L57" s="100">
        <v>36.53</v>
      </c>
      <c r="M57" s="100">
        <v>40.53</v>
      </c>
      <c r="N57" s="100">
        <v>887.5</v>
      </c>
      <c r="O57" s="100">
        <v>0</v>
      </c>
      <c r="P57" s="100">
        <v>0.28000000000000003</v>
      </c>
      <c r="Q57" s="100">
        <v>28</v>
      </c>
      <c r="R57" s="6"/>
      <c r="S57" s="6"/>
      <c r="T57" s="156"/>
      <c r="U57" s="6"/>
    </row>
    <row r="58" spans="1:21" customFormat="1">
      <c r="A58" s="163" t="s">
        <v>385</v>
      </c>
      <c r="B58" s="100">
        <v>3.7</v>
      </c>
      <c r="C58" s="100">
        <v>6.32</v>
      </c>
      <c r="D58" s="100">
        <v>3.82</v>
      </c>
      <c r="E58" s="100">
        <v>9.06</v>
      </c>
      <c r="F58" s="100">
        <v>6.91</v>
      </c>
      <c r="G58" s="100">
        <v>35.369999999999997</v>
      </c>
      <c r="H58" s="100">
        <v>13.77</v>
      </c>
      <c r="I58" s="100">
        <v>4.42</v>
      </c>
      <c r="J58" s="100">
        <v>1.17</v>
      </c>
      <c r="K58" s="100">
        <v>250.52</v>
      </c>
      <c r="L58" s="100">
        <v>36.520000000000003</v>
      </c>
      <c r="M58" s="100">
        <v>39.549999999999997</v>
      </c>
      <c r="N58" s="100">
        <v>868.4</v>
      </c>
      <c r="O58" s="100">
        <v>0</v>
      </c>
      <c r="P58" s="100">
        <v>0.32</v>
      </c>
      <c r="Q58" s="100">
        <v>28</v>
      </c>
      <c r="R58" s="6"/>
      <c r="S58" s="6"/>
      <c r="T58" s="156"/>
      <c r="U58" s="6"/>
    </row>
    <row r="59" spans="1:21" customFormat="1">
      <c r="A59" s="163" t="s">
        <v>386</v>
      </c>
      <c r="B59" s="100">
        <v>3.76</v>
      </c>
      <c r="C59" s="100">
        <v>6.17</v>
      </c>
      <c r="D59" s="100">
        <v>3.46</v>
      </c>
      <c r="E59" s="100">
        <v>8.7799999999999994</v>
      </c>
      <c r="F59" s="100">
        <v>8.56</v>
      </c>
      <c r="G59" s="100">
        <v>35.369999999999997</v>
      </c>
      <c r="H59" s="100">
        <v>13.77</v>
      </c>
      <c r="I59" s="100">
        <v>4.38</v>
      </c>
      <c r="J59" s="100">
        <v>0.96</v>
      </c>
      <c r="K59" s="100">
        <v>254.88</v>
      </c>
      <c r="L59" s="100">
        <v>36.74</v>
      </c>
      <c r="M59" s="100">
        <v>39.58</v>
      </c>
      <c r="N59" s="100">
        <v>880.3</v>
      </c>
      <c r="O59" s="100">
        <v>0</v>
      </c>
      <c r="P59" s="100">
        <v>0.33</v>
      </c>
      <c r="Q59" s="100">
        <v>28</v>
      </c>
      <c r="R59" s="6"/>
      <c r="S59" s="6"/>
      <c r="T59" s="156"/>
      <c r="U59" s="6"/>
    </row>
    <row r="60" spans="1:21" customFormat="1">
      <c r="A60" s="163" t="s">
        <v>387</v>
      </c>
      <c r="B60" s="100">
        <v>3.79</v>
      </c>
      <c r="C60" s="100">
        <v>6.11</v>
      </c>
      <c r="D60" s="100">
        <v>3.29</v>
      </c>
      <c r="E60" s="100">
        <v>8.64</v>
      </c>
      <c r="F60" s="100">
        <v>8.75</v>
      </c>
      <c r="G60" s="100">
        <v>32.340000000000003</v>
      </c>
      <c r="H60" s="100">
        <v>15.46</v>
      </c>
      <c r="I60" s="100">
        <v>4.3499999999999996</v>
      </c>
      <c r="J60" s="100">
        <v>1.1299999999999999</v>
      </c>
      <c r="K60" s="100">
        <v>265.14999999999998</v>
      </c>
      <c r="L60" s="100">
        <v>36.83</v>
      </c>
      <c r="M60" s="100">
        <v>39.380000000000003</v>
      </c>
      <c r="N60" s="100">
        <v>877.5</v>
      </c>
      <c r="O60" s="100">
        <v>0</v>
      </c>
      <c r="P60" s="100">
        <v>0.33</v>
      </c>
      <c r="Q60" s="100">
        <v>28</v>
      </c>
      <c r="R60" s="6"/>
      <c r="S60" s="6"/>
      <c r="T60" s="156"/>
      <c r="U60" s="6"/>
    </row>
    <row r="61" spans="1:21" customFormat="1">
      <c r="A61" s="163" t="s">
        <v>388</v>
      </c>
      <c r="B61" s="100">
        <v>3.82</v>
      </c>
      <c r="C61" s="100">
        <v>6.19</v>
      </c>
      <c r="D61" s="100">
        <v>3.4</v>
      </c>
      <c r="E61" s="100">
        <v>8.34</v>
      </c>
      <c r="F61" s="100">
        <v>7.86</v>
      </c>
      <c r="G61" s="100">
        <v>31.96</v>
      </c>
      <c r="H61" s="100">
        <v>15.46</v>
      </c>
      <c r="I61" s="100">
        <v>4.37</v>
      </c>
      <c r="J61" s="100">
        <v>0.89</v>
      </c>
      <c r="K61" s="100">
        <v>241.97</v>
      </c>
      <c r="L61" s="100">
        <v>37.17</v>
      </c>
      <c r="M61" s="100">
        <v>39.51</v>
      </c>
      <c r="N61" s="100">
        <v>815.6</v>
      </c>
      <c r="O61" s="100">
        <v>0</v>
      </c>
      <c r="P61" s="100">
        <v>0.33</v>
      </c>
      <c r="Q61" s="100">
        <v>28</v>
      </c>
      <c r="R61" s="6"/>
      <c r="S61" s="6"/>
      <c r="T61" s="156"/>
      <c r="U61" s="6"/>
    </row>
    <row r="62" spans="1:21" customFormat="1">
      <c r="A62" s="163" t="s">
        <v>389</v>
      </c>
      <c r="B62" s="100">
        <v>3.84</v>
      </c>
      <c r="C62" s="100">
        <v>6.11</v>
      </c>
      <c r="D62" s="100">
        <v>3.22</v>
      </c>
      <c r="E62" s="100">
        <v>8.23</v>
      </c>
      <c r="F62" s="100">
        <v>8.4499999999999993</v>
      </c>
      <c r="G62" s="100">
        <v>31.96</v>
      </c>
      <c r="H62" s="100">
        <v>15.46</v>
      </c>
      <c r="I62" s="100">
        <v>4.37</v>
      </c>
      <c r="J62" s="100">
        <v>0.84</v>
      </c>
      <c r="K62" s="100">
        <v>251.25</v>
      </c>
      <c r="L62" s="100">
        <v>37.42</v>
      </c>
      <c r="M62" s="100">
        <v>39.22</v>
      </c>
      <c r="N62" s="100">
        <v>796.9</v>
      </c>
      <c r="O62" s="100">
        <v>0</v>
      </c>
      <c r="P62" s="100">
        <v>0.32</v>
      </c>
      <c r="Q62" s="100">
        <v>28</v>
      </c>
      <c r="R62" s="6"/>
      <c r="S62" s="6"/>
      <c r="T62" s="156"/>
      <c r="U62" s="6"/>
    </row>
    <row r="63" spans="1:21" customFormat="1">
      <c r="A63" s="163" t="s">
        <v>390</v>
      </c>
      <c r="B63" s="100">
        <v>3.86</v>
      </c>
      <c r="C63" s="100">
        <v>6.06</v>
      </c>
      <c r="D63" s="100">
        <v>3.1</v>
      </c>
      <c r="E63" s="100">
        <v>8.09</v>
      </c>
      <c r="F63" s="100">
        <v>10.07</v>
      </c>
      <c r="G63" s="100">
        <v>31.96</v>
      </c>
      <c r="H63" s="100">
        <v>15.46</v>
      </c>
      <c r="I63" s="100">
        <v>4.37</v>
      </c>
      <c r="J63" s="100">
        <v>1.07</v>
      </c>
      <c r="K63" s="100">
        <v>247.66</v>
      </c>
      <c r="L63" s="100">
        <v>37.11</v>
      </c>
      <c r="M63" s="100">
        <v>39.549999999999997</v>
      </c>
      <c r="N63" s="100">
        <v>680.8</v>
      </c>
      <c r="O63" s="100">
        <v>0</v>
      </c>
      <c r="P63" s="100">
        <v>0.32</v>
      </c>
      <c r="Q63" s="100">
        <v>28</v>
      </c>
      <c r="R63" s="6"/>
      <c r="S63" s="6"/>
      <c r="T63" s="156"/>
      <c r="U63" s="6"/>
    </row>
    <row r="64" spans="1:21" customFormat="1">
      <c r="A64" s="163" t="s">
        <v>391</v>
      </c>
      <c r="B64" s="100">
        <v>3.85</v>
      </c>
      <c r="C64" s="100">
        <v>6.03</v>
      </c>
      <c r="D64" s="100">
        <v>3.04</v>
      </c>
      <c r="E64" s="100">
        <v>7.89</v>
      </c>
      <c r="F64" s="100">
        <v>8.4499999999999993</v>
      </c>
      <c r="G64" s="100">
        <v>30.3</v>
      </c>
      <c r="H64" s="100">
        <v>17.03</v>
      </c>
      <c r="I64" s="100">
        <v>4.32</v>
      </c>
      <c r="J64" s="100">
        <v>0.98</v>
      </c>
      <c r="K64" s="100">
        <v>247.58</v>
      </c>
      <c r="L64" s="100">
        <v>36.75</v>
      </c>
      <c r="M64" s="100">
        <v>39.54</v>
      </c>
      <c r="N64" s="100">
        <v>450.3</v>
      </c>
      <c r="O64" s="100">
        <v>0</v>
      </c>
      <c r="P64" s="100">
        <v>0.32</v>
      </c>
      <c r="Q64" s="100">
        <v>28</v>
      </c>
      <c r="R64" s="6"/>
      <c r="S64" s="6"/>
      <c r="T64" s="156"/>
      <c r="U64" s="6"/>
    </row>
    <row r="65" spans="1:21" customFormat="1">
      <c r="A65" s="163" t="s">
        <v>392</v>
      </c>
      <c r="B65" s="100">
        <v>3.82</v>
      </c>
      <c r="C65" s="100">
        <v>6.02</v>
      </c>
      <c r="D65" s="100">
        <v>3.07</v>
      </c>
      <c r="E65" s="100">
        <v>7.92</v>
      </c>
      <c r="F65" s="100">
        <v>8.74</v>
      </c>
      <c r="G65" s="100">
        <v>30.09</v>
      </c>
      <c r="H65" s="100">
        <v>17.03</v>
      </c>
      <c r="I65" s="100">
        <v>4.37</v>
      </c>
      <c r="J65" s="100">
        <v>0.9</v>
      </c>
      <c r="K65" s="100">
        <v>249.47</v>
      </c>
      <c r="L65" s="100">
        <v>36.049999999999997</v>
      </c>
      <c r="M65" s="100">
        <v>41.5</v>
      </c>
      <c r="N65" s="100">
        <v>270.8</v>
      </c>
      <c r="O65" s="100">
        <v>0</v>
      </c>
      <c r="P65" s="100">
        <v>0.31</v>
      </c>
      <c r="Q65" s="100">
        <v>28</v>
      </c>
      <c r="R65" s="6"/>
      <c r="S65" s="6"/>
      <c r="T65" s="156"/>
      <c r="U65" s="6"/>
    </row>
    <row r="66" spans="1:21" customFormat="1">
      <c r="A66" s="163" t="s">
        <v>393</v>
      </c>
      <c r="B66" s="100">
        <v>3.8</v>
      </c>
      <c r="C66" s="100">
        <v>5.98</v>
      </c>
      <c r="D66" s="100">
        <v>3.03</v>
      </c>
      <c r="E66" s="100">
        <v>7.54</v>
      </c>
      <c r="F66" s="100">
        <v>9.44</v>
      </c>
      <c r="G66" s="100">
        <v>30.09</v>
      </c>
      <c r="H66" s="100">
        <v>17.03</v>
      </c>
      <c r="I66" s="100">
        <v>4.38</v>
      </c>
      <c r="J66" s="100">
        <v>1.1100000000000001</v>
      </c>
      <c r="K66" s="100">
        <v>260.64</v>
      </c>
      <c r="L66" s="100">
        <v>36.57</v>
      </c>
      <c r="M66" s="100">
        <v>39.82</v>
      </c>
      <c r="N66" s="100">
        <v>190.4</v>
      </c>
      <c r="O66" s="100">
        <v>0</v>
      </c>
      <c r="P66" s="100">
        <v>0.32</v>
      </c>
      <c r="Q66" s="100">
        <v>28</v>
      </c>
      <c r="R66" s="6"/>
      <c r="S66" s="6"/>
      <c r="T66" s="156"/>
      <c r="U66" s="6"/>
    </row>
    <row r="67" spans="1:21" customFormat="1">
      <c r="A67" s="163" t="s">
        <v>394</v>
      </c>
      <c r="B67" s="100">
        <v>3.81</v>
      </c>
      <c r="C67" s="100">
        <v>6.05</v>
      </c>
      <c r="D67" s="100">
        <v>3.14</v>
      </c>
      <c r="E67" s="100">
        <v>7.68</v>
      </c>
      <c r="F67" s="100">
        <v>9.43</v>
      </c>
      <c r="G67" s="100">
        <v>30.09</v>
      </c>
      <c r="H67" s="100">
        <v>17.03</v>
      </c>
      <c r="I67" s="100">
        <v>4.41</v>
      </c>
      <c r="J67" s="100">
        <v>1.05</v>
      </c>
      <c r="K67" s="100">
        <v>256.64999999999998</v>
      </c>
      <c r="L67" s="100">
        <v>36.96</v>
      </c>
      <c r="M67" s="100">
        <v>38.21</v>
      </c>
      <c r="N67" s="100">
        <v>299.2</v>
      </c>
      <c r="O67" s="100">
        <v>0</v>
      </c>
      <c r="P67" s="100">
        <v>0.33</v>
      </c>
      <c r="Q67" s="100">
        <v>28</v>
      </c>
      <c r="R67" s="6"/>
      <c r="S67" s="6"/>
      <c r="T67" s="156"/>
      <c r="U67" s="6"/>
    </row>
    <row r="68" spans="1:21" customFormat="1">
      <c r="A68" s="163" t="s">
        <v>395</v>
      </c>
      <c r="B68" s="100">
        <v>3.76</v>
      </c>
      <c r="C68" s="100">
        <v>6</v>
      </c>
      <c r="D68" s="100">
        <v>3.13</v>
      </c>
      <c r="E68" s="100">
        <v>7.92</v>
      </c>
      <c r="F68" s="100">
        <v>8.5299999999999994</v>
      </c>
      <c r="G68" s="100">
        <v>34.130000000000003</v>
      </c>
      <c r="H68" s="100">
        <v>17.350000000000001</v>
      </c>
      <c r="I68" s="100">
        <v>4.38</v>
      </c>
      <c r="J68" s="100">
        <v>1.04</v>
      </c>
      <c r="K68" s="100">
        <v>251.7</v>
      </c>
      <c r="L68" s="100">
        <v>36.6</v>
      </c>
      <c r="M68" s="100">
        <v>38.93</v>
      </c>
      <c r="N68" s="100">
        <v>546.29999999999995</v>
      </c>
      <c r="O68" s="100">
        <v>0</v>
      </c>
      <c r="P68" s="100">
        <v>0.32</v>
      </c>
      <c r="Q68" s="100">
        <v>28</v>
      </c>
      <c r="R68" s="6"/>
      <c r="S68" s="6"/>
      <c r="T68" s="156"/>
      <c r="U68" s="6"/>
    </row>
    <row r="69" spans="1:21" customFormat="1">
      <c r="A69" s="163" t="s">
        <v>396</v>
      </c>
      <c r="B69" s="100">
        <v>3.77</v>
      </c>
      <c r="C69" s="100">
        <v>6.04</v>
      </c>
      <c r="D69" s="100">
        <v>3.18</v>
      </c>
      <c r="E69" s="100">
        <v>7.67</v>
      </c>
      <c r="F69" s="100">
        <v>7.94</v>
      </c>
      <c r="G69" s="100">
        <v>34.64</v>
      </c>
      <c r="H69" s="100">
        <v>17.350000000000001</v>
      </c>
      <c r="I69" s="100">
        <v>4.38</v>
      </c>
      <c r="J69" s="100">
        <v>0.98</v>
      </c>
      <c r="K69" s="100">
        <v>261.45999999999998</v>
      </c>
      <c r="L69" s="100">
        <v>36.840000000000003</v>
      </c>
      <c r="M69" s="100">
        <v>39.75</v>
      </c>
      <c r="N69" s="100">
        <v>613.29999999999995</v>
      </c>
      <c r="O69" s="100">
        <v>0</v>
      </c>
      <c r="P69" s="100">
        <v>0.33</v>
      </c>
      <c r="Q69" s="100">
        <v>28</v>
      </c>
      <c r="R69" s="6"/>
      <c r="S69" s="6"/>
      <c r="T69" s="156"/>
      <c r="U69" s="6"/>
    </row>
    <row r="70" spans="1:21" customFormat="1">
      <c r="A70" s="163" t="s">
        <v>397</v>
      </c>
      <c r="B70" s="100">
        <v>3.75</v>
      </c>
      <c r="C70" s="100">
        <v>5.96</v>
      </c>
      <c r="D70" s="100">
        <v>3.05</v>
      </c>
      <c r="E70" s="100">
        <v>7.46</v>
      </c>
      <c r="F70" s="100">
        <v>8.11</v>
      </c>
      <c r="G70" s="100">
        <v>34.64</v>
      </c>
      <c r="H70" s="100">
        <v>17.350000000000001</v>
      </c>
      <c r="I70" s="100">
        <v>4.45</v>
      </c>
      <c r="J70" s="100">
        <v>1.08</v>
      </c>
      <c r="K70" s="100">
        <v>261.16000000000003</v>
      </c>
      <c r="L70" s="100">
        <v>36.9</v>
      </c>
      <c r="M70" s="100">
        <v>38.19</v>
      </c>
      <c r="N70" s="100">
        <v>587.6</v>
      </c>
      <c r="O70" s="100">
        <v>0</v>
      </c>
      <c r="P70" s="100">
        <v>0.32</v>
      </c>
      <c r="Q70" s="100">
        <v>28</v>
      </c>
      <c r="R70" s="6"/>
      <c r="S70" s="6"/>
      <c r="T70" s="156"/>
      <c r="U70" s="6"/>
    </row>
    <row r="71" spans="1:21" customFormat="1">
      <c r="A71" s="163" t="s">
        <v>398</v>
      </c>
      <c r="B71" s="100">
        <v>3.74</v>
      </c>
      <c r="C71" s="100">
        <v>5.91</v>
      </c>
      <c r="D71" s="100">
        <v>2.99</v>
      </c>
      <c r="E71" s="100">
        <v>7.23</v>
      </c>
      <c r="F71" s="100">
        <v>8.44</v>
      </c>
      <c r="G71" s="100">
        <v>34.64</v>
      </c>
      <c r="H71" s="100">
        <v>17.350000000000001</v>
      </c>
      <c r="I71" s="100">
        <v>4.5</v>
      </c>
      <c r="J71" s="100">
        <v>1.03</v>
      </c>
      <c r="K71" s="100">
        <v>245.51</v>
      </c>
      <c r="L71" s="100">
        <v>36.93</v>
      </c>
      <c r="M71" s="100">
        <v>37.97</v>
      </c>
      <c r="N71" s="100">
        <v>442</v>
      </c>
      <c r="O71" s="100">
        <v>0</v>
      </c>
      <c r="P71" s="100">
        <v>0.32</v>
      </c>
      <c r="Q71" s="100">
        <v>28</v>
      </c>
      <c r="R71" s="6"/>
      <c r="S71" s="6"/>
      <c r="T71" s="156"/>
      <c r="U71" s="6"/>
    </row>
    <row r="72" spans="1:21" customFormat="1">
      <c r="A72" s="163" t="s">
        <v>399</v>
      </c>
      <c r="B72" s="100">
        <v>3.73</v>
      </c>
      <c r="C72" s="100">
        <v>5.88</v>
      </c>
      <c r="D72" s="100">
        <v>2.96</v>
      </c>
      <c r="E72" s="100">
        <v>7.16</v>
      </c>
      <c r="F72" s="100">
        <v>7.81</v>
      </c>
      <c r="G72" s="100">
        <v>29.63</v>
      </c>
      <c r="H72" s="100">
        <v>16.98</v>
      </c>
      <c r="I72" s="100">
        <v>4.45</v>
      </c>
      <c r="J72" s="100">
        <v>1.07</v>
      </c>
      <c r="K72" s="100">
        <v>247.73</v>
      </c>
      <c r="L72" s="100">
        <v>36.590000000000003</v>
      </c>
      <c r="M72" s="100">
        <v>38.54</v>
      </c>
      <c r="N72" s="100">
        <v>370.6</v>
      </c>
      <c r="O72" s="100">
        <v>0</v>
      </c>
      <c r="P72" s="100">
        <v>0.31</v>
      </c>
      <c r="Q72" s="100">
        <v>28</v>
      </c>
      <c r="R72" s="6"/>
      <c r="S72" s="6"/>
      <c r="T72" s="156"/>
      <c r="U72" s="6"/>
    </row>
    <row r="73" spans="1:21" customFormat="1">
      <c r="A73" s="163" t="s">
        <v>400</v>
      </c>
      <c r="B73" s="100">
        <v>3.69</v>
      </c>
      <c r="C73" s="100">
        <v>5.82</v>
      </c>
      <c r="D73" s="100">
        <v>2.89</v>
      </c>
      <c r="E73" s="100">
        <v>7.53</v>
      </c>
      <c r="F73" s="100">
        <v>8.1199999999999992</v>
      </c>
      <c r="G73" s="100">
        <v>29</v>
      </c>
      <c r="H73" s="100">
        <v>16.98</v>
      </c>
      <c r="I73" s="100">
        <v>4.4400000000000004</v>
      </c>
      <c r="J73" s="100">
        <v>0.94</v>
      </c>
      <c r="K73" s="100">
        <v>250.08</v>
      </c>
      <c r="L73" s="100">
        <v>36.35</v>
      </c>
      <c r="M73" s="100">
        <v>39.130000000000003</v>
      </c>
      <c r="N73" s="100">
        <v>174.4</v>
      </c>
      <c r="O73" s="100">
        <v>0</v>
      </c>
      <c r="P73" s="100">
        <v>0.31</v>
      </c>
      <c r="Q73" s="100">
        <v>28</v>
      </c>
      <c r="R73" s="6"/>
      <c r="S73" s="6"/>
      <c r="T73" s="156"/>
      <c r="U73" s="6"/>
    </row>
    <row r="74" spans="1:21" customFormat="1">
      <c r="A74" s="163" t="s">
        <v>401</v>
      </c>
      <c r="B74" s="100">
        <v>3.69</v>
      </c>
      <c r="C74" s="100">
        <v>5.8</v>
      </c>
      <c r="D74" s="100">
        <v>2.86</v>
      </c>
      <c r="E74" s="100">
        <v>7.12</v>
      </c>
      <c r="F74" s="100">
        <v>10.91</v>
      </c>
      <c r="G74" s="100">
        <v>29</v>
      </c>
      <c r="H74" s="100">
        <v>16.98</v>
      </c>
      <c r="I74" s="100">
        <v>4.38</v>
      </c>
      <c r="J74" s="100">
        <v>0.76</v>
      </c>
      <c r="K74" s="100">
        <v>247.63</v>
      </c>
      <c r="L74" s="100">
        <v>36.33</v>
      </c>
      <c r="M74" s="100">
        <v>40.049999999999997</v>
      </c>
      <c r="N74" s="100">
        <v>140.80000000000001</v>
      </c>
      <c r="O74" s="100">
        <v>0</v>
      </c>
      <c r="P74" s="100">
        <v>0.31</v>
      </c>
      <c r="Q74" s="100">
        <v>28</v>
      </c>
      <c r="R74" s="6"/>
      <c r="S74" s="6"/>
      <c r="T74" s="156"/>
      <c r="U74" s="6"/>
    </row>
    <row r="75" spans="1:21" customFormat="1">
      <c r="A75" s="163" t="s">
        <v>402</v>
      </c>
      <c r="B75" s="100">
        <v>3.72</v>
      </c>
      <c r="C75" s="100">
        <v>5.82</v>
      </c>
      <c r="D75" s="100">
        <v>2.84</v>
      </c>
      <c r="E75" s="100">
        <v>7.15</v>
      </c>
      <c r="F75" s="100">
        <v>8.65</v>
      </c>
      <c r="G75" s="100">
        <v>29</v>
      </c>
      <c r="H75" s="100">
        <v>16.98</v>
      </c>
      <c r="I75" s="100">
        <v>4.3499999999999996</v>
      </c>
      <c r="J75" s="100">
        <v>1.04</v>
      </c>
      <c r="K75" s="100">
        <v>251.12</v>
      </c>
      <c r="L75" s="100">
        <v>36.049999999999997</v>
      </c>
      <c r="M75" s="100">
        <v>40.26</v>
      </c>
      <c r="N75" s="100">
        <v>131.30000000000001</v>
      </c>
      <c r="O75" s="100">
        <v>0</v>
      </c>
      <c r="P75" s="100">
        <v>0.31</v>
      </c>
      <c r="Q75" s="100">
        <v>28</v>
      </c>
      <c r="R75" s="6"/>
      <c r="S75" s="6"/>
      <c r="T75" s="156"/>
      <c r="U75" s="6"/>
    </row>
    <row r="76" spans="1:21" customFormat="1">
      <c r="A76" s="163" t="s">
        <v>403</v>
      </c>
      <c r="B76" s="100">
        <v>3.73</v>
      </c>
      <c r="C76" s="100">
        <v>6.03</v>
      </c>
      <c r="D76" s="100">
        <v>3.24</v>
      </c>
      <c r="E76" s="100">
        <v>7.18</v>
      </c>
      <c r="F76" s="100">
        <v>9</v>
      </c>
      <c r="G76" s="100">
        <v>28.25</v>
      </c>
      <c r="H76" s="100">
        <v>17.899999999999999</v>
      </c>
      <c r="I76" s="100">
        <v>4.29</v>
      </c>
      <c r="J76" s="100">
        <v>1.01</v>
      </c>
      <c r="K76" s="100">
        <v>253.75</v>
      </c>
      <c r="L76" s="100">
        <v>35.68</v>
      </c>
      <c r="M76" s="100">
        <v>41.32</v>
      </c>
      <c r="N76" s="100">
        <v>131.30000000000001</v>
      </c>
      <c r="O76" s="100">
        <v>0</v>
      </c>
      <c r="P76" s="100">
        <v>0.31</v>
      </c>
      <c r="Q76" s="100">
        <v>28</v>
      </c>
      <c r="R76" s="6"/>
      <c r="S76" s="6"/>
      <c r="T76" s="156"/>
      <c r="U76" s="6"/>
    </row>
    <row r="77" spans="1:21" customFormat="1">
      <c r="A77" s="163" t="s">
        <v>404</v>
      </c>
      <c r="B77" s="100">
        <v>3.72</v>
      </c>
      <c r="C77" s="100">
        <v>6.57</v>
      </c>
      <c r="D77" s="100">
        <v>4.28</v>
      </c>
      <c r="E77" s="100">
        <v>7.16</v>
      </c>
      <c r="F77" s="100">
        <v>6.81</v>
      </c>
      <c r="G77" s="100">
        <v>28.15</v>
      </c>
      <c r="H77" s="100">
        <v>17.899999999999999</v>
      </c>
      <c r="I77" s="100">
        <v>4.3499999999999996</v>
      </c>
      <c r="J77" s="100">
        <v>0.8</v>
      </c>
      <c r="K77" s="100">
        <v>247.45</v>
      </c>
      <c r="L77" s="100">
        <v>35.619999999999997</v>
      </c>
      <c r="M77" s="100">
        <v>42.81</v>
      </c>
      <c r="N77" s="100">
        <v>137.5</v>
      </c>
      <c r="O77" s="100">
        <v>0</v>
      </c>
      <c r="P77" s="100">
        <v>0.26</v>
      </c>
      <c r="Q77" s="100">
        <v>28</v>
      </c>
      <c r="R77" s="6"/>
      <c r="S77" s="6"/>
      <c r="T77" s="156"/>
      <c r="U77" s="6"/>
    </row>
    <row r="78" spans="1:21" customFormat="1">
      <c r="A78" s="163" t="s">
        <v>405</v>
      </c>
      <c r="B78" s="100">
        <v>3.68</v>
      </c>
      <c r="C78" s="100">
        <v>6.34</v>
      </c>
      <c r="D78" s="100">
        <v>3.89</v>
      </c>
      <c r="E78" s="100">
        <v>7.32</v>
      </c>
      <c r="F78" s="100">
        <v>7.9</v>
      </c>
      <c r="G78" s="100">
        <v>28.15</v>
      </c>
      <c r="H78" s="100">
        <v>17.899999999999999</v>
      </c>
      <c r="I78" s="100">
        <v>4.2300000000000004</v>
      </c>
      <c r="J78" s="100">
        <v>0.85</v>
      </c>
      <c r="K78" s="100">
        <v>245.75</v>
      </c>
      <c r="L78" s="100">
        <v>35.14</v>
      </c>
      <c r="M78" s="100">
        <v>44.09</v>
      </c>
      <c r="N78" s="100">
        <v>77.599999999999994</v>
      </c>
      <c r="O78" s="100">
        <v>0</v>
      </c>
      <c r="P78" s="100">
        <v>0.22</v>
      </c>
      <c r="Q78" s="100">
        <v>28</v>
      </c>
      <c r="R78" s="6"/>
      <c r="S78" s="6"/>
      <c r="T78" s="156"/>
      <c r="U78" s="6"/>
    </row>
    <row r="79" spans="1:21" customFormat="1">
      <c r="A79" s="163" t="s">
        <v>406</v>
      </c>
      <c r="B79" s="100">
        <v>3.63</v>
      </c>
      <c r="C79" s="100">
        <v>6.61</v>
      </c>
      <c r="D79" s="100">
        <v>4.49</v>
      </c>
      <c r="E79" s="100">
        <v>7.52</v>
      </c>
      <c r="F79" s="100">
        <v>8.75</v>
      </c>
      <c r="G79" s="100">
        <v>28.15</v>
      </c>
      <c r="H79" s="100">
        <v>17.899999999999999</v>
      </c>
      <c r="I79" s="100">
        <v>4.2699999999999996</v>
      </c>
      <c r="J79" s="100">
        <v>0.67</v>
      </c>
      <c r="K79" s="100">
        <v>249.15</v>
      </c>
      <c r="L79" s="100">
        <v>34.799999999999997</v>
      </c>
      <c r="M79" s="100">
        <v>44.96</v>
      </c>
      <c r="N79" s="100">
        <v>76.400000000000006</v>
      </c>
      <c r="O79" s="100">
        <v>0</v>
      </c>
      <c r="P79" s="100">
        <v>0.23</v>
      </c>
      <c r="Q79" s="100">
        <v>28</v>
      </c>
      <c r="R79" s="6"/>
      <c r="S79" s="6"/>
      <c r="T79" s="156"/>
      <c r="U79" s="6"/>
    </row>
    <row r="80" spans="1:21" customFormat="1">
      <c r="A80" s="163" t="s">
        <v>407</v>
      </c>
      <c r="B80" s="100">
        <v>3.61</v>
      </c>
      <c r="C80" s="100">
        <v>6.75</v>
      </c>
      <c r="D80" s="100">
        <v>4.79</v>
      </c>
      <c r="E80" s="100">
        <v>7.82</v>
      </c>
      <c r="F80" s="100">
        <v>8.64</v>
      </c>
      <c r="G80" s="100">
        <v>27.58</v>
      </c>
      <c r="H80" s="100">
        <v>15.67</v>
      </c>
      <c r="I80" s="100">
        <v>4.1500000000000004</v>
      </c>
      <c r="J80" s="100">
        <v>0.83</v>
      </c>
      <c r="K80" s="100">
        <v>247.38</v>
      </c>
      <c r="L80" s="100">
        <v>34.53</v>
      </c>
      <c r="M80" s="100">
        <v>45.03</v>
      </c>
      <c r="N80" s="100">
        <v>56.3</v>
      </c>
      <c r="O80" s="100">
        <v>0</v>
      </c>
      <c r="P80" s="100">
        <v>0.24</v>
      </c>
      <c r="Q80" s="100">
        <v>28</v>
      </c>
      <c r="R80" s="6"/>
      <c r="S80" s="6"/>
      <c r="T80" s="156"/>
      <c r="U80" s="6"/>
    </row>
    <row r="81" spans="1:21" customFormat="1">
      <c r="A81" s="163" t="s">
        <v>408</v>
      </c>
      <c r="B81" s="100">
        <v>3.62</v>
      </c>
      <c r="C81" s="100">
        <v>6.76</v>
      </c>
      <c r="D81" s="100">
        <v>4.79</v>
      </c>
      <c r="E81" s="100">
        <v>6.29</v>
      </c>
      <c r="F81" s="100">
        <v>7.13</v>
      </c>
      <c r="G81" s="100">
        <v>27.51</v>
      </c>
      <c r="H81" s="100">
        <v>15.67</v>
      </c>
      <c r="I81" s="100">
        <v>4.07</v>
      </c>
      <c r="J81" s="100">
        <v>0.86</v>
      </c>
      <c r="K81" s="100">
        <v>248.91</v>
      </c>
      <c r="L81" s="100">
        <v>34.1</v>
      </c>
      <c r="M81" s="100">
        <v>45.24</v>
      </c>
      <c r="N81" s="100">
        <v>26.6</v>
      </c>
      <c r="O81" s="100">
        <v>0</v>
      </c>
      <c r="P81" s="100">
        <v>0.23</v>
      </c>
      <c r="Q81" s="100">
        <v>28</v>
      </c>
      <c r="R81" s="6"/>
      <c r="S81" s="6"/>
      <c r="T81" s="156"/>
      <c r="U81" s="6"/>
    </row>
    <row r="82" spans="1:21" customFormat="1">
      <c r="A82" s="163" t="s">
        <v>409</v>
      </c>
      <c r="B82" s="100">
        <v>3.62</v>
      </c>
      <c r="C82" s="100">
        <v>6.76</v>
      </c>
      <c r="D82" s="100">
        <v>4.78</v>
      </c>
      <c r="E82" s="100">
        <v>7.31</v>
      </c>
      <c r="F82" s="100">
        <v>7.86</v>
      </c>
      <c r="G82" s="100">
        <v>27.51</v>
      </c>
      <c r="H82" s="100">
        <v>15.67</v>
      </c>
      <c r="I82" s="100">
        <v>4.05</v>
      </c>
      <c r="J82" s="100">
        <v>0.62</v>
      </c>
      <c r="K82" s="100">
        <v>244.42</v>
      </c>
      <c r="L82" s="100">
        <v>33.76</v>
      </c>
      <c r="M82" s="100">
        <v>46.17</v>
      </c>
      <c r="N82" s="100">
        <v>12.1</v>
      </c>
      <c r="O82" s="100">
        <v>0</v>
      </c>
      <c r="P82" s="100">
        <v>0.24</v>
      </c>
      <c r="Q82" s="100">
        <v>28</v>
      </c>
      <c r="R82" s="6"/>
      <c r="S82" s="6"/>
      <c r="T82" s="156"/>
      <c r="U82" s="6"/>
    </row>
    <row r="83" spans="1:21" customFormat="1">
      <c r="A83" s="163" t="s">
        <v>410</v>
      </c>
      <c r="B83" s="100">
        <v>3.62</v>
      </c>
      <c r="C83" s="100">
        <v>6.75</v>
      </c>
      <c r="D83" s="100">
        <v>4.7699999999999996</v>
      </c>
      <c r="E83" s="100">
        <v>7.2</v>
      </c>
      <c r="F83" s="100">
        <v>8.82</v>
      </c>
      <c r="G83" s="100">
        <v>27.51</v>
      </c>
      <c r="H83" s="100">
        <v>15.67</v>
      </c>
      <c r="I83" s="100">
        <v>4.05</v>
      </c>
      <c r="J83" s="100">
        <v>0.79</v>
      </c>
      <c r="K83" s="100">
        <v>248.76</v>
      </c>
      <c r="L83" s="100">
        <v>33.53</v>
      </c>
      <c r="M83" s="100">
        <v>46.07</v>
      </c>
      <c r="N83" s="100">
        <v>5.3</v>
      </c>
      <c r="O83" s="100">
        <v>0</v>
      </c>
      <c r="P83" s="100">
        <v>0.24</v>
      </c>
      <c r="Q83" s="100">
        <v>28</v>
      </c>
      <c r="R83" s="6"/>
      <c r="S83" s="6"/>
      <c r="T83" s="156"/>
      <c r="U83" s="6"/>
    </row>
    <row r="84" spans="1:21" customFormat="1">
      <c r="A84" s="163" t="s">
        <v>411</v>
      </c>
      <c r="B84" s="100">
        <v>3.61</v>
      </c>
      <c r="C84" s="100">
        <v>6.89</v>
      </c>
      <c r="D84" s="100">
        <v>5.05</v>
      </c>
      <c r="E84" s="100">
        <v>7.97</v>
      </c>
      <c r="F84" s="100">
        <v>8.48</v>
      </c>
      <c r="G84" s="100">
        <v>30.76</v>
      </c>
      <c r="H84" s="100">
        <v>14.67</v>
      </c>
      <c r="I84" s="100">
        <v>4</v>
      </c>
      <c r="J84" s="100">
        <v>0.66</v>
      </c>
      <c r="K84" s="100">
        <v>251.65</v>
      </c>
      <c r="L84" s="100">
        <v>33.33</v>
      </c>
      <c r="M84" s="100">
        <v>46.45</v>
      </c>
      <c r="N84" s="100">
        <v>2.6</v>
      </c>
      <c r="O84" s="100">
        <v>0</v>
      </c>
      <c r="P84" s="100">
        <v>0.25</v>
      </c>
      <c r="Q84" s="100">
        <v>28</v>
      </c>
      <c r="R84" s="6"/>
      <c r="S84" s="6"/>
      <c r="T84" s="156"/>
      <c r="U84" s="6"/>
    </row>
    <row r="85" spans="1:21" customFormat="1">
      <c r="A85" s="163" t="s">
        <v>412</v>
      </c>
      <c r="B85" s="100">
        <v>3.62</v>
      </c>
      <c r="C85" s="100">
        <v>6.77</v>
      </c>
      <c r="D85" s="100">
        <v>4.8</v>
      </c>
      <c r="E85" s="100">
        <v>7.84</v>
      </c>
      <c r="F85" s="100">
        <v>7.06</v>
      </c>
      <c r="G85" s="100">
        <v>31.12</v>
      </c>
      <c r="H85" s="100">
        <v>14.67</v>
      </c>
      <c r="I85" s="100">
        <v>3.96</v>
      </c>
      <c r="J85" s="100">
        <v>0.65</v>
      </c>
      <c r="K85" s="100">
        <v>250.91</v>
      </c>
      <c r="L85" s="100">
        <v>33.21</v>
      </c>
      <c r="M85" s="100">
        <v>46.8</v>
      </c>
      <c r="N85" s="100">
        <v>2</v>
      </c>
      <c r="O85" s="100">
        <v>0</v>
      </c>
      <c r="P85" s="100">
        <v>0.25</v>
      </c>
      <c r="Q85" s="100">
        <v>28</v>
      </c>
      <c r="R85" s="6"/>
      <c r="S85" s="6"/>
      <c r="T85" s="156"/>
      <c r="U85" s="6"/>
    </row>
    <row r="86" spans="1:21" customFormat="1">
      <c r="A86" s="163" t="s">
        <v>413</v>
      </c>
      <c r="B86" s="100">
        <v>3.63</v>
      </c>
      <c r="C86" s="100">
        <v>6.79</v>
      </c>
      <c r="D86" s="100">
        <v>4.84</v>
      </c>
      <c r="E86" s="100">
        <v>7.71</v>
      </c>
      <c r="F86" s="100">
        <v>8.27</v>
      </c>
      <c r="G86" s="100">
        <v>31.12</v>
      </c>
      <c r="H86" s="100">
        <v>14.67</v>
      </c>
      <c r="I86" s="100">
        <v>3.91</v>
      </c>
      <c r="J86" s="100">
        <v>0.52</v>
      </c>
      <c r="K86" s="100">
        <v>244.89</v>
      </c>
      <c r="L86" s="100">
        <v>32.99</v>
      </c>
      <c r="M86" s="100">
        <v>47.63</v>
      </c>
      <c r="N86" s="100">
        <v>2.1</v>
      </c>
      <c r="O86" s="100">
        <v>0</v>
      </c>
      <c r="P86" s="100">
        <v>0.26</v>
      </c>
      <c r="Q86" s="100">
        <v>28</v>
      </c>
      <c r="R86" s="6"/>
      <c r="S86" s="6"/>
      <c r="T86" s="156"/>
      <c r="U86" s="6"/>
    </row>
    <row r="87" spans="1:21" customFormat="1">
      <c r="A87" s="163" t="s">
        <v>414</v>
      </c>
      <c r="B87" s="100">
        <v>3.64</v>
      </c>
      <c r="C87" s="100">
        <v>6.84</v>
      </c>
      <c r="D87" s="100">
        <v>4.91</v>
      </c>
      <c r="E87" s="100">
        <v>7.56</v>
      </c>
      <c r="F87" s="100">
        <v>6.82</v>
      </c>
      <c r="G87" s="100">
        <v>31.12</v>
      </c>
      <c r="H87" s="100">
        <v>14.67</v>
      </c>
      <c r="I87" s="100">
        <v>3.95</v>
      </c>
      <c r="J87" s="100">
        <v>0.6</v>
      </c>
      <c r="K87" s="100">
        <v>247.09</v>
      </c>
      <c r="L87" s="100">
        <v>32.79</v>
      </c>
      <c r="M87" s="100">
        <v>48.38</v>
      </c>
      <c r="N87" s="100">
        <v>2.1</v>
      </c>
      <c r="O87" s="100">
        <v>0</v>
      </c>
      <c r="P87" s="100">
        <v>0.26</v>
      </c>
      <c r="Q87" s="100">
        <v>28</v>
      </c>
      <c r="R87" s="6"/>
      <c r="S87" s="6"/>
      <c r="T87" s="156"/>
      <c r="U87" s="6"/>
    </row>
    <row r="88" spans="1:21" customFormat="1">
      <c r="A88" s="163" t="s">
        <v>415</v>
      </c>
      <c r="B88" s="100">
        <v>3.65</v>
      </c>
      <c r="C88" s="100">
        <v>6.89</v>
      </c>
      <c r="D88" s="100">
        <v>5</v>
      </c>
      <c r="E88" s="100">
        <v>7.61</v>
      </c>
      <c r="F88" s="100">
        <v>6.89</v>
      </c>
      <c r="G88" s="100">
        <v>35.46</v>
      </c>
      <c r="H88" s="100">
        <v>19.14</v>
      </c>
      <c r="I88" s="100">
        <v>3.99</v>
      </c>
      <c r="J88" s="100">
        <v>0.52</v>
      </c>
      <c r="K88" s="100">
        <v>246.54</v>
      </c>
      <c r="L88" s="100">
        <v>32.520000000000003</v>
      </c>
      <c r="M88" s="100">
        <v>49.19</v>
      </c>
      <c r="N88" s="100">
        <v>2</v>
      </c>
      <c r="O88" s="100">
        <v>0</v>
      </c>
      <c r="P88" s="100">
        <v>0.28000000000000003</v>
      </c>
      <c r="Q88" s="100">
        <v>28</v>
      </c>
      <c r="R88" s="6"/>
      <c r="S88" s="6"/>
      <c r="T88" s="156"/>
      <c r="U88" s="6"/>
    </row>
    <row r="89" spans="1:21" customFormat="1">
      <c r="A89" s="163" t="s">
        <v>416</v>
      </c>
      <c r="B89" s="100">
        <v>3.68</v>
      </c>
      <c r="C89" s="100">
        <v>6.89</v>
      </c>
      <c r="D89" s="100">
        <v>4.95</v>
      </c>
      <c r="E89" s="100">
        <v>7.85</v>
      </c>
      <c r="F89" s="100">
        <v>5.4</v>
      </c>
      <c r="G89" s="100">
        <v>36</v>
      </c>
      <c r="H89" s="100">
        <v>19.14</v>
      </c>
      <c r="I89" s="100">
        <v>3.97</v>
      </c>
      <c r="J89" s="100">
        <v>0.55000000000000004</v>
      </c>
      <c r="K89" s="100">
        <v>247.03</v>
      </c>
      <c r="L89" s="100">
        <v>32.28</v>
      </c>
      <c r="M89" s="100">
        <v>50.34</v>
      </c>
      <c r="N89" s="100">
        <v>1.8</v>
      </c>
      <c r="O89" s="100">
        <v>0</v>
      </c>
      <c r="P89" s="100">
        <v>0.27</v>
      </c>
      <c r="Q89" s="100">
        <v>28</v>
      </c>
      <c r="R89" s="6"/>
      <c r="S89" s="6"/>
      <c r="T89" s="156"/>
      <c r="U89" s="6"/>
    </row>
    <row r="90" spans="1:21" customFormat="1">
      <c r="A90" s="163" t="s">
        <v>417</v>
      </c>
      <c r="B90" s="100">
        <v>3.7</v>
      </c>
      <c r="C90" s="100">
        <v>6.86</v>
      </c>
      <c r="D90" s="100">
        <v>4.8600000000000003</v>
      </c>
      <c r="E90" s="100">
        <v>8.24</v>
      </c>
      <c r="F90" s="100">
        <v>4.6500000000000004</v>
      </c>
      <c r="G90" s="100">
        <v>36</v>
      </c>
      <c r="H90" s="100">
        <v>19.14</v>
      </c>
      <c r="I90" s="100">
        <v>4.0199999999999996</v>
      </c>
      <c r="J90" s="100">
        <v>0.5</v>
      </c>
      <c r="K90" s="100">
        <v>244.66</v>
      </c>
      <c r="L90" s="100">
        <v>32.03</v>
      </c>
      <c r="M90" s="100">
        <v>51.38</v>
      </c>
      <c r="N90" s="100">
        <v>1.8</v>
      </c>
      <c r="O90" s="100">
        <v>0</v>
      </c>
      <c r="P90" s="100">
        <v>0.28000000000000003</v>
      </c>
      <c r="Q90" s="100">
        <v>28</v>
      </c>
      <c r="R90" s="6"/>
      <c r="S90" s="6"/>
      <c r="T90" s="156"/>
      <c r="U90" s="6"/>
    </row>
    <row r="91" spans="1:21" customFormat="1">
      <c r="A91" s="163" t="s">
        <v>418</v>
      </c>
      <c r="B91" s="100">
        <v>3.71</v>
      </c>
      <c r="C91" s="100">
        <v>6.79</v>
      </c>
      <c r="D91" s="100">
        <v>4.71</v>
      </c>
      <c r="E91" s="100">
        <v>8.19</v>
      </c>
      <c r="F91" s="100">
        <v>5.34</v>
      </c>
      <c r="G91" s="100">
        <v>36</v>
      </c>
      <c r="H91" s="100">
        <v>19.14</v>
      </c>
      <c r="I91" s="100">
        <v>4.0999999999999996</v>
      </c>
      <c r="J91" s="100">
        <v>0.34</v>
      </c>
      <c r="K91" s="100">
        <v>243.03</v>
      </c>
      <c r="L91" s="100">
        <v>31.72</v>
      </c>
      <c r="M91" s="100">
        <v>53.15</v>
      </c>
      <c r="N91" s="100">
        <v>2</v>
      </c>
      <c r="O91" s="100">
        <v>0</v>
      </c>
      <c r="P91" s="100">
        <v>0.28000000000000003</v>
      </c>
      <c r="Q91" s="100">
        <v>28</v>
      </c>
      <c r="R91" s="6"/>
      <c r="S91" s="6"/>
      <c r="T91" s="156"/>
      <c r="U91" s="6"/>
    </row>
    <row r="92" spans="1:21" customFormat="1">
      <c r="A92" s="163" t="s">
        <v>419</v>
      </c>
      <c r="B92" s="100">
        <v>3.73</v>
      </c>
      <c r="C92" s="100">
        <v>7</v>
      </c>
      <c r="D92" s="100">
        <v>5.07</v>
      </c>
      <c r="E92" s="100">
        <v>8.1300000000000008</v>
      </c>
      <c r="F92" s="100">
        <v>6.19</v>
      </c>
      <c r="G92" s="100">
        <v>35.49</v>
      </c>
      <c r="H92" s="100">
        <v>22.28</v>
      </c>
      <c r="I92" s="100">
        <v>4.13</v>
      </c>
      <c r="J92" s="100">
        <v>0.47</v>
      </c>
      <c r="K92" s="100">
        <v>246.46</v>
      </c>
      <c r="L92" s="100">
        <v>31.45</v>
      </c>
      <c r="M92" s="100">
        <v>54.32</v>
      </c>
      <c r="N92" s="100">
        <v>1.7</v>
      </c>
      <c r="O92" s="100">
        <v>0</v>
      </c>
      <c r="P92" s="100">
        <v>0.3</v>
      </c>
      <c r="Q92" s="100">
        <v>28</v>
      </c>
      <c r="R92" s="6"/>
      <c r="S92" s="6"/>
      <c r="T92" s="156"/>
      <c r="U92" s="6"/>
    </row>
    <row r="93" spans="1:21" customFormat="1">
      <c r="A93" s="163" t="s">
        <v>420</v>
      </c>
      <c r="B93" s="100">
        <v>3.79</v>
      </c>
      <c r="C93" s="100">
        <v>6.91</v>
      </c>
      <c r="D93" s="100">
        <v>4.83</v>
      </c>
      <c r="E93" s="100">
        <v>8.2899999999999991</v>
      </c>
      <c r="F93" s="100">
        <v>3.89</v>
      </c>
      <c r="G93" s="100">
        <v>35.43</v>
      </c>
      <c r="H93" s="100">
        <v>22.28</v>
      </c>
      <c r="I93" s="100">
        <v>4.1500000000000004</v>
      </c>
      <c r="J93" s="100">
        <v>0.4</v>
      </c>
      <c r="K93" s="100">
        <v>243.77</v>
      </c>
      <c r="L93" s="100">
        <v>31.39</v>
      </c>
      <c r="M93" s="100">
        <v>54.88</v>
      </c>
      <c r="N93" s="100">
        <v>1.8</v>
      </c>
      <c r="O93" s="100">
        <v>0</v>
      </c>
      <c r="P93" s="100">
        <v>0.28999999999999998</v>
      </c>
      <c r="Q93" s="100">
        <v>28</v>
      </c>
      <c r="R93" s="6"/>
      <c r="S93" s="6"/>
      <c r="T93" s="156"/>
      <c r="U93" s="6"/>
    </row>
    <row r="94" spans="1:21" customFormat="1">
      <c r="A94" s="163" t="s">
        <v>421</v>
      </c>
      <c r="B94" s="100">
        <v>3.83</v>
      </c>
      <c r="C94" s="100">
        <v>6.95</v>
      </c>
      <c r="D94" s="100">
        <v>4.83</v>
      </c>
      <c r="E94" s="100">
        <v>8.31</v>
      </c>
      <c r="F94" s="100">
        <v>3.24</v>
      </c>
      <c r="G94" s="100">
        <v>35.43</v>
      </c>
      <c r="H94" s="100">
        <v>22.28</v>
      </c>
      <c r="I94" s="100">
        <v>4.16</v>
      </c>
      <c r="J94" s="100">
        <v>0.48</v>
      </c>
      <c r="K94" s="100">
        <v>244.51</v>
      </c>
      <c r="L94" s="100">
        <v>31.16</v>
      </c>
      <c r="M94" s="100">
        <v>56.3</v>
      </c>
      <c r="N94" s="100">
        <v>1.8</v>
      </c>
      <c r="O94" s="100">
        <v>0</v>
      </c>
      <c r="P94" s="100">
        <v>0.3</v>
      </c>
      <c r="Q94" s="100">
        <v>28</v>
      </c>
      <c r="R94" s="6"/>
      <c r="S94" s="6"/>
      <c r="T94" s="156"/>
      <c r="U94" s="6"/>
    </row>
    <row r="95" spans="1:21" customFormat="1">
      <c r="A95" s="163" t="s">
        <v>422</v>
      </c>
      <c r="B95" s="100">
        <v>3.87</v>
      </c>
      <c r="C95" s="100">
        <v>6.98</v>
      </c>
      <c r="D95" s="100">
        <v>4.84</v>
      </c>
      <c r="E95" s="100">
        <v>8.5</v>
      </c>
      <c r="F95" s="100">
        <v>3.02</v>
      </c>
      <c r="G95" s="100">
        <v>35.43</v>
      </c>
      <c r="H95" s="100">
        <v>22.28</v>
      </c>
      <c r="I95" s="100">
        <v>4.17</v>
      </c>
      <c r="J95" s="100">
        <v>0.39</v>
      </c>
      <c r="K95" s="100">
        <v>236.82</v>
      </c>
      <c r="L95" s="100">
        <v>30.91</v>
      </c>
      <c r="M95" s="100">
        <v>57.55</v>
      </c>
      <c r="N95" s="100">
        <v>1.8</v>
      </c>
      <c r="O95" s="100">
        <v>0</v>
      </c>
      <c r="P95" s="100">
        <v>0.3</v>
      </c>
      <c r="Q95" s="100">
        <v>28</v>
      </c>
      <c r="R95" s="6"/>
      <c r="S95" s="6"/>
      <c r="T95" s="156"/>
      <c r="U95" s="6"/>
    </row>
    <row r="96" spans="1:21" customFormat="1">
      <c r="A96" s="163" t="s">
        <v>423</v>
      </c>
      <c r="B96" s="100">
        <v>3.88</v>
      </c>
      <c r="C96" s="100">
        <v>7.09</v>
      </c>
      <c r="D96" s="100">
        <v>5.0199999999999996</v>
      </c>
      <c r="E96" s="100">
        <v>8.86</v>
      </c>
      <c r="F96" s="100">
        <v>2.86</v>
      </c>
      <c r="G96" s="100">
        <v>39.49</v>
      </c>
      <c r="H96" s="100">
        <v>21.34</v>
      </c>
      <c r="I96" s="100">
        <v>4.1900000000000004</v>
      </c>
      <c r="J96" s="100">
        <v>0.28000000000000003</v>
      </c>
      <c r="K96" s="100">
        <v>223.99</v>
      </c>
      <c r="L96" s="100">
        <v>30.56</v>
      </c>
      <c r="M96" s="100">
        <v>57.89</v>
      </c>
      <c r="N96" s="100">
        <v>2</v>
      </c>
      <c r="O96" s="100">
        <v>0</v>
      </c>
      <c r="P96" s="100">
        <v>0.32</v>
      </c>
      <c r="Q96" s="100">
        <v>28</v>
      </c>
      <c r="R96" s="6"/>
      <c r="S96" s="6"/>
      <c r="T96" s="156"/>
      <c r="U96" s="6"/>
    </row>
    <row r="97" spans="1:28" customFormat="1">
      <c r="A97" s="163" t="s">
        <v>424</v>
      </c>
      <c r="B97" s="100">
        <v>3.9</v>
      </c>
      <c r="C97" s="100">
        <v>6.89</v>
      </c>
      <c r="D97" s="100">
        <v>4.5999999999999996</v>
      </c>
      <c r="E97" s="100">
        <v>8.2200000000000006</v>
      </c>
      <c r="F97" s="100">
        <v>8.92</v>
      </c>
      <c r="G97" s="100">
        <v>40</v>
      </c>
      <c r="H97" s="100">
        <v>21.34</v>
      </c>
      <c r="I97" s="100">
        <v>4.18</v>
      </c>
      <c r="J97" s="100">
        <v>0.25</v>
      </c>
      <c r="K97" s="100">
        <v>230.3</v>
      </c>
      <c r="L97" s="100">
        <v>30.03</v>
      </c>
      <c r="M97" s="100">
        <v>59.67</v>
      </c>
      <c r="N97" s="100">
        <v>1.9</v>
      </c>
      <c r="O97" s="100">
        <v>0</v>
      </c>
      <c r="P97" s="100">
        <v>0.33</v>
      </c>
      <c r="Q97" s="100">
        <v>28</v>
      </c>
      <c r="R97" s="6"/>
      <c r="S97" s="6"/>
      <c r="T97" s="156"/>
      <c r="U97" s="6"/>
    </row>
    <row r="98" spans="1:28" customFormat="1">
      <c r="A98" s="163" t="s">
        <v>425</v>
      </c>
      <c r="B98" s="100">
        <v>3.92</v>
      </c>
      <c r="C98" s="100">
        <v>6.72</v>
      </c>
      <c r="D98" s="100">
        <v>4.25</v>
      </c>
      <c r="E98" s="100">
        <v>7.88</v>
      </c>
      <c r="F98" s="100">
        <v>11.4</v>
      </c>
      <c r="G98" s="100">
        <v>40</v>
      </c>
      <c r="H98" s="100">
        <v>21.34</v>
      </c>
      <c r="I98" s="100">
        <v>4.22</v>
      </c>
      <c r="J98" s="100">
        <v>0.23</v>
      </c>
      <c r="K98" s="100">
        <v>227.72</v>
      </c>
      <c r="L98" s="100">
        <v>29.64</v>
      </c>
      <c r="M98" s="100">
        <v>61.42</v>
      </c>
      <c r="N98" s="100">
        <v>2</v>
      </c>
      <c r="O98" s="100">
        <v>0</v>
      </c>
      <c r="P98" s="100">
        <v>0.34</v>
      </c>
      <c r="Q98" s="100">
        <v>28</v>
      </c>
      <c r="R98" s="6"/>
      <c r="S98" s="6"/>
      <c r="T98" s="156"/>
      <c r="U98" s="6"/>
    </row>
    <row r="99" spans="1:28" customFormat="1">
      <c r="A99" s="163" t="s">
        <v>426</v>
      </c>
      <c r="B99" s="100">
        <v>3.95</v>
      </c>
      <c r="C99" s="100">
        <v>6.6</v>
      </c>
      <c r="D99" s="100">
        <v>3.98</v>
      </c>
      <c r="E99" s="100">
        <v>7.47</v>
      </c>
      <c r="F99" s="100">
        <v>12.74</v>
      </c>
      <c r="G99" s="100">
        <v>40</v>
      </c>
      <c r="H99" s="100">
        <v>21.34</v>
      </c>
      <c r="I99" s="100">
        <v>4.3099999999999996</v>
      </c>
      <c r="J99" s="100">
        <v>0.22</v>
      </c>
      <c r="K99" s="100">
        <v>220.89</v>
      </c>
      <c r="L99" s="100">
        <v>29.51</v>
      </c>
      <c r="M99" s="100">
        <v>62.32</v>
      </c>
      <c r="N99" s="100">
        <v>1.7</v>
      </c>
      <c r="O99" s="100">
        <v>0</v>
      </c>
      <c r="P99" s="100">
        <v>0.34</v>
      </c>
      <c r="Q99" s="100">
        <v>28</v>
      </c>
      <c r="R99" s="6"/>
      <c r="S99" s="6"/>
      <c r="T99" s="156"/>
      <c r="U99" s="6"/>
    </row>
    <row r="100" spans="1:28" customFormat="1">
      <c r="A100" s="163" t="s">
        <v>427</v>
      </c>
      <c r="B100" s="100">
        <v>4.04</v>
      </c>
      <c r="C100" s="100">
        <v>6.61</v>
      </c>
      <c r="D100" s="100">
        <v>3.87</v>
      </c>
      <c r="E100" s="100">
        <v>7.26</v>
      </c>
      <c r="F100" s="100">
        <v>8.6</v>
      </c>
      <c r="G100" s="100">
        <v>34.03</v>
      </c>
      <c r="H100" s="100">
        <v>20.49</v>
      </c>
      <c r="I100" s="100">
        <v>4.5</v>
      </c>
      <c r="J100" s="100">
        <v>0.21</v>
      </c>
      <c r="K100" s="100">
        <v>219.05</v>
      </c>
      <c r="L100" s="100">
        <v>29.28</v>
      </c>
      <c r="M100" s="100">
        <v>63.11</v>
      </c>
      <c r="N100" s="100">
        <v>1.7</v>
      </c>
      <c r="O100" s="100">
        <v>0</v>
      </c>
      <c r="P100" s="100">
        <v>0.34</v>
      </c>
      <c r="Q100" s="100">
        <v>28</v>
      </c>
      <c r="R100" s="6"/>
      <c r="S100" s="6"/>
      <c r="T100" s="156"/>
      <c r="U100" s="6"/>
      <c r="AB100" s="161"/>
    </row>
    <row r="101" spans="1:28" customFormat="1">
      <c r="A101" s="163" t="s">
        <v>428</v>
      </c>
      <c r="B101" s="100">
        <v>4.1500000000000004</v>
      </c>
      <c r="C101" s="100">
        <v>6.79</v>
      </c>
      <c r="D101" s="100">
        <v>4.05</v>
      </c>
      <c r="E101" s="100">
        <v>7.8</v>
      </c>
      <c r="F101" s="100">
        <v>7.69</v>
      </c>
      <c r="G101" s="100">
        <v>33.28</v>
      </c>
      <c r="H101" s="100">
        <v>20.49</v>
      </c>
      <c r="I101" s="100">
        <v>4.42</v>
      </c>
      <c r="J101" s="100">
        <v>0.23</v>
      </c>
      <c r="K101" s="100">
        <v>231.07</v>
      </c>
      <c r="L101" s="100">
        <v>29.09</v>
      </c>
      <c r="M101" s="100">
        <v>64.180000000000007</v>
      </c>
      <c r="N101" s="100">
        <v>1.7</v>
      </c>
      <c r="O101" s="100">
        <v>0</v>
      </c>
      <c r="P101" s="100">
        <v>0.35</v>
      </c>
      <c r="Q101" s="100">
        <v>28</v>
      </c>
      <c r="R101" s="6"/>
      <c r="S101" s="6"/>
      <c r="T101" s="156"/>
      <c r="U101" s="6"/>
    </row>
    <row r="102" spans="1:28" customFormat="1">
      <c r="A102" s="163" t="s">
        <v>429</v>
      </c>
      <c r="B102" s="100">
        <v>4.1900000000000004</v>
      </c>
      <c r="C102" s="100">
        <v>6.68</v>
      </c>
      <c r="D102" s="100">
        <v>3.77</v>
      </c>
      <c r="E102" s="100">
        <v>7.75</v>
      </c>
      <c r="F102" s="100">
        <v>10.07</v>
      </c>
      <c r="G102" s="100">
        <v>33.28</v>
      </c>
      <c r="H102" s="100">
        <v>20.49</v>
      </c>
      <c r="I102" s="100">
        <v>4.4400000000000004</v>
      </c>
      <c r="J102" s="100">
        <v>0.24</v>
      </c>
      <c r="K102" s="100">
        <v>225.9</v>
      </c>
      <c r="L102" s="100">
        <v>28.95</v>
      </c>
      <c r="M102" s="100">
        <v>64.08</v>
      </c>
      <c r="N102" s="100">
        <v>1.7</v>
      </c>
      <c r="O102" s="100">
        <v>0</v>
      </c>
      <c r="P102" s="100">
        <v>0.34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430</v>
      </c>
      <c r="B103" s="100">
        <v>4.34</v>
      </c>
      <c r="C103" s="100">
        <v>6.63</v>
      </c>
      <c r="D103" s="100">
        <v>3.46</v>
      </c>
      <c r="E103" s="100">
        <v>7.92</v>
      </c>
      <c r="F103" s="100">
        <v>5.13</v>
      </c>
      <c r="G103" s="100">
        <v>33.28</v>
      </c>
      <c r="H103" s="100">
        <v>20.49</v>
      </c>
      <c r="I103" s="100">
        <v>4.43</v>
      </c>
      <c r="J103" s="100">
        <v>0.14000000000000001</v>
      </c>
      <c r="K103" s="100">
        <v>213.18</v>
      </c>
      <c r="L103" s="100">
        <v>28.9</v>
      </c>
      <c r="M103" s="100">
        <v>63.27</v>
      </c>
      <c r="N103" s="100">
        <v>1.7</v>
      </c>
      <c r="O103" s="100">
        <v>0</v>
      </c>
      <c r="P103" s="100">
        <v>0.34</v>
      </c>
      <c r="Q103" s="100">
        <v>28</v>
      </c>
      <c r="R103" s="6"/>
      <c r="S103" s="6"/>
      <c r="T103" s="156"/>
      <c r="U103" s="6"/>
    </row>
    <row r="104" spans="1:28" customFormat="1">
      <c r="A104" s="163" t="s">
        <v>431</v>
      </c>
      <c r="B104" s="100">
        <v>4.29</v>
      </c>
      <c r="C104" s="100">
        <v>6.75</v>
      </c>
      <c r="D104" s="100">
        <v>3.75</v>
      </c>
      <c r="E104" s="100">
        <v>7.47</v>
      </c>
      <c r="F104" s="100">
        <v>10.29</v>
      </c>
      <c r="G104" s="100">
        <v>30.45</v>
      </c>
      <c r="H104" s="100">
        <v>17.34</v>
      </c>
      <c r="I104" s="100">
        <v>4.34</v>
      </c>
      <c r="J104" s="100">
        <v>0.16</v>
      </c>
      <c r="K104" s="100">
        <v>213.95</v>
      </c>
      <c r="L104" s="100">
        <v>28.6</v>
      </c>
      <c r="M104" s="100">
        <v>63.64</v>
      </c>
      <c r="N104" s="100">
        <v>1.7</v>
      </c>
      <c r="O104" s="100">
        <v>0</v>
      </c>
      <c r="P104" s="100">
        <v>0.34</v>
      </c>
      <c r="Q104" s="100">
        <v>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3.61</v>
      </c>
      <c r="C106" s="158">
        <f>MIN(C9:C104)</f>
        <v>5.8</v>
      </c>
      <c r="D106" s="158">
        <f t="shared" ref="D106:Q106" si="0">MIN(D9:D104)</f>
        <v>2.84</v>
      </c>
      <c r="E106" s="158">
        <f t="shared" si="0"/>
        <v>6.29</v>
      </c>
      <c r="F106" s="158">
        <f t="shared" si="0"/>
        <v>2.1</v>
      </c>
      <c r="G106" s="158">
        <f t="shared" si="0"/>
        <v>27.51</v>
      </c>
      <c r="H106" s="158">
        <f t="shared" si="0"/>
        <v>13.77</v>
      </c>
      <c r="I106" s="158">
        <f t="shared" si="0"/>
        <v>3.91</v>
      </c>
      <c r="J106" s="158">
        <f t="shared" si="0"/>
        <v>0.11</v>
      </c>
      <c r="K106" s="158">
        <f t="shared" si="0"/>
        <v>153.69999999999999</v>
      </c>
      <c r="L106" s="158">
        <f t="shared" si="0"/>
        <v>25.32</v>
      </c>
      <c r="M106" s="158">
        <f t="shared" si="0"/>
        <v>37.97</v>
      </c>
      <c r="N106" s="158">
        <f t="shared" si="0"/>
        <v>1.2</v>
      </c>
      <c r="O106" s="158">
        <f t="shared" si="0"/>
        <v>0</v>
      </c>
      <c r="P106" s="158">
        <f t="shared" si="0"/>
        <v>0.22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6.06</v>
      </c>
      <c r="C107" s="157">
        <f t="shared" ref="C107:Q107" si="1">MAX(C9:C104)</f>
        <v>8.44</v>
      </c>
      <c r="D107" s="157">
        <f t="shared" si="1"/>
        <v>5.35</v>
      </c>
      <c r="E107" s="157">
        <f t="shared" si="1"/>
        <v>9.49</v>
      </c>
      <c r="F107" s="157">
        <f t="shared" si="1"/>
        <v>12.74</v>
      </c>
      <c r="G107" s="157">
        <f t="shared" si="1"/>
        <v>61.71</v>
      </c>
      <c r="H107" s="157">
        <f t="shared" si="1"/>
        <v>23.5</v>
      </c>
      <c r="I107" s="157">
        <f t="shared" si="1"/>
        <v>5.24</v>
      </c>
      <c r="J107" s="157">
        <f t="shared" si="1"/>
        <v>1.2</v>
      </c>
      <c r="K107" s="157">
        <f t="shared" si="1"/>
        <v>265.75</v>
      </c>
      <c r="L107" s="157">
        <f t="shared" si="1"/>
        <v>37.42</v>
      </c>
      <c r="M107" s="157">
        <f t="shared" si="1"/>
        <v>75.930000000000007</v>
      </c>
      <c r="N107" s="157">
        <f t="shared" si="1"/>
        <v>887.5</v>
      </c>
      <c r="O107" s="157">
        <f t="shared" si="1"/>
        <v>0</v>
      </c>
      <c r="P107" s="157">
        <f t="shared" si="1"/>
        <v>0.37</v>
      </c>
      <c r="Q107" s="157">
        <f t="shared" si="1"/>
        <v>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4.1808333333333332</v>
      </c>
      <c r="C108" s="158">
        <f t="shared" ref="C108:Q108" si="2">AVERAGE(C9:C104)</f>
        <v>6.8521874999999968</v>
      </c>
      <c r="D108" s="158">
        <f t="shared" si="2"/>
        <v>4.1112499999999992</v>
      </c>
      <c r="E108" s="158">
        <f t="shared" si="2"/>
        <v>7.7297916666666664</v>
      </c>
      <c r="F108" s="158">
        <f t="shared" si="2"/>
        <v>5.4053124999999982</v>
      </c>
      <c r="G108" s="158">
        <f t="shared" si="2"/>
        <v>40.338333333333345</v>
      </c>
      <c r="H108" s="158">
        <f t="shared" si="2"/>
        <v>19.142916666666679</v>
      </c>
      <c r="I108" s="158">
        <f t="shared" si="2"/>
        <v>4.5873958333333347</v>
      </c>
      <c r="J108" s="158">
        <f t="shared" si="2"/>
        <v>0.6158333333333329</v>
      </c>
      <c r="K108" s="158">
        <f t="shared" si="2"/>
        <v>239.37854166666668</v>
      </c>
      <c r="L108" s="158">
        <f t="shared" si="2"/>
        <v>31.503854166666667</v>
      </c>
      <c r="M108" s="158">
        <f t="shared" si="2"/>
        <v>54.55145833333335</v>
      </c>
      <c r="N108" s="158">
        <f t="shared" si="2"/>
        <v>154.55937499999996</v>
      </c>
      <c r="O108" s="158">
        <f t="shared" si="2"/>
        <v>0</v>
      </c>
      <c r="P108" s="158">
        <f t="shared" si="2"/>
        <v>0.31354166666666655</v>
      </c>
      <c r="Q108" s="158">
        <f t="shared" si="2"/>
        <v>28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0.68074829828213945</v>
      </c>
      <c r="C109" s="158">
        <f t="shared" ref="C109:Q109" si="3">STDEV(C9:C104)</f>
        <v>0.59975293707185418</v>
      </c>
      <c r="D109" s="158">
        <f t="shared" si="3"/>
        <v>0.79015821200567415</v>
      </c>
      <c r="E109" s="158">
        <f t="shared" si="3"/>
        <v>0.77050083393057989</v>
      </c>
      <c r="F109" s="158">
        <f t="shared" si="3"/>
        <v>2.8651903411099036</v>
      </c>
      <c r="G109" s="158">
        <f t="shared" si="3"/>
        <v>9.5407130558483164</v>
      </c>
      <c r="H109" s="158">
        <f t="shared" si="3"/>
        <v>2.7202607911613303</v>
      </c>
      <c r="I109" s="158">
        <f t="shared" si="3"/>
        <v>0.37285596144148775</v>
      </c>
      <c r="J109" s="158">
        <f t="shared" si="3"/>
        <v>0.34411034541925928</v>
      </c>
      <c r="K109" s="158">
        <f t="shared" si="3"/>
        <v>22.013408066289557</v>
      </c>
      <c r="L109" s="158">
        <f t="shared" si="3"/>
        <v>3.9553980090614891</v>
      </c>
      <c r="M109" s="158">
        <f t="shared" si="3"/>
        <v>11.384820362789258</v>
      </c>
      <c r="N109" s="158">
        <f t="shared" si="3"/>
        <v>240.23739118153634</v>
      </c>
      <c r="O109" s="158">
        <f t="shared" si="3"/>
        <v>0</v>
      </c>
      <c r="P109" s="158">
        <f t="shared" si="3"/>
        <v>3.4273794398290376E-2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2" sqref="I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432</v>
      </c>
      <c r="B9" s="100">
        <v>4.49</v>
      </c>
      <c r="C9" s="100">
        <v>6.66</v>
      </c>
      <c r="D9" s="100">
        <v>3.28</v>
      </c>
      <c r="E9" s="100">
        <v>7.49</v>
      </c>
      <c r="F9" s="100">
        <v>7.19</v>
      </c>
      <c r="G9" s="100">
        <v>30.13</v>
      </c>
      <c r="H9" s="100">
        <v>17.34</v>
      </c>
      <c r="I9" s="100">
        <v>4.5</v>
      </c>
      <c r="J9" s="100">
        <v>0.27</v>
      </c>
      <c r="K9" s="100">
        <v>236</v>
      </c>
      <c r="L9" s="100">
        <v>28.62</v>
      </c>
      <c r="M9" s="100">
        <v>63.48</v>
      </c>
      <c r="N9" s="100">
        <v>1.4</v>
      </c>
      <c r="O9" s="100">
        <v>0</v>
      </c>
      <c r="P9" s="100">
        <v>0.33</v>
      </c>
      <c r="Q9" s="100">
        <v>28</v>
      </c>
      <c r="R9" s="6"/>
      <c r="S9" s="6"/>
      <c r="T9" s="156"/>
      <c r="U9" s="6"/>
    </row>
    <row r="10" spans="1:21" customFormat="1">
      <c r="A10" s="163" t="s">
        <v>433</v>
      </c>
      <c r="B10" s="100">
        <v>4.5</v>
      </c>
      <c r="C10" s="100">
        <v>6.73</v>
      </c>
      <c r="D10" s="100">
        <v>3.39</v>
      </c>
      <c r="E10" s="100">
        <v>8.2100000000000009</v>
      </c>
      <c r="F10" s="100">
        <v>5.52</v>
      </c>
      <c r="G10" s="100">
        <v>30.13</v>
      </c>
      <c r="H10" s="100">
        <v>17.34</v>
      </c>
      <c r="I10" s="100">
        <v>4.21</v>
      </c>
      <c r="J10" s="100">
        <v>0.22</v>
      </c>
      <c r="K10" s="100">
        <v>228.09</v>
      </c>
      <c r="L10" s="100">
        <v>28.54</v>
      </c>
      <c r="M10" s="100">
        <v>63.9</v>
      </c>
      <c r="N10" s="100">
        <v>1.6</v>
      </c>
      <c r="O10" s="100">
        <v>0</v>
      </c>
      <c r="P10" s="100">
        <v>0.35</v>
      </c>
      <c r="Q10" s="100">
        <v>28</v>
      </c>
      <c r="R10" s="6"/>
      <c r="S10" s="6"/>
      <c r="T10" s="156"/>
      <c r="U10" s="6"/>
    </row>
    <row r="11" spans="1:21" customFormat="1">
      <c r="A11" s="163" t="s">
        <v>434</v>
      </c>
      <c r="B11" s="100">
        <v>4.45</v>
      </c>
      <c r="C11" s="100">
        <v>6.74</v>
      </c>
      <c r="D11" s="100">
        <v>3.48</v>
      </c>
      <c r="E11" s="100">
        <v>7.59</v>
      </c>
      <c r="F11" s="100">
        <v>7.5</v>
      </c>
      <c r="G11" s="100">
        <v>30.13</v>
      </c>
      <c r="H11" s="100">
        <v>17.34</v>
      </c>
      <c r="I11" s="100">
        <v>4.3899999999999997</v>
      </c>
      <c r="J11" s="100">
        <v>0.24</v>
      </c>
      <c r="K11" s="100">
        <v>234.93</v>
      </c>
      <c r="L11" s="100">
        <v>28.64</v>
      </c>
      <c r="M11" s="100">
        <v>64.16</v>
      </c>
      <c r="N11" s="100">
        <v>1.6</v>
      </c>
      <c r="O11" s="100">
        <v>0</v>
      </c>
      <c r="P11" s="100">
        <v>0.34</v>
      </c>
      <c r="Q11" s="100">
        <v>28</v>
      </c>
      <c r="R11" s="6"/>
      <c r="S11" s="6"/>
      <c r="T11" s="156"/>
      <c r="U11" s="6"/>
    </row>
    <row r="12" spans="1:21" customFormat="1">
      <c r="A12" s="163" t="s">
        <v>435</v>
      </c>
      <c r="B12" s="100">
        <v>4.58</v>
      </c>
      <c r="C12" s="100">
        <v>6.77</v>
      </c>
      <c r="D12" s="100">
        <v>3.33</v>
      </c>
      <c r="E12" s="100">
        <v>7.73</v>
      </c>
      <c r="F12" s="100">
        <v>5.53</v>
      </c>
      <c r="G12" s="100">
        <v>26.55</v>
      </c>
      <c r="H12" s="100">
        <v>14.24</v>
      </c>
      <c r="I12" s="100">
        <v>4.5999999999999996</v>
      </c>
      <c r="J12" s="100">
        <v>0.18</v>
      </c>
      <c r="K12" s="100">
        <v>229.29</v>
      </c>
      <c r="L12" s="100">
        <v>28.49</v>
      </c>
      <c r="M12" s="100">
        <v>64.39</v>
      </c>
      <c r="N12" s="100">
        <v>1.8</v>
      </c>
      <c r="O12" s="100">
        <v>0</v>
      </c>
      <c r="P12" s="100">
        <v>0.35</v>
      </c>
      <c r="Q12" s="100">
        <v>28</v>
      </c>
      <c r="R12" s="6"/>
      <c r="S12" s="6"/>
      <c r="T12" s="156"/>
      <c r="U12" s="6"/>
    </row>
    <row r="13" spans="1:21" customFormat="1">
      <c r="A13" s="163" t="s">
        <v>436</v>
      </c>
      <c r="B13" s="100">
        <v>4.58</v>
      </c>
      <c r="C13" s="100">
        <v>6.9</v>
      </c>
      <c r="D13" s="100">
        <v>3.59</v>
      </c>
      <c r="E13" s="100">
        <v>7.57</v>
      </c>
      <c r="F13" s="100">
        <v>6.8</v>
      </c>
      <c r="G13" s="100">
        <v>26.1</v>
      </c>
      <c r="H13" s="100">
        <v>14.24</v>
      </c>
      <c r="I13" s="100">
        <v>4.4800000000000004</v>
      </c>
      <c r="J13" s="100">
        <v>0.17</v>
      </c>
      <c r="K13" s="100">
        <v>234.22</v>
      </c>
      <c r="L13" s="100">
        <v>28.31</v>
      </c>
      <c r="M13" s="100">
        <v>65.56</v>
      </c>
      <c r="N13" s="100">
        <v>1.7</v>
      </c>
      <c r="O13" s="100">
        <v>0</v>
      </c>
      <c r="P13" s="100">
        <v>0.33</v>
      </c>
      <c r="Q13" s="100">
        <v>28</v>
      </c>
      <c r="R13" s="6"/>
      <c r="S13" s="6"/>
      <c r="T13" s="156"/>
      <c r="U13" s="6"/>
    </row>
    <row r="14" spans="1:21" customFormat="1">
      <c r="A14" s="163" t="s">
        <v>437</v>
      </c>
      <c r="B14" s="100">
        <v>4.6399999999999997</v>
      </c>
      <c r="C14" s="100">
        <v>6.81</v>
      </c>
      <c r="D14" s="100">
        <v>3.34</v>
      </c>
      <c r="E14" s="100">
        <v>7.57</v>
      </c>
      <c r="F14" s="100">
        <v>6.74</v>
      </c>
      <c r="G14" s="100">
        <v>26.1</v>
      </c>
      <c r="H14" s="100">
        <v>14.24</v>
      </c>
      <c r="I14" s="100">
        <v>4.63</v>
      </c>
      <c r="J14" s="100">
        <v>0.18</v>
      </c>
      <c r="K14" s="100">
        <v>218.28</v>
      </c>
      <c r="L14" s="100">
        <v>28.16</v>
      </c>
      <c r="M14" s="100">
        <v>66.28</v>
      </c>
      <c r="N14" s="100">
        <v>1.7</v>
      </c>
      <c r="O14" s="100">
        <v>0</v>
      </c>
      <c r="P14" s="100">
        <v>0.33</v>
      </c>
      <c r="Q14" s="100">
        <v>28</v>
      </c>
      <c r="R14" s="6"/>
      <c r="S14" s="6"/>
      <c r="T14" s="156"/>
      <c r="U14" s="6"/>
    </row>
    <row r="15" spans="1:21" customFormat="1">
      <c r="A15" s="163" t="s">
        <v>438</v>
      </c>
      <c r="B15" s="100">
        <v>4.79</v>
      </c>
      <c r="C15" s="100">
        <v>6.93</v>
      </c>
      <c r="D15" s="100">
        <v>3.34</v>
      </c>
      <c r="E15" s="100">
        <v>7.8</v>
      </c>
      <c r="F15" s="100">
        <v>4.21</v>
      </c>
      <c r="G15" s="100">
        <v>26.1</v>
      </c>
      <c r="H15" s="100">
        <v>14.24</v>
      </c>
      <c r="I15" s="100">
        <v>4.41</v>
      </c>
      <c r="J15" s="100">
        <v>0.2</v>
      </c>
      <c r="K15" s="100">
        <v>174.79</v>
      </c>
      <c r="L15" s="100">
        <v>28.04</v>
      </c>
      <c r="M15" s="100">
        <v>68.11</v>
      </c>
      <c r="N15" s="100">
        <v>1.8</v>
      </c>
      <c r="O15" s="100">
        <v>0</v>
      </c>
      <c r="P15" s="100">
        <v>0.35</v>
      </c>
      <c r="Q15" s="100">
        <v>28</v>
      </c>
      <c r="R15" s="6"/>
      <c r="S15" s="6"/>
      <c r="T15" s="156"/>
      <c r="U15" s="6"/>
    </row>
    <row r="16" spans="1:21" customFormat="1">
      <c r="A16" s="163" t="s">
        <v>439</v>
      </c>
      <c r="B16" s="100">
        <v>4.68</v>
      </c>
      <c r="C16" s="100">
        <v>6.94</v>
      </c>
      <c r="D16" s="100">
        <v>3.52</v>
      </c>
      <c r="E16" s="100">
        <v>7.45</v>
      </c>
      <c r="F16" s="100">
        <v>7.54</v>
      </c>
      <c r="G16" s="100">
        <v>26.6</v>
      </c>
      <c r="H16" s="100">
        <v>15.32</v>
      </c>
      <c r="I16" s="100">
        <v>4.4000000000000004</v>
      </c>
      <c r="J16" s="100">
        <v>0.14000000000000001</v>
      </c>
      <c r="K16" s="100">
        <v>189.34</v>
      </c>
      <c r="L16" s="100">
        <v>27.62</v>
      </c>
      <c r="M16" s="100">
        <v>69.92</v>
      </c>
      <c r="N16" s="100">
        <v>1.8</v>
      </c>
      <c r="O16" s="100">
        <v>0</v>
      </c>
      <c r="P16" s="100">
        <v>0.32</v>
      </c>
      <c r="Q16" s="100">
        <v>28</v>
      </c>
      <c r="R16" s="6"/>
      <c r="S16" s="6"/>
      <c r="T16" s="156"/>
      <c r="U16" s="6"/>
    </row>
    <row r="17" spans="1:21" customFormat="1">
      <c r="A17" s="163" t="s">
        <v>440</v>
      </c>
      <c r="B17" s="100">
        <v>4.92</v>
      </c>
      <c r="C17" s="100">
        <v>6.93</v>
      </c>
      <c r="D17" s="100">
        <v>3.13</v>
      </c>
      <c r="E17" s="100">
        <v>7.49</v>
      </c>
      <c r="F17" s="100">
        <v>4.21</v>
      </c>
      <c r="G17" s="100">
        <v>26.66</v>
      </c>
      <c r="H17" s="100">
        <v>15.32</v>
      </c>
      <c r="I17" s="100">
        <v>4.5999999999999996</v>
      </c>
      <c r="J17" s="100">
        <v>0.15</v>
      </c>
      <c r="K17" s="100">
        <v>185.93</v>
      </c>
      <c r="L17" s="100">
        <v>27.42</v>
      </c>
      <c r="M17" s="100">
        <v>70.569999999999993</v>
      </c>
      <c r="N17" s="100">
        <v>1.8</v>
      </c>
      <c r="O17" s="100">
        <v>0</v>
      </c>
      <c r="P17" s="100">
        <v>0.33</v>
      </c>
      <c r="Q17" s="100">
        <v>28</v>
      </c>
      <c r="R17" s="6"/>
      <c r="S17" s="6"/>
      <c r="T17" s="156"/>
      <c r="U17" s="6"/>
    </row>
    <row r="18" spans="1:21" customFormat="1">
      <c r="A18" s="163" t="s">
        <v>441</v>
      </c>
      <c r="B18" s="100">
        <v>4.99</v>
      </c>
      <c r="C18" s="100">
        <v>7.16</v>
      </c>
      <c r="D18" s="100">
        <v>3.47</v>
      </c>
      <c r="E18" s="100">
        <v>8.9600000000000009</v>
      </c>
      <c r="F18" s="100">
        <v>3.84</v>
      </c>
      <c r="G18" s="100">
        <v>26.66</v>
      </c>
      <c r="H18" s="100">
        <v>15.32</v>
      </c>
      <c r="I18" s="100">
        <v>4.29</v>
      </c>
      <c r="J18" s="100">
        <v>0.15</v>
      </c>
      <c r="K18" s="100">
        <v>173.93</v>
      </c>
      <c r="L18" s="100">
        <v>27.35</v>
      </c>
      <c r="M18" s="100">
        <v>71.7</v>
      </c>
      <c r="N18" s="100">
        <v>1.7</v>
      </c>
      <c r="O18" s="100">
        <v>0</v>
      </c>
      <c r="P18" s="100">
        <v>0.33</v>
      </c>
      <c r="Q18" s="100">
        <v>28</v>
      </c>
      <c r="R18" s="6"/>
      <c r="S18" s="6"/>
      <c r="T18" s="156"/>
      <c r="U18" s="6"/>
    </row>
    <row r="19" spans="1:21" customFormat="1">
      <c r="A19" s="163" t="s">
        <v>442</v>
      </c>
      <c r="B19" s="100">
        <v>5.1100000000000003</v>
      </c>
      <c r="C19" s="100">
        <v>7.18</v>
      </c>
      <c r="D19" s="100">
        <v>3.33</v>
      </c>
      <c r="E19" s="100">
        <v>8.27</v>
      </c>
      <c r="F19" s="100">
        <v>4.12</v>
      </c>
      <c r="G19" s="100">
        <v>26.66</v>
      </c>
      <c r="H19" s="100">
        <v>15.32</v>
      </c>
      <c r="I19" s="100">
        <v>4.7300000000000004</v>
      </c>
      <c r="J19" s="100">
        <v>0.12</v>
      </c>
      <c r="K19" s="100">
        <v>179.55</v>
      </c>
      <c r="L19" s="100">
        <v>27.32</v>
      </c>
      <c r="M19" s="100">
        <v>73.23</v>
      </c>
      <c r="N19" s="100">
        <v>1.7</v>
      </c>
      <c r="O19" s="100">
        <v>0</v>
      </c>
      <c r="P19" s="100">
        <v>0.34</v>
      </c>
      <c r="Q19" s="100">
        <v>28</v>
      </c>
      <c r="R19" s="6"/>
      <c r="S19" s="6"/>
      <c r="T19" s="156"/>
      <c r="U19" s="6"/>
    </row>
    <row r="20" spans="1:21" customFormat="1">
      <c r="A20" s="163" t="s">
        <v>443</v>
      </c>
      <c r="B20" s="100">
        <v>5.29</v>
      </c>
      <c r="C20" s="100">
        <v>7.74</v>
      </c>
      <c r="D20" s="100">
        <v>4.1100000000000003</v>
      </c>
      <c r="E20" s="100">
        <v>8.74</v>
      </c>
      <c r="F20" s="100">
        <v>2.39</v>
      </c>
      <c r="G20" s="100">
        <v>25.71</v>
      </c>
      <c r="H20" s="100">
        <v>13.17</v>
      </c>
      <c r="I20" s="100">
        <v>4.51</v>
      </c>
      <c r="J20" s="100">
        <v>0.12</v>
      </c>
      <c r="K20" s="100">
        <v>184.63</v>
      </c>
      <c r="L20" s="100">
        <v>27.36</v>
      </c>
      <c r="M20" s="100">
        <v>72.150000000000006</v>
      </c>
      <c r="N20" s="100">
        <v>1.6</v>
      </c>
      <c r="O20" s="100">
        <v>0</v>
      </c>
      <c r="P20" s="100">
        <v>0.32</v>
      </c>
      <c r="Q20" s="100">
        <v>28</v>
      </c>
      <c r="R20" s="6"/>
      <c r="S20" s="6"/>
      <c r="T20" s="156"/>
      <c r="U20" s="6"/>
    </row>
    <row r="21" spans="1:21" customFormat="1">
      <c r="A21" s="163" t="s">
        <v>444</v>
      </c>
      <c r="B21" s="100">
        <v>5.25</v>
      </c>
      <c r="C21" s="100">
        <v>7.87</v>
      </c>
      <c r="D21" s="100">
        <v>4.43</v>
      </c>
      <c r="E21" s="100">
        <v>8.8699999999999992</v>
      </c>
      <c r="F21" s="100">
        <v>2.12</v>
      </c>
      <c r="G21" s="100">
        <v>25.6</v>
      </c>
      <c r="H21" s="100">
        <v>13.17</v>
      </c>
      <c r="I21" s="100">
        <v>4.5999999999999996</v>
      </c>
      <c r="J21" s="100">
        <v>0.14000000000000001</v>
      </c>
      <c r="K21" s="100">
        <v>193.58</v>
      </c>
      <c r="L21" s="100">
        <v>27.3</v>
      </c>
      <c r="M21" s="100">
        <v>72.36</v>
      </c>
      <c r="N21" s="100">
        <v>1.7</v>
      </c>
      <c r="O21" s="100">
        <v>0</v>
      </c>
      <c r="P21" s="100">
        <v>0.31</v>
      </c>
      <c r="Q21" s="100">
        <v>28</v>
      </c>
      <c r="R21" s="6"/>
      <c r="S21" s="6"/>
      <c r="T21" s="156"/>
      <c r="U21" s="6"/>
    </row>
    <row r="22" spans="1:21" customFormat="1">
      <c r="A22" s="163" t="s">
        <v>445</v>
      </c>
      <c r="B22" s="100">
        <v>5.17</v>
      </c>
      <c r="C22" s="100">
        <v>7.83</v>
      </c>
      <c r="D22" s="100">
        <v>4.47</v>
      </c>
      <c r="E22" s="100">
        <v>9.3000000000000007</v>
      </c>
      <c r="F22" s="100">
        <v>2.1</v>
      </c>
      <c r="G22" s="100">
        <v>25.6</v>
      </c>
      <c r="H22" s="100">
        <v>13.17</v>
      </c>
      <c r="I22" s="100">
        <v>4.8</v>
      </c>
      <c r="J22" s="100">
        <v>7.0000000000000007E-2</v>
      </c>
      <c r="K22" s="100">
        <v>159.78</v>
      </c>
      <c r="L22" s="100">
        <v>27.16</v>
      </c>
      <c r="M22" s="100">
        <v>73.790000000000006</v>
      </c>
      <c r="N22" s="100">
        <v>1.6</v>
      </c>
      <c r="O22" s="100">
        <v>0</v>
      </c>
      <c r="P22" s="100">
        <v>0.3</v>
      </c>
      <c r="Q22" s="100">
        <v>28</v>
      </c>
      <c r="R22" s="6"/>
      <c r="S22" s="6"/>
      <c r="T22" s="156"/>
      <c r="U22" s="6"/>
    </row>
    <row r="23" spans="1:21" customFormat="1">
      <c r="A23" s="163" t="s">
        <v>446</v>
      </c>
      <c r="B23" s="100">
        <v>5.13</v>
      </c>
      <c r="C23" s="100">
        <v>7.84</v>
      </c>
      <c r="D23" s="100">
        <v>4.5599999999999996</v>
      </c>
      <c r="E23" s="100">
        <v>9.2799999999999994</v>
      </c>
      <c r="F23" s="100">
        <v>2.11</v>
      </c>
      <c r="G23" s="100">
        <v>25.6</v>
      </c>
      <c r="H23" s="100">
        <v>13.17</v>
      </c>
      <c r="I23" s="100">
        <v>4.71</v>
      </c>
      <c r="J23" s="100">
        <v>0.12</v>
      </c>
      <c r="K23" s="100">
        <v>22.83</v>
      </c>
      <c r="L23" s="100">
        <v>27.03</v>
      </c>
      <c r="M23" s="100">
        <v>75.11</v>
      </c>
      <c r="N23" s="100">
        <v>1.5</v>
      </c>
      <c r="O23" s="100">
        <v>0</v>
      </c>
      <c r="P23" s="100">
        <v>0.3</v>
      </c>
      <c r="Q23" s="100">
        <v>28</v>
      </c>
      <c r="R23" s="6"/>
      <c r="S23" s="6"/>
      <c r="T23" s="156"/>
      <c r="U23" s="6"/>
    </row>
    <row r="24" spans="1:21" customFormat="1">
      <c r="A24" s="163" t="s">
        <v>447</v>
      </c>
      <c r="B24" s="100">
        <v>5.38</v>
      </c>
      <c r="C24" s="100">
        <v>8.2100000000000009</v>
      </c>
      <c r="D24" s="100">
        <v>4.87</v>
      </c>
      <c r="E24" s="100">
        <v>9.33</v>
      </c>
      <c r="F24" s="100">
        <v>2.11</v>
      </c>
      <c r="G24" s="100">
        <v>26.57</v>
      </c>
      <c r="H24" s="100">
        <v>14.98</v>
      </c>
      <c r="I24" s="100">
        <v>4.72</v>
      </c>
      <c r="J24" s="100">
        <v>0.13</v>
      </c>
      <c r="K24" s="100">
        <v>58.35</v>
      </c>
      <c r="L24" s="100">
        <v>27.31</v>
      </c>
      <c r="M24" s="100">
        <v>73.48</v>
      </c>
      <c r="N24" s="100">
        <v>1.2</v>
      </c>
      <c r="O24" s="100">
        <v>0</v>
      </c>
      <c r="P24" s="100">
        <v>0.3</v>
      </c>
      <c r="Q24" s="100">
        <v>28</v>
      </c>
      <c r="R24" s="6"/>
      <c r="S24" s="6"/>
      <c r="T24" s="156"/>
      <c r="U24" s="6"/>
    </row>
    <row r="25" spans="1:21" customFormat="1">
      <c r="A25" s="163" t="s">
        <v>448</v>
      </c>
      <c r="B25" s="100">
        <v>5.74</v>
      </c>
      <c r="C25" s="100">
        <v>8.6300000000000008</v>
      </c>
      <c r="D25" s="100">
        <v>5.13</v>
      </c>
      <c r="E25" s="100">
        <v>9.5399999999999991</v>
      </c>
      <c r="F25" s="100">
        <v>2.1</v>
      </c>
      <c r="G25" s="100">
        <v>26.69</v>
      </c>
      <c r="H25" s="100">
        <v>14.98</v>
      </c>
      <c r="I25" s="100">
        <v>4.6500000000000004</v>
      </c>
      <c r="J25" s="100">
        <v>0.24</v>
      </c>
      <c r="K25" s="100">
        <v>173</v>
      </c>
      <c r="L25" s="100">
        <v>27.22</v>
      </c>
      <c r="M25" s="100">
        <v>76.53</v>
      </c>
      <c r="N25" s="100">
        <v>1.7</v>
      </c>
      <c r="O25" s="100">
        <v>0</v>
      </c>
      <c r="P25" s="100">
        <v>0.3</v>
      </c>
      <c r="Q25" s="100">
        <v>28</v>
      </c>
      <c r="R25" s="6"/>
      <c r="S25" s="6"/>
      <c r="T25" s="156"/>
      <c r="U25" s="6"/>
    </row>
    <row r="26" spans="1:21" customFormat="1">
      <c r="A26" s="163" t="s">
        <v>449</v>
      </c>
      <c r="B26" s="100">
        <v>5.9</v>
      </c>
      <c r="C26" s="100">
        <v>8.82</v>
      </c>
      <c r="D26" s="100">
        <v>5.25</v>
      </c>
      <c r="E26" s="100">
        <v>9.56</v>
      </c>
      <c r="F26" s="100">
        <v>2.14</v>
      </c>
      <c r="G26" s="100">
        <v>26.69</v>
      </c>
      <c r="H26" s="100">
        <v>14.98</v>
      </c>
      <c r="I26" s="100">
        <v>4.5999999999999996</v>
      </c>
      <c r="J26" s="100">
        <v>0.24</v>
      </c>
      <c r="K26" s="100">
        <v>158.88</v>
      </c>
      <c r="L26" s="100">
        <v>26.64</v>
      </c>
      <c r="M26" s="100">
        <v>79.87</v>
      </c>
      <c r="N26" s="100">
        <v>2</v>
      </c>
      <c r="O26" s="100">
        <v>0</v>
      </c>
      <c r="P26" s="100">
        <v>0.28999999999999998</v>
      </c>
      <c r="Q26" s="100">
        <v>28</v>
      </c>
      <c r="R26" s="6"/>
      <c r="S26" s="6"/>
      <c r="T26" s="156"/>
      <c r="U26" s="6"/>
    </row>
    <row r="27" spans="1:21" customFormat="1">
      <c r="A27" s="163" t="s">
        <v>450</v>
      </c>
      <c r="B27" s="100">
        <v>5.99</v>
      </c>
      <c r="C27" s="100">
        <v>8.85</v>
      </c>
      <c r="D27" s="100">
        <v>5.16</v>
      </c>
      <c r="E27" s="100">
        <v>9.5500000000000007</v>
      </c>
      <c r="F27" s="100">
        <v>2.21</v>
      </c>
      <c r="G27" s="100">
        <v>26.69</v>
      </c>
      <c r="H27" s="100">
        <v>14.98</v>
      </c>
      <c r="I27" s="100">
        <v>4.58</v>
      </c>
      <c r="J27" s="100">
        <v>0.27</v>
      </c>
      <c r="K27" s="100">
        <v>195.06</v>
      </c>
      <c r="L27" s="100">
        <v>26.42</v>
      </c>
      <c r="M27" s="100">
        <v>80.67</v>
      </c>
      <c r="N27" s="100">
        <v>1.9</v>
      </c>
      <c r="O27" s="100">
        <v>0</v>
      </c>
      <c r="P27" s="100">
        <v>0.3</v>
      </c>
      <c r="Q27" s="100">
        <v>28</v>
      </c>
      <c r="R27" s="6"/>
      <c r="S27" s="6"/>
      <c r="T27" s="156"/>
      <c r="U27" s="6"/>
    </row>
    <row r="28" spans="1:21" customFormat="1">
      <c r="A28" s="163" t="s">
        <v>451</v>
      </c>
      <c r="B28" s="100">
        <v>6.01</v>
      </c>
      <c r="C28" s="100">
        <v>8.9499999999999993</v>
      </c>
      <c r="D28" s="100">
        <v>5.32</v>
      </c>
      <c r="E28" s="100">
        <v>9.3000000000000007</v>
      </c>
      <c r="F28" s="100">
        <v>2.1800000000000002</v>
      </c>
      <c r="G28" s="100">
        <v>29.7</v>
      </c>
      <c r="H28" s="100">
        <v>15.25</v>
      </c>
      <c r="I28" s="100">
        <v>4.53</v>
      </c>
      <c r="J28" s="100">
        <v>0.15</v>
      </c>
      <c r="K28" s="100">
        <v>167.88</v>
      </c>
      <c r="L28" s="100">
        <v>26.12</v>
      </c>
      <c r="M28" s="100">
        <v>82.69</v>
      </c>
      <c r="N28" s="100">
        <v>1.7</v>
      </c>
      <c r="O28" s="100">
        <v>0</v>
      </c>
      <c r="P28" s="100">
        <v>0.3</v>
      </c>
      <c r="Q28" s="100">
        <v>28</v>
      </c>
      <c r="R28" s="6"/>
      <c r="S28" s="6"/>
      <c r="T28" s="156"/>
      <c r="U28" s="6"/>
    </row>
    <row r="29" spans="1:21" customFormat="1">
      <c r="A29" s="163" t="s">
        <v>452</v>
      </c>
      <c r="B29" s="100">
        <v>6.08</v>
      </c>
      <c r="C29" s="100">
        <v>8.91</v>
      </c>
      <c r="D29" s="100">
        <v>5.13</v>
      </c>
      <c r="E29" s="100">
        <v>9.69</v>
      </c>
      <c r="F29" s="100">
        <v>2.2799999999999998</v>
      </c>
      <c r="G29" s="100">
        <v>30.07</v>
      </c>
      <c r="H29" s="100">
        <v>15.25</v>
      </c>
      <c r="I29" s="100">
        <v>4.41</v>
      </c>
      <c r="J29" s="100">
        <v>0.2</v>
      </c>
      <c r="K29" s="100">
        <v>188.9</v>
      </c>
      <c r="L29" s="100">
        <v>26.2</v>
      </c>
      <c r="M29" s="100">
        <v>82.63</v>
      </c>
      <c r="N29" s="100">
        <v>2.2000000000000002</v>
      </c>
      <c r="O29" s="100">
        <v>0</v>
      </c>
      <c r="P29" s="100">
        <v>0.28999999999999998</v>
      </c>
      <c r="Q29" s="100">
        <v>28</v>
      </c>
      <c r="R29" s="6"/>
      <c r="S29" s="6"/>
      <c r="T29" s="156"/>
      <c r="U29" s="6"/>
    </row>
    <row r="30" spans="1:21" customFormat="1">
      <c r="A30" s="163" t="s">
        <v>453</v>
      </c>
      <c r="B30" s="100">
        <v>6.12</v>
      </c>
      <c r="C30" s="100">
        <v>8.8699999999999992</v>
      </c>
      <c r="D30" s="100">
        <v>5</v>
      </c>
      <c r="E30" s="100">
        <v>9.5</v>
      </c>
      <c r="F30" s="100">
        <v>2.4900000000000002</v>
      </c>
      <c r="G30" s="100">
        <v>30.07</v>
      </c>
      <c r="H30" s="100">
        <v>15.25</v>
      </c>
      <c r="I30" s="100">
        <v>4.4000000000000004</v>
      </c>
      <c r="J30" s="100">
        <v>0.21</v>
      </c>
      <c r="K30" s="100">
        <v>160.97999999999999</v>
      </c>
      <c r="L30" s="100">
        <v>26.1</v>
      </c>
      <c r="M30" s="100">
        <v>81.150000000000006</v>
      </c>
      <c r="N30" s="100">
        <v>4.9000000000000004</v>
      </c>
      <c r="O30" s="100">
        <v>0</v>
      </c>
      <c r="P30" s="100">
        <v>0.28999999999999998</v>
      </c>
      <c r="Q30" s="100">
        <v>28</v>
      </c>
      <c r="R30" s="6"/>
      <c r="S30" s="6"/>
      <c r="T30" s="156"/>
      <c r="U30" s="6"/>
    </row>
    <row r="31" spans="1:21" customFormat="1">
      <c r="A31" s="163" t="s">
        <v>454</v>
      </c>
      <c r="B31" s="100">
        <v>6.13</v>
      </c>
      <c r="C31" s="100">
        <v>8.81</v>
      </c>
      <c r="D31" s="100">
        <v>4.8600000000000003</v>
      </c>
      <c r="E31" s="100">
        <v>9.66</v>
      </c>
      <c r="F31" s="100">
        <v>2.21</v>
      </c>
      <c r="G31" s="100">
        <v>30.07</v>
      </c>
      <c r="H31" s="100">
        <v>15.25</v>
      </c>
      <c r="I31" s="100">
        <v>4.47</v>
      </c>
      <c r="J31" s="100">
        <v>0.22</v>
      </c>
      <c r="K31" s="100">
        <v>175.92</v>
      </c>
      <c r="L31" s="100">
        <v>26.25</v>
      </c>
      <c r="M31" s="100">
        <v>81.84</v>
      </c>
      <c r="N31" s="100">
        <v>12.7</v>
      </c>
      <c r="O31" s="100">
        <v>0</v>
      </c>
      <c r="P31" s="100">
        <v>0.28999999999999998</v>
      </c>
      <c r="Q31" s="100">
        <v>28</v>
      </c>
      <c r="R31" s="6"/>
      <c r="S31" s="6"/>
      <c r="T31" s="156"/>
      <c r="U31" s="6"/>
    </row>
    <row r="32" spans="1:21" customFormat="1">
      <c r="A32" s="163" t="s">
        <v>455</v>
      </c>
      <c r="B32" s="100">
        <v>6.13</v>
      </c>
      <c r="C32" s="100">
        <v>8.8800000000000008</v>
      </c>
      <c r="D32" s="100">
        <v>5</v>
      </c>
      <c r="E32" s="100">
        <v>9.73</v>
      </c>
      <c r="F32" s="100">
        <v>2.38</v>
      </c>
      <c r="G32" s="100">
        <v>28.22</v>
      </c>
      <c r="H32" s="100">
        <v>10.97</v>
      </c>
      <c r="I32" s="100">
        <v>4.42</v>
      </c>
      <c r="J32" s="100">
        <v>0.19</v>
      </c>
      <c r="K32" s="100">
        <v>187.07</v>
      </c>
      <c r="L32" s="100">
        <v>26.21</v>
      </c>
      <c r="M32" s="100">
        <v>83.03</v>
      </c>
      <c r="N32" s="100">
        <v>23.8</v>
      </c>
      <c r="O32" s="100">
        <v>0</v>
      </c>
      <c r="P32" s="100">
        <v>0.28999999999999998</v>
      </c>
      <c r="Q32" s="100">
        <v>28</v>
      </c>
      <c r="R32" s="6"/>
      <c r="S32" s="6"/>
      <c r="T32" s="156"/>
      <c r="U32" s="6"/>
    </row>
    <row r="33" spans="1:21" customFormat="1">
      <c r="A33" s="163" t="s">
        <v>456</v>
      </c>
      <c r="B33" s="100">
        <v>6.18</v>
      </c>
      <c r="C33" s="100">
        <v>8.7799999999999994</v>
      </c>
      <c r="D33" s="100">
        <v>4.7300000000000004</v>
      </c>
      <c r="E33" s="100">
        <v>9.6300000000000008</v>
      </c>
      <c r="F33" s="100">
        <v>2.33</v>
      </c>
      <c r="G33" s="100">
        <v>27.99</v>
      </c>
      <c r="H33" s="100">
        <v>10.97</v>
      </c>
      <c r="I33" s="100">
        <v>4.4000000000000004</v>
      </c>
      <c r="J33" s="100">
        <v>0.27</v>
      </c>
      <c r="K33" s="100">
        <v>175.04</v>
      </c>
      <c r="L33" s="100">
        <v>26.48</v>
      </c>
      <c r="M33" s="100">
        <v>82.71</v>
      </c>
      <c r="N33" s="100">
        <v>35</v>
      </c>
      <c r="O33" s="100">
        <v>0</v>
      </c>
      <c r="P33" s="100">
        <v>0.3</v>
      </c>
      <c r="Q33" s="100">
        <v>28</v>
      </c>
      <c r="R33" s="6"/>
      <c r="S33" s="6"/>
      <c r="T33" s="156"/>
      <c r="U33" s="6"/>
    </row>
    <row r="34" spans="1:21" customFormat="1">
      <c r="A34" s="163" t="s">
        <v>457</v>
      </c>
      <c r="B34" s="100">
        <v>6.17</v>
      </c>
      <c r="C34" s="100">
        <v>8.74</v>
      </c>
      <c r="D34" s="100">
        <v>4.67</v>
      </c>
      <c r="E34" s="100">
        <v>9.7100000000000009</v>
      </c>
      <c r="F34" s="100">
        <v>2.82</v>
      </c>
      <c r="G34" s="100">
        <v>27.99</v>
      </c>
      <c r="H34" s="100">
        <v>10.97</v>
      </c>
      <c r="I34" s="100">
        <v>4.42</v>
      </c>
      <c r="J34" s="100">
        <v>0.12</v>
      </c>
      <c r="K34" s="100">
        <v>169.81</v>
      </c>
      <c r="L34" s="100">
        <v>26.96</v>
      </c>
      <c r="M34" s="100">
        <v>81.99</v>
      </c>
      <c r="N34" s="100">
        <v>48.3</v>
      </c>
      <c r="O34" s="100">
        <v>0</v>
      </c>
      <c r="P34" s="100">
        <v>0.28999999999999998</v>
      </c>
      <c r="Q34" s="100">
        <v>28</v>
      </c>
      <c r="R34" s="6"/>
      <c r="S34" s="6"/>
      <c r="T34" s="156"/>
      <c r="U34" s="6"/>
    </row>
    <row r="35" spans="1:21" customFormat="1">
      <c r="A35" s="163" t="s">
        <v>458</v>
      </c>
      <c r="B35" s="100">
        <v>6.17</v>
      </c>
      <c r="C35" s="100">
        <v>8.74</v>
      </c>
      <c r="D35" s="100">
        <v>4.68</v>
      </c>
      <c r="E35" s="100">
        <v>9.6300000000000008</v>
      </c>
      <c r="F35" s="100">
        <v>2.94</v>
      </c>
      <c r="G35" s="100">
        <v>27.99</v>
      </c>
      <c r="H35" s="100">
        <v>10.97</v>
      </c>
      <c r="I35" s="100">
        <v>4.42</v>
      </c>
      <c r="J35" s="100">
        <v>0.16</v>
      </c>
      <c r="K35" s="100">
        <v>197.18</v>
      </c>
      <c r="L35" s="100">
        <v>27.61</v>
      </c>
      <c r="M35" s="100">
        <v>77.87</v>
      </c>
      <c r="N35" s="100">
        <v>61.9</v>
      </c>
      <c r="O35" s="100">
        <v>0</v>
      </c>
      <c r="P35" s="100">
        <v>0.28999999999999998</v>
      </c>
      <c r="Q35" s="100">
        <v>28</v>
      </c>
      <c r="R35" s="6"/>
      <c r="S35" s="6"/>
      <c r="T35" s="156"/>
      <c r="U35" s="6"/>
    </row>
    <row r="36" spans="1:21" customFormat="1">
      <c r="A36" s="163" t="s">
        <v>459</v>
      </c>
      <c r="B36" s="100">
        <v>6.08</v>
      </c>
      <c r="C36" s="100">
        <v>8.75</v>
      </c>
      <c r="D36" s="100">
        <v>4.82</v>
      </c>
      <c r="E36" s="100">
        <v>9.68</v>
      </c>
      <c r="F36" s="100">
        <v>2.56</v>
      </c>
      <c r="G36" s="100">
        <v>26.02</v>
      </c>
      <c r="H36" s="100">
        <v>11.62</v>
      </c>
      <c r="I36" s="100">
        <v>4.45</v>
      </c>
      <c r="J36" s="100">
        <v>0.28999999999999998</v>
      </c>
      <c r="K36" s="100">
        <v>226.59</v>
      </c>
      <c r="L36" s="100">
        <v>28.37</v>
      </c>
      <c r="M36" s="100">
        <v>72.73</v>
      </c>
      <c r="N36" s="100">
        <v>73.8</v>
      </c>
      <c r="O36" s="100">
        <v>0</v>
      </c>
      <c r="P36" s="100">
        <v>0.3</v>
      </c>
      <c r="Q36" s="100">
        <v>28</v>
      </c>
      <c r="R36" s="6"/>
      <c r="S36" s="6"/>
      <c r="T36" s="156"/>
      <c r="U36" s="6"/>
    </row>
    <row r="37" spans="1:21" customFormat="1">
      <c r="A37" s="163" t="s">
        <v>460</v>
      </c>
      <c r="B37" s="100">
        <v>5.9</v>
      </c>
      <c r="C37" s="100">
        <v>8.6199999999999992</v>
      </c>
      <c r="D37" s="100">
        <v>4.8499999999999996</v>
      </c>
      <c r="E37" s="100">
        <v>9.74</v>
      </c>
      <c r="F37" s="100">
        <v>2.96</v>
      </c>
      <c r="G37" s="100">
        <v>25.77</v>
      </c>
      <c r="H37" s="100">
        <v>11.62</v>
      </c>
      <c r="I37" s="100">
        <v>4.4000000000000004</v>
      </c>
      <c r="J37" s="100">
        <v>0.45</v>
      </c>
      <c r="K37" s="100">
        <v>242.11</v>
      </c>
      <c r="L37" s="100">
        <v>29.14</v>
      </c>
      <c r="M37" s="100">
        <v>67.47</v>
      </c>
      <c r="N37" s="100">
        <v>83.8</v>
      </c>
      <c r="O37" s="100">
        <v>0</v>
      </c>
      <c r="P37" s="100">
        <v>0.28999999999999998</v>
      </c>
      <c r="Q37" s="100">
        <v>28</v>
      </c>
      <c r="R37" s="6"/>
      <c r="S37" s="6"/>
      <c r="T37" s="156"/>
      <c r="U37" s="6"/>
    </row>
    <row r="38" spans="1:21" customFormat="1">
      <c r="A38" s="163" t="s">
        <v>461</v>
      </c>
      <c r="B38" s="100">
        <v>5.59</v>
      </c>
      <c r="C38" s="100">
        <v>8.41</v>
      </c>
      <c r="D38" s="100">
        <v>4.93</v>
      </c>
      <c r="E38" s="100">
        <v>9.41</v>
      </c>
      <c r="F38" s="100">
        <v>3</v>
      </c>
      <c r="G38" s="100">
        <v>25.77</v>
      </c>
      <c r="H38" s="100">
        <v>11.62</v>
      </c>
      <c r="I38" s="100">
        <v>4.5199999999999996</v>
      </c>
      <c r="J38" s="100">
        <v>0.65</v>
      </c>
      <c r="K38" s="100">
        <v>244.03</v>
      </c>
      <c r="L38" s="100">
        <v>29.57</v>
      </c>
      <c r="M38" s="100">
        <v>65.489999999999995</v>
      </c>
      <c r="N38" s="100">
        <v>92.6</v>
      </c>
      <c r="O38" s="100">
        <v>0</v>
      </c>
      <c r="P38" s="100">
        <v>0.31</v>
      </c>
      <c r="Q38" s="100">
        <v>28</v>
      </c>
      <c r="R38" s="6"/>
      <c r="S38" s="6"/>
      <c r="T38" s="156"/>
      <c r="U38" s="6"/>
    </row>
    <row r="39" spans="1:21" customFormat="1">
      <c r="A39" s="163" t="s">
        <v>462</v>
      </c>
      <c r="B39" s="100">
        <v>5.22</v>
      </c>
      <c r="C39" s="100">
        <v>8.15</v>
      </c>
      <c r="D39" s="100">
        <v>5</v>
      </c>
      <c r="E39" s="100">
        <v>9.85</v>
      </c>
      <c r="F39" s="100">
        <v>3.2</v>
      </c>
      <c r="G39" s="100">
        <v>25.77</v>
      </c>
      <c r="H39" s="100">
        <v>11.62</v>
      </c>
      <c r="I39" s="100">
        <v>4.6100000000000003</v>
      </c>
      <c r="J39" s="100">
        <v>0.71</v>
      </c>
      <c r="K39" s="100">
        <v>253.16</v>
      </c>
      <c r="L39" s="100">
        <v>29.99</v>
      </c>
      <c r="M39" s="100">
        <v>64.010000000000005</v>
      </c>
      <c r="N39" s="100">
        <v>101.4</v>
      </c>
      <c r="O39" s="100">
        <v>0</v>
      </c>
      <c r="P39" s="100">
        <v>0.3</v>
      </c>
      <c r="Q39" s="100">
        <v>28</v>
      </c>
      <c r="R39" s="6"/>
      <c r="S39" s="6"/>
      <c r="T39" s="156"/>
      <c r="U39" s="6"/>
    </row>
    <row r="40" spans="1:21" customFormat="1">
      <c r="A40" s="163" t="s">
        <v>463</v>
      </c>
      <c r="B40" s="100">
        <v>4.91</v>
      </c>
      <c r="C40" s="100">
        <v>7.87</v>
      </c>
      <c r="D40" s="100">
        <v>4.9400000000000004</v>
      </c>
      <c r="E40" s="100">
        <v>9.7799999999999994</v>
      </c>
      <c r="F40" s="100">
        <v>2.85</v>
      </c>
      <c r="G40" s="100">
        <v>28.02</v>
      </c>
      <c r="H40" s="100">
        <v>11.84</v>
      </c>
      <c r="I40" s="100">
        <v>4.5999999999999996</v>
      </c>
      <c r="J40" s="100">
        <v>0.9</v>
      </c>
      <c r="K40" s="100">
        <v>250.97</v>
      </c>
      <c r="L40" s="100">
        <v>30.25</v>
      </c>
      <c r="M40" s="100">
        <v>63.23</v>
      </c>
      <c r="N40" s="100">
        <v>111.5</v>
      </c>
      <c r="O40" s="100">
        <v>0</v>
      </c>
      <c r="P40" s="100">
        <v>0.33</v>
      </c>
      <c r="Q40" s="100">
        <v>28</v>
      </c>
      <c r="R40" s="6"/>
      <c r="S40" s="6"/>
      <c r="T40" s="156"/>
      <c r="U40" s="6"/>
    </row>
    <row r="41" spans="1:21" customFormat="1">
      <c r="A41" s="163" t="s">
        <v>464</v>
      </c>
      <c r="B41" s="100">
        <v>4.8099999999999996</v>
      </c>
      <c r="C41" s="100">
        <v>7.6</v>
      </c>
      <c r="D41" s="100">
        <v>4.59</v>
      </c>
      <c r="E41" s="100">
        <v>9.6199999999999992</v>
      </c>
      <c r="F41" s="100">
        <v>2.2799999999999998</v>
      </c>
      <c r="G41" s="100">
        <v>28.3</v>
      </c>
      <c r="H41" s="100">
        <v>11.84</v>
      </c>
      <c r="I41" s="100">
        <v>4.5599999999999996</v>
      </c>
      <c r="J41" s="100">
        <v>0.89</v>
      </c>
      <c r="K41" s="100">
        <v>250.09</v>
      </c>
      <c r="L41" s="100">
        <v>30.53</v>
      </c>
      <c r="M41" s="100">
        <v>62.96</v>
      </c>
      <c r="N41" s="100">
        <v>121.9</v>
      </c>
      <c r="O41" s="100">
        <v>0</v>
      </c>
      <c r="P41" s="100">
        <v>0.32</v>
      </c>
      <c r="Q41" s="100">
        <v>28</v>
      </c>
      <c r="R41" s="6"/>
      <c r="S41" s="6"/>
      <c r="T41" s="156"/>
      <c r="U41" s="6"/>
    </row>
    <row r="42" spans="1:21" customFormat="1">
      <c r="A42" s="163" t="s">
        <v>465</v>
      </c>
      <c r="B42" s="100">
        <v>4.67</v>
      </c>
      <c r="C42" s="100">
        <v>7.2</v>
      </c>
      <c r="D42" s="100">
        <v>4.03</v>
      </c>
      <c r="E42" s="100">
        <v>9.56</v>
      </c>
      <c r="F42" s="100">
        <v>2.99</v>
      </c>
      <c r="G42" s="100">
        <v>28.3</v>
      </c>
      <c r="H42" s="100">
        <v>11.84</v>
      </c>
      <c r="I42" s="100">
        <v>4.5199999999999996</v>
      </c>
      <c r="J42" s="100">
        <v>1.1499999999999999</v>
      </c>
      <c r="K42" s="100">
        <v>253.28</v>
      </c>
      <c r="L42" s="100">
        <v>31.14</v>
      </c>
      <c r="M42" s="100">
        <v>59.69</v>
      </c>
      <c r="N42" s="100">
        <v>132.9</v>
      </c>
      <c r="O42" s="100">
        <v>0</v>
      </c>
      <c r="P42" s="100">
        <v>0.32</v>
      </c>
      <c r="Q42" s="100">
        <v>28</v>
      </c>
      <c r="R42" s="6"/>
      <c r="S42" s="6"/>
      <c r="T42" s="156"/>
      <c r="U42" s="6"/>
    </row>
    <row r="43" spans="1:21" customFormat="1">
      <c r="A43" s="163" t="s">
        <v>466</v>
      </c>
      <c r="B43" s="100">
        <v>4.47</v>
      </c>
      <c r="C43" s="100">
        <v>6.91</v>
      </c>
      <c r="D43" s="100">
        <v>3.78</v>
      </c>
      <c r="E43" s="100">
        <v>8.83</v>
      </c>
      <c r="F43" s="100">
        <v>3.36</v>
      </c>
      <c r="G43" s="100">
        <v>28.3</v>
      </c>
      <c r="H43" s="100">
        <v>11.84</v>
      </c>
      <c r="I43" s="100">
        <v>4.57</v>
      </c>
      <c r="J43" s="100">
        <v>1.24</v>
      </c>
      <c r="K43" s="100">
        <v>246.79</v>
      </c>
      <c r="L43" s="100">
        <v>31.43</v>
      </c>
      <c r="M43" s="100">
        <v>56.81</v>
      </c>
      <c r="N43" s="100">
        <v>144.80000000000001</v>
      </c>
      <c r="O43" s="100">
        <v>0</v>
      </c>
      <c r="P43" s="100">
        <v>0.31</v>
      </c>
      <c r="Q43" s="100">
        <v>28</v>
      </c>
      <c r="R43" s="6"/>
      <c r="S43" s="6"/>
      <c r="T43" s="156"/>
      <c r="U43" s="6"/>
    </row>
    <row r="44" spans="1:21" customFormat="1">
      <c r="A44" s="163" t="s">
        <v>467</v>
      </c>
      <c r="B44" s="100">
        <v>4.26</v>
      </c>
      <c r="C44" s="100">
        <v>6.77</v>
      </c>
      <c r="D44" s="100">
        <v>3.84</v>
      </c>
      <c r="E44" s="100">
        <v>8.76</v>
      </c>
      <c r="F44" s="100">
        <v>3.93</v>
      </c>
      <c r="G44" s="100">
        <v>29.6</v>
      </c>
      <c r="H44" s="100">
        <v>13.3</v>
      </c>
      <c r="I44" s="100">
        <v>4.6100000000000003</v>
      </c>
      <c r="J44" s="100">
        <v>1.32</v>
      </c>
      <c r="K44" s="100">
        <v>257.52999999999997</v>
      </c>
      <c r="L44" s="100">
        <v>31.93</v>
      </c>
      <c r="M44" s="100">
        <v>54.58</v>
      </c>
      <c r="N44" s="100">
        <v>152.30000000000001</v>
      </c>
      <c r="O44" s="100">
        <v>0</v>
      </c>
      <c r="P44" s="100">
        <v>0.33</v>
      </c>
      <c r="Q44" s="100">
        <v>28</v>
      </c>
      <c r="R44" s="6"/>
      <c r="S44" s="6"/>
      <c r="T44" s="156"/>
      <c r="U44" s="6"/>
    </row>
    <row r="45" spans="1:21" customFormat="1">
      <c r="A45" s="163" t="s">
        <v>468</v>
      </c>
      <c r="B45" s="100">
        <v>4.13</v>
      </c>
      <c r="C45" s="100">
        <v>6.9</v>
      </c>
      <c r="D45" s="100">
        <v>4.2699999999999996</v>
      </c>
      <c r="E45" s="100">
        <v>8.89</v>
      </c>
      <c r="F45" s="100">
        <v>2.68</v>
      </c>
      <c r="G45" s="100">
        <v>29.76</v>
      </c>
      <c r="H45" s="100">
        <v>13.3</v>
      </c>
      <c r="I45" s="100">
        <v>4.63</v>
      </c>
      <c r="J45" s="100">
        <v>1.1499999999999999</v>
      </c>
      <c r="K45" s="100">
        <v>259.74</v>
      </c>
      <c r="L45" s="100">
        <v>32.4</v>
      </c>
      <c r="M45" s="100">
        <v>52.78</v>
      </c>
      <c r="N45" s="100">
        <v>155.4</v>
      </c>
      <c r="O45" s="100">
        <v>0</v>
      </c>
      <c r="P45" s="100">
        <v>0.33</v>
      </c>
      <c r="Q45" s="100">
        <v>28</v>
      </c>
      <c r="R45" s="6"/>
      <c r="S45" s="6"/>
      <c r="T45" s="156"/>
      <c r="U45" s="6"/>
    </row>
    <row r="46" spans="1:21" customFormat="1">
      <c r="A46" s="163" t="s">
        <v>469</v>
      </c>
      <c r="B46" s="100">
        <v>4.03</v>
      </c>
      <c r="C46" s="100">
        <v>6.69</v>
      </c>
      <c r="D46" s="100">
        <v>4.03</v>
      </c>
      <c r="E46" s="100">
        <v>8.91</v>
      </c>
      <c r="F46" s="100">
        <v>4.28</v>
      </c>
      <c r="G46" s="100">
        <v>29.76</v>
      </c>
      <c r="H46" s="100">
        <v>13.3</v>
      </c>
      <c r="I46" s="100">
        <v>4.68</v>
      </c>
      <c r="J46" s="100">
        <v>1.18</v>
      </c>
      <c r="K46" s="100">
        <v>260.04000000000002</v>
      </c>
      <c r="L46" s="100">
        <v>32.840000000000003</v>
      </c>
      <c r="M46" s="100">
        <v>50.53</v>
      </c>
      <c r="N46" s="100">
        <v>161.30000000000001</v>
      </c>
      <c r="O46" s="100">
        <v>0</v>
      </c>
      <c r="P46" s="100">
        <v>0.34</v>
      </c>
      <c r="Q46" s="100">
        <v>28</v>
      </c>
      <c r="R46" s="6"/>
      <c r="S46" s="6"/>
      <c r="T46" s="156"/>
      <c r="U46" s="6"/>
    </row>
    <row r="47" spans="1:21" customFormat="1">
      <c r="A47" s="163" t="s">
        <v>470</v>
      </c>
      <c r="B47" s="100">
        <v>3.99</v>
      </c>
      <c r="C47" s="100">
        <v>6.61</v>
      </c>
      <c r="D47" s="100">
        <v>3.94</v>
      </c>
      <c r="E47" s="100">
        <v>9.1199999999999992</v>
      </c>
      <c r="F47" s="100">
        <v>4.28</v>
      </c>
      <c r="G47" s="100">
        <v>29.76</v>
      </c>
      <c r="H47" s="100">
        <v>13.3</v>
      </c>
      <c r="I47" s="100">
        <v>4.7</v>
      </c>
      <c r="J47" s="100">
        <v>1.1599999999999999</v>
      </c>
      <c r="K47" s="100">
        <v>262.58999999999997</v>
      </c>
      <c r="L47" s="100">
        <v>33.21</v>
      </c>
      <c r="M47" s="100">
        <v>50.12</v>
      </c>
      <c r="N47" s="100">
        <v>169.9</v>
      </c>
      <c r="O47" s="100">
        <v>0</v>
      </c>
      <c r="P47" s="100">
        <v>0.36</v>
      </c>
      <c r="Q47" s="100">
        <v>28</v>
      </c>
      <c r="R47" s="6"/>
      <c r="S47" s="6"/>
      <c r="T47" s="156"/>
      <c r="U47" s="6"/>
    </row>
    <row r="48" spans="1:21" customFormat="1">
      <c r="A48" s="163" t="s">
        <v>471</v>
      </c>
      <c r="B48" s="100">
        <v>3.94</v>
      </c>
      <c r="C48" s="100">
        <v>6.6</v>
      </c>
      <c r="D48" s="100">
        <v>4.01</v>
      </c>
      <c r="E48" s="100">
        <v>9.0399999999999991</v>
      </c>
      <c r="F48" s="100">
        <v>6.09</v>
      </c>
      <c r="G48" s="100">
        <v>33.22</v>
      </c>
      <c r="H48" s="100">
        <v>17.7</v>
      </c>
      <c r="I48" s="100">
        <v>4.8099999999999996</v>
      </c>
      <c r="J48" s="100">
        <v>1.18</v>
      </c>
      <c r="K48" s="100">
        <v>255.56</v>
      </c>
      <c r="L48" s="100">
        <v>33.4</v>
      </c>
      <c r="M48" s="100">
        <v>48.77</v>
      </c>
      <c r="N48" s="100">
        <v>173.1</v>
      </c>
      <c r="O48" s="100">
        <v>0</v>
      </c>
      <c r="P48" s="100">
        <v>0.38</v>
      </c>
      <c r="Q48" s="100">
        <v>28</v>
      </c>
      <c r="R48" s="6"/>
      <c r="S48" s="6"/>
      <c r="T48" s="156"/>
      <c r="U48" s="6"/>
    </row>
    <row r="49" spans="1:21" customFormat="1">
      <c r="A49" s="163" t="s">
        <v>472</v>
      </c>
      <c r="B49" s="100">
        <v>3.9</v>
      </c>
      <c r="C49" s="100">
        <v>6.6</v>
      </c>
      <c r="D49" s="100">
        <v>4.0599999999999996</v>
      </c>
      <c r="E49" s="100">
        <v>7.58</v>
      </c>
      <c r="F49" s="100">
        <v>6.08</v>
      </c>
      <c r="G49" s="100">
        <v>33.659999999999997</v>
      </c>
      <c r="H49" s="100">
        <v>17.7</v>
      </c>
      <c r="I49" s="100">
        <v>5.01</v>
      </c>
      <c r="J49" s="100">
        <v>1.22</v>
      </c>
      <c r="K49" s="100">
        <v>260.10000000000002</v>
      </c>
      <c r="L49" s="100">
        <v>33.81</v>
      </c>
      <c r="M49" s="100">
        <v>46.44</v>
      </c>
      <c r="N49" s="100">
        <v>174.1</v>
      </c>
      <c r="O49" s="100">
        <v>0</v>
      </c>
      <c r="P49" s="100">
        <v>0.37</v>
      </c>
      <c r="Q49" s="100">
        <v>28</v>
      </c>
      <c r="R49" s="6"/>
      <c r="S49" s="6"/>
      <c r="T49" s="156"/>
      <c r="U49" s="6"/>
    </row>
    <row r="50" spans="1:21" customFormat="1">
      <c r="A50" s="163" t="s">
        <v>473</v>
      </c>
      <c r="B50" s="100">
        <v>3.86</v>
      </c>
      <c r="C50" s="100">
        <v>6.58</v>
      </c>
      <c r="D50" s="100">
        <v>4.07</v>
      </c>
      <c r="E50" s="100">
        <v>8.2100000000000009</v>
      </c>
      <c r="F50" s="100">
        <v>6.09</v>
      </c>
      <c r="G50" s="100">
        <v>33.659999999999997</v>
      </c>
      <c r="H50" s="100">
        <v>17.7</v>
      </c>
      <c r="I50" s="100">
        <v>5.23</v>
      </c>
      <c r="J50" s="100">
        <v>1.3</v>
      </c>
      <c r="K50" s="100">
        <v>264.52999999999997</v>
      </c>
      <c r="L50" s="100">
        <v>34.17</v>
      </c>
      <c r="M50" s="100">
        <v>43.23</v>
      </c>
      <c r="N50" s="100">
        <v>176.7</v>
      </c>
      <c r="O50" s="100">
        <v>0</v>
      </c>
      <c r="P50" s="100">
        <v>0.38</v>
      </c>
      <c r="Q50" s="100">
        <v>28</v>
      </c>
      <c r="R50" s="6"/>
      <c r="S50" s="6"/>
      <c r="T50" s="156"/>
      <c r="U50" s="6"/>
    </row>
    <row r="51" spans="1:21" customFormat="1">
      <c r="A51" s="163" t="s">
        <v>474</v>
      </c>
      <c r="B51" s="100">
        <v>3.86</v>
      </c>
      <c r="C51" s="100">
        <v>6.54</v>
      </c>
      <c r="D51" s="100">
        <v>4.0199999999999996</v>
      </c>
      <c r="E51" s="100">
        <v>8.1999999999999993</v>
      </c>
      <c r="F51" s="100">
        <v>5.53</v>
      </c>
      <c r="G51" s="100">
        <v>33.659999999999997</v>
      </c>
      <c r="H51" s="100">
        <v>17.7</v>
      </c>
      <c r="I51" s="100">
        <v>5.28</v>
      </c>
      <c r="J51" s="100">
        <v>1.32</v>
      </c>
      <c r="K51" s="100">
        <v>266.88</v>
      </c>
      <c r="L51" s="100">
        <v>34.49</v>
      </c>
      <c r="M51" s="100">
        <v>42.72</v>
      </c>
      <c r="N51" s="100">
        <v>184.6</v>
      </c>
      <c r="O51" s="100">
        <v>0</v>
      </c>
      <c r="P51" s="100">
        <v>0.38</v>
      </c>
      <c r="Q51" s="100">
        <v>28</v>
      </c>
      <c r="R51" s="6"/>
      <c r="S51" s="6"/>
      <c r="T51" s="156"/>
      <c r="U51" s="6"/>
    </row>
    <row r="52" spans="1:21" customFormat="1">
      <c r="A52" s="163" t="s">
        <v>475</v>
      </c>
      <c r="B52" s="100">
        <v>3.86</v>
      </c>
      <c r="C52" s="100">
        <v>6.65</v>
      </c>
      <c r="D52" s="100">
        <v>4.22</v>
      </c>
      <c r="E52" s="100">
        <v>8.3699999999999992</v>
      </c>
      <c r="F52" s="100">
        <v>9.6300000000000008</v>
      </c>
      <c r="G52" s="100">
        <v>44.11</v>
      </c>
      <c r="H52" s="100">
        <v>19.63</v>
      </c>
      <c r="I52" s="100">
        <v>5.28</v>
      </c>
      <c r="J52" s="100">
        <v>1.54</v>
      </c>
      <c r="K52" s="100">
        <v>285.70999999999998</v>
      </c>
      <c r="L52" s="100">
        <v>34.82</v>
      </c>
      <c r="M52" s="100">
        <v>41.98</v>
      </c>
      <c r="N52" s="100">
        <v>191.8</v>
      </c>
      <c r="O52" s="100">
        <v>0</v>
      </c>
      <c r="P52" s="100">
        <v>0.38</v>
      </c>
      <c r="Q52" s="100">
        <v>28</v>
      </c>
      <c r="R52" s="6"/>
      <c r="S52" s="6"/>
      <c r="T52" s="156"/>
      <c r="U52" s="6"/>
    </row>
    <row r="53" spans="1:21" customFormat="1">
      <c r="A53" s="163" t="s">
        <v>476</v>
      </c>
      <c r="B53" s="100">
        <v>4.0199999999999996</v>
      </c>
      <c r="C53" s="100">
        <v>7</v>
      </c>
      <c r="D53" s="100">
        <v>4.6399999999999997</v>
      </c>
      <c r="E53" s="100">
        <v>7.94</v>
      </c>
      <c r="F53" s="100">
        <v>7.66</v>
      </c>
      <c r="G53" s="100">
        <v>45.41</v>
      </c>
      <c r="H53" s="100">
        <v>19.63</v>
      </c>
      <c r="I53" s="100">
        <v>5.29</v>
      </c>
      <c r="J53" s="100">
        <v>1.74</v>
      </c>
      <c r="K53" s="100">
        <v>288.8</v>
      </c>
      <c r="L53" s="100">
        <v>34.97</v>
      </c>
      <c r="M53" s="100">
        <v>40.44</v>
      </c>
      <c r="N53" s="100">
        <v>200.4</v>
      </c>
      <c r="O53" s="100">
        <v>0</v>
      </c>
      <c r="P53" s="100">
        <v>0.39</v>
      </c>
      <c r="Q53" s="100">
        <v>28</v>
      </c>
      <c r="R53" s="6"/>
      <c r="S53" s="6"/>
      <c r="T53" s="156"/>
      <c r="U53" s="6"/>
    </row>
    <row r="54" spans="1:21" customFormat="1">
      <c r="A54" s="163" t="s">
        <v>477</v>
      </c>
      <c r="B54" s="100">
        <v>3.93</v>
      </c>
      <c r="C54" s="100">
        <v>6.77</v>
      </c>
      <c r="D54" s="100">
        <v>4.34</v>
      </c>
      <c r="E54" s="100">
        <v>8.1</v>
      </c>
      <c r="F54" s="100">
        <v>8.52</v>
      </c>
      <c r="G54" s="100">
        <v>45.41</v>
      </c>
      <c r="H54" s="100">
        <v>19.63</v>
      </c>
      <c r="I54" s="100">
        <v>5.28</v>
      </c>
      <c r="J54" s="100">
        <v>1.53</v>
      </c>
      <c r="K54" s="100">
        <v>287.39999999999998</v>
      </c>
      <c r="L54" s="100">
        <v>35.6</v>
      </c>
      <c r="M54" s="100">
        <v>38.03</v>
      </c>
      <c r="N54" s="100">
        <v>217.9</v>
      </c>
      <c r="O54" s="100">
        <v>0</v>
      </c>
      <c r="P54" s="100">
        <v>0.39</v>
      </c>
      <c r="Q54" s="100">
        <v>28</v>
      </c>
      <c r="R54" s="6"/>
      <c r="S54" s="6"/>
      <c r="T54" s="156"/>
      <c r="U54" s="6"/>
    </row>
    <row r="55" spans="1:21" customFormat="1">
      <c r="A55" s="163" t="s">
        <v>478</v>
      </c>
      <c r="B55" s="100">
        <v>3.88</v>
      </c>
      <c r="C55" s="100">
        <v>6.66</v>
      </c>
      <c r="D55" s="100">
        <v>4.21</v>
      </c>
      <c r="E55" s="100">
        <v>7.78</v>
      </c>
      <c r="F55" s="100">
        <v>6.98</v>
      </c>
      <c r="G55" s="100">
        <v>45.41</v>
      </c>
      <c r="H55" s="100">
        <v>19.63</v>
      </c>
      <c r="I55" s="100">
        <v>5.31</v>
      </c>
      <c r="J55" s="100">
        <v>1.1299999999999999</v>
      </c>
      <c r="K55" s="100">
        <v>257.39</v>
      </c>
      <c r="L55" s="100">
        <v>35.96</v>
      </c>
      <c r="M55" s="100">
        <v>36.729999999999997</v>
      </c>
      <c r="N55" s="100">
        <v>243.4</v>
      </c>
      <c r="O55" s="100">
        <v>0</v>
      </c>
      <c r="P55" s="100">
        <v>0.38</v>
      </c>
      <c r="Q55" s="100">
        <v>28</v>
      </c>
      <c r="R55" s="6"/>
      <c r="S55" s="6"/>
      <c r="T55" s="156"/>
      <c r="U55" s="6"/>
    </row>
    <row r="56" spans="1:21" customFormat="1">
      <c r="A56" s="163" t="s">
        <v>479</v>
      </c>
      <c r="B56" s="100">
        <v>3.95</v>
      </c>
      <c r="C56" s="100">
        <v>6.64</v>
      </c>
      <c r="D56" s="100">
        <v>4.0599999999999996</v>
      </c>
      <c r="E56" s="100">
        <v>7.28</v>
      </c>
      <c r="F56" s="100">
        <v>8.89</v>
      </c>
      <c r="G56" s="100">
        <v>47.14</v>
      </c>
      <c r="H56" s="100">
        <v>19.89</v>
      </c>
      <c r="I56" s="100">
        <v>5.25</v>
      </c>
      <c r="J56" s="100">
        <v>1.36</v>
      </c>
      <c r="K56" s="100">
        <v>291.32</v>
      </c>
      <c r="L56" s="100">
        <v>36.049999999999997</v>
      </c>
      <c r="M56" s="100">
        <v>36.15</v>
      </c>
      <c r="N56" s="100">
        <v>519.29999999999995</v>
      </c>
      <c r="O56" s="100">
        <v>0</v>
      </c>
      <c r="P56" s="100">
        <v>0.37</v>
      </c>
      <c r="Q56" s="100">
        <v>28</v>
      </c>
      <c r="R56" s="6"/>
      <c r="S56" s="6"/>
      <c r="T56" s="156"/>
      <c r="U56" s="6"/>
    </row>
    <row r="57" spans="1:21" customFormat="1">
      <c r="A57" s="163" t="s">
        <v>480</v>
      </c>
      <c r="B57" s="100">
        <v>4.01</v>
      </c>
      <c r="C57" s="100">
        <v>6.93</v>
      </c>
      <c r="D57" s="100">
        <v>4.5199999999999996</v>
      </c>
      <c r="E57" s="100">
        <v>7.64</v>
      </c>
      <c r="F57" s="100">
        <v>8.8699999999999992</v>
      </c>
      <c r="G57" s="100">
        <v>47.36</v>
      </c>
      <c r="H57" s="100">
        <v>19.89</v>
      </c>
      <c r="I57" s="100">
        <v>5.24</v>
      </c>
      <c r="J57" s="100">
        <v>1.4</v>
      </c>
      <c r="K57" s="100">
        <v>287.11</v>
      </c>
      <c r="L57" s="100">
        <v>36.29</v>
      </c>
      <c r="M57" s="100">
        <v>35.85</v>
      </c>
      <c r="N57" s="100">
        <v>812</v>
      </c>
      <c r="O57" s="100">
        <v>0</v>
      </c>
      <c r="P57" s="100">
        <v>0.38</v>
      </c>
      <c r="Q57" s="100">
        <v>28</v>
      </c>
      <c r="R57" s="6"/>
      <c r="S57" s="6"/>
      <c r="T57" s="156"/>
      <c r="U57" s="6"/>
    </row>
    <row r="58" spans="1:21" customFormat="1">
      <c r="A58" s="163" t="s">
        <v>481</v>
      </c>
      <c r="B58" s="100">
        <v>4.16</v>
      </c>
      <c r="C58" s="100">
        <v>7.28</v>
      </c>
      <c r="D58" s="100">
        <v>4.97</v>
      </c>
      <c r="E58" s="100">
        <v>7.71</v>
      </c>
      <c r="F58" s="100">
        <v>8.57</v>
      </c>
      <c r="G58" s="100">
        <v>47.36</v>
      </c>
      <c r="H58" s="100">
        <v>19.89</v>
      </c>
      <c r="I58" s="100">
        <v>5.1100000000000003</v>
      </c>
      <c r="J58" s="100">
        <v>1.33</v>
      </c>
      <c r="K58" s="100">
        <v>281.89</v>
      </c>
      <c r="L58" s="100">
        <v>36.32</v>
      </c>
      <c r="M58" s="100">
        <v>36.590000000000003</v>
      </c>
      <c r="N58" s="100">
        <v>820.6</v>
      </c>
      <c r="O58" s="100">
        <v>0</v>
      </c>
      <c r="P58" s="100">
        <v>0.39</v>
      </c>
      <c r="Q58" s="100">
        <v>28</v>
      </c>
      <c r="R58" s="6"/>
      <c r="S58" s="6"/>
      <c r="T58" s="156"/>
      <c r="U58" s="6"/>
    </row>
    <row r="59" spans="1:21" customFormat="1">
      <c r="A59" s="163" t="s">
        <v>482</v>
      </c>
      <c r="B59" s="100">
        <v>3.95</v>
      </c>
      <c r="C59" s="100">
        <v>7.32</v>
      </c>
      <c r="D59" s="100">
        <v>5.37</v>
      </c>
      <c r="E59" s="100">
        <v>7.35</v>
      </c>
      <c r="F59" s="100">
        <v>6.67</v>
      </c>
      <c r="G59" s="100">
        <v>47.36</v>
      </c>
      <c r="H59" s="100">
        <v>19.89</v>
      </c>
      <c r="I59" s="100">
        <v>5.16</v>
      </c>
      <c r="J59" s="100">
        <v>1.34</v>
      </c>
      <c r="K59" s="100">
        <v>295.39</v>
      </c>
      <c r="L59" s="100">
        <v>36.46</v>
      </c>
      <c r="M59" s="100">
        <v>35.96</v>
      </c>
      <c r="N59" s="100">
        <v>845.7</v>
      </c>
      <c r="O59" s="100">
        <v>0</v>
      </c>
      <c r="P59" s="100">
        <v>0.38</v>
      </c>
      <c r="Q59" s="100">
        <v>28</v>
      </c>
      <c r="R59" s="6"/>
      <c r="S59" s="6"/>
      <c r="T59" s="156"/>
      <c r="U59" s="6"/>
    </row>
    <row r="60" spans="1:21" customFormat="1">
      <c r="A60" s="163" t="s">
        <v>483</v>
      </c>
      <c r="B60" s="100">
        <v>3.85</v>
      </c>
      <c r="C60" s="100">
        <v>7.51</v>
      </c>
      <c r="D60" s="100">
        <v>5.87</v>
      </c>
      <c r="E60" s="100">
        <v>7.19</v>
      </c>
      <c r="F60" s="100">
        <v>6.1</v>
      </c>
      <c r="G60" s="100">
        <v>48.85</v>
      </c>
      <c r="H60" s="100">
        <v>18.68</v>
      </c>
      <c r="I60" s="100">
        <v>5.23</v>
      </c>
      <c r="J60" s="100">
        <v>1.1200000000000001</v>
      </c>
      <c r="K60" s="100">
        <v>276.39999999999998</v>
      </c>
      <c r="L60" s="100">
        <v>36.729999999999997</v>
      </c>
      <c r="M60" s="100">
        <v>36.15</v>
      </c>
      <c r="N60" s="100">
        <v>840.4</v>
      </c>
      <c r="O60" s="100">
        <v>0</v>
      </c>
      <c r="P60" s="100">
        <v>0.33</v>
      </c>
      <c r="Q60" s="100">
        <v>28</v>
      </c>
      <c r="R60" s="6"/>
      <c r="S60" s="6"/>
      <c r="T60" s="156"/>
      <c r="U60" s="6"/>
    </row>
    <row r="61" spans="1:21" customFormat="1">
      <c r="A61" s="163" t="s">
        <v>484</v>
      </c>
      <c r="B61" s="100">
        <v>3.72</v>
      </c>
      <c r="C61" s="100">
        <v>7.5</v>
      </c>
      <c r="D61" s="100">
        <v>6.06</v>
      </c>
      <c r="E61" s="100">
        <v>7.44</v>
      </c>
      <c r="F61" s="100">
        <v>7.22</v>
      </c>
      <c r="G61" s="100">
        <v>49.04</v>
      </c>
      <c r="H61" s="100">
        <v>18.68</v>
      </c>
      <c r="I61" s="100">
        <v>5.36</v>
      </c>
      <c r="J61" s="100">
        <v>1.25</v>
      </c>
      <c r="K61" s="100">
        <v>278.92</v>
      </c>
      <c r="L61" s="100">
        <v>36.97</v>
      </c>
      <c r="M61" s="100">
        <v>35.28</v>
      </c>
      <c r="N61" s="100">
        <v>745.8</v>
      </c>
      <c r="O61" s="100">
        <v>0</v>
      </c>
      <c r="P61" s="100">
        <v>0.31</v>
      </c>
      <c r="Q61" s="100">
        <v>28</v>
      </c>
      <c r="R61" s="6"/>
      <c r="S61" s="6"/>
      <c r="T61" s="156"/>
      <c r="U61" s="6"/>
    </row>
    <row r="62" spans="1:21" customFormat="1">
      <c r="A62" s="163" t="s">
        <v>485</v>
      </c>
      <c r="B62" s="100">
        <v>3.71</v>
      </c>
      <c r="C62" s="100">
        <v>7.5</v>
      </c>
      <c r="D62" s="100">
        <v>6.09</v>
      </c>
      <c r="E62" s="100">
        <v>7.5</v>
      </c>
      <c r="F62" s="100">
        <v>5.65</v>
      </c>
      <c r="G62" s="100">
        <v>49.04</v>
      </c>
      <c r="H62" s="100">
        <v>18.68</v>
      </c>
      <c r="I62" s="100">
        <v>5.37</v>
      </c>
      <c r="J62" s="100">
        <v>1.18</v>
      </c>
      <c r="K62" s="100">
        <v>279.02</v>
      </c>
      <c r="L62" s="100">
        <v>36.97</v>
      </c>
      <c r="M62" s="100">
        <v>34.479999999999997</v>
      </c>
      <c r="N62" s="100">
        <v>805.1</v>
      </c>
      <c r="O62" s="100">
        <v>0</v>
      </c>
      <c r="P62" s="100">
        <v>0.32</v>
      </c>
      <c r="Q62" s="100">
        <v>28</v>
      </c>
      <c r="R62" s="6"/>
      <c r="S62" s="6"/>
      <c r="T62" s="156"/>
      <c r="U62" s="6"/>
    </row>
    <row r="63" spans="1:21" customFormat="1">
      <c r="A63" s="163" t="s">
        <v>486</v>
      </c>
      <c r="B63" s="100">
        <v>3.74</v>
      </c>
      <c r="C63" s="100">
        <v>7.4</v>
      </c>
      <c r="D63" s="100">
        <v>5.84</v>
      </c>
      <c r="E63" s="100">
        <v>7.73</v>
      </c>
      <c r="F63" s="100">
        <v>6.9</v>
      </c>
      <c r="G63" s="100">
        <v>49.04</v>
      </c>
      <c r="H63" s="100">
        <v>18.68</v>
      </c>
      <c r="I63" s="100">
        <v>5.26</v>
      </c>
      <c r="J63" s="100">
        <v>0.99</v>
      </c>
      <c r="K63" s="100">
        <v>273.68</v>
      </c>
      <c r="L63" s="100">
        <v>37.33</v>
      </c>
      <c r="M63" s="100">
        <v>33.29</v>
      </c>
      <c r="N63" s="100">
        <v>732.5</v>
      </c>
      <c r="O63" s="100">
        <v>0</v>
      </c>
      <c r="P63" s="100">
        <v>0.3</v>
      </c>
      <c r="Q63" s="100">
        <v>28</v>
      </c>
      <c r="R63" s="6"/>
      <c r="S63" s="6"/>
      <c r="T63" s="156"/>
      <c r="U63" s="6"/>
    </row>
    <row r="64" spans="1:21" customFormat="1">
      <c r="A64" s="163" t="s">
        <v>487</v>
      </c>
      <c r="B64" s="100">
        <v>3.82</v>
      </c>
      <c r="C64" s="100">
        <v>7.5</v>
      </c>
      <c r="D64" s="100">
        <v>5.91</v>
      </c>
      <c r="E64" s="100">
        <v>7.8</v>
      </c>
      <c r="F64" s="100">
        <v>7.06</v>
      </c>
      <c r="G64" s="100">
        <v>45.23</v>
      </c>
      <c r="H64" s="100">
        <v>19.48</v>
      </c>
      <c r="I64" s="100">
        <v>5.22</v>
      </c>
      <c r="J64" s="100">
        <v>0.65</v>
      </c>
      <c r="K64" s="100">
        <v>275.52999999999997</v>
      </c>
      <c r="L64" s="100">
        <v>37.29</v>
      </c>
      <c r="M64" s="100">
        <v>33.54</v>
      </c>
      <c r="N64" s="100">
        <v>438.5</v>
      </c>
      <c r="O64" s="100">
        <v>0</v>
      </c>
      <c r="P64" s="100">
        <v>0.31</v>
      </c>
      <c r="Q64" s="100">
        <v>28</v>
      </c>
      <c r="R64" s="6"/>
      <c r="S64" s="6"/>
      <c r="T64" s="156"/>
      <c r="U64" s="6"/>
    </row>
    <row r="65" spans="1:21" customFormat="1">
      <c r="A65" s="163" t="s">
        <v>488</v>
      </c>
      <c r="B65" s="100">
        <v>3.77</v>
      </c>
      <c r="C65" s="100">
        <v>7.45</v>
      </c>
      <c r="D65" s="100">
        <v>5.88</v>
      </c>
      <c r="E65" s="100">
        <v>8.34</v>
      </c>
      <c r="F65" s="100">
        <v>6.61</v>
      </c>
      <c r="G65" s="100">
        <v>44.75</v>
      </c>
      <c r="H65" s="100">
        <v>19.48</v>
      </c>
      <c r="I65" s="100">
        <v>5.13</v>
      </c>
      <c r="J65" s="100">
        <v>1.34</v>
      </c>
      <c r="K65" s="100">
        <v>280.60000000000002</v>
      </c>
      <c r="L65" s="100">
        <v>37.06</v>
      </c>
      <c r="M65" s="100">
        <v>33.47</v>
      </c>
      <c r="N65" s="100">
        <v>347.8</v>
      </c>
      <c r="O65" s="100">
        <v>0</v>
      </c>
      <c r="P65" s="100">
        <v>0.35</v>
      </c>
      <c r="Q65" s="100">
        <v>28</v>
      </c>
      <c r="R65" s="6"/>
      <c r="S65" s="6"/>
      <c r="T65" s="156"/>
      <c r="U65" s="6"/>
    </row>
    <row r="66" spans="1:21" customFormat="1">
      <c r="A66" s="163" t="s">
        <v>489</v>
      </c>
      <c r="B66" s="100">
        <v>3.74</v>
      </c>
      <c r="C66" s="100">
        <v>7.38</v>
      </c>
      <c r="D66" s="100">
        <v>5.79</v>
      </c>
      <c r="E66" s="100">
        <v>8.1</v>
      </c>
      <c r="F66" s="100">
        <v>6.01</v>
      </c>
      <c r="G66" s="100">
        <v>44.75</v>
      </c>
      <c r="H66" s="100">
        <v>19.48</v>
      </c>
      <c r="I66" s="100">
        <v>5.0599999999999996</v>
      </c>
      <c r="J66" s="100">
        <v>0.96</v>
      </c>
      <c r="K66" s="100">
        <v>277.38</v>
      </c>
      <c r="L66" s="100">
        <v>37.19</v>
      </c>
      <c r="M66" s="100">
        <v>33.78</v>
      </c>
      <c r="N66" s="100">
        <v>248.2</v>
      </c>
      <c r="O66" s="100">
        <v>0</v>
      </c>
      <c r="P66" s="100">
        <v>0.37</v>
      </c>
      <c r="Q66" s="100">
        <v>28</v>
      </c>
      <c r="R66" s="6"/>
      <c r="S66" s="6"/>
      <c r="T66" s="156"/>
      <c r="U66" s="6"/>
    </row>
    <row r="67" spans="1:21" customFormat="1">
      <c r="A67" s="163" t="s">
        <v>490</v>
      </c>
      <c r="B67" s="100">
        <v>3.72</v>
      </c>
      <c r="C67" s="100">
        <v>7.11</v>
      </c>
      <c r="D67" s="100">
        <v>5.32</v>
      </c>
      <c r="E67" s="100">
        <v>8.18</v>
      </c>
      <c r="F67" s="100">
        <v>7.64</v>
      </c>
      <c r="G67" s="100">
        <v>44.75</v>
      </c>
      <c r="H67" s="100">
        <v>19.48</v>
      </c>
      <c r="I67" s="100">
        <v>5.04</v>
      </c>
      <c r="J67" s="100">
        <v>0.89</v>
      </c>
      <c r="K67" s="100">
        <v>263.08</v>
      </c>
      <c r="L67" s="100">
        <v>37.44</v>
      </c>
      <c r="M67" s="100">
        <v>33.72</v>
      </c>
      <c r="N67" s="100">
        <v>289.2</v>
      </c>
      <c r="O67" s="100">
        <v>0</v>
      </c>
      <c r="P67" s="100">
        <v>0.37</v>
      </c>
      <c r="Q67" s="100">
        <v>28</v>
      </c>
      <c r="R67" s="6"/>
      <c r="S67" s="6"/>
      <c r="T67" s="156"/>
      <c r="U67" s="6"/>
    </row>
    <row r="68" spans="1:21" customFormat="1">
      <c r="A68" s="163" t="s">
        <v>491</v>
      </c>
      <c r="B68" s="100">
        <v>3.73</v>
      </c>
      <c r="C68" s="100">
        <v>7.69</v>
      </c>
      <c r="D68" s="100">
        <v>6.39</v>
      </c>
      <c r="E68" s="100">
        <v>8.26</v>
      </c>
      <c r="F68" s="100">
        <v>7.23</v>
      </c>
      <c r="G68" s="100">
        <v>50.98</v>
      </c>
      <c r="H68" s="100">
        <v>20.02</v>
      </c>
      <c r="I68" s="100">
        <v>5</v>
      </c>
      <c r="J68" s="100">
        <v>0.86</v>
      </c>
      <c r="K68" s="100">
        <v>269.5</v>
      </c>
      <c r="L68" s="100">
        <v>37.71</v>
      </c>
      <c r="M68" s="100">
        <v>33.54</v>
      </c>
      <c r="N68" s="100">
        <v>523.79999999999995</v>
      </c>
      <c r="O68" s="100">
        <v>0</v>
      </c>
      <c r="P68" s="100">
        <v>0.4</v>
      </c>
      <c r="Q68" s="100">
        <v>28</v>
      </c>
      <c r="R68" s="6"/>
      <c r="S68" s="6"/>
      <c r="T68" s="156"/>
      <c r="U68" s="6"/>
    </row>
    <row r="69" spans="1:21" customFormat="1">
      <c r="A69" s="163" t="s">
        <v>492</v>
      </c>
      <c r="B69" s="100">
        <v>3.67</v>
      </c>
      <c r="C69" s="100">
        <v>7.09</v>
      </c>
      <c r="D69" s="100">
        <v>5.35</v>
      </c>
      <c r="E69" s="100">
        <v>8.42</v>
      </c>
      <c r="F69" s="100">
        <v>6.39</v>
      </c>
      <c r="G69" s="100">
        <v>51.76</v>
      </c>
      <c r="H69" s="100">
        <v>20.02</v>
      </c>
      <c r="I69" s="100">
        <v>4.99</v>
      </c>
      <c r="J69" s="100">
        <v>0.97</v>
      </c>
      <c r="K69" s="100">
        <v>269.26</v>
      </c>
      <c r="L69" s="100">
        <v>37.9</v>
      </c>
      <c r="M69" s="100">
        <v>32.01</v>
      </c>
      <c r="N69" s="100">
        <v>570.9</v>
      </c>
      <c r="O69" s="100">
        <v>0</v>
      </c>
      <c r="P69" s="100">
        <v>0.4</v>
      </c>
      <c r="Q69" s="100">
        <v>28</v>
      </c>
      <c r="R69" s="6"/>
      <c r="S69" s="6"/>
      <c r="T69" s="156"/>
      <c r="U69" s="6"/>
    </row>
    <row r="70" spans="1:21" customFormat="1">
      <c r="A70" s="163" t="s">
        <v>493</v>
      </c>
      <c r="B70" s="100">
        <v>3.63</v>
      </c>
      <c r="C70" s="100">
        <v>7.23</v>
      </c>
      <c r="D70" s="100">
        <v>5.68</v>
      </c>
      <c r="E70" s="100">
        <v>8.18</v>
      </c>
      <c r="F70" s="100">
        <v>8.75</v>
      </c>
      <c r="G70" s="100">
        <v>51.76</v>
      </c>
      <c r="H70" s="100">
        <v>20.02</v>
      </c>
      <c r="I70" s="100">
        <v>5.01</v>
      </c>
      <c r="J70" s="100">
        <v>1.06</v>
      </c>
      <c r="K70" s="100">
        <v>270.52999999999997</v>
      </c>
      <c r="L70" s="100">
        <v>37.39</v>
      </c>
      <c r="M70" s="100">
        <v>33.39</v>
      </c>
      <c r="N70" s="100">
        <v>404.2</v>
      </c>
      <c r="O70" s="100">
        <v>0</v>
      </c>
      <c r="P70" s="100">
        <v>0.41</v>
      </c>
      <c r="Q70" s="100">
        <v>28</v>
      </c>
      <c r="R70" s="6"/>
      <c r="S70" s="6"/>
      <c r="T70" s="156"/>
      <c r="U70" s="6"/>
    </row>
    <row r="71" spans="1:21" customFormat="1">
      <c r="A71" s="163" t="s">
        <v>494</v>
      </c>
      <c r="B71" s="100">
        <v>3.63</v>
      </c>
      <c r="C71" s="100">
        <v>7.38</v>
      </c>
      <c r="D71" s="100">
        <v>5.97</v>
      </c>
      <c r="E71" s="100">
        <v>8.4700000000000006</v>
      </c>
      <c r="F71" s="100">
        <v>9.0500000000000007</v>
      </c>
      <c r="G71" s="100">
        <v>51.76</v>
      </c>
      <c r="H71" s="100">
        <v>20.02</v>
      </c>
      <c r="I71" s="100">
        <v>5.04</v>
      </c>
      <c r="J71" s="100">
        <v>0.86</v>
      </c>
      <c r="K71" s="100">
        <v>260.64</v>
      </c>
      <c r="L71" s="100">
        <v>37.22</v>
      </c>
      <c r="M71" s="100">
        <v>33.83</v>
      </c>
      <c r="N71" s="100">
        <v>247</v>
      </c>
      <c r="O71" s="100">
        <v>0</v>
      </c>
      <c r="P71" s="100">
        <v>0.43</v>
      </c>
      <c r="Q71" s="100">
        <v>28</v>
      </c>
      <c r="R71" s="6"/>
      <c r="S71" s="6"/>
      <c r="T71" s="156"/>
      <c r="U71" s="6"/>
    </row>
    <row r="72" spans="1:21" customFormat="1">
      <c r="A72" s="163" t="s">
        <v>495</v>
      </c>
      <c r="B72" s="100">
        <v>3.58</v>
      </c>
      <c r="C72" s="100">
        <v>7.42</v>
      </c>
      <c r="D72" s="100">
        <v>6.12</v>
      </c>
      <c r="E72" s="100">
        <v>8.33</v>
      </c>
      <c r="F72" s="100">
        <v>9.67</v>
      </c>
      <c r="G72" s="100">
        <v>50.34</v>
      </c>
      <c r="H72" s="100">
        <v>21.75</v>
      </c>
      <c r="I72" s="100">
        <v>5.03</v>
      </c>
      <c r="J72" s="100">
        <v>0.73</v>
      </c>
      <c r="K72" s="100">
        <v>251.6</v>
      </c>
      <c r="L72" s="100">
        <v>36.72</v>
      </c>
      <c r="M72" s="100">
        <v>33.94</v>
      </c>
      <c r="N72" s="100">
        <v>221.6</v>
      </c>
      <c r="O72" s="100">
        <v>0</v>
      </c>
      <c r="P72" s="100">
        <v>0.44</v>
      </c>
      <c r="Q72" s="100">
        <v>28</v>
      </c>
      <c r="R72" s="6"/>
      <c r="S72" s="6"/>
      <c r="T72" s="156"/>
      <c r="U72" s="6"/>
    </row>
    <row r="73" spans="1:21" customFormat="1">
      <c r="A73" s="163" t="s">
        <v>496</v>
      </c>
      <c r="B73" s="100">
        <v>3.56</v>
      </c>
      <c r="C73" s="100">
        <v>6.97</v>
      </c>
      <c r="D73" s="100">
        <v>5.29</v>
      </c>
      <c r="E73" s="100">
        <v>8.32</v>
      </c>
      <c r="F73" s="100">
        <v>8.1</v>
      </c>
      <c r="G73" s="100">
        <v>50.16</v>
      </c>
      <c r="H73" s="100">
        <v>21.75</v>
      </c>
      <c r="I73" s="100">
        <v>5.09</v>
      </c>
      <c r="J73" s="100">
        <v>0.77</v>
      </c>
      <c r="K73" s="100">
        <v>249.41</v>
      </c>
      <c r="L73" s="100">
        <v>36.79</v>
      </c>
      <c r="M73" s="100">
        <v>33.79</v>
      </c>
      <c r="N73" s="100">
        <v>161.80000000000001</v>
      </c>
      <c r="O73" s="100">
        <v>0</v>
      </c>
      <c r="P73" s="100">
        <v>0.4</v>
      </c>
      <c r="Q73" s="100">
        <v>28</v>
      </c>
      <c r="R73" s="6"/>
      <c r="S73" s="6"/>
      <c r="T73" s="156"/>
      <c r="U73" s="6"/>
    </row>
    <row r="74" spans="1:21" customFormat="1">
      <c r="A74" s="163" t="s">
        <v>497</v>
      </c>
      <c r="B74" s="100">
        <v>3.52</v>
      </c>
      <c r="C74" s="100">
        <v>7.02</v>
      </c>
      <c r="D74" s="100">
        <v>5.43</v>
      </c>
      <c r="E74" s="100">
        <v>8.2100000000000009</v>
      </c>
      <c r="F74" s="100">
        <v>7.49</v>
      </c>
      <c r="G74" s="100">
        <v>50.16</v>
      </c>
      <c r="H74" s="100">
        <v>21.75</v>
      </c>
      <c r="I74" s="100">
        <v>5.07</v>
      </c>
      <c r="J74" s="100">
        <v>0.82</v>
      </c>
      <c r="K74" s="100">
        <v>251.2</v>
      </c>
      <c r="L74" s="100">
        <v>36.74</v>
      </c>
      <c r="M74" s="100">
        <v>33.03</v>
      </c>
      <c r="N74" s="100">
        <v>142.6</v>
      </c>
      <c r="O74" s="100">
        <v>0</v>
      </c>
      <c r="P74" s="100">
        <v>0.41</v>
      </c>
      <c r="Q74" s="100">
        <v>28</v>
      </c>
      <c r="R74" s="6"/>
      <c r="S74" s="6"/>
      <c r="T74" s="156"/>
      <c r="U74" s="6"/>
    </row>
    <row r="75" spans="1:21" customFormat="1">
      <c r="A75" s="163" t="s">
        <v>498</v>
      </c>
      <c r="B75" s="100">
        <v>3.54</v>
      </c>
      <c r="C75" s="100">
        <v>6.82</v>
      </c>
      <c r="D75" s="100">
        <v>5.03</v>
      </c>
      <c r="E75" s="100">
        <v>8.3699999999999992</v>
      </c>
      <c r="F75" s="100">
        <v>8.74</v>
      </c>
      <c r="G75" s="100">
        <v>50.16</v>
      </c>
      <c r="H75" s="100">
        <v>21.75</v>
      </c>
      <c r="I75" s="100">
        <v>4.95</v>
      </c>
      <c r="J75" s="100">
        <v>0.73</v>
      </c>
      <c r="K75" s="100">
        <v>248.55</v>
      </c>
      <c r="L75" s="100">
        <v>36.81</v>
      </c>
      <c r="M75" s="100">
        <v>33.97</v>
      </c>
      <c r="N75" s="100">
        <v>139.19999999999999</v>
      </c>
      <c r="O75" s="100">
        <v>0</v>
      </c>
      <c r="P75" s="100">
        <v>0.4</v>
      </c>
      <c r="Q75" s="100">
        <v>28</v>
      </c>
      <c r="R75" s="6"/>
      <c r="S75" s="6"/>
      <c r="T75" s="156"/>
      <c r="U75" s="6"/>
    </row>
    <row r="76" spans="1:21" customFormat="1">
      <c r="A76" s="163" t="s">
        <v>499</v>
      </c>
      <c r="B76" s="100">
        <v>3.55</v>
      </c>
      <c r="C76" s="100">
        <v>7.01</v>
      </c>
      <c r="D76" s="100">
        <v>5.39</v>
      </c>
      <c r="E76" s="100">
        <v>8.35</v>
      </c>
      <c r="F76" s="100">
        <v>9.11</v>
      </c>
      <c r="G76" s="100">
        <v>52.22</v>
      </c>
      <c r="H76" s="100">
        <v>23.08</v>
      </c>
      <c r="I76" s="100">
        <v>4.8600000000000003</v>
      </c>
      <c r="J76" s="100">
        <v>0.77</v>
      </c>
      <c r="K76" s="100">
        <v>254.78</v>
      </c>
      <c r="L76" s="100">
        <v>36.549999999999997</v>
      </c>
      <c r="M76" s="100">
        <v>34.08</v>
      </c>
      <c r="N76" s="100">
        <v>125.4</v>
      </c>
      <c r="O76" s="100">
        <v>0</v>
      </c>
      <c r="P76" s="100">
        <v>0.4</v>
      </c>
      <c r="Q76" s="100">
        <v>28</v>
      </c>
      <c r="R76" s="6"/>
      <c r="S76" s="6"/>
      <c r="T76" s="156"/>
      <c r="U76" s="6"/>
    </row>
    <row r="77" spans="1:21" customFormat="1">
      <c r="A77" s="163" t="s">
        <v>500</v>
      </c>
      <c r="B77" s="100">
        <v>3.57</v>
      </c>
      <c r="C77" s="100">
        <v>6.72</v>
      </c>
      <c r="D77" s="100">
        <v>4.8</v>
      </c>
      <c r="E77" s="100">
        <v>8.39</v>
      </c>
      <c r="F77" s="100">
        <v>6.71</v>
      </c>
      <c r="G77" s="100">
        <v>52.48</v>
      </c>
      <c r="H77" s="100">
        <v>23.08</v>
      </c>
      <c r="I77" s="100">
        <v>4.68</v>
      </c>
      <c r="J77" s="100">
        <v>0.68</v>
      </c>
      <c r="K77" s="100">
        <v>248.43</v>
      </c>
      <c r="L77" s="100">
        <v>36.21</v>
      </c>
      <c r="M77" s="100">
        <v>35.01</v>
      </c>
      <c r="N77" s="100">
        <v>121</v>
      </c>
      <c r="O77" s="100">
        <v>0</v>
      </c>
      <c r="P77" s="100">
        <v>0.39</v>
      </c>
      <c r="Q77" s="100">
        <v>28</v>
      </c>
      <c r="R77" s="6"/>
      <c r="S77" s="6"/>
      <c r="T77" s="156"/>
      <c r="U77" s="6"/>
    </row>
    <row r="78" spans="1:21" customFormat="1">
      <c r="A78" s="163" t="s">
        <v>501</v>
      </c>
      <c r="B78" s="100">
        <v>3.56</v>
      </c>
      <c r="C78" s="100">
        <v>6.9</v>
      </c>
      <c r="D78" s="100">
        <v>5.16</v>
      </c>
      <c r="E78" s="100">
        <v>8.56</v>
      </c>
      <c r="F78" s="100">
        <v>8.51</v>
      </c>
      <c r="G78" s="100">
        <v>52.48</v>
      </c>
      <c r="H78" s="100">
        <v>23.08</v>
      </c>
      <c r="I78" s="100">
        <v>4.6500000000000004</v>
      </c>
      <c r="J78" s="100">
        <v>0.69</v>
      </c>
      <c r="K78" s="100">
        <v>245.18</v>
      </c>
      <c r="L78" s="100">
        <v>36.03</v>
      </c>
      <c r="M78" s="100">
        <v>33.97</v>
      </c>
      <c r="N78" s="100">
        <v>75.3</v>
      </c>
      <c r="O78" s="100">
        <v>0</v>
      </c>
      <c r="P78" s="100">
        <v>0.39</v>
      </c>
      <c r="Q78" s="100">
        <v>28</v>
      </c>
      <c r="R78" s="6"/>
      <c r="S78" s="6"/>
      <c r="T78" s="156"/>
      <c r="U78" s="6"/>
    </row>
    <row r="79" spans="1:21" customFormat="1">
      <c r="A79" s="163" t="s">
        <v>502</v>
      </c>
      <c r="B79" s="100">
        <v>3.58</v>
      </c>
      <c r="C79" s="100">
        <v>6.51</v>
      </c>
      <c r="D79" s="100">
        <v>4.37</v>
      </c>
      <c r="E79" s="100">
        <v>8.4</v>
      </c>
      <c r="F79" s="100">
        <v>12.37</v>
      </c>
      <c r="G79" s="100">
        <v>52.48</v>
      </c>
      <c r="H79" s="100">
        <v>23.08</v>
      </c>
      <c r="I79" s="100">
        <v>4.55</v>
      </c>
      <c r="J79" s="100">
        <v>0.64</v>
      </c>
      <c r="K79" s="100">
        <v>256.10000000000002</v>
      </c>
      <c r="L79" s="100">
        <v>35.770000000000003</v>
      </c>
      <c r="M79" s="100">
        <v>32.36</v>
      </c>
      <c r="N79" s="100">
        <v>73.400000000000006</v>
      </c>
      <c r="O79" s="100">
        <v>0</v>
      </c>
      <c r="P79" s="100">
        <v>0.39</v>
      </c>
      <c r="Q79" s="100">
        <v>28</v>
      </c>
      <c r="R79" s="6"/>
      <c r="S79" s="6"/>
      <c r="T79" s="156"/>
      <c r="U79" s="6"/>
    </row>
    <row r="80" spans="1:21" customFormat="1">
      <c r="A80" s="163" t="s">
        <v>503</v>
      </c>
      <c r="B80" s="100">
        <v>3.64</v>
      </c>
      <c r="C80" s="100">
        <v>6.5</v>
      </c>
      <c r="D80" s="100">
        <v>4.2699999999999996</v>
      </c>
      <c r="E80" s="100">
        <v>8.34</v>
      </c>
      <c r="F80" s="100">
        <v>15.81</v>
      </c>
      <c r="G80" s="100">
        <v>49.28</v>
      </c>
      <c r="H80" s="100">
        <v>19.190000000000001</v>
      </c>
      <c r="I80" s="100">
        <v>4.4000000000000004</v>
      </c>
      <c r="J80" s="100">
        <v>0.8</v>
      </c>
      <c r="K80" s="100">
        <v>250.32</v>
      </c>
      <c r="L80" s="100">
        <v>35.46</v>
      </c>
      <c r="M80" s="100">
        <v>32.450000000000003</v>
      </c>
      <c r="N80" s="100">
        <v>57.7</v>
      </c>
      <c r="O80" s="100">
        <v>0</v>
      </c>
      <c r="P80" s="100">
        <v>0.42</v>
      </c>
      <c r="Q80" s="100">
        <v>28</v>
      </c>
      <c r="R80" s="6"/>
      <c r="S80" s="6"/>
      <c r="T80" s="156"/>
      <c r="U80" s="6"/>
    </row>
    <row r="81" spans="1:21" customFormat="1">
      <c r="A81" s="163" t="s">
        <v>504</v>
      </c>
      <c r="B81" s="100">
        <v>3.64</v>
      </c>
      <c r="C81" s="100">
        <v>6.31</v>
      </c>
      <c r="D81" s="100">
        <v>3.9</v>
      </c>
      <c r="E81" s="100">
        <v>6.46</v>
      </c>
      <c r="F81" s="100">
        <v>19.88</v>
      </c>
      <c r="G81" s="100">
        <v>48.88</v>
      </c>
      <c r="H81" s="100">
        <v>19.190000000000001</v>
      </c>
      <c r="I81" s="100">
        <v>4.34</v>
      </c>
      <c r="J81" s="100">
        <v>0.61</v>
      </c>
      <c r="K81" s="100">
        <v>248.4</v>
      </c>
      <c r="L81" s="100">
        <v>34.99</v>
      </c>
      <c r="M81" s="100">
        <v>34.24</v>
      </c>
      <c r="N81" s="100">
        <v>28.3</v>
      </c>
      <c r="O81" s="100">
        <v>0</v>
      </c>
      <c r="P81" s="100">
        <v>0.42</v>
      </c>
      <c r="Q81" s="100">
        <v>28</v>
      </c>
      <c r="R81" s="6"/>
      <c r="S81" s="6"/>
      <c r="T81" s="156"/>
      <c r="U81" s="6"/>
    </row>
    <row r="82" spans="1:21" customFormat="1">
      <c r="A82" s="163" t="s">
        <v>505</v>
      </c>
      <c r="B82" s="100">
        <v>3.62</v>
      </c>
      <c r="C82" s="100">
        <v>6.22</v>
      </c>
      <c r="D82" s="100">
        <v>3.77</v>
      </c>
      <c r="E82" s="100">
        <v>7.04</v>
      </c>
      <c r="F82" s="100">
        <v>22.96</v>
      </c>
      <c r="G82" s="100">
        <v>48.88</v>
      </c>
      <c r="H82" s="100">
        <v>19.190000000000001</v>
      </c>
      <c r="I82" s="100">
        <v>4.1399999999999997</v>
      </c>
      <c r="J82" s="100">
        <v>0.51</v>
      </c>
      <c r="K82" s="100">
        <v>248.79</v>
      </c>
      <c r="L82" s="100">
        <v>34.450000000000003</v>
      </c>
      <c r="M82" s="100">
        <v>36.4</v>
      </c>
      <c r="N82" s="100">
        <v>12.4</v>
      </c>
      <c r="O82" s="100">
        <v>0</v>
      </c>
      <c r="P82" s="100">
        <v>0.41</v>
      </c>
      <c r="Q82" s="100">
        <v>28</v>
      </c>
      <c r="R82" s="6"/>
      <c r="S82" s="6"/>
      <c r="T82" s="156"/>
      <c r="U82" s="6"/>
    </row>
    <row r="83" spans="1:21" customFormat="1">
      <c r="A83" s="163" t="s">
        <v>506</v>
      </c>
      <c r="B83" s="100">
        <v>3.62</v>
      </c>
      <c r="C83" s="100">
        <v>6.23</v>
      </c>
      <c r="D83" s="100">
        <v>3.78</v>
      </c>
      <c r="E83" s="100">
        <v>7.19</v>
      </c>
      <c r="F83" s="100">
        <v>22.47</v>
      </c>
      <c r="G83" s="100">
        <v>48.88</v>
      </c>
      <c r="H83" s="100">
        <v>19.190000000000001</v>
      </c>
      <c r="I83" s="100">
        <v>4.12</v>
      </c>
      <c r="J83" s="100">
        <v>0.48</v>
      </c>
      <c r="K83" s="100">
        <v>247.64</v>
      </c>
      <c r="L83" s="100">
        <v>34.01</v>
      </c>
      <c r="M83" s="100">
        <v>38.1</v>
      </c>
      <c r="N83" s="100">
        <v>5</v>
      </c>
      <c r="O83" s="100">
        <v>0</v>
      </c>
      <c r="P83" s="100">
        <v>0.41</v>
      </c>
      <c r="Q83" s="100">
        <v>28</v>
      </c>
      <c r="R83" s="6"/>
      <c r="S83" s="6"/>
      <c r="T83" s="156"/>
      <c r="U83" s="6"/>
    </row>
    <row r="84" spans="1:21" customFormat="1">
      <c r="A84" s="163" t="s">
        <v>507</v>
      </c>
      <c r="B84" s="100">
        <v>3.62</v>
      </c>
      <c r="C84" s="100">
        <v>6.25</v>
      </c>
      <c r="D84" s="100">
        <v>3.83</v>
      </c>
      <c r="E84" s="100">
        <v>7</v>
      </c>
      <c r="F84" s="100">
        <v>22.89</v>
      </c>
      <c r="G84" s="100">
        <v>48.43</v>
      </c>
      <c r="H84" s="100">
        <v>19.73</v>
      </c>
      <c r="I84" s="100">
        <v>4.0199999999999996</v>
      </c>
      <c r="J84" s="100">
        <v>0.56000000000000005</v>
      </c>
      <c r="K84" s="100">
        <v>245.3</v>
      </c>
      <c r="L84" s="100">
        <v>33.67</v>
      </c>
      <c r="M84" s="100">
        <v>39.22</v>
      </c>
      <c r="N84" s="100">
        <v>2.2999999999999998</v>
      </c>
      <c r="O84" s="100">
        <v>0</v>
      </c>
      <c r="P84" s="100">
        <v>0.41</v>
      </c>
      <c r="Q84" s="100">
        <v>28</v>
      </c>
      <c r="R84" s="6"/>
      <c r="S84" s="6"/>
      <c r="T84" s="156"/>
      <c r="U84" s="6"/>
    </row>
    <row r="85" spans="1:21" customFormat="1">
      <c r="A85" s="163" t="s">
        <v>508</v>
      </c>
      <c r="B85" s="100">
        <v>3.65</v>
      </c>
      <c r="C85" s="100">
        <v>6.2</v>
      </c>
      <c r="D85" s="100">
        <v>3.68</v>
      </c>
      <c r="E85" s="100">
        <v>7.18</v>
      </c>
      <c r="F85" s="100">
        <v>18.850000000000001</v>
      </c>
      <c r="G85" s="100">
        <v>48.37</v>
      </c>
      <c r="H85" s="100">
        <v>19.73</v>
      </c>
      <c r="I85" s="100">
        <v>4.0999999999999996</v>
      </c>
      <c r="J85" s="100">
        <v>0.64</v>
      </c>
      <c r="K85" s="100">
        <v>247.74</v>
      </c>
      <c r="L85" s="100">
        <v>33.53</v>
      </c>
      <c r="M85" s="100">
        <v>39.43</v>
      </c>
      <c r="N85" s="100">
        <v>1.7</v>
      </c>
      <c r="O85" s="100">
        <v>0</v>
      </c>
      <c r="P85" s="100">
        <v>0.4</v>
      </c>
      <c r="Q85" s="100">
        <v>28</v>
      </c>
      <c r="R85" s="6"/>
      <c r="S85" s="6"/>
      <c r="T85" s="156"/>
      <c r="U85" s="6"/>
    </row>
    <row r="86" spans="1:21" customFormat="1">
      <c r="A86" s="163" t="s">
        <v>509</v>
      </c>
      <c r="B86" s="100">
        <v>3.63</v>
      </c>
      <c r="C86" s="100">
        <v>6.26</v>
      </c>
      <c r="D86" s="100">
        <v>3.83</v>
      </c>
      <c r="E86" s="100">
        <v>6.93</v>
      </c>
      <c r="F86" s="100">
        <v>22.64</v>
      </c>
      <c r="G86" s="100">
        <v>48.37</v>
      </c>
      <c r="H86" s="100">
        <v>19.73</v>
      </c>
      <c r="I86" s="100">
        <v>4.12</v>
      </c>
      <c r="J86" s="100">
        <v>0.5</v>
      </c>
      <c r="K86" s="100">
        <v>246.81</v>
      </c>
      <c r="L86" s="100">
        <v>33.29</v>
      </c>
      <c r="M86" s="100">
        <v>40.39</v>
      </c>
      <c r="N86" s="100">
        <v>1.7</v>
      </c>
      <c r="O86" s="100">
        <v>0</v>
      </c>
      <c r="P86" s="100">
        <v>0.4</v>
      </c>
      <c r="Q86" s="100">
        <v>28</v>
      </c>
      <c r="R86" s="6"/>
      <c r="S86" s="6"/>
      <c r="T86" s="156"/>
      <c r="U86" s="6"/>
    </row>
    <row r="87" spans="1:21" customFormat="1">
      <c r="A87" s="163" t="s">
        <v>510</v>
      </c>
      <c r="B87" s="100">
        <v>3.65</v>
      </c>
      <c r="C87" s="100">
        <v>6.41</v>
      </c>
      <c r="D87" s="100">
        <v>4.07</v>
      </c>
      <c r="E87" s="100">
        <v>6.96</v>
      </c>
      <c r="F87" s="100">
        <v>23.46</v>
      </c>
      <c r="G87" s="100">
        <v>48.37</v>
      </c>
      <c r="H87" s="100">
        <v>19.73</v>
      </c>
      <c r="I87" s="100">
        <v>4.22</v>
      </c>
      <c r="J87" s="100">
        <v>0.44</v>
      </c>
      <c r="K87" s="100">
        <v>247.06</v>
      </c>
      <c r="L87" s="100">
        <v>33</v>
      </c>
      <c r="M87" s="100">
        <v>41.57</v>
      </c>
      <c r="N87" s="100">
        <v>1.8</v>
      </c>
      <c r="O87" s="100">
        <v>0</v>
      </c>
      <c r="P87" s="100">
        <v>0.41</v>
      </c>
      <c r="Q87" s="100">
        <v>28</v>
      </c>
      <c r="R87" s="6"/>
      <c r="S87" s="6"/>
      <c r="T87" s="156"/>
      <c r="U87" s="6"/>
    </row>
    <row r="88" spans="1:21" customFormat="1">
      <c r="A88" s="163" t="s">
        <v>511</v>
      </c>
      <c r="B88" s="100">
        <v>3.63</v>
      </c>
      <c r="C88" s="100">
        <v>6.66</v>
      </c>
      <c r="D88" s="100">
        <v>4.59</v>
      </c>
      <c r="E88" s="100">
        <v>6.79</v>
      </c>
      <c r="F88" s="100">
        <v>17.95</v>
      </c>
      <c r="G88" s="100">
        <v>50.23</v>
      </c>
      <c r="H88" s="100">
        <v>20.84</v>
      </c>
      <c r="I88" s="100">
        <v>4.2300000000000004</v>
      </c>
      <c r="J88" s="100">
        <v>0.25</v>
      </c>
      <c r="K88" s="100">
        <v>228.9</v>
      </c>
      <c r="L88" s="100">
        <v>32.44</v>
      </c>
      <c r="M88" s="100">
        <v>44.66</v>
      </c>
      <c r="N88" s="100">
        <v>1.9</v>
      </c>
      <c r="O88" s="100">
        <v>0</v>
      </c>
      <c r="P88" s="100">
        <v>0.43</v>
      </c>
      <c r="Q88" s="100">
        <v>28</v>
      </c>
      <c r="R88" s="6"/>
      <c r="S88" s="6"/>
      <c r="T88" s="156"/>
      <c r="U88" s="6"/>
    </row>
    <row r="89" spans="1:21" customFormat="1">
      <c r="A89" s="163" t="s">
        <v>512</v>
      </c>
      <c r="B89" s="100">
        <v>3.67</v>
      </c>
      <c r="C89" s="100">
        <v>7.11</v>
      </c>
      <c r="D89" s="100">
        <v>5.39</v>
      </c>
      <c r="E89" s="100">
        <v>7.16</v>
      </c>
      <c r="F89" s="100">
        <v>18.309999999999999</v>
      </c>
      <c r="G89" s="100">
        <v>50.46</v>
      </c>
      <c r="H89" s="100">
        <v>20.84</v>
      </c>
      <c r="I89" s="100">
        <v>4.33</v>
      </c>
      <c r="J89" s="100">
        <v>0.25</v>
      </c>
      <c r="K89" s="100">
        <v>231.72</v>
      </c>
      <c r="L89" s="100">
        <v>31.96</v>
      </c>
      <c r="M89" s="100">
        <v>46.51</v>
      </c>
      <c r="N89" s="100">
        <v>1.7</v>
      </c>
      <c r="O89" s="100">
        <v>0</v>
      </c>
      <c r="P89" s="100">
        <v>0.47</v>
      </c>
      <c r="Q89" s="100">
        <v>28</v>
      </c>
      <c r="R89" s="6"/>
      <c r="S89" s="6"/>
      <c r="T89" s="156"/>
      <c r="U89" s="6"/>
    </row>
    <row r="90" spans="1:21" customFormat="1">
      <c r="A90" s="163" t="s">
        <v>513</v>
      </c>
      <c r="B90" s="100">
        <v>3.74</v>
      </c>
      <c r="C90" s="100">
        <v>6.94</v>
      </c>
      <c r="D90" s="100">
        <v>4.96</v>
      </c>
      <c r="E90" s="100">
        <v>6.95</v>
      </c>
      <c r="F90" s="100">
        <v>17.399999999999999</v>
      </c>
      <c r="G90" s="100">
        <v>50.46</v>
      </c>
      <c r="H90" s="100">
        <v>20.84</v>
      </c>
      <c r="I90" s="100">
        <v>4.59</v>
      </c>
      <c r="J90" s="100">
        <v>0.42</v>
      </c>
      <c r="K90" s="100">
        <v>248.63</v>
      </c>
      <c r="L90" s="100">
        <v>31.99</v>
      </c>
      <c r="M90" s="100">
        <v>45.64</v>
      </c>
      <c r="N90" s="100">
        <v>1.3</v>
      </c>
      <c r="O90" s="100">
        <v>0</v>
      </c>
      <c r="P90" s="100">
        <v>0.45</v>
      </c>
      <c r="Q90" s="100">
        <v>28</v>
      </c>
      <c r="R90" s="6"/>
      <c r="S90" s="6"/>
      <c r="T90" s="156"/>
      <c r="U90" s="6"/>
    </row>
    <row r="91" spans="1:21" customFormat="1">
      <c r="A91" s="163" t="s">
        <v>514</v>
      </c>
      <c r="B91" s="100">
        <v>3.76</v>
      </c>
      <c r="C91" s="100">
        <v>6.84</v>
      </c>
      <c r="D91" s="100">
        <v>4.72</v>
      </c>
      <c r="E91" s="100">
        <v>7.09</v>
      </c>
      <c r="F91" s="100">
        <v>17.43</v>
      </c>
      <c r="G91" s="100">
        <v>50.46</v>
      </c>
      <c r="H91" s="100">
        <v>20.84</v>
      </c>
      <c r="I91" s="100">
        <v>4.82</v>
      </c>
      <c r="J91" s="100">
        <v>0.32</v>
      </c>
      <c r="K91" s="100">
        <v>236.87</v>
      </c>
      <c r="L91" s="100">
        <v>31.79</v>
      </c>
      <c r="M91" s="100">
        <v>47.01</v>
      </c>
      <c r="N91" s="100">
        <v>1.7</v>
      </c>
      <c r="O91" s="100">
        <v>0</v>
      </c>
      <c r="P91" s="100">
        <v>0.45</v>
      </c>
      <c r="Q91" s="100">
        <v>28</v>
      </c>
      <c r="R91" s="6"/>
      <c r="S91" s="6"/>
      <c r="T91" s="156"/>
      <c r="U91" s="6"/>
    </row>
    <row r="92" spans="1:21" customFormat="1">
      <c r="A92" s="163" t="s">
        <v>515</v>
      </c>
      <c r="B92" s="100">
        <v>3.77</v>
      </c>
      <c r="C92" s="100">
        <v>7.19</v>
      </c>
      <c r="D92" s="100">
        <v>5.38</v>
      </c>
      <c r="E92" s="100">
        <v>6.51</v>
      </c>
      <c r="F92" s="100">
        <v>15.27</v>
      </c>
      <c r="G92" s="100">
        <v>51.89</v>
      </c>
      <c r="H92" s="100">
        <v>25.14</v>
      </c>
      <c r="I92" s="100">
        <v>4.74</v>
      </c>
      <c r="J92" s="100">
        <v>0.21</v>
      </c>
      <c r="K92" s="100">
        <v>219.61</v>
      </c>
      <c r="L92" s="100">
        <v>31.33</v>
      </c>
      <c r="M92" s="100">
        <v>49.41</v>
      </c>
      <c r="N92" s="100">
        <v>1.9</v>
      </c>
      <c r="O92" s="100">
        <v>0</v>
      </c>
      <c r="P92" s="100">
        <v>0.46</v>
      </c>
      <c r="Q92" s="100">
        <v>28</v>
      </c>
      <c r="R92" s="6"/>
      <c r="S92" s="6"/>
      <c r="T92" s="156"/>
      <c r="U92" s="6"/>
    </row>
    <row r="93" spans="1:21" customFormat="1">
      <c r="A93" s="163" t="s">
        <v>516</v>
      </c>
      <c r="B93" s="100">
        <v>3.83</v>
      </c>
      <c r="C93" s="100">
        <v>7.42</v>
      </c>
      <c r="D93" s="100">
        <v>5.73</v>
      </c>
      <c r="E93" s="100">
        <v>6.87</v>
      </c>
      <c r="F93" s="100">
        <v>12.31</v>
      </c>
      <c r="G93" s="100">
        <v>52.06</v>
      </c>
      <c r="H93" s="100">
        <v>25.14</v>
      </c>
      <c r="I93" s="100">
        <v>4.74</v>
      </c>
      <c r="J93" s="100">
        <v>0.15</v>
      </c>
      <c r="K93" s="100">
        <v>189.45</v>
      </c>
      <c r="L93" s="100">
        <v>30.98</v>
      </c>
      <c r="M93" s="100">
        <v>50.93</v>
      </c>
      <c r="N93" s="100">
        <v>1.7</v>
      </c>
      <c r="O93" s="100">
        <v>0</v>
      </c>
      <c r="P93" s="100">
        <v>0.47</v>
      </c>
      <c r="Q93" s="100">
        <v>28</v>
      </c>
      <c r="R93" s="6"/>
      <c r="S93" s="6"/>
      <c r="T93" s="156"/>
      <c r="U93" s="6"/>
    </row>
    <row r="94" spans="1:21" customFormat="1">
      <c r="A94" s="163" t="s">
        <v>517</v>
      </c>
      <c r="B94" s="100">
        <v>3.87</v>
      </c>
      <c r="C94" s="100">
        <v>7.55</v>
      </c>
      <c r="D94" s="100">
        <v>5.92</v>
      </c>
      <c r="E94" s="100">
        <v>6.64</v>
      </c>
      <c r="F94" s="100">
        <v>13.04</v>
      </c>
      <c r="G94" s="100">
        <v>52.06</v>
      </c>
      <c r="H94" s="100">
        <v>25.14</v>
      </c>
      <c r="I94" s="100">
        <v>4.8499999999999996</v>
      </c>
      <c r="J94" s="100">
        <v>0.2</v>
      </c>
      <c r="K94" s="100">
        <v>212.97</v>
      </c>
      <c r="L94" s="100">
        <v>30.6</v>
      </c>
      <c r="M94" s="100">
        <v>51.97</v>
      </c>
      <c r="N94" s="100">
        <v>1.6</v>
      </c>
      <c r="O94" s="100">
        <v>0</v>
      </c>
      <c r="P94" s="100">
        <v>0.48</v>
      </c>
      <c r="Q94" s="100">
        <v>28</v>
      </c>
      <c r="R94" s="6"/>
      <c r="S94" s="6"/>
      <c r="T94" s="156"/>
      <c r="U94" s="6"/>
    </row>
    <row r="95" spans="1:21" customFormat="1">
      <c r="A95" s="163" t="s">
        <v>518</v>
      </c>
      <c r="B95" s="100">
        <v>3.97</v>
      </c>
      <c r="C95" s="100">
        <v>7.53</v>
      </c>
      <c r="D95" s="100">
        <v>5.72</v>
      </c>
      <c r="E95" s="100">
        <v>6.98</v>
      </c>
      <c r="F95" s="100">
        <v>8.8699999999999992</v>
      </c>
      <c r="G95" s="100">
        <v>52.06</v>
      </c>
      <c r="H95" s="100">
        <v>25.14</v>
      </c>
      <c r="I95" s="100">
        <v>5.08</v>
      </c>
      <c r="J95" s="100">
        <v>0.2</v>
      </c>
      <c r="K95" s="100">
        <v>211.88</v>
      </c>
      <c r="L95" s="100">
        <v>30.51</v>
      </c>
      <c r="M95" s="100">
        <v>52.5</v>
      </c>
      <c r="N95" s="100">
        <v>1.4</v>
      </c>
      <c r="O95" s="100">
        <v>0</v>
      </c>
      <c r="P95" s="100">
        <v>0.47</v>
      </c>
      <c r="Q95" s="100">
        <v>28</v>
      </c>
      <c r="R95" s="6"/>
      <c r="S95" s="6"/>
      <c r="T95" s="156"/>
      <c r="U95" s="6"/>
    </row>
    <row r="96" spans="1:21" customFormat="1">
      <c r="A96" s="163" t="s">
        <v>519</v>
      </c>
      <c r="B96" s="100">
        <v>3.99</v>
      </c>
      <c r="C96" s="100">
        <v>7.58</v>
      </c>
      <c r="D96" s="100">
        <v>5.8</v>
      </c>
      <c r="E96" s="100">
        <v>6.83</v>
      </c>
      <c r="F96" s="100">
        <v>12.12</v>
      </c>
      <c r="G96" s="100">
        <v>54.62</v>
      </c>
      <c r="H96" s="100">
        <v>23.66</v>
      </c>
      <c r="I96" s="100">
        <v>5.09</v>
      </c>
      <c r="J96" s="100">
        <v>0.22</v>
      </c>
      <c r="K96" s="100">
        <v>226.44</v>
      </c>
      <c r="L96" s="100">
        <v>30.34</v>
      </c>
      <c r="M96" s="100">
        <v>53.49</v>
      </c>
      <c r="N96" s="100">
        <v>1.4</v>
      </c>
      <c r="O96" s="100">
        <v>0</v>
      </c>
      <c r="P96" s="100">
        <v>0.49</v>
      </c>
      <c r="Q96" s="100">
        <v>28</v>
      </c>
      <c r="R96" s="6"/>
      <c r="S96" s="6"/>
      <c r="T96" s="156"/>
      <c r="U96" s="6"/>
    </row>
    <row r="97" spans="1:28" customFormat="1">
      <c r="A97" s="163" t="s">
        <v>520</v>
      </c>
      <c r="B97" s="100">
        <v>4.0599999999999996</v>
      </c>
      <c r="C97" s="100">
        <v>7.19</v>
      </c>
      <c r="D97" s="100">
        <v>4.9400000000000004</v>
      </c>
      <c r="E97" s="100">
        <v>6.63</v>
      </c>
      <c r="F97" s="100">
        <v>11.96</v>
      </c>
      <c r="G97" s="100">
        <v>54.94</v>
      </c>
      <c r="H97" s="100">
        <v>23.66</v>
      </c>
      <c r="I97" s="100">
        <v>5.0999999999999996</v>
      </c>
      <c r="J97" s="100">
        <v>0.3</v>
      </c>
      <c r="K97" s="100">
        <v>231.63</v>
      </c>
      <c r="L97" s="100">
        <v>30.31</v>
      </c>
      <c r="M97" s="100">
        <v>53.8</v>
      </c>
      <c r="N97" s="100">
        <v>1.4</v>
      </c>
      <c r="O97" s="100">
        <v>0</v>
      </c>
      <c r="P97" s="100">
        <v>0.47</v>
      </c>
      <c r="Q97" s="100">
        <v>28</v>
      </c>
      <c r="R97" s="6"/>
      <c r="S97" s="6"/>
      <c r="T97" s="156"/>
      <c r="U97" s="6"/>
    </row>
    <row r="98" spans="1:28" customFormat="1">
      <c r="A98" s="163" t="s">
        <v>521</v>
      </c>
      <c r="B98" s="100">
        <v>4.21</v>
      </c>
      <c r="C98" s="100">
        <v>6.94</v>
      </c>
      <c r="D98" s="100">
        <v>4.24</v>
      </c>
      <c r="E98" s="100">
        <v>7.15</v>
      </c>
      <c r="F98" s="100">
        <v>6.72</v>
      </c>
      <c r="G98" s="100">
        <v>54.94</v>
      </c>
      <c r="H98" s="100">
        <v>23.66</v>
      </c>
      <c r="I98" s="100">
        <v>5.18</v>
      </c>
      <c r="J98" s="100">
        <v>0.34</v>
      </c>
      <c r="K98" s="100">
        <v>237</v>
      </c>
      <c r="L98" s="100">
        <v>30.34</v>
      </c>
      <c r="M98" s="100">
        <v>53.96</v>
      </c>
      <c r="N98" s="100">
        <v>1.3</v>
      </c>
      <c r="O98" s="100">
        <v>0</v>
      </c>
      <c r="P98" s="100">
        <v>0.45</v>
      </c>
      <c r="Q98" s="100">
        <v>28</v>
      </c>
      <c r="R98" s="6"/>
      <c r="S98" s="6"/>
      <c r="T98" s="156"/>
      <c r="U98" s="6"/>
    </row>
    <row r="99" spans="1:28" customFormat="1">
      <c r="A99" s="163" t="s">
        <v>522</v>
      </c>
      <c r="B99" s="100">
        <v>4.21</v>
      </c>
      <c r="C99" s="100">
        <v>7.05</v>
      </c>
      <c r="D99" s="100">
        <v>4.45</v>
      </c>
      <c r="E99" s="100">
        <v>7.16</v>
      </c>
      <c r="F99" s="100">
        <v>6.1</v>
      </c>
      <c r="G99" s="100">
        <v>54.94</v>
      </c>
      <c r="H99" s="100">
        <v>23.66</v>
      </c>
      <c r="I99" s="100">
        <v>5.14</v>
      </c>
      <c r="J99" s="100">
        <v>0.43</v>
      </c>
      <c r="K99" s="100">
        <v>247.86</v>
      </c>
      <c r="L99" s="100">
        <v>30.44</v>
      </c>
      <c r="M99" s="100">
        <v>54.3</v>
      </c>
      <c r="N99" s="100">
        <v>1.3</v>
      </c>
      <c r="O99" s="100">
        <v>0</v>
      </c>
      <c r="P99" s="100">
        <v>0.44</v>
      </c>
      <c r="Q99" s="100">
        <v>28</v>
      </c>
      <c r="R99" s="6"/>
      <c r="S99" s="6"/>
      <c r="T99" s="156"/>
      <c r="U99" s="6"/>
    </row>
    <row r="100" spans="1:28" customFormat="1">
      <c r="A100" s="163" t="s">
        <v>523</v>
      </c>
      <c r="B100" s="100">
        <v>4.0999999999999996</v>
      </c>
      <c r="C100" s="100">
        <v>7.08</v>
      </c>
      <c r="D100" s="100">
        <v>4.67</v>
      </c>
      <c r="E100" s="100">
        <v>7.34</v>
      </c>
      <c r="F100" s="100">
        <v>6.17</v>
      </c>
      <c r="G100" s="100">
        <v>55.46</v>
      </c>
      <c r="H100" s="100">
        <v>24.01</v>
      </c>
      <c r="I100" s="100">
        <v>5.22</v>
      </c>
      <c r="J100" s="100">
        <v>0.4</v>
      </c>
      <c r="K100" s="100">
        <v>248.5</v>
      </c>
      <c r="L100" s="100">
        <v>30.46</v>
      </c>
      <c r="M100" s="100">
        <v>54.68</v>
      </c>
      <c r="N100" s="100">
        <v>1.4</v>
      </c>
      <c r="O100" s="100">
        <v>0</v>
      </c>
      <c r="P100" s="100">
        <v>0.43</v>
      </c>
      <c r="Q100" s="100">
        <v>28</v>
      </c>
      <c r="R100" s="6"/>
      <c r="S100" s="6"/>
      <c r="T100" s="156"/>
      <c r="U100" s="6"/>
      <c r="AB100" s="161"/>
    </row>
    <row r="101" spans="1:28" customFormat="1">
      <c r="A101" s="163" t="s">
        <v>524</v>
      </c>
      <c r="B101" s="100">
        <v>4.03</v>
      </c>
      <c r="C101" s="100">
        <v>7.03</v>
      </c>
      <c r="D101" s="100">
        <v>4.67</v>
      </c>
      <c r="E101" s="100">
        <v>7.32</v>
      </c>
      <c r="F101" s="100">
        <v>4.97</v>
      </c>
      <c r="G101" s="100">
        <v>55.52</v>
      </c>
      <c r="H101" s="100">
        <v>24.01</v>
      </c>
      <c r="I101" s="100">
        <v>5.24</v>
      </c>
      <c r="J101" s="100">
        <v>0.39</v>
      </c>
      <c r="K101" s="100">
        <v>258.17</v>
      </c>
      <c r="L101" s="100">
        <v>30.35</v>
      </c>
      <c r="M101" s="100">
        <v>55.14</v>
      </c>
      <c r="N101" s="100">
        <v>1.5</v>
      </c>
      <c r="O101" s="100">
        <v>0</v>
      </c>
      <c r="P101" s="100">
        <v>0.43</v>
      </c>
      <c r="Q101" s="100">
        <v>28</v>
      </c>
      <c r="R101" s="6"/>
      <c r="S101" s="6"/>
      <c r="T101" s="156"/>
      <c r="U101" s="6"/>
    </row>
    <row r="102" spans="1:28" customFormat="1">
      <c r="A102" s="163" t="s">
        <v>525</v>
      </c>
      <c r="B102" s="100">
        <v>4.03</v>
      </c>
      <c r="C102" s="100">
        <v>7.22</v>
      </c>
      <c r="D102" s="100">
        <v>5.05</v>
      </c>
      <c r="E102" s="100">
        <v>7.51</v>
      </c>
      <c r="F102" s="100">
        <v>3.84</v>
      </c>
      <c r="G102" s="100">
        <v>55.52</v>
      </c>
      <c r="H102" s="100">
        <v>24.01</v>
      </c>
      <c r="I102" s="100">
        <v>5.22</v>
      </c>
      <c r="J102" s="100">
        <v>0.53</v>
      </c>
      <c r="K102" s="100">
        <v>303.48</v>
      </c>
      <c r="L102" s="100">
        <v>30.37</v>
      </c>
      <c r="M102" s="100">
        <v>55.26</v>
      </c>
      <c r="N102" s="100">
        <v>1.2</v>
      </c>
      <c r="O102" s="100">
        <v>0</v>
      </c>
      <c r="P102" s="100">
        <v>0.44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526</v>
      </c>
      <c r="B103" s="100">
        <v>4.28</v>
      </c>
      <c r="C103" s="100">
        <v>7.89</v>
      </c>
      <c r="D103" s="100">
        <v>5.95</v>
      </c>
      <c r="E103" s="100">
        <v>7.37</v>
      </c>
      <c r="F103" s="100">
        <v>3.84</v>
      </c>
      <c r="G103" s="100">
        <v>55.52</v>
      </c>
      <c r="H103" s="100">
        <v>24.01</v>
      </c>
      <c r="I103" s="100">
        <v>5.2</v>
      </c>
      <c r="J103" s="100">
        <v>0.43</v>
      </c>
      <c r="K103" s="100">
        <v>269.63</v>
      </c>
      <c r="L103" s="100">
        <v>30.43</v>
      </c>
      <c r="M103" s="100">
        <v>54.87</v>
      </c>
      <c r="N103" s="100">
        <v>1.3</v>
      </c>
      <c r="O103" s="100">
        <v>0</v>
      </c>
      <c r="P103" s="100">
        <v>0.45</v>
      </c>
      <c r="Q103" s="100">
        <v>28</v>
      </c>
      <c r="R103" s="6"/>
      <c r="S103" s="6"/>
      <c r="T103" s="156"/>
      <c r="U103" s="6"/>
    </row>
    <row r="104" spans="1:28" customFormat="1">
      <c r="A104" s="163" t="s">
        <v>527</v>
      </c>
      <c r="B104" s="100">
        <v>4.62</v>
      </c>
      <c r="C104" s="100">
        <v>8.64</v>
      </c>
      <c r="D104" s="100">
        <v>6.87</v>
      </c>
      <c r="E104" s="100">
        <v>7.62</v>
      </c>
      <c r="F104" s="100">
        <v>3.67</v>
      </c>
      <c r="G104" s="100">
        <v>52.13</v>
      </c>
      <c r="H104" s="100">
        <v>21</v>
      </c>
      <c r="I104" s="100">
        <v>5.2</v>
      </c>
      <c r="J104" s="100">
        <v>0.56000000000000005</v>
      </c>
      <c r="K104" s="100">
        <v>300.47000000000003</v>
      </c>
      <c r="L104" s="100">
        <v>30.56</v>
      </c>
      <c r="M104" s="100">
        <v>53.8</v>
      </c>
      <c r="N104" s="100">
        <v>1.2</v>
      </c>
      <c r="O104" s="100">
        <v>0</v>
      </c>
      <c r="P104" s="100">
        <v>0.45</v>
      </c>
      <c r="Q104" s="100">
        <v>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3.52</v>
      </c>
      <c r="C106" s="158">
        <f>MIN(C9:C104)</f>
        <v>6.2</v>
      </c>
      <c r="D106" s="158">
        <f t="shared" ref="D106:Q106" si="0">MIN(D9:D104)</f>
        <v>3.13</v>
      </c>
      <c r="E106" s="158">
        <f t="shared" si="0"/>
        <v>6.46</v>
      </c>
      <c r="F106" s="158">
        <f t="shared" si="0"/>
        <v>2.1</v>
      </c>
      <c r="G106" s="158">
        <f t="shared" si="0"/>
        <v>25.6</v>
      </c>
      <c r="H106" s="158">
        <f t="shared" si="0"/>
        <v>10.97</v>
      </c>
      <c r="I106" s="158">
        <f t="shared" si="0"/>
        <v>4.0199999999999996</v>
      </c>
      <c r="J106" s="158">
        <f t="shared" si="0"/>
        <v>7.0000000000000007E-2</v>
      </c>
      <c r="K106" s="158">
        <f t="shared" si="0"/>
        <v>22.83</v>
      </c>
      <c r="L106" s="158">
        <f t="shared" si="0"/>
        <v>26.1</v>
      </c>
      <c r="M106" s="158">
        <f t="shared" si="0"/>
        <v>32.01</v>
      </c>
      <c r="N106" s="158">
        <f t="shared" si="0"/>
        <v>1.2</v>
      </c>
      <c r="O106" s="158">
        <f t="shared" si="0"/>
        <v>0</v>
      </c>
      <c r="P106" s="158">
        <f t="shared" si="0"/>
        <v>0.28999999999999998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6.18</v>
      </c>
      <c r="C107" s="157">
        <f t="shared" ref="C107:Q107" si="1">MAX(C9:C104)</f>
        <v>8.9499999999999993</v>
      </c>
      <c r="D107" s="157">
        <f t="shared" si="1"/>
        <v>6.87</v>
      </c>
      <c r="E107" s="157">
        <f t="shared" si="1"/>
        <v>9.85</v>
      </c>
      <c r="F107" s="157">
        <f t="shared" si="1"/>
        <v>23.46</v>
      </c>
      <c r="G107" s="157">
        <f t="shared" si="1"/>
        <v>55.52</v>
      </c>
      <c r="H107" s="157">
        <f t="shared" si="1"/>
        <v>25.14</v>
      </c>
      <c r="I107" s="157">
        <f t="shared" si="1"/>
        <v>5.37</v>
      </c>
      <c r="J107" s="157">
        <f t="shared" si="1"/>
        <v>1.74</v>
      </c>
      <c r="K107" s="157">
        <f t="shared" si="1"/>
        <v>303.48</v>
      </c>
      <c r="L107" s="157">
        <f t="shared" si="1"/>
        <v>37.9</v>
      </c>
      <c r="M107" s="157">
        <f t="shared" si="1"/>
        <v>83.03</v>
      </c>
      <c r="N107" s="157">
        <f t="shared" si="1"/>
        <v>845.7</v>
      </c>
      <c r="O107" s="157">
        <f t="shared" si="1"/>
        <v>0</v>
      </c>
      <c r="P107" s="157">
        <f t="shared" si="1"/>
        <v>0.49</v>
      </c>
      <c r="Q107" s="157">
        <f t="shared" si="1"/>
        <v>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4.3747916666666651</v>
      </c>
      <c r="C108" s="158">
        <f t="shared" ref="C108:Q108" si="2">AVERAGE(C9:C104)</f>
        <v>7.3189583333333337</v>
      </c>
      <c r="D108" s="158">
        <f t="shared" si="2"/>
        <v>4.7083333333333339</v>
      </c>
      <c r="E108" s="158">
        <f t="shared" si="2"/>
        <v>8.1672916666666673</v>
      </c>
      <c r="F108" s="158">
        <f t="shared" si="2"/>
        <v>7.6281249999999998</v>
      </c>
      <c r="G108" s="158">
        <f t="shared" si="2"/>
        <v>40.28</v>
      </c>
      <c r="H108" s="158">
        <f t="shared" si="2"/>
        <v>17.989374999999999</v>
      </c>
      <c r="I108" s="158">
        <f t="shared" si="2"/>
        <v>4.760416666666667</v>
      </c>
      <c r="J108" s="158">
        <f t="shared" si="2"/>
        <v>0.62968750000000007</v>
      </c>
      <c r="K108" s="158">
        <f t="shared" si="2"/>
        <v>234.86770833333344</v>
      </c>
      <c r="L108" s="158">
        <f t="shared" si="2"/>
        <v>31.94208333333334</v>
      </c>
      <c r="M108" s="158">
        <f t="shared" si="2"/>
        <v>52.696041666666694</v>
      </c>
      <c r="N108" s="158">
        <f t="shared" si="2"/>
        <v>142.4302083333333</v>
      </c>
      <c r="O108" s="158">
        <f t="shared" si="2"/>
        <v>0</v>
      </c>
      <c r="P108" s="158">
        <f t="shared" si="2"/>
        <v>0.36874999999999997</v>
      </c>
      <c r="Q108" s="158">
        <f t="shared" si="2"/>
        <v>28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0.83256101931161697</v>
      </c>
      <c r="C109" s="158">
        <f t="shared" ref="C109:Q109" si="3">STDEV(C9:C104)</f>
        <v>0.75830903180647458</v>
      </c>
      <c r="D109" s="158">
        <f t="shared" si="3"/>
        <v>0.83762404161277093</v>
      </c>
      <c r="E109" s="158">
        <f t="shared" si="3"/>
        <v>0.96504101812651022</v>
      </c>
      <c r="F109" s="158">
        <f t="shared" si="3"/>
        <v>5.5731001129013507</v>
      </c>
      <c r="G109" s="158">
        <f t="shared" si="3"/>
        <v>11.299069453999918</v>
      </c>
      <c r="H109" s="158">
        <f t="shared" si="3"/>
        <v>4.0967133970897613</v>
      </c>
      <c r="I109" s="158">
        <f t="shared" si="3"/>
        <v>0.36190698620870349</v>
      </c>
      <c r="J109" s="158">
        <f t="shared" si="3"/>
        <v>0.44436934169911574</v>
      </c>
      <c r="K109" s="158">
        <f t="shared" si="3"/>
        <v>46.220840742066109</v>
      </c>
      <c r="L109" s="158">
        <f t="shared" si="3"/>
        <v>3.7723908143430633</v>
      </c>
      <c r="M109" s="158">
        <f t="shared" si="3"/>
        <v>16.545076639555642</v>
      </c>
      <c r="N109" s="158">
        <f t="shared" si="3"/>
        <v>224.27012383791094</v>
      </c>
      <c r="O109" s="158">
        <f t="shared" si="3"/>
        <v>0</v>
      </c>
      <c r="P109" s="158">
        <f t="shared" si="3"/>
        <v>5.7036461099343683E-2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4" sqref="J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528</v>
      </c>
      <c r="B9" s="100">
        <v>4.8499999999999996</v>
      </c>
      <c r="C9" s="100">
        <v>8.9</v>
      </c>
      <c r="D9" s="100">
        <v>7.01</v>
      </c>
      <c r="E9" s="100">
        <v>7.82</v>
      </c>
      <c r="F9" s="100">
        <v>2.68</v>
      </c>
      <c r="G9" s="100">
        <v>51.71</v>
      </c>
      <c r="H9" s="100">
        <v>21</v>
      </c>
      <c r="I9" s="100">
        <v>5.23</v>
      </c>
      <c r="J9" s="100">
        <v>0.7</v>
      </c>
      <c r="K9" s="100">
        <v>298.20999999999998</v>
      </c>
      <c r="L9" s="100">
        <v>30.66</v>
      </c>
      <c r="M9" s="100">
        <v>53.24</v>
      </c>
      <c r="N9" s="100">
        <v>1.2</v>
      </c>
      <c r="O9" s="100">
        <v>0</v>
      </c>
      <c r="P9" s="100">
        <v>0.45</v>
      </c>
      <c r="Q9" s="100">
        <v>28</v>
      </c>
      <c r="R9" s="6"/>
      <c r="S9" s="6"/>
      <c r="T9" s="156"/>
      <c r="U9" s="6"/>
    </row>
    <row r="10" spans="1:21" customFormat="1">
      <c r="A10" s="163" t="s">
        <v>529</v>
      </c>
      <c r="B10" s="100">
        <v>5.03</v>
      </c>
      <c r="C10" s="100">
        <v>9.56</v>
      </c>
      <c r="D10" s="100">
        <v>7.99</v>
      </c>
      <c r="E10" s="100">
        <v>7.29</v>
      </c>
      <c r="F10" s="100">
        <v>2.79</v>
      </c>
      <c r="G10" s="100">
        <v>51.71</v>
      </c>
      <c r="H10" s="100">
        <v>21</v>
      </c>
      <c r="I10" s="100">
        <v>5.18</v>
      </c>
      <c r="J10" s="100">
        <v>0.33</v>
      </c>
      <c r="K10" s="100">
        <v>260.07</v>
      </c>
      <c r="L10" s="100">
        <v>30.54</v>
      </c>
      <c r="M10" s="100">
        <v>54.11</v>
      </c>
      <c r="N10" s="100">
        <v>1.6</v>
      </c>
      <c r="O10" s="100">
        <v>0</v>
      </c>
      <c r="P10" s="100">
        <v>0.45</v>
      </c>
      <c r="Q10" s="100">
        <v>28</v>
      </c>
      <c r="R10" s="6"/>
      <c r="S10" s="6"/>
      <c r="T10" s="156"/>
      <c r="U10" s="6"/>
    </row>
    <row r="11" spans="1:21" customFormat="1">
      <c r="A11" s="163" t="s">
        <v>530</v>
      </c>
      <c r="B11" s="100">
        <v>4.9000000000000004</v>
      </c>
      <c r="C11" s="100">
        <v>9.2799999999999994</v>
      </c>
      <c r="D11" s="100">
        <v>7.66</v>
      </c>
      <c r="E11" s="100">
        <v>7.77</v>
      </c>
      <c r="F11" s="100">
        <v>3.14</v>
      </c>
      <c r="G11" s="100">
        <v>51.71</v>
      </c>
      <c r="H11" s="100">
        <v>21</v>
      </c>
      <c r="I11" s="100">
        <v>5.23</v>
      </c>
      <c r="J11" s="100">
        <v>0.31</v>
      </c>
      <c r="K11" s="100">
        <v>225.58</v>
      </c>
      <c r="L11" s="100">
        <v>30.14</v>
      </c>
      <c r="M11" s="100">
        <v>56.5</v>
      </c>
      <c r="N11" s="100">
        <v>1.9</v>
      </c>
      <c r="O11" s="100">
        <v>0</v>
      </c>
      <c r="P11" s="100">
        <v>0.45</v>
      </c>
      <c r="Q11" s="100">
        <v>28</v>
      </c>
      <c r="R11" s="6"/>
      <c r="S11" s="6"/>
      <c r="T11" s="156"/>
      <c r="U11" s="6"/>
    </row>
    <row r="12" spans="1:21" customFormat="1">
      <c r="A12" s="163" t="s">
        <v>531</v>
      </c>
      <c r="B12" s="100">
        <v>4.79</v>
      </c>
      <c r="C12" s="100">
        <v>9.0399999999999991</v>
      </c>
      <c r="D12" s="100">
        <v>7.37</v>
      </c>
      <c r="E12" s="100">
        <v>7.8</v>
      </c>
      <c r="F12" s="100">
        <v>3.08</v>
      </c>
      <c r="G12" s="100">
        <v>57.3</v>
      </c>
      <c r="H12" s="100">
        <v>23.98</v>
      </c>
      <c r="I12" s="100">
        <v>5.31</v>
      </c>
      <c r="J12" s="100">
        <v>0.35</v>
      </c>
      <c r="K12" s="100">
        <v>246.14</v>
      </c>
      <c r="L12" s="100">
        <v>29.88</v>
      </c>
      <c r="M12" s="100">
        <v>56.93</v>
      </c>
      <c r="N12" s="100">
        <v>1.7</v>
      </c>
      <c r="O12" s="100">
        <v>0</v>
      </c>
      <c r="P12" s="100">
        <v>0.47</v>
      </c>
      <c r="Q12" s="100">
        <v>28</v>
      </c>
      <c r="R12" s="6"/>
      <c r="S12" s="6"/>
      <c r="T12" s="156"/>
      <c r="U12" s="6"/>
    </row>
    <row r="13" spans="1:21" customFormat="1">
      <c r="A13" s="163" t="s">
        <v>532</v>
      </c>
      <c r="B13" s="100">
        <v>4.6900000000000004</v>
      </c>
      <c r="C13" s="100">
        <v>8.89</v>
      </c>
      <c r="D13" s="100">
        <v>7.24</v>
      </c>
      <c r="E13" s="100">
        <v>7.95</v>
      </c>
      <c r="F13" s="100">
        <v>2.59</v>
      </c>
      <c r="G13" s="100">
        <v>58</v>
      </c>
      <c r="H13" s="100">
        <v>23.98</v>
      </c>
      <c r="I13" s="100">
        <v>5.52</v>
      </c>
      <c r="J13" s="100">
        <v>0.42</v>
      </c>
      <c r="K13" s="100">
        <v>242.34</v>
      </c>
      <c r="L13" s="100">
        <v>29.92</v>
      </c>
      <c r="M13" s="100">
        <v>56.35</v>
      </c>
      <c r="N13" s="100">
        <v>1.5</v>
      </c>
      <c r="O13" s="100">
        <v>0</v>
      </c>
      <c r="P13" s="100">
        <v>0.49</v>
      </c>
      <c r="Q13" s="100">
        <v>28</v>
      </c>
      <c r="R13" s="6"/>
      <c r="S13" s="6"/>
      <c r="T13" s="156"/>
      <c r="U13" s="6"/>
    </row>
    <row r="14" spans="1:21" customFormat="1">
      <c r="A14" s="163" t="s">
        <v>533</v>
      </c>
      <c r="B14" s="100">
        <v>4.62</v>
      </c>
      <c r="C14" s="100">
        <v>8.76</v>
      </c>
      <c r="D14" s="100">
        <v>7.1</v>
      </c>
      <c r="E14" s="100">
        <v>8.02</v>
      </c>
      <c r="F14" s="100">
        <v>2.64</v>
      </c>
      <c r="G14" s="100">
        <v>58</v>
      </c>
      <c r="H14" s="100">
        <v>23.98</v>
      </c>
      <c r="I14" s="100">
        <v>5.85</v>
      </c>
      <c r="J14" s="100">
        <v>0.34</v>
      </c>
      <c r="K14" s="100">
        <v>234.43</v>
      </c>
      <c r="L14" s="100">
        <v>29.91</v>
      </c>
      <c r="M14" s="100">
        <v>56.71</v>
      </c>
      <c r="N14" s="100">
        <v>1.5</v>
      </c>
      <c r="O14" s="100">
        <v>0</v>
      </c>
      <c r="P14" s="100">
        <v>0.52</v>
      </c>
      <c r="Q14" s="100">
        <v>28</v>
      </c>
      <c r="R14" s="6"/>
      <c r="S14" s="6"/>
      <c r="T14" s="156"/>
      <c r="U14" s="6"/>
    </row>
    <row r="15" spans="1:21" customFormat="1">
      <c r="A15" s="163" t="s">
        <v>534</v>
      </c>
      <c r="B15" s="100">
        <v>4.53</v>
      </c>
      <c r="C15" s="100">
        <v>8.61</v>
      </c>
      <c r="D15" s="100">
        <v>6.95</v>
      </c>
      <c r="E15" s="100">
        <v>8.1199999999999992</v>
      </c>
      <c r="F15" s="100">
        <v>2.93</v>
      </c>
      <c r="G15" s="100">
        <v>58</v>
      </c>
      <c r="H15" s="100">
        <v>23.98</v>
      </c>
      <c r="I15" s="100">
        <v>6.45</v>
      </c>
      <c r="J15" s="100">
        <v>0.2</v>
      </c>
      <c r="K15" s="100">
        <v>176.47</v>
      </c>
      <c r="L15" s="100">
        <v>29.49</v>
      </c>
      <c r="M15" s="100">
        <v>59.9</v>
      </c>
      <c r="N15" s="100">
        <v>2.1</v>
      </c>
      <c r="O15" s="100">
        <v>0</v>
      </c>
      <c r="P15" s="100">
        <v>0.54</v>
      </c>
      <c r="Q15" s="100">
        <v>28</v>
      </c>
      <c r="R15" s="6"/>
      <c r="S15" s="6"/>
      <c r="T15" s="156"/>
      <c r="U15" s="6"/>
    </row>
    <row r="16" spans="1:21" customFormat="1">
      <c r="A16" s="163" t="s">
        <v>535</v>
      </c>
      <c r="B16" s="100">
        <v>4.46</v>
      </c>
      <c r="C16" s="100">
        <v>8.49</v>
      </c>
      <c r="D16" s="100">
        <v>6.82</v>
      </c>
      <c r="E16" s="100">
        <v>8.18</v>
      </c>
      <c r="F16" s="100">
        <v>2.81</v>
      </c>
      <c r="G16" s="100">
        <v>59.95</v>
      </c>
      <c r="H16" s="100">
        <v>25.2</v>
      </c>
      <c r="I16" s="100">
        <v>6.97</v>
      </c>
      <c r="J16" s="100">
        <v>0.1</v>
      </c>
      <c r="K16" s="100">
        <v>177.53</v>
      </c>
      <c r="L16" s="100">
        <v>28.79</v>
      </c>
      <c r="M16" s="100">
        <v>64.17</v>
      </c>
      <c r="N16" s="100">
        <v>2.1</v>
      </c>
      <c r="O16" s="100">
        <v>0</v>
      </c>
      <c r="P16" s="100">
        <v>0.56000000000000005</v>
      </c>
      <c r="Q16" s="100">
        <v>28</v>
      </c>
      <c r="R16" s="6"/>
      <c r="S16" s="6"/>
      <c r="T16" s="156"/>
      <c r="U16" s="6"/>
    </row>
    <row r="17" spans="1:21" customFormat="1">
      <c r="A17" s="163" t="s">
        <v>536</v>
      </c>
      <c r="B17" s="100">
        <v>4.4400000000000004</v>
      </c>
      <c r="C17" s="100">
        <v>8.35</v>
      </c>
      <c r="D17" s="100">
        <v>6.58</v>
      </c>
      <c r="E17" s="100">
        <v>7.19</v>
      </c>
      <c r="F17" s="100">
        <v>2.67</v>
      </c>
      <c r="G17" s="100">
        <v>60.2</v>
      </c>
      <c r="H17" s="100">
        <v>25.2</v>
      </c>
      <c r="I17" s="100">
        <v>7.52</v>
      </c>
      <c r="J17" s="100">
        <v>0.12</v>
      </c>
      <c r="K17" s="100">
        <v>173.67</v>
      </c>
      <c r="L17" s="100">
        <v>28.46</v>
      </c>
      <c r="M17" s="100">
        <v>65.19</v>
      </c>
      <c r="N17" s="100">
        <v>1.7</v>
      </c>
      <c r="O17" s="100">
        <v>0</v>
      </c>
      <c r="P17" s="100">
        <v>0.56000000000000005</v>
      </c>
      <c r="Q17" s="100">
        <v>28</v>
      </c>
      <c r="R17" s="6"/>
      <c r="S17" s="6"/>
      <c r="T17" s="156"/>
      <c r="U17" s="6"/>
    </row>
    <row r="18" spans="1:21" customFormat="1">
      <c r="A18" s="163" t="s">
        <v>537</v>
      </c>
      <c r="B18" s="100">
        <v>4.41</v>
      </c>
      <c r="C18" s="100">
        <v>8.16</v>
      </c>
      <c r="D18" s="100">
        <v>6.26</v>
      </c>
      <c r="E18" s="100">
        <v>8.11</v>
      </c>
      <c r="F18" s="100">
        <v>2.62</v>
      </c>
      <c r="G18" s="100">
        <v>60.2</v>
      </c>
      <c r="H18" s="100">
        <v>25.2</v>
      </c>
      <c r="I18" s="100">
        <v>7.87</v>
      </c>
      <c r="J18" s="100">
        <v>0.25</v>
      </c>
      <c r="K18" s="100">
        <v>256.02999999999997</v>
      </c>
      <c r="L18" s="100">
        <v>28.24</v>
      </c>
      <c r="M18" s="100">
        <v>65.28</v>
      </c>
      <c r="N18" s="100">
        <v>1.5</v>
      </c>
      <c r="O18" s="100">
        <v>0</v>
      </c>
      <c r="P18" s="100">
        <v>0.56999999999999995</v>
      </c>
      <c r="Q18" s="100">
        <v>28</v>
      </c>
      <c r="R18" s="6"/>
      <c r="S18" s="6"/>
      <c r="T18" s="156"/>
      <c r="U18" s="6"/>
    </row>
    <row r="19" spans="1:21" customFormat="1">
      <c r="A19" s="163" t="s">
        <v>538</v>
      </c>
      <c r="B19" s="100">
        <v>4.33</v>
      </c>
      <c r="C19" s="100">
        <v>7.93</v>
      </c>
      <c r="D19" s="100">
        <v>5.94</v>
      </c>
      <c r="E19" s="100">
        <v>8.31</v>
      </c>
      <c r="F19" s="100">
        <v>2.4500000000000002</v>
      </c>
      <c r="G19" s="100">
        <v>60.2</v>
      </c>
      <c r="H19" s="100">
        <v>25.2</v>
      </c>
      <c r="I19" s="100">
        <v>8.07</v>
      </c>
      <c r="J19" s="100">
        <v>0.33</v>
      </c>
      <c r="K19" s="100">
        <v>238.48</v>
      </c>
      <c r="L19" s="100">
        <v>28.37</v>
      </c>
      <c r="M19" s="100">
        <v>63.97</v>
      </c>
      <c r="N19" s="100">
        <v>1.3</v>
      </c>
      <c r="O19" s="100">
        <v>0</v>
      </c>
      <c r="P19" s="100">
        <v>0.56000000000000005</v>
      </c>
      <c r="Q19" s="100">
        <v>28</v>
      </c>
      <c r="R19" s="6"/>
      <c r="S19" s="6"/>
      <c r="T19" s="156"/>
      <c r="U19" s="6"/>
    </row>
    <row r="20" spans="1:21" customFormat="1">
      <c r="A20" s="163" t="s">
        <v>539</v>
      </c>
      <c r="B20" s="100">
        <v>4.2699999999999996</v>
      </c>
      <c r="C20" s="100">
        <v>7.87</v>
      </c>
      <c r="D20" s="100">
        <v>5.92</v>
      </c>
      <c r="E20" s="100">
        <v>8.1300000000000008</v>
      </c>
      <c r="F20" s="100">
        <v>2.5099999999999998</v>
      </c>
      <c r="G20" s="100">
        <v>57.26</v>
      </c>
      <c r="H20" s="100">
        <v>27.19</v>
      </c>
      <c r="I20" s="100">
        <v>8.0299999999999994</v>
      </c>
      <c r="J20" s="100">
        <v>0.34</v>
      </c>
      <c r="K20" s="100">
        <v>232.26</v>
      </c>
      <c r="L20" s="100">
        <v>28.51</v>
      </c>
      <c r="M20" s="100">
        <v>63.23</v>
      </c>
      <c r="N20" s="100">
        <v>1.3</v>
      </c>
      <c r="O20" s="100">
        <v>0</v>
      </c>
      <c r="P20" s="100">
        <v>0.56000000000000005</v>
      </c>
      <c r="Q20" s="100">
        <v>28</v>
      </c>
      <c r="R20" s="6"/>
      <c r="S20" s="6"/>
      <c r="T20" s="156"/>
      <c r="U20" s="6"/>
    </row>
    <row r="21" spans="1:21" customFormat="1">
      <c r="A21" s="163" t="s">
        <v>540</v>
      </c>
      <c r="B21" s="100">
        <v>4.24</v>
      </c>
      <c r="C21" s="100">
        <v>7.77</v>
      </c>
      <c r="D21" s="100">
        <v>5.77</v>
      </c>
      <c r="E21" s="100">
        <v>8.41</v>
      </c>
      <c r="F21" s="100">
        <v>2.73</v>
      </c>
      <c r="G21" s="100">
        <v>56.89</v>
      </c>
      <c r="H21" s="100">
        <v>27.19</v>
      </c>
      <c r="I21" s="100">
        <v>7.92</v>
      </c>
      <c r="J21" s="100">
        <v>0.22</v>
      </c>
      <c r="K21" s="100">
        <v>177.12</v>
      </c>
      <c r="L21" s="100">
        <v>28.48</v>
      </c>
      <c r="M21" s="100">
        <v>65.209999999999994</v>
      </c>
      <c r="N21" s="100">
        <v>1.8</v>
      </c>
      <c r="O21" s="100">
        <v>0</v>
      </c>
      <c r="P21" s="100">
        <v>0.55000000000000004</v>
      </c>
      <c r="Q21" s="100">
        <v>28</v>
      </c>
      <c r="R21" s="6"/>
      <c r="S21" s="6"/>
      <c r="T21" s="156"/>
      <c r="U21" s="6"/>
    </row>
    <row r="22" spans="1:21" customFormat="1">
      <c r="A22" s="163" t="s">
        <v>541</v>
      </c>
      <c r="B22" s="100">
        <v>4.24</v>
      </c>
      <c r="C22" s="100">
        <v>7.75</v>
      </c>
      <c r="D22" s="100">
        <v>5.75</v>
      </c>
      <c r="E22" s="100">
        <v>8.51</v>
      </c>
      <c r="F22" s="100">
        <v>2.5</v>
      </c>
      <c r="G22" s="100">
        <v>56.89</v>
      </c>
      <c r="H22" s="100">
        <v>27.19</v>
      </c>
      <c r="I22" s="100">
        <v>7.79</v>
      </c>
      <c r="J22" s="100">
        <v>0.3</v>
      </c>
      <c r="K22" s="100">
        <v>168.79</v>
      </c>
      <c r="L22" s="100">
        <v>27.82</v>
      </c>
      <c r="M22" s="100">
        <v>68.48</v>
      </c>
      <c r="N22" s="100">
        <v>2.1</v>
      </c>
      <c r="O22" s="100">
        <v>0</v>
      </c>
      <c r="P22" s="100">
        <v>0.55000000000000004</v>
      </c>
      <c r="Q22" s="100">
        <v>28</v>
      </c>
      <c r="R22" s="6"/>
      <c r="S22" s="6"/>
      <c r="T22" s="156"/>
      <c r="U22" s="6"/>
    </row>
    <row r="23" spans="1:21" customFormat="1">
      <c r="A23" s="163" t="s">
        <v>542</v>
      </c>
      <c r="B23" s="100">
        <v>4.26</v>
      </c>
      <c r="C23" s="100">
        <v>7.68</v>
      </c>
      <c r="D23" s="100">
        <v>5.57</v>
      </c>
      <c r="E23" s="100">
        <v>7.95</v>
      </c>
      <c r="F23" s="100">
        <v>3.62</v>
      </c>
      <c r="G23" s="100">
        <v>56.89</v>
      </c>
      <c r="H23" s="100">
        <v>27.19</v>
      </c>
      <c r="I23" s="100">
        <v>7.69</v>
      </c>
      <c r="J23" s="100">
        <v>0.14000000000000001</v>
      </c>
      <c r="K23" s="100">
        <v>184.33</v>
      </c>
      <c r="L23" s="100">
        <v>27.21</v>
      </c>
      <c r="M23" s="100">
        <v>71.430000000000007</v>
      </c>
      <c r="N23" s="100">
        <v>1.8</v>
      </c>
      <c r="O23" s="100">
        <v>0</v>
      </c>
      <c r="P23" s="100">
        <v>0.56000000000000005</v>
      </c>
      <c r="Q23" s="100">
        <v>28</v>
      </c>
      <c r="R23" s="6"/>
      <c r="S23" s="6"/>
      <c r="T23" s="156"/>
      <c r="U23" s="6"/>
    </row>
    <row r="24" spans="1:21" customFormat="1">
      <c r="A24" s="163" t="s">
        <v>543</v>
      </c>
      <c r="B24" s="100">
        <v>4.37</v>
      </c>
      <c r="C24" s="100">
        <v>7.27</v>
      </c>
      <c r="D24" s="100">
        <v>4.6100000000000003</v>
      </c>
      <c r="E24" s="100">
        <v>7.73</v>
      </c>
      <c r="F24" s="100">
        <v>5.75</v>
      </c>
      <c r="G24" s="100">
        <v>54.16</v>
      </c>
      <c r="H24" s="100">
        <v>25.06</v>
      </c>
      <c r="I24" s="100">
        <v>7.57</v>
      </c>
      <c r="J24" s="100">
        <v>0.16</v>
      </c>
      <c r="K24" s="100">
        <v>203.57</v>
      </c>
      <c r="L24" s="100">
        <v>26.98</v>
      </c>
      <c r="M24" s="100">
        <v>72.760000000000005</v>
      </c>
      <c r="N24" s="100">
        <v>1.8</v>
      </c>
      <c r="O24" s="100">
        <v>0</v>
      </c>
      <c r="P24" s="100">
        <v>0.55000000000000004</v>
      </c>
      <c r="Q24" s="100">
        <v>28</v>
      </c>
      <c r="R24" s="6"/>
      <c r="S24" s="6"/>
      <c r="T24" s="156"/>
      <c r="U24" s="6"/>
    </row>
    <row r="25" spans="1:21" customFormat="1">
      <c r="A25" s="163" t="s">
        <v>544</v>
      </c>
      <c r="B25" s="100">
        <v>4.59</v>
      </c>
      <c r="C25" s="100">
        <v>7.31</v>
      </c>
      <c r="D25" s="100">
        <v>4.3600000000000003</v>
      </c>
      <c r="E25" s="100">
        <v>7.94</v>
      </c>
      <c r="F25" s="100">
        <v>2.87</v>
      </c>
      <c r="G25" s="100">
        <v>53.81</v>
      </c>
      <c r="H25" s="100">
        <v>25.06</v>
      </c>
      <c r="I25" s="100">
        <v>7.26</v>
      </c>
      <c r="J25" s="100">
        <v>0.14000000000000001</v>
      </c>
      <c r="K25" s="100">
        <v>193.98</v>
      </c>
      <c r="L25" s="100">
        <v>26.83</v>
      </c>
      <c r="M25" s="100">
        <v>72.63</v>
      </c>
      <c r="N25" s="100">
        <v>1.6</v>
      </c>
      <c r="O25" s="100">
        <v>0</v>
      </c>
      <c r="P25" s="100">
        <v>0.56999999999999995</v>
      </c>
      <c r="Q25" s="100">
        <v>28</v>
      </c>
      <c r="R25" s="6"/>
      <c r="S25" s="6"/>
      <c r="T25" s="156"/>
      <c r="U25" s="6"/>
    </row>
    <row r="26" spans="1:21" customFormat="1">
      <c r="A26" s="163" t="s">
        <v>545</v>
      </c>
      <c r="B26" s="100">
        <v>4.82</v>
      </c>
      <c r="C26" s="100">
        <v>7.3</v>
      </c>
      <c r="D26" s="100">
        <v>3.99</v>
      </c>
      <c r="E26" s="100">
        <v>7.77</v>
      </c>
      <c r="F26" s="100">
        <v>3.56</v>
      </c>
      <c r="G26" s="100">
        <v>53.81</v>
      </c>
      <c r="H26" s="100">
        <v>25.06</v>
      </c>
      <c r="I26" s="100">
        <v>7.18</v>
      </c>
      <c r="J26" s="100">
        <v>0.15</v>
      </c>
      <c r="K26" s="100">
        <v>166.1</v>
      </c>
      <c r="L26" s="100">
        <v>26.73</v>
      </c>
      <c r="M26" s="100">
        <v>73.92</v>
      </c>
      <c r="N26" s="100">
        <v>1.7</v>
      </c>
      <c r="O26" s="100">
        <v>0</v>
      </c>
      <c r="P26" s="100">
        <v>0.54</v>
      </c>
      <c r="Q26" s="100">
        <v>28</v>
      </c>
      <c r="R26" s="6"/>
      <c r="S26" s="6"/>
      <c r="T26" s="156"/>
      <c r="U26" s="6"/>
    </row>
    <row r="27" spans="1:21" customFormat="1">
      <c r="A27" s="163" t="s">
        <v>546</v>
      </c>
      <c r="B27" s="100">
        <v>4.91</v>
      </c>
      <c r="C27" s="100">
        <v>7.21</v>
      </c>
      <c r="D27" s="100">
        <v>3.68</v>
      </c>
      <c r="E27" s="100">
        <v>7.64</v>
      </c>
      <c r="F27" s="100">
        <v>2.89</v>
      </c>
      <c r="G27" s="100">
        <v>53.81</v>
      </c>
      <c r="H27" s="100">
        <v>25.06</v>
      </c>
      <c r="I27" s="100">
        <v>7.39</v>
      </c>
      <c r="J27" s="100">
        <v>0.13</v>
      </c>
      <c r="K27" s="100">
        <v>187.13</v>
      </c>
      <c r="L27" s="100">
        <v>26.43</v>
      </c>
      <c r="M27" s="100">
        <v>75.459999999999994</v>
      </c>
      <c r="N27" s="100">
        <v>1.7</v>
      </c>
      <c r="O27" s="100">
        <v>0</v>
      </c>
      <c r="P27" s="100">
        <v>0.56999999999999995</v>
      </c>
      <c r="Q27" s="100">
        <v>28</v>
      </c>
      <c r="R27" s="6"/>
      <c r="S27" s="6"/>
      <c r="T27" s="156"/>
      <c r="U27" s="6"/>
    </row>
    <row r="28" spans="1:21" customFormat="1">
      <c r="A28" s="163" t="s">
        <v>547</v>
      </c>
      <c r="B28" s="100">
        <v>4.8</v>
      </c>
      <c r="C28" s="100">
        <v>7.31</v>
      </c>
      <c r="D28" s="100">
        <v>4.03</v>
      </c>
      <c r="E28" s="100">
        <v>7.46</v>
      </c>
      <c r="F28" s="100">
        <v>4.74</v>
      </c>
      <c r="G28" s="100">
        <v>52.81</v>
      </c>
      <c r="H28" s="100">
        <v>24.58</v>
      </c>
      <c r="I28" s="100">
        <v>7.12</v>
      </c>
      <c r="J28" s="100">
        <v>0.12</v>
      </c>
      <c r="K28" s="100">
        <v>183.84</v>
      </c>
      <c r="L28" s="100">
        <v>26.55</v>
      </c>
      <c r="M28" s="100">
        <v>73.55</v>
      </c>
      <c r="N28" s="100">
        <v>1.5</v>
      </c>
      <c r="O28" s="100">
        <v>0</v>
      </c>
      <c r="P28" s="100">
        <v>0.55000000000000004</v>
      </c>
      <c r="Q28" s="100">
        <v>28</v>
      </c>
      <c r="R28" s="6"/>
      <c r="S28" s="6"/>
      <c r="T28" s="156"/>
      <c r="U28" s="6"/>
    </row>
    <row r="29" spans="1:21" customFormat="1">
      <c r="A29" s="163" t="s">
        <v>548</v>
      </c>
      <c r="B29" s="100">
        <v>5.0199999999999996</v>
      </c>
      <c r="C29" s="100">
        <v>7.4</v>
      </c>
      <c r="D29" s="100">
        <v>3.87</v>
      </c>
      <c r="E29" s="100">
        <v>8.25</v>
      </c>
      <c r="F29" s="100">
        <v>2.35</v>
      </c>
      <c r="G29" s="100">
        <v>52.69</v>
      </c>
      <c r="H29" s="100">
        <v>24.58</v>
      </c>
      <c r="I29" s="100">
        <v>7.44</v>
      </c>
      <c r="J29" s="100">
        <v>0.19</v>
      </c>
      <c r="K29" s="100">
        <v>190.52</v>
      </c>
      <c r="L29" s="100">
        <v>26.37</v>
      </c>
      <c r="M29" s="100">
        <v>74.77</v>
      </c>
      <c r="N29" s="100">
        <v>2</v>
      </c>
      <c r="O29" s="100">
        <v>0</v>
      </c>
      <c r="P29" s="100">
        <v>0.56999999999999995</v>
      </c>
      <c r="Q29" s="100">
        <v>28</v>
      </c>
      <c r="R29" s="6"/>
      <c r="S29" s="6"/>
      <c r="T29" s="156"/>
      <c r="U29" s="6"/>
    </row>
    <row r="30" spans="1:21" customFormat="1">
      <c r="A30" s="163" t="s">
        <v>549</v>
      </c>
      <c r="B30" s="100">
        <v>5.21</v>
      </c>
      <c r="C30" s="100">
        <v>7.38</v>
      </c>
      <c r="D30" s="100">
        <v>3.54</v>
      </c>
      <c r="E30" s="100">
        <v>8.15</v>
      </c>
      <c r="F30" s="100">
        <v>2.54</v>
      </c>
      <c r="G30" s="100">
        <v>52.69</v>
      </c>
      <c r="H30" s="100">
        <v>24.58</v>
      </c>
      <c r="I30" s="100">
        <v>6.99</v>
      </c>
      <c r="J30" s="100">
        <v>0.16</v>
      </c>
      <c r="K30" s="100">
        <v>166.97</v>
      </c>
      <c r="L30" s="100">
        <v>26.43</v>
      </c>
      <c r="M30" s="100">
        <v>73.66</v>
      </c>
      <c r="N30" s="100">
        <v>4.2</v>
      </c>
      <c r="O30" s="100">
        <v>0</v>
      </c>
      <c r="P30" s="100">
        <v>0.54</v>
      </c>
      <c r="Q30" s="100">
        <v>28</v>
      </c>
      <c r="R30" s="6"/>
      <c r="S30" s="6"/>
      <c r="T30" s="156"/>
      <c r="U30" s="6"/>
    </row>
    <row r="31" spans="1:21" customFormat="1">
      <c r="A31" s="163" t="s">
        <v>550</v>
      </c>
      <c r="B31" s="100">
        <v>5.29</v>
      </c>
      <c r="C31" s="100">
        <v>7.54</v>
      </c>
      <c r="D31" s="100">
        <v>3.72</v>
      </c>
      <c r="E31" s="100">
        <v>8.19</v>
      </c>
      <c r="F31" s="100">
        <v>2.42</v>
      </c>
      <c r="G31" s="100">
        <v>52.69</v>
      </c>
      <c r="H31" s="100">
        <v>24.58</v>
      </c>
      <c r="I31" s="100">
        <v>7.38</v>
      </c>
      <c r="J31" s="100">
        <v>0.16</v>
      </c>
      <c r="K31" s="100">
        <v>182.17</v>
      </c>
      <c r="L31" s="100">
        <v>26.51</v>
      </c>
      <c r="M31" s="100">
        <v>74.78</v>
      </c>
      <c r="N31" s="100">
        <v>10.8</v>
      </c>
      <c r="O31" s="100">
        <v>0</v>
      </c>
      <c r="P31" s="100">
        <v>0.56000000000000005</v>
      </c>
      <c r="Q31" s="100">
        <v>28</v>
      </c>
      <c r="R31" s="6"/>
      <c r="S31" s="6"/>
      <c r="T31" s="156"/>
      <c r="U31" s="6"/>
    </row>
    <row r="32" spans="1:21" customFormat="1">
      <c r="A32" s="163" t="s">
        <v>551</v>
      </c>
      <c r="B32" s="100">
        <v>5.38</v>
      </c>
      <c r="C32" s="100">
        <v>7.6</v>
      </c>
      <c r="D32" s="100">
        <v>3.7</v>
      </c>
      <c r="E32" s="100">
        <v>7.8</v>
      </c>
      <c r="F32" s="100">
        <v>3.57</v>
      </c>
      <c r="G32" s="100">
        <v>48.57</v>
      </c>
      <c r="H32" s="100">
        <v>23.08</v>
      </c>
      <c r="I32" s="100">
        <v>7.28</v>
      </c>
      <c r="J32" s="100">
        <v>0.19</v>
      </c>
      <c r="K32" s="100">
        <v>183.32</v>
      </c>
      <c r="L32" s="100">
        <v>26.67</v>
      </c>
      <c r="M32" s="100">
        <v>75</v>
      </c>
      <c r="N32" s="100">
        <v>22</v>
      </c>
      <c r="O32" s="100">
        <v>0</v>
      </c>
      <c r="P32" s="100">
        <v>0.55000000000000004</v>
      </c>
      <c r="Q32" s="100">
        <v>28</v>
      </c>
      <c r="R32" s="6"/>
      <c r="S32" s="6"/>
      <c r="T32" s="156"/>
      <c r="U32" s="6"/>
    </row>
    <row r="33" spans="1:21" customFormat="1">
      <c r="A33" s="163" t="s">
        <v>552</v>
      </c>
      <c r="B33" s="100">
        <v>5.5</v>
      </c>
      <c r="C33" s="100">
        <v>7.67</v>
      </c>
      <c r="D33" s="100">
        <v>3.66</v>
      </c>
      <c r="E33" s="100">
        <v>8.06</v>
      </c>
      <c r="F33" s="100">
        <v>2.6</v>
      </c>
      <c r="G33" s="100">
        <v>48.05</v>
      </c>
      <c r="H33" s="100">
        <v>23.08</v>
      </c>
      <c r="I33" s="100">
        <v>7.38</v>
      </c>
      <c r="J33" s="100">
        <v>0.3</v>
      </c>
      <c r="K33" s="100">
        <v>241.12</v>
      </c>
      <c r="L33" s="100">
        <v>27.29</v>
      </c>
      <c r="M33" s="100">
        <v>68.84</v>
      </c>
      <c r="N33" s="100">
        <v>20.399999999999999</v>
      </c>
      <c r="O33" s="100">
        <v>0</v>
      </c>
      <c r="P33" s="100">
        <v>0.56000000000000005</v>
      </c>
      <c r="Q33" s="100">
        <v>28</v>
      </c>
      <c r="R33" s="6"/>
      <c r="S33" s="6"/>
      <c r="T33" s="156"/>
      <c r="U33" s="6"/>
    </row>
    <row r="34" spans="1:21" customFormat="1">
      <c r="A34" s="163" t="s">
        <v>553</v>
      </c>
      <c r="B34" s="100">
        <v>5.47</v>
      </c>
      <c r="C34" s="100">
        <v>7.67</v>
      </c>
      <c r="D34" s="100">
        <v>3.7</v>
      </c>
      <c r="E34" s="100">
        <v>8.0299999999999994</v>
      </c>
      <c r="F34" s="100">
        <v>3.67</v>
      </c>
      <c r="G34" s="100">
        <v>48.05</v>
      </c>
      <c r="H34" s="100">
        <v>23.08</v>
      </c>
      <c r="I34" s="100">
        <v>7.12</v>
      </c>
      <c r="J34" s="100">
        <v>0.26</v>
      </c>
      <c r="K34" s="100">
        <v>241.65</v>
      </c>
      <c r="L34" s="100">
        <v>27.81</v>
      </c>
      <c r="M34" s="100">
        <v>65.56</v>
      </c>
      <c r="N34" s="100">
        <v>19.399999999999999</v>
      </c>
      <c r="O34" s="100">
        <v>0</v>
      </c>
      <c r="P34" s="100">
        <v>0.53</v>
      </c>
      <c r="Q34" s="100">
        <v>28</v>
      </c>
      <c r="R34" s="6"/>
      <c r="S34" s="6"/>
      <c r="T34" s="156"/>
      <c r="U34" s="6"/>
    </row>
    <row r="35" spans="1:21" customFormat="1">
      <c r="A35" s="163" t="s">
        <v>554</v>
      </c>
      <c r="B35" s="100">
        <v>5.61</v>
      </c>
      <c r="C35" s="100">
        <v>7.72</v>
      </c>
      <c r="D35" s="100">
        <v>3.58</v>
      </c>
      <c r="E35" s="100">
        <v>8.25</v>
      </c>
      <c r="F35" s="100">
        <v>2.75</v>
      </c>
      <c r="G35" s="100">
        <v>48.05</v>
      </c>
      <c r="H35" s="100">
        <v>23.08</v>
      </c>
      <c r="I35" s="100">
        <v>7.32</v>
      </c>
      <c r="J35" s="100">
        <v>0.34</v>
      </c>
      <c r="K35" s="100">
        <v>241.75</v>
      </c>
      <c r="L35" s="100">
        <v>28</v>
      </c>
      <c r="M35" s="100">
        <v>64.13</v>
      </c>
      <c r="N35" s="100">
        <v>30.6</v>
      </c>
      <c r="O35" s="100">
        <v>0</v>
      </c>
      <c r="P35" s="100">
        <v>0.56000000000000005</v>
      </c>
      <c r="Q35" s="100">
        <v>28</v>
      </c>
      <c r="R35" s="6"/>
      <c r="S35" s="6"/>
      <c r="T35" s="156"/>
      <c r="U35" s="6"/>
    </row>
    <row r="36" spans="1:21" customFormat="1">
      <c r="A36" s="163" t="s">
        <v>555</v>
      </c>
      <c r="B36" s="100">
        <v>5.56</v>
      </c>
      <c r="C36" s="100">
        <v>7.85</v>
      </c>
      <c r="D36" s="100">
        <v>3.91</v>
      </c>
      <c r="E36" s="100">
        <v>8.2899999999999991</v>
      </c>
      <c r="F36" s="100">
        <v>3.68</v>
      </c>
      <c r="G36" s="100">
        <v>48.86</v>
      </c>
      <c r="H36" s="100">
        <v>20.61</v>
      </c>
      <c r="I36" s="100">
        <v>7.13</v>
      </c>
      <c r="J36" s="100">
        <v>0.37</v>
      </c>
      <c r="K36" s="100">
        <v>242.78</v>
      </c>
      <c r="L36" s="100">
        <v>28.24</v>
      </c>
      <c r="M36" s="100">
        <v>63.74</v>
      </c>
      <c r="N36" s="100">
        <v>39.200000000000003</v>
      </c>
      <c r="O36" s="100">
        <v>0</v>
      </c>
      <c r="P36" s="100">
        <v>0.54</v>
      </c>
      <c r="Q36" s="100">
        <v>28</v>
      </c>
      <c r="R36" s="6"/>
      <c r="S36" s="6"/>
      <c r="T36" s="156"/>
      <c r="U36" s="6"/>
    </row>
    <row r="37" spans="1:21" customFormat="1">
      <c r="A37" s="163" t="s">
        <v>556</v>
      </c>
      <c r="B37" s="100">
        <v>5.68</v>
      </c>
      <c r="C37" s="100">
        <v>7.75</v>
      </c>
      <c r="D37" s="100">
        <v>3.53</v>
      </c>
      <c r="E37" s="100">
        <v>8.09</v>
      </c>
      <c r="F37" s="100">
        <v>3.71</v>
      </c>
      <c r="G37" s="100">
        <v>48.96</v>
      </c>
      <c r="H37" s="100">
        <v>20.61</v>
      </c>
      <c r="I37" s="100">
        <v>7.38</v>
      </c>
      <c r="J37" s="100">
        <v>0.52</v>
      </c>
      <c r="K37" s="100">
        <v>252.15</v>
      </c>
      <c r="L37" s="100">
        <v>28.47</v>
      </c>
      <c r="M37" s="100">
        <v>63.73</v>
      </c>
      <c r="N37" s="100">
        <v>45.4</v>
      </c>
      <c r="O37" s="100">
        <v>0</v>
      </c>
      <c r="P37" s="100">
        <v>0.54</v>
      </c>
      <c r="Q37" s="100">
        <v>28</v>
      </c>
      <c r="R37" s="6"/>
      <c r="S37" s="6"/>
      <c r="T37" s="156"/>
      <c r="U37" s="6"/>
    </row>
    <row r="38" spans="1:21" customFormat="1">
      <c r="A38" s="163" t="s">
        <v>557</v>
      </c>
      <c r="B38" s="100">
        <v>5.56</v>
      </c>
      <c r="C38" s="100">
        <v>7.85</v>
      </c>
      <c r="D38" s="100">
        <v>3.91</v>
      </c>
      <c r="E38" s="100">
        <v>8.15</v>
      </c>
      <c r="F38" s="100">
        <v>2.65</v>
      </c>
      <c r="G38" s="100">
        <v>48.96</v>
      </c>
      <c r="H38" s="100">
        <v>20.61</v>
      </c>
      <c r="I38" s="100">
        <v>7.17</v>
      </c>
      <c r="J38" s="100">
        <v>0.67</v>
      </c>
      <c r="K38" s="100">
        <v>250.97</v>
      </c>
      <c r="L38" s="100">
        <v>28.75</v>
      </c>
      <c r="M38" s="100">
        <v>62.86</v>
      </c>
      <c r="N38" s="100">
        <v>84.1</v>
      </c>
      <c r="O38" s="100">
        <v>0</v>
      </c>
      <c r="P38" s="100">
        <v>0.55000000000000004</v>
      </c>
      <c r="Q38" s="100">
        <v>28</v>
      </c>
      <c r="R38" s="6"/>
      <c r="S38" s="6"/>
      <c r="T38" s="156"/>
      <c r="U38" s="6"/>
    </row>
    <row r="39" spans="1:21" customFormat="1">
      <c r="A39" s="163" t="s">
        <v>558</v>
      </c>
      <c r="B39" s="100">
        <v>5.79</v>
      </c>
      <c r="C39" s="100">
        <v>7.82</v>
      </c>
      <c r="D39" s="100">
        <v>3.49</v>
      </c>
      <c r="E39" s="100">
        <v>8.02</v>
      </c>
      <c r="F39" s="100">
        <v>3.49</v>
      </c>
      <c r="G39" s="100">
        <v>48.96</v>
      </c>
      <c r="H39" s="100">
        <v>20.61</v>
      </c>
      <c r="I39" s="100">
        <v>7.32</v>
      </c>
      <c r="J39" s="100">
        <v>0.67</v>
      </c>
      <c r="K39" s="100">
        <v>253.7</v>
      </c>
      <c r="L39" s="100">
        <v>29.22</v>
      </c>
      <c r="M39" s="100">
        <v>62.07</v>
      </c>
      <c r="N39" s="100">
        <v>130.9</v>
      </c>
      <c r="O39" s="100">
        <v>0</v>
      </c>
      <c r="P39" s="100">
        <v>0.54</v>
      </c>
      <c r="Q39" s="100">
        <v>28</v>
      </c>
      <c r="R39" s="6"/>
      <c r="S39" s="6"/>
      <c r="T39" s="156"/>
      <c r="U39" s="6"/>
    </row>
    <row r="40" spans="1:21" customFormat="1">
      <c r="A40" s="163" t="s">
        <v>559</v>
      </c>
      <c r="B40" s="100">
        <v>5.35</v>
      </c>
      <c r="C40" s="100">
        <v>7.79</v>
      </c>
      <c r="D40" s="100">
        <v>4.1100000000000003</v>
      </c>
      <c r="E40" s="100">
        <v>8.18</v>
      </c>
      <c r="F40" s="100">
        <v>2.46</v>
      </c>
      <c r="G40" s="100">
        <v>49.47</v>
      </c>
      <c r="H40" s="100">
        <v>24.59</v>
      </c>
      <c r="I40" s="100">
        <v>7.26</v>
      </c>
      <c r="J40" s="100">
        <v>0.76</v>
      </c>
      <c r="K40" s="100">
        <v>257.11</v>
      </c>
      <c r="L40" s="100">
        <v>29.78</v>
      </c>
      <c r="M40" s="100">
        <v>61.29</v>
      </c>
      <c r="N40" s="100">
        <v>171.9</v>
      </c>
      <c r="O40" s="100">
        <v>0</v>
      </c>
      <c r="P40" s="100">
        <v>0.56000000000000005</v>
      </c>
      <c r="Q40" s="100">
        <v>28</v>
      </c>
      <c r="R40" s="6"/>
      <c r="S40" s="6"/>
      <c r="T40" s="156"/>
      <c r="U40" s="6"/>
    </row>
    <row r="41" spans="1:21" customFormat="1">
      <c r="A41" s="163" t="s">
        <v>560</v>
      </c>
      <c r="B41" s="100">
        <v>5.2</v>
      </c>
      <c r="C41" s="100">
        <v>7.71</v>
      </c>
      <c r="D41" s="100">
        <v>4.1900000000000004</v>
      </c>
      <c r="E41" s="100">
        <v>8.11</v>
      </c>
      <c r="F41" s="100">
        <v>2.27</v>
      </c>
      <c r="G41" s="100">
        <v>49.53</v>
      </c>
      <c r="H41" s="100">
        <v>24.59</v>
      </c>
      <c r="I41" s="100">
        <v>7.18</v>
      </c>
      <c r="J41" s="100">
        <v>0.71</v>
      </c>
      <c r="K41" s="100">
        <v>247.65</v>
      </c>
      <c r="L41" s="100">
        <v>30.43</v>
      </c>
      <c r="M41" s="100">
        <v>59.6</v>
      </c>
      <c r="N41" s="100">
        <v>172.8</v>
      </c>
      <c r="O41" s="100">
        <v>0</v>
      </c>
      <c r="P41" s="100">
        <v>0.53</v>
      </c>
      <c r="Q41" s="100">
        <v>28</v>
      </c>
      <c r="R41" s="6"/>
      <c r="S41" s="6"/>
      <c r="T41" s="156"/>
      <c r="U41" s="6"/>
    </row>
    <row r="42" spans="1:21" customFormat="1">
      <c r="A42" s="163" t="s">
        <v>561</v>
      </c>
      <c r="B42" s="100">
        <v>4.95</v>
      </c>
      <c r="C42" s="100">
        <v>7.66</v>
      </c>
      <c r="D42" s="100">
        <v>4.47</v>
      </c>
      <c r="E42" s="100">
        <v>7.61</v>
      </c>
      <c r="F42" s="100">
        <v>2.73</v>
      </c>
      <c r="G42" s="100">
        <v>49.53</v>
      </c>
      <c r="H42" s="100">
        <v>24.59</v>
      </c>
      <c r="I42" s="100">
        <v>7.37</v>
      </c>
      <c r="J42" s="100">
        <v>0.56000000000000005</v>
      </c>
      <c r="K42" s="100">
        <v>258.13</v>
      </c>
      <c r="L42" s="100">
        <v>30.9</v>
      </c>
      <c r="M42" s="100">
        <v>58.62</v>
      </c>
      <c r="N42" s="100">
        <v>151.4</v>
      </c>
      <c r="O42" s="100">
        <v>0</v>
      </c>
      <c r="P42" s="100">
        <v>0.51</v>
      </c>
      <c r="Q42" s="100">
        <v>28</v>
      </c>
      <c r="R42" s="6"/>
      <c r="S42" s="6"/>
      <c r="T42" s="156"/>
      <c r="U42" s="6"/>
    </row>
    <row r="43" spans="1:21" customFormat="1">
      <c r="A43" s="163" t="s">
        <v>562</v>
      </c>
      <c r="B43" s="100">
        <v>4.49</v>
      </c>
      <c r="C43" s="100">
        <v>7.51</v>
      </c>
      <c r="D43" s="100">
        <v>4.8899999999999997</v>
      </c>
      <c r="E43" s="100">
        <v>7.81</v>
      </c>
      <c r="F43" s="100">
        <v>2.68</v>
      </c>
      <c r="G43" s="100">
        <v>49.53</v>
      </c>
      <c r="H43" s="100">
        <v>24.59</v>
      </c>
      <c r="I43" s="100">
        <v>7.26</v>
      </c>
      <c r="J43" s="100">
        <v>0.72</v>
      </c>
      <c r="K43" s="100">
        <v>258.67</v>
      </c>
      <c r="L43" s="100">
        <v>31.62</v>
      </c>
      <c r="M43" s="100">
        <v>56.08</v>
      </c>
      <c r="N43" s="100">
        <v>155.6</v>
      </c>
      <c r="O43" s="100">
        <v>0</v>
      </c>
      <c r="P43" s="100">
        <v>0.51</v>
      </c>
      <c r="Q43" s="100">
        <v>28</v>
      </c>
      <c r="R43" s="6"/>
      <c r="S43" s="6"/>
      <c r="T43" s="156"/>
      <c r="U43" s="6"/>
    </row>
    <row r="44" spans="1:21" customFormat="1">
      <c r="A44" s="163" t="s">
        <v>563</v>
      </c>
      <c r="B44" s="100">
        <v>4.1100000000000003</v>
      </c>
      <c r="C44" s="100">
        <v>7.42</v>
      </c>
      <c r="D44" s="100">
        <v>5.3</v>
      </c>
      <c r="E44" s="100">
        <v>7.77</v>
      </c>
      <c r="F44" s="100">
        <v>3.23</v>
      </c>
      <c r="G44" s="100">
        <v>46.49</v>
      </c>
      <c r="H44" s="100">
        <v>23.65</v>
      </c>
      <c r="I44" s="100">
        <v>7.2</v>
      </c>
      <c r="J44" s="100">
        <v>0.7</v>
      </c>
      <c r="K44" s="100">
        <v>249.89</v>
      </c>
      <c r="L44" s="100">
        <v>32.119999999999997</v>
      </c>
      <c r="M44" s="100">
        <v>54.08</v>
      </c>
      <c r="N44" s="100">
        <v>162.1</v>
      </c>
      <c r="O44" s="100">
        <v>0</v>
      </c>
      <c r="P44" s="100">
        <v>0.55000000000000004</v>
      </c>
      <c r="Q44" s="100">
        <v>28</v>
      </c>
      <c r="R44" s="6"/>
      <c r="S44" s="6"/>
      <c r="T44" s="156"/>
      <c r="U44" s="6"/>
    </row>
    <row r="45" spans="1:21" customFormat="1">
      <c r="A45" s="163" t="s">
        <v>564</v>
      </c>
      <c r="B45" s="100">
        <v>3.87</v>
      </c>
      <c r="C45" s="100">
        <v>7.36</v>
      </c>
      <c r="D45" s="100">
        <v>5.57</v>
      </c>
      <c r="E45" s="100">
        <v>7.66</v>
      </c>
      <c r="F45" s="100">
        <v>3.36</v>
      </c>
      <c r="G45" s="100">
        <v>46.12</v>
      </c>
      <c r="H45" s="100">
        <v>23.65</v>
      </c>
      <c r="I45" s="100">
        <v>7.28</v>
      </c>
      <c r="J45" s="100">
        <v>0.95</v>
      </c>
      <c r="K45" s="100">
        <v>257.16000000000003</v>
      </c>
      <c r="L45" s="100">
        <v>32.5</v>
      </c>
      <c r="M45" s="100">
        <v>51.13</v>
      </c>
      <c r="N45" s="100">
        <v>173.2</v>
      </c>
      <c r="O45" s="100">
        <v>0</v>
      </c>
      <c r="P45" s="100">
        <v>0.59</v>
      </c>
      <c r="Q45" s="100">
        <v>28</v>
      </c>
      <c r="R45" s="6"/>
      <c r="S45" s="6"/>
      <c r="T45" s="156"/>
      <c r="U45" s="6"/>
    </row>
    <row r="46" spans="1:21" customFormat="1">
      <c r="A46" s="163" t="s">
        <v>565</v>
      </c>
      <c r="B46" s="100">
        <v>3.71</v>
      </c>
      <c r="C46" s="100">
        <v>7.45</v>
      </c>
      <c r="D46" s="100">
        <v>5.97</v>
      </c>
      <c r="E46" s="100">
        <v>7.93</v>
      </c>
      <c r="F46" s="100">
        <v>4.34</v>
      </c>
      <c r="G46" s="100">
        <v>46.12</v>
      </c>
      <c r="H46" s="100">
        <v>23.65</v>
      </c>
      <c r="I46" s="100">
        <v>7.8</v>
      </c>
      <c r="J46" s="100">
        <v>0.66</v>
      </c>
      <c r="K46" s="100">
        <v>268.43</v>
      </c>
      <c r="L46" s="100">
        <v>33.35</v>
      </c>
      <c r="M46" s="100">
        <v>49.81</v>
      </c>
      <c r="N46" s="100">
        <v>178.2</v>
      </c>
      <c r="O46" s="100">
        <v>0</v>
      </c>
      <c r="P46" s="100">
        <v>0.65</v>
      </c>
      <c r="Q46" s="100">
        <v>28</v>
      </c>
      <c r="R46" s="6"/>
      <c r="S46" s="6"/>
      <c r="T46" s="156"/>
      <c r="U46" s="6"/>
    </row>
    <row r="47" spans="1:21" customFormat="1">
      <c r="A47" s="163" t="s">
        <v>566</v>
      </c>
      <c r="B47" s="100">
        <v>3.67</v>
      </c>
      <c r="C47" s="100">
        <v>7.62</v>
      </c>
      <c r="D47" s="100">
        <v>6.37</v>
      </c>
      <c r="E47" s="100">
        <v>8.06</v>
      </c>
      <c r="F47" s="100">
        <v>4.76</v>
      </c>
      <c r="G47" s="100">
        <v>46.12</v>
      </c>
      <c r="H47" s="100">
        <v>23.65</v>
      </c>
      <c r="I47" s="100">
        <v>9.08</v>
      </c>
      <c r="J47" s="100">
        <v>1.02</v>
      </c>
      <c r="K47" s="100">
        <v>280.41000000000003</v>
      </c>
      <c r="L47" s="100">
        <v>33.57</v>
      </c>
      <c r="M47" s="100">
        <v>47.07</v>
      </c>
      <c r="N47" s="100">
        <v>183.4</v>
      </c>
      <c r="O47" s="100">
        <v>0</v>
      </c>
      <c r="P47" s="100">
        <v>0.66</v>
      </c>
      <c r="Q47" s="100">
        <v>28</v>
      </c>
      <c r="R47" s="6"/>
      <c r="S47" s="6"/>
      <c r="T47" s="156"/>
      <c r="U47" s="6"/>
    </row>
    <row r="48" spans="1:21" customFormat="1">
      <c r="A48" s="163" t="s">
        <v>567</v>
      </c>
      <c r="B48" s="100">
        <v>3.69</v>
      </c>
      <c r="C48" s="100">
        <v>7.8</v>
      </c>
      <c r="D48" s="100">
        <v>6.68</v>
      </c>
      <c r="E48" s="100">
        <v>7.98</v>
      </c>
      <c r="F48" s="100">
        <v>4.03</v>
      </c>
      <c r="G48" s="100">
        <v>61.05</v>
      </c>
      <c r="H48" s="100">
        <v>28.83</v>
      </c>
      <c r="I48" s="100">
        <v>10.44</v>
      </c>
      <c r="J48" s="100">
        <v>1.04</v>
      </c>
      <c r="K48" s="100">
        <v>277.36</v>
      </c>
      <c r="L48" s="100">
        <v>34.1</v>
      </c>
      <c r="M48" s="100">
        <v>44.4</v>
      </c>
      <c r="N48" s="100">
        <v>183.1</v>
      </c>
      <c r="O48" s="100">
        <v>0</v>
      </c>
      <c r="P48" s="100">
        <v>0.67</v>
      </c>
      <c r="Q48" s="100">
        <v>28</v>
      </c>
      <c r="R48" s="6"/>
      <c r="S48" s="6"/>
      <c r="T48" s="156"/>
      <c r="U48" s="6"/>
    </row>
    <row r="49" spans="1:21" customFormat="1">
      <c r="A49" s="163" t="s">
        <v>568</v>
      </c>
      <c r="B49" s="100">
        <v>3.64</v>
      </c>
      <c r="C49" s="100">
        <v>7.78</v>
      </c>
      <c r="D49" s="100">
        <v>6.71</v>
      </c>
      <c r="E49" s="100">
        <v>7.28</v>
      </c>
      <c r="F49" s="100">
        <v>3.93</v>
      </c>
      <c r="G49" s="100">
        <v>62.92</v>
      </c>
      <c r="H49" s="100">
        <v>28.83</v>
      </c>
      <c r="I49" s="100">
        <v>10.96</v>
      </c>
      <c r="J49" s="100">
        <v>0.95</v>
      </c>
      <c r="K49" s="100">
        <v>266.83999999999997</v>
      </c>
      <c r="L49" s="100">
        <v>34.14</v>
      </c>
      <c r="M49" s="100">
        <v>43.72</v>
      </c>
      <c r="N49" s="100">
        <v>186.4</v>
      </c>
      <c r="O49" s="100">
        <v>0</v>
      </c>
      <c r="P49" s="100">
        <v>0.65</v>
      </c>
      <c r="Q49" s="100">
        <v>28</v>
      </c>
      <c r="R49" s="6"/>
      <c r="S49" s="6"/>
      <c r="T49" s="156"/>
      <c r="U49" s="6"/>
    </row>
    <row r="50" spans="1:21" customFormat="1">
      <c r="A50" s="163" t="s">
        <v>569</v>
      </c>
      <c r="B50" s="100">
        <v>3.57</v>
      </c>
      <c r="C50" s="100">
        <v>7.65</v>
      </c>
      <c r="D50" s="100">
        <v>6.58</v>
      </c>
      <c r="E50" s="100">
        <v>8.2799999999999994</v>
      </c>
      <c r="F50" s="100">
        <v>4.75</v>
      </c>
      <c r="G50" s="100">
        <v>62.92</v>
      </c>
      <c r="H50" s="100">
        <v>28.83</v>
      </c>
      <c r="I50" s="100">
        <v>11.11</v>
      </c>
      <c r="J50" s="100">
        <v>0.94</v>
      </c>
      <c r="K50" s="100">
        <v>263.14999999999998</v>
      </c>
      <c r="L50" s="100">
        <v>34.520000000000003</v>
      </c>
      <c r="M50" s="100">
        <v>42.47</v>
      </c>
      <c r="N50" s="100">
        <v>195.8</v>
      </c>
      <c r="O50" s="100">
        <v>0</v>
      </c>
      <c r="P50" s="100">
        <v>0.63</v>
      </c>
      <c r="Q50" s="100">
        <v>28</v>
      </c>
      <c r="R50" s="6"/>
      <c r="S50" s="6"/>
      <c r="T50" s="156"/>
      <c r="U50" s="6"/>
    </row>
    <row r="51" spans="1:21" customFormat="1">
      <c r="A51" s="163" t="s">
        <v>570</v>
      </c>
      <c r="B51" s="100">
        <v>3.49</v>
      </c>
      <c r="C51" s="100">
        <v>7.49</v>
      </c>
      <c r="D51" s="100">
        <v>6.4</v>
      </c>
      <c r="E51" s="100">
        <v>8.18</v>
      </c>
      <c r="F51" s="100">
        <v>5.56</v>
      </c>
      <c r="G51" s="100">
        <v>62.92</v>
      </c>
      <c r="H51" s="100">
        <v>28.83</v>
      </c>
      <c r="I51" s="100">
        <v>10.82</v>
      </c>
      <c r="J51" s="100">
        <v>0.94</v>
      </c>
      <c r="K51" s="100">
        <v>272.17</v>
      </c>
      <c r="L51" s="100">
        <v>34.93</v>
      </c>
      <c r="M51" s="100">
        <v>42.19</v>
      </c>
      <c r="N51" s="100">
        <v>202.1</v>
      </c>
      <c r="O51" s="100">
        <v>0</v>
      </c>
      <c r="P51" s="100">
        <v>0.61</v>
      </c>
      <c r="Q51" s="100">
        <v>28</v>
      </c>
      <c r="R51" s="6"/>
      <c r="S51" s="6"/>
      <c r="T51" s="156"/>
      <c r="U51" s="6"/>
    </row>
    <row r="52" spans="1:21" customFormat="1">
      <c r="A52" s="163" t="s">
        <v>571</v>
      </c>
      <c r="B52" s="100">
        <v>3.46</v>
      </c>
      <c r="C52" s="100">
        <v>7.55</v>
      </c>
      <c r="D52" s="100">
        <v>6.55</v>
      </c>
      <c r="E52" s="100">
        <v>8.2200000000000006</v>
      </c>
      <c r="F52" s="100">
        <v>5.82</v>
      </c>
      <c r="G52" s="100">
        <v>53.03</v>
      </c>
      <c r="H52" s="100">
        <v>26.03</v>
      </c>
      <c r="I52" s="100">
        <v>10.43</v>
      </c>
      <c r="J52" s="100">
        <v>1.04</v>
      </c>
      <c r="K52" s="100">
        <v>285.08</v>
      </c>
      <c r="L52" s="100">
        <v>35.1</v>
      </c>
      <c r="M52" s="100">
        <v>41.21</v>
      </c>
      <c r="N52" s="100">
        <v>207.3</v>
      </c>
      <c r="O52" s="100">
        <v>0</v>
      </c>
      <c r="P52" s="100">
        <v>0.6</v>
      </c>
      <c r="Q52" s="100">
        <v>28</v>
      </c>
      <c r="R52" s="6"/>
      <c r="S52" s="6"/>
      <c r="T52" s="156"/>
      <c r="U52" s="6"/>
    </row>
    <row r="53" spans="1:21" customFormat="1">
      <c r="A53" s="163" t="s">
        <v>572</v>
      </c>
      <c r="B53" s="100">
        <v>3.46</v>
      </c>
      <c r="C53" s="100">
        <v>7.27</v>
      </c>
      <c r="D53" s="100">
        <v>6.01</v>
      </c>
      <c r="E53" s="100">
        <v>8.2200000000000006</v>
      </c>
      <c r="F53" s="100">
        <v>5.55</v>
      </c>
      <c r="G53" s="100">
        <v>51.79</v>
      </c>
      <c r="H53" s="100">
        <v>26.03</v>
      </c>
      <c r="I53" s="100">
        <v>10.06</v>
      </c>
      <c r="J53" s="100">
        <v>0.82</v>
      </c>
      <c r="K53" s="100">
        <v>285.89</v>
      </c>
      <c r="L53" s="100">
        <v>35.33</v>
      </c>
      <c r="M53" s="100">
        <v>40.81</v>
      </c>
      <c r="N53" s="100">
        <v>218.6</v>
      </c>
      <c r="O53" s="100">
        <v>0</v>
      </c>
      <c r="P53" s="100">
        <v>0.57999999999999996</v>
      </c>
      <c r="Q53" s="100">
        <v>28</v>
      </c>
      <c r="R53" s="6"/>
      <c r="S53" s="6"/>
      <c r="T53" s="156"/>
      <c r="U53" s="6"/>
    </row>
    <row r="54" spans="1:21" customFormat="1">
      <c r="A54" s="163" t="s">
        <v>573</v>
      </c>
      <c r="B54" s="100">
        <v>3.51</v>
      </c>
      <c r="C54" s="100">
        <v>7.43</v>
      </c>
      <c r="D54" s="100">
        <v>6.24</v>
      </c>
      <c r="E54" s="100">
        <v>8</v>
      </c>
      <c r="F54" s="100">
        <v>5.71</v>
      </c>
      <c r="G54" s="100">
        <v>51.79</v>
      </c>
      <c r="H54" s="100">
        <v>26.03</v>
      </c>
      <c r="I54" s="100">
        <v>9.7200000000000006</v>
      </c>
      <c r="J54" s="100">
        <v>0.85</v>
      </c>
      <c r="K54" s="100">
        <v>282.99</v>
      </c>
      <c r="L54" s="100">
        <v>35.99</v>
      </c>
      <c r="M54" s="100">
        <v>38.89</v>
      </c>
      <c r="N54" s="100">
        <v>226.6</v>
      </c>
      <c r="O54" s="100">
        <v>0</v>
      </c>
      <c r="P54" s="100">
        <v>0.56000000000000005</v>
      </c>
      <c r="Q54" s="100">
        <v>28</v>
      </c>
      <c r="R54" s="6"/>
      <c r="S54" s="6"/>
      <c r="T54" s="156"/>
      <c r="U54" s="6"/>
    </row>
    <row r="55" spans="1:21" customFormat="1">
      <c r="A55" s="163" t="s">
        <v>574</v>
      </c>
      <c r="B55" s="100">
        <v>3.55</v>
      </c>
      <c r="C55" s="100">
        <v>7.2</v>
      </c>
      <c r="D55" s="100">
        <v>5.76</v>
      </c>
      <c r="E55" s="100">
        <v>8.27</v>
      </c>
      <c r="F55" s="100">
        <v>5.82</v>
      </c>
      <c r="G55" s="100">
        <v>51.79</v>
      </c>
      <c r="H55" s="100">
        <v>26.03</v>
      </c>
      <c r="I55" s="100">
        <v>9.4499999999999993</v>
      </c>
      <c r="J55" s="100">
        <v>1.5</v>
      </c>
      <c r="K55" s="100">
        <v>295.02999999999997</v>
      </c>
      <c r="L55" s="100">
        <v>35.770000000000003</v>
      </c>
      <c r="M55" s="100">
        <v>37.369999999999997</v>
      </c>
      <c r="N55" s="100">
        <v>243.1</v>
      </c>
      <c r="O55" s="100">
        <v>0</v>
      </c>
      <c r="P55" s="100">
        <v>0.54</v>
      </c>
      <c r="Q55" s="100">
        <v>28</v>
      </c>
      <c r="R55" s="6"/>
      <c r="S55" s="6"/>
      <c r="T55" s="156"/>
      <c r="U55" s="6"/>
    </row>
    <row r="56" spans="1:21" customFormat="1">
      <c r="A56" s="163" t="s">
        <v>575</v>
      </c>
      <c r="B56" s="100">
        <v>3.69</v>
      </c>
      <c r="C56" s="100">
        <v>7.48</v>
      </c>
      <c r="D56" s="100">
        <v>6.07</v>
      </c>
      <c r="E56" s="100">
        <v>8.14</v>
      </c>
      <c r="F56" s="100">
        <v>4.99</v>
      </c>
      <c r="G56" s="100">
        <v>44.66</v>
      </c>
      <c r="H56" s="100">
        <v>23.28</v>
      </c>
      <c r="I56" s="100">
        <v>9.0399999999999991</v>
      </c>
      <c r="J56" s="100">
        <v>0.77</v>
      </c>
      <c r="K56" s="100">
        <v>269.16000000000003</v>
      </c>
      <c r="L56" s="100">
        <v>36.020000000000003</v>
      </c>
      <c r="M56" s="100">
        <v>36.89</v>
      </c>
      <c r="N56" s="100">
        <v>532.6</v>
      </c>
      <c r="O56" s="100">
        <v>0</v>
      </c>
      <c r="P56" s="100">
        <v>0.52</v>
      </c>
      <c r="Q56" s="100">
        <v>28</v>
      </c>
      <c r="R56" s="6"/>
      <c r="S56" s="6"/>
      <c r="T56" s="156"/>
      <c r="U56" s="6"/>
    </row>
    <row r="57" spans="1:21" customFormat="1">
      <c r="A57" s="163" t="s">
        <v>576</v>
      </c>
      <c r="B57" s="100">
        <v>3.61</v>
      </c>
      <c r="C57" s="100">
        <v>7.58</v>
      </c>
      <c r="D57" s="100">
        <v>6.37</v>
      </c>
      <c r="E57" s="100">
        <v>8.31</v>
      </c>
      <c r="F57" s="100">
        <v>3.69</v>
      </c>
      <c r="G57" s="100">
        <v>43.77</v>
      </c>
      <c r="H57" s="100">
        <v>23.28</v>
      </c>
      <c r="I57" s="100">
        <v>8.76</v>
      </c>
      <c r="J57" s="100">
        <v>1.07</v>
      </c>
      <c r="K57" s="100">
        <v>273.99</v>
      </c>
      <c r="L57" s="100">
        <v>36.01</v>
      </c>
      <c r="M57" s="100">
        <v>37.67</v>
      </c>
      <c r="N57" s="100">
        <v>722</v>
      </c>
      <c r="O57" s="100">
        <v>0</v>
      </c>
      <c r="P57" s="100">
        <v>0.53</v>
      </c>
      <c r="Q57" s="100">
        <v>28</v>
      </c>
      <c r="R57" s="6"/>
      <c r="S57" s="6"/>
      <c r="T57" s="156"/>
      <c r="U57" s="6"/>
    </row>
    <row r="58" spans="1:21" customFormat="1">
      <c r="A58" s="163" t="s">
        <v>577</v>
      </c>
      <c r="B58" s="100">
        <v>3.58</v>
      </c>
      <c r="C58" s="100">
        <v>7.08</v>
      </c>
      <c r="D58" s="100">
        <v>5.47</v>
      </c>
      <c r="E58" s="100">
        <v>8.19</v>
      </c>
      <c r="F58" s="100">
        <v>5.76</v>
      </c>
      <c r="G58" s="100">
        <v>43.77</v>
      </c>
      <c r="H58" s="100">
        <v>23.28</v>
      </c>
      <c r="I58" s="100">
        <v>8.35</v>
      </c>
      <c r="J58" s="100">
        <v>0.59</v>
      </c>
      <c r="K58" s="100">
        <v>278.58</v>
      </c>
      <c r="L58" s="100">
        <v>36.53</v>
      </c>
      <c r="M58" s="100">
        <v>37.6</v>
      </c>
      <c r="N58" s="100">
        <v>811.8</v>
      </c>
      <c r="O58" s="100">
        <v>0</v>
      </c>
      <c r="P58" s="100">
        <v>0.5</v>
      </c>
      <c r="Q58" s="100">
        <v>28</v>
      </c>
      <c r="R58" s="6"/>
      <c r="S58" s="6"/>
      <c r="T58" s="156"/>
      <c r="U58" s="6"/>
    </row>
    <row r="59" spans="1:21" customFormat="1">
      <c r="A59" s="163" t="s">
        <v>578</v>
      </c>
      <c r="B59" s="100">
        <v>3.55</v>
      </c>
      <c r="C59" s="100">
        <v>7.44</v>
      </c>
      <c r="D59" s="100">
        <v>6.2</v>
      </c>
      <c r="E59" s="100">
        <v>8.02</v>
      </c>
      <c r="F59" s="100">
        <v>6.25</v>
      </c>
      <c r="G59" s="100">
        <v>43.77</v>
      </c>
      <c r="H59" s="100">
        <v>23.28</v>
      </c>
      <c r="I59" s="100">
        <v>8.16</v>
      </c>
      <c r="J59" s="100">
        <v>0.87</v>
      </c>
      <c r="K59" s="100">
        <v>285.91000000000003</v>
      </c>
      <c r="L59" s="100">
        <v>36.44</v>
      </c>
      <c r="M59" s="100">
        <v>37.97</v>
      </c>
      <c r="N59" s="100">
        <v>723.1</v>
      </c>
      <c r="O59" s="100">
        <v>0</v>
      </c>
      <c r="P59" s="100">
        <v>0.51</v>
      </c>
      <c r="Q59" s="100">
        <v>28</v>
      </c>
      <c r="R59" s="6"/>
      <c r="S59" s="6"/>
      <c r="T59" s="156"/>
      <c r="U59" s="6"/>
    </row>
    <row r="60" spans="1:21" customFormat="1">
      <c r="A60" s="163" t="s">
        <v>579</v>
      </c>
      <c r="B60" s="100">
        <v>3.47</v>
      </c>
      <c r="C60" s="100">
        <v>6.97</v>
      </c>
      <c r="D60" s="100">
        <v>5.43</v>
      </c>
      <c r="E60" s="100">
        <v>8.31</v>
      </c>
      <c r="F60" s="100">
        <v>7.83</v>
      </c>
      <c r="G60" s="100">
        <v>42.22</v>
      </c>
      <c r="H60" s="100">
        <v>24.01</v>
      </c>
      <c r="I60" s="100">
        <v>7.87</v>
      </c>
      <c r="J60" s="100">
        <v>1.17</v>
      </c>
      <c r="K60" s="100">
        <v>287.27</v>
      </c>
      <c r="L60" s="100">
        <v>36.46</v>
      </c>
      <c r="M60" s="100">
        <v>36.909999999999997</v>
      </c>
      <c r="N60" s="100">
        <v>814.4</v>
      </c>
      <c r="O60" s="100">
        <v>0</v>
      </c>
      <c r="P60" s="100">
        <v>0.5</v>
      </c>
      <c r="Q60" s="100">
        <v>28</v>
      </c>
      <c r="R60" s="6"/>
      <c r="S60" s="6"/>
      <c r="T60" s="156"/>
      <c r="U60" s="6"/>
    </row>
    <row r="61" spans="1:21" customFormat="1">
      <c r="A61" s="163" t="s">
        <v>580</v>
      </c>
      <c r="B61" s="100">
        <v>3.44</v>
      </c>
      <c r="C61" s="100">
        <v>7.46</v>
      </c>
      <c r="D61" s="100">
        <v>6.4</v>
      </c>
      <c r="E61" s="100">
        <v>8.59</v>
      </c>
      <c r="F61" s="100">
        <v>6.29</v>
      </c>
      <c r="G61" s="100">
        <v>42.02</v>
      </c>
      <c r="H61" s="100">
        <v>24.01</v>
      </c>
      <c r="I61" s="100">
        <v>7.78</v>
      </c>
      <c r="J61" s="100">
        <v>1.0900000000000001</v>
      </c>
      <c r="K61" s="100">
        <v>273.62</v>
      </c>
      <c r="L61" s="100">
        <v>36.67</v>
      </c>
      <c r="M61" s="100">
        <v>36.67</v>
      </c>
      <c r="N61" s="100">
        <v>727.3</v>
      </c>
      <c r="O61" s="100">
        <v>0</v>
      </c>
      <c r="P61" s="100">
        <v>0.52</v>
      </c>
      <c r="Q61" s="100">
        <v>28</v>
      </c>
      <c r="R61" s="6"/>
      <c r="S61" s="6"/>
      <c r="T61" s="156"/>
      <c r="U61" s="6"/>
    </row>
    <row r="62" spans="1:21" customFormat="1">
      <c r="A62" s="163" t="s">
        <v>581</v>
      </c>
      <c r="B62" s="100">
        <v>3.44</v>
      </c>
      <c r="C62" s="100">
        <v>7.24</v>
      </c>
      <c r="D62" s="100">
        <v>5.99</v>
      </c>
      <c r="E62" s="100">
        <v>9.3800000000000008</v>
      </c>
      <c r="F62" s="100">
        <v>11.2</v>
      </c>
      <c r="G62" s="100">
        <v>42.02</v>
      </c>
      <c r="H62" s="100">
        <v>24.01</v>
      </c>
      <c r="I62" s="100">
        <v>7.78</v>
      </c>
      <c r="J62" s="100">
        <v>1.0900000000000001</v>
      </c>
      <c r="K62" s="100">
        <v>289.57</v>
      </c>
      <c r="L62" s="100">
        <v>36.76</v>
      </c>
      <c r="M62" s="100">
        <v>36.07</v>
      </c>
      <c r="N62" s="100">
        <v>761.8</v>
      </c>
      <c r="O62" s="100">
        <v>0</v>
      </c>
      <c r="P62" s="100">
        <v>0.56999999999999995</v>
      </c>
      <c r="Q62" s="100">
        <v>28</v>
      </c>
      <c r="R62" s="6"/>
      <c r="S62" s="6"/>
      <c r="T62" s="156"/>
      <c r="U62" s="6"/>
    </row>
    <row r="63" spans="1:21" customFormat="1">
      <c r="A63" s="163" t="s">
        <v>582</v>
      </c>
      <c r="B63" s="100">
        <v>3.88</v>
      </c>
      <c r="C63" s="100">
        <v>8.0399999999999991</v>
      </c>
      <c r="D63" s="100">
        <v>6.85</v>
      </c>
      <c r="E63" s="100">
        <v>10.35</v>
      </c>
      <c r="F63" s="100">
        <v>13.63</v>
      </c>
      <c r="G63" s="100">
        <v>42.02</v>
      </c>
      <c r="H63" s="100">
        <v>24.01</v>
      </c>
      <c r="I63" s="100">
        <v>7.93</v>
      </c>
      <c r="J63" s="100">
        <v>0.87</v>
      </c>
      <c r="K63" s="100">
        <v>283.24</v>
      </c>
      <c r="L63" s="100">
        <v>36.94</v>
      </c>
      <c r="M63" s="100">
        <v>34.96</v>
      </c>
      <c r="N63" s="100">
        <v>714.1</v>
      </c>
      <c r="O63" s="100">
        <v>0</v>
      </c>
      <c r="P63" s="100">
        <v>0.61</v>
      </c>
      <c r="Q63" s="100">
        <v>28</v>
      </c>
      <c r="R63" s="6"/>
      <c r="S63" s="6"/>
      <c r="T63" s="156"/>
      <c r="U63" s="6"/>
    </row>
    <row r="64" spans="1:21" customFormat="1">
      <c r="A64" s="163" t="s">
        <v>583</v>
      </c>
      <c r="B64" s="100">
        <v>3.66</v>
      </c>
      <c r="C64" s="100">
        <v>7.15</v>
      </c>
      <c r="D64" s="100">
        <v>5.48</v>
      </c>
      <c r="E64" s="100">
        <v>10.44</v>
      </c>
      <c r="F64" s="100">
        <v>13.63</v>
      </c>
      <c r="G64" s="100">
        <v>49.53</v>
      </c>
      <c r="H64" s="100">
        <v>28.45</v>
      </c>
      <c r="I64" s="100">
        <v>8.07</v>
      </c>
      <c r="J64" s="100">
        <v>1.22</v>
      </c>
      <c r="K64" s="100">
        <v>294.89999999999998</v>
      </c>
      <c r="L64" s="100">
        <v>36.979999999999997</v>
      </c>
      <c r="M64" s="100">
        <v>34.29</v>
      </c>
      <c r="N64" s="100">
        <v>477.7</v>
      </c>
      <c r="O64" s="100">
        <v>0</v>
      </c>
      <c r="P64" s="100">
        <v>0.61</v>
      </c>
      <c r="Q64" s="100">
        <v>28</v>
      </c>
      <c r="R64" s="6"/>
      <c r="S64" s="6"/>
      <c r="T64" s="156"/>
      <c r="U64" s="6"/>
    </row>
    <row r="65" spans="1:21" customFormat="1">
      <c r="A65" s="163" t="s">
        <v>584</v>
      </c>
      <c r="B65" s="100">
        <v>3.56</v>
      </c>
      <c r="C65" s="100">
        <v>6.83</v>
      </c>
      <c r="D65" s="100">
        <v>5.0199999999999996</v>
      </c>
      <c r="E65" s="100">
        <v>10.06</v>
      </c>
      <c r="F65" s="100">
        <v>12.77</v>
      </c>
      <c r="G65" s="100">
        <v>50.47</v>
      </c>
      <c r="H65" s="100">
        <v>28.45</v>
      </c>
      <c r="I65" s="100">
        <v>8.16</v>
      </c>
      <c r="J65" s="100">
        <v>0.89</v>
      </c>
      <c r="K65" s="100">
        <v>259.14</v>
      </c>
      <c r="L65" s="100">
        <v>36.93</v>
      </c>
      <c r="M65" s="100">
        <v>34.94</v>
      </c>
      <c r="N65" s="100">
        <v>347.7</v>
      </c>
      <c r="O65" s="100">
        <v>0</v>
      </c>
      <c r="P65" s="100">
        <v>0.43</v>
      </c>
      <c r="Q65" s="100">
        <v>28</v>
      </c>
      <c r="R65" s="6"/>
      <c r="S65" s="6"/>
      <c r="T65" s="156"/>
      <c r="U65" s="6"/>
    </row>
    <row r="66" spans="1:21" customFormat="1">
      <c r="A66" s="163" t="s">
        <v>585</v>
      </c>
      <c r="B66" s="100">
        <v>3.73</v>
      </c>
      <c r="C66" s="100">
        <v>7.56</v>
      </c>
      <c r="D66" s="100">
        <v>6.15</v>
      </c>
      <c r="E66" s="100">
        <v>9.57</v>
      </c>
      <c r="F66" s="100">
        <v>11.32</v>
      </c>
      <c r="G66" s="100">
        <v>50.47</v>
      </c>
      <c r="H66" s="100">
        <v>28.45</v>
      </c>
      <c r="I66" s="100">
        <v>8.11</v>
      </c>
      <c r="J66" s="100">
        <v>1.54</v>
      </c>
      <c r="K66" s="100">
        <v>297.13</v>
      </c>
      <c r="L66" s="100">
        <v>36.880000000000003</v>
      </c>
      <c r="M66" s="100">
        <v>32.51</v>
      </c>
      <c r="N66" s="100">
        <v>342.8</v>
      </c>
      <c r="O66" s="100">
        <v>0</v>
      </c>
      <c r="P66" s="100">
        <v>0.45</v>
      </c>
      <c r="Q66" s="100">
        <v>28</v>
      </c>
      <c r="R66" s="6"/>
      <c r="S66" s="6"/>
      <c r="T66" s="156"/>
      <c r="U66" s="6"/>
    </row>
    <row r="67" spans="1:21" customFormat="1">
      <c r="A67" s="163" t="s">
        <v>586</v>
      </c>
      <c r="B67" s="100">
        <v>3.72</v>
      </c>
      <c r="C67" s="100">
        <v>7.29</v>
      </c>
      <c r="D67" s="100">
        <v>5.66</v>
      </c>
      <c r="E67" s="100">
        <v>9.1</v>
      </c>
      <c r="F67" s="100">
        <v>13.44</v>
      </c>
      <c r="G67" s="100">
        <v>50.47</v>
      </c>
      <c r="H67" s="100">
        <v>28.45</v>
      </c>
      <c r="I67" s="100">
        <v>8.07</v>
      </c>
      <c r="J67" s="100">
        <v>1.04</v>
      </c>
      <c r="K67" s="100">
        <v>280.70999999999998</v>
      </c>
      <c r="L67" s="100">
        <v>37.18</v>
      </c>
      <c r="M67" s="100">
        <v>32.380000000000003</v>
      </c>
      <c r="N67" s="100">
        <v>237.9</v>
      </c>
      <c r="O67" s="100">
        <v>0</v>
      </c>
      <c r="P67" s="100">
        <v>0.44</v>
      </c>
      <c r="Q67" s="100">
        <v>28</v>
      </c>
      <c r="R67" s="6"/>
      <c r="S67" s="6"/>
      <c r="T67" s="156"/>
      <c r="U67" s="6"/>
    </row>
    <row r="68" spans="1:21" customFormat="1">
      <c r="A68" s="163" t="s">
        <v>587</v>
      </c>
      <c r="B68" s="100">
        <v>3.62</v>
      </c>
      <c r="C68" s="100">
        <v>6.89</v>
      </c>
      <c r="D68" s="100">
        <v>5.05</v>
      </c>
      <c r="E68" s="100">
        <v>8.66</v>
      </c>
      <c r="F68" s="100">
        <v>9.75</v>
      </c>
      <c r="G68" s="100">
        <v>49.71</v>
      </c>
      <c r="H68" s="100">
        <v>26.55</v>
      </c>
      <c r="I68" s="100">
        <v>8.06</v>
      </c>
      <c r="J68" s="100">
        <v>1.1599999999999999</v>
      </c>
      <c r="K68" s="100">
        <v>279.02</v>
      </c>
      <c r="L68" s="100">
        <v>37.14</v>
      </c>
      <c r="M68" s="100">
        <v>33.14</v>
      </c>
      <c r="N68" s="100">
        <v>531</v>
      </c>
      <c r="O68" s="100">
        <v>0</v>
      </c>
      <c r="P68" s="100">
        <v>0.43</v>
      </c>
      <c r="Q68" s="100">
        <v>28</v>
      </c>
      <c r="R68" s="6"/>
      <c r="S68" s="6"/>
      <c r="T68" s="156"/>
      <c r="U68" s="6"/>
    </row>
    <row r="69" spans="1:21" customFormat="1">
      <c r="A69" s="163" t="s">
        <v>588</v>
      </c>
      <c r="B69" s="100">
        <v>3.6</v>
      </c>
      <c r="C69" s="100">
        <v>6.76</v>
      </c>
      <c r="D69" s="100">
        <v>4.8099999999999996</v>
      </c>
      <c r="E69" s="100">
        <v>8.43</v>
      </c>
      <c r="F69" s="100">
        <v>8.84</v>
      </c>
      <c r="G69" s="100">
        <v>49.61</v>
      </c>
      <c r="H69" s="100">
        <v>26.55</v>
      </c>
      <c r="I69" s="100">
        <v>7.86</v>
      </c>
      <c r="J69" s="100">
        <v>1.54</v>
      </c>
      <c r="K69" s="100">
        <v>280.95999999999998</v>
      </c>
      <c r="L69" s="100">
        <v>36.92</v>
      </c>
      <c r="M69" s="100">
        <v>33.04</v>
      </c>
      <c r="N69" s="100">
        <v>551.4</v>
      </c>
      <c r="O69" s="100">
        <v>0</v>
      </c>
      <c r="P69" s="100">
        <v>0.43</v>
      </c>
      <c r="Q69" s="100">
        <v>28</v>
      </c>
      <c r="R69" s="6"/>
      <c r="S69" s="6"/>
      <c r="T69" s="156"/>
      <c r="U69" s="6"/>
    </row>
    <row r="70" spans="1:21" customFormat="1">
      <c r="A70" s="163" t="s">
        <v>589</v>
      </c>
      <c r="B70" s="100">
        <v>3.91</v>
      </c>
      <c r="C70" s="100">
        <v>7.59</v>
      </c>
      <c r="D70" s="100">
        <v>5.94</v>
      </c>
      <c r="E70" s="100">
        <v>8.1999999999999993</v>
      </c>
      <c r="F70" s="100">
        <v>9.76</v>
      </c>
      <c r="G70" s="100">
        <v>49.61</v>
      </c>
      <c r="H70" s="100">
        <v>26.55</v>
      </c>
      <c r="I70" s="100">
        <v>7.79</v>
      </c>
      <c r="J70" s="100">
        <v>1.17</v>
      </c>
      <c r="K70" s="100">
        <v>278.86</v>
      </c>
      <c r="L70" s="100">
        <v>37.119999999999997</v>
      </c>
      <c r="M70" s="100">
        <v>32.24</v>
      </c>
      <c r="N70" s="100">
        <v>570.1</v>
      </c>
      <c r="O70" s="100">
        <v>0</v>
      </c>
      <c r="P70" s="100">
        <v>0.41</v>
      </c>
      <c r="Q70" s="100">
        <v>28</v>
      </c>
      <c r="R70" s="6"/>
      <c r="S70" s="6"/>
      <c r="T70" s="156"/>
      <c r="U70" s="6"/>
    </row>
    <row r="71" spans="1:21" customFormat="1">
      <c r="A71" s="163" t="s">
        <v>590</v>
      </c>
      <c r="B71" s="100">
        <v>3.83</v>
      </c>
      <c r="C71" s="100">
        <v>7.35</v>
      </c>
      <c r="D71" s="100">
        <v>5.6</v>
      </c>
      <c r="E71" s="100">
        <v>8.18</v>
      </c>
      <c r="F71" s="100">
        <v>10.25</v>
      </c>
      <c r="G71" s="100">
        <v>49.61</v>
      </c>
      <c r="H71" s="100">
        <v>26.55</v>
      </c>
      <c r="I71" s="100">
        <v>7.67</v>
      </c>
      <c r="J71" s="100">
        <v>0.88</v>
      </c>
      <c r="K71" s="100">
        <v>252.93</v>
      </c>
      <c r="L71" s="100">
        <v>37.36</v>
      </c>
      <c r="M71" s="100">
        <v>31.26</v>
      </c>
      <c r="N71" s="100">
        <v>327.2</v>
      </c>
      <c r="O71" s="100">
        <v>0</v>
      </c>
      <c r="P71" s="100">
        <v>0.39</v>
      </c>
      <c r="Q71" s="100">
        <v>28</v>
      </c>
      <c r="R71" s="6"/>
      <c r="S71" s="6"/>
      <c r="T71" s="156"/>
      <c r="U71" s="6"/>
    </row>
    <row r="72" spans="1:21" customFormat="1">
      <c r="A72" s="163" t="s">
        <v>591</v>
      </c>
      <c r="B72" s="100">
        <v>3.66</v>
      </c>
      <c r="C72" s="100">
        <v>6.92</v>
      </c>
      <c r="D72" s="100">
        <v>5.04</v>
      </c>
      <c r="E72" s="100">
        <v>8.42</v>
      </c>
      <c r="F72" s="100">
        <v>10.1</v>
      </c>
      <c r="G72" s="100">
        <v>49.32</v>
      </c>
      <c r="H72" s="100">
        <v>26.89</v>
      </c>
      <c r="I72" s="100">
        <v>7.33</v>
      </c>
      <c r="J72" s="100">
        <v>1.33</v>
      </c>
      <c r="K72" s="100">
        <v>275.10000000000002</v>
      </c>
      <c r="L72" s="100">
        <v>37.06</v>
      </c>
      <c r="M72" s="100">
        <v>31.37</v>
      </c>
      <c r="N72" s="100">
        <v>304.60000000000002</v>
      </c>
      <c r="O72" s="100">
        <v>0</v>
      </c>
      <c r="P72" s="100">
        <v>0.4</v>
      </c>
      <c r="Q72" s="100">
        <v>28</v>
      </c>
      <c r="R72" s="6"/>
      <c r="S72" s="6"/>
      <c r="T72" s="156"/>
      <c r="U72" s="6"/>
    </row>
    <row r="73" spans="1:21" customFormat="1">
      <c r="A73" s="163" t="s">
        <v>592</v>
      </c>
      <c r="B73" s="100">
        <v>3.63</v>
      </c>
      <c r="C73" s="100">
        <v>6.8</v>
      </c>
      <c r="D73" s="100">
        <v>4.87</v>
      </c>
      <c r="E73" s="100">
        <v>8.32</v>
      </c>
      <c r="F73" s="100">
        <v>10.89</v>
      </c>
      <c r="G73" s="100">
        <v>49.28</v>
      </c>
      <c r="H73" s="100">
        <v>26.89</v>
      </c>
      <c r="I73" s="100">
        <v>7.21</v>
      </c>
      <c r="J73" s="100">
        <v>1.37</v>
      </c>
      <c r="K73" s="100">
        <v>280.97000000000003</v>
      </c>
      <c r="L73" s="100">
        <v>36.729999999999997</v>
      </c>
      <c r="M73" s="100">
        <v>32.26</v>
      </c>
      <c r="N73" s="100">
        <v>176.4</v>
      </c>
      <c r="O73" s="100">
        <v>0</v>
      </c>
      <c r="P73" s="100">
        <v>0.39</v>
      </c>
      <c r="Q73" s="100">
        <v>28</v>
      </c>
      <c r="R73" s="6"/>
      <c r="S73" s="6"/>
      <c r="T73" s="156"/>
      <c r="U73" s="6"/>
    </row>
    <row r="74" spans="1:21" customFormat="1">
      <c r="A74" s="163" t="s">
        <v>593</v>
      </c>
      <c r="B74" s="100">
        <v>3.66</v>
      </c>
      <c r="C74" s="100">
        <v>6.84</v>
      </c>
      <c r="D74" s="100">
        <v>4.8899999999999997</v>
      </c>
      <c r="E74" s="100">
        <v>8.94</v>
      </c>
      <c r="F74" s="100">
        <v>11.82</v>
      </c>
      <c r="G74" s="100">
        <v>49.28</v>
      </c>
      <c r="H74" s="100">
        <v>26.89</v>
      </c>
      <c r="I74" s="100">
        <v>7.18</v>
      </c>
      <c r="J74" s="100">
        <v>1.05</v>
      </c>
      <c r="K74" s="100">
        <v>263.02999999999997</v>
      </c>
      <c r="L74" s="100">
        <v>36.64</v>
      </c>
      <c r="M74" s="100">
        <v>32.46</v>
      </c>
      <c r="N74" s="100">
        <v>130.9</v>
      </c>
      <c r="O74" s="100">
        <v>0</v>
      </c>
      <c r="P74" s="100">
        <v>0.39</v>
      </c>
      <c r="Q74" s="100">
        <v>28</v>
      </c>
      <c r="R74" s="6"/>
      <c r="S74" s="6"/>
      <c r="T74" s="156"/>
      <c r="U74" s="6"/>
    </row>
    <row r="75" spans="1:21" customFormat="1">
      <c r="A75" s="163" t="s">
        <v>594</v>
      </c>
      <c r="B75" s="100">
        <v>3.6</v>
      </c>
      <c r="C75" s="100">
        <v>6.59</v>
      </c>
      <c r="D75" s="100">
        <v>4.51</v>
      </c>
      <c r="E75" s="100">
        <v>7.62</v>
      </c>
      <c r="F75" s="100">
        <v>13.11</v>
      </c>
      <c r="G75" s="100">
        <v>49.28</v>
      </c>
      <c r="H75" s="100">
        <v>26.89</v>
      </c>
      <c r="I75" s="100">
        <v>7.22</v>
      </c>
      <c r="J75" s="100">
        <v>0.95</v>
      </c>
      <c r="K75" s="100">
        <v>255.75</v>
      </c>
      <c r="L75" s="100">
        <v>36.22</v>
      </c>
      <c r="M75" s="100">
        <v>33.729999999999997</v>
      </c>
      <c r="N75" s="100">
        <v>109.6</v>
      </c>
      <c r="O75" s="100">
        <v>0</v>
      </c>
      <c r="P75" s="100">
        <v>0.39</v>
      </c>
      <c r="Q75" s="100">
        <v>28</v>
      </c>
      <c r="R75" s="6"/>
      <c r="S75" s="6"/>
      <c r="T75" s="156"/>
      <c r="U75" s="6"/>
    </row>
    <row r="76" spans="1:21" customFormat="1">
      <c r="A76" s="163" t="s">
        <v>595</v>
      </c>
      <c r="B76" s="100">
        <v>3.81</v>
      </c>
      <c r="C76" s="100">
        <v>7.36</v>
      </c>
      <c r="D76" s="100">
        <v>5.65</v>
      </c>
      <c r="E76" s="100">
        <v>9.6</v>
      </c>
      <c r="F76" s="100">
        <v>16.93</v>
      </c>
      <c r="G76" s="100">
        <v>49.27</v>
      </c>
      <c r="H76" s="100">
        <v>27.75</v>
      </c>
      <c r="I76" s="100">
        <v>7.04</v>
      </c>
      <c r="J76" s="100">
        <v>1.1399999999999999</v>
      </c>
      <c r="K76" s="100">
        <v>266.49</v>
      </c>
      <c r="L76" s="100">
        <v>36.17</v>
      </c>
      <c r="M76" s="100">
        <v>32.29</v>
      </c>
      <c r="N76" s="100">
        <v>112</v>
      </c>
      <c r="O76" s="100">
        <v>0</v>
      </c>
      <c r="P76" s="100">
        <v>0.42</v>
      </c>
      <c r="Q76" s="100">
        <v>28</v>
      </c>
      <c r="R76" s="6"/>
      <c r="S76" s="6"/>
      <c r="T76" s="156"/>
      <c r="U76" s="6"/>
    </row>
    <row r="77" spans="1:21" customFormat="1">
      <c r="A77" s="163" t="s">
        <v>596</v>
      </c>
      <c r="B77" s="100">
        <v>3.69</v>
      </c>
      <c r="C77" s="100">
        <v>7.03</v>
      </c>
      <c r="D77" s="100">
        <v>5.19</v>
      </c>
      <c r="E77" s="100">
        <v>8.99</v>
      </c>
      <c r="F77" s="100">
        <v>12.31</v>
      </c>
      <c r="G77" s="100">
        <v>49.27</v>
      </c>
      <c r="H77" s="100">
        <v>27.75</v>
      </c>
      <c r="I77" s="100">
        <v>7.16</v>
      </c>
      <c r="J77" s="100">
        <v>0.99</v>
      </c>
      <c r="K77" s="100">
        <v>253.86</v>
      </c>
      <c r="L77" s="100">
        <v>35.880000000000003</v>
      </c>
      <c r="M77" s="100">
        <v>32.479999999999997</v>
      </c>
      <c r="N77" s="100">
        <v>100.8</v>
      </c>
      <c r="O77" s="100">
        <v>0</v>
      </c>
      <c r="P77" s="100">
        <v>0.39</v>
      </c>
      <c r="Q77" s="100">
        <v>28</v>
      </c>
      <c r="R77" s="6"/>
      <c r="S77" s="6"/>
      <c r="T77" s="156"/>
      <c r="U77" s="6"/>
    </row>
    <row r="78" spans="1:21" customFormat="1">
      <c r="A78" s="163" t="s">
        <v>597</v>
      </c>
      <c r="B78" s="100">
        <v>3.6</v>
      </c>
      <c r="C78" s="100">
        <v>6.99</v>
      </c>
      <c r="D78" s="100">
        <v>5.27</v>
      </c>
      <c r="E78" s="100">
        <v>10.92</v>
      </c>
      <c r="F78" s="100">
        <v>18.96</v>
      </c>
      <c r="G78" s="100">
        <v>49.27</v>
      </c>
      <c r="H78" s="100">
        <v>27.75</v>
      </c>
      <c r="I78" s="100">
        <v>7.49</v>
      </c>
      <c r="J78" s="100">
        <v>0.76</v>
      </c>
      <c r="K78" s="100">
        <v>261.82</v>
      </c>
      <c r="L78" s="100">
        <v>35.869999999999997</v>
      </c>
      <c r="M78" s="100">
        <v>32.46</v>
      </c>
      <c r="N78" s="100">
        <v>72.900000000000006</v>
      </c>
      <c r="O78" s="100">
        <v>0</v>
      </c>
      <c r="P78" s="100">
        <v>0.42</v>
      </c>
      <c r="Q78" s="100">
        <v>28</v>
      </c>
      <c r="R78" s="6"/>
      <c r="S78" s="6"/>
      <c r="T78" s="156"/>
      <c r="U78" s="6"/>
    </row>
    <row r="79" spans="1:21" customFormat="1">
      <c r="A79" s="163" t="s">
        <v>598</v>
      </c>
      <c r="B79" s="100">
        <v>3.55</v>
      </c>
      <c r="C79" s="100">
        <v>6.77</v>
      </c>
      <c r="D79" s="100">
        <v>4.92</v>
      </c>
      <c r="E79" s="100">
        <v>9.4700000000000006</v>
      </c>
      <c r="F79" s="100">
        <v>15.35</v>
      </c>
      <c r="G79" s="100">
        <v>49.27</v>
      </c>
      <c r="H79" s="100">
        <v>27.75</v>
      </c>
      <c r="I79" s="100">
        <v>7.57</v>
      </c>
      <c r="J79" s="100">
        <v>0.88</v>
      </c>
      <c r="K79" s="100">
        <v>256.25</v>
      </c>
      <c r="L79" s="100">
        <v>35.630000000000003</v>
      </c>
      <c r="M79" s="100">
        <v>31.62</v>
      </c>
      <c r="N79" s="100">
        <v>69.400000000000006</v>
      </c>
      <c r="O79" s="100">
        <v>0</v>
      </c>
      <c r="P79" s="100">
        <v>0.39</v>
      </c>
      <c r="Q79" s="100">
        <v>28</v>
      </c>
      <c r="R79" s="6"/>
      <c r="S79" s="6"/>
      <c r="T79" s="156"/>
      <c r="U79" s="6"/>
    </row>
    <row r="80" spans="1:21" customFormat="1">
      <c r="A80" s="163" t="s">
        <v>599</v>
      </c>
      <c r="B80" s="100">
        <v>3.63</v>
      </c>
      <c r="C80" s="100">
        <v>7.11</v>
      </c>
      <c r="D80" s="100">
        <v>5.44</v>
      </c>
      <c r="E80" s="100">
        <v>11.36</v>
      </c>
      <c r="F80" s="100">
        <v>16.64</v>
      </c>
      <c r="G80" s="100">
        <v>51.38</v>
      </c>
      <c r="H80" s="100">
        <v>22.47</v>
      </c>
      <c r="I80" s="100">
        <v>7.87</v>
      </c>
      <c r="J80" s="100">
        <v>0.88</v>
      </c>
      <c r="K80" s="100">
        <v>252.71</v>
      </c>
      <c r="L80" s="100">
        <v>35.4</v>
      </c>
      <c r="M80" s="100">
        <v>32.69</v>
      </c>
      <c r="N80" s="100">
        <v>60.7</v>
      </c>
      <c r="O80" s="100">
        <v>0</v>
      </c>
      <c r="P80" s="100">
        <v>0.42</v>
      </c>
      <c r="Q80" s="100">
        <v>28</v>
      </c>
      <c r="R80" s="6"/>
      <c r="S80" s="6"/>
      <c r="T80" s="156"/>
      <c r="U80" s="6"/>
    </row>
    <row r="81" spans="1:21" customFormat="1">
      <c r="A81" s="163" t="s">
        <v>600</v>
      </c>
      <c r="B81" s="100">
        <v>3.57</v>
      </c>
      <c r="C81" s="100">
        <v>7.85</v>
      </c>
      <c r="D81" s="100">
        <v>6.96</v>
      </c>
      <c r="E81" s="100">
        <v>11.42</v>
      </c>
      <c r="F81" s="100">
        <v>37.1</v>
      </c>
      <c r="G81" s="100">
        <v>51.61</v>
      </c>
      <c r="H81" s="100">
        <v>22.47</v>
      </c>
      <c r="I81" s="100">
        <v>7.22</v>
      </c>
      <c r="J81" s="100">
        <v>0.74</v>
      </c>
      <c r="K81" s="100">
        <v>249.41</v>
      </c>
      <c r="L81" s="100">
        <v>35.130000000000003</v>
      </c>
      <c r="M81" s="100">
        <v>34.03</v>
      </c>
      <c r="N81" s="100">
        <v>30.5</v>
      </c>
      <c r="O81" s="100">
        <v>0</v>
      </c>
      <c r="P81" s="100">
        <v>0.36</v>
      </c>
      <c r="Q81" s="100">
        <v>28</v>
      </c>
      <c r="R81" s="6"/>
      <c r="S81" s="6"/>
      <c r="T81" s="156"/>
      <c r="U81" s="6"/>
    </row>
    <row r="82" spans="1:21" customFormat="1">
      <c r="A82" s="163" t="s">
        <v>601</v>
      </c>
      <c r="B82" s="100">
        <v>5.33</v>
      </c>
      <c r="C82" s="100">
        <v>13.72</v>
      </c>
      <c r="D82" s="100">
        <v>15.48</v>
      </c>
      <c r="E82" s="100">
        <v>13.45</v>
      </c>
      <c r="F82" s="100">
        <v>34.840000000000003</v>
      </c>
      <c r="G82" s="100">
        <v>51.61</v>
      </c>
      <c r="H82" s="100">
        <v>22.47</v>
      </c>
      <c r="I82" s="100">
        <v>7.27</v>
      </c>
      <c r="J82" s="100">
        <v>0.8</v>
      </c>
      <c r="K82" s="100">
        <v>270.19</v>
      </c>
      <c r="L82" s="100">
        <v>34.9</v>
      </c>
      <c r="M82" s="100">
        <v>34.950000000000003</v>
      </c>
      <c r="N82" s="100">
        <v>13.2</v>
      </c>
      <c r="O82" s="100">
        <v>0</v>
      </c>
      <c r="P82" s="100">
        <v>0.37</v>
      </c>
      <c r="Q82" s="100">
        <v>28</v>
      </c>
      <c r="R82" s="6"/>
      <c r="S82" s="6"/>
      <c r="T82" s="156"/>
      <c r="U82" s="6"/>
    </row>
    <row r="83" spans="1:21" customFormat="1">
      <c r="A83" s="163" t="s">
        <v>602</v>
      </c>
      <c r="B83" s="100">
        <v>4.25</v>
      </c>
      <c r="C83" s="100">
        <v>13.08</v>
      </c>
      <c r="D83" s="100">
        <v>15.92</v>
      </c>
      <c r="E83" s="100">
        <v>12.56</v>
      </c>
      <c r="F83" s="100">
        <v>40.049999999999997</v>
      </c>
      <c r="G83" s="100">
        <v>51.61</v>
      </c>
      <c r="H83" s="100">
        <v>22.47</v>
      </c>
      <c r="I83" s="100">
        <v>6.56</v>
      </c>
      <c r="J83" s="100">
        <v>1</v>
      </c>
      <c r="K83" s="100">
        <v>284.52</v>
      </c>
      <c r="L83" s="100">
        <v>34.619999999999997</v>
      </c>
      <c r="M83" s="100">
        <v>36.57</v>
      </c>
      <c r="N83" s="100">
        <v>4.8</v>
      </c>
      <c r="O83" s="100">
        <v>0</v>
      </c>
      <c r="P83" s="100">
        <v>0.35</v>
      </c>
      <c r="Q83" s="100">
        <v>28</v>
      </c>
      <c r="R83" s="6"/>
      <c r="S83" s="6"/>
      <c r="T83" s="156"/>
      <c r="U83" s="6"/>
    </row>
    <row r="84" spans="1:21" customFormat="1">
      <c r="A84" s="163" t="s">
        <v>603</v>
      </c>
      <c r="B84" s="100">
        <v>4.34</v>
      </c>
      <c r="C84" s="100">
        <v>12.61</v>
      </c>
      <c r="D84" s="100">
        <v>14.88</v>
      </c>
      <c r="E84" s="100">
        <v>12.36</v>
      </c>
      <c r="F84" s="100">
        <v>35.86</v>
      </c>
      <c r="G84" s="100">
        <v>56.82</v>
      </c>
      <c r="H84" s="100">
        <v>22.79</v>
      </c>
      <c r="I84" s="100">
        <v>5.37</v>
      </c>
      <c r="J84" s="100">
        <v>1.17</v>
      </c>
      <c r="K84" s="100">
        <v>284.75</v>
      </c>
      <c r="L84" s="100">
        <v>34.28</v>
      </c>
      <c r="M84" s="100">
        <v>37.85</v>
      </c>
      <c r="N84" s="100">
        <v>2.4</v>
      </c>
      <c r="O84" s="100">
        <v>0</v>
      </c>
      <c r="P84" s="100">
        <v>0.36</v>
      </c>
      <c r="Q84" s="100">
        <v>28</v>
      </c>
      <c r="R84" s="6"/>
      <c r="S84" s="6"/>
      <c r="T84" s="156"/>
      <c r="U84" s="6"/>
    </row>
    <row r="85" spans="1:21" customFormat="1">
      <c r="A85" s="163" t="s">
        <v>604</v>
      </c>
      <c r="B85" s="100">
        <v>4.0999999999999996</v>
      </c>
      <c r="C85" s="100">
        <v>12.15</v>
      </c>
      <c r="D85" s="100">
        <v>14.38</v>
      </c>
      <c r="E85" s="100">
        <v>12.83</v>
      </c>
      <c r="F85" s="100">
        <v>36.700000000000003</v>
      </c>
      <c r="G85" s="100">
        <v>57.4</v>
      </c>
      <c r="H85" s="100">
        <v>22.79</v>
      </c>
      <c r="I85" s="100">
        <v>4.9000000000000004</v>
      </c>
      <c r="J85" s="100">
        <v>0.87</v>
      </c>
      <c r="K85" s="100">
        <v>283.16000000000003</v>
      </c>
      <c r="L85" s="100">
        <v>33.97</v>
      </c>
      <c r="M85" s="100">
        <v>38.92</v>
      </c>
      <c r="N85" s="100">
        <v>1.9</v>
      </c>
      <c r="O85" s="100">
        <v>0</v>
      </c>
      <c r="P85" s="100">
        <v>0.41</v>
      </c>
      <c r="Q85" s="100">
        <v>28</v>
      </c>
      <c r="R85" s="6"/>
      <c r="S85" s="6"/>
      <c r="T85" s="156"/>
      <c r="U85" s="6"/>
    </row>
    <row r="86" spans="1:21" customFormat="1">
      <c r="A86" s="163" t="s">
        <v>605</v>
      </c>
      <c r="B86" s="100">
        <v>5.7</v>
      </c>
      <c r="C86" s="100">
        <v>15.24</v>
      </c>
      <c r="D86" s="100">
        <v>17.84</v>
      </c>
      <c r="E86" s="100">
        <v>13.59</v>
      </c>
      <c r="F86" s="100">
        <v>30.84</v>
      </c>
      <c r="G86" s="100">
        <v>57.4</v>
      </c>
      <c r="H86" s="100">
        <v>22.79</v>
      </c>
      <c r="I86" s="100">
        <v>4.99</v>
      </c>
      <c r="J86" s="100">
        <v>1.06</v>
      </c>
      <c r="K86" s="100">
        <v>291.37</v>
      </c>
      <c r="L86" s="100">
        <v>33.700000000000003</v>
      </c>
      <c r="M86" s="100">
        <v>39.799999999999997</v>
      </c>
      <c r="N86" s="100">
        <v>1.7</v>
      </c>
      <c r="O86" s="100">
        <v>0</v>
      </c>
      <c r="P86" s="100">
        <v>0.47</v>
      </c>
      <c r="Q86" s="100">
        <v>28</v>
      </c>
      <c r="R86" s="6"/>
      <c r="S86" s="6"/>
      <c r="T86" s="156"/>
      <c r="U86" s="6"/>
    </row>
    <row r="87" spans="1:21" customFormat="1">
      <c r="A87" s="163" t="s">
        <v>606</v>
      </c>
      <c r="B87" s="100">
        <v>5.75</v>
      </c>
      <c r="C87" s="100">
        <v>16.5</v>
      </c>
      <c r="D87" s="100">
        <v>20.18</v>
      </c>
      <c r="E87" s="100">
        <v>13.34</v>
      </c>
      <c r="F87" s="100">
        <v>32.65</v>
      </c>
      <c r="G87" s="100">
        <v>57.4</v>
      </c>
      <c r="H87" s="100">
        <v>22.79</v>
      </c>
      <c r="I87" s="100">
        <v>6.32</v>
      </c>
      <c r="J87" s="100">
        <v>0.92</v>
      </c>
      <c r="K87" s="100">
        <v>304.70999999999998</v>
      </c>
      <c r="L87" s="100">
        <v>33.58</v>
      </c>
      <c r="M87" s="100">
        <v>40.39</v>
      </c>
      <c r="N87" s="100">
        <v>1.6</v>
      </c>
      <c r="O87" s="100">
        <v>0</v>
      </c>
      <c r="P87" s="100">
        <v>0.5</v>
      </c>
      <c r="Q87" s="100">
        <v>28</v>
      </c>
      <c r="R87" s="6"/>
      <c r="S87" s="6"/>
      <c r="T87" s="156"/>
      <c r="U87" s="6"/>
    </row>
    <row r="88" spans="1:21" customFormat="1">
      <c r="A88" s="163" t="s">
        <v>607</v>
      </c>
      <c r="B88" s="100">
        <v>4.99</v>
      </c>
      <c r="C88" s="100">
        <v>14.74</v>
      </c>
      <c r="D88" s="100">
        <v>17.98</v>
      </c>
      <c r="E88" s="100">
        <v>12.19</v>
      </c>
      <c r="F88" s="100">
        <v>11.47</v>
      </c>
      <c r="G88" s="100">
        <v>58.55</v>
      </c>
      <c r="H88" s="100">
        <v>26.01</v>
      </c>
      <c r="I88" s="100">
        <v>5.14</v>
      </c>
      <c r="J88" s="100">
        <v>0.41</v>
      </c>
      <c r="K88" s="100">
        <v>285.75</v>
      </c>
      <c r="L88" s="100">
        <v>33.28</v>
      </c>
      <c r="M88" s="100">
        <v>42.25</v>
      </c>
      <c r="N88" s="100">
        <v>1.7</v>
      </c>
      <c r="O88" s="100">
        <v>0</v>
      </c>
      <c r="P88" s="100">
        <v>0.48</v>
      </c>
      <c r="Q88" s="100">
        <v>28</v>
      </c>
      <c r="R88" s="6"/>
      <c r="S88" s="6"/>
      <c r="T88" s="156"/>
      <c r="U88" s="6"/>
    </row>
    <row r="89" spans="1:21" customFormat="1">
      <c r="A89" s="163" t="s">
        <v>608</v>
      </c>
      <c r="B89" s="100">
        <v>3.96</v>
      </c>
      <c r="C89" s="100">
        <v>12.16</v>
      </c>
      <c r="D89" s="100">
        <v>14.62</v>
      </c>
      <c r="E89" s="100">
        <v>10.31</v>
      </c>
      <c r="F89" s="100">
        <v>7.64</v>
      </c>
      <c r="G89" s="100">
        <v>58.69</v>
      </c>
      <c r="H89" s="100">
        <v>26.01</v>
      </c>
      <c r="I89" s="100">
        <v>6.73</v>
      </c>
      <c r="J89" s="100">
        <v>0.45</v>
      </c>
      <c r="K89" s="100">
        <v>270.82</v>
      </c>
      <c r="L89" s="100">
        <v>32.9</v>
      </c>
      <c r="M89" s="100">
        <v>43.05</v>
      </c>
      <c r="N89" s="100">
        <v>1.5</v>
      </c>
      <c r="O89" s="100">
        <v>0</v>
      </c>
      <c r="P89" s="100">
        <v>0.48</v>
      </c>
      <c r="Q89" s="100">
        <v>28</v>
      </c>
      <c r="R89" s="6"/>
      <c r="S89" s="6"/>
      <c r="T89" s="156"/>
      <c r="U89" s="6"/>
    </row>
    <row r="90" spans="1:21" customFormat="1">
      <c r="A90" s="163" t="s">
        <v>609</v>
      </c>
      <c r="B90" s="100">
        <v>4.01</v>
      </c>
      <c r="C90" s="100">
        <v>11.78</v>
      </c>
      <c r="D90" s="100">
        <v>13.82</v>
      </c>
      <c r="E90" s="100">
        <v>10</v>
      </c>
      <c r="F90" s="100">
        <v>5.61</v>
      </c>
      <c r="G90" s="100">
        <v>58.69</v>
      </c>
      <c r="H90" s="100">
        <v>26.01</v>
      </c>
      <c r="I90" s="100">
        <v>5.24</v>
      </c>
      <c r="J90" s="100">
        <v>0.59</v>
      </c>
      <c r="K90" s="100">
        <v>292.97000000000003</v>
      </c>
      <c r="L90" s="100">
        <v>32.9</v>
      </c>
      <c r="M90" s="100">
        <v>42.58</v>
      </c>
      <c r="N90" s="100">
        <v>1.3</v>
      </c>
      <c r="O90" s="100">
        <v>0</v>
      </c>
      <c r="P90" s="100">
        <v>0.48</v>
      </c>
      <c r="Q90" s="100">
        <v>28</v>
      </c>
      <c r="R90" s="6"/>
      <c r="S90" s="6"/>
      <c r="T90" s="156"/>
      <c r="U90" s="6"/>
    </row>
    <row r="91" spans="1:21" customFormat="1">
      <c r="A91" s="163" t="s">
        <v>610</v>
      </c>
      <c r="B91" s="100">
        <v>4.0999999999999996</v>
      </c>
      <c r="C91" s="100">
        <v>11.56</v>
      </c>
      <c r="D91" s="100">
        <v>13.24</v>
      </c>
      <c r="E91" s="100">
        <v>9.77</v>
      </c>
      <c r="F91" s="100">
        <v>6.07</v>
      </c>
      <c r="G91" s="100">
        <v>58.69</v>
      </c>
      <c r="H91" s="100">
        <v>26.01</v>
      </c>
      <c r="I91" s="100">
        <v>6.48</v>
      </c>
      <c r="J91" s="100">
        <v>0.36</v>
      </c>
      <c r="K91" s="100">
        <v>255.08</v>
      </c>
      <c r="L91" s="100">
        <v>32.68</v>
      </c>
      <c r="M91" s="100">
        <v>43.26</v>
      </c>
      <c r="N91" s="100">
        <v>1.6</v>
      </c>
      <c r="O91" s="100">
        <v>0</v>
      </c>
      <c r="P91" s="100">
        <v>0.49</v>
      </c>
      <c r="Q91" s="100">
        <v>28</v>
      </c>
      <c r="R91" s="6"/>
      <c r="S91" s="6"/>
      <c r="T91" s="156"/>
      <c r="U91" s="6"/>
    </row>
    <row r="92" spans="1:21" customFormat="1">
      <c r="A92" s="163" t="s">
        <v>611</v>
      </c>
      <c r="B92" s="100">
        <v>4.08</v>
      </c>
      <c r="C92" s="100">
        <v>11.4</v>
      </c>
      <c r="D92" s="100">
        <v>12.97</v>
      </c>
      <c r="E92" s="100">
        <v>10.08</v>
      </c>
      <c r="F92" s="100">
        <v>5.61</v>
      </c>
      <c r="G92" s="100">
        <v>66.83</v>
      </c>
      <c r="H92" s="100">
        <v>29.13</v>
      </c>
      <c r="I92" s="100">
        <v>6.51</v>
      </c>
      <c r="J92" s="100">
        <v>0.52</v>
      </c>
      <c r="K92" s="100">
        <v>274.43</v>
      </c>
      <c r="L92" s="100">
        <v>32.619999999999997</v>
      </c>
      <c r="M92" s="100">
        <v>43.06</v>
      </c>
      <c r="N92" s="100">
        <v>1.1000000000000001</v>
      </c>
      <c r="O92" s="100">
        <v>0</v>
      </c>
      <c r="P92" s="100">
        <v>0.5</v>
      </c>
      <c r="Q92" s="100">
        <v>28</v>
      </c>
      <c r="R92" s="6"/>
      <c r="S92" s="6"/>
      <c r="T92" s="156"/>
      <c r="U92" s="6"/>
    </row>
    <row r="93" spans="1:21" customFormat="1">
      <c r="A93" s="163" t="s">
        <v>612</v>
      </c>
      <c r="B93" s="100">
        <v>4.03</v>
      </c>
      <c r="C93" s="100">
        <v>10.98</v>
      </c>
      <c r="D93" s="100">
        <v>12.24</v>
      </c>
      <c r="E93" s="100">
        <v>9.98</v>
      </c>
      <c r="F93" s="100">
        <v>5.29</v>
      </c>
      <c r="G93" s="100">
        <v>67.73</v>
      </c>
      <c r="H93" s="100">
        <v>29.13</v>
      </c>
      <c r="I93" s="100">
        <v>6.56</v>
      </c>
      <c r="J93" s="100">
        <v>0.46</v>
      </c>
      <c r="K93" s="100">
        <v>259.32</v>
      </c>
      <c r="L93" s="100">
        <v>32.729999999999997</v>
      </c>
      <c r="M93" s="100">
        <v>42.83</v>
      </c>
      <c r="N93" s="100">
        <v>1.5</v>
      </c>
      <c r="O93" s="100">
        <v>0</v>
      </c>
      <c r="P93" s="100">
        <v>0.49</v>
      </c>
      <c r="Q93" s="100">
        <v>28</v>
      </c>
      <c r="R93" s="6"/>
      <c r="S93" s="6"/>
      <c r="T93" s="156"/>
      <c r="U93" s="6"/>
    </row>
    <row r="94" spans="1:21" customFormat="1">
      <c r="A94" s="163" t="s">
        <v>613</v>
      </c>
      <c r="B94" s="100">
        <v>4.09</v>
      </c>
      <c r="C94" s="100">
        <v>10.88</v>
      </c>
      <c r="D94" s="100">
        <v>11.96</v>
      </c>
      <c r="E94" s="100">
        <v>9.7100000000000009</v>
      </c>
      <c r="F94" s="100">
        <v>5.32</v>
      </c>
      <c r="G94" s="100">
        <v>67.73</v>
      </c>
      <c r="H94" s="100">
        <v>29.13</v>
      </c>
      <c r="I94" s="100">
        <v>6.62</v>
      </c>
      <c r="J94" s="100">
        <v>0.36</v>
      </c>
      <c r="K94" s="100">
        <v>269.07</v>
      </c>
      <c r="L94" s="100">
        <v>32.619999999999997</v>
      </c>
      <c r="M94" s="100">
        <v>42.95</v>
      </c>
      <c r="N94" s="100">
        <v>1.8</v>
      </c>
      <c r="O94" s="100">
        <v>0</v>
      </c>
      <c r="P94" s="100">
        <v>0.5</v>
      </c>
      <c r="Q94" s="100">
        <v>28</v>
      </c>
      <c r="R94" s="6"/>
      <c r="S94" s="6"/>
      <c r="T94" s="156"/>
      <c r="U94" s="6"/>
    </row>
    <row r="95" spans="1:21" customFormat="1">
      <c r="A95" s="163" t="s">
        <v>614</v>
      </c>
      <c r="B95" s="100">
        <v>4.74</v>
      </c>
      <c r="C95" s="100">
        <v>12.22</v>
      </c>
      <c r="D95" s="100">
        <v>13.53</v>
      </c>
      <c r="E95" s="100">
        <v>9.83</v>
      </c>
      <c r="F95" s="100">
        <v>4.3600000000000003</v>
      </c>
      <c r="G95" s="100">
        <v>67.73</v>
      </c>
      <c r="H95" s="100">
        <v>29.13</v>
      </c>
      <c r="I95" s="100">
        <v>6.69</v>
      </c>
      <c r="J95" s="100">
        <v>0.83</v>
      </c>
      <c r="K95" s="100">
        <v>306.12</v>
      </c>
      <c r="L95" s="100">
        <v>32.659999999999997</v>
      </c>
      <c r="M95" s="100">
        <v>41.18</v>
      </c>
      <c r="N95" s="100">
        <v>1.5</v>
      </c>
      <c r="O95" s="100">
        <v>0</v>
      </c>
      <c r="P95" s="100">
        <v>0.51</v>
      </c>
      <c r="Q95" s="100">
        <v>28</v>
      </c>
      <c r="R95" s="6"/>
      <c r="S95" s="6"/>
      <c r="T95" s="156"/>
      <c r="U95" s="6"/>
    </row>
    <row r="96" spans="1:21" customFormat="1">
      <c r="A96" s="163" t="s">
        <v>615</v>
      </c>
      <c r="B96" s="100">
        <v>4.6399999999999997</v>
      </c>
      <c r="C96" s="100">
        <v>11.36</v>
      </c>
      <c r="D96" s="100">
        <v>12.03</v>
      </c>
      <c r="E96" s="100">
        <v>10.39</v>
      </c>
      <c r="F96" s="100">
        <v>4.21</v>
      </c>
      <c r="G96" s="100">
        <v>66.239999999999995</v>
      </c>
      <c r="H96" s="100">
        <v>33.770000000000003</v>
      </c>
      <c r="I96" s="100">
        <v>6.71</v>
      </c>
      <c r="J96" s="100">
        <v>1.04</v>
      </c>
      <c r="K96" s="100">
        <v>302.60000000000002</v>
      </c>
      <c r="L96" s="100">
        <v>32.130000000000003</v>
      </c>
      <c r="M96" s="100">
        <v>45.17</v>
      </c>
      <c r="N96" s="100">
        <v>2</v>
      </c>
      <c r="O96" s="100">
        <v>0</v>
      </c>
      <c r="P96" s="100">
        <v>0.53</v>
      </c>
      <c r="Q96" s="100">
        <v>28</v>
      </c>
      <c r="R96" s="6"/>
      <c r="S96" s="6"/>
      <c r="T96" s="156"/>
      <c r="U96" s="6"/>
    </row>
    <row r="97" spans="1:28" customFormat="1">
      <c r="A97" s="163" t="s">
        <v>616</v>
      </c>
      <c r="B97" s="100">
        <v>4.63</v>
      </c>
      <c r="C97" s="100">
        <v>10.97</v>
      </c>
      <c r="D97" s="100">
        <v>11.32</v>
      </c>
      <c r="E97" s="100">
        <v>11.02</v>
      </c>
      <c r="F97" s="100">
        <v>3.35</v>
      </c>
      <c r="G97" s="100">
        <v>66.06</v>
      </c>
      <c r="H97" s="100">
        <v>33.770000000000003</v>
      </c>
      <c r="I97" s="100">
        <v>6.84</v>
      </c>
      <c r="J97" s="100">
        <v>1.03</v>
      </c>
      <c r="K97" s="100">
        <v>298.85000000000002</v>
      </c>
      <c r="L97" s="100">
        <v>31.88</v>
      </c>
      <c r="M97" s="100">
        <v>47.14</v>
      </c>
      <c r="N97" s="100">
        <v>1.9</v>
      </c>
      <c r="O97" s="100">
        <v>0</v>
      </c>
      <c r="P97" s="100">
        <v>0.54</v>
      </c>
      <c r="Q97" s="100">
        <v>28</v>
      </c>
      <c r="R97" s="6"/>
      <c r="S97" s="6"/>
      <c r="T97" s="156"/>
      <c r="U97" s="6"/>
    </row>
    <row r="98" spans="1:28" customFormat="1">
      <c r="A98" s="163" t="s">
        <v>617</v>
      </c>
      <c r="B98" s="100">
        <v>4.7</v>
      </c>
      <c r="C98" s="100">
        <v>10.98</v>
      </c>
      <c r="D98" s="100">
        <v>11.21</v>
      </c>
      <c r="E98" s="100">
        <v>10.5</v>
      </c>
      <c r="F98" s="100">
        <v>3.12</v>
      </c>
      <c r="G98" s="100">
        <v>66.06</v>
      </c>
      <c r="H98" s="100">
        <v>33.770000000000003</v>
      </c>
      <c r="I98" s="100">
        <v>7</v>
      </c>
      <c r="J98" s="100">
        <v>1.01</v>
      </c>
      <c r="K98" s="100">
        <v>297.38</v>
      </c>
      <c r="L98" s="100">
        <v>31.72</v>
      </c>
      <c r="M98" s="100">
        <v>48.22</v>
      </c>
      <c r="N98" s="100">
        <v>1.8</v>
      </c>
      <c r="O98" s="100">
        <v>0</v>
      </c>
      <c r="P98" s="100">
        <v>0.55000000000000004</v>
      </c>
      <c r="Q98" s="100">
        <v>28</v>
      </c>
      <c r="R98" s="6"/>
      <c r="S98" s="6"/>
      <c r="T98" s="156"/>
      <c r="U98" s="6"/>
    </row>
    <row r="99" spans="1:28" customFormat="1">
      <c r="A99" s="163" t="s">
        <v>618</v>
      </c>
      <c r="B99" s="100">
        <v>4.74</v>
      </c>
      <c r="C99" s="100">
        <v>11.14</v>
      </c>
      <c r="D99" s="100">
        <v>11.47</v>
      </c>
      <c r="E99" s="100">
        <v>10.59</v>
      </c>
      <c r="F99" s="100">
        <v>3.24</v>
      </c>
      <c r="G99" s="100">
        <v>66.06</v>
      </c>
      <c r="H99" s="100">
        <v>33.770000000000003</v>
      </c>
      <c r="I99" s="100">
        <v>7.07</v>
      </c>
      <c r="J99" s="100">
        <v>0.75</v>
      </c>
      <c r="K99" s="100">
        <v>298.86</v>
      </c>
      <c r="L99" s="100">
        <v>31.57</v>
      </c>
      <c r="M99" s="100">
        <v>49.21</v>
      </c>
      <c r="N99" s="100">
        <v>2</v>
      </c>
      <c r="O99" s="100">
        <v>0</v>
      </c>
      <c r="P99" s="100">
        <v>0.56000000000000005</v>
      </c>
      <c r="Q99" s="100">
        <v>28</v>
      </c>
      <c r="R99" s="6"/>
      <c r="S99" s="6"/>
      <c r="T99" s="156"/>
      <c r="U99" s="6"/>
    </row>
    <row r="100" spans="1:28" customFormat="1">
      <c r="A100" s="163" t="s">
        <v>619</v>
      </c>
      <c r="B100" s="100">
        <v>5.0199999999999996</v>
      </c>
      <c r="C100" s="100">
        <v>11.56</v>
      </c>
      <c r="D100" s="100">
        <v>11.84</v>
      </c>
      <c r="E100" s="100">
        <v>11.11</v>
      </c>
      <c r="F100" s="100">
        <v>3.45</v>
      </c>
      <c r="G100" s="100">
        <v>81.14</v>
      </c>
      <c r="H100" s="100">
        <v>37.75</v>
      </c>
      <c r="I100" s="100">
        <v>7.13</v>
      </c>
      <c r="J100" s="100">
        <v>0.75</v>
      </c>
      <c r="K100" s="100">
        <v>295.38</v>
      </c>
      <c r="L100" s="100">
        <v>31.46</v>
      </c>
      <c r="M100" s="100">
        <v>49.77</v>
      </c>
      <c r="N100" s="100">
        <v>2</v>
      </c>
      <c r="O100" s="100">
        <v>0</v>
      </c>
      <c r="P100" s="100">
        <v>0.56999999999999995</v>
      </c>
      <c r="Q100" s="100">
        <v>28</v>
      </c>
      <c r="R100" s="6"/>
      <c r="S100" s="6"/>
      <c r="T100" s="156"/>
      <c r="U100" s="6"/>
      <c r="AB100" s="161"/>
    </row>
    <row r="101" spans="1:28" customFormat="1">
      <c r="A101" s="163" t="s">
        <v>620</v>
      </c>
      <c r="B101" s="100">
        <v>4.87</v>
      </c>
      <c r="C101" s="100">
        <v>11.1</v>
      </c>
      <c r="D101" s="100">
        <v>11.18</v>
      </c>
      <c r="E101" s="100">
        <v>11.29</v>
      </c>
      <c r="F101" s="100">
        <v>5.33</v>
      </c>
      <c r="G101" s="100">
        <v>82.82</v>
      </c>
      <c r="H101" s="100">
        <v>37.75</v>
      </c>
      <c r="I101" s="100">
        <v>7.27</v>
      </c>
      <c r="J101" s="100">
        <v>0.57999999999999996</v>
      </c>
      <c r="K101" s="100">
        <v>292.57</v>
      </c>
      <c r="L101" s="100">
        <v>31.37</v>
      </c>
      <c r="M101" s="100">
        <v>50.5</v>
      </c>
      <c r="N101" s="100">
        <v>1.8</v>
      </c>
      <c r="O101" s="100">
        <v>0</v>
      </c>
      <c r="P101" s="100">
        <v>0.57999999999999996</v>
      </c>
      <c r="Q101" s="100">
        <v>28</v>
      </c>
      <c r="R101" s="6"/>
      <c r="S101" s="6"/>
      <c r="T101" s="156"/>
      <c r="U101" s="6"/>
    </row>
    <row r="102" spans="1:28" customFormat="1">
      <c r="A102" s="163" t="s">
        <v>621</v>
      </c>
      <c r="B102" s="100">
        <v>5.46</v>
      </c>
      <c r="C102" s="100">
        <v>11.92</v>
      </c>
      <c r="D102" s="100">
        <v>11.85</v>
      </c>
      <c r="E102" s="100">
        <v>12.35</v>
      </c>
      <c r="F102" s="100">
        <v>11.88</v>
      </c>
      <c r="G102" s="100">
        <v>82.82</v>
      </c>
      <c r="H102" s="100">
        <v>37.75</v>
      </c>
      <c r="I102" s="100">
        <v>7.39</v>
      </c>
      <c r="J102" s="100">
        <v>0.5</v>
      </c>
      <c r="K102" s="100">
        <v>295.22000000000003</v>
      </c>
      <c r="L102" s="100">
        <v>31.26</v>
      </c>
      <c r="M102" s="100">
        <v>51.1</v>
      </c>
      <c r="N102" s="100">
        <v>1.8</v>
      </c>
      <c r="O102" s="100">
        <v>0</v>
      </c>
      <c r="P102" s="100">
        <v>0.59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622</v>
      </c>
      <c r="B103" s="100">
        <v>8.07</v>
      </c>
      <c r="C103" s="100">
        <v>15.02</v>
      </c>
      <c r="D103" s="100">
        <v>13.77</v>
      </c>
      <c r="E103" s="100">
        <v>11.97</v>
      </c>
      <c r="F103" s="100">
        <v>11.1</v>
      </c>
      <c r="G103" s="100">
        <v>82.82</v>
      </c>
      <c r="H103" s="100">
        <v>37.75</v>
      </c>
      <c r="I103" s="100">
        <v>7.51</v>
      </c>
      <c r="J103" s="100">
        <v>0.33</v>
      </c>
      <c r="K103" s="100">
        <v>356.34</v>
      </c>
      <c r="L103" s="100">
        <v>31.08</v>
      </c>
      <c r="M103" s="100">
        <v>51.89</v>
      </c>
      <c r="N103" s="100">
        <v>1.8</v>
      </c>
      <c r="O103" s="100">
        <v>0</v>
      </c>
      <c r="P103" s="100">
        <v>0.56999999999999995</v>
      </c>
      <c r="Q103" s="100">
        <v>28</v>
      </c>
      <c r="R103" s="6"/>
      <c r="S103" s="6"/>
      <c r="T103" s="156"/>
      <c r="U103" s="6"/>
    </row>
    <row r="104" spans="1:28" customFormat="1">
      <c r="A104" s="163" t="s">
        <v>623</v>
      </c>
      <c r="B104" s="100">
        <v>7</v>
      </c>
      <c r="C104" s="100">
        <v>13.59</v>
      </c>
      <c r="D104" s="100">
        <v>12.69</v>
      </c>
      <c r="E104" s="100">
        <v>11.7</v>
      </c>
      <c r="F104" s="100">
        <v>12.23</v>
      </c>
      <c r="G104" s="100">
        <v>78.14</v>
      </c>
      <c r="H104" s="100">
        <v>41.41</v>
      </c>
      <c r="I104" s="100">
        <v>7.19</v>
      </c>
      <c r="J104" s="100">
        <v>0.5</v>
      </c>
      <c r="K104" s="100">
        <v>15.79</v>
      </c>
      <c r="L104" s="100">
        <v>30.74</v>
      </c>
      <c r="M104" s="100">
        <v>53.12</v>
      </c>
      <c r="N104" s="100">
        <v>1.9</v>
      </c>
      <c r="O104" s="100">
        <v>0</v>
      </c>
      <c r="P104" s="100">
        <v>0.56000000000000005</v>
      </c>
      <c r="Q104" s="100">
        <v>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3.44</v>
      </c>
      <c r="C106" s="158">
        <f>MIN(C9:C104)</f>
        <v>6.59</v>
      </c>
      <c r="D106" s="158">
        <f t="shared" ref="D106:Q106" si="0">MIN(D9:D104)</f>
        <v>3.49</v>
      </c>
      <c r="E106" s="158">
        <f t="shared" si="0"/>
        <v>7.19</v>
      </c>
      <c r="F106" s="158">
        <f t="shared" si="0"/>
        <v>2.27</v>
      </c>
      <c r="G106" s="158">
        <f t="shared" si="0"/>
        <v>42.02</v>
      </c>
      <c r="H106" s="158">
        <f t="shared" si="0"/>
        <v>20.61</v>
      </c>
      <c r="I106" s="158">
        <f t="shared" si="0"/>
        <v>4.9000000000000004</v>
      </c>
      <c r="J106" s="158">
        <f t="shared" si="0"/>
        <v>0.1</v>
      </c>
      <c r="K106" s="158">
        <f t="shared" si="0"/>
        <v>15.79</v>
      </c>
      <c r="L106" s="158">
        <f t="shared" si="0"/>
        <v>26.37</v>
      </c>
      <c r="M106" s="158">
        <f t="shared" si="0"/>
        <v>31.26</v>
      </c>
      <c r="N106" s="158">
        <f t="shared" si="0"/>
        <v>1.1000000000000001</v>
      </c>
      <c r="O106" s="158">
        <f t="shared" si="0"/>
        <v>0</v>
      </c>
      <c r="P106" s="158">
        <f t="shared" si="0"/>
        <v>0.35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8.07</v>
      </c>
      <c r="C107" s="157">
        <f t="shared" ref="C107:Q107" si="1">MAX(C9:C104)</f>
        <v>16.5</v>
      </c>
      <c r="D107" s="157">
        <f t="shared" si="1"/>
        <v>20.18</v>
      </c>
      <c r="E107" s="157">
        <f t="shared" si="1"/>
        <v>13.59</v>
      </c>
      <c r="F107" s="157">
        <f t="shared" si="1"/>
        <v>40.049999999999997</v>
      </c>
      <c r="G107" s="157">
        <f t="shared" si="1"/>
        <v>82.82</v>
      </c>
      <c r="H107" s="157">
        <f t="shared" si="1"/>
        <v>41.41</v>
      </c>
      <c r="I107" s="157">
        <f t="shared" si="1"/>
        <v>11.11</v>
      </c>
      <c r="J107" s="157">
        <f t="shared" si="1"/>
        <v>1.54</v>
      </c>
      <c r="K107" s="157">
        <f t="shared" si="1"/>
        <v>356.34</v>
      </c>
      <c r="L107" s="157">
        <f t="shared" si="1"/>
        <v>37.36</v>
      </c>
      <c r="M107" s="157">
        <f t="shared" si="1"/>
        <v>75.459999999999994</v>
      </c>
      <c r="N107" s="157">
        <f t="shared" si="1"/>
        <v>814.4</v>
      </c>
      <c r="O107" s="157">
        <f t="shared" si="1"/>
        <v>0</v>
      </c>
      <c r="P107" s="157">
        <f t="shared" si="1"/>
        <v>0.67</v>
      </c>
      <c r="Q107" s="157">
        <f t="shared" si="1"/>
        <v>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4.4023958333333333</v>
      </c>
      <c r="C108" s="158">
        <f t="shared" ref="C108:Q108" si="2">AVERAGE(C9:C104)</f>
        <v>8.7709374999999987</v>
      </c>
      <c r="D108" s="158">
        <f t="shared" si="2"/>
        <v>7.4441666666666704</v>
      </c>
      <c r="E108" s="158">
        <f t="shared" si="2"/>
        <v>9.092187500000005</v>
      </c>
      <c r="F108" s="158">
        <f t="shared" si="2"/>
        <v>8.2794791666666701</v>
      </c>
      <c r="G108" s="158">
        <f t="shared" si="2"/>
        <v>54.801666666666655</v>
      </c>
      <c r="H108" s="158">
        <f t="shared" si="2"/>
        <v>26.156354166666674</v>
      </c>
      <c r="I108" s="158">
        <f t="shared" si="2"/>
        <v>7.4241666666666681</v>
      </c>
      <c r="J108" s="158">
        <f t="shared" si="2"/>
        <v>0.69249999999999989</v>
      </c>
      <c r="K108" s="158">
        <f t="shared" si="2"/>
        <v>254.63291666666666</v>
      </c>
      <c r="L108" s="158">
        <f t="shared" si="2"/>
        <v>32.370520833333323</v>
      </c>
      <c r="M108" s="158">
        <f t="shared" si="2"/>
        <v>49.026979166666685</v>
      </c>
      <c r="N108" s="158">
        <f t="shared" si="2"/>
        <v>144.47187499999998</v>
      </c>
      <c r="O108" s="158">
        <f t="shared" si="2"/>
        <v>0</v>
      </c>
      <c r="P108" s="158">
        <f t="shared" si="2"/>
        <v>0.51374999999999993</v>
      </c>
      <c r="Q108" s="158">
        <f t="shared" si="2"/>
        <v>28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0.84086014206213866</v>
      </c>
      <c r="C109" s="158">
        <f t="shared" ref="C109:Q109" si="3">STDEV(C9:C104)</f>
        <v>2.2815876642673447</v>
      </c>
      <c r="D109" s="158">
        <f t="shared" si="3"/>
        <v>3.8810719264457805</v>
      </c>
      <c r="E109" s="158">
        <f t="shared" si="3"/>
        <v>1.6039091739116056</v>
      </c>
      <c r="F109" s="158">
        <f t="shared" si="3"/>
        <v>8.6698471266546182</v>
      </c>
      <c r="G109" s="158">
        <f t="shared" si="3"/>
        <v>8.9645751555386273</v>
      </c>
      <c r="H109" s="158">
        <f t="shared" si="3"/>
        <v>4.0636058967094009</v>
      </c>
      <c r="I109" s="158">
        <f t="shared" si="3"/>
        <v>1.2456346230075035</v>
      </c>
      <c r="J109" s="158">
        <f t="shared" si="3"/>
        <v>0.37421074838989671</v>
      </c>
      <c r="K109" s="158">
        <f t="shared" si="3"/>
        <v>45.864014305832846</v>
      </c>
      <c r="L109" s="158">
        <f t="shared" si="3"/>
        <v>3.4856247253365824</v>
      </c>
      <c r="M109" s="158">
        <f t="shared" si="3"/>
        <v>13.805167005207284</v>
      </c>
      <c r="N109" s="158">
        <f t="shared" si="3"/>
        <v>220.16072918289063</v>
      </c>
      <c r="O109" s="158">
        <f t="shared" si="3"/>
        <v>0</v>
      </c>
      <c r="P109" s="158">
        <f t="shared" si="3"/>
        <v>7.3788460087640451E-2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K10" sqref="K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624</v>
      </c>
      <c r="B9" s="100">
        <v>7.78</v>
      </c>
      <c r="C9" s="100">
        <v>12.88</v>
      </c>
      <c r="D9" s="100">
        <v>10.130000000000001</v>
      </c>
      <c r="E9" s="100">
        <v>14.3</v>
      </c>
      <c r="F9" s="100">
        <v>7.23</v>
      </c>
      <c r="G9" s="100">
        <v>77.55</v>
      </c>
      <c r="H9" s="100">
        <v>41.41</v>
      </c>
      <c r="I9" s="100">
        <v>6.87</v>
      </c>
      <c r="J9" s="100">
        <v>0.93</v>
      </c>
      <c r="K9" s="100">
        <v>40.68</v>
      </c>
      <c r="L9" s="100">
        <v>30.46</v>
      </c>
      <c r="M9" s="100">
        <v>53.93</v>
      </c>
      <c r="N9" s="100">
        <v>2</v>
      </c>
      <c r="O9" s="100">
        <v>0</v>
      </c>
      <c r="P9" s="100">
        <v>0.57999999999999996</v>
      </c>
      <c r="Q9" s="100">
        <v>28</v>
      </c>
      <c r="R9" s="6"/>
      <c r="S9" s="6"/>
      <c r="T9" s="156"/>
      <c r="U9" s="6"/>
    </row>
    <row r="10" spans="1:21" customFormat="1">
      <c r="A10" s="163" t="s">
        <v>625</v>
      </c>
      <c r="B10" s="100">
        <v>7.25</v>
      </c>
      <c r="C10" s="100">
        <v>12.03</v>
      </c>
      <c r="D10" s="100">
        <v>9.32</v>
      </c>
      <c r="E10" s="100">
        <v>12.82</v>
      </c>
      <c r="F10" s="100">
        <v>5.07</v>
      </c>
      <c r="G10" s="100">
        <v>77.55</v>
      </c>
      <c r="H10" s="100">
        <v>41.41</v>
      </c>
      <c r="I10" s="100">
        <v>6.99</v>
      </c>
      <c r="J10" s="100">
        <v>0.87</v>
      </c>
      <c r="K10" s="100">
        <v>36.43</v>
      </c>
      <c r="L10" s="100">
        <v>30.07</v>
      </c>
      <c r="M10" s="100">
        <v>54.39</v>
      </c>
      <c r="N10" s="100">
        <v>2.1</v>
      </c>
      <c r="O10" s="100">
        <v>0</v>
      </c>
      <c r="P10" s="100">
        <v>0.56999999999999995</v>
      </c>
      <c r="Q10" s="100">
        <v>28</v>
      </c>
      <c r="R10" s="6"/>
      <c r="S10" s="6"/>
      <c r="T10" s="156"/>
      <c r="U10" s="6"/>
    </row>
    <row r="11" spans="1:21" customFormat="1">
      <c r="A11" s="163" t="s">
        <v>626</v>
      </c>
      <c r="B11" s="100">
        <v>7.36</v>
      </c>
      <c r="C11" s="100">
        <v>12.71</v>
      </c>
      <c r="D11" s="100">
        <v>10.45</v>
      </c>
      <c r="E11" s="100">
        <v>11.49</v>
      </c>
      <c r="F11" s="100">
        <v>7.92</v>
      </c>
      <c r="G11" s="100">
        <v>77.55</v>
      </c>
      <c r="H11" s="100">
        <v>41.41</v>
      </c>
      <c r="I11" s="100">
        <v>7.68</v>
      </c>
      <c r="J11" s="100">
        <v>0.31</v>
      </c>
      <c r="K11" s="100">
        <v>29.05</v>
      </c>
      <c r="L11" s="100">
        <v>29.75</v>
      </c>
      <c r="M11" s="100">
        <v>55.89</v>
      </c>
      <c r="N11" s="100">
        <v>1.9</v>
      </c>
      <c r="O11" s="100">
        <v>0</v>
      </c>
      <c r="P11" s="100">
        <v>0.51</v>
      </c>
      <c r="Q11" s="100">
        <v>28</v>
      </c>
      <c r="R11" s="6"/>
      <c r="S11" s="6"/>
      <c r="T11" s="156"/>
      <c r="U11" s="6"/>
    </row>
    <row r="12" spans="1:21" customFormat="1">
      <c r="A12" s="163" t="s">
        <v>627</v>
      </c>
      <c r="B12" s="100">
        <v>6.46</v>
      </c>
      <c r="C12" s="100">
        <v>11.94</v>
      </c>
      <c r="D12" s="100">
        <v>10.35</v>
      </c>
      <c r="E12" s="100">
        <v>11.9</v>
      </c>
      <c r="F12" s="100">
        <v>10.77</v>
      </c>
      <c r="G12" s="100">
        <v>72.39</v>
      </c>
      <c r="H12" s="100">
        <v>34.94</v>
      </c>
      <c r="I12" s="100">
        <v>7.33</v>
      </c>
      <c r="J12" s="100">
        <v>0.01</v>
      </c>
      <c r="K12" s="100">
        <v>304.48</v>
      </c>
      <c r="L12" s="100">
        <v>29.63</v>
      </c>
      <c r="M12" s="100">
        <v>57.27</v>
      </c>
      <c r="N12" s="100">
        <v>1.7</v>
      </c>
      <c r="O12" s="100">
        <v>0</v>
      </c>
      <c r="P12" s="100">
        <v>0.47</v>
      </c>
      <c r="Q12" s="100">
        <v>28</v>
      </c>
      <c r="R12" s="6"/>
      <c r="S12" s="6"/>
      <c r="T12" s="156"/>
      <c r="U12" s="6"/>
    </row>
    <row r="13" spans="1:21" customFormat="1">
      <c r="A13" s="163" t="s">
        <v>628</v>
      </c>
      <c r="B13" s="100">
        <v>5.74</v>
      </c>
      <c r="C13" s="100">
        <v>10.19</v>
      </c>
      <c r="D13" s="100">
        <v>8.1</v>
      </c>
      <c r="E13" s="100">
        <v>11.16</v>
      </c>
      <c r="F13" s="100">
        <v>5.29</v>
      </c>
      <c r="G13" s="100">
        <v>71.739999999999995</v>
      </c>
      <c r="H13" s="100">
        <v>34.94</v>
      </c>
      <c r="I13" s="100">
        <v>6.74</v>
      </c>
      <c r="J13" s="100">
        <v>0.27</v>
      </c>
      <c r="K13" s="100">
        <v>190.45</v>
      </c>
      <c r="L13" s="100">
        <v>28.92</v>
      </c>
      <c r="M13" s="100">
        <v>61.8</v>
      </c>
      <c r="N13" s="100">
        <v>2.2000000000000002</v>
      </c>
      <c r="O13" s="100">
        <v>0</v>
      </c>
      <c r="P13" s="100">
        <v>0.54</v>
      </c>
      <c r="Q13" s="100">
        <v>28</v>
      </c>
      <c r="R13" s="6"/>
      <c r="S13" s="6"/>
      <c r="T13" s="156"/>
      <c r="U13" s="6"/>
    </row>
    <row r="14" spans="1:21" customFormat="1">
      <c r="A14" s="163" t="s">
        <v>629</v>
      </c>
      <c r="B14" s="100">
        <v>5.55</v>
      </c>
      <c r="C14" s="100">
        <v>9.69</v>
      </c>
      <c r="D14" s="100">
        <v>7.44</v>
      </c>
      <c r="E14" s="100">
        <v>10.89</v>
      </c>
      <c r="F14" s="100">
        <v>6.87</v>
      </c>
      <c r="G14" s="100">
        <v>71.739999999999995</v>
      </c>
      <c r="H14" s="100">
        <v>34.94</v>
      </c>
      <c r="I14" s="100">
        <v>6.45</v>
      </c>
      <c r="J14" s="100">
        <v>0.12</v>
      </c>
      <c r="K14" s="100">
        <v>46.71</v>
      </c>
      <c r="L14" s="100">
        <v>28.57</v>
      </c>
      <c r="M14" s="100">
        <v>63.25</v>
      </c>
      <c r="N14" s="100">
        <v>1.6</v>
      </c>
      <c r="O14" s="100">
        <v>0</v>
      </c>
      <c r="P14" s="100">
        <v>0.5</v>
      </c>
      <c r="Q14" s="100">
        <v>28</v>
      </c>
      <c r="R14" s="6"/>
      <c r="S14" s="6"/>
      <c r="T14" s="156"/>
      <c r="U14" s="6"/>
    </row>
    <row r="15" spans="1:21" customFormat="1">
      <c r="A15" s="163" t="s">
        <v>630</v>
      </c>
      <c r="B15" s="100">
        <v>6.21</v>
      </c>
      <c r="C15" s="100">
        <v>11.4</v>
      </c>
      <c r="D15" s="100">
        <v>9.69</v>
      </c>
      <c r="E15" s="100">
        <v>10.89</v>
      </c>
      <c r="F15" s="100">
        <v>5.15</v>
      </c>
      <c r="G15" s="100">
        <v>71.739999999999995</v>
      </c>
      <c r="H15" s="100">
        <v>34.94</v>
      </c>
      <c r="I15" s="100">
        <v>7.06</v>
      </c>
      <c r="J15" s="100">
        <v>0.16</v>
      </c>
      <c r="K15" s="100">
        <v>121.98</v>
      </c>
      <c r="L15" s="100">
        <v>28.74</v>
      </c>
      <c r="M15" s="100">
        <v>62.92</v>
      </c>
      <c r="N15" s="100">
        <v>1.5</v>
      </c>
      <c r="O15" s="100">
        <v>0</v>
      </c>
      <c r="P15" s="100">
        <v>0.5</v>
      </c>
      <c r="Q15" s="100">
        <v>28</v>
      </c>
      <c r="R15" s="6"/>
      <c r="S15" s="6"/>
      <c r="T15" s="156"/>
      <c r="U15" s="6"/>
    </row>
    <row r="16" spans="1:21" customFormat="1">
      <c r="A16" s="163" t="s">
        <v>631</v>
      </c>
      <c r="B16" s="100">
        <v>5.86</v>
      </c>
      <c r="C16" s="100">
        <v>10.02</v>
      </c>
      <c r="D16" s="100">
        <v>7.6</v>
      </c>
      <c r="E16" s="100">
        <v>10.56</v>
      </c>
      <c r="F16" s="100">
        <v>3.53</v>
      </c>
      <c r="G16" s="100">
        <v>61.18</v>
      </c>
      <c r="H16" s="100">
        <v>35.06</v>
      </c>
      <c r="I16" s="100">
        <v>6.6</v>
      </c>
      <c r="J16" s="100">
        <v>0.21</v>
      </c>
      <c r="K16" s="100">
        <v>180.7</v>
      </c>
      <c r="L16" s="100">
        <v>28.26</v>
      </c>
      <c r="M16" s="100">
        <v>66.16</v>
      </c>
      <c r="N16" s="100">
        <v>1.9</v>
      </c>
      <c r="O16" s="100">
        <v>0</v>
      </c>
      <c r="P16" s="100">
        <v>0.53</v>
      </c>
      <c r="Q16" s="100">
        <v>28</v>
      </c>
      <c r="R16" s="6"/>
      <c r="S16" s="6"/>
      <c r="T16" s="156"/>
      <c r="U16" s="6"/>
    </row>
    <row r="17" spans="1:21" customFormat="1">
      <c r="A17" s="163" t="s">
        <v>632</v>
      </c>
      <c r="B17" s="100">
        <v>5.66</v>
      </c>
      <c r="C17" s="100">
        <v>9.5</v>
      </c>
      <c r="D17" s="100">
        <v>6.92</v>
      </c>
      <c r="E17" s="100">
        <v>7.7</v>
      </c>
      <c r="F17" s="100">
        <v>4.75</v>
      </c>
      <c r="G17" s="100">
        <v>59.85</v>
      </c>
      <c r="H17" s="100">
        <v>35.06</v>
      </c>
      <c r="I17" s="100">
        <v>6.68</v>
      </c>
      <c r="J17" s="100">
        <v>0.24</v>
      </c>
      <c r="K17" s="100">
        <v>202.83</v>
      </c>
      <c r="L17" s="100">
        <v>27.91</v>
      </c>
      <c r="M17" s="100">
        <v>67.510000000000005</v>
      </c>
      <c r="N17" s="100">
        <v>1.9</v>
      </c>
      <c r="O17" s="100">
        <v>0</v>
      </c>
      <c r="P17" s="100">
        <v>0.48</v>
      </c>
      <c r="Q17" s="100">
        <v>28</v>
      </c>
      <c r="R17" s="6"/>
      <c r="S17" s="6"/>
      <c r="T17" s="156"/>
      <c r="U17" s="6"/>
    </row>
    <row r="18" spans="1:21" customFormat="1">
      <c r="A18" s="163" t="s">
        <v>633</v>
      </c>
      <c r="B18" s="100">
        <v>5.71</v>
      </c>
      <c r="C18" s="100">
        <v>9.0500000000000007</v>
      </c>
      <c r="D18" s="100">
        <v>5.97</v>
      </c>
      <c r="E18" s="100">
        <v>8.34</v>
      </c>
      <c r="F18" s="100">
        <v>5.14</v>
      </c>
      <c r="G18" s="100">
        <v>59.85</v>
      </c>
      <c r="H18" s="100">
        <v>35.06</v>
      </c>
      <c r="I18" s="100">
        <v>6.98</v>
      </c>
      <c r="J18" s="100">
        <v>0.15</v>
      </c>
      <c r="K18" s="100">
        <v>174.8</v>
      </c>
      <c r="L18" s="100">
        <v>28.23</v>
      </c>
      <c r="M18" s="100">
        <v>66.03</v>
      </c>
      <c r="N18" s="100">
        <v>1.7</v>
      </c>
      <c r="O18" s="100">
        <v>0</v>
      </c>
      <c r="P18" s="100">
        <v>0.49</v>
      </c>
      <c r="Q18" s="100">
        <v>28</v>
      </c>
      <c r="R18" s="6"/>
      <c r="S18" s="6"/>
      <c r="T18" s="156"/>
      <c r="U18" s="6"/>
    </row>
    <row r="19" spans="1:21" customFormat="1">
      <c r="A19" s="163" t="s">
        <v>634</v>
      </c>
      <c r="B19" s="100">
        <v>5.65</v>
      </c>
      <c r="C19" s="100">
        <v>8.9499999999999993</v>
      </c>
      <c r="D19" s="100">
        <v>5.88</v>
      </c>
      <c r="E19" s="100">
        <v>8.3000000000000007</v>
      </c>
      <c r="F19" s="100">
        <v>6.65</v>
      </c>
      <c r="G19" s="100">
        <v>59.85</v>
      </c>
      <c r="H19" s="100">
        <v>35.06</v>
      </c>
      <c r="I19" s="100">
        <v>6.64</v>
      </c>
      <c r="J19" s="100">
        <v>0.09</v>
      </c>
      <c r="K19" s="100">
        <v>205.91</v>
      </c>
      <c r="L19" s="100">
        <v>28.26</v>
      </c>
      <c r="M19" s="100">
        <v>65.790000000000006</v>
      </c>
      <c r="N19" s="100">
        <v>1.6</v>
      </c>
      <c r="O19" s="100">
        <v>0</v>
      </c>
      <c r="P19" s="100">
        <v>0.5</v>
      </c>
      <c r="Q19" s="100">
        <v>28</v>
      </c>
      <c r="R19" s="6"/>
      <c r="S19" s="6"/>
      <c r="T19" s="156"/>
      <c r="U19" s="6"/>
    </row>
    <row r="20" spans="1:21" customFormat="1">
      <c r="A20" s="163" t="s">
        <v>635</v>
      </c>
      <c r="B20" s="100">
        <v>5.47</v>
      </c>
      <c r="C20" s="100">
        <v>8.64</v>
      </c>
      <c r="D20" s="100">
        <v>5.56</v>
      </c>
      <c r="E20" s="100">
        <v>8.19</v>
      </c>
      <c r="F20" s="100">
        <v>8.0399999999999991</v>
      </c>
      <c r="G20" s="100">
        <v>59.99</v>
      </c>
      <c r="H20" s="100">
        <v>31.38</v>
      </c>
      <c r="I20" s="100">
        <v>6.96</v>
      </c>
      <c r="J20" s="100">
        <v>0.35</v>
      </c>
      <c r="K20" s="100">
        <v>254.68</v>
      </c>
      <c r="L20" s="100">
        <v>28.48</v>
      </c>
      <c r="M20" s="100">
        <v>63.23</v>
      </c>
      <c r="N20" s="100">
        <v>1.3</v>
      </c>
      <c r="O20" s="100">
        <v>0</v>
      </c>
      <c r="P20" s="100">
        <v>0.47</v>
      </c>
      <c r="Q20" s="100">
        <v>28</v>
      </c>
      <c r="R20" s="6"/>
      <c r="S20" s="6"/>
      <c r="T20" s="156"/>
      <c r="U20" s="6"/>
    </row>
    <row r="21" spans="1:21" customFormat="1">
      <c r="A21" s="163" t="s">
        <v>636</v>
      </c>
      <c r="B21" s="100">
        <v>5.73</v>
      </c>
      <c r="C21" s="100">
        <v>8.69</v>
      </c>
      <c r="D21" s="100">
        <v>5.24</v>
      </c>
      <c r="E21" s="100">
        <v>8.27</v>
      </c>
      <c r="F21" s="100">
        <v>4.47</v>
      </c>
      <c r="G21" s="100">
        <v>60.01</v>
      </c>
      <c r="H21" s="100">
        <v>31.38</v>
      </c>
      <c r="I21" s="100">
        <v>6.99</v>
      </c>
      <c r="J21" s="100">
        <v>0.48</v>
      </c>
      <c r="K21" s="100">
        <v>248.84</v>
      </c>
      <c r="L21" s="100">
        <v>28.76</v>
      </c>
      <c r="M21" s="100">
        <v>60.25</v>
      </c>
      <c r="N21" s="100">
        <v>1.4</v>
      </c>
      <c r="O21" s="100">
        <v>0</v>
      </c>
      <c r="P21" s="100">
        <v>0.5</v>
      </c>
      <c r="Q21" s="100">
        <v>28</v>
      </c>
      <c r="R21" s="6"/>
      <c r="S21" s="6"/>
      <c r="T21" s="156"/>
      <c r="U21" s="6"/>
    </row>
    <row r="22" spans="1:21" customFormat="1">
      <c r="A22" s="163" t="s">
        <v>637</v>
      </c>
      <c r="B22" s="100">
        <v>5.56</v>
      </c>
      <c r="C22" s="100">
        <v>8.3699999999999992</v>
      </c>
      <c r="D22" s="100">
        <v>4.9000000000000004</v>
      </c>
      <c r="E22" s="100">
        <v>8.0299999999999994</v>
      </c>
      <c r="F22" s="100">
        <v>7.29</v>
      </c>
      <c r="G22" s="100">
        <v>60.01</v>
      </c>
      <c r="H22" s="100">
        <v>31.38</v>
      </c>
      <c r="I22" s="100">
        <v>6.89</v>
      </c>
      <c r="J22" s="100">
        <v>0.36</v>
      </c>
      <c r="K22" s="100">
        <v>253.39</v>
      </c>
      <c r="L22" s="100">
        <v>28.81</v>
      </c>
      <c r="M22" s="100">
        <v>60.46</v>
      </c>
      <c r="N22" s="100">
        <v>1.7</v>
      </c>
      <c r="O22" s="100">
        <v>0</v>
      </c>
      <c r="P22" s="100">
        <v>0.46</v>
      </c>
      <c r="Q22" s="100">
        <v>28</v>
      </c>
      <c r="R22" s="6"/>
      <c r="S22" s="6"/>
      <c r="T22" s="156"/>
      <c r="U22" s="6"/>
    </row>
    <row r="23" spans="1:21" customFormat="1">
      <c r="A23" s="163" t="s">
        <v>638</v>
      </c>
      <c r="B23" s="100">
        <v>5.2</v>
      </c>
      <c r="C23" s="100">
        <v>7.81</v>
      </c>
      <c r="D23" s="100">
        <v>4.37</v>
      </c>
      <c r="E23" s="100">
        <v>7.86</v>
      </c>
      <c r="F23" s="100">
        <v>8.4600000000000009</v>
      </c>
      <c r="G23" s="100">
        <v>60.01</v>
      </c>
      <c r="H23" s="100">
        <v>31.38</v>
      </c>
      <c r="I23" s="100">
        <v>7.1</v>
      </c>
      <c r="J23" s="100">
        <v>0.21</v>
      </c>
      <c r="K23" s="100">
        <v>181.76</v>
      </c>
      <c r="L23" s="100">
        <v>28.74</v>
      </c>
      <c r="M23" s="100">
        <v>61.77</v>
      </c>
      <c r="N23" s="100">
        <v>2</v>
      </c>
      <c r="O23" s="100">
        <v>0</v>
      </c>
      <c r="P23" s="100">
        <v>0.43</v>
      </c>
      <c r="Q23" s="100">
        <v>28</v>
      </c>
      <c r="R23" s="6"/>
      <c r="S23" s="6"/>
      <c r="T23" s="156"/>
      <c r="U23" s="6"/>
    </row>
    <row r="24" spans="1:21" customFormat="1">
      <c r="A24" s="163" t="s">
        <v>639</v>
      </c>
      <c r="B24" s="100">
        <v>5.27</v>
      </c>
      <c r="C24" s="100">
        <v>8.33</v>
      </c>
      <c r="D24" s="100">
        <v>5.28</v>
      </c>
      <c r="E24" s="100">
        <v>7.94</v>
      </c>
      <c r="F24" s="100">
        <v>3.79</v>
      </c>
      <c r="G24" s="100">
        <v>54.06</v>
      </c>
      <c r="H24" s="100">
        <v>29.29</v>
      </c>
      <c r="I24" s="100">
        <v>6.84</v>
      </c>
      <c r="J24" s="100">
        <v>0.1</v>
      </c>
      <c r="K24" s="100">
        <v>189.03</v>
      </c>
      <c r="L24" s="100">
        <v>28.42</v>
      </c>
      <c r="M24" s="100">
        <v>64.069999999999993</v>
      </c>
      <c r="N24" s="100">
        <v>2</v>
      </c>
      <c r="O24" s="100">
        <v>0</v>
      </c>
      <c r="P24" s="100">
        <v>0.46</v>
      </c>
      <c r="Q24" s="100">
        <v>28</v>
      </c>
      <c r="R24" s="6"/>
      <c r="S24" s="6"/>
      <c r="T24" s="156"/>
      <c r="U24" s="6"/>
    </row>
    <row r="25" spans="1:21" customFormat="1">
      <c r="A25" s="163" t="s">
        <v>640</v>
      </c>
      <c r="B25" s="100">
        <v>5.0999999999999996</v>
      </c>
      <c r="C25" s="100">
        <v>8.56</v>
      </c>
      <c r="D25" s="100">
        <v>5.97</v>
      </c>
      <c r="E25" s="100">
        <v>8.0299999999999994</v>
      </c>
      <c r="F25" s="100">
        <v>2.99</v>
      </c>
      <c r="G25" s="100">
        <v>53.31</v>
      </c>
      <c r="H25" s="100">
        <v>29.29</v>
      </c>
      <c r="I25" s="100">
        <v>6.57</v>
      </c>
      <c r="J25" s="100">
        <v>0.2</v>
      </c>
      <c r="K25" s="100">
        <v>192.5</v>
      </c>
      <c r="L25" s="100">
        <v>28.24</v>
      </c>
      <c r="M25" s="100">
        <v>66.45</v>
      </c>
      <c r="N25" s="100">
        <v>2</v>
      </c>
      <c r="O25" s="100">
        <v>0</v>
      </c>
      <c r="P25" s="100">
        <v>0.41</v>
      </c>
      <c r="Q25" s="100">
        <v>28</v>
      </c>
      <c r="R25" s="6"/>
      <c r="S25" s="6"/>
      <c r="T25" s="156"/>
      <c r="U25" s="6"/>
    </row>
    <row r="26" spans="1:21" customFormat="1">
      <c r="A26" s="163" t="s">
        <v>641</v>
      </c>
      <c r="B26" s="100">
        <v>4.8</v>
      </c>
      <c r="C26" s="100">
        <v>8.43</v>
      </c>
      <c r="D26" s="100">
        <v>6.17</v>
      </c>
      <c r="E26" s="100">
        <v>8.39</v>
      </c>
      <c r="F26" s="100">
        <v>2.52</v>
      </c>
      <c r="G26" s="100">
        <v>53.31</v>
      </c>
      <c r="H26" s="100">
        <v>29.29</v>
      </c>
      <c r="I26" s="100">
        <v>6.98</v>
      </c>
      <c r="J26" s="100">
        <v>0.1</v>
      </c>
      <c r="K26" s="100">
        <v>197.15</v>
      </c>
      <c r="L26" s="100">
        <v>27.89</v>
      </c>
      <c r="M26" s="100">
        <v>67.28</v>
      </c>
      <c r="N26" s="100">
        <v>1.9</v>
      </c>
      <c r="O26" s="100">
        <v>0</v>
      </c>
      <c r="P26" s="100">
        <v>0.4</v>
      </c>
      <c r="Q26" s="100">
        <v>28</v>
      </c>
      <c r="R26" s="6"/>
      <c r="S26" s="6"/>
      <c r="T26" s="156"/>
      <c r="U26" s="6"/>
    </row>
    <row r="27" spans="1:21" customFormat="1">
      <c r="A27" s="163" t="s">
        <v>642</v>
      </c>
      <c r="B27" s="100">
        <v>4.57</v>
      </c>
      <c r="C27" s="100">
        <v>8.2100000000000009</v>
      </c>
      <c r="D27" s="100">
        <v>6.11</v>
      </c>
      <c r="E27" s="100">
        <v>8.14</v>
      </c>
      <c r="F27" s="100">
        <v>2.56</v>
      </c>
      <c r="G27" s="100">
        <v>53.31</v>
      </c>
      <c r="H27" s="100">
        <v>29.29</v>
      </c>
      <c r="I27" s="100">
        <v>6.86</v>
      </c>
      <c r="J27" s="100">
        <v>0.15</v>
      </c>
      <c r="K27" s="100">
        <v>200.92</v>
      </c>
      <c r="L27" s="100">
        <v>27.86</v>
      </c>
      <c r="M27" s="100">
        <v>67.53</v>
      </c>
      <c r="N27" s="100">
        <v>1.8</v>
      </c>
      <c r="O27" s="100">
        <v>0</v>
      </c>
      <c r="P27" s="100">
        <v>0.37</v>
      </c>
      <c r="Q27" s="100">
        <v>28</v>
      </c>
      <c r="R27" s="6"/>
      <c r="S27" s="6"/>
      <c r="T27" s="156"/>
      <c r="U27" s="6"/>
    </row>
    <row r="28" spans="1:21" customFormat="1">
      <c r="A28" s="163" t="s">
        <v>643</v>
      </c>
      <c r="B28" s="100">
        <v>4.4000000000000004</v>
      </c>
      <c r="C28" s="100">
        <v>8.09</v>
      </c>
      <c r="D28" s="100">
        <v>6.14</v>
      </c>
      <c r="E28" s="100">
        <v>8.2899999999999991</v>
      </c>
      <c r="F28" s="100">
        <v>2.48</v>
      </c>
      <c r="G28" s="100">
        <v>47.49</v>
      </c>
      <c r="H28" s="100">
        <v>26.62</v>
      </c>
      <c r="I28" s="100">
        <v>6.69</v>
      </c>
      <c r="J28" s="100">
        <v>0.25</v>
      </c>
      <c r="K28" s="100">
        <v>180.76</v>
      </c>
      <c r="L28" s="100">
        <v>27.93</v>
      </c>
      <c r="M28" s="100">
        <v>68.2</v>
      </c>
      <c r="N28" s="100">
        <v>1.8</v>
      </c>
      <c r="O28" s="100">
        <v>0</v>
      </c>
      <c r="P28" s="100">
        <v>0.37</v>
      </c>
      <c r="Q28" s="100">
        <v>28</v>
      </c>
      <c r="R28" s="6"/>
      <c r="S28" s="6"/>
      <c r="T28" s="156"/>
      <c r="U28" s="6"/>
    </row>
    <row r="29" spans="1:21" customFormat="1">
      <c r="A29" s="163" t="s">
        <v>644</v>
      </c>
      <c r="B29" s="100">
        <v>4.3099999999999996</v>
      </c>
      <c r="C29" s="100">
        <v>7.94</v>
      </c>
      <c r="D29" s="100">
        <v>5.99</v>
      </c>
      <c r="E29" s="100">
        <v>8.35</v>
      </c>
      <c r="F29" s="100">
        <v>2.4500000000000002</v>
      </c>
      <c r="G29" s="100">
        <v>46.76</v>
      </c>
      <c r="H29" s="100">
        <v>26.62</v>
      </c>
      <c r="I29" s="100">
        <v>6.55</v>
      </c>
      <c r="J29" s="100">
        <v>0.12</v>
      </c>
      <c r="K29" s="100">
        <v>176.74</v>
      </c>
      <c r="L29" s="100">
        <v>27.45</v>
      </c>
      <c r="M29" s="100">
        <v>70.58</v>
      </c>
      <c r="N29" s="100">
        <v>2.2000000000000002</v>
      </c>
      <c r="O29" s="100">
        <v>0</v>
      </c>
      <c r="P29" s="100">
        <v>0.35</v>
      </c>
      <c r="Q29" s="100">
        <v>28</v>
      </c>
      <c r="R29" s="6"/>
      <c r="S29" s="6"/>
      <c r="T29" s="156"/>
      <c r="U29" s="6"/>
    </row>
    <row r="30" spans="1:21" customFormat="1">
      <c r="A30" s="163" t="s">
        <v>645</v>
      </c>
      <c r="B30" s="100">
        <v>4.26</v>
      </c>
      <c r="C30" s="100">
        <v>7.81</v>
      </c>
      <c r="D30" s="100">
        <v>5.83</v>
      </c>
      <c r="E30" s="100">
        <v>8.66</v>
      </c>
      <c r="F30" s="100">
        <v>2.5299999999999998</v>
      </c>
      <c r="G30" s="100">
        <v>46.76</v>
      </c>
      <c r="H30" s="100">
        <v>26.62</v>
      </c>
      <c r="I30" s="100">
        <v>6.39</v>
      </c>
      <c r="J30" s="100">
        <v>0.28000000000000003</v>
      </c>
      <c r="K30" s="100">
        <v>246.9</v>
      </c>
      <c r="L30" s="100">
        <v>27.4</v>
      </c>
      <c r="M30" s="100">
        <v>70.37</v>
      </c>
      <c r="N30" s="100">
        <v>4.0999999999999996</v>
      </c>
      <c r="O30" s="100">
        <v>0</v>
      </c>
      <c r="P30" s="100">
        <v>0.34</v>
      </c>
      <c r="Q30" s="100">
        <v>28</v>
      </c>
      <c r="R30" s="6"/>
      <c r="S30" s="6"/>
      <c r="T30" s="156"/>
      <c r="U30" s="6"/>
    </row>
    <row r="31" spans="1:21" customFormat="1">
      <c r="A31" s="163" t="s">
        <v>646</v>
      </c>
      <c r="B31" s="100">
        <v>4.2</v>
      </c>
      <c r="C31" s="100">
        <v>7.77</v>
      </c>
      <c r="D31" s="100">
        <v>5.85</v>
      </c>
      <c r="E31" s="100">
        <v>8.58</v>
      </c>
      <c r="F31" s="100">
        <v>2.82</v>
      </c>
      <c r="G31" s="100">
        <v>46.76</v>
      </c>
      <c r="H31" s="100">
        <v>26.62</v>
      </c>
      <c r="I31" s="100">
        <v>6.24</v>
      </c>
      <c r="J31" s="100">
        <v>0.22</v>
      </c>
      <c r="K31" s="100">
        <v>208.26</v>
      </c>
      <c r="L31" s="100">
        <v>27.76</v>
      </c>
      <c r="M31" s="100">
        <v>69.3</v>
      </c>
      <c r="N31" s="100">
        <v>10.3</v>
      </c>
      <c r="O31" s="100">
        <v>0</v>
      </c>
      <c r="P31" s="100">
        <v>0.32</v>
      </c>
      <c r="Q31" s="100">
        <v>28</v>
      </c>
      <c r="R31" s="6"/>
      <c r="S31" s="6"/>
      <c r="T31" s="156"/>
      <c r="U31" s="6"/>
    </row>
    <row r="32" spans="1:21" customFormat="1">
      <c r="A32" s="163" t="s">
        <v>647</v>
      </c>
      <c r="B32" s="100">
        <v>4.2300000000000004</v>
      </c>
      <c r="C32" s="100">
        <v>7.99</v>
      </c>
      <c r="D32" s="100">
        <v>6.2</v>
      </c>
      <c r="E32" s="100">
        <v>8.77</v>
      </c>
      <c r="F32" s="100">
        <v>2.37</v>
      </c>
      <c r="G32" s="100">
        <v>41.48</v>
      </c>
      <c r="H32" s="100">
        <v>23.92</v>
      </c>
      <c r="I32" s="100">
        <v>6.05</v>
      </c>
      <c r="J32" s="100">
        <v>0.39</v>
      </c>
      <c r="K32" s="100">
        <v>287.91000000000003</v>
      </c>
      <c r="L32" s="100">
        <v>27.95</v>
      </c>
      <c r="M32" s="100">
        <v>67.900000000000006</v>
      </c>
      <c r="N32" s="100">
        <v>20.9</v>
      </c>
      <c r="O32" s="100">
        <v>0</v>
      </c>
      <c r="P32" s="100">
        <v>0.32</v>
      </c>
      <c r="Q32" s="100">
        <v>28</v>
      </c>
      <c r="R32" s="6"/>
      <c r="S32" s="6"/>
      <c r="T32" s="156"/>
      <c r="U32" s="6"/>
    </row>
    <row r="33" spans="1:21" customFormat="1">
      <c r="A33" s="163" t="s">
        <v>648</v>
      </c>
      <c r="B33" s="100">
        <v>4.74</v>
      </c>
      <c r="C33" s="100">
        <v>8.56</v>
      </c>
      <c r="D33" s="100">
        <v>6.51</v>
      </c>
      <c r="E33" s="100">
        <v>8.5299999999999994</v>
      </c>
      <c r="F33" s="100">
        <v>2.29</v>
      </c>
      <c r="G33" s="100">
        <v>40.82</v>
      </c>
      <c r="H33" s="100">
        <v>23.92</v>
      </c>
      <c r="I33" s="100">
        <v>5.97</v>
      </c>
      <c r="J33" s="100">
        <v>0.57999999999999996</v>
      </c>
      <c r="K33" s="100">
        <v>295.87</v>
      </c>
      <c r="L33" s="100">
        <v>28.45</v>
      </c>
      <c r="M33" s="100">
        <v>64.55</v>
      </c>
      <c r="N33" s="100">
        <v>30</v>
      </c>
      <c r="O33" s="100">
        <v>0</v>
      </c>
      <c r="P33" s="100">
        <v>0.33</v>
      </c>
      <c r="Q33" s="100">
        <v>28</v>
      </c>
      <c r="R33" s="6"/>
      <c r="S33" s="6"/>
      <c r="T33" s="156"/>
      <c r="U33" s="6"/>
    </row>
    <row r="34" spans="1:21" customFormat="1">
      <c r="A34" s="163" t="s">
        <v>649</v>
      </c>
      <c r="B34" s="100">
        <v>5.34</v>
      </c>
      <c r="C34" s="100">
        <v>9.36</v>
      </c>
      <c r="D34" s="100">
        <v>7.13</v>
      </c>
      <c r="E34" s="100">
        <v>8.48</v>
      </c>
      <c r="F34" s="100">
        <v>2.3199999999999998</v>
      </c>
      <c r="G34" s="100">
        <v>40.82</v>
      </c>
      <c r="H34" s="100">
        <v>23.92</v>
      </c>
      <c r="I34" s="100">
        <v>6.07</v>
      </c>
      <c r="J34" s="100">
        <v>0.31</v>
      </c>
      <c r="K34" s="100">
        <v>269.04000000000002</v>
      </c>
      <c r="L34" s="100">
        <v>28.68</v>
      </c>
      <c r="M34" s="100">
        <v>64.19</v>
      </c>
      <c r="N34" s="100">
        <v>47.9</v>
      </c>
      <c r="O34" s="100">
        <v>0</v>
      </c>
      <c r="P34" s="100">
        <v>0.36</v>
      </c>
      <c r="Q34" s="100">
        <v>28</v>
      </c>
      <c r="R34" s="6"/>
      <c r="S34" s="6"/>
      <c r="T34" s="156"/>
      <c r="U34" s="6"/>
    </row>
    <row r="35" spans="1:21" customFormat="1">
      <c r="A35" s="163" t="s">
        <v>650</v>
      </c>
      <c r="B35" s="100">
        <v>5.61</v>
      </c>
      <c r="C35" s="100">
        <v>9.73</v>
      </c>
      <c r="D35" s="100">
        <v>7.42</v>
      </c>
      <c r="E35" s="100">
        <v>8.59</v>
      </c>
      <c r="F35" s="100">
        <v>2.4900000000000002</v>
      </c>
      <c r="G35" s="100">
        <v>40.82</v>
      </c>
      <c r="H35" s="100">
        <v>23.92</v>
      </c>
      <c r="I35" s="100">
        <v>6.46</v>
      </c>
      <c r="J35" s="100">
        <v>0.48</v>
      </c>
      <c r="K35" s="100">
        <v>286.32</v>
      </c>
      <c r="L35" s="100">
        <v>28.81</v>
      </c>
      <c r="M35" s="100">
        <v>63.33</v>
      </c>
      <c r="N35" s="100">
        <v>62.3</v>
      </c>
      <c r="O35" s="100">
        <v>0</v>
      </c>
      <c r="P35" s="100">
        <v>0.38</v>
      </c>
      <c r="Q35" s="100">
        <v>28</v>
      </c>
      <c r="R35" s="6"/>
      <c r="S35" s="6"/>
      <c r="T35" s="156"/>
      <c r="U35" s="6"/>
    </row>
    <row r="36" spans="1:21" customFormat="1">
      <c r="A36" s="163" t="s">
        <v>651</v>
      </c>
      <c r="B36" s="100">
        <v>5.62</v>
      </c>
      <c r="C36" s="100">
        <v>9.8699999999999992</v>
      </c>
      <c r="D36" s="100">
        <v>7.67</v>
      </c>
      <c r="E36" s="100">
        <v>8.8699999999999992</v>
      </c>
      <c r="F36" s="100">
        <v>2.39</v>
      </c>
      <c r="G36" s="100">
        <v>56.97</v>
      </c>
      <c r="H36" s="100">
        <v>25.35</v>
      </c>
      <c r="I36" s="100">
        <v>6.86</v>
      </c>
      <c r="J36" s="100">
        <v>0.54</v>
      </c>
      <c r="K36" s="100">
        <v>271.11</v>
      </c>
      <c r="L36" s="100">
        <v>29.07</v>
      </c>
      <c r="M36" s="100">
        <v>62.17</v>
      </c>
      <c r="N36" s="100">
        <v>102.1</v>
      </c>
      <c r="O36" s="100">
        <v>0</v>
      </c>
      <c r="P36" s="100">
        <v>0.38</v>
      </c>
      <c r="Q36" s="100">
        <v>28</v>
      </c>
      <c r="R36" s="6"/>
      <c r="S36" s="6"/>
      <c r="T36" s="156"/>
      <c r="U36" s="6"/>
    </row>
    <row r="37" spans="1:21" customFormat="1">
      <c r="A37" s="163" t="s">
        <v>652</v>
      </c>
      <c r="B37" s="100">
        <v>5.43</v>
      </c>
      <c r="C37" s="100">
        <v>9.67</v>
      </c>
      <c r="D37" s="100">
        <v>7.6</v>
      </c>
      <c r="E37" s="100">
        <v>8.6</v>
      </c>
      <c r="F37" s="100">
        <v>2.6</v>
      </c>
      <c r="G37" s="100">
        <v>58.99</v>
      </c>
      <c r="H37" s="100">
        <v>25.35</v>
      </c>
      <c r="I37" s="100">
        <v>7.05</v>
      </c>
      <c r="J37" s="100">
        <v>0.53</v>
      </c>
      <c r="K37" s="100">
        <v>263.31</v>
      </c>
      <c r="L37" s="100">
        <v>29.27</v>
      </c>
      <c r="M37" s="100">
        <v>61.83</v>
      </c>
      <c r="N37" s="100">
        <v>95.6</v>
      </c>
      <c r="O37" s="100">
        <v>0</v>
      </c>
      <c r="P37" s="100">
        <v>0.37</v>
      </c>
      <c r="Q37" s="100">
        <v>28</v>
      </c>
      <c r="R37" s="6"/>
      <c r="S37" s="6"/>
      <c r="T37" s="156"/>
      <c r="U37" s="6"/>
    </row>
    <row r="38" spans="1:21" customFormat="1">
      <c r="A38" s="163" t="s">
        <v>653</v>
      </c>
      <c r="B38" s="100">
        <v>5.08</v>
      </c>
      <c r="C38" s="100">
        <v>9.3000000000000007</v>
      </c>
      <c r="D38" s="100">
        <v>7.41</v>
      </c>
      <c r="E38" s="100">
        <v>8.83</v>
      </c>
      <c r="F38" s="100">
        <v>2.62</v>
      </c>
      <c r="G38" s="100">
        <v>58.99</v>
      </c>
      <c r="H38" s="100">
        <v>25.35</v>
      </c>
      <c r="I38" s="100">
        <v>7.15</v>
      </c>
      <c r="J38" s="100">
        <v>0.59</v>
      </c>
      <c r="K38" s="100">
        <v>264.58</v>
      </c>
      <c r="L38" s="100">
        <v>28.94</v>
      </c>
      <c r="M38" s="100">
        <v>62.21</v>
      </c>
      <c r="N38" s="100">
        <v>72.3</v>
      </c>
      <c r="O38" s="100">
        <v>0</v>
      </c>
      <c r="P38" s="100">
        <v>0.37</v>
      </c>
      <c r="Q38" s="100">
        <v>28</v>
      </c>
      <c r="R38" s="6"/>
      <c r="S38" s="6"/>
      <c r="T38" s="156"/>
      <c r="U38" s="6"/>
    </row>
    <row r="39" spans="1:21" customFormat="1">
      <c r="A39" s="163" t="s">
        <v>654</v>
      </c>
      <c r="B39" s="100">
        <v>4.83</v>
      </c>
      <c r="C39" s="100">
        <v>9.2100000000000009</v>
      </c>
      <c r="D39" s="100">
        <v>7.63</v>
      </c>
      <c r="E39" s="100">
        <v>8.4600000000000009</v>
      </c>
      <c r="F39" s="100">
        <v>3.03</v>
      </c>
      <c r="G39" s="100">
        <v>58.99</v>
      </c>
      <c r="H39" s="100">
        <v>25.35</v>
      </c>
      <c r="I39" s="100">
        <v>7.26</v>
      </c>
      <c r="J39" s="100">
        <v>0.71</v>
      </c>
      <c r="K39" s="100">
        <v>260.94</v>
      </c>
      <c r="L39" s="100">
        <v>28.77</v>
      </c>
      <c r="M39" s="100">
        <v>62.65</v>
      </c>
      <c r="N39" s="100">
        <v>86.6</v>
      </c>
      <c r="O39" s="100">
        <v>0</v>
      </c>
      <c r="P39" s="100">
        <v>0.46</v>
      </c>
      <c r="Q39" s="100">
        <v>28</v>
      </c>
      <c r="R39" s="6"/>
      <c r="S39" s="6"/>
      <c r="T39" s="156"/>
      <c r="U39" s="6"/>
    </row>
    <row r="40" spans="1:21" customFormat="1">
      <c r="A40" s="163" t="s">
        <v>655</v>
      </c>
      <c r="B40" s="100">
        <v>4.6900000000000004</v>
      </c>
      <c r="C40" s="100">
        <v>9.31</v>
      </c>
      <c r="D40" s="100">
        <v>8.0299999999999994</v>
      </c>
      <c r="E40" s="100">
        <v>8.77</v>
      </c>
      <c r="F40" s="100">
        <v>2.5</v>
      </c>
      <c r="G40" s="100">
        <v>58.27</v>
      </c>
      <c r="H40" s="100">
        <v>30.83</v>
      </c>
      <c r="I40" s="100">
        <v>7.41</v>
      </c>
      <c r="J40" s="100">
        <v>0.71</v>
      </c>
      <c r="K40" s="100">
        <v>257.74</v>
      </c>
      <c r="L40" s="100">
        <v>29.72</v>
      </c>
      <c r="M40" s="100">
        <v>61.25</v>
      </c>
      <c r="N40" s="100">
        <v>130.9</v>
      </c>
      <c r="O40" s="100">
        <v>0</v>
      </c>
      <c r="P40" s="100">
        <v>0.52</v>
      </c>
      <c r="Q40" s="100">
        <v>28</v>
      </c>
      <c r="R40" s="6"/>
      <c r="S40" s="6"/>
      <c r="T40" s="156"/>
      <c r="U40" s="6"/>
    </row>
    <row r="41" spans="1:21" customFormat="1">
      <c r="A41" s="163" t="s">
        <v>656</v>
      </c>
      <c r="B41" s="100">
        <v>4.58</v>
      </c>
      <c r="C41" s="100">
        <v>9.1</v>
      </c>
      <c r="D41" s="100">
        <v>7.81</v>
      </c>
      <c r="E41" s="100">
        <v>8.8800000000000008</v>
      </c>
      <c r="F41" s="100">
        <v>3.33</v>
      </c>
      <c r="G41" s="100">
        <v>58.18</v>
      </c>
      <c r="H41" s="100">
        <v>30.83</v>
      </c>
      <c r="I41" s="100">
        <v>8.31</v>
      </c>
      <c r="J41" s="100">
        <v>0.8</v>
      </c>
      <c r="K41" s="100">
        <v>275.7</v>
      </c>
      <c r="L41" s="100">
        <v>30.19</v>
      </c>
      <c r="M41" s="100">
        <v>59.62</v>
      </c>
      <c r="N41" s="100">
        <v>117.3</v>
      </c>
      <c r="O41" s="100">
        <v>0</v>
      </c>
      <c r="P41" s="100">
        <v>0.55000000000000004</v>
      </c>
      <c r="Q41" s="100">
        <v>28</v>
      </c>
      <c r="R41" s="6"/>
      <c r="S41" s="6"/>
      <c r="T41" s="156"/>
      <c r="U41" s="6"/>
    </row>
    <row r="42" spans="1:21" customFormat="1">
      <c r="A42" s="163" t="s">
        <v>657</v>
      </c>
      <c r="B42" s="100">
        <v>4.53</v>
      </c>
      <c r="C42" s="100">
        <v>9.19</v>
      </c>
      <c r="D42" s="100">
        <v>8.0500000000000007</v>
      </c>
      <c r="E42" s="100">
        <v>8.75</v>
      </c>
      <c r="F42" s="100">
        <v>2.95</v>
      </c>
      <c r="G42" s="100">
        <v>58.18</v>
      </c>
      <c r="H42" s="100">
        <v>30.83</v>
      </c>
      <c r="I42" s="100">
        <v>10.07</v>
      </c>
      <c r="J42" s="100">
        <v>0.96</v>
      </c>
      <c r="K42" s="100">
        <v>288.25</v>
      </c>
      <c r="L42" s="100">
        <v>30.85</v>
      </c>
      <c r="M42" s="100">
        <v>57.19</v>
      </c>
      <c r="N42" s="100">
        <v>127.9</v>
      </c>
      <c r="O42" s="100">
        <v>0</v>
      </c>
      <c r="P42" s="100">
        <v>0.56999999999999995</v>
      </c>
      <c r="Q42" s="100">
        <v>28</v>
      </c>
      <c r="R42" s="6"/>
      <c r="S42" s="6"/>
      <c r="T42" s="156"/>
      <c r="U42" s="6"/>
    </row>
    <row r="43" spans="1:21" customFormat="1">
      <c r="A43" s="163" t="s">
        <v>658</v>
      </c>
      <c r="B43" s="100">
        <v>4.51</v>
      </c>
      <c r="C43" s="100">
        <v>9.2100000000000009</v>
      </c>
      <c r="D43" s="100">
        <v>8.1300000000000008</v>
      </c>
      <c r="E43" s="100">
        <v>8.9600000000000009</v>
      </c>
      <c r="F43" s="100">
        <v>3.31</v>
      </c>
      <c r="G43" s="100">
        <v>58.18</v>
      </c>
      <c r="H43" s="100">
        <v>30.83</v>
      </c>
      <c r="I43" s="100">
        <v>11.54</v>
      </c>
      <c r="J43" s="100">
        <v>0.7</v>
      </c>
      <c r="K43" s="100">
        <v>286</v>
      </c>
      <c r="L43" s="100">
        <v>31.7</v>
      </c>
      <c r="M43" s="100">
        <v>54.84</v>
      </c>
      <c r="N43" s="100">
        <v>134.9</v>
      </c>
      <c r="O43" s="100">
        <v>0</v>
      </c>
      <c r="P43" s="100">
        <v>0.59</v>
      </c>
      <c r="Q43" s="100">
        <v>28</v>
      </c>
      <c r="R43" s="6"/>
      <c r="S43" s="6"/>
      <c r="T43" s="156"/>
      <c r="U43" s="6"/>
    </row>
    <row r="44" spans="1:21" customFormat="1">
      <c r="A44" s="163" t="s">
        <v>659</v>
      </c>
      <c r="B44" s="100">
        <v>4.54</v>
      </c>
      <c r="C44" s="100">
        <v>9.26</v>
      </c>
      <c r="D44" s="100">
        <v>8.17</v>
      </c>
      <c r="E44" s="100">
        <v>8.68</v>
      </c>
      <c r="F44" s="100">
        <v>2.89</v>
      </c>
      <c r="G44" s="100">
        <v>53.8</v>
      </c>
      <c r="H44" s="100">
        <v>31.46</v>
      </c>
      <c r="I44" s="100">
        <v>12.3</v>
      </c>
      <c r="J44" s="100">
        <v>0.94</v>
      </c>
      <c r="K44" s="100">
        <v>300.01</v>
      </c>
      <c r="L44" s="100">
        <v>32.31</v>
      </c>
      <c r="M44" s="100">
        <v>52.53</v>
      </c>
      <c r="N44" s="100">
        <v>141.1</v>
      </c>
      <c r="O44" s="100">
        <v>0</v>
      </c>
      <c r="P44" s="100">
        <v>0.59</v>
      </c>
      <c r="Q44" s="100">
        <v>28</v>
      </c>
      <c r="R44" s="6"/>
      <c r="S44" s="6"/>
      <c r="T44" s="156"/>
      <c r="U44" s="6"/>
    </row>
    <row r="45" spans="1:21" customFormat="1">
      <c r="A45" s="163" t="s">
        <v>660</v>
      </c>
      <c r="B45" s="100">
        <v>4.6500000000000004</v>
      </c>
      <c r="C45" s="100">
        <v>9.1300000000000008</v>
      </c>
      <c r="D45" s="100">
        <v>7.76</v>
      </c>
      <c r="E45" s="100">
        <v>8.77</v>
      </c>
      <c r="F45" s="100">
        <v>5.19</v>
      </c>
      <c r="G45" s="100">
        <v>53.25</v>
      </c>
      <c r="H45" s="100">
        <v>31.46</v>
      </c>
      <c r="I45" s="100">
        <v>12.58</v>
      </c>
      <c r="J45" s="100">
        <v>0.93</v>
      </c>
      <c r="K45" s="100">
        <v>298.93</v>
      </c>
      <c r="L45" s="100">
        <v>32.76</v>
      </c>
      <c r="M45" s="100">
        <v>50.27</v>
      </c>
      <c r="N45" s="100">
        <v>154.30000000000001</v>
      </c>
      <c r="O45" s="100">
        <v>0</v>
      </c>
      <c r="P45" s="100">
        <v>0.61</v>
      </c>
      <c r="Q45" s="100">
        <v>28</v>
      </c>
      <c r="R45" s="6"/>
      <c r="S45" s="6"/>
      <c r="T45" s="156"/>
      <c r="U45" s="6"/>
    </row>
    <row r="46" spans="1:21" customFormat="1">
      <c r="A46" s="163" t="s">
        <v>661</v>
      </c>
      <c r="B46" s="100">
        <v>4.79</v>
      </c>
      <c r="C46" s="100">
        <v>8.85</v>
      </c>
      <c r="D46" s="100">
        <v>7</v>
      </c>
      <c r="E46" s="100">
        <v>8.89</v>
      </c>
      <c r="F46" s="100">
        <v>8.4700000000000006</v>
      </c>
      <c r="G46" s="100">
        <v>53.25</v>
      </c>
      <c r="H46" s="100">
        <v>31.46</v>
      </c>
      <c r="I46" s="100">
        <v>12.48</v>
      </c>
      <c r="J46" s="100">
        <v>0.77</v>
      </c>
      <c r="K46" s="100">
        <v>320.20999999999998</v>
      </c>
      <c r="L46" s="100">
        <v>33.270000000000003</v>
      </c>
      <c r="M46" s="100">
        <v>47.41</v>
      </c>
      <c r="N46" s="100">
        <v>178.5</v>
      </c>
      <c r="O46" s="100">
        <v>0</v>
      </c>
      <c r="P46" s="100">
        <v>0.61</v>
      </c>
      <c r="Q46" s="100">
        <v>28</v>
      </c>
      <c r="R46" s="6"/>
      <c r="S46" s="6"/>
      <c r="T46" s="156"/>
      <c r="U46" s="6"/>
    </row>
    <row r="47" spans="1:21" customFormat="1">
      <c r="A47" s="163" t="s">
        <v>662</v>
      </c>
      <c r="B47" s="100">
        <v>4.84</v>
      </c>
      <c r="C47" s="100">
        <v>9.1300000000000008</v>
      </c>
      <c r="D47" s="100">
        <v>7.46</v>
      </c>
      <c r="E47" s="100">
        <v>9.2100000000000009</v>
      </c>
      <c r="F47" s="100">
        <v>9.48</v>
      </c>
      <c r="G47" s="100">
        <v>53.25</v>
      </c>
      <c r="H47" s="100">
        <v>31.46</v>
      </c>
      <c r="I47" s="100">
        <v>12.1</v>
      </c>
      <c r="J47" s="100">
        <v>0.8</v>
      </c>
      <c r="K47" s="100">
        <v>308.31</v>
      </c>
      <c r="L47" s="100">
        <v>33.909999999999997</v>
      </c>
      <c r="M47" s="100">
        <v>46.6</v>
      </c>
      <c r="N47" s="100">
        <v>186.3</v>
      </c>
      <c r="O47" s="100">
        <v>0</v>
      </c>
      <c r="P47" s="100">
        <v>0.6</v>
      </c>
      <c r="Q47" s="100">
        <v>28</v>
      </c>
      <c r="R47" s="6"/>
      <c r="S47" s="6"/>
      <c r="T47" s="156"/>
      <c r="U47" s="6"/>
    </row>
    <row r="48" spans="1:21" customFormat="1">
      <c r="A48" s="163" t="s">
        <v>663</v>
      </c>
      <c r="B48" s="100">
        <v>4.7300000000000004</v>
      </c>
      <c r="C48" s="100">
        <v>8.89</v>
      </c>
      <c r="D48" s="100">
        <v>7.16</v>
      </c>
      <c r="E48" s="100">
        <v>9.5399999999999991</v>
      </c>
      <c r="F48" s="100">
        <v>9.8000000000000007</v>
      </c>
      <c r="G48" s="100">
        <v>52.26</v>
      </c>
      <c r="H48" s="100">
        <v>26.15</v>
      </c>
      <c r="I48" s="100">
        <v>11.83</v>
      </c>
      <c r="J48" s="100">
        <v>0.7</v>
      </c>
      <c r="K48" s="100">
        <v>296.27</v>
      </c>
      <c r="L48" s="100">
        <v>34.36</v>
      </c>
      <c r="M48" s="100">
        <v>43.85</v>
      </c>
      <c r="N48" s="100">
        <v>207.9</v>
      </c>
      <c r="O48" s="100">
        <v>0</v>
      </c>
      <c r="P48" s="100">
        <v>0.59</v>
      </c>
      <c r="Q48" s="100">
        <v>28</v>
      </c>
      <c r="R48" s="6"/>
      <c r="S48" s="6"/>
      <c r="T48" s="156"/>
      <c r="U48" s="6"/>
    </row>
    <row r="49" spans="1:21" customFormat="1">
      <c r="A49" s="163" t="s">
        <v>664</v>
      </c>
      <c r="B49" s="100">
        <v>4.62</v>
      </c>
      <c r="C49" s="100">
        <v>8.61</v>
      </c>
      <c r="D49" s="100">
        <v>6.81</v>
      </c>
      <c r="E49" s="100">
        <v>9.01</v>
      </c>
      <c r="F49" s="100">
        <v>13.83</v>
      </c>
      <c r="G49" s="100">
        <v>52.13</v>
      </c>
      <c r="H49" s="100">
        <v>26.15</v>
      </c>
      <c r="I49" s="100">
        <v>11.72</v>
      </c>
      <c r="J49" s="100">
        <v>0.73</v>
      </c>
      <c r="K49" s="100">
        <v>14.93</v>
      </c>
      <c r="L49" s="100">
        <v>35.04</v>
      </c>
      <c r="M49" s="100">
        <v>42.42</v>
      </c>
      <c r="N49" s="100">
        <v>196.4</v>
      </c>
      <c r="O49" s="100">
        <v>0</v>
      </c>
      <c r="P49" s="100">
        <v>0.56999999999999995</v>
      </c>
      <c r="Q49" s="100">
        <v>28</v>
      </c>
      <c r="R49" s="6"/>
      <c r="S49" s="6"/>
      <c r="T49" s="156"/>
      <c r="U49" s="6"/>
    </row>
    <row r="50" spans="1:21" customFormat="1">
      <c r="A50" s="163" t="s">
        <v>665</v>
      </c>
      <c r="B50" s="100">
        <v>4.46</v>
      </c>
      <c r="C50" s="100">
        <v>8.48</v>
      </c>
      <c r="D50" s="100">
        <v>6.81</v>
      </c>
      <c r="E50" s="100">
        <v>10.39</v>
      </c>
      <c r="F50" s="100">
        <v>17.36</v>
      </c>
      <c r="G50" s="100">
        <v>52.13</v>
      </c>
      <c r="H50" s="100">
        <v>26.15</v>
      </c>
      <c r="I50" s="100">
        <v>11.35</v>
      </c>
      <c r="J50" s="100">
        <v>0.36</v>
      </c>
      <c r="K50" s="100">
        <v>353.32</v>
      </c>
      <c r="L50" s="100">
        <v>34.69</v>
      </c>
      <c r="M50" s="100">
        <v>43.3</v>
      </c>
      <c r="N50" s="100">
        <v>195.2</v>
      </c>
      <c r="O50" s="100">
        <v>0</v>
      </c>
      <c r="P50" s="100">
        <v>0.56999999999999995</v>
      </c>
      <c r="Q50" s="100">
        <v>28</v>
      </c>
      <c r="R50" s="6"/>
      <c r="S50" s="6"/>
      <c r="T50" s="156"/>
      <c r="U50" s="6"/>
    </row>
    <row r="51" spans="1:21" customFormat="1">
      <c r="A51" s="163" t="s">
        <v>666</v>
      </c>
      <c r="B51" s="100">
        <v>4.51</v>
      </c>
      <c r="C51" s="100">
        <v>9.2100000000000009</v>
      </c>
      <c r="D51" s="100">
        <v>8.1199999999999992</v>
      </c>
      <c r="E51" s="100">
        <v>11.1</v>
      </c>
      <c r="F51" s="100">
        <v>33.47</v>
      </c>
      <c r="G51" s="100">
        <v>52.13</v>
      </c>
      <c r="H51" s="100">
        <v>26.15</v>
      </c>
      <c r="I51" s="100">
        <v>10.68</v>
      </c>
      <c r="J51" s="100">
        <v>0.72</v>
      </c>
      <c r="K51" s="100">
        <v>308.62</v>
      </c>
      <c r="L51" s="100">
        <v>35.1</v>
      </c>
      <c r="M51" s="100">
        <v>42.6</v>
      </c>
      <c r="N51" s="100">
        <v>201.5</v>
      </c>
      <c r="O51" s="100">
        <v>0</v>
      </c>
      <c r="P51" s="100">
        <v>0.55000000000000004</v>
      </c>
      <c r="Q51" s="100">
        <v>28</v>
      </c>
      <c r="R51" s="6"/>
      <c r="S51" s="6"/>
      <c r="T51" s="156"/>
      <c r="U51" s="6"/>
    </row>
    <row r="52" spans="1:21" customFormat="1">
      <c r="A52" s="163" t="s">
        <v>667</v>
      </c>
      <c r="B52" s="100">
        <v>4.29</v>
      </c>
      <c r="C52" s="100">
        <v>10.51</v>
      </c>
      <c r="D52" s="100">
        <v>10.95</v>
      </c>
      <c r="E52" s="100">
        <v>13.06</v>
      </c>
      <c r="F52" s="100">
        <v>42.27</v>
      </c>
      <c r="G52" s="100">
        <v>53.05</v>
      </c>
      <c r="H52" s="100">
        <v>29.11</v>
      </c>
      <c r="I52" s="100">
        <v>10.55</v>
      </c>
      <c r="J52" s="100">
        <v>0.7</v>
      </c>
      <c r="K52" s="100">
        <v>30.48</v>
      </c>
      <c r="L52" s="100">
        <v>35.19</v>
      </c>
      <c r="M52" s="100">
        <v>41.93</v>
      </c>
      <c r="N52" s="100">
        <v>211.9</v>
      </c>
      <c r="O52" s="100">
        <v>0</v>
      </c>
      <c r="P52" s="100">
        <v>0.51</v>
      </c>
      <c r="Q52" s="100">
        <v>28</v>
      </c>
      <c r="R52" s="6"/>
      <c r="S52" s="6"/>
      <c r="T52" s="156"/>
      <c r="U52" s="6"/>
    </row>
    <row r="53" spans="1:21" customFormat="1">
      <c r="A53" s="163" t="s">
        <v>668</v>
      </c>
      <c r="B53" s="100">
        <v>4.72</v>
      </c>
      <c r="C53" s="100">
        <v>11.98</v>
      </c>
      <c r="D53" s="100">
        <v>13.1</v>
      </c>
      <c r="E53" s="100">
        <v>12.19</v>
      </c>
      <c r="F53" s="100">
        <v>44.74</v>
      </c>
      <c r="G53" s="100">
        <v>53.17</v>
      </c>
      <c r="H53" s="100">
        <v>29.11</v>
      </c>
      <c r="I53" s="100">
        <v>9.5</v>
      </c>
      <c r="J53" s="100">
        <v>0.61</v>
      </c>
      <c r="K53" s="100">
        <v>342.05</v>
      </c>
      <c r="L53" s="100">
        <v>35.61</v>
      </c>
      <c r="M53" s="100">
        <v>41.44</v>
      </c>
      <c r="N53" s="100">
        <v>222</v>
      </c>
      <c r="O53" s="100">
        <v>0</v>
      </c>
      <c r="P53" s="100">
        <v>0.53</v>
      </c>
      <c r="Q53" s="100">
        <v>28</v>
      </c>
      <c r="R53" s="6"/>
      <c r="S53" s="6"/>
      <c r="T53" s="156"/>
      <c r="U53" s="6"/>
    </row>
    <row r="54" spans="1:21" customFormat="1">
      <c r="A54" s="163" t="s">
        <v>669</v>
      </c>
      <c r="B54" s="100">
        <v>4.59</v>
      </c>
      <c r="C54" s="100">
        <v>11.33</v>
      </c>
      <c r="D54" s="100">
        <v>12.07</v>
      </c>
      <c r="E54" s="100">
        <v>5.57</v>
      </c>
      <c r="F54" s="100">
        <v>55.19</v>
      </c>
      <c r="G54" s="100">
        <v>53.17</v>
      </c>
      <c r="H54" s="100">
        <v>29.11</v>
      </c>
      <c r="I54" s="100">
        <v>6.74</v>
      </c>
      <c r="J54" s="100">
        <v>0.81</v>
      </c>
      <c r="K54" s="100">
        <v>18.47</v>
      </c>
      <c r="L54" s="100">
        <v>36.04</v>
      </c>
      <c r="M54" s="100">
        <v>40.29</v>
      </c>
      <c r="N54" s="100">
        <v>233.6</v>
      </c>
      <c r="O54" s="100">
        <v>0</v>
      </c>
      <c r="P54" s="100">
        <v>0.5</v>
      </c>
      <c r="Q54" s="100">
        <v>28</v>
      </c>
      <c r="R54" s="6"/>
      <c r="S54" s="6"/>
      <c r="T54" s="156"/>
      <c r="U54" s="6"/>
    </row>
    <row r="55" spans="1:21" customFormat="1">
      <c r="A55" s="163" t="s">
        <v>670</v>
      </c>
      <c r="B55" s="100">
        <v>4.1900000000000004</v>
      </c>
      <c r="C55" s="100">
        <v>11.19</v>
      </c>
      <c r="D55" s="100">
        <v>12.41</v>
      </c>
      <c r="E55" s="100">
        <v>7.33</v>
      </c>
      <c r="F55" s="100">
        <v>66.64</v>
      </c>
      <c r="G55" s="100">
        <v>53.17</v>
      </c>
      <c r="H55" s="100">
        <v>29.11</v>
      </c>
      <c r="I55" s="100">
        <v>8.27</v>
      </c>
      <c r="J55" s="100">
        <v>0.41</v>
      </c>
      <c r="K55" s="100">
        <v>321.10000000000002</v>
      </c>
      <c r="L55" s="100">
        <v>36.07</v>
      </c>
      <c r="M55" s="100">
        <v>40.06</v>
      </c>
      <c r="N55" s="100">
        <v>254.3</v>
      </c>
      <c r="O55" s="100">
        <v>0</v>
      </c>
      <c r="P55" s="100">
        <v>0.47</v>
      </c>
      <c r="Q55" s="100">
        <v>28</v>
      </c>
      <c r="R55" s="6"/>
      <c r="S55" s="6"/>
      <c r="T55" s="156"/>
      <c r="U55" s="6"/>
    </row>
    <row r="56" spans="1:21" customFormat="1">
      <c r="A56" s="163" t="s">
        <v>671</v>
      </c>
      <c r="B56" s="100">
        <v>3.59</v>
      </c>
      <c r="C56" s="100">
        <v>9.2799999999999994</v>
      </c>
      <c r="D56" s="100">
        <v>9.66</v>
      </c>
      <c r="E56" s="100">
        <v>11.75</v>
      </c>
      <c r="F56" s="100">
        <v>66.16</v>
      </c>
      <c r="G56" s="100">
        <v>53.17</v>
      </c>
      <c r="H56" s="100">
        <v>29.11</v>
      </c>
      <c r="I56" s="100">
        <v>8.85</v>
      </c>
      <c r="J56" s="100">
        <v>0.53</v>
      </c>
      <c r="K56" s="100">
        <v>202.98</v>
      </c>
      <c r="L56" s="100">
        <v>36.770000000000003</v>
      </c>
      <c r="M56" s="100">
        <v>39.479999999999997</v>
      </c>
      <c r="N56" s="100">
        <v>493.4</v>
      </c>
      <c r="O56" s="100">
        <v>0</v>
      </c>
      <c r="P56" s="100">
        <v>0.42</v>
      </c>
      <c r="Q56" s="100">
        <v>28</v>
      </c>
      <c r="R56" s="6"/>
      <c r="S56" s="6"/>
      <c r="T56" s="156"/>
      <c r="U56" s="6"/>
    </row>
    <row r="57" spans="1:21" customFormat="1">
      <c r="A57" s="163" t="s">
        <v>672</v>
      </c>
      <c r="B57" s="100">
        <v>3.84</v>
      </c>
      <c r="C57" s="100">
        <v>8.41</v>
      </c>
      <c r="D57" s="100">
        <v>7.62</v>
      </c>
      <c r="E57" s="100">
        <v>373.26</v>
      </c>
      <c r="F57" s="100">
        <v>81.760000000000005</v>
      </c>
      <c r="G57" s="100">
        <v>0</v>
      </c>
      <c r="H57" s="100">
        <v>0</v>
      </c>
      <c r="I57" s="100">
        <v>11.81</v>
      </c>
      <c r="J57" s="100">
        <v>0.67</v>
      </c>
      <c r="K57" s="100">
        <v>272.18</v>
      </c>
      <c r="L57" s="100">
        <v>36.979999999999997</v>
      </c>
      <c r="M57" s="100">
        <v>38.21</v>
      </c>
      <c r="N57" s="100">
        <v>696.4</v>
      </c>
      <c r="O57" s="100">
        <v>0</v>
      </c>
      <c r="P57" s="100">
        <v>0.39</v>
      </c>
      <c r="Q57" s="100">
        <v>28</v>
      </c>
      <c r="R57" s="6"/>
      <c r="S57" s="6"/>
      <c r="T57" s="156"/>
      <c r="U57" s="6"/>
    </row>
    <row r="58" spans="1:21" customFormat="1">
      <c r="A58" s="163" t="s">
        <v>673</v>
      </c>
      <c r="B58" s="100">
        <v>5.63</v>
      </c>
      <c r="C58" s="100">
        <v>9.33</v>
      </c>
      <c r="D58" s="100">
        <v>6.64</v>
      </c>
      <c r="E58" s="100">
        <v>128.29</v>
      </c>
      <c r="F58" s="100">
        <v>78.459999999999994</v>
      </c>
      <c r="G58" s="100">
        <v>0</v>
      </c>
      <c r="H58" s="100">
        <v>0</v>
      </c>
      <c r="I58" s="100">
        <v>16.27</v>
      </c>
      <c r="J58" s="100">
        <v>0.82</v>
      </c>
      <c r="K58" s="100">
        <v>330.38</v>
      </c>
      <c r="L58" s="100">
        <v>36.729999999999997</v>
      </c>
      <c r="M58" s="100">
        <v>36.299999999999997</v>
      </c>
      <c r="N58" s="100">
        <v>811.3</v>
      </c>
      <c r="O58" s="100">
        <v>0</v>
      </c>
      <c r="P58" s="100">
        <v>0.38</v>
      </c>
      <c r="Q58" s="100">
        <v>28</v>
      </c>
      <c r="R58" s="6"/>
      <c r="S58" s="6"/>
      <c r="T58" s="156"/>
      <c r="U58" s="6"/>
    </row>
    <row r="59" spans="1:21" customFormat="1">
      <c r="A59" s="163" t="s">
        <v>674</v>
      </c>
      <c r="B59" s="100">
        <v>7.99</v>
      </c>
      <c r="C59" s="100">
        <v>11.78</v>
      </c>
      <c r="D59" s="100">
        <v>7.69</v>
      </c>
      <c r="E59" s="100">
        <v>99.65</v>
      </c>
      <c r="F59" s="100">
        <v>286.58999999999997</v>
      </c>
      <c r="G59" s="100">
        <v>0</v>
      </c>
      <c r="H59" s="100">
        <v>0</v>
      </c>
      <c r="I59" s="100">
        <v>14.39</v>
      </c>
      <c r="J59" s="100">
        <v>0.57999999999999996</v>
      </c>
      <c r="K59" s="100">
        <v>324.07</v>
      </c>
      <c r="L59" s="100">
        <v>37.049999999999997</v>
      </c>
      <c r="M59" s="100">
        <v>34.46</v>
      </c>
      <c r="N59" s="100">
        <v>750.6</v>
      </c>
      <c r="O59" s="100">
        <v>0</v>
      </c>
      <c r="P59" s="100">
        <v>0.38</v>
      </c>
      <c r="Q59" s="100">
        <v>28</v>
      </c>
      <c r="R59" s="6"/>
      <c r="S59" s="6"/>
      <c r="T59" s="156"/>
      <c r="U59" s="6"/>
    </row>
    <row r="60" spans="1:21" customFormat="1">
      <c r="A60" s="163" t="s">
        <v>675</v>
      </c>
      <c r="B60" s="100">
        <v>7.97</v>
      </c>
      <c r="C60" s="100">
        <v>11.1</v>
      </c>
      <c r="D60" s="100">
        <v>6.42</v>
      </c>
      <c r="E60" s="100">
        <v>149.61000000000001</v>
      </c>
      <c r="F60" s="100">
        <v>289.83</v>
      </c>
      <c r="G60" s="100">
        <v>0</v>
      </c>
      <c r="H60" s="100">
        <v>0</v>
      </c>
      <c r="I60" s="100">
        <v>15.78</v>
      </c>
      <c r="J60" s="100">
        <v>0.35</v>
      </c>
      <c r="K60" s="100">
        <v>49.63</v>
      </c>
      <c r="L60" s="100">
        <v>37.770000000000003</v>
      </c>
      <c r="M60" s="100">
        <v>33.9</v>
      </c>
      <c r="N60" s="100">
        <v>623.70000000000005</v>
      </c>
      <c r="O60" s="100">
        <v>0</v>
      </c>
      <c r="P60" s="100">
        <v>0.37</v>
      </c>
      <c r="Q60" s="100">
        <v>28</v>
      </c>
      <c r="R60" s="6"/>
      <c r="S60" s="6"/>
      <c r="T60" s="156"/>
      <c r="U60" s="6"/>
    </row>
    <row r="61" spans="1:21" customFormat="1">
      <c r="A61" s="163" t="s">
        <v>676</v>
      </c>
      <c r="B61" s="100">
        <v>9.1</v>
      </c>
      <c r="C61" s="100">
        <v>12.63</v>
      </c>
      <c r="D61" s="100">
        <v>7.62</v>
      </c>
      <c r="E61" s="100">
        <v>241.22</v>
      </c>
      <c r="F61" s="100">
        <v>285.31</v>
      </c>
      <c r="G61" s="100">
        <v>26.61</v>
      </c>
      <c r="H61" s="100">
        <v>12.63</v>
      </c>
      <c r="I61" s="100">
        <v>16.53</v>
      </c>
      <c r="J61" s="100">
        <v>0.69</v>
      </c>
      <c r="K61" s="100">
        <v>18.45</v>
      </c>
      <c r="L61" s="100">
        <v>36.909999999999997</v>
      </c>
      <c r="M61" s="100">
        <v>36.04</v>
      </c>
      <c r="N61" s="100">
        <v>397.6</v>
      </c>
      <c r="O61" s="100">
        <v>0</v>
      </c>
      <c r="P61" s="100">
        <v>0.38</v>
      </c>
      <c r="Q61" s="100">
        <v>28</v>
      </c>
      <c r="R61" s="6"/>
      <c r="S61" s="6"/>
      <c r="T61" s="156"/>
      <c r="U61" s="6"/>
    </row>
    <row r="62" spans="1:21" customFormat="1">
      <c r="A62" s="163" t="s">
        <v>677</v>
      </c>
      <c r="B62" s="100">
        <v>8.5299999999999994</v>
      </c>
      <c r="C62" s="100">
        <v>13.78</v>
      </c>
      <c r="D62" s="100">
        <v>10.71</v>
      </c>
      <c r="E62" s="100">
        <v>283.02</v>
      </c>
      <c r="F62" s="100">
        <v>286.13</v>
      </c>
      <c r="G62" s="100">
        <v>59.88</v>
      </c>
      <c r="H62" s="100">
        <v>21.16</v>
      </c>
      <c r="I62" s="100">
        <v>17.829999999999998</v>
      </c>
      <c r="J62" s="100">
        <v>1.1599999999999999</v>
      </c>
      <c r="K62" s="100">
        <v>33.42</v>
      </c>
      <c r="L62" s="100">
        <v>37.07</v>
      </c>
      <c r="M62" s="100">
        <v>35</v>
      </c>
      <c r="N62" s="100">
        <v>764.6</v>
      </c>
      <c r="O62" s="100">
        <v>0</v>
      </c>
      <c r="P62" s="100">
        <v>0.45</v>
      </c>
      <c r="Q62" s="100">
        <v>28</v>
      </c>
      <c r="R62" s="6"/>
      <c r="S62" s="6"/>
      <c r="T62" s="156"/>
      <c r="U62" s="6"/>
    </row>
    <row r="63" spans="1:21" customFormat="1">
      <c r="A63" s="163" t="s">
        <v>678</v>
      </c>
      <c r="B63" s="100">
        <v>6.89</v>
      </c>
      <c r="C63" s="100">
        <v>12.78</v>
      </c>
      <c r="D63" s="100">
        <v>11.29</v>
      </c>
      <c r="E63" s="100">
        <v>309.76</v>
      </c>
      <c r="F63" s="100">
        <v>287.45999999999998</v>
      </c>
      <c r="G63" s="100">
        <v>59.88</v>
      </c>
      <c r="H63" s="100">
        <v>21.16</v>
      </c>
      <c r="I63" s="100">
        <v>18.05</v>
      </c>
      <c r="J63" s="100">
        <v>0.67</v>
      </c>
      <c r="K63" s="100">
        <v>12.54</v>
      </c>
      <c r="L63" s="100">
        <v>37.840000000000003</v>
      </c>
      <c r="M63" s="100">
        <v>33.770000000000003</v>
      </c>
      <c r="N63" s="100">
        <v>691.7</v>
      </c>
      <c r="O63" s="100">
        <v>0</v>
      </c>
      <c r="P63" s="100">
        <v>0.46</v>
      </c>
      <c r="Q63" s="100">
        <v>28</v>
      </c>
      <c r="R63" s="6"/>
      <c r="S63" s="6"/>
      <c r="T63" s="156"/>
      <c r="U63" s="6"/>
    </row>
    <row r="64" spans="1:21" customFormat="1">
      <c r="A64" s="163" t="s">
        <v>679</v>
      </c>
      <c r="B64" s="100">
        <v>5.91</v>
      </c>
      <c r="C64" s="100">
        <v>13.29</v>
      </c>
      <c r="D64" s="100">
        <v>13.79</v>
      </c>
      <c r="E64" s="100">
        <v>19.37</v>
      </c>
      <c r="F64" s="100">
        <v>36.299999999999997</v>
      </c>
      <c r="G64" s="100">
        <v>59.88</v>
      </c>
      <c r="H64" s="100">
        <v>21.16</v>
      </c>
      <c r="I64" s="100">
        <v>16.59</v>
      </c>
      <c r="J64" s="100">
        <v>0.69</v>
      </c>
      <c r="K64" s="100">
        <v>340.99</v>
      </c>
      <c r="L64" s="100">
        <v>37.65</v>
      </c>
      <c r="M64" s="100">
        <v>34.1</v>
      </c>
      <c r="N64" s="100">
        <v>422.5</v>
      </c>
      <c r="O64" s="100">
        <v>0</v>
      </c>
      <c r="P64" s="100">
        <v>0.39</v>
      </c>
      <c r="Q64" s="100">
        <v>28</v>
      </c>
      <c r="R64" s="6"/>
      <c r="S64" s="6"/>
      <c r="T64" s="156"/>
      <c r="U64" s="6"/>
    </row>
    <row r="65" spans="1:21" customFormat="1">
      <c r="A65" s="163" t="s">
        <v>680</v>
      </c>
      <c r="B65" s="100">
        <v>197.77</v>
      </c>
      <c r="C65" s="100">
        <v>198.41</v>
      </c>
      <c r="D65" s="100">
        <v>0.9</v>
      </c>
      <c r="E65" s="100">
        <v>0.5</v>
      </c>
      <c r="F65" s="100">
        <v>22.62</v>
      </c>
      <c r="G65" s="100">
        <v>60.35</v>
      </c>
      <c r="H65" s="100">
        <v>20.27</v>
      </c>
      <c r="I65" s="100">
        <v>17.84</v>
      </c>
      <c r="J65" s="100">
        <v>0.37</v>
      </c>
      <c r="K65" s="100">
        <v>6.76</v>
      </c>
      <c r="L65" s="100">
        <v>37.07</v>
      </c>
      <c r="M65" s="100">
        <v>35.14</v>
      </c>
      <c r="N65" s="100">
        <v>254.6</v>
      </c>
      <c r="O65" s="100">
        <v>0</v>
      </c>
      <c r="P65" s="100">
        <v>0.45</v>
      </c>
      <c r="Q65" s="100">
        <v>28</v>
      </c>
      <c r="R65" s="6"/>
      <c r="S65" s="6"/>
      <c r="T65" s="156"/>
      <c r="U65" s="6"/>
    </row>
    <row r="66" spans="1:21" customFormat="1">
      <c r="A66" s="163" t="s">
        <v>681</v>
      </c>
      <c r="B66" s="100">
        <v>201.4</v>
      </c>
      <c r="C66" s="100">
        <v>203.42</v>
      </c>
      <c r="D66" s="100">
        <v>2.0299999999999998</v>
      </c>
      <c r="E66" s="100">
        <v>0.72</v>
      </c>
      <c r="F66" s="100">
        <v>14.38</v>
      </c>
      <c r="G66" s="100">
        <v>60.94</v>
      </c>
      <c r="H66" s="100">
        <v>19.649999999999999</v>
      </c>
      <c r="I66" s="100">
        <v>15.88</v>
      </c>
      <c r="J66" s="100">
        <v>0.63</v>
      </c>
      <c r="K66" s="100">
        <v>23.76</v>
      </c>
      <c r="L66" s="100">
        <v>37.31</v>
      </c>
      <c r="M66" s="100">
        <v>32.76</v>
      </c>
      <c r="N66" s="100">
        <v>354.8</v>
      </c>
      <c r="O66" s="100">
        <v>0</v>
      </c>
      <c r="P66" s="100">
        <v>0.46</v>
      </c>
      <c r="Q66" s="100">
        <v>28</v>
      </c>
      <c r="R66" s="6"/>
      <c r="S66" s="6"/>
      <c r="T66" s="156"/>
      <c r="U66" s="6"/>
    </row>
    <row r="67" spans="1:21" customFormat="1">
      <c r="A67" s="163" t="s">
        <v>682</v>
      </c>
      <c r="B67" s="100">
        <v>201.83</v>
      </c>
      <c r="C67" s="100">
        <v>207.96</v>
      </c>
      <c r="D67" s="100">
        <v>6.12</v>
      </c>
      <c r="E67" s="100">
        <v>0.78</v>
      </c>
      <c r="F67" s="100">
        <v>11.34</v>
      </c>
      <c r="G67" s="100">
        <v>60.94</v>
      </c>
      <c r="H67" s="100">
        <v>19.649999999999999</v>
      </c>
      <c r="I67" s="100">
        <v>19.440000000000001</v>
      </c>
      <c r="J67" s="100">
        <v>0.31</v>
      </c>
      <c r="K67" s="100">
        <v>53.66</v>
      </c>
      <c r="L67" s="100">
        <v>37.31</v>
      </c>
      <c r="M67" s="100">
        <v>33.479999999999997</v>
      </c>
      <c r="N67" s="100">
        <v>247.4</v>
      </c>
      <c r="O67" s="100">
        <v>0</v>
      </c>
      <c r="P67" s="100">
        <v>0.45</v>
      </c>
      <c r="Q67" s="100">
        <v>28</v>
      </c>
      <c r="R67" s="6"/>
      <c r="S67" s="6"/>
      <c r="T67" s="156"/>
      <c r="U67" s="6"/>
    </row>
    <row r="68" spans="1:21" customFormat="1">
      <c r="A68" s="163" t="s">
        <v>683</v>
      </c>
      <c r="B68" s="100">
        <v>200.72</v>
      </c>
      <c r="C68" s="100">
        <v>213</v>
      </c>
      <c r="D68" s="100">
        <v>12.28</v>
      </c>
      <c r="E68" s="100">
        <v>0.98</v>
      </c>
      <c r="F68" s="100">
        <v>10.26</v>
      </c>
      <c r="G68" s="100">
        <v>60.94</v>
      </c>
      <c r="H68" s="100">
        <v>19.649999999999999</v>
      </c>
      <c r="I68" s="100">
        <v>20.97</v>
      </c>
      <c r="J68" s="100">
        <v>0.24</v>
      </c>
      <c r="K68" s="100">
        <v>239.04</v>
      </c>
      <c r="L68" s="100">
        <v>37.049999999999997</v>
      </c>
      <c r="M68" s="100">
        <v>35.549999999999997</v>
      </c>
      <c r="N68" s="100">
        <v>146</v>
      </c>
      <c r="O68" s="100">
        <v>0</v>
      </c>
      <c r="P68" s="100">
        <v>0.44</v>
      </c>
      <c r="Q68" s="100">
        <v>28</v>
      </c>
      <c r="R68" s="6"/>
      <c r="S68" s="6"/>
      <c r="T68" s="156"/>
      <c r="U68" s="6"/>
    </row>
    <row r="69" spans="1:21" customFormat="1">
      <c r="A69" s="163" t="s">
        <v>684</v>
      </c>
      <c r="B69" s="100">
        <v>199.24</v>
      </c>
      <c r="C69" s="100">
        <v>216.94</v>
      </c>
      <c r="D69" s="100">
        <v>17.7</v>
      </c>
      <c r="E69" s="100">
        <v>0.91</v>
      </c>
      <c r="F69" s="100">
        <v>14.3</v>
      </c>
      <c r="G69" s="100">
        <v>61.26</v>
      </c>
      <c r="H69" s="100">
        <v>22.88</v>
      </c>
      <c r="I69" s="100">
        <v>21.79</v>
      </c>
      <c r="J69" s="100">
        <v>0.16</v>
      </c>
      <c r="K69" s="100">
        <v>239.46</v>
      </c>
      <c r="L69" s="100">
        <v>36.46</v>
      </c>
      <c r="M69" s="100">
        <v>36.450000000000003</v>
      </c>
      <c r="N69" s="100">
        <v>120.6</v>
      </c>
      <c r="O69" s="100">
        <v>0</v>
      </c>
      <c r="P69" s="100">
        <v>0.42</v>
      </c>
      <c r="Q69" s="100">
        <v>28</v>
      </c>
      <c r="R69" s="6"/>
      <c r="S69" s="6"/>
      <c r="T69" s="156"/>
      <c r="U69" s="6"/>
    </row>
    <row r="70" spans="1:21" customFormat="1">
      <c r="A70" s="163" t="s">
        <v>685</v>
      </c>
      <c r="B70" s="100">
        <v>3.69</v>
      </c>
      <c r="C70" s="100">
        <v>8.0399999999999991</v>
      </c>
      <c r="D70" s="100">
        <v>4.3499999999999996</v>
      </c>
      <c r="E70" s="100">
        <v>0.88</v>
      </c>
      <c r="F70" s="100">
        <v>54.44</v>
      </c>
      <c r="G70" s="100">
        <v>61.66</v>
      </c>
      <c r="H70" s="100">
        <v>25.12</v>
      </c>
      <c r="I70" s="100">
        <v>23.07</v>
      </c>
      <c r="J70" s="100">
        <v>0.19</v>
      </c>
      <c r="K70" s="100">
        <v>139.69</v>
      </c>
      <c r="L70" s="100">
        <v>36.94</v>
      </c>
      <c r="M70" s="100">
        <v>35.97</v>
      </c>
      <c r="N70" s="100">
        <v>218.9</v>
      </c>
      <c r="O70" s="100">
        <v>0</v>
      </c>
      <c r="P70" s="100">
        <v>0.4</v>
      </c>
      <c r="Q70" s="100">
        <v>28</v>
      </c>
      <c r="R70" s="6"/>
      <c r="S70" s="6"/>
      <c r="T70" s="156"/>
      <c r="U70" s="6"/>
    </row>
    <row r="71" spans="1:21" customFormat="1">
      <c r="A71" s="163" t="s">
        <v>686</v>
      </c>
      <c r="B71" s="100">
        <v>3.52</v>
      </c>
      <c r="C71" s="100">
        <v>8.1999999999999993</v>
      </c>
      <c r="D71" s="100">
        <v>4.6900000000000004</v>
      </c>
      <c r="E71" s="100">
        <v>1.03</v>
      </c>
      <c r="F71" s="100">
        <v>49.14</v>
      </c>
      <c r="G71" s="100">
        <v>61.66</v>
      </c>
      <c r="H71" s="100">
        <v>25.12</v>
      </c>
      <c r="I71" s="100">
        <v>22.25</v>
      </c>
      <c r="J71" s="100">
        <v>0.37</v>
      </c>
      <c r="K71" s="100">
        <v>103.56</v>
      </c>
      <c r="L71" s="100">
        <v>36.340000000000003</v>
      </c>
      <c r="M71" s="100">
        <v>38.630000000000003</v>
      </c>
      <c r="N71" s="100">
        <v>154</v>
      </c>
      <c r="O71" s="100">
        <v>0</v>
      </c>
      <c r="P71" s="100">
        <v>0.48</v>
      </c>
      <c r="Q71" s="100">
        <v>25.49</v>
      </c>
      <c r="R71" s="6"/>
      <c r="S71" s="6"/>
      <c r="T71" s="156"/>
      <c r="U71" s="6"/>
    </row>
    <row r="72" spans="1:21" customFormat="1">
      <c r="A72" s="163" t="s">
        <v>687</v>
      </c>
      <c r="B72" s="100">
        <v>3.51</v>
      </c>
      <c r="C72" s="100">
        <v>8.91</v>
      </c>
      <c r="D72" s="100">
        <v>5.4</v>
      </c>
      <c r="E72" s="100">
        <v>1.0900000000000001</v>
      </c>
      <c r="F72" s="100">
        <v>47.13</v>
      </c>
      <c r="G72" s="100">
        <v>61.66</v>
      </c>
      <c r="H72" s="100">
        <v>25.12</v>
      </c>
      <c r="I72" s="100">
        <v>14.88</v>
      </c>
      <c r="J72" s="100">
        <v>0.4</v>
      </c>
      <c r="K72" s="100">
        <v>98.26</v>
      </c>
      <c r="L72" s="100">
        <v>35.49</v>
      </c>
      <c r="M72" s="100">
        <v>41.26</v>
      </c>
      <c r="N72" s="100">
        <v>119.3</v>
      </c>
      <c r="O72" s="100">
        <v>0</v>
      </c>
      <c r="P72" s="100">
        <v>0.38</v>
      </c>
      <c r="Q72" s="100">
        <v>-0.01</v>
      </c>
      <c r="R72" s="6"/>
      <c r="S72" s="6"/>
      <c r="T72" s="156"/>
      <c r="U72" s="6"/>
    </row>
    <row r="73" spans="1:21" customFormat="1">
      <c r="A73" s="163" t="s">
        <v>688</v>
      </c>
      <c r="B73" s="100">
        <v>3.57</v>
      </c>
      <c r="C73" s="100">
        <v>8.81</v>
      </c>
      <c r="D73" s="100">
        <v>5.24</v>
      </c>
      <c r="E73" s="100">
        <v>1.71</v>
      </c>
      <c r="F73" s="100">
        <v>45.39</v>
      </c>
      <c r="G73" s="100">
        <v>68.33</v>
      </c>
      <c r="H73" s="100">
        <v>26.27</v>
      </c>
      <c r="I73" s="100">
        <v>12.41</v>
      </c>
      <c r="J73" s="100">
        <v>0.45</v>
      </c>
      <c r="K73" s="100">
        <v>61.77</v>
      </c>
      <c r="L73" s="100">
        <v>34.9</v>
      </c>
      <c r="M73" s="100">
        <v>43.85</v>
      </c>
      <c r="N73" s="100">
        <v>119.2</v>
      </c>
      <c r="O73" s="100">
        <v>0</v>
      </c>
      <c r="P73" s="100">
        <v>0.37</v>
      </c>
      <c r="Q73" s="100">
        <v>0.74</v>
      </c>
      <c r="R73" s="6"/>
      <c r="S73" s="6"/>
      <c r="T73" s="156"/>
      <c r="U73" s="6"/>
    </row>
    <row r="74" spans="1:21" customFormat="1">
      <c r="A74" s="163" t="s">
        <v>689</v>
      </c>
      <c r="B74" s="100">
        <v>5.01</v>
      </c>
      <c r="C74" s="100">
        <v>11.44</v>
      </c>
      <c r="D74" s="100">
        <v>8.24</v>
      </c>
      <c r="E74" s="100">
        <v>2.61</v>
      </c>
      <c r="F74" s="100">
        <v>20.16</v>
      </c>
      <c r="G74" s="100">
        <v>76.67</v>
      </c>
      <c r="H74" s="100">
        <v>27.05</v>
      </c>
      <c r="I74" s="100">
        <v>10.85</v>
      </c>
      <c r="J74" s="100">
        <v>1.23</v>
      </c>
      <c r="K74" s="100">
        <v>46.39</v>
      </c>
      <c r="L74" s="100">
        <v>33.86</v>
      </c>
      <c r="M74" s="100">
        <v>42.86</v>
      </c>
      <c r="N74" s="100">
        <v>113.1</v>
      </c>
      <c r="O74" s="100">
        <v>0</v>
      </c>
      <c r="P74" s="100">
        <v>0.41</v>
      </c>
      <c r="Q74" s="100">
        <v>9.92</v>
      </c>
      <c r="R74" s="6"/>
      <c r="S74" s="6"/>
      <c r="T74" s="156"/>
      <c r="U74" s="6"/>
    </row>
    <row r="75" spans="1:21" customFormat="1">
      <c r="A75" s="163" t="s">
        <v>690</v>
      </c>
      <c r="B75" s="100">
        <v>4.74</v>
      </c>
      <c r="C75" s="100">
        <v>14.49</v>
      </c>
      <c r="D75" s="100">
        <v>12.44</v>
      </c>
      <c r="E75" s="100">
        <v>3.56</v>
      </c>
      <c r="F75" s="100">
        <v>22.66</v>
      </c>
      <c r="G75" s="100">
        <v>76.67</v>
      </c>
      <c r="H75" s="100">
        <v>27.05</v>
      </c>
      <c r="I75" s="100">
        <v>9.3699999999999992</v>
      </c>
      <c r="J75" s="100">
        <v>1.17</v>
      </c>
      <c r="K75" s="100">
        <v>50.02</v>
      </c>
      <c r="L75" s="100">
        <v>32.869999999999997</v>
      </c>
      <c r="M75" s="100">
        <v>46.13</v>
      </c>
      <c r="N75" s="100">
        <v>64.400000000000006</v>
      </c>
      <c r="O75" s="100">
        <v>0</v>
      </c>
      <c r="P75" s="100">
        <v>0.41</v>
      </c>
      <c r="Q75" s="100">
        <v>9.9600000000000009</v>
      </c>
      <c r="R75" s="6"/>
      <c r="S75" s="6"/>
      <c r="T75" s="156"/>
      <c r="U75" s="6"/>
    </row>
    <row r="76" spans="1:21" customFormat="1">
      <c r="A76" s="163" t="s">
        <v>691</v>
      </c>
      <c r="B76" s="100">
        <v>3.95</v>
      </c>
      <c r="C76" s="100">
        <v>14.34</v>
      </c>
      <c r="D76" s="100">
        <v>10.4</v>
      </c>
      <c r="E76" s="100">
        <v>2.95</v>
      </c>
      <c r="F76" s="100">
        <v>35.46</v>
      </c>
      <c r="G76" s="100">
        <v>76.67</v>
      </c>
      <c r="H76" s="100">
        <v>27.05</v>
      </c>
      <c r="I76" s="100">
        <v>9.7899999999999991</v>
      </c>
      <c r="J76" s="100">
        <v>0.36</v>
      </c>
      <c r="K76" s="100">
        <v>81.010000000000005</v>
      </c>
      <c r="L76" s="100">
        <v>33.119999999999997</v>
      </c>
      <c r="M76" s="100">
        <v>45.33</v>
      </c>
      <c r="N76" s="100">
        <v>58.3</v>
      </c>
      <c r="O76" s="100">
        <v>0</v>
      </c>
      <c r="P76" s="100">
        <v>0.36</v>
      </c>
      <c r="Q76" s="100">
        <v>9.99</v>
      </c>
      <c r="R76" s="6"/>
      <c r="S76" s="6"/>
      <c r="T76" s="156"/>
      <c r="U76" s="6"/>
    </row>
    <row r="77" spans="1:21" customFormat="1">
      <c r="A77" s="163" t="s">
        <v>692</v>
      </c>
      <c r="B77" s="100">
        <v>3.61</v>
      </c>
      <c r="C77" s="100">
        <v>12.34</v>
      </c>
      <c r="D77" s="100">
        <v>8.7200000000000006</v>
      </c>
      <c r="E77" s="100">
        <v>3.18</v>
      </c>
      <c r="F77" s="100">
        <v>27.91</v>
      </c>
      <c r="G77" s="100">
        <v>68.150000000000006</v>
      </c>
      <c r="H77" s="100">
        <v>28.69</v>
      </c>
      <c r="I77" s="100">
        <v>8.6999999999999993</v>
      </c>
      <c r="J77" s="100">
        <v>0.2</v>
      </c>
      <c r="K77" s="100">
        <v>85.4</v>
      </c>
      <c r="L77" s="100">
        <v>33.31</v>
      </c>
      <c r="M77" s="100">
        <v>45.56</v>
      </c>
      <c r="N77" s="100">
        <v>51.5</v>
      </c>
      <c r="O77" s="100">
        <v>0</v>
      </c>
      <c r="P77" s="100">
        <v>0.35</v>
      </c>
      <c r="Q77" s="100">
        <v>9.9700000000000006</v>
      </c>
      <c r="R77" s="6"/>
      <c r="S77" s="6"/>
      <c r="T77" s="156"/>
      <c r="U77" s="6"/>
    </row>
    <row r="78" spans="1:21" customFormat="1">
      <c r="A78" s="163" t="s">
        <v>693</v>
      </c>
      <c r="B78" s="100">
        <v>3.44</v>
      </c>
      <c r="C78" s="100">
        <v>11.21</v>
      </c>
      <c r="D78" s="100">
        <v>7.78</v>
      </c>
      <c r="E78" s="100">
        <v>3.34</v>
      </c>
      <c r="F78" s="100">
        <v>9.89</v>
      </c>
      <c r="G78" s="100">
        <v>57.51</v>
      </c>
      <c r="H78" s="100">
        <v>29.79</v>
      </c>
      <c r="I78" s="100">
        <v>7.01</v>
      </c>
      <c r="J78" s="100">
        <v>0.27</v>
      </c>
      <c r="K78" s="100">
        <v>75.849999999999994</v>
      </c>
      <c r="L78" s="100">
        <v>33.14</v>
      </c>
      <c r="M78" s="100">
        <v>45.71</v>
      </c>
      <c r="N78" s="100">
        <v>56.3</v>
      </c>
      <c r="O78" s="100">
        <v>0</v>
      </c>
      <c r="P78" s="100">
        <v>0.39</v>
      </c>
      <c r="Q78" s="100">
        <v>9.98</v>
      </c>
      <c r="R78" s="6"/>
      <c r="S78" s="6"/>
      <c r="T78" s="156"/>
      <c r="U78" s="6"/>
    </row>
    <row r="79" spans="1:21" customFormat="1">
      <c r="A79" s="163" t="s">
        <v>694</v>
      </c>
      <c r="B79" s="100">
        <v>4.74</v>
      </c>
      <c r="C79" s="100">
        <v>15.84</v>
      </c>
      <c r="D79" s="100">
        <v>11.1</v>
      </c>
      <c r="E79" s="100">
        <v>3.47</v>
      </c>
      <c r="F79" s="100">
        <v>6.43</v>
      </c>
      <c r="G79" s="100">
        <v>57.51</v>
      </c>
      <c r="H79" s="100">
        <v>29.79</v>
      </c>
      <c r="I79" s="100">
        <v>6.61</v>
      </c>
      <c r="J79" s="100">
        <v>0.54</v>
      </c>
      <c r="K79" s="100">
        <v>48.46</v>
      </c>
      <c r="L79" s="100">
        <v>33.42</v>
      </c>
      <c r="M79" s="100">
        <v>40.76</v>
      </c>
      <c r="N79" s="100">
        <v>46.8</v>
      </c>
      <c r="O79" s="100">
        <v>0</v>
      </c>
      <c r="P79" s="100">
        <v>0.4</v>
      </c>
      <c r="Q79" s="100">
        <v>9.98</v>
      </c>
      <c r="R79" s="6"/>
      <c r="S79" s="6"/>
      <c r="T79" s="156"/>
      <c r="U79" s="6"/>
    </row>
    <row r="80" spans="1:21" customFormat="1">
      <c r="A80" s="163" t="s">
        <v>695</v>
      </c>
      <c r="B80" s="100">
        <v>5.09</v>
      </c>
      <c r="C80" s="100">
        <v>15.75</v>
      </c>
      <c r="D80" s="100">
        <v>10.66</v>
      </c>
      <c r="E80" s="100">
        <v>3.57</v>
      </c>
      <c r="F80" s="100">
        <v>4.84</v>
      </c>
      <c r="G80" s="100">
        <v>57.51</v>
      </c>
      <c r="H80" s="100">
        <v>29.79</v>
      </c>
      <c r="I80" s="100">
        <v>7.4</v>
      </c>
      <c r="J80" s="100">
        <v>0.72</v>
      </c>
      <c r="K80" s="100">
        <v>55.19</v>
      </c>
      <c r="L80" s="100">
        <v>33.520000000000003</v>
      </c>
      <c r="M80" s="100">
        <v>40.869999999999997</v>
      </c>
      <c r="N80" s="100">
        <v>46</v>
      </c>
      <c r="O80" s="100">
        <v>0</v>
      </c>
      <c r="P80" s="100">
        <v>0.41</v>
      </c>
      <c r="Q80" s="100">
        <v>9.98</v>
      </c>
      <c r="R80" s="6"/>
      <c r="S80" s="6"/>
      <c r="T80" s="156"/>
      <c r="U80" s="6"/>
    </row>
    <row r="81" spans="1:21" customFormat="1">
      <c r="A81" s="163" t="s">
        <v>696</v>
      </c>
      <c r="B81" s="100">
        <v>6.49</v>
      </c>
      <c r="C81" s="100">
        <v>19.48</v>
      </c>
      <c r="D81" s="100">
        <v>12.99</v>
      </c>
      <c r="E81" s="100">
        <v>3.41</v>
      </c>
      <c r="F81" s="100">
        <v>5.78</v>
      </c>
      <c r="G81" s="100">
        <v>62.87</v>
      </c>
      <c r="H81" s="100">
        <v>29.91</v>
      </c>
      <c r="I81" s="100">
        <v>5.59</v>
      </c>
      <c r="J81" s="100">
        <v>0.59</v>
      </c>
      <c r="K81" s="100">
        <v>57.5</v>
      </c>
      <c r="L81" s="100">
        <v>33.44</v>
      </c>
      <c r="M81" s="100">
        <v>40.64</v>
      </c>
      <c r="N81" s="100">
        <v>35.299999999999997</v>
      </c>
      <c r="O81" s="100">
        <v>0</v>
      </c>
      <c r="P81" s="100">
        <v>0.41</v>
      </c>
      <c r="Q81" s="100">
        <v>9.98</v>
      </c>
      <c r="R81" s="6"/>
      <c r="S81" s="6"/>
      <c r="T81" s="156"/>
      <c r="U81" s="6"/>
    </row>
    <row r="82" spans="1:21" customFormat="1">
      <c r="A82" s="163" t="s">
        <v>697</v>
      </c>
      <c r="B82" s="100">
        <v>5.65</v>
      </c>
      <c r="C82" s="100">
        <v>18.64</v>
      </c>
      <c r="D82" s="100">
        <v>12.99</v>
      </c>
      <c r="E82" s="100">
        <v>3.74</v>
      </c>
      <c r="F82" s="100">
        <v>4.57</v>
      </c>
      <c r="G82" s="100">
        <v>69.56</v>
      </c>
      <c r="H82" s="100">
        <v>30.12</v>
      </c>
      <c r="I82" s="100">
        <v>5.64</v>
      </c>
      <c r="J82" s="100">
        <v>0.75</v>
      </c>
      <c r="K82" s="100">
        <v>50.01</v>
      </c>
      <c r="L82" s="100">
        <v>33.21</v>
      </c>
      <c r="M82" s="100">
        <v>41.02</v>
      </c>
      <c r="N82" s="100">
        <v>18.399999999999999</v>
      </c>
      <c r="O82" s="100">
        <v>0</v>
      </c>
      <c r="P82" s="100">
        <v>0.42</v>
      </c>
      <c r="Q82" s="100">
        <v>9.98</v>
      </c>
      <c r="R82" s="6"/>
      <c r="S82" s="6"/>
      <c r="T82" s="156"/>
      <c r="U82" s="6"/>
    </row>
    <row r="83" spans="1:21" customFormat="1">
      <c r="A83" s="163" t="s">
        <v>698</v>
      </c>
      <c r="B83" s="100">
        <v>5.94</v>
      </c>
      <c r="C83" s="100">
        <v>18.920000000000002</v>
      </c>
      <c r="D83" s="100">
        <v>12.98</v>
      </c>
      <c r="E83" s="100">
        <v>3.92</v>
      </c>
      <c r="F83" s="100">
        <v>5.35</v>
      </c>
      <c r="G83" s="100">
        <v>69.56</v>
      </c>
      <c r="H83" s="100">
        <v>30.12</v>
      </c>
      <c r="I83" s="100">
        <v>5.58</v>
      </c>
      <c r="J83" s="100">
        <v>0.14000000000000001</v>
      </c>
      <c r="K83" s="100">
        <v>141.69</v>
      </c>
      <c r="L83" s="100">
        <v>32.72</v>
      </c>
      <c r="M83" s="100">
        <v>45.12</v>
      </c>
      <c r="N83" s="100">
        <v>6.4</v>
      </c>
      <c r="O83" s="100">
        <v>0</v>
      </c>
      <c r="P83" s="100">
        <v>0.42</v>
      </c>
      <c r="Q83" s="100">
        <v>9.98</v>
      </c>
      <c r="R83" s="6"/>
      <c r="S83" s="6"/>
      <c r="T83" s="156"/>
      <c r="U83" s="6"/>
    </row>
    <row r="84" spans="1:21" customFormat="1">
      <c r="A84" s="163" t="s">
        <v>699</v>
      </c>
      <c r="B84" s="100">
        <v>4.6500000000000004</v>
      </c>
      <c r="C84" s="100">
        <v>14.8</v>
      </c>
      <c r="D84" s="100">
        <v>10.15</v>
      </c>
      <c r="E84" s="100">
        <v>3.89</v>
      </c>
      <c r="F84" s="100">
        <v>19.329999999999998</v>
      </c>
      <c r="G84" s="100">
        <v>69.56</v>
      </c>
      <c r="H84" s="100">
        <v>30.12</v>
      </c>
      <c r="I84" s="100">
        <v>6.84</v>
      </c>
      <c r="J84" s="100">
        <v>0.21</v>
      </c>
      <c r="K84" s="100">
        <v>177.52</v>
      </c>
      <c r="L84" s="100">
        <v>31.97</v>
      </c>
      <c r="M84" s="100">
        <v>48.32</v>
      </c>
      <c r="N84" s="100">
        <v>2.7</v>
      </c>
      <c r="O84" s="100">
        <v>0</v>
      </c>
      <c r="P84" s="100">
        <v>0.46</v>
      </c>
      <c r="Q84" s="100">
        <v>9.99</v>
      </c>
      <c r="R84" s="6"/>
      <c r="S84" s="6"/>
      <c r="T84" s="156"/>
      <c r="U84" s="6"/>
    </row>
    <row r="85" spans="1:21" customFormat="1">
      <c r="A85" s="163" t="s">
        <v>700</v>
      </c>
      <c r="B85" s="100">
        <v>4.3099999999999996</v>
      </c>
      <c r="C85" s="100">
        <v>13.14</v>
      </c>
      <c r="D85" s="100">
        <v>8.82</v>
      </c>
      <c r="E85" s="100">
        <v>3.65</v>
      </c>
      <c r="F85" s="100">
        <v>23.03</v>
      </c>
      <c r="G85" s="100">
        <v>71.89</v>
      </c>
      <c r="H85" s="100">
        <v>29.26</v>
      </c>
      <c r="I85" s="100">
        <v>6.87</v>
      </c>
      <c r="J85" s="100">
        <v>0.18</v>
      </c>
      <c r="K85" s="100">
        <v>192.96</v>
      </c>
      <c r="L85" s="100">
        <v>31.41</v>
      </c>
      <c r="M85" s="100">
        <v>50.06</v>
      </c>
      <c r="N85" s="100">
        <v>2.1</v>
      </c>
      <c r="O85" s="100">
        <v>0</v>
      </c>
      <c r="P85" s="100">
        <v>0.46</v>
      </c>
      <c r="Q85" s="100">
        <v>9.99</v>
      </c>
      <c r="R85" s="6"/>
      <c r="S85" s="6"/>
      <c r="T85" s="156"/>
      <c r="U85" s="6"/>
    </row>
    <row r="86" spans="1:21" customFormat="1">
      <c r="A86" s="163" t="s">
        <v>701</v>
      </c>
      <c r="B86" s="100">
        <v>4.22</v>
      </c>
      <c r="C86" s="100">
        <v>12.74</v>
      </c>
      <c r="D86" s="100">
        <v>8.52</v>
      </c>
      <c r="E86" s="100">
        <v>3.79</v>
      </c>
      <c r="F86" s="100">
        <v>21.26</v>
      </c>
      <c r="G86" s="100">
        <v>74.8</v>
      </c>
      <c r="H86" s="100">
        <v>28.68</v>
      </c>
      <c r="I86" s="100">
        <v>6.28</v>
      </c>
      <c r="J86" s="100">
        <v>0.22</v>
      </c>
      <c r="K86" s="100">
        <v>175.71</v>
      </c>
      <c r="L86" s="100">
        <v>31.32</v>
      </c>
      <c r="M86" s="100">
        <v>51.24</v>
      </c>
      <c r="N86" s="100">
        <v>1.9</v>
      </c>
      <c r="O86" s="100">
        <v>0</v>
      </c>
      <c r="P86" s="100">
        <v>0.46</v>
      </c>
      <c r="Q86" s="100">
        <v>10</v>
      </c>
      <c r="R86" s="6"/>
      <c r="S86" s="6"/>
      <c r="T86" s="156"/>
      <c r="U86" s="6"/>
    </row>
    <row r="87" spans="1:21" customFormat="1">
      <c r="A87" s="163" t="s">
        <v>702</v>
      </c>
      <c r="B87" s="100">
        <v>4.18</v>
      </c>
      <c r="C87" s="100">
        <v>12.52</v>
      </c>
      <c r="D87" s="100">
        <v>8.33</v>
      </c>
      <c r="E87" s="100">
        <v>3.72</v>
      </c>
      <c r="F87" s="100">
        <v>16.89</v>
      </c>
      <c r="G87" s="100">
        <v>74.8</v>
      </c>
      <c r="H87" s="100">
        <v>28.68</v>
      </c>
      <c r="I87" s="100">
        <v>6.21</v>
      </c>
      <c r="J87" s="100">
        <v>0.19</v>
      </c>
      <c r="K87" s="100">
        <v>193.59</v>
      </c>
      <c r="L87" s="100">
        <v>30.95</v>
      </c>
      <c r="M87" s="100">
        <v>53.64</v>
      </c>
      <c r="N87" s="100">
        <v>1.9</v>
      </c>
      <c r="O87" s="100">
        <v>0</v>
      </c>
      <c r="P87" s="100">
        <v>0.46</v>
      </c>
      <c r="Q87" s="100">
        <v>9.99</v>
      </c>
      <c r="R87" s="6"/>
      <c r="S87" s="6"/>
      <c r="T87" s="156"/>
      <c r="U87" s="6"/>
    </row>
    <row r="88" spans="1:21" customFormat="1">
      <c r="A88" s="163" t="s">
        <v>703</v>
      </c>
      <c r="B88" s="100">
        <v>4.18</v>
      </c>
      <c r="C88" s="100">
        <v>12.62</v>
      </c>
      <c r="D88" s="100">
        <v>8.44</v>
      </c>
      <c r="E88" s="100">
        <v>3.61</v>
      </c>
      <c r="F88" s="100">
        <v>14.18</v>
      </c>
      <c r="G88" s="100">
        <v>74.8</v>
      </c>
      <c r="H88" s="100">
        <v>28.68</v>
      </c>
      <c r="I88" s="100">
        <v>6.33</v>
      </c>
      <c r="J88" s="100">
        <v>0.21</v>
      </c>
      <c r="K88" s="100">
        <v>195.96</v>
      </c>
      <c r="L88" s="100">
        <v>30.72</v>
      </c>
      <c r="M88" s="100">
        <v>55.75</v>
      </c>
      <c r="N88" s="100">
        <v>2</v>
      </c>
      <c r="O88" s="100">
        <v>0</v>
      </c>
      <c r="P88" s="100">
        <v>0.46</v>
      </c>
      <c r="Q88" s="100">
        <v>9.98</v>
      </c>
      <c r="R88" s="6"/>
      <c r="S88" s="6"/>
      <c r="T88" s="156"/>
      <c r="U88" s="6"/>
    </row>
    <row r="89" spans="1:21" customFormat="1">
      <c r="A89" s="163" t="s">
        <v>704</v>
      </c>
      <c r="B89" s="100">
        <v>4.0999999999999996</v>
      </c>
      <c r="C89" s="100">
        <v>12.69</v>
      </c>
      <c r="D89" s="100">
        <v>8.59</v>
      </c>
      <c r="E89" s="100">
        <v>3.57</v>
      </c>
      <c r="F89" s="100">
        <v>20.68</v>
      </c>
      <c r="G89" s="100">
        <v>75.97</v>
      </c>
      <c r="H89" s="100">
        <v>26.78</v>
      </c>
      <c r="I89" s="100">
        <v>6.51</v>
      </c>
      <c r="J89" s="100">
        <v>0.19</v>
      </c>
      <c r="K89" s="100">
        <v>217.34</v>
      </c>
      <c r="L89" s="100">
        <v>30.73</v>
      </c>
      <c r="M89" s="100">
        <v>54.71</v>
      </c>
      <c r="N89" s="100">
        <v>1.9</v>
      </c>
      <c r="O89" s="100">
        <v>0</v>
      </c>
      <c r="P89" s="100">
        <v>0.45</v>
      </c>
      <c r="Q89" s="100">
        <v>9.99</v>
      </c>
      <c r="R89" s="6"/>
      <c r="S89" s="6"/>
      <c r="T89" s="156"/>
      <c r="U89" s="6"/>
    </row>
    <row r="90" spans="1:21" customFormat="1">
      <c r="A90" s="163" t="s">
        <v>705</v>
      </c>
      <c r="B90" s="100">
        <v>4.1500000000000004</v>
      </c>
      <c r="C90" s="100">
        <v>11.9</v>
      </c>
      <c r="D90" s="100">
        <v>7.75</v>
      </c>
      <c r="E90" s="100">
        <v>3.55</v>
      </c>
      <c r="F90" s="100">
        <v>14.71</v>
      </c>
      <c r="G90" s="100">
        <v>77.44</v>
      </c>
      <c r="H90" s="100">
        <v>25.5</v>
      </c>
      <c r="I90" s="100">
        <v>6.4</v>
      </c>
      <c r="J90" s="100">
        <v>0.15</v>
      </c>
      <c r="K90" s="100">
        <v>206.79</v>
      </c>
      <c r="L90" s="100">
        <v>30.56</v>
      </c>
      <c r="M90" s="100">
        <v>53.84</v>
      </c>
      <c r="N90" s="100">
        <v>1.7</v>
      </c>
      <c r="O90" s="100">
        <v>0</v>
      </c>
      <c r="P90" s="100">
        <v>0.45</v>
      </c>
      <c r="Q90" s="100">
        <v>10</v>
      </c>
      <c r="R90" s="6"/>
      <c r="S90" s="6"/>
      <c r="T90" s="156"/>
      <c r="U90" s="6"/>
    </row>
    <row r="91" spans="1:21" customFormat="1">
      <c r="A91" s="163" t="s">
        <v>706</v>
      </c>
      <c r="B91" s="100">
        <v>4.1900000000000004</v>
      </c>
      <c r="C91" s="100">
        <v>11.64</v>
      </c>
      <c r="D91" s="100">
        <v>7.45</v>
      </c>
      <c r="E91" s="100">
        <v>3.74</v>
      </c>
      <c r="F91" s="100">
        <v>12.14</v>
      </c>
      <c r="G91" s="100">
        <v>77.44</v>
      </c>
      <c r="H91" s="100">
        <v>25.5</v>
      </c>
      <c r="I91" s="100">
        <v>6.35</v>
      </c>
      <c r="J91" s="100">
        <v>0.15</v>
      </c>
      <c r="K91" s="100">
        <v>174.4</v>
      </c>
      <c r="L91" s="100">
        <v>30.48</v>
      </c>
      <c r="M91" s="100">
        <v>55.96</v>
      </c>
      <c r="N91" s="100">
        <v>1.7</v>
      </c>
      <c r="O91" s="100">
        <v>0</v>
      </c>
      <c r="P91" s="100">
        <v>0.49</v>
      </c>
      <c r="Q91" s="100">
        <v>9.98</v>
      </c>
      <c r="R91" s="6"/>
      <c r="S91" s="6"/>
      <c r="T91" s="156"/>
      <c r="U91" s="6"/>
    </row>
    <row r="92" spans="1:21" customFormat="1">
      <c r="A92" s="163" t="s">
        <v>707</v>
      </c>
      <c r="B92" s="100">
        <v>4.21</v>
      </c>
      <c r="C92" s="100">
        <v>11.65</v>
      </c>
      <c r="D92" s="100">
        <v>7.43</v>
      </c>
      <c r="E92" s="100">
        <v>4.29</v>
      </c>
      <c r="F92" s="100">
        <v>12.47</v>
      </c>
      <c r="G92" s="100">
        <v>77.44</v>
      </c>
      <c r="H92" s="100">
        <v>25.5</v>
      </c>
      <c r="I92" s="100">
        <v>6.61</v>
      </c>
      <c r="J92" s="100">
        <v>0.16</v>
      </c>
      <c r="K92" s="100">
        <v>194.52</v>
      </c>
      <c r="L92" s="100">
        <v>30.29</v>
      </c>
      <c r="M92" s="100">
        <v>57.44</v>
      </c>
      <c r="N92" s="100">
        <v>1.7</v>
      </c>
      <c r="O92" s="100">
        <v>0</v>
      </c>
      <c r="P92" s="100">
        <v>0.5</v>
      </c>
      <c r="Q92" s="100">
        <v>9.98</v>
      </c>
      <c r="R92" s="6"/>
      <c r="S92" s="6"/>
      <c r="T92" s="156"/>
      <c r="U92" s="6"/>
    </row>
    <row r="93" spans="1:21" customFormat="1">
      <c r="A93" s="163" t="s">
        <v>708</v>
      </c>
      <c r="B93" s="100">
        <v>5.35</v>
      </c>
      <c r="C93" s="100">
        <v>16.38</v>
      </c>
      <c r="D93" s="100">
        <v>11.03</v>
      </c>
      <c r="E93" s="100">
        <v>4.4400000000000004</v>
      </c>
      <c r="F93" s="100">
        <v>16.739999999999998</v>
      </c>
      <c r="G93" s="100">
        <v>84.11</v>
      </c>
      <c r="H93" s="100">
        <v>31.02</v>
      </c>
      <c r="I93" s="100">
        <v>6.9</v>
      </c>
      <c r="J93" s="100">
        <v>0.26</v>
      </c>
      <c r="K93" s="100">
        <v>159.32</v>
      </c>
      <c r="L93" s="100">
        <v>30.38</v>
      </c>
      <c r="M93" s="100">
        <v>56.89</v>
      </c>
      <c r="N93" s="100">
        <v>1.6</v>
      </c>
      <c r="O93" s="100">
        <v>0</v>
      </c>
      <c r="P93" s="100">
        <v>0.53</v>
      </c>
      <c r="Q93" s="100">
        <v>9.9700000000000006</v>
      </c>
      <c r="R93" s="6"/>
      <c r="S93" s="6"/>
      <c r="T93" s="156"/>
      <c r="U93" s="6"/>
    </row>
    <row r="94" spans="1:21" customFormat="1">
      <c r="A94" s="163" t="s">
        <v>709</v>
      </c>
      <c r="B94" s="100">
        <v>4.62</v>
      </c>
      <c r="C94" s="100">
        <v>12.86</v>
      </c>
      <c r="D94" s="100">
        <v>8.24</v>
      </c>
      <c r="E94" s="100">
        <v>4.37</v>
      </c>
      <c r="F94" s="100">
        <v>17.649999999999999</v>
      </c>
      <c r="G94" s="100">
        <v>92.45</v>
      </c>
      <c r="H94" s="100">
        <v>34.75</v>
      </c>
      <c r="I94" s="100">
        <v>7.1</v>
      </c>
      <c r="J94" s="100">
        <v>0.11</v>
      </c>
      <c r="K94" s="100">
        <v>160.02000000000001</v>
      </c>
      <c r="L94" s="100">
        <v>30.33</v>
      </c>
      <c r="M94" s="100">
        <v>57.25</v>
      </c>
      <c r="N94" s="100">
        <v>1.6</v>
      </c>
      <c r="O94" s="100">
        <v>0</v>
      </c>
      <c r="P94" s="100">
        <v>0.49</v>
      </c>
      <c r="Q94" s="100">
        <v>9.99</v>
      </c>
      <c r="R94" s="6"/>
      <c r="S94" s="6"/>
      <c r="T94" s="156"/>
      <c r="U94" s="6"/>
    </row>
    <row r="95" spans="1:21" customFormat="1">
      <c r="A95" s="163" t="s">
        <v>710</v>
      </c>
      <c r="B95" s="100">
        <v>4.5599999999999996</v>
      </c>
      <c r="C95" s="100">
        <v>12.64</v>
      </c>
      <c r="D95" s="100">
        <v>8.08</v>
      </c>
      <c r="E95" s="100">
        <v>4.3</v>
      </c>
      <c r="F95" s="100">
        <v>8.14</v>
      </c>
      <c r="G95" s="100">
        <v>92.45</v>
      </c>
      <c r="H95" s="100">
        <v>34.75</v>
      </c>
      <c r="I95" s="100">
        <v>7.25</v>
      </c>
      <c r="J95" s="100">
        <v>0.23</v>
      </c>
      <c r="K95" s="100">
        <v>165.67</v>
      </c>
      <c r="L95" s="100">
        <v>30.18</v>
      </c>
      <c r="M95" s="100">
        <v>60.28</v>
      </c>
      <c r="N95" s="100">
        <v>2</v>
      </c>
      <c r="O95" s="100">
        <v>0</v>
      </c>
      <c r="P95" s="100">
        <v>0.5</v>
      </c>
      <c r="Q95" s="100">
        <v>9.98</v>
      </c>
      <c r="R95" s="6"/>
      <c r="S95" s="6"/>
      <c r="T95" s="156"/>
      <c r="U95" s="6"/>
    </row>
    <row r="96" spans="1:21" customFormat="1">
      <c r="A96" s="163" t="s">
        <v>711</v>
      </c>
      <c r="B96" s="100">
        <v>9.89</v>
      </c>
      <c r="C96" s="100">
        <v>25.31</v>
      </c>
      <c r="D96" s="100">
        <v>15.41</v>
      </c>
      <c r="E96" s="100">
        <v>4.32</v>
      </c>
      <c r="F96" s="100">
        <v>3.34</v>
      </c>
      <c r="G96" s="100">
        <v>92.45</v>
      </c>
      <c r="H96" s="100">
        <v>34.75</v>
      </c>
      <c r="I96" s="100">
        <v>7.24</v>
      </c>
      <c r="J96" s="100">
        <v>0.22</v>
      </c>
      <c r="K96" s="100">
        <v>188.79</v>
      </c>
      <c r="L96" s="100">
        <v>30.13</v>
      </c>
      <c r="M96" s="100">
        <v>58.89</v>
      </c>
      <c r="N96" s="100">
        <v>1.7</v>
      </c>
      <c r="O96" s="100">
        <v>0</v>
      </c>
      <c r="P96" s="100">
        <v>0.63</v>
      </c>
      <c r="Q96" s="100">
        <v>9.98</v>
      </c>
      <c r="R96" s="6"/>
      <c r="S96" s="6"/>
      <c r="T96" s="156"/>
      <c r="U96" s="6"/>
    </row>
    <row r="97" spans="1:28" customFormat="1">
      <c r="A97" s="163" t="s">
        <v>712</v>
      </c>
      <c r="B97" s="100">
        <v>5.7</v>
      </c>
      <c r="C97" s="100">
        <v>16.72</v>
      </c>
      <c r="D97" s="100">
        <v>11.02</v>
      </c>
      <c r="E97" s="100">
        <v>4.25</v>
      </c>
      <c r="F97" s="100">
        <v>11.78</v>
      </c>
      <c r="G97" s="100">
        <v>96.02</v>
      </c>
      <c r="H97" s="100">
        <v>37.43</v>
      </c>
      <c r="I97" s="100">
        <v>7.39</v>
      </c>
      <c r="J97" s="100">
        <v>0.19</v>
      </c>
      <c r="K97" s="100">
        <v>129.21</v>
      </c>
      <c r="L97" s="100">
        <v>29.93</v>
      </c>
      <c r="M97" s="100">
        <v>60.52</v>
      </c>
      <c r="N97" s="100">
        <v>1.8</v>
      </c>
      <c r="O97" s="100">
        <v>0</v>
      </c>
      <c r="P97" s="100">
        <v>0.54</v>
      </c>
      <c r="Q97" s="100">
        <v>9.9600000000000009</v>
      </c>
      <c r="R97" s="6"/>
      <c r="S97" s="6"/>
      <c r="T97" s="156"/>
      <c r="U97" s="6"/>
    </row>
    <row r="98" spans="1:28" customFormat="1">
      <c r="A98" s="163" t="s">
        <v>713</v>
      </c>
      <c r="B98" s="100">
        <v>4.87</v>
      </c>
      <c r="C98" s="100">
        <v>13.05</v>
      </c>
      <c r="D98" s="100">
        <v>8.17</v>
      </c>
      <c r="E98" s="100">
        <v>4.3899999999999997</v>
      </c>
      <c r="F98" s="100">
        <v>10.08</v>
      </c>
      <c r="G98" s="100">
        <v>100.49</v>
      </c>
      <c r="H98" s="100">
        <v>39.24</v>
      </c>
      <c r="I98" s="100">
        <v>8.2100000000000009</v>
      </c>
      <c r="J98" s="100">
        <v>0.2</v>
      </c>
      <c r="K98" s="100">
        <v>160.44999999999999</v>
      </c>
      <c r="L98" s="100">
        <v>29.64</v>
      </c>
      <c r="M98" s="100">
        <v>61.5</v>
      </c>
      <c r="N98" s="100">
        <v>2</v>
      </c>
      <c r="O98" s="100">
        <v>0</v>
      </c>
      <c r="P98" s="100">
        <v>0.5</v>
      </c>
      <c r="Q98" s="100">
        <v>9.98</v>
      </c>
      <c r="R98" s="6"/>
      <c r="S98" s="6"/>
      <c r="T98" s="156"/>
      <c r="U98" s="6"/>
    </row>
    <row r="99" spans="1:28" customFormat="1">
      <c r="A99" s="163" t="s">
        <v>714</v>
      </c>
      <c r="B99" s="100">
        <v>7.86</v>
      </c>
      <c r="C99" s="100">
        <v>19.73</v>
      </c>
      <c r="D99" s="100">
        <v>11.87</v>
      </c>
      <c r="E99" s="100">
        <v>4.4400000000000004</v>
      </c>
      <c r="F99" s="100">
        <v>4.7</v>
      </c>
      <c r="G99" s="100">
        <v>100.49</v>
      </c>
      <c r="H99" s="100">
        <v>39.24</v>
      </c>
      <c r="I99" s="100">
        <v>7.55</v>
      </c>
      <c r="J99" s="100">
        <v>0.21</v>
      </c>
      <c r="K99" s="100">
        <v>123.23</v>
      </c>
      <c r="L99" s="100">
        <v>29.9</v>
      </c>
      <c r="M99" s="100">
        <v>61.74</v>
      </c>
      <c r="N99" s="100">
        <v>1.5</v>
      </c>
      <c r="O99" s="100">
        <v>0</v>
      </c>
      <c r="P99" s="100">
        <v>0.56999999999999995</v>
      </c>
      <c r="Q99" s="100">
        <v>9.9700000000000006</v>
      </c>
      <c r="R99" s="6"/>
      <c r="S99" s="6"/>
      <c r="T99" s="156"/>
      <c r="U99" s="6"/>
    </row>
    <row r="100" spans="1:28" customFormat="1">
      <c r="A100" s="163" t="s">
        <v>715</v>
      </c>
      <c r="B100" s="100">
        <v>5.79</v>
      </c>
      <c r="C100" s="100">
        <v>15.47</v>
      </c>
      <c r="D100" s="100">
        <v>9.68</v>
      </c>
      <c r="E100" s="100">
        <v>4.1500000000000004</v>
      </c>
      <c r="F100" s="100">
        <v>7.6</v>
      </c>
      <c r="G100" s="100">
        <v>100.49</v>
      </c>
      <c r="H100" s="100">
        <v>39.24</v>
      </c>
      <c r="I100" s="100">
        <v>7.54</v>
      </c>
      <c r="J100" s="100">
        <v>0.24</v>
      </c>
      <c r="K100" s="100">
        <v>178.78</v>
      </c>
      <c r="L100" s="100">
        <v>29.62</v>
      </c>
      <c r="M100" s="100">
        <v>65.06</v>
      </c>
      <c r="N100" s="100">
        <v>2.1</v>
      </c>
      <c r="O100" s="100">
        <v>0</v>
      </c>
      <c r="P100" s="100">
        <v>0.55000000000000004</v>
      </c>
      <c r="Q100" s="100">
        <v>9.9700000000000006</v>
      </c>
      <c r="R100" s="6"/>
      <c r="S100" s="6"/>
      <c r="T100" s="156"/>
      <c r="U100" s="6"/>
      <c r="AB100" s="161"/>
    </row>
    <row r="101" spans="1:28" customFormat="1">
      <c r="A101" s="163" t="s">
        <v>716</v>
      </c>
      <c r="B101" s="100">
        <v>4.9400000000000004</v>
      </c>
      <c r="C101" s="100">
        <v>12.83</v>
      </c>
      <c r="D101" s="100">
        <v>7.89</v>
      </c>
      <c r="E101" s="100">
        <v>4.43</v>
      </c>
      <c r="F101" s="100">
        <v>11.65</v>
      </c>
      <c r="G101" s="100">
        <v>104.29</v>
      </c>
      <c r="H101" s="100">
        <v>39.67</v>
      </c>
      <c r="I101" s="100">
        <v>7.9</v>
      </c>
      <c r="J101" s="100">
        <v>0.19</v>
      </c>
      <c r="K101" s="100">
        <v>167.61</v>
      </c>
      <c r="L101" s="100">
        <v>29.49</v>
      </c>
      <c r="M101" s="100">
        <v>61.95</v>
      </c>
      <c r="N101" s="100">
        <v>1.7</v>
      </c>
      <c r="O101" s="100">
        <v>0</v>
      </c>
      <c r="P101" s="100">
        <v>0.54</v>
      </c>
      <c r="Q101" s="100">
        <v>9.98</v>
      </c>
      <c r="R101" s="6"/>
      <c r="S101" s="6"/>
      <c r="T101" s="156"/>
      <c r="U101" s="6"/>
    </row>
    <row r="102" spans="1:28" customFormat="1">
      <c r="A102" s="163" t="s">
        <v>717</v>
      </c>
      <c r="B102" s="100">
        <v>4.93</v>
      </c>
      <c r="C102" s="100">
        <v>11.88</v>
      </c>
      <c r="D102" s="100">
        <v>6.94</v>
      </c>
      <c r="E102" s="100">
        <v>4.7699999999999996</v>
      </c>
      <c r="F102" s="100">
        <v>8.41</v>
      </c>
      <c r="G102" s="100">
        <v>109.03</v>
      </c>
      <c r="H102" s="100">
        <v>39.950000000000003</v>
      </c>
      <c r="I102" s="100">
        <v>7.86</v>
      </c>
      <c r="J102" s="100">
        <v>0.11</v>
      </c>
      <c r="K102" s="100">
        <v>173.38</v>
      </c>
      <c r="L102" s="100">
        <v>29.68</v>
      </c>
      <c r="M102" s="100">
        <v>62.51</v>
      </c>
      <c r="N102" s="100">
        <v>1.8</v>
      </c>
      <c r="O102" s="100">
        <v>0</v>
      </c>
      <c r="P102" s="100">
        <v>0.55000000000000004</v>
      </c>
      <c r="Q102" s="100">
        <v>9.98</v>
      </c>
      <c r="R102" s="6"/>
      <c r="S102" s="6"/>
      <c r="T102" s="156"/>
      <c r="U102" s="6"/>
    </row>
    <row r="103" spans="1:28" customFormat="1">
      <c r="A103" s="163" t="s">
        <v>718</v>
      </c>
      <c r="B103" s="100">
        <v>5.0999999999999996</v>
      </c>
      <c r="C103" s="100">
        <v>12.93</v>
      </c>
      <c r="D103" s="100">
        <v>7.83</v>
      </c>
      <c r="E103" s="100">
        <v>5.16</v>
      </c>
      <c r="F103" s="100">
        <v>3.26</v>
      </c>
      <c r="G103" s="100">
        <v>109.03</v>
      </c>
      <c r="H103" s="100">
        <v>39.950000000000003</v>
      </c>
      <c r="I103" s="100">
        <v>7.83</v>
      </c>
      <c r="J103" s="100">
        <v>0.18</v>
      </c>
      <c r="K103" s="100">
        <v>202.84</v>
      </c>
      <c r="L103" s="100">
        <v>29.74</v>
      </c>
      <c r="M103" s="100">
        <v>64.47</v>
      </c>
      <c r="N103" s="100">
        <v>1.9</v>
      </c>
      <c r="O103" s="100">
        <v>0</v>
      </c>
      <c r="P103" s="100">
        <v>0.5</v>
      </c>
      <c r="Q103" s="100">
        <v>9.9600000000000009</v>
      </c>
      <c r="R103" s="6"/>
      <c r="S103" s="6"/>
      <c r="T103" s="156"/>
      <c r="U103" s="6"/>
    </row>
    <row r="104" spans="1:28" customFormat="1">
      <c r="A104" s="163" t="s">
        <v>719</v>
      </c>
      <c r="B104" s="100">
        <v>5.08</v>
      </c>
      <c r="C104" s="100">
        <v>13.59</v>
      </c>
      <c r="D104" s="100">
        <v>8.51</v>
      </c>
      <c r="E104" s="100">
        <v>4.7699999999999996</v>
      </c>
      <c r="F104" s="100">
        <v>2.7</v>
      </c>
      <c r="G104" s="100">
        <v>109.03</v>
      </c>
      <c r="H104" s="100">
        <v>39.950000000000003</v>
      </c>
      <c r="I104" s="100">
        <v>7.96</v>
      </c>
      <c r="J104" s="100">
        <v>0.16</v>
      </c>
      <c r="K104" s="100">
        <v>184.64</v>
      </c>
      <c r="L104" s="100">
        <v>29.59</v>
      </c>
      <c r="M104" s="100">
        <v>65.36</v>
      </c>
      <c r="N104" s="100">
        <v>2</v>
      </c>
      <c r="O104" s="100">
        <v>0</v>
      </c>
      <c r="P104" s="100">
        <v>0.49</v>
      </c>
      <c r="Q104" s="100">
        <v>9.9600000000000009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3.44</v>
      </c>
      <c r="C106" s="158">
        <f>MIN(C9:C104)</f>
        <v>7.77</v>
      </c>
      <c r="D106" s="158">
        <f t="shared" ref="D106:Q106" si="0">MIN(D9:D104)</f>
        <v>0.9</v>
      </c>
      <c r="E106" s="158">
        <f t="shared" si="0"/>
        <v>0.5</v>
      </c>
      <c r="F106" s="158">
        <f t="shared" si="0"/>
        <v>2.29</v>
      </c>
      <c r="G106" s="158">
        <f t="shared" si="0"/>
        <v>0</v>
      </c>
      <c r="H106" s="158">
        <f t="shared" si="0"/>
        <v>0</v>
      </c>
      <c r="I106" s="158">
        <f t="shared" si="0"/>
        <v>5.58</v>
      </c>
      <c r="J106" s="158">
        <f t="shared" si="0"/>
        <v>0.01</v>
      </c>
      <c r="K106" s="158">
        <f t="shared" si="0"/>
        <v>6.76</v>
      </c>
      <c r="L106" s="158">
        <f t="shared" si="0"/>
        <v>27.4</v>
      </c>
      <c r="M106" s="158">
        <f t="shared" si="0"/>
        <v>32.76</v>
      </c>
      <c r="N106" s="158">
        <f t="shared" si="0"/>
        <v>1.3</v>
      </c>
      <c r="O106" s="158">
        <f t="shared" si="0"/>
        <v>0</v>
      </c>
      <c r="P106" s="158">
        <f t="shared" si="0"/>
        <v>0.32</v>
      </c>
      <c r="Q106" s="158">
        <f t="shared" si="0"/>
        <v>-0.01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201.83</v>
      </c>
      <c r="C107" s="157">
        <f t="shared" ref="C107:Q107" si="1">MAX(C9:C104)</f>
        <v>216.94</v>
      </c>
      <c r="D107" s="157">
        <f t="shared" si="1"/>
        <v>17.7</v>
      </c>
      <c r="E107" s="157">
        <f t="shared" si="1"/>
        <v>373.26</v>
      </c>
      <c r="F107" s="157">
        <f t="shared" si="1"/>
        <v>289.83</v>
      </c>
      <c r="G107" s="157">
        <f t="shared" si="1"/>
        <v>109.03</v>
      </c>
      <c r="H107" s="157">
        <f t="shared" si="1"/>
        <v>41.41</v>
      </c>
      <c r="I107" s="157">
        <f t="shared" si="1"/>
        <v>23.07</v>
      </c>
      <c r="J107" s="157">
        <f t="shared" si="1"/>
        <v>1.23</v>
      </c>
      <c r="K107" s="157">
        <f t="shared" si="1"/>
        <v>353.32</v>
      </c>
      <c r="L107" s="157">
        <f t="shared" si="1"/>
        <v>37.840000000000003</v>
      </c>
      <c r="M107" s="157">
        <f t="shared" si="1"/>
        <v>70.58</v>
      </c>
      <c r="N107" s="157">
        <f t="shared" si="1"/>
        <v>811.3</v>
      </c>
      <c r="O107" s="157">
        <f t="shared" si="1"/>
        <v>0</v>
      </c>
      <c r="P107" s="157">
        <f t="shared" si="1"/>
        <v>0.63</v>
      </c>
      <c r="Q107" s="157">
        <f t="shared" si="1"/>
        <v>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15.338125</v>
      </c>
      <c r="C108" s="158">
        <f t="shared" ref="C108:Q108" si="2">AVERAGE(C9:C104)</f>
        <v>21.55927083333334</v>
      </c>
      <c r="D108" s="158">
        <f t="shared" si="2"/>
        <v>8.284062500000001</v>
      </c>
      <c r="E108" s="158">
        <f t="shared" si="2"/>
        <v>22.720729166666661</v>
      </c>
      <c r="F108" s="158">
        <f t="shared" si="2"/>
        <v>29.490520833333331</v>
      </c>
      <c r="G108" s="158">
        <f t="shared" si="2"/>
        <v>62.734687500000007</v>
      </c>
      <c r="H108" s="158">
        <f t="shared" si="2"/>
        <v>28.308541666666653</v>
      </c>
      <c r="I108" s="158">
        <f t="shared" si="2"/>
        <v>9.4550000000000036</v>
      </c>
      <c r="J108" s="158">
        <f t="shared" si="2"/>
        <v>0.42885416666666654</v>
      </c>
      <c r="K108" s="158">
        <f t="shared" si="2"/>
        <v>179.67989583333335</v>
      </c>
      <c r="L108" s="158">
        <f t="shared" si="2"/>
        <v>31.839374999999979</v>
      </c>
      <c r="M108" s="158">
        <f t="shared" si="2"/>
        <v>52.547812500000013</v>
      </c>
      <c r="N108" s="158">
        <f t="shared" si="2"/>
        <v>118.61145833333332</v>
      </c>
      <c r="O108" s="158">
        <f t="shared" si="2"/>
        <v>0</v>
      </c>
      <c r="P108" s="158">
        <f t="shared" si="2"/>
        <v>0.46333333333333354</v>
      </c>
      <c r="Q108" s="158">
        <f t="shared" si="2"/>
        <v>21.578333333333337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43.576374533685112</v>
      </c>
      <c r="C109" s="158">
        <f t="shared" ref="C109:Q109" si="3">STDEV(C9:C104)</f>
        <v>44.05580865566791</v>
      </c>
      <c r="D109" s="158">
        <f t="shared" si="3"/>
        <v>2.7037465538825129</v>
      </c>
      <c r="E109" s="158">
        <f t="shared" si="3"/>
        <v>63.074061367232851</v>
      </c>
      <c r="F109" s="158">
        <f t="shared" si="3"/>
        <v>63.17166092431323</v>
      </c>
      <c r="G109" s="158">
        <f t="shared" si="3"/>
        <v>20.937886283160893</v>
      </c>
      <c r="H109" s="158">
        <f t="shared" si="3"/>
        <v>8.1070994201855484</v>
      </c>
      <c r="I109" s="158">
        <f t="shared" si="3"/>
        <v>4.2703965056876649</v>
      </c>
      <c r="J109" s="158">
        <f t="shared" si="3"/>
        <v>0.28565297235288006</v>
      </c>
      <c r="K109" s="158">
        <f t="shared" si="3"/>
        <v>97.270293658496186</v>
      </c>
      <c r="L109" s="158">
        <f t="shared" si="3"/>
        <v>3.237549044538238</v>
      </c>
      <c r="M109" s="158">
        <f t="shared" si="3"/>
        <v>11.403228093568345</v>
      </c>
      <c r="N109" s="158">
        <f t="shared" si="3"/>
        <v>189.1186761184581</v>
      </c>
      <c r="O109" s="158">
        <f t="shared" si="3"/>
        <v>0</v>
      </c>
      <c r="P109" s="158">
        <f t="shared" si="3"/>
        <v>7.6772619388159394E-2</v>
      </c>
      <c r="Q109" s="158">
        <f t="shared" si="3"/>
        <v>8.9703378645126346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4" sqref="I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720</v>
      </c>
      <c r="B9" s="100">
        <v>5</v>
      </c>
      <c r="C9" s="100">
        <v>12.91</v>
      </c>
      <c r="D9" s="100">
        <v>7.91</v>
      </c>
      <c r="E9" s="100">
        <v>5.13</v>
      </c>
      <c r="F9" s="100">
        <v>2.2999999999999998</v>
      </c>
      <c r="G9" s="100">
        <v>102.93</v>
      </c>
      <c r="H9" s="100">
        <v>40.229999999999997</v>
      </c>
      <c r="I9" s="100">
        <v>8.01</v>
      </c>
      <c r="J9" s="100">
        <v>0.18</v>
      </c>
      <c r="K9" s="100">
        <v>167.01</v>
      </c>
      <c r="L9" s="100">
        <v>29.44</v>
      </c>
      <c r="M9" s="100">
        <v>67.05</v>
      </c>
      <c r="N9" s="100">
        <v>1.9</v>
      </c>
      <c r="O9" s="100">
        <v>0</v>
      </c>
      <c r="P9" s="100">
        <v>0.5</v>
      </c>
      <c r="Q9" s="100">
        <v>9.9600000000000009</v>
      </c>
      <c r="R9" s="6"/>
      <c r="S9" s="6"/>
      <c r="T9" s="156"/>
      <c r="U9" s="6"/>
    </row>
    <row r="10" spans="1:21" customFormat="1">
      <c r="A10" s="163" t="s">
        <v>721</v>
      </c>
      <c r="B10" s="100">
        <v>4.97</v>
      </c>
      <c r="C10" s="100">
        <v>13.49</v>
      </c>
      <c r="D10" s="100">
        <v>8.5299999999999994</v>
      </c>
      <c r="E10" s="100">
        <v>5.23</v>
      </c>
      <c r="F10" s="100">
        <v>2.35</v>
      </c>
      <c r="G10" s="100">
        <v>95.31</v>
      </c>
      <c r="H10" s="100">
        <v>40.69</v>
      </c>
      <c r="I10" s="100">
        <v>7.97</v>
      </c>
      <c r="J10" s="100">
        <v>0.12</v>
      </c>
      <c r="K10" s="100">
        <v>187.98</v>
      </c>
      <c r="L10" s="100">
        <v>29.33</v>
      </c>
      <c r="M10" s="100">
        <v>66.75</v>
      </c>
      <c r="N10" s="100">
        <v>1.8</v>
      </c>
      <c r="O10" s="100">
        <v>0</v>
      </c>
      <c r="P10" s="100">
        <v>0.51</v>
      </c>
      <c r="Q10" s="100">
        <v>9.9499999999999993</v>
      </c>
      <c r="R10" s="6"/>
      <c r="S10" s="6"/>
      <c r="T10" s="156"/>
      <c r="U10" s="6"/>
    </row>
    <row r="11" spans="1:21" customFormat="1">
      <c r="A11" s="163" t="s">
        <v>722</v>
      </c>
      <c r="B11" s="100">
        <v>4.9400000000000004</v>
      </c>
      <c r="C11" s="100">
        <v>13.42</v>
      </c>
      <c r="D11" s="100">
        <v>8.48</v>
      </c>
      <c r="E11" s="100">
        <v>5.47</v>
      </c>
      <c r="F11" s="100">
        <v>2.44</v>
      </c>
      <c r="G11" s="100">
        <v>95.31</v>
      </c>
      <c r="H11" s="100">
        <v>40.69</v>
      </c>
      <c r="I11" s="100">
        <v>8.02</v>
      </c>
      <c r="J11" s="100">
        <v>0.16</v>
      </c>
      <c r="K11" s="100">
        <v>188.19</v>
      </c>
      <c r="L11" s="100">
        <v>29.5</v>
      </c>
      <c r="M11" s="100">
        <v>66.97</v>
      </c>
      <c r="N11" s="100">
        <v>1.9</v>
      </c>
      <c r="O11" s="100">
        <v>0</v>
      </c>
      <c r="P11" s="100">
        <v>0.52</v>
      </c>
      <c r="Q11" s="100">
        <v>9.9499999999999993</v>
      </c>
      <c r="R11" s="6"/>
      <c r="S11" s="6"/>
      <c r="T11" s="156"/>
      <c r="U11" s="6"/>
    </row>
    <row r="12" spans="1:21" customFormat="1">
      <c r="A12" s="163" t="s">
        <v>723</v>
      </c>
      <c r="B12" s="100">
        <v>4.93</v>
      </c>
      <c r="C12" s="100">
        <v>13.38</v>
      </c>
      <c r="D12" s="100">
        <v>8.4499999999999993</v>
      </c>
      <c r="E12" s="100">
        <v>5.0999999999999996</v>
      </c>
      <c r="F12" s="100">
        <v>2.5</v>
      </c>
      <c r="G12" s="100">
        <v>95.31</v>
      </c>
      <c r="H12" s="100">
        <v>40.69</v>
      </c>
      <c r="I12" s="100">
        <v>8.08</v>
      </c>
      <c r="J12" s="100">
        <v>0.19</v>
      </c>
      <c r="K12" s="100">
        <v>162.44</v>
      </c>
      <c r="L12" s="100">
        <v>29.43</v>
      </c>
      <c r="M12" s="100">
        <v>64.569999999999993</v>
      </c>
      <c r="N12" s="100">
        <v>1.8</v>
      </c>
      <c r="O12" s="100">
        <v>0</v>
      </c>
      <c r="P12" s="100">
        <v>0.52</v>
      </c>
      <c r="Q12" s="100">
        <v>9.9700000000000006</v>
      </c>
      <c r="R12" s="6"/>
      <c r="S12" s="6"/>
      <c r="T12" s="156"/>
      <c r="U12" s="6"/>
    </row>
    <row r="13" spans="1:21" customFormat="1">
      <c r="A13" s="163" t="s">
        <v>724</v>
      </c>
      <c r="B13" s="100">
        <v>5.54</v>
      </c>
      <c r="C13" s="100">
        <v>15.81</v>
      </c>
      <c r="D13" s="100">
        <v>10.27</v>
      </c>
      <c r="E13" s="100">
        <v>5.2</v>
      </c>
      <c r="F13" s="100">
        <v>2.77</v>
      </c>
      <c r="G13" s="100">
        <v>89.07</v>
      </c>
      <c r="H13" s="100">
        <v>35.64</v>
      </c>
      <c r="I13" s="100">
        <v>8.19</v>
      </c>
      <c r="J13" s="100">
        <v>0.42</v>
      </c>
      <c r="K13" s="100">
        <v>56.74</v>
      </c>
      <c r="L13" s="100">
        <v>29.69</v>
      </c>
      <c r="M13" s="100">
        <v>61.97</v>
      </c>
      <c r="N13" s="100">
        <v>1.3</v>
      </c>
      <c r="O13" s="100">
        <v>0</v>
      </c>
      <c r="P13" s="100">
        <v>0.54</v>
      </c>
      <c r="Q13" s="100">
        <v>9.9700000000000006</v>
      </c>
      <c r="R13" s="6"/>
      <c r="S13" s="6"/>
      <c r="T13" s="156"/>
      <c r="U13" s="6"/>
    </row>
    <row r="14" spans="1:21" customFormat="1">
      <c r="A14" s="163" t="s">
        <v>725</v>
      </c>
      <c r="B14" s="100">
        <v>6.99</v>
      </c>
      <c r="C14" s="100">
        <v>17.940000000000001</v>
      </c>
      <c r="D14" s="100">
        <v>10.95</v>
      </c>
      <c r="E14" s="100">
        <v>5.53</v>
      </c>
      <c r="F14" s="100">
        <v>2.29</v>
      </c>
      <c r="G14" s="100">
        <v>80.92</v>
      </c>
      <c r="H14" s="100">
        <v>32.14</v>
      </c>
      <c r="I14" s="100">
        <v>8.2200000000000006</v>
      </c>
      <c r="J14" s="100">
        <v>0.15</v>
      </c>
      <c r="K14" s="100">
        <v>45.74</v>
      </c>
      <c r="L14" s="100">
        <v>30.03</v>
      </c>
      <c r="M14" s="100">
        <v>60.65</v>
      </c>
      <c r="N14" s="100">
        <v>1.5</v>
      </c>
      <c r="O14" s="100">
        <v>0</v>
      </c>
      <c r="P14" s="100">
        <v>0.56000000000000005</v>
      </c>
      <c r="Q14" s="100">
        <v>9.99</v>
      </c>
      <c r="R14" s="6"/>
      <c r="S14" s="6"/>
      <c r="T14" s="156"/>
      <c r="U14" s="6"/>
    </row>
    <row r="15" spans="1:21" customFormat="1">
      <c r="A15" s="163" t="s">
        <v>726</v>
      </c>
      <c r="B15" s="100">
        <v>7.08</v>
      </c>
      <c r="C15" s="100">
        <v>17.16</v>
      </c>
      <c r="D15" s="100">
        <v>10.08</v>
      </c>
      <c r="E15" s="100">
        <v>5.49</v>
      </c>
      <c r="F15" s="100">
        <v>2.3199999999999998</v>
      </c>
      <c r="G15" s="100">
        <v>80.92</v>
      </c>
      <c r="H15" s="100">
        <v>32.14</v>
      </c>
      <c r="I15" s="100">
        <v>8.39</v>
      </c>
      <c r="J15" s="100">
        <v>0.25</v>
      </c>
      <c r="K15" s="100">
        <v>36.950000000000003</v>
      </c>
      <c r="L15" s="100">
        <v>29.87</v>
      </c>
      <c r="M15" s="100">
        <v>61.55</v>
      </c>
      <c r="N15" s="100">
        <v>1.6</v>
      </c>
      <c r="O15" s="100">
        <v>0</v>
      </c>
      <c r="P15" s="100">
        <v>0.57999999999999996</v>
      </c>
      <c r="Q15" s="100">
        <v>10</v>
      </c>
      <c r="R15" s="6"/>
      <c r="S15" s="6"/>
      <c r="T15" s="156"/>
      <c r="U15" s="6"/>
    </row>
    <row r="16" spans="1:21" customFormat="1">
      <c r="A16" s="163" t="s">
        <v>727</v>
      </c>
      <c r="B16" s="100">
        <v>7.57</v>
      </c>
      <c r="C16" s="100">
        <v>16.86</v>
      </c>
      <c r="D16" s="100">
        <v>9.2899999999999991</v>
      </c>
      <c r="E16" s="100">
        <v>5.44</v>
      </c>
      <c r="F16" s="100">
        <v>2.74</v>
      </c>
      <c r="G16" s="100">
        <v>80.92</v>
      </c>
      <c r="H16" s="100">
        <v>32.14</v>
      </c>
      <c r="I16" s="100">
        <v>8.64</v>
      </c>
      <c r="J16" s="100">
        <v>0.18</v>
      </c>
      <c r="K16" s="100">
        <v>171.06</v>
      </c>
      <c r="L16" s="100">
        <v>29.36</v>
      </c>
      <c r="M16" s="100">
        <v>67.33</v>
      </c>
      <c r="N16" s="100">
        <v>2.2000000000000002</v>
      </c>
      <c r="O16" s="100">
        <v>0</v>
      </c>
      <c r="P16" s="100">
        <v>0.6</v>
      </c>
      <c r="Q16" s="100">
        <v>10.02</v>
      </c>
      <c r="R16" s="6"/>
      <c r="S16" s="6"/>
      <c r="T16" s="156"/>
      <c r="U16" s="6"/>
    </row>
    <row r="17" spans="1:21" customFormat="1">
      <c r="A17" s="163" t="s">
        <v>728</v>
      </c>
      <c r="B17" s="100">
        <v>7.86</v>
      </c>
      <c r="C17" s="100">
        <v>16.78</v>
      </c>
      <c r="D17" s="100">
        <v>8.92</v>
      </c>
      <c r="E17" s="100">
        <v>3.91</v>
      </c>
      <c r="F17" s="100">
        <v>2.79</v>
      </c>
      <c r="G17" s="100">
        <v>93.87</v>
      </c>
      <c r="H17" s="100">
        <v>40.42</v>
      </c>
      <c r="I17" s="100">
        <v>9.0299999999999994</v>
      </c>
      <c r="J17" s="100">
        <v>0.27</v>
      </c>
      <c r="K17" s="100">
        <v>193.21</v>
      </c>
      <c r="L17" s="100">
        <v>28.58</v>
      </c>
      <c r="M17" s="100">
        <v>70.959999999999994</v>
      </c>
      <c r="N17" s="100">
        <v>2.2000000000000002</v>
      </c>
      <c r="O17" s="100">
        <v>0</v>
      </c>
      <c r="P17" s="100">
        <v>0.61</v>
      </c>
      <c r="Q17" s="100">
        <v>10.029999999999999</v>
      </c>
      <c r="R17" s="6"/>
      <c r="S17" s="6"/>
      <c r="T17" s="156"/>
      <c r="U17" s="6"/>
    </row>
    <row r="18" spans="1:21" customFormat="1">
      <c r="A18" s="163" t="s">
        <v>729</v>
      </c>
      <c r="B18" s="100">
        <v>7.96</v>
      </c>
      <c r="C18" s="100">
        <v>16.87</v>
      </c>
      <c r="D18" s="100">
        <v>8.9</v>
      </c>
      <c r="E18" s="100">
        <v>4.49</v>
      </c>
      <c r="F18" s="100">
        <v>2.91</v>
      </c>
      <c r="G18" s="100">
        <v>110.81</v>
      </c>
      <c r="H18" s="100">
        <v>46.15</v>
      </c>
      <c r="I18" s="100">
        <v>9.18</v>
      </c>
      <c r="J18" s="100">
        <v>0.2</v>
      </c>
      <c r="K18" s="100">
        <v>223.32</v>
      </c>
      <c r="L18" s="100">
        <v>28.27</v>
      </c>
      <c r="M18" s="100">
        <v>72.12</v>
      </c>
      <c r="N18" s="100">
        <v>2</v>
      </c>
      <c r="O18" s="100">
        <v>0</v>
      </c>
      <c r="P18" s="100">
        <v>0.62</v>
      </c>
      <c r="Q18" s="100">
        <v>10.01</v>
      </c>
      <c r="R18" s="6"/>
      <c r="S18" s="6"/>
      <c r="T18" s="156"/>
      <c r="U18" s="6"/>
    </row>
    <row r="19" spans="1:21" customFormat="1">
      <c r="A19" s="163" t="s">
        <v>730</v>
      </c>
      <c r="B19" s="100">
        <v>8.1300000000000008</v>
      </c>
      <c r="C19" s="100">
        <v>16.989999999999998</v>
      </c>
      <c r="D19" s="100">
        <v>8.8699999999999992</v>
      </c>
      <c r="E19" s="100">
        <v>4.7699999999999996</v>
      </c>
      <c r="F19" s="100">
        <v>2.72</v>
      </c>
      <c r="G19" s="100">
        <v>110.81</v>
      </c>
      <c r="H19" s="100">
        <v>46.15</v>
      </c>
      <c r="I19" s="100">
        <v>9.2799999999999994</v>
      </c>
      <c r="J19" s="100">
        <v>0.12</v>
      </c>
      <c r="K19" s="100">
        <v>41.35</v>
      </c>
      <c r="L19" s="100">
        <v>28.37</v>
      </c>
      <c r="M19" s="100">
        <v>71.02</v>
      </c>
      <c r="N19" s="100">
        <v>1.3</v>
      </c>
      <c r="O19" s="100">
        <v>0</v>
      </c>
      <c r="P19" s="100">
        <v>0.63</v>
      </c>
      <c r="Q19" s="100">
        <v>10.01</v>
      </c>
      <c r="R19" s="6"/>
      <c r="S19" s="6"/>
      <c r="T19" s="156"/>
      <c r="U19" s="6"/>
    </row>
    <row r="20" spans="1:21" customFormat="1">
      <c r="A20" s="163" t="s">
        <v>731</v>
      </c>
      <c r="B20" s="100">
        <v>8.48</v>
      </c>
      <c r="C20" s="100">
        <v>17.41</v>
      </c>
      <c r="D20" s="100">
        <v>8.93</v>
      </c>
      <c r="E20" s="100">
        <v>4.78</v>
      </c>
      <c r="F20" s="100">
        <v>2.7</v>
      </c>
      <c r="G20" s="100">
        <v>110.81</v>
      </c>
      <c r="H20" s="100">
        <v>46.15</v>
      </c>
      <c r="I20" s="100">
        <v>9.42</v>
      </c>
      <c r="J20" s="100">
        <v>0.11</v>
      </c>
      <c r="K20" s="100">
        <v>127.63</v>
      </c>
      <c r="L20" s="100">
        <v>28.72</v>
      </c>
      <c r="M20" s="100">
        <v>69.53</v>
      </c>
      <c r="N20" s="100">
        <v>1.4</v>
      </c>
      <c r="O20" s="100">
        <v>0</v>
      </c>
      <c r="P20" s="100">
        <v>0.66</v>
      </c>
      <c r="Q20" s="100">
        <v>10.02</v>
      </c>
      <c r="R20" s="6"/>
      <c r="S20" s="6"/>
      <c r="T20" s="156"/>
      <c r="U20" s="6"/>
    </row>
    <row r="21" spans="1:21" customFormat="1">
      <c r="A21" s="163" t="s">
        <v>732</v>
      </c>
      <c r="B21" s="100">
        <v>8.9499999999999993</v>
      </c>
      <c r="C21" s="100">
        <v>17.64</v>
      </c>
      <c r="D21" s="100">
        <v>8.69</v>
      </c>
      <c r="E21" s="100">
        <v>4.71</v>
      </c>
      <c r="F21" s="100">
        <v>3.1</v>
      </c>
      <c r="G21" s="100">
        <v>114.04</v>
      </c>
      <c r="H21" s="100">
        <v>49.62</v>
      </c>
      <c r="I21" s="100">
        <v>9.6300000000000008</v>
      </c>
      <c r="J21" s="100">
        <v>0.17</v>
      </c>
      <c r="K21" s="100">
        <v>146.94999999999999</v>
      </c>
      <c r="L21" s="100">
        <v>28.53</v>
      </c>
      <c r="M21" s="100">
        <v>71.48</v>
      </c>
      <c r="N21" s="100">
        <v>1.9</v>
      </c>
      <c r="O21" s="100">
        <v>0</v>
      </c>
      <c r="P21" s="100">
        <v>0.67</v>
      </c>
      <c r="Q21" s="100">
        <v>10.039999999999999</v>
      </c>
      <c r="R21" s="6"/>
      <c r="S21" s="6"/>
      <c r="T21" s="156"/>
      <c r="U21" s="6"/>
    </row>
    <row r="22" spans="1:21" customFormat="1">
      <c r="A22" s="163" t="s">
        <v>733</v>
      </c>
      <c r="B22" s="100">
        <v>9.64</v>
      </c>
      <c r="C22" s="100">
        <v>17.940000000000001</v>
      </c>
      <c r="D22" s="100">
        <v>8.3000000000000007</v>
      </c>
      <c r="E22" s="100">
        <v>5.08</v>
      </c>
      <c r="F22" s="100">
        <v>2.99</v>
      </c>
      <c r="G22" s="100">
        <v>118.26</v>
      </c>
      <c r="H22" s="100">
        <v>52.03</v>
      </c>
      <c r="I22" s="100">
        <v>9.8000000000000007</v>
      </c>
      <c r="J22" s="100">
        <v>0.06</v>
      </c>
      <c r="K22" s="100">
        <v>-0.21</v>
      </c>
      <c r="L22" s="100">
        <v>28.09</v>
      </c>
      <c r="M22" s="100">
        <v>74.44</v>
      </c>
      <c r="N22" s="100">
        <v>1.9</v>
      </c>
      <c r="O22" s="100">
        <v>0</v>
      </c>
      <c r="P22" s="100">
        <v>0.67</v>
      </c>
      <c r="Q22" s="100">
        <v>10.050000000000001</v>
      </c>
      <c r="R22" s="6"/>
      <c r="S22" s="6"/>
      <c r="T22" s="156"/>
      <c r="U22" s="6"/>
    </row>
    <row r="23" spans="1:21" customFormat="1">
      <c r="A23" s="163" t="s">
        <v>734</v>
      </c>
      <c r="B23" s="100">
        <v>10.050000000000001</v>
      </c>
      <c r="C23" s="100">
        <v>17.739999999999998</v>
      </c>
      <c r="D23" s="100">
        <v>8.0399999999999991</v>
      </c>
      <c r="E23" s="100">
        <v>4.96</v>
      </c>
      <c r="F23" s="100">
        <v>3.09</v>
      </c>
      <c r="G23" s="100">
        <v>118.26</v>
      </c>
      <c r="H23" s="100">
        <v>52.03</v>
      </c>
      <c r="I23" s="100">
        <v>9.92</v>
      </c>
      <c r="J23" s="100">
        <v>0.21</v>
      </c>
      <c r="K23" s="100">
        <v>231.7</v>
      </c>
      <c r="L23" s="100">
        <v>27.56</v>
      </c>
      <c r="M23" s="100">
        <v>77.180000000000007</v>
      </c>
      <c r="N23" s="100">
        <v>2.1</v>
      </c>
      <c r="O23" s="100">
        <v>0</v>
      </c>
      <c r="P23" s="100">
        <v>0.67</v>
      </c>
      <c r="Q23" s="100">
        <v>10.050000000000001</v>
      </c>
      <c r="R23" s="6"/>
      <c r="S23" s="6"/>
      <c r="T23" s="156"/>
      <c r="U23" s="6"/>
    </row>
    <row r="24" spans="1:21" customFormat="1">
      <c r="A24" s="163" t="s">
        <v>735</v>
      </c>
      <c r="B24" s="100">
        <v>10.38</v>
      </c>
      <c r="C24" s="100">
        <v>18.22</v>
      </c>
      <c r="D24" s="100">
        <v>7.84</v>
      </c>
      <c r="E24" s="100">
        <v>5.09</v>
      </c>
      <c r="F24" s="100">
        <v>2.82</v>
      </c>
      <c r="G24" s="100">
        <v>118.26</v>
      </c>
      <c r="H24" s="100">
        <v>52.03</v>
      </c>
      <c r="I24" s="100">
        <v>10.02</v>
      </c>
      <c r="J24" s="100">
        <v>0.2</v>
      </c>
      <c r="K24" s="100">
        <v>233.15</v>
      </c>
      <c r="L24" s="100">
        <v>27.56</v>
      </c>
      <c r="M24" s="100">
        <v>76.81</v>
      </c>
      <c r="N24" s="100">
        <v>1.7</v>
      </c>
      <c r="O24" s="100">
        <v>0</v>
      </c>
      <c r="P24" s="100">
        <v>0.69</v>
      </c>
      <c r="Q24" s="100">
        <v>10.050000000000001</v>
      </c>
      <c r="R24" s="6"/>
      <c r="S24" s="6"/>
      <c r="T24" s="156"/>
      <c r="U24" s="6"/>
    </row>
    <row r="25" spans="1:21" customFormat="1">
      <c r="A25" s="163" t="s">
        <v>736</v>
      </c>
      <c r="B25" s="100">
        <v>10.63</v>
      </c>
      <c r="C25" s="100">
        <v>18.329999999999998</v>
      </c>
      <c r="D25" s="100">
        <v>7.7</v>
      </c>
      <c r="E25" s="100">
        <v>4.92</v>
      </c>
      <c r="F25" s="100">
        <v>2.91</v>
      </c>
      <c r="G25" s="100">
        <v>116.87</v>
      </c>
      <c r="H25" s="100">
        <v>51.19</v>
      </c>
      <c r="I25" s="100">
        <v>10.199999999999999</v>
      </c>
      <c r="J25" s="100">
        <v>0.3</v>
      </c>
      <c r="K25" s="100">
        <v>216.48</v>
      </c>
      <c r="L25" s="100">
        <v>27.37</v>
      </c>
      <c r="M25" s="100">
        <v>78.89</v>
      </c>
      <c r="N25" s="100">
        <v>1.9</v>
      </c>
      <c r="O25" s="100">
        <v>0</v>
      </c>
      <c r="P25" s="100">
        <v>0.69</v>
      </c>
      <c r="Q25" s="100">
        <v>10.07</v>
      </c>
      <c r="R25" s="6"/>
      <c r="S25" s="6"/>
      <c r="T25" s="156"/>
      <c r="U25" s="6"/>
    </row>
    <row r="26" spans="1:21" customFormat="1">
      <c r="A26" s="163" t="s">
        <v>737</v>
      </c>
      <c r="B26" s="100">
        <v>10.88</v>
      </c>
      <c r="C26" s="100">
        <v>18.21</v>
      </c>
      <c r="D26" s="100">
        <v>7.33</v>
      </c>
      <c r="E26" s="100">
        <v>5.0599999999999996</v>
      </c>
      <c r="F26" s="100">
        <v>2.86</v>
      </c>
      <c r="G26" s="100">
        <v>115.05</v>
      </c>
      <c r="H26" s="100">
        <v>50.61</v>
      </c>
      <c r="I26" s="100">
        <v>10.28</v>
      </c>
      <c r="J26" s="100">
        <v>0.13</v>
      </c>
      <c r="K26" s="100">
        <v>204.66</v>
      </c>
      <c r="L26" s="100">
        <v>27.09</v>
      </c>
      <c r="M26" s="100">
        <v>80.52</v>
      </c>
      <c r="N26" s="100">
        <v>1.7</v>
      </c>
      <c r="O26" s="100">
        <v>0</v>
      </c>
      <c r="P26" s="100">
        <v>0.7</v>
      </c>
      <c r="Q26" s="100">
        <v>10.050000000000001</v>
      </c>
      <c r="R26" s="6"/>
      <c r="S26" s="6"/>
      <c r="T26" s="156"/>
      <c r="U26" s="6"/>
    </row>
    <row r="27" spans="1:21" customFormat="1">
      <c r="A27" s="163" t="s">
        <v>738</v>
      </c>
      <c r="B27" s="100">
        <v>11.07</v>
      </c>
      <c r="C27" s="100">
        <v>18.059999999999999</v>
      </c>
      <c r="D27" s="100">
        <v>6.99</v>
      </c>
      <c r="E27" s="100">
        <v>5.08</v>
      </c>
      <c r="F27" s="100">
        <v>2.1</v>
      </c>
      <c r="G27" s="100">
        <v>115.05</v>
      </c>
      <c r="H27" s="100">
        <v>50.61</v>
      </c>
      <c r="I27" s="100">
        <v>10.45</v>
      </c>
      <c r="J27" s="100">
        <v>0.14000000000000001</v>
      </c>
      <c r="K27" s="100">
        <v>174.17</v>
      </c>
      <c r="L27" s="100">
        <v>27.07</v>
      </c>
      <c r="M27" s="100">
        <v>80.38</v>
      </c>
      <c r="N27" s="100">
        <v>1.7</v>
      </c>
      <c r="O27" s="100">
        <v>0</v>
      </c>
      <c r="P27" s="100">
        <v>0.73</v>
      </c>
      <c r="Q27" s="100">
        <v>10.07</v>
      </c>
      <c r="R27" s="6"/>
      <c r="S27" s="6"/>
      <c r="T27" s="156"/>
      <c r="U27" s="6"/>
    </row>
    <row r="28" spans="1:21" customFormat="1">
      <c r="A28" s="163" t="s">
        <v>739</v>
      </c>
      <c r="B28" s="100">
        <v>10.81</v>
      </c>
      <c r="C28" s="100">
        <v>18.37</v>
      </c>
      <c r="D28" s="100">
        <v>7.56</v>
      </c>
      <c r="E28" s="100">
        <v>4.83</v>
      </c>
      <c r="F28" s="100">
        <v>2.1</v>
      </c>
      <c r="G28" s="100">
        <v>115.05</v>
      </c>
      <c r="H28" s="100">
        <v>50.61</v>
      </c>
      <c r="I28" s="100">
        <v>10.57</v>
      </c>
      <c r="J28" s="100">
        <v>0.14000000000000001</v>
      </c>
      <c r="K28" s="100">
        <v>178.3</v>
      </c>
      <c r="L28" s="100">
        <v>27.08</v>
      </c>
      <c r="M28" s="100">
        <v>78.69</v>
      </c>
      <c r="N28" s="100">
        <v>1.6</v>
      </c>
      <c r="O28" s="100">
        <v>0</v>
      </c>
      <c r="P28" s="100">
        <v>0.78</v>
      </c>
      <c r="Q28" s="100">
        <v>10.06</v>
      </c>
      <c r="R28" s="6"/>
      <c r="S28" s="6"/>
      <c r="T28" s="156"/>
      <c r="U28" s="6"/>
    </row>
    <row r="29" spans="1:21" customFormat="1">
      <c r="A29" s="163" t="s">
        <v>740</v>
      </c>
      <c r="B29" s="100">
        <v>10.68</v>
      </c>
      <c r="C29" s="100">
        <v>18.190000000000001</v>
      </c>
      <c r="D29" s="100">
        <v>7.51</v>
      </c>
      <c r="E29" s="100">
        <v>4.5</v>
      </c>
      <c r="F29" s="100">
        <v>2.1</v>
      </c>
      <c r="G29" s="100">
        <v>112.52</v>
      </c>
      <c r="H29" s="100">
        <v>47.03</v>
      </c>
      <c r="I29" s="100">
        <v>10.74</v>
      </c>
      <c r="J29" s="100">
        <v>0.11</v>
      </c>
      <c r="K29" s="100">
        <v>164.11</v>
      </c>
      <c r="L29" s="100">
        <v>27.01</v>
      </c>
      <c r="M29" s="100">
        <v>78.319999999999993</v>
      </c>
      <c r="N29" s="100">
        <v>2</v>
      </c>
      <c r="O29" s="100">
        <v>0</v>
      </c>
      <c r="P29" s="100">
        <v>0.78</v>
      </c>
      <c r="Q29" s="100">
        <v>10.06</v>
      </c>
      <c r="R29" s="6"/>
      <c r="S29" s="6"/>
      <c r="T29" s="156"/>
      <c r="U29" s="6"/>
    </row>
    <row r="30" spans="1:21" customFormat="1">
      <c r="A30" s="163" t="s">
        <v>741</v>
      </c>
      <c r="B30" s="100">
        <v>11.11</v>
      </c>
      <c r="C30" s="100">
        <v>17.100000000000001</v>
      </c>
      <c r="D30" s="100">
        <v>6</v>
      </c>
      <c r="E30" s="100">
        <v>4.6399999999999997</v>
      </c>
      <c r="F30" s="100">
        <v>2.12</v>
      </c>
      <c r="G30" s="100">
        <v>109.22</v>
      </c>
      <c r="H30" s="100">
        <v>44.55</v>
      </c>
      <c r="I30" s="100">
        <v>11.01</v>
      </c>
      <c r="J30" s="100">
        <v>0.16</v>
      </c>
      <c r="K30" s="100">
        <v>164.46</v>
      </c>
      <c r="L30" s="100">
        <v>27.05</v>
      </c>
      <c r="M30" s="100">
        <v>79.5</v>
      </c>
      <c r="N30" s="100">
        <v>4.5999999999999996</v>
      </c>
      <c r="O30" s="100">
        <v>0</v>
      </c>
      <c r="P30" s="100">
        <v>0.78</v>
      </c>
      <c r="Q30" s="100">
        <v>10.07</v>
      </c>
      <c r="R30" s="6"/>
      <c r="S30" s="6"/>
      <c r="T30" s="156"/>
      <c r="U30" s="6"/>
    </row>
    <row r="31" spans="1:21" customFormat="1">
      <c r="A31" s="163" t="s">
        <v>742</v>
      </c>
      <c r="B31" s="100">
        <v>11.29</v>
      </c>
      <c r="C31" s="100">
        <v>17.09</v>
      </c>
      <c r="D31" s="100">
        <v>5.81</v>
      </c>
      <c r="E31" s="100">
        <v>4.4800000000000004</v>
      </c>
      <c r="F31" s="100">
        <v>2.1</v>
      </c>
      <c r="G31" s="100">
        <v>109.22</v>
      </c>
      <c r="H31" s="100">
        <v>44.55</v>
      </c>
      <c r="I31" s="100">
        <v>11.14</v>
      </c>
      <c r="J31" s="100">
        <v>0.21</v>
      </c>
      <c r="K31" s="100">
        <v>189.48</v>
      </c>
      <c r="L31" s="100">
        <v>26.85</v>
      </c>
      <c r="M31" s="100">
        <v>82.01</v>
      </c>
      <c r="N31" s="100">
        <v>12.4</v>
      </c>
      <c r="O31" s="100">
        <v>0</v>
      </c>
      <c r="P31" s="100">
        <v>0.77</v>
      </c>
      <c r="Q31" s="100">
        <v>10.07</v>
      </c>
      <c r="R31" s="6"/>
      <c r="S31" s="6"/>
      <c r="T31" s="156"/>
      <c r="U31" s="6"/>
    </row>
    <row r="32" spans="1:21" customFormat="1">
      <c r="A32" s="163" t="s">
        <v>743</v>
      </c>
      <c r="B32" s="100">
        <v>11.39</v>
      </c>
      <c r="C32" s="100">
        <v>16.850000000000001</v>
      </c>
      <c r="D32" s="100">
        <v>5.46</v>
      </c>
      <c r="E32" s="100">
        <v>4.24</v>
      </c>
      <c r="F32" s="100">
        <v>2.13</v>
      </c>
      <c r="G32" s="100">
        <v>109.22</v>
      </c>
      <c r="H32" s="100">
        <v>44.55</v>
      </c>
      <c r="I32" s="100">
        <v>11.13</v>
      </c>
      <c r="J32" s="100">
        <v>0.17</v>
      </c>
      <c r="K32" s="100">
        <v>191.04</v>
      </c>
      <c r="L32" s="100">
        <v>26.85</v>
      </c>
      <c r="M32" s="100">
        <v>81.81</v>
      </c>
      <c r="N32" s="100">
        <v>23.2</v>
      </c>
      <c r="O32" s="100">
        <v>0</v>
      </c>
      <c r="P32" s="100">
        <v>0.76</v>
      </c>
      <c r="Q32" s="100">
        <v>10.06</v>
      </c>
      <c r="R32" s="6"/>
      <c r="S32" s="6"/>
      <c r="T32" s="156"/>
      <c r="U32" s="6"/>
    </row>
    <row r="33" spans="1:21" customFormat="1">
      <c r="A33" s="163" t="s">
        <v>744</v>
      </c>
      <c r="B33" s="100">
        <v>11.27</v>
      </c>
      <c r="C33" s="100">
        <v>16.579999999999998</v>
      </c>
      <c r="D33" s="100">
        <v>5.31</v>
      </c>
      <c r="E33" s="100">
        <v>4.0599999999999996</v>
      </c>
      <c r="F33" s="100">
        <v>2.33</v>
      </c>
      <c r="G33" s="100">
        <v>105.69</v>
      </c>
      <c r="H33" s="100">
        <v>45.03</v>
      </c>
      <c r="I33" s="100">
        <v>11.2</v>
      </c>
      <c r="J33" s="100">
        <v>0.2</v>
      </c>
      <c r="K33" s="100">
        <v>176.36</v>
      </c>
      <c r="L33" s="100">
        <v>27.44</v>
      </c>
      <c r="M33" s="100">
        <v>79.180000000000007</v>
      </c>
      <c r="N33" s="100">
        <v>36.6</v>
      </c>
      <c r="O33" s="100">
        <v>0</v>
      </c>
      <c r="P33" s="100">
        <v>0.8</v>
      </c>
      <c r="Q33" s="100">
        <v>10.050000000000001</v>
      </c>
      <c r="R33" s="6"/>
      <c r="S33" s="6"/>
      <c r="T33" s="156"/>
      <c r="U33" s="6"/>
    </row>
    <row r="34" spans="1:21" customFormat="1">
      <c r="A34" s="163" t="s">
        <v>745</v>
      </c>
      <c r="B34" s="100">
        <v>10.67</v>
      </c>
      <c r="C34" s="100">
        <v>17.239999999999998</v>
      </c>
      <c r="D34" s="100">
        <v>6.57</v>
      </c>
      <c r="E34" s="100">
        <v>4.2</v>
      </c>
      <c r="F34" s="100">
        <v>2.2599999999999998</v>
      </c>
      <c r="G34" s="100">
        <v>101.07</v>
      </c>
      <c r="H34" s="100">
        <v>45.88</v>
      </c>
      <c r="I34" s="100">
        <v>11.41</v>
      </c>
      <c r="J34" s="100">
        <v>0.16</v>
      </c>
      <c r="K34" s="100">
        <v>177.96</v>
      </c>
      <c r="L34" s="100">
        <v>28.05</v>
      </c>
      <c r="M34" s="100">
        <v>78.38</v>
      </c>
      <c r="N34" s="100">
        <v>50.8</v>
      </c>
      <c r="O34" s="100">
        <v>0</v>
      </c>
      <c r="P34" s="100">
        <v>0.8</v>
      </c>
      <c r="Q34" s="100">
        <v>10.050000000000001</v>
      </c>
      <c r="R34" s="6"/>
      <c r="S34" s="6"/>
      <c r="T34" s="156"/>
      <c r="U34" s="6"/>
    </row>
    <row r="35" spans="1:21" customFormat="1">
      <c r="A35" s="163" t="s">
        <v>746</v>
      </c>
      <c r="B35" s="100">
        <v>10.31</v>
      </c>
      <c r="C35" s="100">
        <v>16.52</v>
      </c>
      <c r="D35" s="100">
        <v>6.21</v>
      </c>
      <c r="E35" s="100">
        <v>3.86</v>
      </c>
      <c r="F35" s="100">
        <v>5.28</v>
      </c>
      <c r="G35" s="100">
        <v>101.07</v>
      </c>
      <c r="H35" s="100">
        <v>45.88</v>
      </c>
      <c r="I35" s="100">
        <v>11.74</v>
      </c>
      <c r="J35" s="100">
        <v>0.14000000000000001</v>
      </c>
      <c r="K35" s="100">
        <v>219.07</v>
      </c>
      <c r="L35" s="100">
        <v>28.85</v>
      </c>
      <c r="M35" s="100">
        <v>74.849999999999994</v>
      </c>
      <c r="N35" s="100">
        <v>64.2</v>
      </c>
      <c r="O35" s="100">
        <v>0</v>
      </c>
      <c r="P35" s="100">
        <v>0.79</v>
      </c>
      <c r="Q35" s="100">
        <v>10.07</v>
      </c>
      <c r="R35" s="6"/>
      <c r="S35" s="6"/>
      <c r="T35" s="156"/>
      <c r="U35" s="6"/>
    </row>
    <row r="36" spans="1:21" customFormat="1">
      <c r="A36" s="163" t="s">
        <v>747</v>
      </c>
      <c r="B36" s="100">
        <v>10.65</v>
      </c>
      <c r="C36" s="100">
        <v>15.67</v>
      </c>
      <c r="D36" s="100">
        <v>5.0199999999999996</v>
      </c>
      <c r="E36" s="100">
        <v>4.13</v>
      </c>
      <c r="F36" s="100">
        <v>5.48</v>
      </c>
      <c r="G36" s="100">
        <v>101.07</v>
      </c>
      <c r="H36" s="100">
        <v>45.88</v>
      </c>
      <c r="I36" s="100">
        <v>12.17</v>
      </c>
      <c r="J36" s="100">
        <v>0.27</v>
      </c>
      <c r="K36" s="100">
        <v>243.03</v>
      </c>
      <c r="L36" s="100">
        <v>29.75</v>
      </c>
      <c r="M36" s="100">
        <v>67.92</v>
      </c>
      <c r="N36" s="100">
        <v>77.3</v>
      </c>
      <c r="O36" s="100">
        <v>0</v>
      </c>
      <c r="P36" s="100">
        <v>0.79</v>
      </c>
      <c r="Q36" s="100">
        <v>10.029999999999999</v>
      </c>
      <c r="R36" s="6"/>
      <c r="S36" s="6"/>
      <c r="T36" s="156"/>
      <c r="U36" s="6"/>
    </row>
    <row r="37" spans="1:21" customFormat="1">
      <c r="A37" s="163" t="s">
        <v>748</v>
      </c>
      <c r="B37" s="100">
        <v>9.5500000000000007</v>
      </c>
      <c r="C37" s="100">
        <v>15.31</v>
      </c>
      <c r="D37" s="100">
        <v>5.76</v>
      </c>
      <c r="E37" s="100">
        <v>4.4400000000000004</v>
      </c>
      <c r="F37" s="100">
        <v>10.86</v>
      </c>
      <c r="G37" s="100">
        <v>98.21</v>
      </c>
      <c r="H37" s="100">
        <v>44.52</v>
      </c>
      <c r="I37" s="100">
        <v>12.32</v>
      </c>
      <c r="J37" s="100">
        <v>0.2</v>
      </c>
      <c r="K37" s="100">
        <v>241.86</v>
      </c>
      <c r="L37" s="100">
        <v>30.53</v>
      </c>
      <c r="M37" s="100">
        <v>66.290000000000006</v>
      </c>
      <c r="N37" s="100">
        <v>87.1</v>
      </c>
      <c r="O37" s="100">
        <v>0</v>
      </c>
      <c r="P37" s="100">
        <v>0.82</v>
      </c>
      <c r="Q37" s="100">
        <v>10.050000000000001</v>
      </c>
      <c r="R37" s="6"/>
      <c r="S37" s="6"/>
      <c r="T37" s="156"/>
      <c r="U37" s="6"/>
    </row>
    <row r="38" spans="1:21" customFormat="1">
      <c r="A38" s="163" t="s">
        <v>749</v>
      </c>
      <c r="B38" s="100">
        <v>9.15</v>
      </c>
      <c r="C38" s="100">
        <v>15.02</v>
      </c>
      <c r="D38" s="100">
        <v>5.87</v>
      </c>
      <c r="E38" s="100">
        <v>5.0199999999999996</v>
      </c>
      <c r="F38" s="100">
        <v>11.32</v>
      </c>
      <c r="G38" s="100">
        <v>94.47</v>
      </c>
      <c r="H38" s="100">
        <v>43.58</v>
      </c>
      <c r="I38" s="100">
        <v>11.87</v>
      </c>
      <c r="J38" s="100">
        <v>0.48</v>
      </c>
      <c r="K38" s="100">
        <v>253.15</v>
      </c>
      <c r="L38" s="100">
        <v>31.24</v>
      </c>
      <c r="M38" s="100">
        <v>62.14</v>
      </c>
      <c r="N38" s="100">
        <v>96.6</v>
      </c>
      <c r="O38" s="100">
        <v>0</v>
      </c>
      <c r="P38" s="100">
        <v>0.88</v>
      </c>
      <c r="Q38" s="100">
        <v>10.06</v>
      </c>
      <c r="R38" s="6"/>
      <c r="S38" s="6"/>
      <c r="T38" s="156"/>
      <c r="U38" s="6"/>
    </row>
    <row r="39" spans="1:21" customFormat="1">
      <c r="A39" s="163" t="s">
        <v>750</v>
      </c>
      <c r="B39" s="100">
        <v>9.17</v>
      </c>
      <c r="C39" s="100">
        <v>15.62</v>
      </c>
      <c r="D39" s="100">
        <v>6.45</v>
      </c>
      <c r="E39" s="100">
        <v>6.64</v>
      </c>
      <c r="F39" s="100">
        <v>9.01</v>
      </c>
      <c r="G39" s="100">
        <v>94.47</v>
      </c>
      <c r="H39" s="100">
        <v>43.58</v>
      </c>
      <c r="I39" s="100">
        <v>12.37</v>
      </c>
      <c r="J39" s="100">
        <v>0.62</v>
      </c>
      <c r="K39" s="100">
        <v>277.95999999999998</v>
      </c>
      <c r="L39" s="100">
        <v>31.83</v>
      </c>
      <c r="M39" s="100">
        <v>58.23</v>
      </c>
      <c r="N39" s="100">
        <v>106.4</v>
      </c>
      <c r="O39" s="100">
        <v>0</v>
      </c>
      <c r="P39" s="100">
        <v>0.88</v>
      </c>
      <c r="Q39" s="100">
        <v>10.050000000000001</v>
      </c>
      <c r="R39" s="6"/>
      <c r="S39" s="6"/>
      <c r="T39" s="156"/>
      <c r="U39" s="6"/>
    </row>
    <row r="40" spans="1:21" customFormat="1">
      <c r="A40" s="163" t="s">
        <v>751</v>
      </c>
      <c r="B40" s="100">
        <v>8.84</v>
      </c>
      <c r="C40" s="100">
        <v>14.68</v>
      </c>
      <c r="D40" s="100">
        <v>5.84</v>
      </c>
      <c r="E40" s="100">
        <v>6.86</v>
      </c>
      <c r="F40" s="100">
        <v>6.34</v>
      </c>
      <c r="G40" s="100">
        <v>94.47</v>
      </c>
      <c r="H40" s="100">
        <v>43.58</v>
      </c>
      <c r="I40" s="100">
        <v>13.1</v>
      </c>
      <c r="J40" s="100">
        <v>0.54</v>
      </c>
      <c r="K40" s="100">
        <v>268.61</v>
      </c>
      <c r="L40" s="100">
        <v>32.32</v>
      </c>
      <c r="M40" s="100">
        <v>56.32</v>
      </c>
      <c r="N40" s="100">
        <v>115.6</v>
      </c>
      <c r="O40" s="100">
        <v>0</v>
      </c>
      <c r="P40" s="100">
        <v>0.83</v>
      </c>
      <c r="Q40" s="100">
        <v>10.02</v>
      </c>
      <c r="R40" s="6"/>
      <c r="S40" s="6"/>
      <c r="T40" s="156"/>
      <c r="U40" s="6"/>
    </row>
    <row r="41" spans="1:21" customFormat="1">
      <c r="A41" s="163" t="s">
        <v>752</v>
      </c>
      <c r="B41" s="100">
        <v>8.14</v>
      </c>
      <c r="C41" s="100">
        <v>14.31</v>
      </c>
      <c r="D41" s="100">
        <v>6.18</v>
      </c>
      <c r="E41" s="100">
        <v>5.66</v>
      </c>
      <c r="F41" s="100">
        <v>8.0500000000000007</v>
      </c>
      <c r="G41" s="100">
        <v>93.07</v>
      </c>
      <c r="H41" s="100">
        <v>43.98</v>
      </c>
      <c r="I41" s="100">
        <v>13.76</v>
      </c>
      <c r="J41" s="100">
        <v>0.65</v>
      </c>
      <c r="K41" s="100">
        <v>261.99</v>
      </c>
      <c r="L41" s="100">
        <v>32.479999999999997</v>
      </c>
      <c r="M41" s="100">
        <v>55</v>
      </c>
      <c r="N41" s="100">
        <v>124.3</v>
      </c>
      <c r="O41" s="100">
        <v>0</v>
      </c>
      <c r="P41" s="100">
        <v>0.89</v>
      </c>
      <c r="Q41" s="100">
        <v>10.01</v>
      </c>
      <c r="R41" s="6"/>
      <c r="S41" s="6"/>
      <c r="T41" s="156"/>
      <c r="U41" s="6"/>
    </row>
    <row r="42" spans="1:21" customFormat="1">
      <c r="A42" s="163" t="s">
        <v>753</v>
      </c>
      <c r="B42" s="100">
        <v>7.47</v>
      </c>
      <c r="C42" s="100">
        <v>13.55</v>
      </c>
      <c r="D42" s="100">
        <v>6.08</v>
      </c>
      <c r="E42" s="100">
        <v>6.26</v>
      </c>
      <c r="F42" s="100">
        <v>6.98</v>
      </c>
      <c r="G42" s="100">
        <v>91.24</v>
      </c>
      <c r="H42" s="100">
        <v>44.26</v>
      </c>
      <c r="I42" s="100">
        <v>12.96</v>
      </c>
      <c r="J42" s="100">
        <v>0.57999999999999996</v>
      </c>
      <c r="K42" s="100">
        <v>248.78</v>
      </c>
      <c r="L42" s="100">
        <v>32.869999999999997</v>
      </c>
      <c r="M42" s="100">
        <v>53.95</v>
      </c>
      <c r="N42" s="100">
        <v>132</v>
      </c>
      <c r="O42" s="100">
        <v>0</v>
      </c>
      <c r="P42" s="100">
        <v>0.86</v>
      </c>
      <c r="Q42" s="100">
        <v>10.01</v>
      </c>
      <c r="R42" s="6"/>
      <c r="S42" s="6"/>
      <c r="T42" s="156"/>
      <c r="U42" s="6"/>
    </row>
    <row r="43" spans="1:21" customFormat="1">
      <c r="A43" s="163" t="s">
        <v>754</v>
      </c>
      <c r="B43" s="100">
        <v>6.75</v>
      </c>
      <c r="C43" s="100">
        <v>13.27</v>
      </c>
      <c r="D43" s="100">
        <v>6.51</v>
      </c>
      <c r="E43" s="100">
        <v>6.16</v>
      </c>
      <c r="F43" s="100">
        <v>11.21</v>
      </c>
      <c r="G43" s="100">
        <v>91.24</v>
      </c>
      <c r="H43" s="100">
        <v>44.26</v>
      </c>
      <c r="I43" s="100">
        <v>13.03</v>
      </c>
      <c r="J43" s="100">
        <v>0.75</v>
      </c>
      <c r="K43" s="100">
        <v>285.48</v>
      </c>
      <c r="L43" s="100">
        <v>33.54</v>
      </c>
      <c r="M43" s="100">
        <v>51.77</v>
      </c>
      <c r="N43" s="100">
        <v>139.9</v>
      </c>
      <c r="O43" s="100">
        <v>0</v>
      </c>
      <c r="P43" s="100">
        <v>0.84</v>
      </c>
      <c r="Q43" s="100">
        <v>9.99</v>
      </c>
      <c r="R43" s="6"/>
      <c r="S43" s="6"/>
      <c r="T43" s="156"/>
      <c r="U43" s="6"/>
    </row>
    <row r="44" spans="1:21" customFormat="1">
      <c r="A44" s="163" t="s">
        <v>755</v>
      </c>
      <c r="B44" s="100">
        <v>6.23</v>
      </c>
      <c r="C44" s="100">
        <v>12.8</v>
      </c>
      <c r="D44" s="100">
        <v>6.57</v>
      </c>
      <c r="E44" s="100">
        <v>5.92</v>
      </c>
      <c r="F44" s="100">
        <v>10.01</v>
      </c>
      <c r="G44" s="100">
        <v>91.24</v>
      </c>
      <c r="H44" s="100">
        <v>44.26</v>
      </c>
      <c r="I44" s="100">
        <v>12.94</v>
      </c>
      <c r="J44" s="100">
        <v>0.74</v>
      </c>
      <c r="K44" s="100">
        <v>284.20999999999998</v>
      </c>
      <c r="L44" s="100">
        <v>33.880000000000003</v>
      </c>
      <c r="M44" s="100">
        <v>48.58</v>
      </c>
      <c r="N44" s="100">
        <v>148.30000000000001</v>
      </c>
      <c r="O44" s="100">
        <v>0</v>
      </c>
      <c r="P44" s="100">
        <v>0.8</v>
      </c>
      <c r="Q44" s="100">
        <v>9.9700000000000006</v>
      </c>
      <c r="R44" s="6"/>
      <c r="S44" s="6"/>
      <c r="T44" s="156"/>
      <c r="U44" s="6"/>
    </row>
    <row r="45" spans="1:21" customFormat="1">
      <c r="A45" s="163" t="s">
        <v>756</v>
      </c>
      <c r="B45" s="100">
        <v>5.87</v>
      </c>
      <c r="C45" s="100">
        <v>13.1</v>
      </c>
      <c r="D45" s="100">
        <v>7.23</v>
      </c>
      <c r="E45" s="100">
        <v>6.27</v>
      </c>
      <c r="F45" s="100">
        <v>12.83</v>
      </c>
      <c r="G45" s="100">
        <v>88.01</v>
      </c>
      <c r="H45" s="100">
        <v>41.46</v>
      </c>
      <c r="I45" s="100">
        <v>12.63</v>
      </c>
      <c r="J45" s="100">
        <v>0.77</v>
      </c>
      <c r="K45" s="100">
        <v>288.92</v>
      </c>
      <c r="L45" s="100">
        <v>34.29</v>
      </c>
      <c r="M45" s="100">
        <v>47.39</v>
      </c>
      <c r="N45" s="100">
        <v>158.80000000000001</v>
      </c>
      <c r="O45" s="100">
        <v>0</v>
      </c>
      <c r="P45" s="100">
        <v>0.83</v>
      </c>
      <c r="Q45" s="100">
        <v>9.98</v>
      </c>
      <c r="R45" s="6"/>
      <c r="S45" s="6"/>
      <c r="T45" s="156"/>
      <c r="U45" s="6"/>
    </row>
    <row r="46" spans="1:21" customFormat="1">
      <c r="A46" s="163" t="s">
        <v>757</v>
      </c>
      <c r="B46" s="100">
        <v>5.3</v>
      </c>
      <c r="C46" s="100">
        <v>13.88</v>
      </c>
      <c r="D46" s="100">
        <v>8.58</v>
      </c>
      <c r="E46" s="100">
        <v>5.86</v>
      </c>
      <c r="F46" s="100">
        <v>3.94</v>
      </c>
      <c r="G46" s="100">
        <v>83.78</v>
      </c>
      <c r="H46" s="100">
        <v>39.520000000000003</v>
      </c>
      <c r="I46" s="100">
        <v>12.34</v>
      </c>
      <c r="J46" s="100">
        <v>0.68</v>
      </c>
      <c r="K46" s="100">
        <v>267.57</v>
      </c>
      <c r="L46" s="100">
        <v>34.53</v>
      </c>
      <c r="M46" s="100">
        <v>46.81</v>
      </c>
      <c r="N46" s="100">
        <v>169.4</v>
      </c>
      <c r="O46" s="100">
        <v>0</v>
      </c>
      <c r="P46" s="100">
        <v>0.82</v>
      </c>
      <c r="Q46" s="100">
        <v>9.98</v>
      </c>
      <c r="R46" s="6"/>
      <c r="S46" s="6"/>
      <c r="T46" s="156"/>
      <c r="U46" s="6"/>
    </row>
    <row r="47" spans="1:21" customFormat="1">
      <c r="A47" s="163" t="s">
        <v>758</v>
      </c>
      <c r="B47" s="100">
        <v>4.71</v>
      </c>
      <c r="C47" s="100">
        <v>14.49</v>
      </c>
      <c r="D47" s="100">
        <v>9.7799999999999994</v>
      </c>
      <c r="E47" s="100">
        <v>4.8099999999999996</v>
      </c>
      <c r="F47" s="100">
        <v>5.57</v>
      </c>
      <c r="G47" s="100">
        <v>83.78</v>
      </c>
      <c r="H47" s="100">
        <v>39.520000000000003</v>
      </c>
      <c r="I47" s="100">
        <v>12.46</v>
      </c>
      <c r="J47" s="100">
        <v>1</v>
      </c>
      <c r="K47" s="100">
        <v>284.25</v>
      </c>
      <c r="L47" s="100">
        <v>34.74</v>
      </c>
      <c r="M47" s="100">
        <v>44.85</v>
      </c>
      <c r="N47" s="100">
        <v>178.2</v>
      </c>
      <c r="O47" s="100">
        <v>0</v>
      </c>
      <c r="P47" s="100">
        <v>0.8</v>
      </c>
      <c r="Q47" s="100">
        <v>9.9700000000000006</v>
      </c>
      <c r="R47" s="6"/>
      <c r="S47" s="6"/>
      <c r="T47" s="156"/>
      <c r="U47" s="6"/>
    </row>
    <row r="48" spans="1:21" customFormat="1">
      <c r="A48" s="163" t="s">
        <v>759</v>
      </c>
      <c r="B48" s="100">
        <v>4.1900000000000004</v>
      </c>
      <c r="C48" s="100">
        <v>14.07</v>
      </c>
      <c r="D48" s="100">
        <v>9.8800000000000008</v>
      </c>
      <c r="E48" s="100">
        <v>4.67</v>
      </c>
      <c r="F48" s="100">
        <v>6.03</v>
      </c>
      <c r="G48" s="100">
        <v>83.78</v>
      </c>
      <c r="H48" s="100">
        <v>39.520000000000003</v>
      </c>
      <c r="I48" s="100">
        <v>12.71</v>
      </c>
      <c r="J48" s="100">
        <v>0.76</v>
      </c>
      <c r="K48" s="100">
        <v>278.74</v>
      </c>
      <c r="L48" s="100">
        <v>35.090000000000003</v>
      </c>
      <c r="M48" s="100">
        <v>43.86</v>
      </c>
      <c r="N48" s="100">
        <v>185.7</v>
      </c>
      <c r="O48" s="100">
        <v>0</v>
      </c>
      <c r="P48" s="100">
        <v>0.81</v>
      </c>
      <c r="Q48" s="100">
        <v>9.9499999999999993</v>
      </c>
      <c r="R48" s="6"/>
      <c r="S48" s="6"/>
      <c r="T48" s="156"/>
      <c r="U48" s="6"/>
    </row>
    <row r="49" spans="1:21" customFormat="1">
      <c r="A49" s="163" t="s">
        <v>760</v>
      </c>
      <c r="B49" s="100">
        <v>3.84</v>
      </c>
      <c r="C49" s="100">
        <v>13.28</v>
      </c>
      <c r="D49" s="100">
        <v>9.4499999999999993</v>
      </c>
      <c r="E49" s="100">
        <v>4.3600000000000003</v>
      </c>
      <c r="F49" s="100">
        <v>6.52</v>
      </c>
      <c r="G49" s="100">
        <v>82.06</v>
      </c>
      <c r="H49" s="100">
        <v>39.520000000000003</v>
      </c>
      <c r="I49" s="100">
        <v>12.78</v>
      </c>
      <c r="J49" s="100">
        <v>0.66</v>
      </c>
      <c r="K49" s="100">
        <v>286.06</v>
      </c>
      <c r="L49" s="100">
        <v>35.72</v>
      </c>
      <c r="M49" s="100">
        <v>43.31</v>
      </c>
      <c r="N49" s="100">
        <v>194.8</v>
      </c>
      <c r="O49" s="100">
        <v>0</v>
      </c>
      <c r="P49" s="100">
        <v>0.82</v>
      </c>
      <c r="Q49" s="100">
        <v>9.94</v>
      </c>
      <c r="R49" s="6"/>
      <c r="S49" s="6"/>
      <c r="T49" s="156"/>
      <c r="U49" s="6"/>
    </row>
    <row r="50" spans="1:21" customFormat="1">
      <c r="A50" s="163" t="s">
        <v>761</v>
      </c>
      <c r="B50" s="100">
        <v>3.62</v>
      </c>
      <c r="C50" s="100">
        <v>12.66</v>
      </c>
      <c r="D50" s="100">
        <v>9.0399999999999991</v>
      </c>
      <c r="E50" s="100">
        <v>5.46</v>
      </c>
      <c r="F50" s="100">
        <v>8.3800000000000008</v>
      </c>
      <c r="G50" s="100">
        <v>79.92</v>
      </c>
      <c r="H50" s="100">
        <v>39.53</v>
      </c>
      <c r="I50" s="100">
        <v>12.8</v>
      </c>
      <c r="J50" s="100">
        <v>0.84</v>
      </c>
      <c r="K50" s="100">
        <v>273.06</v>
      </c>
      <c r="L50" s="100">
        <v>36.020000000000003</v>
      </c>
      <c r="M50" s="100">
        <v>41.62</v>
      </c>
      <c r="N50" s="100">
        <v>204.2</v>
      </c>
      <c r="O50" s="100">
        <v>0</v>
      </c>
      <c r="P50" s="100">
        <v>0.84</v>
      </c>
      <c r="Q50" s="100">
        <v>9.9600000000000009</v>
      </c>
      <c r="R50" s="6"/>
      <c r="S50" s="6"/>
      <c r="T50" s="156"/>
      <c r="U50" s="6"/>
    </row>
    <row r="51" spans="1:21" customFormat="1">
      <c r="A51" s="163" t="s">
        <v>762</v>
      </c>
      <c r="B51" s="100">
        <v>3.54</v>
      </c>
      <c r="C51" s="100">
        <v>12.92</v>
      </c>
      <c r="D51" s="100">
        <v>9.3800000000000008</v>
      </c>
      <c r="E51" s="100">
        <v>5.24</v>
      </c>
      <c r="F51" s="100">
        <v>9.41</v>
      </c>
      <c r="G51" s="100">
        <v>79.92</v>
      </c>
      <c r="H51" s="100">
        <v>39.53</v>
      </c>
      <c r="I51" s="100">
        <v>12.93</v>
      </c>
      <c r="J51" s="100">
        <v>0.73</v>
      </c>
      <c r="K51" s="100">
        <v>287.43</v>
      </c>
      <c r="L51" s="100">
        <v>36.39</v>
      </c>
      <c r="M51" s="100">
        <v>40.51</v>
      </c>
      <c r="N51" s="100">
        <v>210.4</v>
      </c>
      <c r="O51" s="100">
        <v>0</v>
      </c>
      <c r="P51" s="100">
        <v>0.89</v>
      </c>
      <c r="Q51" s="100">
        <v>9.9600000000000009</v>
      </c>
      <c r="R51" s="6"/>
      <c r="S51" s="6"/>
      <c r="T51" s="156"/>
      <c r="U51" s="6"/>
    </row>
    <row r="52" spans="1:21" customFormat="1">
      <c r="A52" s="163" t="s">
        <v>763</v>
      </c>
      <c r="B52" s="100">
        <v>3.48</v>
      </c>
      <c r="C52" s="100">
        <v>11.35</v>
      </c>
      <c r="D52" s="100">
        <v>7.87</v>
      </c>
      <c r="E52" s="100">
        <v>5.64</v>
      </c>
      <c r="F52" s="100">
        <v>9.58</v>
      </c>
      <c r="G52" s="100">
        <v>79.92</v>
      </c>
      <c r="H52" s="100">
        <v>39.53</v>
      </c>
      <c r="I52" s="100">
        <v>13.29</v>
      </c>
      <c r="J52" s="100">
        <v>0.62</v>
      </c>
      <c r="K52" s="100">
        <v>285.91000000000003</v>
      </c>
      <c r="L52" s="100">
        <v>36.880000000000003</v>
      </c>
      <c r="M52" s="100">
        <v>39.51</v>
      </c>
      <c r="N52" s="100">
        <v>217.4</v>
      </c>
      <c r="O52" s="100">
        <v>0</v>
      </c>
      <c r="P52" s="100">
        <v>0.88</v>
      </c>
      <c r="Q52" s="100">
        <v>9.9600000000000009</v>
      </c>
      <c r="R52" s="6"/>
      <c r="S52" s="6"/>
      <c r="T52" s="156"/>
      <c r="U52" s="6"/>
    </row>
    <row r="53" spans="1:21" customFormat="1">
      <c r="A53" s="163" t="s">
        <v>764</v>
      </c>
      <c r="B53" s="100">
        <v>3.49</v>
      </c>
      <c r="C53" s="100">
        <v>12.74</v>
      </c>
      <c r="D53" s="100">
        <v>9.25</v>
      </c>
      <c r="E53" s="100">
        <v>5.72</v>
      </c>
      <c r="F53" s="100">
        <v>12.31</v>
      </c>
      <c r="G53" s="100">
        <v>82.15</v>
      </c>
      <c r="H53" s="100">
        <v>41.33</v>
      </c>
      <c r="I53" s="100">
        <v>13.97</v>
      </c>
      <c r="J53" s="100">
        <v>0.8</v>
      </c>
      <c r="K53" s="100">
        <v>294.17</v>
      </c>
      <c r="L53" s="100">
        <v>37.020000000000003</v>
      </c>
      <c r="M53" s="100">
        <v>38.35</v>
      </c>
      <c r="N53" s="100">
        <v>225.3</v>
      </c>
      <c r="O53" s="100">
        <v>0</v>
      </c>
      <c r="P53" s="100">
        <v>0.91</v>
      </c>
      <c r="Q53" s="100">
        <v>9.9600000000000009</v>
      </c>
      <c r="R53" s="6"/>
      <c r="S53" s="6"/>
      <c r="T53" s="156"/>
      <c r="U53" s="6"/>
    </row>
    <row r="54" spans="1:21" customFormat="1">
      <c r="A54" s="163" t="s">
        <v>765</v>
      </c>
      <c r="B54" s="100">
        <v>3.44</v>
      </c>
      <c r="C54" s="100">
        <v>10.54</v>
      </c>
      <c r="D54" s="100">
        <v>7.1</v>
      </c>
      <c r="E54" s="100">
        <v>6.23</v>
      </c>
      <c r="F54" s="100">
        <v>10.75</v>
      </c>
      <c r="G54" s="100">
        <v>84.94</v>
      </c>
      <c r="H54" s="100">
        <v>42.57</v>
      </c>
      <c r="I54" s="100">
        <v>14.17</v>
      </c>
      <c r="J54" s="100">
        <v>0.62</v>
      </c>
      <c r="K54" s="100">
        <v>271.56</v>
      </c>
      <c r="L54" s="100">
        <v>37.520000000000003</v>
      </c>
      <c r="M54" s="100">
        <v>37.6</v>
      </c>
      <c r="N54" s="100">
        <v>232.3</v>
      </c>
      <c r="O54" s="100">
        <v>0</v>
      </c>
      <c r="P54" s="100">
        <v>0.87</v>
      </c>
      <c r="Q54" s="100">
        <v>9.9499999999999993</v>
      </c>
      <c r="R54" s="6"/>
      <c r="S54" s="6"/>
      <c r="T54" s="156"/>
      <c r="U54" s="6"/>
    </row>
    <row r="55" spans="1:21" customFormat="1">
      <c r="A55" s="163" t="s">
        <v>766</v>
      </c>
      <c r="B55" s="100">
        <v>3.38</v>
      </c>
      <c r="C55" s="100">
        <v>10.56</v>
      </c>
      <c r="D55" s="100">
        <v>7.17</v>
      </c>
      <c r="E55" s="100">
        <v>5.93</v>
      </c>
      <c r="F55" s="100">
        <v>12.87</v>
      </c>
      <c r="G55" s="100">
        <v>84.94</v>
      </c>
      <c r="H55" s="100">
        <v>42.57</v>
      </c>
      <c r="I55" s="100">
        <v>14.41</v>
      </c>
      <c r="J55" s="100">
        <v>0.62</v>
      </c>
      <c r="K55" s="100">
        <v>278.27999999999997</v>
      </c>
      <c r="L55" s="100">
        <v>37.86</v>
      </c>
      <c r="M55" s="100">
        <v>35.83</v>
      </c>
      <c r="N55" s="100">
        <v>240.8</v>
      </c>
      <c r="O55" s="100">
        <v>0</v>
      </c>
      <c r="P55" s="100">
        <v>0.86</v>
      </c>
      <c r="Q55" s="100">
        <v>9.94</v>
      </c>
      <c r="R55" s="6"/>
      <c r="S55" s="6"/>
      <c r="T55" s="156"/>
      <c r="U55" s="6"/>
    </row>
    <row r="56" spans="1:21" customFormat="1">
      <c r="A56" s="163" t="s">
        <v>767</v>
      </c>
      <c r="B56" s="100">
        <v>3.37</v>
      </c>
      <c r="C56" s="100">
        <v>11.01</v>
      </c>
      <c r="D56" s="100">
        <v>7.64</v>
      </c>
      <c r="E56" s="100">
        <v>5.84</v>
      </c>
      <c r="F56" s="100">
        <v>10.6</v>
      </c>
      <c r="G56" s="100">
        <v>84.94</v>
      </c>
      <c r="H56" s="100">
        <v>42.57</v>
      </c>
      <c r="I56" s="100">
        <v>14.24</v>
      </c>
      <c r="J56" s="100">
        <v>0.6</v>
      </c>
      <c r="K56" s="100">
        <v>241.74</v>
      </c>
      <c r="L56" s="100">
        <v>38.229999999999997</v>
      </c>
      <c r="M56" s="100">
        <v>34.76</v>
      </c>
      <c r="N56" s="100">
        <v>508.9</v>
      </c>
      <c r="O56" s="100">
        <v>0</v>
      </c>
      <c r="P56" s="100">
        <v>0.87</v>
      </c>
      <c r="Q56" s="100">
        <v>9.9499999999999993</v>
      </c>
      <c r="R56" s="6"/>
      <c r="S56" s="6"/>
      <c r="T56" s="156"/>
      <c r="U56" s="6"/>
    </row>
    <row r="57" spans="1:21" customFormat="1">
      <c r="A57" s="163" t="s">
        <v>768</v>
      </c>
      <c r="B57" s="100">
        <v>3.36</v>
      </c>
      <c r="C57" s="100">
        <v>9.4700000000000006</v>
      </c>
      <c r="D57" s="100">
        <v>6.11</v>
      </c>
      <c r="E57" s="100">
        <v>5.92</v>
      </c>
      <c r="F57" s="100">
        <v>14.82</v>
      </c>
      <c r="G57" s="100">
        <v>82</v>
      </c>
      <c r="H57" s="100">
        <v>42.38</v>
      </c>
      <c r="I57" s="100">
        <v>13.97</v>
      </c>
      <c r="J57" s="100">
        <v>0.73</v>
      </c>
      <c r="K57" s="100">
        <v>283.77</v>
      </c>
      <c r="L57" s="100">
        <v>38.49</v>
      </c>
      <c r="M57" s="100">
        <v>31.54</v>
      </c>
      <c r="N57" s="100">
        <v>812.6</v>
      </c>
      <c r="O57" s="100">
        <v>0</v>
      </c>
      <c r="P57" s="100">
        <v>0.84</v>
      </c>
      <c r="Q57" s="100">
        <v>9.94</v>
      </c>
      <c r="R57" s="6"/>
      <c r="S57" s="6"/>
      <c r="T57" s="156"/>
      <c r="U57" s="6"/>
    </row>
    <row r="58" spans="1:21" customFormat="1">
      <c r="A58" s="163" t="s">
        <v>769</v>
      </c>
      <c r="B58" s="100">
        <v>3.38</v>
      </c>
      <c r="C58" s="100">
        <v>11.01</v>
      </c>
      <c r="D58" s="100">
        <v>7.62</v>
      </c>
      <c r="E58" s="100">
        <v>5.71</v>
      </c>
      <c r="F58" s="100">
        <v>10.17</v>
      </c>
      <c r="G58" s="100">
        <v>78.16</v>
      </c>
      <c r="H58" s="100">
        <v>42.06</v>
      </c>
      <c r="I58" s="100">
        <v>13.66</v>
      </c>
      <c r="J58" s="100">
        <v>0.61</v>
      </c>
      <c r="K58" s="100">
        <v>294.3</v>
      </c>
      <c r="L58" s="100">
        <v>38.950000000000003</v>
      </c>
      <c r="M58" s="100">
        <v>29.15</v>
      </c>
      <c r="N58" s="100">
        <v>812.7</v>
      </c>
      <c r="O58" s="100">
        <v>0</v>
      </c>
      <c r="P58" s="100">
        <v>0.83</v>
      </c>
      <c r="Q58" s="100">
        <v>9.9499999999999993</v>
      </c>
      <c r="R58" s="6"/>
      <c r="S58" s="6"/>
      <c r="T58" s="156"/>
      <c r="U58" s="6"/>
    </row>
    <row r="59" spans="1:21" customFormat="1">
      <c r="A59" s="163" t="s">
        <v>770</v>
      </c>
      <c r="B59" s="100">
        <v>3.55</v>
      </c>
      <c r="C59" s="100">
        <v>10.02</v>
      </c>
      <c r="D59" s="100">
        <v>6.47</v>
      </c>
      <c r="E59" s="100">
        <v>5.94</v>
      </c>
      <c r="F59" s="100">
        <v>9.7799999999999994</v>
      </c>
      <c r="G59" s="100">
        <v>78.16</v>
      </c>
      <c r="H59" s="100">
        <v>42.06</v>
      </c>
      <c r="I59" s="100">
        <v>13.24</v>
      </c>
      <c r="J59" s="100">
        <v>0.56000000000000005</v>
      </c>
      <c r="K59" s="100">
        <v>303.25</v>
      </c>
      <c r="L59" s="100">
        <v>39.229999999999997</v>
      </c>
      <c r="M59" s="100">
        <v>27.45</v>
      </c>
      <c r="N59" s="100">
        <v>783.5</v>
      </c>
      <c r="O59" s="100">
        <v>0</v>
      </c>
      <c r="P59" s="100">
        <v>0.8</v>
      </c>
      <c r="Q59" s="100">
        <v>9.9499999999999993</v>
      </c>
      <c r="R59" s="6"/>
      <c r="S59" s="6"/>
      <c r="T59" s="156"/>
      <c r="U59" s="6"/>
    </row>
    <row r="60" spans="1:21" customFormat="1">
      <c r="A60" s="163" t="s">
        <v>771</v>
      </c>
      <c r="B60" s="100">
        <v>3.53</v>
      </c>
      <c r="C60" s="100">
        <v>9.74</v>
      </c>
      <c r="D60" s="100">
        <v>6.2</v>
      </c>
      <c r="E60" s="100">
        <v>5.72</v>
      </c>
      <c r="F60" s="100">
        <v>13.53</v>
      </c>
      <c r="G60" s="100">
        <v>78.16</v>
      </c>
      <c r="H60" s="100">
        <v>42.06</v>
      </c>
      <c r="I60" s="100">
        <v>12.9</v>
      </c>
      <c r="J60" s="100">
        <v>0.79</v>
      </c>
      <c r="K60" s="100">
        <v>318.04000000000002</v>
      </c>
      <c r="L60" s="100">
        <v>39.06</v>
      </c>
      <c r="M60" s="100">
        <v>25.91</v>
      </c>
      <c r="N60" s="100">
        <v>790.9</v>
      </c>
      <c r="O60" s="100">
        <v>0</v>
      </c>
      <c r="P60" s="100">
        <v>0.74</v>
      </c>
      <c r="Q60" s="100">
        <v>9.9600000000000009</v>
      </c>
      <c r="R60" s="6"/>
      <c r="S60" s="6"/>
      <c r="T60" s="156"/>
      <c r="U60" s="6"/>
    </row>
    <row r="61" spans="1:21" customFormat="1">
      <c r="A61" s="163" t="s">
        <v>772</v>
      </c>
      <c r="B61" s="100">
        <v>3.55</v>
      </c>
      <c r="C61" s="100">
        <v>9.68</v>
      </c>
      <c r="D61" s="100">
        <v>6.13</v>
      </c>
      <c r="E61" s="100">
        <v>5.52</v>
      </c>
      <c r="F61" s="100">
        <v>11.32</v>
      </c>
      <c r="G61" s="100">
        <v>71.33</v>
      </c>
      <c r="H61" s="100">
        <v>38.14</v>
      </c>
      <c r="I61" s="100">
        <v>12.55</v>
      </c>
      <c r="J61" s="100">
        <v>1</v>
      </c>
      <c r="K61" s="100">
        <v>298.60000000000002</v>
      </c>
      <c r="L61" s="100">
        <v>39.26</v>
      </c>
      <c r="M61" s="100">
        <v>25.62</v>
      </c>
      <c r="N61" s="100">
        <v>697.9</v>
      </c>
      <c r="O61" s="100">
        <v>0</v>
      </c>
      <c r="P61" s="100">
        <v>0.72</v>
      </c>
      <c r="Q61" s="100">
        <v>9.9600000000000009</v>
      </c>
      <c r="R61" s="6"/>
      <c r="S61" s="6"/>
      <c r="T61" s="156"/>
      <c r="U61" s="6"/>
    </row>
    <row r="62" spans="1:21" customFormat="1">
      <c r="A62" s="163" t="s">
        <v>773</v>
      </c>
      <c r="B62" s="100">
        <v>3.44</v>
      </c>
      <c r="C62" s="100">
        <v>8.8699999999999992</v>
      </c>
      <c r="D62" s="100">
        <v>5.43</v>
      </c>
      <c r="E62" s="100">
        <v>5.46</v>
      </c>
      <c r="F62" s="100">
        <v>12.5</v>
      </c>
      <c r="G62" s="100">
        <v>62.8</v>
      </c>
      <c r="H62" s="100">
        <v>35.49</v>
      </c>
      <c r="I62" s="100">
        <v>11.9</v>
      </c>
      <c r="J62" s="100">
        <v>0.38</v>
      </c>
      <c r="K62" s="100">
        <v>246.51</v>
      </c>
      <c r="L62" s="100">
        <v>39.729999999999997</v>
      </c>
      <c r="M62" s="100">
        <v>26.87</v>
      </c>
      <c r="N62" s="100">
        <v>717.6</v>
      </c>
      <c r="O62" s="100">
        <v>0</v>
      </c>
      <c r="P62" s="100">
        <v>0.67</v>
      </c>
      <c r="Q62" s="100">
        <v>9.9499999999999993</v>
      </c>
      <c r="R62" s="6"/>
      <c r="S62" s="6"/>
      <c r="T62" s="156"/>
      <c r="U62" s="6"/>
    </row>
    <row r="63" spans="1:21" customFormat="1">
      <c r="A63" s="163" t="s">
        <v>774</v>
      </c>
      <c r="B63" s="100">
        <v>3.41</v>
      </c>
      <c r="C63" s="100">
        <v>8.4600000000000009</v>
      </c>
      <c r="D63" s="100">
        <v>5.0599999999999996</v>
      </c>
      <c r="E63" s="100">
        <v>5.42</v>
      </c>
      <c r="F63" s="100">
        <v>12.88</v>
      </c>
      <c r="G63" s="100">
        <v>62.8</v>
      </c>
      <c r="H63" s="100">
        <v>35.49</v>
      </c>
      <c r="I63" s="100">
        <v>11.59</v>
      </c>
      <c r="J63" s="100">
        <v>0.92</v>
      </c>
      <c r="K63" s="100">
        <v>296.76</v>
      </c>
      <c r="L63" s="100">
        <v>39.36</v>
      </c>
      <c r="M63" s="100">
        <v>26.56</v>
      </c>
      <c r="N63" s="100">
        <v>681.3</v>
      </c>
      <c r="O63" s="100">
        <v>0</v>
      </c>
      <c r="P63" s="100">
        <v>0.65</v>
      </c>
      <c r="Q63" s="100">
        <v>9.9499999999999993</v>
      </c>
      <c r="R63" s="6"/>
      <c r="S63" s="6"/>
      <c r="T63" s="156"/>
      <c r="U63" s="6"/>
    </row>
    <row r="64" spans="1:21" customFormat="1">
      <c r="A64" s="163" t="s">
        <v>775</v>
      </c>
      <c r="B64" s="100">
        <v>3.41</v>
      </c>
      <c r="C64" s="100">
        <v>9.92</v>
      </c>
      <c r="D64" s="100">
        <v>6.51</v>
      </c>
      <c r="E64" s="100">
        <v>5.31</v>
      </c>
      <c r="F64" s="100">
        <v>10.220000000000001</v>
      </c>
      <c r="G64" s="100">
        <v>62.8</v>
      </c>
      <c r="H64" s="100">
        <v>35.49</v>
      </c>
      <c r="I64" s="100">
        <v>11.09</v>
      </c>
      <c r="J64" s="100">
        <v>0.69</v>
      </c>
      <c r="K64" s="100">
        <v>290.89999999999998</v>
      </c>
      <c r="L64" s="100">
        <v>39.700000000000003</v>
      </c>
      <c r="M64" s="100">
        <v>26.34</v>
      </c>
      <c r="N64" s="100">
        <v>577.1</v>
      </c>
      <c r="O64" s="100">
        <v>0</v>
      </c>
      <c r="P64" s="100">
        <v>0.67</v>
      </c>
      <c r="Q64" s="100">
        <v>9.9600000000000009</v>
      </c>
      <c r="R64" s="6"/>
      <c r="S64" s="6"/>
      <c r="T64" s="156"/>
      <c r="U64" s="6"/>
    </row>
    <row r="65" spans="1:21" customFormat="1">
      <c r="A65" s="163" t="s">
        <v>776</v>
      </c>
      <c r="B65" s="100">
        <v>3.42</v>
      </c>
      <c r="C65" s="100">
        <v>10.29</v>
      </c>
      <c r="D65" s="100">
        <v>6.87</v>
      </c>
      <c r="E65" s="100">
        <v>5.86</v>
      </c>
      <c r="F65" s="100">
        <v>11.05</v>
      </c>
      <c r="G65" s="100">
        <v>63.34</v>
      </c>
      <c r="H65" s="100">
        <v>34.75</v>
      </c>
      <c r="I65" s="100">
        <v>10.84</v>
      </c>
      <c r="J65" s="100">
        <v>0.81</v>
      </c>
      <c r="K65" s="100">
        <v>296.66000000000003</v>
      </c>
      <c r="L65" s="100">
        <v>39.54</v>
      </c>
      <c r="M65" s="100">
        <v>26.09</v>
      </c>
      <c r="N65" s="100">
        <v>316</v>
      </c>
      <c r="O65" s="100">
        <v>0</v>
      </c>
      <c r="P65" s="100">
        <v>0.55000000000000004</v>
      </c>
      <c r="Q65" s="100">
        <v>9.9499999999999993</v>
      </c>
      <c r="R65" s="6"/>
      <c r="S65" s="6"/>
      <c r="T65" s="156"/>
      <c r="U65" s="6"/>
    </row>
    <row r="66" spans="1:21" customFormat="1">
      <c r="A66" s="163" t="s">
        <v>777</v>
      </c>
      <c r="B66" s="100">
        <v>3.41</v>
      </c>
      <c r="C66" s="100">
        <v>9.32</v>
      </c>
      <c r="D66" s="100">
        <v>5.91</v>
      </c>
      <c r="E66" s="100">
        <v>5.62</v>
      </c>
      <c r="F66" s="100">
        <v>15.73</v>
      </c>
      <c r="G66" s="100">
        <v>64.040000000000006</v>
      </c>
      <c r="H66" s="100">
        <v>34.229999999999997</v>
      </c>
      <c r="I66" s="100">
        <v>10.54</v>
      </c>
      <c r="J66" s="100">
        <v>0.8</v>
      </c>
      <c r="K66" s="100">
        <v>263.70999999999998</v>
      </c>
      <c r="L66" s="100">
        <v>39.82</v>
      </c>
      <c r="M66" s="100">
        <v>25.81</v>
      </c>
      <c r="N66" s="100">
        <v>309</v>
      </c>
      <c r="O66" s="100">
        <v>0</v>
      </c>
      <c r="P66" s="100">
        <v>0.57999999999999996</v>
      </c>
      <c r="Q66" s="100">
        <v>9.94</v>
      </c>
      <c r="R66" s="6"/>
      <c r="S66" s="6"/>
      <c r="T66" s="156"/>
      <c r="U66" s="6"/>
    </row>
    <row r="67" spans="1:21" customFormat="1">
      <c r="A67" s="163" t="s">
        <v>778</v>
      </c>
      <c r="B67" s="100">
        <v>3.43</v>
      </c>
      <c r="C67" s="100">
        <v>8.65</v>
      </c>
      <c r="D67" s="100">
        <v>5.22</v>
      </c>
      <c r="E67" s="100">
        <v>6.21</v>
      </c>
      <c r="F67" s="100">
        <v>21.12</v>
      </c>
      <c r="G67" s="100">
        <v>64.040000000000006</v>
      </c>
      <c r="H67" s="100">
        <v>34.229999999999997</v>
      </c>
      <c r="I67" s="100">
        <v>10</v>
      </c>
      <c r="J67" s="100">
        <v>0.73</v>
      </c>
      <c r="K67" s="100">
        <v>250.16</v>
      </c>
      <c r="L67" s="100">
        <v>39.39</v>
      </c>
      <c r="M67" s="100">
        <v>27.77</v>
      </c>
      <c r="N67" s="100">
        <v>271.8</v>
      </c>
      <c r="O67" s="100">
        <v>0</v>
      </c>
      <c r="P67" s="100">
        <v>0.6</v>
      </c>
      <c r="Q67" s="100">
        <v>9.9499999999999993</v>
      </c>
      <c r="R67" s="6"/>
      <c r="S67" s="6"/>
      <c r="T67" s="156"/>
      <c r="U67" s="6"/>
    </row>
    <row r="68" spans="1:21" customFormat="1">
      <c r="A68" s="163" t="s">
        <v>779</v>
      </c>
      <c r="B68" s="100">
        <v>3.52</v>
      </c>
      <c r="C68" s="100">
        <v>8.52</v>
      </c>
      <c r="D68" s="100">
        <v>5</v>
      </c>
      <c r="E68" s="100">
        <v>6.47</v>
      </c>
      <c r="F68" s="100">
        <v>20.18</v>
      </c>
      <c r="G68" s="100">
        <v>64.040000000000006</v>
      </c>
      <c r="H68" s="100">
        <v>34.229999999999997</v>
      </c>
      <c r="I68" s="100">
        <v>9.59</v>
      </c>
      <c r="J68" s="100">
        <v>1.07</v>
      </c>
      <c r="K68" s="100">
        <v>289.02999999999997</v>
      </c>
      <c r="L68" s="100">
        <v>39.36</v>
      </c>
      <c r="M68" s="100">
        <v>26.51</v>
      </c>
      <c r="N68" s="100">
        <v>422.5</v>
      </c>
      <c r="O68" s="100">
        <v>0</v>
      </c>
      <c r="P68" s="100">
        <v>0.61</v>
      </c>
      <c r="Q68" s="100">
        <v>9.93</v>
      </c>
      <c r="R68" s="6"/>
      <c r="S68" s="6"/>
      <c r="T68" s="156"/>
      <c r="U68" s="6"/>
    </row>
    <row r="69" spans="1:21" customFormat="1">
      <c r="A69" s="163" t="s">
        <v>780</v>
      </c>
      <c r="B69" s="100">
        <v>3.67</v>
      </c>
      <c r="C69" s="100">
        <v>8.8800000000000008</v>
      </c>
      <c r="D69" s="100">
        <v>5.21</v>
      </c>
      <c r="E69" s="100">
        <v>6.1</v>
      </c>
      <c r="F69" s="100">
        <v>29.21</v>
      </c>
      <c r="G69" s="100">
        <v>65.61</v>
      </c>
      <c r="H69" s="100">
        <v>34.69</v>
      </c>
      <c r="I69" s="100">
        <v>9.3800000000000008</v>
      </c>
      <c r="J69" s="100">
        <v>0.69</v>
      </c>
      <c r="K69" s="100">
        <v>278.12</v>
      </c>
      <c r="L69" s="100">
        <v>39.24</v>
      </c>
      <c r="M69" s="100">
        <v>26.5</v>
      </c>
      <c r="N69" s="100">
        <v>446.9</v>
      </c>
      <c r="O69" s="100">
        <v>0</v>
      </c>
      <c r="P69" s="100">
        <v>0.56999999999999995</v>
      </c>
      <c r="Q69" s="100">
        <v>9.92</v>
      </c>
      <c r="R69" s="6"/>
      <c r="S69" s="6"/>
      <c r="T69" s="156"/>
      <c r="U69" s="6"/>
    </row>
    <row r="70" spans="1:21" customFormat="1">
      <c r="A70" s="163" t="s">
        <v>781</v>
      </c>
      <c r="B70" s="100">
        <v>3.67</v>
      </c>
      <c r="C70" s="100">
        <v>8.25</v>
      </c>
      <c r="D70" s="100">
        <v>4.58</v>
      </c>
      <c r="E70" s="100">
        <v>5.89</v>
      </c>
      <c r="F70" s="100">
        <v>20.09</v>
      </c>
      <c r="G70" s="100">
        <v>67.569999999999993</v>
      </c>
      <c r="H70" s="100">
        <v>35.01</v>
      </c>
      <c r="I70" s="100">
        <v>9.14</v>
      </c>
      <c r="J70" s="100">
        <v>0.76</v>
      </c>
      <c r="K70" s="100">
        <v>280.42</v>
      </c>
      <c r="L70" s="100">
        <v>39.32</v>
      </c>
      <c r="M70" s="100">
        <v>26.57</v>
      </c>
      <c r="N70" s="100">
        <v>471.8</v>
      </c>
      <c r="O70" s="100">
        <v>0</v>
      </c>
      <c r="P70" s="100">
        <v>0.56999999999999995</v>
      </c>
      <c r="Q70" s="100">
        <v>9.92</v>
      </c>
      <c r="R70" s="6"/>
      <c r="S70" s="6"/>
      <c r="T70" s="156"/>
      <c r="U70" s="6"/>
    </row>
    <row r="71" spans="1:21" customFormat="1">
      <c r="A71" s="163" t="s">
        <v>782</v>
      </c>
      <c r="B71" s="100">
        <v>3.65</v>
      </c>
      <c r="C71" s="100">
        <v>8.1300000000000008</v>
      </c>
      <c r="D71" s="100">
        <v>4.4800000000000004</v>
      </c>
      <c r="E71" s="100">
        <v>5.72</v>
      </c>
      <c r="F71" s="100">
        <v>22.6</v>
      </c>
      <c r="G71" s="100">
        <v>67.569999999999993</v>
      </c>
      <c r="H71" s="100">
        <v>35.01</v>
      </c>
      <c r="I71" s="100">
        <v>8.59</v>
      </c>
      <c r="J71" s="100">
        <v>0.66</v>
      </c>
      <c r="K71" s="100">
        <v>256.47000000000003</v>
      </c>
      <c r="L71" s="100">
        <v>39.159999999999997</v>
      </c>
      <c r="M71" s="100">
        <v>26.36</v>
      </c>
      <c r="N71" s="100">
        <v>268.10000000000002</v>
      </c>
      <c r="O71" s="100">
        <v>0</v>
      </c>
      <c r="P71" s="100">
        <v>0.56000000000000005</v>
      </c>
      <c r="Q71" s="100">
        <v>9.92</v>
      </c>
      <c r="R71" s="6"/>
      <c r="S71" s="6"/>
      <c r="T71" s="156"/>
      <c r="U71" s="6"/>
    </row>
    <row r="72" spans="1:21" customFormat="1">
      <c r="A72" s="163" t="s">
        <v>783</v>
      </c>
      <c r="B72" s="100">
        <v>3.64</v>
      </c>
      <c r="C72" s="100">
        <v>7.93</v>
      </c>
      <c r="D72" s="100">
        <v>4.29</v>
      </c>
      <c r="E72" s="100">
        <v>6.3</v>
      </c>
      <c r="F72" s="100">
        <v>24.01</v>
      </c>
      <c r="G72" s="100">
        <v>67.569999999999993</v>
      </c>
      <c r="H72" s="100">
        <v>35.01</v>
      </c>
      <c r="I72" s="100">
        <v>8.89</v>
      </c>
      <c r="J72" s="100">
        <v>0.71</v>
      </c>
      <c r="K72" s="100">
        <v>260.33999999999997</v>
      </c>
      <c r="L72" s="100">
        <v>38.31</v>
      </c>
      <c r="M72" s="100">
        <v>28.26</v>
      </c>
      <c r="N72" s="100">
        <v>151.30000000000001</v>
      </c>
      <c r="O72" s="100">
        <v>0</v>
      </c>
      <c r="P72" s="100">
        <v>0.56000000000000005</v>
      </c>
      <c r="Q72" s="100">
        <v>9.92</v>
      </c>
      <c r="R72" s="6"/>
      <c r="S72" s="6"/>
      <c r="T72" s="156"/>
      <c r="U72" s="6"/>
    </row>
    <row r="73" spans="1:21" customFormat="1">
      <c r="A73" s="163" t="s">
        <v>784</v>
      </c>
      <c r="B73" s="100">
        <v>3.64</v>
      </c>
      <c r="C73" s="100">
        <v>7.92</v>
      </c>
      <c r="D73" s="100">
        <v>4.2699999999999996</v>
      </c>
      <c r="E73" s="100">
        <v>6.48</v>
      </c>
      <c r="F73" s="100">
        <v>23.9</v>
      </c>
      <c r="G73" s="100">
        <v>64.88</v>
      </c>
      <c r="H73" s="100">
        <v>34.799999999999997</v>
      </c>
      <c r="I73" s="100">
        <v>8.7799999999999994</v>
      </c>
      <c r="J73" s="100">
        <v>0.81</v>
      </c>
      <c r="K73" s="100">
        <v>253.81</v>
      </c>
      <c r="L73" s="100">
        <v>38.4</v>
      </c>
      <c r="M73" s="100">
        <v>28.16</v>
      </c>
      <c r="N73" s="100">
        <v>169.1</v>
      </c>
      <c r="O73" s="100">
        <v>0</v>
      </c>
      <c r="P73" s="100">
        <v>0.54</v>
      </c>
      <c r="Q73" s="100">
        <v>9.93</v>
      </c>
      <c r="R73" s="6"/>
      <c r="S73" s="6"/>
      <c r="T73" s="156"/>
      <c r="U73" s="6"/>
    </row>
    <row r="74" spans="1:21" customFormat="1">
      <c r="A74" s="163" t="s">
        <v>785</v>
      </c>
      <c r="B74" s="100">
        <v>3.63</v>
      </c>
      <c r="C74" s="100">
        <v>7.57</v>
      </c>
      <c r="D74" s="100">
        <v>3.93</v>
      </c>
      <c r="E74" s="100">
        <v>5.98</v>
      </c>
      <c r="F74" s="100">
        <v>22.43</v>
      </c>
      <c r="G74" s="100">
        <v>61.52</v>
      </c>
      <c r="H74" s="100">
        <v>34.659999999999997</v>
      </c>
      <c r="I74" s="100">
        <v>9.07</v>
      </c>
      <c r="J74" s="100">
        <v>0.73</v>
      </c>
      <c r="K74" s="100">
        <v>252.23</v>
      </c>
      <c r="L74" s="100">
        <v>38.29</v>
      </c>
      <c r="M74" s="100">
        <v>27.81</v>
      </c>
      <c r="N74" s="100">
        <v>132.69999999999999</v>
      </c>
      <c r="O74" s="100">
        <v>0</v>
      </c>
      <c r="P74" s="100">
        <v>0.52</v>
      </c>
      <c r="Q74" s="100">
        <v>9.94</v>
      </c>
      <c r="R74" s="6"/>
      <c r="S74" s="6"/>
      <c r="T74" s="156"/>
      <c r="U74" s="6"/>
    </row>
    <row r="75" spans="1:21" customFormat="1">
      <c r="A75" s="163" t="s">
        <v>786</v>
      </c>
      <c r="B75" s="100">
        <v>3.62</v>
      </c>
      <c r="C75" s="100">
        <v>7.55</v>
      </c>
      <c r="D75" s="100">
        <v>3.93</v>
      </c>
      <c r="E75" s="100">
        <v>5.74</v>
      </c>
      <c r="F75" s="100">
        <v>26.77</v>
      </c>
      <c r="G75" s="100">
        <v>61.52</v>
      </c>
      <c r="H75" s="100">
        <v>34.659999999999997</v>
      </c>
      <c r="I75" s="100">
        <v>8.66</v>
      </c>
      <c r="J75" s="100">
        <v>0.64</v>
      </c>
      <c r="K75" s="100">
        <v>257.14999999999998</v>
      </c>
      <c r="L75" s="100">
        <v>38.07</v>
      </c>
      <c r="M75" s="100">
        <v>27.9</v>
      </c>
      <c r="N75" s="100">
        <v>115.4</v>
      </c>
      <c r="O75" s="100">
        <v>0</v>
      </c>
      <c r="P75" s="100">
        <v>0.52</v>
      </c>
      <c r="Q75" s="100">
        <v>9.94</v>
      </c>
      <c r="R75" s="6"/>
      <c r="S75" s="6"/>
      <c r="T75" s="156"/>
      <c r="U75" s="6"/>
    </row>
    <row r="76" spans="1:21" customFormat="1">
      <c r="A76" s="163" t="s">
        <v>787</v>
      </c>
      <c r="B76" s="100">
        <v>3.59</v>
      </c>
      <c r="C76" s="100">
        <v>7.56</v>
      </c>
      <c r="D76" s="100">
        <v>3.97</v>
      </c>
      <c r="E76" s="100">
        <v>6.18</v>
      </c>
      <c r="F76" s="100">
        <v>35.53</v>
      </c>
      <c r="G76" s="100">
        <v>61.52</v>
      </c>
      <c r="H76" s="100">
        <v>34.659999999999997</v>
      </c>
      <c r="I76" s="100">
        <v>8.41</v>
      </c>
      <c r="J76" s="100">
        <v>0.44</v>
      </c>
      <c r="K76" s="100">
        <v>244.67</v>
      </c>
      <c r="L76" s="100">
        <v>38</v>
      </c>
      <c r="M76" s="100">
        <v>28.59</v>
      </c>
      <c r="N76" s="100">
        <v>121.9</v>
      </c>
      <c r="O76" s="100">
        <v>0</v>
      </c>
      <c r="P76" s="100">
        <v>0.49</v>
      </c>
      <c r="Q76" s="100">
        <v>9.9600000000000009</v>
      </c>
      <c r="R76" s="6"/>
      <c r="S76" s="6"/>
      <c r="T76" s="156"/>
      <c r="U76" s="6"/>
    </row>
    <row r="77" spans="1:21" customFormat="1">
      <c r="A77" s="163" t="s">
        <v>788</v>
      </c>
      <c r="B77" s="100">
        <v>3.57</v>
      </c>
      <c r="C77" s="100">
        <v>7.82</v>
      </c>
      <c r="D77" s="100">
        <v>4.25</v>
      </c>
      <c r="E77" s="100">
        <v>7.32</v>
      </c>
      <c r="F77" s="100">
        <v>43.19</v>
      </c>
      <c r="G77" s="100">
        <v>61.62</v>
      </c>
      <c r="H77" s="100">
        <v>33.090000000000003</v>
      </c>
      <c r="I77" s="100">
        <v>8.26</v>
      </c>
      <c r="J77" s="100">
        <v>0.38</v>
      </c>
      <c r="K77" s="100">
        <v>248.13</v>
      </c>
      <c r="L77" s="100">
        <v>37.96</v>
      </c>
      <c r="M77" s="100">
        <v>29.58</v>
      </c>
      <c r="N77" s="100">
        <v>94.8</v>
      </c>
      <c r="O77" s="100">
        <v>0</v>
      </c>
      <c r="P77" s="100">
        <v>0.48</v>
      </c>
      <c r="Q77" s="100">
        <v>9.9499999999999993</v>
      </c>
      <c r="R77" s="6"/>
      <c r="S77" s="6"/>
      <c r="T77" s="156"/>
      <c r="U77" s="6"/>
    </row>
    <row r="78" spans="1:21" customFormat="1">
      <c r="A78" s="163" t="s">
        <v>789</v>
      </c>
      <c r="B78" s="100">
        <v>3.58</v>
      </c>
      <c r="C78" s="100">
        <v>7.98</v>
      </c>
      <c r="D78" s="100">
        <v>4.4000000000000004</v>
      </c>
      <c r="E78" s="100">
        <v>8.16</v>
      </c>
      <c r="F78" s="100">
        <v>39.46</v>
      </c>
      <c r="G78" s="100">
        <v>61.76</v>
      </c>
      <c r="H78" s="100">
        <v>32.04</v>
      </c>
      <c r="I78" s="100">
        <v>7.92</v>
      </c>
      <c r="J78" s="100">
        <v>0.45</v>
      </c>
      <c r="K78" s="100">
        <v>253.38</v>
      </c>
      <c r="L78" s="100">
        <v>37.630000000000003</v>
      </c>
      <c r="M78" s="100">
        <v>29.05</v>
      </c>
      <c r="N78" s="100">
        <v>77.3</v>
      </c>
      <c r="O78" s="100">
        <v>0</v>
      </c>
      <c r="P78" s="100">
        <v>0.5</v>
      </c>
      <c r="Q78" s="100">
        <v>9.93</v>
      </c>
      <c r="R78" s="6"/>
      <c r="S78" s="6"/>
      <c r="T78" s="156"/>
      <c r="U78" s="6"/>
    </row>
    <row r="79" spans="1:21" customFormat="1">
      <c r="A79" s="163" t="s">
        <v>790</v>
      </c>
      <c r="B79" s="100">
        <v>3.56</v>
      </c>
      <c r="C79" s="100">
        <v>8.09</v>
      </c>
      <c r="D79" s="100">
        <v>4.53</v>
      </c>
      <c r="E79" s="100">
        <v>9</v>
      </c>
      <c r="F79" s="100">
        <v>47.23</v>
      </c>
      <c r="G79" s="100">
        <v>61.76</v>
      </c>
      <c r="H79" s="100">
        <v>32.04</v>
      </c>
      <c r="I79" s="100">
        <v>8.1999999999999993</v>
      </c>
      <c r="J79" s="100">
        <v>0.18</v>
      </c>
      <c r="K79" s="100">
        <v>189.08</v>
      </c>
      <c r="L79" s="100">
        <v>37.409999999999997</v>
      </c>
      <c r="M79" s="100">
        <v>30.47</v>
      </c>
      <c r="N79" s="100">
        <v>69.400000000000006</v>
      </c>
      <c r="O79" s="100">
        <v>0</v>
      </c>
      <c r="P79" s="100">
        <v>0.5</v>
      </c>
      <c r="Q79" s="100">
        <v>9.94</v>
      </c>
      <c r="R79" s="6"/>
      <c r="S79" s="6"/>
      <c r="T79" s="156"/>
      <c r="U79" s="6"/>
    </row>
    <row r="80" spans="1:21" customFormat="1">
      <c r="A80" s="163" t="s">
        <v>791</v>
      </c>
      <c r="B80" s="100">
        <v>3.55</v>
      </c>
      <c r="C80" s="100">
        <v>8.4600000000000009</v>
      </c>
      <c r="D80" s="100">
        <v>4.91</v>
      </c>
      <c r="E80" s="100">
        <v>9.5</v>
      </c>
      <c r="F80" s="100">
        <v>44.97</v>
      </c>
      <c r="G80" s="100">
        <v>61.76</v>
      </c>
      <c r="H80" s="100">
        <v>32.04</v>
      </c>
      <c r="I80" s="100">
        <v>8.75</v>
      </c>
      <c r="J80" s="100">
        <v>0.19</v>
      </c>
      <c r="K80" s="100">
        <v>171.44</v>
      </c>
      <c r="L80" s="100">
        <v>37.04</v>
      </c>
      <c r="M80" s="100">
        <v>32.869999999999997</v>
      </c>
      <c r="N80" s="100">
        <v>55.4</v>
      </c>
      <c r="O80" s="100">
        <v>0</v>
      </c>
      <c r="P80" s="100">
        <v>0.52</v>
      </c>
      <c r="Q80" s="100">
        <v>9.94</v>
      </c>
      <c r="R80" s="6"/>
      <c r="S80" s="6"/>
      <c r="T80" s="156"/>
      <c r="U80" s="6"/>
    </row>
    <row r="81" spans="1:21" customFormat="1">
      <c r="A81" s="163" t="s">
        <v>792</v>
      </c>
      <c r="B81" s="100">
        <v>3.52</v>
      </c>
      <c r="C81" s="100">
        <v>8.74</v>
      </c>
      <c r="D81" s="100">
        <v>5.22</v>
      </c>
      <c r="E81" s="100">
        <v>7.91</v>
      </c>
      <c r="F81" s="100">
        <v>53.47</v>
      </c>
      <c r="G81" s="100">
        <v>61.57</v>
      </c>
      <c r="H81" s="100">
        <v>31.28</v>
      </c>
      <c r="I81" s="100">
        <v>8.57</v>
      </c>
      <c r="J81" s="100">
        <v>0.24</v>
      </c>
      <c r="K81" s="100">
        <v>165.15</v>
      </c>
      <c r="L81" s="100">
        <v>36.47</v>
      </c>
      <c r="M81" s="100">
        <v>33.89</v>
      </c>
      <c r="N81" s="100">
        <v>31.3</v>
      </c>
      <c r="O81" s="100">
        <v>0</v>
      </c>
      <c r="P81" s="100">
        <v>0.53</v>
      </c>
      <c r="Q81" s="100">
        <v>9.93</v>
      </c>
      <c r="R81" s="6"/>
      <c r="S81" s="6"/>
      <c r="T81" s="156"/>
      <c r="U81" s="6"/>
    </row>
    <row r="82" spans="1:21" customFormat="1">
      <c r="A82" s="163" t="s">
        <v>793</v>
      </c>
      <c r="B82" s="100">
        <v>3.53</v>
      </c>
      <c r="C82" s="100">
        <v>8.8000000000000007</v>
      </c>
      <c r="D82" s="100">
        <v>5.26</v>
      </c>
      <c r="E82" s="100">
        <v>10.38</v>
      </c>
      <c r="F82" s="100">
        <v>44.76</v>
      </c>
      <c r="G82" s="100">
        <v>61.34</v>
      </c>
      <c r="H82" s="100">
        <v>30.01</v>
      </c>
      <c r="I82" s="100">
        <v>7.19</v>
      </c>
      <c r="J82" s="100">
        <v>0.22</v>
      </c>
      <c r="K82" s="100">
        <v>166.01</v>
      </c>
      <c r="L82" s="100">
        <v>35.82</v>
      </c>
      <c r="M82" s="100">
        <v>36.28</v>
      </c>
      <c r="N82" s="100">
        <v>16.3</v>
      </c>
      <c r="O82" s="100">
        <v>0</v>
      </c>
      <c r="P82" s="100">
        <v>0.51</v>
      </c>
      <c r="Q82" s="100">
        <v>9.93</v>
      </c>
      <c r="R82" s="6"/>
      <c r="S82" s="6"/>
      <c r="T82" s="156"/>
      <c r="U82" s="6"/>
    </row>
    <row r="83" spans="1:21" customFormat="1">
      <c r="A83" s="163" t="s">
        <v>794</v>
      </c>
      <c r="B83" s="100">
        <v>3.56</v>
      </c>
      <c r="C83" s="100">
        <v>8.86</v>
      </c>
      <c r="D83" s="100">
        <v>5.3</v>
      </c>
      <c r="E83" s="100">
        <v>9.5</v>
      </c>
      <c r="F83" s="100">
        <v>39.25</v>
      </c>
      <c r="G83" s="100">
        <v>61.34</v>
      </c>
      <c r="H83" s="100">
        <v>30.01</v>
      </c>
      <c r="I83" s="100">
        <v>7.25</v>
      </c>
      <c r="J83" s="100">
        <v>0.16</v>
      </c>
      <c r="K83" s="100">
        <v>189.89</v>
      </c>
      <c r="L83" s="100">
        <v>34.86</v>
      </c>
      <c r="M83" s="100">
        <v>38.79</v>
      </c>
      <c r="N83" s="100">
        <v>7.7</v>
      </c>
      <c r="O83" s="100">
        <v>0</v>
      </c>
      <c r="P83" s="100">
        <v>0.54</v>
      </c>
      <c r="Q83" s="100">
        <v>9.93</v>
      </c>
      <c r="R83" s="6"/>
      <c r="S83" s="6"/>
      <c r="T83" s="156"/>
      <c r="U83" s="6"/>
    </row>
    <row r="84" spans="1:21" customFormat="1">
      <c r="A84" s="163" t="s">
        <v>795</v>
      </c>
      <c r="B84" s="100">
        <v>3.6</v>
      </c>
      <c r="C84" s="100">
        <v>9.92</v>
      </c>
      <c r="D84" s="100">
        <v>6.31</v>
      </c>
      <c r="E84" s="100">
        <v>8.41</v>
      </c>
      <c r="F84" s="100">
        <v>31.01</v>
      </c>
      <c r="G84" s="100">
        <v>61.34</v>
      </c>
      <c r="H84" s="100">
        <v>30.01</v>
      </c>
      <c r="I84" s="100">
        <v>7.27</v>
      </c>
      <c r="J84" s="100">
        <v>0.17</v>
      </c>
      <c r="K84" s="100">
        <v>195.35</v>
      </c>
      <c r="L84" s="100">
        <v>34.04</v>
      </c>
      <c r="M84" s="100">
        <v>42.23</v>
      </c>
      <c r="N84" s="100">
        <v>3.7</v>
      </c>
      <c r="O84" s="100">
        <v>0</v>
      </c>
      <c r="P84" s="100">
        <v>0.57999999999999996</v>
      </c>
      <c r="Q84" s="100">
        <v>9.94</v>
      </c>
      <c r="R84" s="6"/>
      <c r="S84" s="6"/>
      <c r="T84" s="156"/>
      <c r="U84" s="6"/>
    </row>
    <row r="85" spans="1:21" customFormat="1">
      <c r="A85" s="163" t="s">
        <v>796</v>
      </c>
      <c r="B85" s="100">
        <v>3.64</v>
      </c>
      <c r="C85" s="100">
        <v>10.9</v>
      </c>
      <c r="D85" s="100">
        <v>7.27</v>
      </c>
      <c r="E85" s="100">
        <v>7.45</v>
      </c>
      <c r="F85" s="100">
        <v>14.93</v>
      </c>
      <c r="G85" s="100">
        <v>63.34</v>
      </c>
      <c r="H85" s="100">
        <v>29.21</v>
      </c>
      <c r="I85" s="100">
        <v>8.99</v>
      </c>
      <c r="J85" s="100">
        <v>0.3</v>
      </c>
      <c r="K85" s="100">
        <v>242.53</v>
      </c>
      <c r="L85" s="100">
        <v>33.71</v>
      </c>
      <c r="M85" s="100">
        <v>41.73</v>
      </c>
      <c r="N85" s="100">
        <v>1.6</v>
      </c>
      <c r="O85" s="100">
        <v>0</v>
      </c>
      <c r="P85" s="100">
        <v>0.53</v>
      </c>
      <c r="Q85" s="100">
        <v>9.94</v>
      </c>
      <c r="R85" s="6"/>
      <c r="S85" s="6"/>
      <c r="T85" s="156"/>
      <c r="U85" s="6"/>
    </row>
    <row r="86" spans="1:21" customFormat="1">
      <c r="A86" s="163" t="s">
        <v>797</v>
      </c>
      <c r="B86" s="100">
        <v>3.68</v>
      </c>
      <c r="C86" s="100">
        <v>11.07</v>
      </c>
      <c r="D86" s="100">
        <v>7.39</v>
      </c>
      <c r="E86" s="100">
        <v>6.3</v>
      </c>
      <c r="F86" s="100">
        <v>11.66</v>
      </c>
      <c r="G86" s="100">
        <v>65.84</v>
      </c>
      <c r="H86" s="100">
        <v>28.67</v>
      </c>
      <c r="I86" s="100">
        <v>9.1</v>
      </c>
      <c r="J86" s="100">
        <v>0.3</v>
      </c>
      <c r="K86" s="100">
        <v>251.49</v>
      </c>
      <c r="L86" s="100">
        <v>33.6</v>
      </c>
      <c r="M86" s="100">
        <v>40.4</v>
      </c>
      <c r="N86" s="100">
        <v>1.5</v>
      </c>
      <c r="O86" s="100">
        <v>0</v>
      </c>
      <c r="P86" s="100">
        <v>0.44</v>
      </c>
      <c r="Q86" s="100">
        <v>9.9499999999999993</v>
      </c>
      <c r="R86" s="6"/>
      <c r="S86" s="6"/>
      <c r="T86" s="156"/>
      <c r="U86" s="6"/>
    </row>
    <row r="87" spans="1:21" customFormat="1">
      <c r="A87" s="163" t="s">
        <v>798</v>
      </c>
      <c r="B87" s="100">
        <v>3.63</v>
      </c>
      <c r="C87" s="100">
        <v>10.66</v>
      </c>
      <c r="D87" s="100">
        <v>7.02</v>
      </c>
      <c r="E87" s="100">
        <v>5.97</v>
      </c>
      <c r="F87" s="100">
        <v>11.46</v>
      </c>
      <c r="G87" s="100">
        <v>65.84</v>
      </c>
      <c r="H87" s="100">
        <v>28.67</v>
      </c>
      <c r="I87" s="100">
        <v>9.0399999999999991</v>
      </c>
      <c r="J87" s="100">
        <v>0.26</v>
      </c>
      <c r="K87" s="100">
        <v>251.39</v>
      </c>
      <c r="L87" s="100">
        <v>33.14</v>
      </c>
      <c r="M87" s="100">
        <v>41.89</v>
      </c>
      <c r="N87" s="100">
        <v>1.6</v>
      </c>
      <c r="O87" s="100">
        <v>0</v>
      </c>
      <c r="P87" s="100">
        <v>0.42</v>
      </c>
      <c r="Q87" s="100">
        <v>9.9499999999999993</v>
      </c>
      <c r="R87" s="6"/>
      <c r="S87" s="6"/>
      <c r="T87" s="156"/>
      <c r="U87" s="6"/>
    </row>
    <row r="88" spans="1:21" customFormat="1">
      <c r="A88" s="163" t="s">
        <v>799</v>
      </c>
      <c r="B88" s="100">
        <v>3.6</v>
      </c>
      <c r="C88" s="100">
        <v>10.46</v>
      </c>
      <c r="D88" s="100">
        <v>6.86</v>
      </c>
      <c r="E88" s="100">
        <v>5.94</v>
      </c>
      <c r="F88" s="100">
        <v>8.98</v>
      </c>
      <c r="G88" s="100">
        <v>65.84</v>
      </c>
      <c r="H88" s="100">
        <v>28.67</v>
      </c>
      <c r="I88" s="100">
        <v>8.58</v>
      </c>
      <c r="J88" s="100">
        <v>0.27</v>
      </c>
      <c r="K88" s="100">
        <v>242.49</v>
      </c>
      <c r="L88" s="100">
        <v>32.68</v>
      </c>
      <c r="M88" s="100">
        <v>43.49</v>
      </c>
      <c r="N88" s="100">
        <v>1.5</v>
      </c>
      <c r="O88" s="100">
        <v>0</v>
      </c>
      <c r="P88" s="100">
        <v>0.4</v>
      </c>
      <c r="Q88" s="100">
        <v>9.93</v>
      </c>
      <c r="R88" s="6"/>
      <c r="S88" s="6"/>
      <c r="T88" s="156"/>
      <c r="U88" s="6"/>
    </row>
    <row r="89" spans="1:21" customFormat="1">
      <c r="A89" s="163" t="s">
        <v>800</v>
      </c>
      <c r="B89" s="100">
        <v>3.58</v>
      </c>
      <c r="C89" s="100">
        <v>10.47</v>
      </c>
      <c r="D89" s="100">
        <v>6.89</v>
      </c>
      <c r="E89" s="100">
        <v>6.1</v>
      </c>
      <c r="F89" s="100">
        <v>10.38</v>
      </c>
      <c r="G89" s="100">
        <v>63.75</v>
      </c>
      <c r="H89" s="100">
        <v>28.12</v>
      </c>
      <c r="I89" s="100">
        <v>8.1999999999999993</v>
      </c>
      <c r="J89" s="100">
        <v>0.24</v>
      </c>
      <c r="K89" s="100">
        <v>222.85</v>
      </c>
      <c r="L89" s="100">
        <v>32.299999999999997</v>
      </c>
      <c r="M89" s="100">
        <v>44.64</v>
      </c>
      <c r="N89" s="100">
        <v>1.7</v>
      </c>
      <c r="O89" s="100">
        <v>0</v>
      </c>
      <c r="P89" s="100">
        <v>0.39</v>
      </c>
      <c r="Q89" s="100">
        <v>9.92</v>
      </c>
      <c r="R89" s="6"/>
      <c r="S89" s="6"/>
      <c r="T89" s="156"/>
      <c r="U89" s="6"/>
    </row>
    <row r="90" spans="1:21" customFormat="1">
      <c r="A90" s="163" t="s">
        <v>801</v>
      </c>
      <c r="B90" s="100">
        <v>3.59</v>
      </c>
      <c r="C90" s="100">
        <v>10.119999999999999</v>
      </c>
      <c r="D90" s="100">
        <v>6.52</v>
      </c>
      <c r="E90" s="100">
        <v>6.29</v>
      </c>
      <c r="F90" s="100">
        <v>8.44</v>
      </c>
      <c r="G90" s="100">
        <v>61.14</v>
      </c>
      <c r="H90" s="100">
        <v>27.73</v>
      </c>
      <c r="I90" s="100">
        <v>8.0299999999999994</v>
      </c>
      <c r="J90" s="100">
        <v>0.22</v>
      </c>
      <c r="K90" s="100">
        <v>212.02</v>
      </c>
      <c r="L90" s="100">
        <v>31.97</v>
      </c>
      <c r="M90" s="100">
        <v>46.13</v>
      </c>
      <c r="N90" s="100">
        <v>1.4</v>
      </c>
      <c r="O90" s="100">
        <v>0</v>
      </c>
      <c r="P90" s="100">
        <v>0.39</v>
      </c>
      <c r="Q90" s="100">
        <v>9.93</v>
      </c>
      <c r="R90" s="6"/>
      <c r="S90" s="6"/>
      <c r="T90" s="156"/>
      <c r="U90" s="6"/>
    </row>
    <row r="91" spans="1:21" customFormat="1">
      <c r="A91" s="163" t="s">
        <v>802</v>
      </c>
      <c r="B91" s="100">
        <v>3.58</v>
      </c>
      <c r="C91" s="100">
        <v>9.94</v>
      </c>
      <c r="D91" s="100">
        <v>6.36</v>
      </c>
      <c r="E91" s="100">
        <v>5.84</v>
      </c>
      <c r="F91" s="100">
        <v>9.0500000000000007</v>
      </c>
      <c r="G91" s="100">
        <v>61.14</v>
      </c>
      <c r="H91" s="100">
        <v>27.73</v>
      </c>
      <c r="I91" s="100">
        <v>7.66</v>
      </c>
      <c r="J91" s="100">
        <v>0.27</v>
      </c>
      <c r="K91" s="100">
        <v>238.32</v>
      </c>
      <c r="L91" s="100">
        <v>31.83</v>
      </c>
      <c r="M91" s="100">
        <v>46.46</v>
      </c>
      <c r="N91" s="100">
        <v>1.4</v>
      </c>
      <c r="O91" s="100">
        <v>0</v>
      </c>
      <c r="P91" s="100">
        <v>0.39</v>
      </c>
      <c r="Q91" s="100">
        <v>9.93</v>
      </c>
      <c r="R91" s="6"/>
      <c r="S91" s="6"/>
      <c r="T91" s="156"/>
      <c r="U91" s="6"/>
    </row>
    <row r="92" spans="1:21" customFormat="1">
      <c r="A92" s="163" t="s">
        <v>803</v>
      </c>
      <c r="B92" s="100">
        <v>3.59</v>
      </c>
      <c r="C92" s="100">
        <v>9.8699999999999992</v>
      </c>
      <c r="D92" s="100">
        <v>6.28</v>
      </c>
      <c r="E92" s="100">
        <v>5.86</v>
      </c>
      <c r="F92" s="100">
        <v>9.24</v>
      </c>
      <c r="G92" s="100">
        <v>61.14</v>
      </c>
      <c r="H92" s="100">
        <v>27.73</v>
      </c>
      <c r="I92" s="100">
        <v>7.57</v>
      </c>
      <c r="J92" s="100">
        <v>0.23</v>
      </c>
      <c r="K92" s="100">
        <v>227.07</v>
      </c>
      <c r="L92" s="100">
        <v>31.65</v>
      </c>
      <c r="M92" s="100">
        <v>47.17</v>
      </c>
      <c r="N92" s="100">
        <v>1.5</v>
      </c>
      <c r="O92" s="100">
        <v>0</v>
      </c>
      <c r="P92" s="100">
        <v>0.37</v>
      </c>
      <c r="Q92" s="100">
        <v>9.93</v>
      </c>
      <c r="R92" s="6"/>
      <c r="S92" s="6"/>
      <c r="T92" s="156"/>
      <c r="U92" s="6"/>
    </row>
    <row r="93" spans="1:21" customFormat="1">
      <c r="A93" s="163" t="s">
        <v>804</v>
      </c>
      <c r="B93" s="100">
        <v>3.6</v>
      </c>
      <c r="C93" s="100">
        <v>10.14</v>
      </c>
      <c r="D93" s="100">
        <v>6.55</v>
      </c>
      <c r="E93" s="100">
        <v>5.89</v>
      </c>
      <c r="F93" s="100">
        <v>10.45</v>
      </c>
      <c r="G93" s="100">
        <v>60.43</v>
      </c>
      <c r="H93" s="100">
        <v>29.16</v>
      </c>
      <c r="I93" s="100">
        <v>7.36</v>
      </c>
      <c r="J93" s="100">
        <v>0.17</v>
      </c>
      <c r="K93" s="100">
        <v>196.47</v>
      </c>
      <c r="L93" s="100">
        <v>31.41</v>
      </c>
      <c r="M93" s="100">
        <v>48.24</v>
      </c>
      <c r="N93" s="100">
        <v>1.5</v>
      </c>
      <c r="O93" s="100">
        <v>0</v>
      </c>
      <c r="P93" s="100">
        <v>0.36</v>
      </c>
      <c r="Q93" s="100">
        <v>9.93</v>
      </c>
      <c r="R93" s="6"/>
      <c r="S93" s="6"/>
      <c r="T93" s="156"/>
      <c r="U93" s="6"/>
    </row>
    <row r="94" spans="1:21" customFormat="1">
      <c r="A94" s="163" t="s">
        <v>805</v>
      </c>
      <c r="B94" s="100">
        <v>3.6</v>
      </c>
      <c r="C94" s="100">
        <v>10.01</v>
      </c>
      <c r="D94" s="100">
        <v>6.41</v>
      </c>
      <c r="E94" s="100">
        <v>6.16</v>
      </c>
      <c r="F94" s="100">
        <v>8.5399999999999991</v>
      </c>
      <c r="G94" s="100">
        <v>59.55</v>
      </c>
      <c r="H94" s="100">
        <v>30.12</v>
      </c>
      <c r="I94" s="100">
        <v>7.16</v>
      </c>
      <c r="J94" s="100">
        <v>0.19</v>
      </c>
      <c r="K94" s="100">
        <v>173.9</v>
      </c>
      <c r="L94" s="100">
        <v>31.44</v>
      </c>
      <c r="M94" s="100">
        <v>48.49</v>
      </c>
      <c r="N94" s="100">
        <v>1.3</v>
      </c>
      <c r="O94" s="100">
        <v>0</v>
      </c>
      <c r="P94" s="100">
        <v>0.37</v>
      </c>
      <c r="Q94" s="100">
        <v>9.93</v>
      </c>
      <c r="R94" s="6"/>
      <c r="S94" s="6"/>
      <c r="T94" s="156"/>
      <c r="U94" s="6"/>
    </row>
    <row r="95" spans="1:21" customFormat="1">
      <c r="A95" s="163" t="s">
        <v>806</v>
      </c>
      <c r="B95" s="100">
        <v>3.63</v>
      </c>
      <c r="C95" s="100">
        <v>9.92</v>
      </c>
      <c r="D95" s="100">
        <v>6.29</v>
      </c>
      <c r="E95" s="100">
        <v>6.24</v>
      </c>
      <c r="F95" s="100">
        <v>7.22</v>
      </c>
      <c r="G95" s="100">
        <v>59.55</v>
      </c>
      <c r="H95" s="100">
        <v>30.12</v>
      </c>
      <c r="I95" s="100">
        <v>6.9</v>
      </c>
      <c r="J95" s="100">
        <v>0.22</v>
      </c>
      <c r="K95" s="100">
        <v>183.42</v>
      </c>
      <c r="L95" s="100">
        <v>31.38</v>
      </c>
      <c r="M95" s="100">
        <v>48.79</v>
      </c>
      <c r="N95" s="100">
        <v>1.4</v>
      </c>
      <c r="O95" s="100">
        <v>0</v>
      </c>
      <c r="P95" s="100">
        <v>0.36</v>
      </c>
      <c r="Q95" s="100">
        <v>9.93</v>
      </c>
      <c r="R95" s="6"/>
      <c r="S95" s="6"/>
      <c r="T95" s="156"/>
      <c r="U95" s="6"/>
    </row>
    <row r="96" spans="1:21" customFormat="1">
      <c r="A96" s="163" t="s">
        <v>807</v>
      </c>
      <c r="B96" s="100">
        <v>3.65</v>
      </c>
      <c r="C96" s="100">
        <v>9.81</v>
      </c>
      <c r="D96" s="100">
        <v>6.16</v>
      </c>
      <c r="E96" s="100">
        <v>5.92</v>
      </c>
      <c r="F96" s="100">
        <v>7.83</v>
      </c>
      <c r="G96" s="100">
        <v>59.55</v>
      </c>
      <c r="H96" s="100">
        <v>30.12</v>
      </c>
      <c r="I96" s="100">
        <v>6.78</v>
      </c>
      <c r="J96" s="100">
        <v>0.16</v>
      </c>
      <c r="K96" s="100">
        <v>172.4</v>
      </c>
      <c r="L96" s="100">
        <v>31.28</v>
      </c>
      <c r="M96" s="100">
        <v>50.21</v>
      </c>
      <c r="N96" s="100">
        <v>1.6</v>
      </c>
      <c r="O96" s="100">
        <v>0</v>
      </c>
      <c r="P96" s="100">
        <v>0.36</v>
      </c>
      <c r="Q96" s="100">
        <v>9.94</v>
      </c>
      <c r="R96" s="6"/>
      <c r="S96" s="6"/>
      <c r="T96" s="156"/>
      <c r="U96" s="6"/>
    </row>
    <row r="97" spans="1:28" customFormat="1">
      <c r="A97" s="163" t="s">
        <v>808</v>
      </c>
      <c r="B97" s="100">
        <v>3.65</v>
      </c>
      <c r="C97" s="100">
        <v>10.039999999999999</v>
      </c>
      <c r="D97" s="100">
        <v>6.39</v>
      </c>
      <c r="E97" s="100">
        <v>6.05</v>
      </c>
      <c r="F97" s="100">
        <v>5.82</v>
      </c>
      <c r="G97" s="100">
        <v>52.52</v>
      </c>
      <c r="H97" s="100">
        <v>29.23</v>
      </c>
      <c r="I97" s="100">
        <v>6.69</v>
      </c>
      <c r="J97" s="100">
        <v>0.15</v>
      </c>
      <c r="K97" s="100">
        <v>175.75</v>
      </c>
      <c r="L97" s="100">
        <v>30.82</v>
      </c>
      <c r="M97" s="100">
        <v>52.26</v>
      </c>
      <c r="N97" s="100">
        <v>1.5</v>
      </c>
      <c r="O97" s="100">
        <v>0</v>
      </c>
      <c r="P97" s="100">
        <v>0.36</v>
      </c>
      <c r="Q97" s="100">
        <v>9.9499999999999993</v>
      </c>
      <c r="R97" s="6"/>
      <c r="S97" s="6"/>
      <c r="T97" s="156"/>
      <c r="U97" s="6"/>
    </row>
    <row r="98" spans="1:28" customFormat="1">
      <c r="A98" s="163" t="s">
        <v>809</v>
      </c>
      <c r="B98" s="100">
        <v>3.7</v>
      </c>
      <c r="C98" s="100">
        <v>9.8000000000000007</v>
      </c>
      <c r="D98" s="100">
        <v>6.1</v>
      </c>
      <c r="E98" s="100">
        <v>6.25</v>
      </c>
      <c r="F98" s="100">
        <v>5.0999999999999996</v>
      </c>
      <c r="G98" s="100">
        <v>43.74</v>
      </c>
      <c r="H98" s="100">
        <v>28.63</v>
      </c>
      <c r="I98" s="100">
        <v>6.54</v>
      </c>
      <c r="J98" s="100">
        <v>0.14000000000000001</v>
      </c>
      <c r="K98" s="100">
        <v>195.07</v>
      </c>
      <c r="L98" s="100">
        <v>30.65</v>
      </c>
      <c r="M98" s="100">
        <v>51.65</v>
      </c>
      <c r="N98" s="100">
        <v>1.5</v>
      </c>
      <c r="O98" s="100">
        <v>0</v>
      </c>
      <c r="P98" s="100">
        <v>0.36</v>
      </c>
      <c r="Q98" s="100">
        <v>9.9499999999999993</v>
      </c>
      <c r="R98" s="6"/>
      <c r="S98" s="6"/>
      <c r="T98" s="156"/>
      <c r="U98" s="6"/>
    </row>
    <row r="99" spans="1:28" customFormat="1">
      <c r="A99" s="163" t="s">
        <v>810</v>
      </c>
      <c r="B99" s="100">
        <v>3.71</v>
      </c>
      <c r="C99" s="100">
        <v>9.84</v>
      </c>
      <c r="D99" s="100">
        <v>6.13</v>
      </c>
      <c r="E99" s="100">
        <v>5.95</v>
      </c>
      <c r="F99" s="100">
        <v>5.42</v>
      </c>
      <c r="G99" s="100">
        <v>43.74</v>
      </c>
      <c r="H99" s="100">
        <v>28.63</v>
      </c>
      <c r="I99" s="100">
        <v>6.51</v>
      </c>
      <c r="J99" s="100">
        <v>0.18</v>
      </c>
      <c r="K99" s="100">
        <v>144.86000000000001</v>
      </c>
      <c r="L99" s="100">
        <v>30.63</v>
      </c>
      <c r="M99" s="100">
        <v>52.11</v>
      </c>
      <c r="N99" s="100">
        <v>1.5</v>
      </c>
      <c r="O99" s="100">
        <v>0</v>
      </c>
      <c r="P99" s="100">
        <v>0.36</v>
      </c>
      <c r="Q99" s="100">
        <v>9.9600000000000009</v>
      </c>
      <c r="R99" s="6"/>
      <c r="S99" s="6"/>
      <c r="T99" s="156"/>
      <c r="U99" s="6"/>
    </row>
    <row r="100" spans="1:28" customFormat="1">
      <c r="A100" s="163" t="s">
        <v>811</v>
      </c>
      <c r="B100" s="100">
        <v>3.73</v>
      </c>
      <c r="C100" s="100">
        <v>9.83</v>
      </c>
      <c r="D100" s="100">
        <v>6.1</v>
      </c>
      <c r="E100" s="100">
        <v>6.33</v>
      </c>
      <c r="F100" s="100">
        <v>4.83</v>
      </c>
      <c r="G100" s="100">
        <v>43.74</v>
      </c>
      <c r="H100" s="100">
        <v>28.63</v>
      </c>
      <c r="I100" s="100">
        <v>6.36</v>
      </c>
      <c r="J100" s="100">
        <v>0.15</v>
      </c>
      <c r="K100" s="100">
        <v>173.08</v>
      </c>
      <c r="L100" s="100">
        <v>30.32</v>
      </c>
      <c r="M100" s="100">
        <v>53.09</v>
      </c>
      <c r="N100" s="100">
        <v>1.4</v>
      </c>
      <c r="O100" s="100">
        <v>0</v>
      </c>
      <c r="P100" s="100">
        <v>0.36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812</v>
      </c>
      <c r="B101" s="100">
        <v>3.77</v>
      </c>
      <c r="C101" s="100">
        <v>9.7899999999999991</v>
      </c>
      <c r="D101" s="100">
        <v>6.02</v>
      </c>
      <c r="E101" s="100">
        <v>6.23</v>
      </c>
      <c r="F101" s="100">
        <v>4.3899999999999997</v>
      </c>
      <c r="G101" s="100">
        <v>47.27</v>
      </c>
      <c r="H101" s="100">
        <v>28.39</v>
      </c>
      <c r="I101" s="100">
        <v>6.27</v>
      </c>
      <c r="J101" s="100">
        <v>0.17</v>
      </c>
      <c r="K101" s="100">
        <v>185.62</v>
      </c>
      <c r="L101" s="100">
        <v>30.18</v>
      </c>
      <c r="M101" s="100">
        <v>52.53</v>
      </c>
      <c r="N101" s="100">
        <v>1.5</v>
      </c>
      <c r="O101" s="100">
        <v>0</v>
      </c>
      <c r="P101" s="100">
        <v>0.35</v>
      </c>
      <c r="Q101" s="100">
        <v>9.93</v>
      </c>
      <c r="R101" s="6"/>
      <c r="S101" s="6"/>
      <c r="T101" s="156"/>
      <c r="U101" s="6"/>
    </row>
    <row r="102" spans="1:28" customFormat="1">
      <c r="A102" s="163" t="s">
        <v>813</v>
      </c>
      <c r="B102" s="100">
        <v>3.8</v>
      </c>
      <c r="C102" s="100">
        <v>9.76</v>
      </c>
      <c r="D102" s="100">
        <v>5.96</v>
      </c>
      <c r="E102" s="100">
        <v>6.44</v>
      </c>
      <c r="F102" s="100">
        <v>3.91</v>
      </c>
      <c r="G102" s="100">
        <v>51.68</v>
      </c>
      <c r="H102" s="100">
        <v>28.22</v>
      </c>
      <c r="I102" s="100">
        <v>6.24</v>
      </c>
      <c r="J102" s="100">
        <v>0.14000000000000001</v>
      </c>
      <c r="K102" s="100">
        <v>198.88</v>
      </c>
      <c r="L102" s="100">
        <v>29.93</v>
      </c>
      <c r="M102" s="100">
        <v>53.47</v>
      </c>
      <c r="N102" s="100">
        <v>1.5</v>
      </c>
      <c r="O102" s="100">
        <v>0</v>
      </c>
      <c r="P102" s="100">
        <v>0.35</v>
      </c>
      <c r="Q102" s="100">
        <v>9.94</v>
      </c>
      <c r="R102" s="6"/>
      <c r="S102" s="6"/>
      <c r="T102" s="156"/>
      <c r="U102" s="6"/>
    </row>
    <row r="103" spans="1:28" customFormat="1">
      <c r="A103" s="163" t="s">
        <v>814</v>
      </c>
      <c r="B103" s="100">
        <v>3.81</v>
      </c>
      <c r="C103" s="100">
        <v>9.73</v>
      </c>
      <c r="D103" s="100">
        <v>5.92</v>
      </c>
      <c r="E103" s="100">
        <v>6.49</v>
      </c>
      <c r="F103" s="100">
        <v>3.83</v>
      </c>
      <c r="G103" s="100">
        <v>51.68</v>
      </c>
      <c r="H103" s="100">
        <v>28.22</v>
      </c>
      <c r="I103" s="100">
        <v>6.21</v>
      </c>
      <c r="J103" s="100">
        <v>0.12</v>
      </c>
      <c r="K103" s="100">
        <v>207.5</v>
      </c>
      <c r="L103" s="100">
        <v>29.86</v>
      </c>
      <c r="M103" s="100">
        <v>53.14</v>
      </c>
      <c r="N103" s="100">
        <v>1.5</v>
      </c>
      <c r="O103" s="100">
        <v>0</v>
      </c>
      <c r="P103" s="100">
        <v>0.34</v>
      </c>
      <c r="Q103" s="100">
        <v>9.9499999999999993</v>
      </c>
      <c r="R103" s="6"/>
      <c r="S103" s="6"/>
      <c r="T103" s="156"/>
      <c r="U103" s="6"/>
    </row>
    <row r="104" spans="1:28" customFormat="1">
      <c r="A104" s="163" t="s">
        <v>815</v>
      </c>
      <c r="B104" s="100">
        <v>3.82</v>
      </c>
      <c r="C104" s="100">
        <v>9.73</v>
      </c>
      <c r="D104" s="100">
        <v>5.91</v>
      </c>
      <c r="E104" s="100">
        <v>6.26</v>
      </c>
      <c r="F104" s="100">
        <v>3.52</v>
      </c>
      <c r="G104" s="100">
        <v>51.68</v>
      </c>
      <c r="H104" s="100">
        <v>28.22</v>
      </c>
      <c r="I104" s="100">
        <v>6.15</v>
      </c>
      <c r="J104" s="100">
        <v>0.14000000000000001</v>
      </c>
      <c r="K104" s="100">
        <v>223.87</v>
      </c>
      <c r="L104" s="100">
        <v>29.65</v>
      </c>
      <c r="M104" s="100">
        <v>54.84</v>
      </c>
      <c r="N104" s="100">
        <v>1.4</v>
      </c>
      <c r="O104" s="100">
        <v>0</v>
      </c>
      <c r="P104" s="100">
        <v>0.35</v>
      </c>
      <c r="Q104" s="100">
        <v>9.9499999999999993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3.36</v>
      </c>
      <c r="C106" s="158">
        <f>MIN(C9:C104)</f>
        <v>7.55</v>
      </c>
      <c r="D106" s="158">
        <f t="shared" ref="D106:Q106" si="0">MIN(D9:D104)</f>
        <v>3.93</v>
      </c>
      <c r="E106" s="158">
        <f t="shared" si="0"/>
        <v>3.86</v>
      </c>
      <c r="F106" s="158">
        <f t="shared" si="0"/>
        <v>2.1</v>
      </c>
      <c r="G106" s="158">
        <f t="shared" si="0"/>
        <v>43.74</v>
      </c>
      <c r="H106" s="158">
        <f t="shared" si="0"/>
        <v>27.73</v>
      </c>
      <c r="I106" s="158">
        <f t="shared" si="0"/>
        <v>6.15</v>
      </c>
      <c r="J106" s="158">
        <f t="shared" si="0"/>
        <v>0.06</v>
      </c>
      <c r="K106" s="158">
        <f t="shared" si="0"/>
        <v>-0.21</v>
      </c>
      <c r="L106" s="158">
        <f t="shared" si="0"/>
        <v>26.85</v>
      </c>
      <c r="M106" s="158">
        <f t="shared" si="0"/>
        <v>25.62</v>
      </c>
      <c r="N106" s="158">
        <f t="shared" si="0"/>
        <v>1.3</v>
      </c>
      <c r="O106" s="158">
        <f t="shared" si="0"/>
        <v>0</v>
      </c>
      <c r="P106" s="158">
        <f t="shared" si="0"/>
        <v>0.34</v>
      </c>
      <c r="Q106" s="158">
        <f t="shared" si="0"/>
        <v>9.92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11.39</v>
      </c>
      <c r="C107" s="157">
        <f t="shared" ref="C107:Q107" si="1">MAX(C9:C104)</f>
        <v>18.37</v>
      </c>
      <c r="D107" s="157">
        <f t="shared" si="1"/>
        <v>10.95</v>
      </c>
      <c r="E107" s="157">
        <f t="shared" si="1"/>
        <v>10.38</v>
      </c>
      <c r="F107" s="157">
        <f t="shared" si="1"/>
        <v>53.47</v>
      </c>
      <c r="G107" s="157">
        <f t="shared" si="1"/>
        <v>118.26</v>
      </c>
      <c r="H107" s="157">
        <f t="shared" si="1"/>
        <v>52.03</v>
      </c>
      <c r="I107" s="157">
        <f t="shared" si="1"/>
        <v>14.41</v>
      </c>
      <c r="J107" s="157">
        <f t="shared" si="1"/>
        <v>1.07</v>
      </c>
      <c r="K107" s="157">
        <f t="shared" si="1"/>
        <v>318.04000000000002</v>
      </c>
      <c r="L107" s="157">
        <f t="shared" si="1"/>
        <v>39.82</v>
      </c>
      <c r="M107" s="157">
        <f t="shared" si="1"/>
        <v>82.01</v>
      </c>
      <c r="N107" s="157">
        <f t="shared" si="1"/>
        <v>812.7</v>
      </c>
      <c r="O107" s="157">
        <f t="shared" si="1"/>
        <v>0</v>
      </c>
      <c r="P107" s="157">
        <f t="shared" si="1"/>
        <v>0.91</v>
      </c>
      <c r="Q107" s="157">
        <f t="shared" si="1"/>
        <v>10.07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5.5740624999999993</v>
      </c>
      <c r="C108" s="158">
        <f t="shared" ref="C108:Q108" si="2">AVERAGE(C9:C104)</f>
        <v>12.314895833333326</v>
      </c>
      <c r="D108" s="158">
        <f t="shared" si="2"/>
        <v>6.7442708333333314</v>
      </c>
      <c r="E108" s="158">
        <f t="shared" si="2"/>
        <v>5.8235416666666708</v>
      </c>
      <c r="F108" s="158">
        <f t="shared" si="2"/>
        <v>11.722395833333335</v>
      </c>
      <c r="G108" s="158">
        <f t="shared" si="2"/>
        <v>79.672291666666695</v>
      </c>
      <c r="H108" s="158">
        <f t="shared" si="2"/>
        <v>37.899479166666659</v>
      </c>
      <c r="I108" s="158">
        <f t="shared" si="2"/>
        <v>9.9735416666666659</v>
      </c>
      <c r="J108" s="158">
        <f t="shared" si="2"/>
        <v>0.40541666666666659</v>
      </c>
      <c r="K108" s="158">
        <f t="shared" si="2"/>
        <v>220.67052083333328</v>
      </c>
      <c r="L108" s="158">
        <f t="shared" si="2"/>
        <v>33.188645833333332</v>
      </c>
      <c r="M108" s="158">
        <f t="shared" si="2"/>
        <v>49.762187499999989</v>
      </c>
      <c r="N108" s="158">
        <f t="shared" si="2"/>
        <v>139.98645833333327</v>
      </c>
      <c r="O108" s="158">
        <f t="shared" si="2"/>
        <v>0</v>
      </c>
      <c r="P108" s="158">
        <f t="shared" si="2"/>
        <v>0.62583333333333324</v>
      </c>
      <c r="Q108" s="158">
        <f t="shared" si="2"/>
        <v>9.9743750000000002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2.7875760374335448</v>
      </c>
      <c r="C109" s="158">
        <f t="shared" ref="C109:Q109" si="3">STDEV(C9:C104)</f>
        <v>3.4775405691505394</v>
      </c>
      <c r="D109" s="158">
        <f t="shared" si="3"/>
        <v>1.603587258086776</v>
      </c>
      <c r="E109" s="158">
        <f t="shared" si="3"/>
        <v>1.1692075401440847</v>
      </c>
      <c r="F109" s="158">
        <f t="shared" si="3"/>
        <v>11.712350273809417</v>
      </c>
      <c r="G109" s="158">
        <f t="shared" si="3"/>
        <v>20.758090545954186</v>
      </c>
      <c r="H109" s="158">
        <f t="shared" si="3"/>
        <v>7.1666056517700731</v>
      </c>
      <c r="I109" s="158">
        <f t="shared" si="3"/>
        <v>2.3313741053932726</v>
      </c>
      <c r="J109" s="158">
        <f t="shared" si="3"/>
        <v>0.27310655975727915</v>
      </c>
      <c r="K109" s="158">
        <f t="shared" si="3"/>
        <v>63.226836280504223</v>
      </c>
      <c r="L109" s="158">
        <f t="shared" si="3"/>
        <v>4.2492693167034092</v>
      </c>
      <c r="M109" s="158">
        <f t="shared" si="3"/>
        <v>17.905799719239827</v>
      </c>
      <c r="N109" s="158">
        <f t="shared" si="3"/>
        <v>214.85461357063701</v>
      </c>
      <c r="O109" s="158">
        <f t="shared" si="3"/>
        <v>0</v>
      </c>
      <c r="P109" s="158">
        <f t="shared" si="3"/>
        <v>0.17472785857270745</v>
      </c>
      <c r="Q109" s="158">
        <f t="shared" si="3"/>
        <v>4.759063375342517E-2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5" sqref="I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816</v>
      </c>
      <c r="B9" s="100">
        <v>3.71</v>
      </c>
      <c r="C9" s="100">
        <v>9.2100000000000009</v>
      </c>
      <c r="D9" s="100">
        <v>5.5</v>
      </c>
      <c r="E9" s="100">
        <v>6.58</v>
      </c>
      <c r="F9" s="100">
        <v>4.4800000000000004</v>
      </c>
      <c r="G9" s="100">
        <v>50.66</v>
      </c>
      <c r="H9" s="100">
        <v>28.05</v>
      </c>
      <c r="I9" s="100">
        <v>6.08</v>
      </c>
      <c r="J9" s="100">
        <v>0.15</v>
      </c>
      <c r="K9" s="100">
        <v>202.73</v>
      </c>
      <c r="L9" s="100">
        <v>29.23</v>
      </c>
      <c r="M9" s="100">
        <v>57.89</v>
      </c>
      <c r="N9" s="100">
        <v>1.7</v>
      </c>
      <c r="O9" s="100">
        <v>0</v>
      </c>
      <c r="P9" s="100">
        <v>0.36</v>
      </c>
      <c r="Q9" s="100">
        <v>9.9499999999999993</v>
      </c>
      <c r="R9" s="6"/>
      <c r="S9" s="6"/>
      <c r="T9" s="156"/>
      <c r="U9" s="6"/>
    </row>
    <row r="10" spans="1:21" customFormat="1">
      <c r="A10" s="163" t="s">
        <v>817</v>
      </c>
      <c r="B10" s="100">
        <v>3.75</v>
      </c>
      <c r="C10" s="100">
        <v>9.51</v>
      </c>
      <c r="D10" s="100">
        <v>5.75</v>
      </c>
      <c r="E10" s="100">
        <v>6.24</v>
      </c>
      <c r="F10" s="100">
        <v>10.039999999999999</v>
      </c>
      <c r="G10" s="100">
        <v>49.38</v>
      </c>
      <c r="H10" s="100">
        <v>27.77</v>
      </c>
      <c r="I10" s="100">
        <v>6.04</v>
      </c>
      <c r="J10" s="100">
        <v>0.19</v>
      </c>
      <c r="K10" s="100">
        <v>209.37</v>
      </c>
      <c r="L10" s="100">
        <v>28.9</v>
      </c>
      <c r="M10" s="100">
        <v>58.02</v>
      </c>
      <c r="N10" s="100">
        <v>1.7</v>
      </c>
      <c r="O10" s="100">
        <v>0</v>
      </c>
      <c r="P10" s="100">
        <v>0.39</v>
      </c>
      <c r="Q10" s="100">
        <v>9.98</v>
      </c>
      <c r="R10" s="6"/>
      <c r="S10" s="6"/>
      <c r="T10" s="156"/>
      <c r="U10" s="6"/>
    </row>
    <row r="11" spans="1:21" customFormat="1">
      <c r="A11" s="163" t="s">
        <v>818</v>
      </c>
      <c r="B11" s="100">
        <v>3.88</v>
      </c>
      <c r="C11" s="100">
        <v>8.58</v>
      </c>
      <c r="D11" s="100">
        <v>4.71</v>
      </c>
      <c r="E11" s="100">
        <v>6.34</v>
      </c>
      <c r="F11" s="100">
        <v>9.44</v>
      </c>
      <c r="G11" s="100">
        <v>49.38</v>
      </c>
      <c r="H11" s="100">
        <v>27.77</v>
      </c>
      <c r="I11" s="100">
        <v>5.94</v>
      </c>
      <c r="J11" s="100">
        <v>0.15</v>
      </c>
      <c r="K11" s="100">
        <v>222.17</v>
      </c>
      <c r="L11" s="100">
        <v>28.52</v>
      </c>
      <c r="M11" s="100">
        <v>59.93</v>
      </c>
      <c r="N11" s="100">
        <v>1.6</v>
      </c>
      <c r="O11" s="100">
        <v>0</v>
      </c>
      <c r="P11" s="100">
        <v>0.39</v>
      </c>
      <c r="Q11" s="100">
        <v>9.9600000000000009</v>
      </c>
      <c r="R11" s="6"/>
      <c r="S11" s="6"/>
      <c r="T11" s="156"/>
      <c r="U11" s="6"/>
    </row>
    <row r="12" spans="1:21" customFormat="1">
      <c r="A12" s="163" t="s">
        <v>819</v>
      </c>
      <c r="B12" s="100">
        <v>3.99</v>
      </c>
      <c r="C12" s="100">
        <v>8.1999999999999993</v>
      </c>
      <c r="D12" s="100">
        <v>4.21</v>
      </c>
      <c r="E12" s="100">
        <v>6.28</v>
      </c>
      <c r="F12" s="100">
        <v>5.44</v>
      </c>
      <c r="G12" s="100">
        <v>49.38</v>
      </c>
      <c r="H12" s="100">
        <v>27.77</v>
      </c>
      <c r="I12" s="100">
        <v>5.71</v>
      </c>
      <c r="J12" s="100">
        <v>0.17</v>
      </c>
      <c r="K12" s="100">
        <v>214.5</v>
      </c>
      <c r="L12" s="100">
        <v>28.66</v>
      </c>
      <c r="M12" s="100">
        <v>58.92</v>
      </c>
      <c r="N12" s="100">
        <v>1.3</v>
      </c>
      <c r="O12" s="100">
        <v>0</v>
      </c>
      <c r="P12" s="100">
        <v>0.39</v>
      </c>
      <c r="Q12" s="100">
        <v>9.9700000000000006</v>
      </c>
      <c r="R12" s="6"/>
      <c r="S12" s="6"/>
      <c r="T12" s="156"/>
      <c r="U12" s="6"/>
    </row>
    <row r="13" spans="1:21" customFormat="1">
      <c r="A13" s="163" t="s">
        <v>820</v>
      </c>
      <c r="B13" s="100">
        <v>4.0199999999999996</v>
      </c>
      <c r="C13" s="100">
        <v>9.02</v>
      </c>
      <c r="D13" s="100">
        <v>5</v>
      </c>
      <c r="E13" s="100">
        <v>6.17</v>
      </c>
      <c r="F13" s="100">
        <v>8.6</v>
      </c>
      <c r="G13" s="100">
        <v>48.61</v>
      </c>
      <c r="H13" s="100">
        <v>27.01</v>
      </c>
      <c r="I13" s="100">
        <v>5.86</v>
      </c>
      <c r="J13" s="100">
        <v>0.13</v>
      </c>
      <c r="K13" s="100">
        <v>196</v>
      </c>
      <c r="L13" s="100">
        <v>28.62</v>
      </c>
      <c r="M13" s="100">
        <v>59.93</v>
      </c>
      <c r="N13" s="100">
        <v>1.4</v>
      </c>
      <c r="O13" s="100">
        <v>0</v>
      </c>
      <c r="P13" s="100">
        <v>0.43</v>
      </c>
      <c r="Q13" s="100">
        <v>9.9600000000000009</v>
      </c>
      <c r="R13" s="6"/>
      <c r="S13" s="6"/>
      <c r="T13" s="156"/>
      <c r="U13" s="6"/>
    </row>
    <row r="14" spans="1:21" customFormat="1">
      <c r="A14" s="163" t="s">
        <v>821</v>
      </c>
      <c r="B14" s="100">
        <v>4.05</v>
      </c>
      <c r="C14" s="100">
        <v>8.9</v>
      </c>
      <c r="D14" s="100">
        <v>4.8499999999999996</v>
      </c>
      <c r="E14" s="100">
        <v>6.35</v>
      </c>
      <c r="F14" s="100">
        <v>9.1300000000000008</v>
      </c>
      <c r="G14" s="100">
        <v>47.6</v>
      </c>
      <c r="H14" s="100">
        <v>26.48</v>
      </c>
      <c r="I14" s="100">
        <v>6.11</v>
      </c>
      <c r="J14" s="100">
        <v>0.02</v>
      </c>
      <c r="K14" s="100">
        <v>-0.13</v>
      </c>
      <c r="L14" s="100">
        <v>28.49</v>
      </c>
      <c r="M14" s="100">
        <v>60.32</v>
      </c>
      <c r="N14" s="100">
        <v>1.4</v>
      </c>
      <c r="O14" s="100">
        <v>0</v>
      </c>
      <c r="P14" s="100">
        <v>0.4</v>
      </c>
      <c r="Q14" s="100">
        <v>9.9600000000000009</v>
      </c>
      <c r="R14" s="6"/>
      <c r="S14" s="6"/>
      <c r="T14" s="156"/>
      <c r="U14" s="6"/>
    </row>
    <row r="15" spans="1:21" customFormat="1">
      <c r="A15" s="163" t="s">
        <v>822</v>
      </c>
      <c r="B15" s="100">
        <v>4.16</v>
      </c>
      <c r="C15" s="100">
        <v>8.65</v>
      </c>
      <c r="D15" s="100">
        <v>4.46</v>
      </c>
      <c r="E15" s="100">
        <v>5.7</v>
      </c>
      <c r="F15" s="100">
        <v>6.3</v>
      </c>
      <c r="G15" s="100">
        <v>47.6</v>
      </c>
      <c r="H15" s="100">
        <v>26.48</v>
      </c>
      <c r="I15" s="100">
        <v>6.05</v>
      </c>
      <c r="J15" s="100">
        <v>0.11</v>
      </c>
      <c r="K15" s="100">
        <v>194.2</v>
      </c>
      <c r="L15" s="100">
        <v>28.55</v>
      </c>
      <c r="M15" s="100">
        <v>60</v>
      </c>
      <c r="N15" s="100">
        <v>1.4</v>
      </c>
      <c r="O15" s="100">
        <v>0</v>
      </c>
      <c r="P15" s="100">
        <v>0.4</v>
      </c>
      <c r="Q15" s="100">
        <v>9.94</v>
      </c>
      <c r="R15" s="6"/>
      <c r="S15" s="6"/>
      <c r="T15" s="156"/>
      <c r="U15" s="6"/>
    </row>
    <row r="16" spans="1:21" customFormat="1">
      <c r="A16" s="163" t="s">
        <v>823</v>
      </c>
      <c r="B16" s="100">
        <v>4.1900000000000004</v>
      </c>
      <c r="C16" s="100">
        <v>9.0299999999999994</v>
      </c>
      <c r="D16" s="100">
        <v>4.8499999999999996</v>
      </c>
      <c r="E16" s="100">
        <v>6.22</v>
      </c>
      <c r="F16" s="100">
        <v>8.64</v>
      </c>
      <c r="G16" s="100">
        <v>47.6</v>
      </c>
      <c r="H16" s="100">
        <v>26.48</v>
      </c>
      <c r="I16" s="100">
        <v>6</v>
      </c>
      <c r="J16" s="100">
        <v>0.15</v>
      </c>
      <c r="K16" s="100">
        <v>228</v>
      </c>
      <c r="L16" s="100">
        <v>28.58</v>
      </c>
      <c r="M16" s="100">
        <v>60.75</v>
      </c>
      <c r="N16" s="100">
        <v>1.3</v>
      </c>
      <c r="O16" s="100">
        <v>0</v>
      </c>
      <c r="P16" s="100">
        <v>0.42</v>
      </c>
      <c r="Q16" s="100">
        <v>9.9499999999999993</v>
      </c>
      <c r="R16" s="6"/>
      <c r="S16" s="6"/>
      <c r="T16" s="156"/>
      <c r="U16" s="6"/>
    </row>
    <row r="17" spans="1:21" customFormat="1">
      <c r="A17" s="163" t="s">
        <v>824</v>
      </c>
      <c r="B17" s="100">
        <v>4.22</v>
      </c>
      <c r="C17" s="100">
        <v>8.5399999999999991</v>
      </c>
      <c r="D17" s="100">
        <v>4.33</v>
      </c>
      <c r="E17" s="100">
        <v>3.56</v>
      </c>
      <c r="F17" s="100">
        <v>8.48</v>
      </c>
      <c r="G17" s="100">
        <v>48.82</v>
      </c>
      <c r="H17" s="100">
        <v>28.88</v>
      </c>
      <c r="I17" s="100">
        <v>6.22</v>
      </c>
      <c r="J17" s="100">
        <v>0.2</v>
      </c>
      <c r="K17" s="100">
        <v>202.7</v>
      </c>
      <c r="L17" s="100">
        <v>28.46</v>
      </c>
      <c r="M17" s="100">
        <v>62.23</v>
      </c>
      <c r="N17" s="100">
        <v>1.4</v>
      </c>
      <c r="O17" s="100">
        <v>0</v>
      </c>
      <c r="P17" s="100">
        <v>0.41</v>
      </c>
      <c r="Q17" s="100">
        <v>9.9600000000000009</v>
      </c>
      <c r="R17" s="6"/>
      <c r="S17" s="6"/>
      <c r="T17" s="156"/>
      <c r="U17" s="6"/>
    </row>
    <row r="18" spans="1:21" customFormat="1">
      <c r="A18" s="163" t="s">
        <v>825</v>
      </c>
      <c r="B18" s="100">
        <v>4.3099999999999996</v>
      </c>
      <c r="C18" s="100">
        <v>8.74</v>
      </c>
      <c r="D18" s="100">
        <v>4.43</v>
      </c>
      <c r="E18" s="100">
        <v>4.54</v>
      </c>
      <c r="F18" s="100">
        <v>6.83</v>
      </c>
      <c r="G18" s="100">
        <v>50.42</v>
      </c>
      <c r="H18" s="100">
        <v>30.54</v>
      </c>
      <c r="I18" s="100">
        <v>6.2</v>
      </c>
      <c r="J18" s="100">
        <v>0.2</v>
      </c>
      <c r="K18" s="100">
        <v>229.86</v>
      </c>
      <c r="L18" s="100">
        <v>28.33</v>
      </c>
      <c r="M18" s="100">
        <v>63.29</v>
      </c>
      <c r="N18" s="100">
        <v>1.4</v>
      </c>
      <c r="O18" s="100">
        <v>0</v>
      </c>
      <c r="P18" s="100">
        <v>0.43</v>
      </c>
      <c r="Q18" s="100">
        <v>9.98</v>
      </c>
      <c r="R18" s="6"/>
      <c r="S18" s="6"/>
      <c r="T18" s="156"/>
      <c r="U18" s="6"/>
    </row>
    <row r="19" spans="1:21" customFormat="1">
      <c r="A19" s="163" t="s">
        <v>826</v>
      </c>
      <c r="B19" s="100">
        <v>4.3099999999999996</v>
      </c>
      <c r="C19" s="100">
        <v>8.44</v>
      </c>
      <c r="D19" s="100">
        <v>4.12</v>
      </c>
      <c r="E19" s="100">
        <v>4.4000000000000004</v>
      </c>
      <c r="F19" s="100">
        <v>8.89</v>
      </c>
      <c r="G19" s="100">
        <v>50.42</v>
      </c>
      <c r="H19" s="100">
        <v>30.54</v>
      </c>
      <c r="I19" s="100">
        <v>6.14</v>
      </c>
      <c r="J19" s="100">
        <v>0.21</v>
      </c>
      <c r="K19" s="100">
        <v>229.77</v>
      </c>
      <c r="L19" s="100">
        <v>28.43</v>
      </c>
      <c r="M19" s="100">
        <v>63.08</v>
      </c>
      <c r="N19" s="100">
        <v>1.3</v>
      </c>
      <c r="O19" s="100">
        <v>0</v>
      </c>
      <c r="P19" s="100">
        <v>0.4</v>
      </c>
      <c r="Q19" s="100">
        <v>9.9600000000000009</v>
      </c>
      <c r="R19" s="6"/>
      <c r="S19" s="6"/>
      <c r="T19" s="156"/>
      <c r="U19" s="6"/>
    </row>
    <row r="20" spans="1:21" customFormat="1">
      <c r="A20" s="163" t="s">
        <v>827</v>
      </c>
      <c r="B20" s="100">
        <v>4.32</v>
      </c>
      <c r="C20" s="100">
        <v>8.15</v>
      </c>
      <c r="D20" s="100">
        <v>3.83</v>
      </c>
      <c r="E20" s="100">
        <v>4.33</v>
      </c>
      <c r="F20" s="100">
        <v>6.02</v>
      </c>
      <c r="G20" s="100">
        <v>50.42</v>
      </c>
      <c r="H20" s="100">
        <v>30.54</v>
      </c>
      <c r="I20" s="100">
        <v>6.23</v>
      </c>
      <c r="J20" s="100">
        <v>0.31</v>
      </c>
      <c r="K20" s="100">
        <v>248.63</v>
      </c>
      <c r="L20" s="100">
        <v>28.61</v>
      </c>
      <c r="M20" s="100">
        <v>61.47</v>
      </c>
      <c r="N20" s="100">
        <v>1</v>
      </c>
      <c r="O20" s="100">
        <v>0</v>
      </c>
      <c r="P20" s="100">
        <v>0.39</v>
      </c>
      <c r="Q20" s="100">
        <v>9.9499999999999993</v>
      </c>
      <c r="R20" s="6"/>
      <c r="S20" s="6"/>
      <c r="T20" s="156"/>
      <c r="U20" s="6"/>
    </row>
    <row r="21" spans="1:21" customFormat="1">
      <c r="A21" s="163" t="s">
        <v>828</v>
      </c>
      <c r="B21" s="100">
        <v>4.25</v>
      </c>
      <c r="C21" s="100">
        <v>8.68</v>
      </c>
      <c r="D21" s="100">
        <v>4.43</v>
      </c>
      <c r="E21" s="100">
        <v>4.3600000000000003</v>
      </c>
      <c r="F21" s="100">
        <v>12.87</v>
      </c>
      <c r="G21" s="100">
        <v>49.22</v>
      </c>
      <c r="H21" s="100">
        <v>27.91</v>
      </c>
      <c r="I21" s="100">
        <v>6.16</v>
      </c>
      <c r="J21" s="100">
        <v>0.25</v>
      </c>
      <c r="K21" s="100">
        <v>248.42</v>
      </c>
      <c r="L21" s="100">
        <v>28.94</v>
      </c>
      <c r="M21" s="100">
        <v>59.83</v>
      </c>
      <c r="N21" s="100">
        <v>1.3</v>
      </c>
      <c r="O21" s="100">
        <v>0</v>
      </c>
      <c r="P21" s="100">
        <v>0.41</v>
      </c>
      <c r="Q21" s="100">
        <v>9.9700000000000006</v>
      </c>
      <c r="R21" s="6"/>
      <c r="S21" s="6"/>
      <c r="T21" s="156"/>
      <c r="U21" s="6"/>
    </row>
    <row r="22" spans="1:21" customFormat="1">
      <c r="A22" s="163" t="s">
        <v>829</v>
      </c>
      <c r="B22" s="100">
        <v>4.1399999999999997</v>
      </c>
      <c r="C22" s="100">
        <v>8.23</v>
      </c>
      <c r="D22" s="100">
        <v>4.09</v>
      </c>
      <c r="E22" s="100">
        <v>4.3</v>
      </c>
      <c r="F22" s="100">
        <v>15.31</v>
      </c>
      <c r="G22" s="100">
        <v>47.64</v>
      </c>
      <c r="H22" s="100">
        <v>26.09</v>
      </c>
      <c r="I22" s="100">
        <v>6.22</v>
      </c>
      <c r="J22" s="100">
        <v>0.19</v>
      </c>
      <c r="K22" s="100">
        <v>236.26</v>
      </c>
      <c r="L22" s="100">
        <v>28.8</v>
      </c>
      <c r="M22" s="100">
        <v>60.58</v>
      </c>
      <c r="N22" s="100">
        <v>1.5</v>
      </c>
      <c r="O22" s="100">
        <v>0</v>
      </c>
      <c r="P22" s="100">
        <v>0.38</v>
      </c>
      <c r="Q22" s="100">
        <v>9.9600000000000009</v>
      </c>
      <c r="R22" s="6"/>
      <c r="S22" s="6"/>
      <c r="T22" s="156"/>
      <c r="U22" s="6"/>
    </row>
    <row r="23" spans="1:21" customFormat="1">
      <c r="A23" s="163" t="s">
        <v>830</v>
      </c>
      <c r="B23" s="100">
        <v>4.17</v>
      </c>
      <c r="C23" s="100">
        <v>7.92</v>
      </c>
      <c r="D23" s="100">
        <v>3.75</v>
      </c>
      <c r="E23" s="100">
        <v>4.4400000000000004</v>
      </c>
      <c r="F23" s="100">
        <v>7.21</v>
      </c>
      <c r="G23" s="100">
        <v>47.64</v>
      </c>
      <c r="H23" s="100">
        <v>26.09</v>
      </c>
      <c r="I23" s="100">
        <v>6.02</v>
      </c>
      <c r="J23" s="100">
        <v>0.19</v>
      </c>
      <c r="K23" s="100">
        <v>237.36</v>
      </c>
      <c r="L23" s="100">
        <v>28.91</v>
      </c>
      <c r="M23" s="100">
        <v>59.72</v>
      </c>
      <c r="N23" s="100">
        <v>1.4</v>
      </c>
      <c r="O23" s="100">
        <v>0</v>
      </c>
      <c r="P23" s="100">
        <v>0.39</v>
      </c>
      <c r="Q23" s="100">
        <v>9.9499999999999993</v>
      </c>
      <c r="R23" s="6"/>
      <c r="S23" s="6"/>
      <c r="T23" s="156"/>
      <c r="U23" s="6"/>
    </row>
    <row r="24" spans="1:21" customFormat="1">
      <c r="A24" s="163" t="s">
        <v>831</v>
      </c>
      <c r="B24" s="100">
        <v>4.1500000000000004</v>
      </c>
      <c r="C24" s="100">
        <v>8.5</v>
      </c>
      <c r="D24" s="100">
        <v>4.3499999999999996</v>
      </c>
      <c r="E24" s="100">
        <v>4.55</v>
      </c>
      <c r="F24" s="100">
        <v>11.18</v>
      </c>
      <c r="G24" s="100">
        <v>47.64</v>
      </c>
      <c r="H24" s="100">
        <v>26.09</v>
      </c>
      <c r="I24" s="100">
        <v>5.88</v>
      </c>
      <c r="J24" s="100">
        <v>0.18</v>
      </c>
      <c r="K24" s="100">
        <v>222.38</v>
      </c>
      <c r="L24" s="100">
        <v>28.69</v>
      </c>
      <c r="M24" s="100">
        <v>61.03</v>
      </c>
      <c r="N24" s="100">
        <v>1.6</v>
      </c>
      <c r="O24" s="100">
        <v>0</v>
      </c>
      <c r="P24" s="100">
        <v>0.4</v>
      </c>
      <c r="Q24" s="100">
        <v>9.9700000000000006</v>
      </c>
      <c r="R24" s="6"/>
      <c r="S24" s="6"/>
      <c r="T24" s="156"/>
      <c r="U24" s="6"/>
    </row>
    <row r="25" spans="1:21" customFormat="1">
      <c r="A25" s="163" t="s">
        <v>832</v>
      </c>
      <c r="B25" s="100">
        <v>4.09</v>
      </c>
      <c r="C25" s="100">
        <v>8.07</v>
      </c>
      <c r="D25" s="100">
        <v>3.98</v>
      </c>
      <c r="E25" s="100">
        <v>4.84</v>
      </c>
      <c r="F25" s="100">
        <v>10.99</v>
      </c>
      <c r="G25" s="100">
        <v>47.73</v>
      </c>
      <c r="H25" s="100">
        <v>26.73</v>
      </c>
      <c r="I25" s="100">
        <v>6.12</v>
      </c>
      <c r="J25" s="100">
        <v>0.24</v>
      </c>
      <c r="K25" s="100">
        <v>242.98</v>
      </c>
      <c r="L25" s="100">
        <v>28.62</v>
      </c>
      <c r="M25" s="100">
        <v>60.86</v>
      </c>
      <c r="N25" s="100">
        <v>1.5</v>
      </c>
      <c r="O25" s="100">
        <v>0</v>
      </c>
      <c r="P25" s="100">
        <v>0.39</v>
      </c>
      <c r="Q25" s="100">
        <v>9.9499999999999993</v>
      </c>
      <c r="R25" s="6"/>
      <c r="S25" s="6"/>
      <c r="T25" s="156"/>
      <c r="U25" s="6"/>
    </row>
    <row r="26" spans="1:21" customFormat="1">
      <c r="A26" s="163" t="s">
        <v>833</v>
      </c>
      <c r="B26" s="100">
        <v>4.1399999999999997</v>
      </c>
      <c r="C26" s="100">
        <v>8.42</v>
      </c>
      <c r="D26" s="100">
        <v>4.28</v>
      </c>
      <c r="E26" s="100">
        <v>4.84</v>
      </c>
      <c r="F26" s="100">
        <v>9.98</v>
      </c>
      <c r="G26" s="100">
        <v>47.84</v>
      </c>
      <c r="H26" s="100">
        <v>27.18</v>
      </c>
      <c r="I26" s="100">
        <v>6.02</v>
      </c>
      <c r="J26" s="100">
        <v>0.28000000000000003</v>
      </c>
      <c r="K26" s="100">
        <v>249.8</v>
      </c>
      <c r="L26" s="100">
        <v>28.74</v>
      </c>
      <c r="M26" s="100">
        <v>59.78</v>
      </c>
      <c r="N26" s="100">
        <v>1.3</v>
      </c>
      <c r="O26" s="100">
        <v>0</v>
      </c>
      <c r="P26" s="100">
        <v>0.4</v>
      </c>
      <c r="Q26" s="100">
        <v>9.9600000000000009</v>
      </c>
      <c r="R26" s="6"/>
      <c r="S26" s="6"/>
      <c r="T26" s="156"/>
      <c r="U26" s="6"/>
    </row>
    <row r="27" spans="1:21" customFormat="1">
      <c r="A27" s="163" t="s">
        <v>834</v>
      </c>
      <c r="B27" s="100">
        <v>4.08</v>
      </c>
      <c r="C27" s="100">
        <v>8</v>
      </c>
      <c r="D27" s="100">
        <v>3.93</v>
      </c>
      <c r="E27" s="100">
        <v>4.5599999999999996</v>
      </c>
      <c r="F27" s="100">
        <v>12.41</v>
      </c>
      <c r="G27" s="100">
        <v>47.84</v>
      </c>
      <c r="H27" s="100">
        <v>27.18</v>
      </c>
      <c r="I27" s="100">
        <v>6.01</v>
      </c>
      <c r="J27" s="100">
        <v>0.19</v>
      </c>
      <c r="K27" s="100">
        <v>227.58</v>
      </c>
      <c r="L27" s="100">
        <v>28.56</v>
      </c>
      <c r="M27" s="100">
        <v>61.08</v>
      </c>
      <c r="N27" s="100">
        <v>1.7</v>
      </c>
      <c r="O27" s="100">
        <v>0</v>
      </c>
      <c r="P27" s="100">
        <v>0.39</v>
      </c>
      <c r="Q27" s="100">
        <v>9.9700000000000006</v>
      </c>
      <c r="R27" s="6"/>
      <c r="S27" s="6"/>
      <c r="T27" s="156"/>
      <c r="U27" s="6"/>
    </row>
    <row r="28" spans="1:21" customFormat="1">
      <c r="A28" s="163" t="s">
        <v>835</v>
      </c>
      <c r="B28" s="100">
        <v>4.1100000000000003</v>
      </c>
      <c r="C28" s="100">
        <v>7.8</v>
      </c>
      <c r="D28" s="100">
        <v>3.69</v>
      </c>
      <c r="E28" s="100">
        <v>4.6500000000000004</v>
      </c>
      <c r="F28" s="100">
        <v>5.91</v>
      </c>
      <c r="G28" s="100">
        <v>47.84</v>
      </c>
      <c r="H28" s="100">
        <v>27.18</v>
      </c>
      <c r="I28" s="100">
        <v>6.1</v>
      </c>
      <c r="J28" s="100">
        <v>0.09</v>
      </c>
      <c r="K28" s="100">
        <v>217.07</v>
      </c>
      <c r="L28" s="100">
        <v>28.27</v>
      </c>
      <c r="M28" s="100">
        <v>62.79</v>
      </c>
      <c r="N28" s="100">
        <v>1.8</v>
      </c>
      <c r="O28" s="100">
        <v>0</v>
      </c>
      <c r="P28" s="100">
        <v>0.38</v>
      </c>
      <c r="Q28" s="100">
        <v>9.9700000000000006</v>
      </c>
      <c r="R28" s="6"/>
      <c r="S28" s="6"/>
      <c r="T28" s="156"/>
      <c r="U28" s="6"/>
    </row>
    <row r="29" spans="1:21" customFormat="1">
      <c r="A29" s="163" t="s">
        <v>836</v>
      </c>
      <c r="B29" s="100">
        <v>4.1100000000000003</v>
      </c>
      <c r="C29" s="100">
        <v>8.19</v>
      </c>
      <c r="D29" s="100">
        <v>4.08</v>
      </c>
      <c r="E29" s="100">
        <v>4.8600000000000003</v>
      </c>
      <c r="F29" s="100">
        <v>4.45</v>
      </c>
      <c r="G29" s="100">
        <v>47.39</v>
      </c>
      <c r="H29" s="100">
        <v>27.05</v>
      </c>
      <c r="I29" s="100">
        <v>5.92</v>
      </c>
      <c r="J29" s="100">
        <v>0.16</v>
      </c>
      <c r="K29" s="100">
        <v>164.77</v>
      </c>
      <c r="L29" s="100">
        <v>28.22</v>
      </c>
      <c r="M29" s="100">
        <v>63.2</v>
      </c>
      <c r="N29" s="100">
        <v>2.9</v>
      </c>
      <c r="O29" s="100">
        <v>0</v>
      </c>
      <c r="P29" s="100">
        <v>0.36</v>
      </c>
      <c r="Q29" s="100">
        <v>9.94</v>
      </c>
      <c r="R29" s="6"/>
      <c r="S29" s="6"/>
      <c r="T29" s="156"/>
      <c r="U29" s="6"/>
    </row>
    <row r="30" spans="1:21" customFormat="1">
      <c r="A30" s="163" t="s">
        <v>837</v>
      </c>
      <c r="B30" s="100">
        <v>4.04</v>
      </c>
      <c r="C30" s="100">
        <v>8.44</v>
      </c>
      <c r="D30" s="100">
        <v>4.3899999999999997</v>
      </c>
      <c r="E30" s="100">
        <v>4.76</v>
      </c>
      <c r="F30" s="100">
        <v>3.48</v>
      </c>
      <c r="G30" s="100">
        <v>46.8</v>
      </c>
      <c r="H30" s="100">
        <v>26.96</v>
      </c>
      <c r="I30" s="100">
        <v>6.2</v>
      </c>
      <c r="J30" s="100">
        <v>0.28999999999999998</v>
      </c>
      <c r="K30" s="100">
        <v>162.55000000000001</v>
      </c>
      <c r="L30" s="100">
        <v>28.2</v>
      </c>
      <c r="M30" s="100">
        <v>64.02</v>
      </c>
      <c r="N30" s="100">
        <v>7.1</v>
      </c>
      <c r="O30" s="100">
        <v>0</v>
      </c>
      <c r="P30" s="100">
        <v>0.35</v>
      </c>
      <c r="Q30" s="100">
        <v>9.94</v>
      </c>
      <c r="R30" s="6"/>
      <c r="S30" s="6"/>
      <c r="T30" s="156"/>
      <c r="U30" s="6"/>
    </row>
    <row r="31" spans="1:21" customFormat="1">
      <c r="A31" s="163" t="s">
        <v>838</v>
      </c>
      <c r="B31" s="100">
        <v>3.98</v>
      </c>
      <c r="C31" s="100">
        <v>8.5399999999999991</v>
      </c>
      <c r="D31" s="100">
        <v>4.5599999999999996</v>
      </c>
      <c r="E31" s="100">
        <v>4.7</v>
      </c>
      <c r="F31" s="100">
        <v>2.8</v>
      </c>
      <c r="G31" s="100">
        <v>46.8</v>
      </c>
      <c r="H31" s="100">
        <v>26.96</v>
      </c>
      <c r="I31" s="100">
        <v>6.28</v>
      </c>
      <c r="J31" s="100">
        <v>0.16</v>
      </c>
      <c r="K31" s="100">
        <v>206.07</v>
      </c>
      <c r="L31" s="100">
        <v>27.93</v>
      </c>
      <c r="M31" s="100">
        <v>65.47</v>
      </c>
      <c r="N31" s="100">
        <v>19.100000000000001</v>
      </c>
      <c r="O31" s="100">
        <v>0</v>
      </c>
      <c r="P31" s="100">
        <v>0.34</v>
      </c>
      <c r="Q31" s="100">
        <v>9.94</v>
      </c>
      <c r="R31" s="6"/>
      <c r="S31" s="6"/>
      <c r="T31" s="156"/>
      <c r="U31" s="6"/>
    </row>
    <row r="32" spans="1:21" customFormat="1">
      <c r="A32" s="163" t="s">
        <v>839</v>
      </c>
      <c r="B32" s="100">
        <v>3.92</v>
      </c>
      <c r="C32" s="100">
        <v>8.6300000000000008</v>
      </c>
      <c r="D32" s="100">
        <v>4.72</v>
      </c>
      <c r="E32" s="100">
        <v>4.38</v>
      </c>
      <c r="F32" s="100">
        <v>2.81</v>
      </c>
      <c r="G32" s="100">
        <v>46.8</v>
      </c>
      <c r="H32" s="100">
        <v>26.96</v>
      </c>
      <c r="I32" s="100">
        <v>6.24</v>
      </c>
      <c r="J32" s="100">
        <v>0.2</v>
      </c>
      <c r="K32" s="100">
        <v>234.35</v>
      </c>
      <c r="L32" s="100">
        <v>28.05</v>
      </c>
      <c r="M32" s="100">
        <v>64.89</v>
      </c>
      <c r="N32" s="100">
        <v>31.9</v>
      </c>
      <c r="O32" s="100">
        <v>0</v>
      </c>
      <c r="P32" s="100">
        <v>0.34</v>
      </c>
      <c r="Q32" s="100">
        <v>9.92</v>
      </c>
      <c r="R32" s="6"/>
      <c r="S32" s="6"/>
      <c r="T32" s="156"/>
      <c r="U32" s="6"/>
    </row>
    <row r="33" spans="1:21" customFormat="1">
      <c r="A33" s="163" t="s">
        <v>840</v>
      </c>
      <c r="B33" s="100">
        <v>3.88</v>
      </c>
      <c r="C33" s="100">
        <v>8.69</v>
      </c>
      <c r="D33" s="100">
        <v>4.8099999999999996</v>
      </c>
      <c r="E33" s="100">
        <v>4.54</v>
      </c>
      <c r="F33" s="100">
        <v>3.2</v>
      </c>
      <c r="G33" s="100">
        <v>46.14</v>
      </c>
      <c r="H33" s="100">
        <v>26.69</v>
      </c>
      <c r="I33" s="100">
        <v>6.14</v>
      </c>
      <c r="J33" s="100">
        <v>0.19</v>
      </c>
      <c r="K33" s="100">
        <v>218.21</v>
      </c>
      <c r="L33" s="100">
        <v>28.33</v>
      </c>
      <c r="M33" s="100">
        <v>65.180000000000007</v>
      </c>
      <c r="N33" s="100">
        <v>44.7</v>
      </c>
      <c r="O33" s="100">
        <v>0</v>
      </c>
      <c r="P33" s="100">
        <v>0.34</v>
      </c>
      <c r="Q33" s="100">
        <v>9.94</v>
      </c>
      <c r="R33" s="6"/>
      <c r="S33" s="6"/>
      <c r="T33" s="156"/>
      <c r="U33" s="6"/>
    </row>
    <row r="34" spans="1:21" customFormat="1">
      <c r="A34" s="163" t="s">
        <v>841</v>
      </c>
      <c r="B34" s="100">
        <v>3.86</v>
      </c>
      <c r="C34" s="100">
        <v>8.75</v>
      </c>
      <c r="D34" s="100">
        <v>4.88</v>
      </c>
      <c r="E34" s="100">
        <v>4.76</v>
      </c>
      <c r="F34" s="100">
        <v>3.36</v>
      </c>
      <c r="G34" s="100">
        <v>45.27</v>
      </c>
      <c r="H34" s="100">
        <v>26.22</v>
      </c>
      <c r="I34" s="100">
        <v>6.05</v>
      </c>
      <c r="J34" s="100">
        <v>0.2</v>
      </c>
      <c r="K34" s="100">
        <v>242.06</v>
      </c>
      <c r="L34" s="100">
        <v>28.64</v>
      </c>
      <c r="M34" s="100">
        <v>64.19</v>
      </c>
      <c r="N34" s="100">
        <v>59.2</v>
      </c>
      <c r="O34" s="100">
        <v>0</v>
      </c>
      <c r="P34" s="100">
        <v>0.34</v>
      </c>
      <c r="Q34" s="100">
        <v>9.94</v>
      </c>
      <c r="R34" s="6"/>
      <c r="S34" s="6"/>
      <c r="T34" s="156"/>
      <c r="U34" s="6"/>
    </row>
    <row r="35" spans="1:21" customFormat="1">
      <c r="A35" s="163" t="s">
        <v>842</v>
      </c>
      <c r="B35" s="100">
        <v>3.87</v>
      </c>
      <c r="C35" s="100">
        <v>8.73</v>
      </c>
      <c r="D35" s="100">
        <v>4.8600000000000003</v>
      </c>
      <c r="E35" s="100">
        <v>4.63</v>
      </c>
      <c r="F35" s="100">
        <v>3.05</v>
      </c>
      <c r="G35" s="100">
        <v>45.27</v>
      </c>
      <c r="H35" s="100">
        <v>26.22</v>
      </c>
      <c r="I35" s="100">
        <v>6</v>
      </c>
      <c r="J35" s="100">
        <v>0.26</v>
      </c>
      <c r="K35" s="100">
        <v>244.73</v>
      </c>
      <c r="L35" s="100">
        <v>29.08</v>
      </c>
      <c r="M35" s="100">
        <v>62.96</v>
      </c>
      <c r="N35" s="100">
        <v>76.400000000000006</v>
      </c>
      <c r="O35" s="100">
        <v>0</v>
      </c>
      <c r="P35" s="100">
        <v>0.35</v>
      </c>
      <c r="Q35" s="100">
        <v>9.94</v>
      </c>
      <c r="R35" s="6"/>
      <c r="S35" s="6"/>
      <c r="T35" s="156"/>
      <c r="U35" s="6"/>
    </row>
    <row r="36" spans="1:21" customFormat="1">
      <c r="A36" s="163" t="s">
        <v>843</v>
      </c>
      <c r="B36" s="100">
        <v>3.85</v>
      </c>
      <c r="C36" s="100">
        <v>8.74</v>
      </c>
      <c r="D36" s="100">
        <v>4.8899999999999997</v>
      </c>
      <c r="E36" s="100">
        <v>4.79</v>
      </c>
      <c r="F36" s="100">
        <v>2.95</v>
      </c>
      <c r="G36" s="100">
        <v>45.27</v>
      </c>
      <c r="H36" s="100">
        <v>26.22</v>
      </c>
      <c r="I36" s="100">
        <v>5.95</v>
      </c>
      <c r="J36" s="100">
        <v>0.3</v>
      </c>
      <c r="K36" s="100">
        <v>237.43</v>
      </c>
      <c r="L36" s="100">
        <v>29.56</v>
      </c>
      <c r="M36" s="100">
        <v>61.54</v>
      </c>
      <c r="N36" s="100">
        <v>88.1</v>
      </c>
      <c r="O36" s="100">
        <v>0</v>
      </c>
      <c r="P36" s="100">
        <v>0.36</v>
      </c>
      <c r="Q36" s="100">
        <v>9.94</v>
      </c>
      <c r="R36" s="6"/>
      <c r="S36" s="6"/>
      <c r="T36" s="156"/>
      <c r="U36" s="6"/>
    </row>
    <row r="37" spans="1:21" customFormat="1">
      <c r="A37" s="163" t="s">
        <v>844</v>
      </c>
      <c r="B37" s="100">
        <v>3.8</v>
      </c>
      <c r="C37" s="100">
        <v>8.7200000000000006</v>
      </c>
      <c r="D37" s="100">
        <v>4.92</v>
      </c>
      <c r="E37" s="100">
        <v>4.67</v>
      </c>
      <c r="F37" s="100">
        <v>3.18</v>
      </c>
      <c r="G37" s="100">
        <v>43.87</v>
      </c>
      <c r="H37" s="100">
        <v>24.52</v>
      </c>
      <c r="I37" s="100">
        <v>5.96</v>
      </c>
      <c r="J37" s="100">
        <v>0.4</v>
      </c>
      <c r="K37" s="100">
        <v>254.43</v>
      </c>
      <c r="L37" s="100">
        <v>30.22</v>
      </c>
      <c r="M37" s="100">
        <v>58.91</v>
      </c>
      <c r="N37" s="100">
        <v>98.8</v>
      </c>
      <c r="O37" s="100">
        <v>0</v>
      </c>
      <c r="P37" s="100">
        <v>0.35</v>
      </c>
      <c r="Q37" s="100">
        <v>9.94</v>
      </c>
      <c r="R37" s="6"/>
      <c r="S37" s="6"/>
      <c r="T37" s="156"/>
      <c r="U37" s="6"/>
    </row>
    <row r="38" spans="1:21" customFormat="1">
      <c r="A38" s="163" t="s">
        <v>845</v>
      </c>
      <c r="B38" s="100">
        <v>3.75</v>
      </c>
      <c r="C38" s="100">
        <v>8.75</v>
      </c>
      <c r="D38" s="100">
        <v>5</v>
      </c>
      <c r="E38" s="100">
        <v>4.4800000000000004</v>
      </c>
      <c r="F38" s="100">
        <v>3.53</v>
      </c>
      <c r="G38" s="100">
        <v>42.04</v>
      </c>
      <c r="H38" s="100">
        <v>23.34</v>
      </c>
      <c r="I38" s="100">
        <v>5.91</v>
      </c>
      <c r="J38" s="100">
        <v>0.48</v>
      </c>
      <c r="K38" s="100">
        <v>252.26</v>
      </c>
      <c r="L38" s="100">
        <v>30.9</v>
      </c>
      <c r="M38" s="100">
        <v>56.86</v>
      </c>
      <c r="N38" s="100">
        <v>107.5</v>
      </c>
      <c r="O38" s="100">
        <v>0</v>
      </c>
      <c r="P38" s="100">
        <v>0.36</v>
      </c>
      <c r="Q38" s="100">
        <v>9.9499999999999993</v>
      </c>
      <c r="R38" s="6"/>
      <c r="S38" s="6"/>
      <c r="T38" s="156"/>
      <c r="U38" s="6"/>
    </row>
    <row r="39" spans="1:21" customFormat="1">
      <c r="A39" s="163" t="s">
        <v>846</v>
      </c>
      <c r="B39" s="100">
        <v>3.69</v>
      </c>
      <c r="C39" s="100">
        <v>8.7200000000000006</v>
      </c>
      <c r="D39" s="100">
        <v>5.03</v>
      </c>
      <c r="E39" s="100">
        <v>4.83</v>
      </c>
      <c r="F39" s="100">
        <v>3.78</v>
      </c>
      <c r="G39" s="100">
        <v>42.04</v>
      </c>
      <c r="H39" s="100">
        <v>23.34</v>
      </c>
      <c r="I39" s="100">
        <v>5.91</v>
      </c>
      <c r="J39" s="100">
        <v>0.5</v>
      </c>
      <c r="K39" s="100">
        <v>275.83999999999997</v>
      </c>
      <c r="L39" s="100">
        <v>31.62</v>
      </c>
      <c r="M39" s="100">
        <v>54.96</v>
      </c>
      <c r="N39" s="100">
        <v>115.7</v>
      </c>
      <c r="O39" s="100">
        <v>0</v>
      </c>
      <c r="P39" s="100">
        <v>0.37</v>
      </c>
      <c r="Q39" s="100">
        <v>9.9700000000000006</v>
      </c>
      <c r="R39" s="6"/>
      <c r="S39" s="6"/>
      <c r="T39" s="156"/>
      <c r="U39" s="6"/>
    </row>
    <row r="40" spans="1:21" customFormat="1">
      <c r="A40" s="163" t="s">
        <v>847</v>
      </c>
      <c r="B40" s="100">
        <v>3.66</v>
      </c>
      <c r="C40" s="100">
        <v>8.9700000000000006</v>
      </c>
      <c r="D40" s="100">
        <v>5.31</v>
      </c>
      <c r="E40" s="100">
        <v>4.7699999999999996</v>
      </c>
      <c r="F40" s="100">
        <v>3.82</v>
      </c>
      <c r="G40" s="100">
        <v>42.04</v>
      </c>
      <c r="H40" s="100">
        <v>23.34</v>
      </c>
      <c r="I40" s="100">
        <v>5.95</v>
      </c>
      <c r="J40" s="100">
        <v>0.56000000000000005</v>
      </c>
      <c r="K40" s="100">
        <v>263.22000000000003</v>
      </c>
      <c r="L40" s="100">
        <v>32.04</v>
      </c>
      <c r="M40" s="100">
        <v>52.91</v>
      </c>
      <c r="N40" s="100">
        <v>124.1</v>
      </c>
      <c r="O40" s="100">
        <v>0</v>
      </c>
      <c r="P40" s="100">
        <v>0.4</v>
      </c>
      <c r="Q40" s="100">
        <v>9.94</v>
      </c>
      <c r="R40" s="6"/>
      <c r="S40" s="6"/>
      <c r="T40" s="156"/>
      <c r="U40" s="6"/>
    </row>
    <row r="41" spans="1:21" customFormat="1">
      <c r="A41" s="163" t="s">
        <v>848</v>
      </c>
      <c r="B41" s="100">
        <v>3.65</v>
      </c>
      <c r="C41" s="100">
        <v>9.27</v>
      </c>
      <c r="D41" s="100">
        <v>5.62</v>
      </c>
      <c r="E41" s="100">
        <v>4.88</v>
      </c>
      <c r="F41" s="100">
        <v>3.81</v>
      </c>
      <c r="G41" s="100">
        <v>43.59</v>
      </c>
      <c r="H41" s="100">
        <v>25.14</v>
      </c>
      <c r="I41" s="100">
        <v>6.18</v>
      </c>
      <c r="J41" s="100">
        <v>0.57999999999999996</v>
      </c>
      <c r="K41" s="100">
        <v>264.68</v>
      </c>
      <c r="L41" s="100">
        <v>32.64</v>
      </c>
      <c r="M41" s="100">
        <v>52.39</v>
      </c>
      <c r="N41" s="100">
        <v>132.80000000000001</v>
      </c>
      <c r="O41" s="100">
        <v>0</v>
      </c>
      <c r="P41" s="100">
        <v>0.43</v>
      </c>
      <c r="Q41" s="100">
        <v>9.9499999999999993</v>
      </c>
      <c r="R41" s="6"/>
      <c r="S41" s="6"/>
      <c r="T41" s="156"/>
      <c r="U41" s="6"/>
    </row>
    <row r="42" spans="1:21" customFormat="1">
      <c r="A42" s="163" t="s">
        <v>849</v>
      </c>
      <c r="B42" s="100">
        <v>3.6</v>
      </c>
      <c r="C42" s="100">
        <v>9.36</v>
      </c>
      <c r="D42" s="100">
        <v>5.76</v>
      </c>
      <c r="E42" s="100">
        <v>5.0599999999999996</v>
      </c>
      <c r="F42" s="100">
        <v>4.12</v>
      </c>
      <c r="G42" s="100">
        <v>45.62</v>
      </c>
      <c r="H42" s="100">
        <v>26.38</v>
      </c>
      <c r="I42" s="100">
        <v>6.55</v>
      </c>
      <c r="J42" s="100">
        <v>0.65</v>
      </c>
      <c r="K42" s="100">
        <v>253.28</v>
      </c>
      <c r="L42" s="100">
        <v>33.03</v>
      </c>
      <c r="M42" s="100">
        <v>51.19</v>
      </c>
      <c r="N42" s="100">
        <v>141.6</v>
      </c>
      <c r="O42" s="100">
        <v>0</v>
      </c>
      <c r="P42" s="100">
        <v>0.45</v>
      </c>
      <c r="Q42" s="100">
        <v>9.94</v>
      </c>
      <c r="R42" s="6"/>
      <c r="S42" s="6"/>
      <c r="T42" s="156"/>
      <c r="U42" s="6"/>
    </row>
    <row r="43" spans="1:21" customFormat="1">
      <c r="A43" s="163" t="s">
        <v>850</v>
      </c>
      <c r="B43" s="100">
        <v>3.54</v>
      </c>
      <c r="C43" s="100">
        <v>9.41</v>
      </c>
      <c r="D43" s="100">
        <v>5.87</v>
      </c>
      <c r="E43" s="100">
        <v>4.88</v>
      </c>
      <c r="F43" s="100">
        <v>4.5199999999999996</v>
      </c>
      <c r="G43" s="100">
        <v>45.62</v>
      </c>
      <c r="H43" s="100">
        <v>26.38</v>
      </c>
      <c r="I43" s="100">
        <v>6.92</v>
      </c>
      <c r="J43" s="100">
        <v>0.73</v>
      </c>
      <c r="K43" s="100">
        <v>259.33</v>
      </c>
      <c r="L43" s="100">
        <v>33.33</v>
      </c>
      <c r="M43" s="100">
        <v>51.03</v>
      </c>
      <c r="N43" s="100">
        <v>150.80000000000001</v>
      </c>
      <c r="O43" s="100">
        <v>0</v>
      </c>
      <c r="P43" s="100">
        <v>0.46</v>
      </c>
      <c r="Q43" s="100">
        <v>9.93</v>
      </c>
      <c r="R43" s="6"/>
      <c r="S43" s="6"/>
      <c r="T43" s="156"/>
      <c r="U43" s="6"/>
    </row>
    <row r="44" spans="1:21" customFormat="1">
      <c r="A44" s="163" t="s">
        <v>851</v>
      </c>
      <c r="B44" s="100">
        <v>3.47</v>
      </c>
      <c r="C44" s="100">
        <v>9.4499999999999993</v>
      </c>
      <c r="D44" s="100">
        <v>5.98</v>
      </c>
      <c r="E44" s="100">
        <v>4.84</v>
      </c>
      <c r="F44" s="100">
        <v>4.8099999999999996</v>
      </c>
      <c r="G44" s="100">
        <v>45.62</v>
      </c>
      <c r="H44" s="100">
        <v>26.38</v>
      </c>
      <c r="I44" s="100">
        <v>7.3</v>
      </c>
      <c r="J44" s="100">
        <v>0.72</v>
      </c>
      <c r="K44" s="100">
        <v>265.52999999999997</v>
      </c>
      <c r="L44" s="100">
        <v>33.799999999999997</v>
      </c>
      <c r="M44" s="100">
        <v>50.53</v>
      </c>
      <c r="N44" s="100">
        <v>155.80000000000001</v>
      </c>
      <c r="O44" s="100">
        <v>0</v>
      </c>
      <c r="P44" s="100">
        <v>0.48</v>
      </c>
      <c r="Q44" s="100">
        <v>9.9499999999999993</v>
      </c>
      <c r="R44" s="6"/>
      <c r="S44" s="6"/>
      <c r="T44" s="156"/>
      <c r="U44" s="6"/>
    </row>
    <row r="45" spans="1:21" customFormat="1">
      <c r="A45" s="163" t="s">
        <v>852</v>
      </c>
      <c r="B45" s="100">
        <v>3.43</v>
      </c>
      <c r="C45" s="100">
        <v>9.15</v>
      </c>
      <c r="D45" s="100">
        <v>5.72</v>
      </c>
      <c r="E45" s="100">
        <v>5.14</v>
      </c>
      <c r="F45" s="100">
        <v>6.26</v>
      </c>
      <c r="G45" s="100">
        <v>51.63</v>
      </c>
      <c r="H45" s="100">
        <v>29.2</v>
      </c>
      <c r="I45" s="100">
        <v>7.72</v>
      </c>
      <c r="J45" s="100">
        <v>0.64</v>
      </c>
      <c r="K45" s="100">
        <v>256.5</v>
      </c>
      <c r="L45" s="100">
        <v>34.44</v>
      </c>
      <c r="M45" s="100">
        <v>49.34</v>
      </c>
      <c r="N45" s="100">
        <v>162.4</v>
      </c>
      <c r="O45" s="100">
        <v>0</v>
      </c>
      <c r="P45" s="100">
        <v>0.49</v>
      </c>
      <c r="Q45" s="100">
        <v>9.94</v>
      </c>
      <c r="R45" s="6"/>
      <c r="S45" s="6"/>
      <c r="T45" s="156"/>
      <c r="U45" s="6"/>
    </row>
    <row r="46" spans="1:21" customFormat="1">
      <c r="A46" s="163" t="s">
        <v>853</v>
      </c>
      <c r="B46" s="100">
        <v>3.43</v>
      </c>
      <c r="C46" s="100">
        <v>8.81</v>
      </c>
      <c r="D46" s="100">
        <v>5.39</v>
      </c>
      <c r="E46" s="100">
        <v>5.37</v>
      </c>
      <c r="F46" s="100">
        <v>6.06</v>
      </c>
      <c r="G46" s="100">
        <v>59.15</v>
      </c>
      <c r="H46" s="100">
        <v>31.16</v>
      </c>
      <c r="I46" s="100">
        <v>7.92</v>
      </c>
      <c r="J46" s="100">
        <v>0.94</v>
      </c>
      <c r="K46" s="100">
        <v>275.23</v>
      </c>
      <c r="L46" s="100">
        <v>35.049999999999997</v>
      </c>
      <c r="M46" s="100">
        <v>45.61</v>
      </c>
      <c r="N46" s="100">
        <v>169.4</v>
      </c>
      <c r="O46" s="100">
        <v>0</v>
      </c>
      <c r="P46" s="100">
        <v>0.47</v>
      </c>
      <c r="Q46" s="100">
        <v>9.94</v>
      </c>
      <c r="R46" s="6"/>
      <c r="S46" s="6"/>
      <c r="T46" s="156"/>
      <c r="U46" s="6"/>
    </row>
    <row r="47" spans="1:21" customFormat="1">
      <c r="A47" s="163" t="s">
        <v>854</v>
      </c>
      <c r="B47" s="100">
        <v>3.42</v>
      </c>
      <c r="C47" s="100">
        <v>9.07</v>
      </c>
      <c r="D47" s="100">
        <v>5.65</v>
      </c>
      <c r="E47" s="100">
        <v>5.03</v>
      </c>
      <c r="F47" s="100">
        <v>5.34</v>
      </c>
      <c r="G47" s="100">
        <v>59.15</v>
      </c>
      <c r="H47" s="100">
        <v>31.16</v>
      </c>
      <c r="I47" s="100">
        <v>7.82</v>
      </c>
      <c r="J47" s="100">
        <v>0.92</v>
      </c>
      <c r="K47" s="100">
        <v>271.77999999999997</v>
      </c>
      <c r="L47" s="100">
        <v>35.56</v>
      </c>
      <c r="M47" s="100">
        <v>43.53</v>
      </c>
      <c r="N47" s="100">
        <v>173.1</v>
      </c>
      <c r="O47" s="100">
        <v>0</v>
      </c>
      <c r="P47" s="100">
        <v>0.47</v>
      </c>
      <c r="Q47" s="100">
        <v>9.94</v>
      </c>
      <c r="R47" s="6"/>
      <c r="S47" s="6"/>
      <c r="T47" s="156"/>
      <c r="U47" s="6"/>
    </row>
    <row r="48" spans="1:21" customFormat="1">
      <c r="A48" s="163" t="s">
        <v>855</v>
      </c>
      <c r="B48" s="100">
        <v>3.41</v>
      </c>
      <c r="C48" s="100">
        <v>8.49</v>
      </c>
      <c r="D48" s="100">
        <v>5.08</v>
      </c>
      <c r="E48" s="100">
        <v>5.1100000000000003</v>
      </c>
      <c r="F48" s="100">
        <v>7.78</v>
      </c>
      <c r="G48" s="100">
        <v>59.15</v>
      </c>
      <c r="H48" s="100">
        <v>31.16</v>
      </c>
      <c r="I48" s="100">
        <v>7.61</v>
      </c>
      <c r="J48" s="100">
        <v>1.23</v>
      </c>
      <c r="K48" s="100">
        <v>268.77999999999997</v>
      </c>
      <c r="L48" s="100">
        <v>36.06</v>
      </c>
      <c r="M48" s="100">
        <v>40.98</v>
      </c>
      <c r="N48" s="100">
        <v>178.4</v>
      </c>
      <c r="O48" s="100">
        <v>0</v>
      </c>
      <c r="P48" s="100">
        <v>0.47</v>
      </c>
      <c r="Q48" s="100">
        <v>9.93</v>
      </c>
      <c r="R48" s="6"/>
      <c r="S48" s="6"/>
      <c r="T48" s="156"/>
      <c r="U48" s="6"/>
    </row>
    <row r="49" spans="1:21" customFormat="1">
      <c r="A49" s="163" t="s">
        <v>856</v>
      </c>
      <c r="B49" s="100">
        <v>3.47</v>
      </c>
      <c r="C49" s="100">
        <v>9.65</v>
      </c>
      <c r="D49" s="100">
        <v>6.18</v>
      </c>
      <c r="E49" s="100">
        <v>5.33</v>
      </c>
      <c r="F49" s="100">
        <v>13.85</v>
      </c>
      <c r="G49" s="100">
        <v>58.52</v>
      </c>
      <c r="H49" s="100">
        <v>31.49</v>
      </c>
      <c r="I49" s="100">
        <v>7.58</v>
      </c>
      <c r="J49" s="100">
        <v>1.51</v>
      </c>
      <c r="K49" s="100">
        <v>285.93</v>
      </c>
      <c r="L49" s="100">
        <v>36.229999999999997</v>
      </c>
      <c r="M49" s="100">
        <v>40.380000000000003</v>
      </c>
      <c r="N49" s="100">
        <v>183.5</v>
      </c>
      <c r="O49" s="100">
        <v>0</v>
      </c>
      <c r="P49" s="100">
        <v>0.59</v>
      </c>
      <c r="Q49" s="100">
        <v>9.93</v>
      </c>
      <c r="R49" s="6"/>
      <c r="S49" s="6"/>
      <c r="T49" s="156"/>
      <c r="U49" s="6"/>
    </row>
    <row r="50" spans="1:21" customFormat="1">
      <c r="A50" s="163" t="s">
        <v>857</v>
      </c>
      <c r="B50" s="100">
        <v>3.6</v>
      </c>
      <c r="C50" s="100">
        <v>9.69</v>
      </c>
      <c r="D50" s="100">
        <v>6.09</v>
      </c>
      <c r="E50" s="100">
        <v>7.67</v>
      </c>
      <c r="F50" s="100">
        <v>12.46</v>
      </c>
      <c r="G50" s="100">
        <v>57.75</v>
      </c>
      <c r="H50" s="100">
        <v>31.71</v>
      </c>
      <c r="I50" s="100">
        <v>7.95</v>
      </c>
      <c r="J50" s="100">
        <v>1.25</v>
      </c>
      <c r="K50" s="100">
        <v>279.93</v>
      </c>
      <c r="L50" s="100">
        <v>36.64</v>
      </c>
      <c r="M50" s="100">
        <v>39.39</v>
      </c>
      <c r="N50" s="100">
        <v>186.8</v>
      </c>
      <c r="O50" s="100">
        <v>0</v>
      </c>
      <c r="P50" s="100">
        <v>0.7</v>
      </c>
      <c r="Q50" s="100">
        <v>9.92</v>
      </c>
      <c r="R50" s="6"/>
      <c r="S50" s="6"/>
      <c r="T50" s="156"/>
      <c r="U50" s="6"/>
    </row>
    <row r="51" spans="1:21" customFormat="1">
      <c r="A51" s="163" t="s">
        <v>858</v>
      </c>
      <c r="B51" s="100">
        <v>3.63</v>
      </c>
      <c r="C51" s="100">
        <v>9.08</v>
      </c>
      <c r="D51" s="100">
        <v>5.45</v>
      </c>
      <c r="E51" s="100">
        <v>7.99</v>
      </c>
      <c r="F51" s="100">
        <v>14.91</v>
      </c>
      <c r="G51" s="100">
        <v>57.75</v>
      </c>
      <c r="H51" s="100">
        <v>31.71</v>
      </c>
      <c r="I51" s="100">
        <v>9.59</v>
      </c>
      <c r="J51" s="100">
        <v>1.1200000000000001</v>
      </c>
      <c r="K51" s="100">
        <v>277.95999999999998</v>
      </c>
      <c r="L51" s="100">
        <v>36.979999999999997</v>
      </c>
      <c r="M51" s="100">
        <v>38.29</v>
      </c>
      <c r="N51" s="100">
        <v>188.7</v>
      </c>
      <c r="O51" s="100">
        <v>0</v>
      </c>
      <c r="P51" s="100">
        <v>0.72</v>
      </c>
      <c r="Q51" s="100">
        <v>9.92</v>
      </c>
      <c r="R51" s="6"/>
      <c r="S51" s="6"/>
      <c r="T51" s="156"/>
      <c r="U51" s="6"/>
    </row>
    <row r="52" spans="1:21" customFormat="1">
      <c r="A52" s="163" t="s">
        <v>859</v>
      </c>
      <c r="B52" s="100">
        <v>3.59</v>
      </c>
      <c r="C52" s="100">
        <v>9.1300000000000008</v>
      </c>
      <c r="D52" s="100">
        <v>5.53</v>
      </c>
      <c r="E52" s="100">
        <v>7.58</v>
      </c>
      <c r="F52" s="100">
        <v>14.6</v>
      </c>
      <c r="G52" s="100">
        <v>57.75</v>
      </c>
      <c r="H52" s="100">
        <v>31.71</v>
      </c>
      <c r="I52" s="100">
        <v>9.98</v>
      </c>
      <c r="J52" s="100">
        <v>1.1200000000000001</v>
      </c>
      <c r="K52" s="100">
        <v>277.02999999999997</v>
      </c>
      <c r="L52" s="100">
        <v>37.39</v>
      </c>
      <c r="M52" s="100">
        <v>36.950000000000003</v>
      </c>
      <c r="N52" s="100">
        <v>195.6</v>
      </c>
      <c r="O52" s="100">
        <v>0</v>
      </c>
      <c r="P52" s="100">
        <v>0.72</v>
      </c>
      <c r="Q52" s="100">
        <v>9.93</v>
      </c>
      <c r="R52" s="6"/>
      <c r="S52" s="6"/>
      <c r="T52" s="156"/>
      <c r="U52" s="6"/>
    </row>
    <row r="53" spans="1:21" customFormat="1">
      <c r="A53" s="163" t="s">
        <v>860</v>
      </c>
      <c r="B53" s="100">
        <v>4.1100000000000003</v>
      </c>
      <c r="C53" s="100">
        <v>11.43</v>
      </c>
      <c r="D53" s="100">
        <v>7.33</v>
      </c>
      <c r="E53" s="100">
        <v>7.96</v>
      </c>
      <c r="F53" s="100">
        <v>20.61</v>
      </c>
      <c r="G53" s="100">
        <v>63.96</v>
      </c>
      <c r="H53" s="100">
        <v>32.200000000000003</v>
      </c>
      <c r="I53" s="100">
        <v>10.23</v>
      </c>
      <c r="J53" s="100">
        <v>1.37</v>
      </c>
      <c r="K53" s="100">
        <v>293.83999999999997</v>
      </c>
      <c r="L53" s="100">
        <v>37.619999999999997</v>
      </c>
      <c r="M53" s="100">
        <v>35.380000000000003</v>
      </c>
      <c r="N53" s="100">
        <v>202.5</v>
      </c>
      <c r="O53" s="100">
        <v>0</v>
      </c>
      <c r="P53" s="100">
        <v>0.74</v>
      </c>
      <c r="Q53" s="100">
        <v>9.93</v>
      </c>
      <c r="R53" s="6"/>
      <c r="S53" s="6"/>
      <c r="T53" s="156"/>
      <c r="U53" s="6"/>
    </row>
    <row r="54" spans="1:21" customFormat="1">
      <c r="A54" s="163" t="s">
        <v>861</v>
      </c>
      <c r="B54" s="100">
        <v>3.69</v>
      </c>
      <c r="C54" s="100">
        <v>9.81</v>
      </c>
      <c r="D54" s="100">
        <v>6.11</v>
      </c>
      <c r="E54" s="100">
        <v>8.9700000000000006</v>
      </c>
      <c r="F54" s="100">
        <v>19.649999999999999</v>
      </c>
      <c r="G54" s="100">
        <v>71.73</v>
      </c>
      <c r="H54" s="100">
        <v>32.53</v>
      </c>
      <c r="I54" s="100">
        <v>10.76</v>
      </c>
      <c r="J54" s="100">
        <v>0.92</v>
      </c>
      <c r="K54" s="100">
        <v>274.52</v>
      </c>
      <c r="L54" s="100">
        <v>38.15</v>
      </c>
      <c r="M54" s="100">
        <v>34.64</v>
      </c>
      <c r="N54" s="100">
        <v>207.6</v>
      </c>
      <c r="O54" s="100">
        <v>0</v>
      </c>
      <c r="P54" s="100">
        <v>0.74</v>
      </c>
      <c r="Q54" s="100">
        <v>9.93</v>
      </c>
      <c r="R54" s="6"/>
      <c r="S54" s="6"/>
      <c r="T54" s="156"/>
      <c r="U54" s="6"/>
    </row>
    <row r="55" spans="1:21" customFormat="1">
      <c r="A55" s="163" t="s">
        <v>862</v>
      </c>
      <c r="B55" s="100">
        <v>3.57</v>
      </c>
      <c r="C55" s="100">
        <v>9.23</v>
      </c>
      <c r="D55" s="100">
        <v>5.66</v>
      </c>
      <c r="E55" s="100">
        <v>8.06</v>
      </c>
      <c r="F55" s="100">
        <v>19.239999999999998</v>
      </c>
      <c r="G55" s="100">
        <v>71.73</v>
      </c>
      <c r="H55" s="100">
        <v>32.53</v>
      </c>
      <c r="I55" s="100">
        <v>11.59</v>
      </c>
      <c r="J55" s="100">
        <v>1.06</v>
      </c>
      <c r="K55" s="100">
        <v>266.04000000000002</v>
      </c>
      <c r="L55" s="100">
        <v>38.409999999999997</v>
      </c>
      <c r="M55" s="100">
        <v>33.51</v>
      </c>
      <c r="N55" s="100">
        <v>218.1</v>
      </c>
      <c r="O55" s="100">
        <v>0</v>
      </c>
      <c r="P55" s="100">
        <v>0.72</v>
      </c>
      <c r="Q55" s="100">
        <v>9.93</v>
      </c>
      <c r="R55" s="6"/>
      <c r="S55" s="6"/>
      <c r="T55" s="156"/>
      <c r="U55" s="6"/>
    </row>
    <row r="56" spans="1:21" customFormat="1">
      <c r="A56" s="163" t="s">
        <v>863</v>
      </c>
      <c r="B56" s="100">
        <v>3.51</v>
      </c>
      <c r="C56" s="100">
        <v>8.66</v>
      </c>
      <c r="D56" s="100">
        <v>5.15</v>
      </c>
      <c r="E56" s="100">
        <v>7.41</v>
      </c>
      <c r="F56" s="100">
        <v>21.39</v>
      </c>
      <c r="G56" s="100">
        <v>71.73</v>
      </c>
      <c r="H56" s="100">
        <v>32.53</v>
      </c>
      <c r="I56" s="100">
        <v>11.64</v>
      </c>
      <c r="J56" s="100">
        <v>1.06</v>
      </c>
      <c r="K56" s="100">
        <v>277.5</v>
      </c>
      <c r="L56" s="100">
        <v>38.76</v>
      </c>
      <c r="M56" s="100">
        <v>31.98</v>
      </c>
      <c r="N56" s="100">
        <v>489.6</v>
      </c>
      <c r="O56" s="100">
        <v>0</v>
      </c>
      <c r="P56" s="100">
        <v>0.72</v>
      </c>
      <c r="Q56" s="100">
        <v>9.94</v>
      </c>
      <c r="R56" s="6"/>
      <c r="S56" s="6"/>
      <c r="T56" s="156"/>
      <c r="U56" s="6"/>
    </row>
    <row r="57" spans="1:21" customFormat="1">
      <c r="A57" s="163" t="s">
        <v>864</v>
      </c>
      <c r="B57" s="100">
        <v>3.65</v>
      </c>
      <c r="C57" s="100">
        <v>10.28</v>
      </c>
      <c r="D57" s="100">
        <v>6.63</v>
      </c>
      <c r="E57" s="100">
        <v>9.1199999999999992</v>
      </c>
      <c r="F57" s="100">
        <v>35.67</v>
      </c>
      <c r="G57" s="100">
        <v>69.48</v>
      </c>
      <c r="H57" s="100">
        <v>33.049999999999997</v>
      </c>
      <c r="I57" s="100">
        <v>10.97</v>
      </c>
      <c r="J57" s="100">
        <v>1.02</v>
      </c>
      <c r="K57" s="100">
        <v>296.20999999999998</v>
      </c>
      <c r="L57" s="100">
        <v>39.270000000000003</v>
      </c>
      <c r="M57" s="100">
        <v>29.75</v>
      </c>
      <c r="N57" s="100">
        <v>803.4</v>
      </c>
      <c r="O57" s="100">
        <v>0</v>
      </c>
      <c r="P57" s="100">
        <v>0.69</v>
      </c>
      <c r="Q57" s="100">
        <v>9.92</v>
      </c>
      <c r="R57" s="6"/>
      <c r="S57" s="6"/>
      <c r="T57" s="156"/>
      <c r="U57" s="6"/>
    </row>
    <row r="58" spans="1:21" customFormat="1">
      <c r="A58" s="163" t="s">
        <v>865</v>
      </c>
      <c r="B58" s="100">
        <v>3.69</v>
      </c>
      <c r="C58" s="100">
        <v>10.43</v>
      </c>
      <c r="D58" s="100">
        <v>6.74</v>
      </c>
      <c r="E58" s="100">
        <v>8.2799999999999994</v>
      </c>
      <c r="F58" s="100">
        <v>22.06</v>
      </c>
      <c r="G58" s="100">
        <v>66.67</v>
      </c>
      <c r="H58" s="100">
        <v>33.869999999999997</v>
      </c>
      <c r="I58" s="100">
        <v>10.69</v>
      </c>
      <c r="J58" s="100">
        <v>1.29</v>
      </c>
      <c r="K58" s="100">
        <v>299.37</v>
      </c>
      <c r="L58" s="100">
        <v>39.22</v>
      </c>
      <c r="M58" s="100">
        <v>29.15</v>
      </c>
      <c r="N58" s="100">
        <v>799.7</v>
      </c>
      <c r="O58" s="100">
        <v>0</v>
      </c>
      <c r="P58" s="100">
        <v>0.66</v>
      </c>
      <c r="Q58" s="100">
        <v>9.92</v>
      </c>
      <c r="R58" s="6"/>
      <c r="S58" s="6"/>
      <c r="T58" s="156"/>
      <c r="U58" s="6"/>
    </row>
    <row r="59" spans="1:21" customFormat="1">
      <c r="A59" s="163" t="s">
        <v>866</v>
      </c>
      <c r="B59" s="100">
        <v>3.59</v>
      </c>
      <c r="C59" s="100">
        <v>9.1199999999999992</v>
      </c>
      <c r="D59" s="100">
        <v>5.53</v>
      </c>
      <c r="E59" s="100">
        <v>7.29</v>
      </c>
      <c r="F59" s="100">
        <v>21.69</v>
      </c>
      <c r="G59" s="100">
        <v>66.67</v>
      </c>
      <c r="H59" s="100">
        <v>33.869999999999997</v>
      </c>
      <c r="I59" s="100">
        <v>9.8800000000000008</v>
      </c>
      <c r="J59" s="100">
        <v>1.1599999999999999</v>
      </c>
      <c r="K59" s="100">
        <v>289.95</v>
      </c>
      <c r="L59" s="100">
        <v>39.630000000000003</v>
      </c>
      <c r="M59" s="100">
        <v>26.3</v>
      </c>
      <c r="N59" s="100">
        <v>806.5</v>
      </c>
      <c r="O59" s="100">
        <v>0</v>
      </c>
      <c r="P59" s="100">
        <v>0.65</v>
      </c>
      <c r="Q59" s="100">
        <v>9.94</v>
      </c>
      <c r="R59" s="6"/>
      <c r="S59" s="6"/>
      <c r="T59" s="156"/>
      <c r="U59" s="6"/>
    </row>
    <row r="60" spans="1:21" customFormat="1">
      <c r="A60" s="163" t="s">
        <v>867</v>
      </c>
      <c r="B60" s="100">
        <v>3.88</v>
      </c>
      <c r="C60" s="100">
        <v>9.91</v>
      </c>
      <c r="D60" s="100">
        <v>6.03</v>
      </c>
      <c r="E60" s="100">
        <v>6.43</v>
      </c>
      <c r="F60" s="100">
        <v>26.1</v>
      </c>
      <c r="G60" s="100">
        <v>66.67</v>
      </c>
      <c r="H60" s="100">
        <v>33.869999999999997</v>
      </c>
      <c r="I60" s="100">
        <v>10.039999999999999</v>
      </c>
      <c r="J60" s="100">
        <v>0.81</v>
      </c>
      <c r="K60" s="100">
        <v>296.58</v>
      </c>
      <c r="L60" s="100">
        <v>40.17</v>
      </c>
      <c r="M60" s="100">
        <v>23.26</v>
      </c>
      <c r="N60" s="100">
        <v>784.2</v>
      </c>
      <c r="O60" s="100">
        <v>0</v>
      </c>
      <c r="P60" s="100">
        <v>0.61</v>
      </c>
      <c r="Q60" s="100">
        <v>9.93</v>
      </c>
      <c r="R60" s="6"/>
      <c r="S60" s="6"/>
      <c r="T60" s="156"/>
      <c r="U60" s="6"/>
    </row>
    <row r="61" spans="1:21" customFormat="1">
      <c r="A61" s="163" t="s">
        <v>868</v>
      </c>
      <c r="B61" s="100">
        <v>3.58</v>
      </c>
      <c r="C61" s="100">
        <v>8.42</v>
      </c>
      <c r="D61" s="100">
        <v>4.84</v>
      </c>
      <c r="E61" s="100">
        <v>6.24</v>
      </c>
      <c r="F61" s="100">
        <v>25.17</v>
      </c>
      <c r="G61" s="100">
        <v>63.96</v>
      </c>
      <c r="H61" s="100">
        <v>31.61</v>
      </c>
      <c r="I61" s="100">
        <v>9.8000000000000007</v>
      </c>
      <c r="J61" s="100">
        <v>0.6</v>
      </c>
      <c r="K61" s="100">
        <v>258.23</v>
      </c>
      <c r="L61" s="100">
        <v>40.68</v>
      </c>
      <c r="M61" s="100">
        <v>24.87</v>
      </c>
      <c r="N61" s="100">
        <v>714.1</v>
      </c>
      <c r="O61" s="100">
        <v>0</v>
      </c>
      <c r="P61" s="100">
        <v>0.61</v>
      </c>
      <c r="Q61" s="100">
        <v>9.94</v>
      </c>
      <c r="R61" s="6"/>
      <c r="S61" s="6"/>
      <c r="T61" s="156"/>
      <c r="U61" s="6"/>
    </row>
    <row r="62" spans="1:21" customFormat="1">
      <c r="A62" s="163" t="s">
        <v>869</v>
      </c>
      <c r="B62" s="100">
        <v>3.57</v>
      </c>
      <c r="C62" s="100">
        <v>8.34</v>
      </c>
      <c r="D62" s="100">
        <v>4.7699999999999996</v>
      </c>
      <c r="E62" s="100">
        <v>6.07</v>
      </c>
      <c r="F62" s="100">
        <v>19.989999999999998</v>
      </c>
      <c r="G62" s="100">
        <v>60.58</v>
      </c>
      <c r="H62" s="100">
        <v>30.08</v>
      </c>
      <c r="I62" s="100">
        <v>9.1300000000000008</v>
      </c>
      <c r="J62" s="100">
        <v>0.77</v>
      </c>
      <c r="K62" s="100">
        <v>271.20999999999998</v>
      </c>
      <c r="L62" s="100">
        <v>40.659999999999997</v>
      </c>
      <c r="M62" s="100">
        <v>23.73</v>
      </c>
      <c r="N62" s="100">
        <v>715.6</v>
      </c>
      <c r="O62" s="100">
        <v>0</v>
      </c>
      <c r="P62" s="100">
        <v>0.6</v>
      </c>
      <c r="Q62" s="100">
        <v>9.93</v>
      </c>
      <c r="R62" s="6"/>
      <c r="S62" s="6"/>
      <c r="T62" s="156"/>
      <c r="U62" s="6"/>
    </row>
    <row r="63" spans="1:21" customFormat="1">
      <c r="A63" s="163" t="s">
        <v>870</v>
      </c>
      <c r="B63" s="100">
        <v>3.47</v>
      </c>
      <c r="C63" s="100">
        <v>7.58</v>
      </c>
      <c r="D63" s="100">
        <v>4.12</v>
      </c>
      <c r="E63" s="100">
        <v>5.4</v>
      </c>
      <c r="F63" s="100">
        <v>23.22</v>
      </c>
      <c r="G63" s="100">
        <v>60.58</v>
      </c>
      <c r="H63" s="100">
        <v>30.08</v>
      </c>
      <c r="I63" s="100">
        <v>9.24</v>
      </c>
      <c r="J63" s="100">
        <v>0.57999999999999996</v>
      </c>
      <c r="K63" s="100">
        <v>271.2</v>
      </c>
      <c r="L63" s="100">
        <v>40.96</v>
      </c>
      <c r="M63" s="100">
        <v>21.38</v>
      </c>
      <c r="N63" s="100">
        <v>675.3</v>
      </c>
      <c r="O63" s="100">
        <v>0</v>
      </c>
      <c r="P63" s="100">
        <v>0.56000000000000005</v>
      </c>
      <c r="Q63" s="100">
        <v>9.92</v>
      </c>
      <c r="R63" s="6"/>
      <c r="S63" s="6"/>
      <c r="T63" s="156"/>
      <c r="U63" s="6"/>
    </row>
    <row r="64" spans="1:21" customFormat="1">
      <c r="A64" s="163" t="s">
        <v>871</v>
      </c>
      <c r="B64" s="100">
        <v>3.52</v>
      </c>
      <c r="C64" s="100">
        <v>7.93</v>
      </c>
      <c r="D64" s="100">
        <v>4.42</v>
      </c>
      <c r="E64" s="100">
        <v>5.17</v>
      </c>
      <c r="F64" s="100">
        <v>21.35</v>
      </c>
      <c r="G64" s="100">
        <v>60.58</v>
      </c>
      <c r="H64" s="100">
        <v>30.08</v>
      </c>
      <c r="I64" s="100">
        <v>9.25</v>
      </c>
      <c r="J64" s="100">
        <v>0.61</v>
      </c>
      <c r="K64" s="100">
        <v>283.06</v>
      </c>
      <c r="L64" s="100">
        <v>41.09</v>
      </c>
      <c r="M64" s="100">
        <v>21.47</v>
      </c>
      <c r="N64" s="100">
        <v>559.6</v>
      </c>
      <c r="O64" s="100">
        <v>0</v>
      </c>
      <c r="P64" s="100">
        <v>0.55000000000000004</v>
      </c>
      <c r="Q64" s="100">
        <v>9.93</v>
      </c>
      <c r="R64" s="6"/>
      <c r="S64" s="6"/>
      <c r="T64" s="156"/>
      <c r="U64" s="6"/>
    </row>
    <row r="65" spans="1:21" customFormat="1">
      <c r="A65" s="163" t="s">
        <v>872</v>
      </c>
      <c r="B65" s="100">
        <v>3.46</v>
      </c>
      <c r="C65" s="100">
        <v>7.49</v>
      </c>
      <c r="D65" s="100">
        <v>4.0199999999999996</v>
      </c>
      <c r="E65" s="100">
        <v>4.87</v>
      </c>
      <c r="F65" s="100">
        <v>19.440000000000001</v>
      </c>
      <c r="G65" s="100">
        <v>60.54</v>
      </c>
      <c r="H65" s="100">
        <v>28.88</v>
      </c>
      <c r="I65" s="100">
        <v>8.65</v>
      </c>
      <c r="J65" s="100">
        <v>0.84</v>
      </c>
      <c r="K65" s="100">
        <v>261.95</v>
      </c>
      <c r="L65" s="100">
        <v>40.51</v>
      </c>
      <c r="M65" s="100">
        <v>20.27</v>
      </c>
      <c r="N65" s="100">
        <v>308.10000000000002</v>
      </c>
      <c r="O65" s="100">
        <v>0</v>
      </c>
      <c r="P65" s="100">
        <v>0.52</v>
      </c>
      <c r="Q65" s="100">
        <v>9.93</v>
      </c>
      <c r="R65" s="6"/>
      <c r="S65" s="6"/>
      <c r="T65" s="156"/>
      <c r="U65" s="6"/>
    </row>
    <row r="66" spans="1:21" customFormat="1">
      <c r="A66" s="163" t="s">
        <v>873</v>
      </c>
      <c r="B66" s="100">
        <v>3.45</v>
      </c>
      <c r="C66" s="100">
        <v>7.49</v>
      </c>
      <c r="D66" s="100">
        <v>4.04</v>
      </c>
      <c r="E66" s="100">
        <v>5.47</v>
      </c>
      <c r="F66" s="100">
        <v>27.88</v>
      </c>
      <c r="G66" s="100">
        <v>60.49</v>
      </c>
      <c r="H66" s="100">
        <v>28.05</v>
      </c>
      <c r="I66" s="100">
        <v>8.51</v>
      </c>
      <c r="J66" s="100">
        <v>0.35</v>
      </c>
      <c r="K66" s="100">
        <v>278.64999999999998</v>
      </c>
      <c r="L66" s="100">
        <v>41.13</v>
      </c>
      <c r="M66" s="100">
        <v>21.35</v>
      </c>
      <c r="N66" s="100">
        <v>367.9</v>
      </c>
      <c r="O66" s="100">
        <v>0</v>
      </c>
      <c r="P66" s="100">
        <v>0.53</v>
      </c>
      <c r="Q66" s="100">
        <v>9.91</v>
      </c>
      <c r="R66" s="6"/>
      <c r="S66" s="6"/>
      <c r="T66" s="156"/>
      <c r="U66" s="6"/>
    </row>
    <row r="67" spans="1:21" customFormat="1">
      <c r="A67" s="163" t="s">
        <v>874</v>
      </c>
      <c r="B67" s="100">
        <v>3.68</v>
      </c>
      <c r="C67" s="100">
        <v>9.4600000000000009</v>
      </c>
      <c r="D67" s="100">
        <v>5.78</v>
      </c>
      <c r="E67" s="100">
        <v>5.46</v>
      </c>
      <c r="F67" s="100">
        <v>21.6</v>
      </c>
      <c r="G67" s="100">
        <v>60.49</v>
      </c>
      <c r="H67" s="100">
        <v>28.05</v>
      </c>
      <c r="I67" s="100">
        <v>8.5</v>
      </c>
      <c r="J67" s="100">
        <v>0.61</v>
      </c>
      <c r="K67" s="100">
        <v>291.25</v>
      </c>
      <c r="L67" s="100">
        <v>40.9</v>
      </c>
      <c r="M67" s="100">
        <v>20.88</v>
      </c>
      <c r="N67" s="100">
        <v>248.5</v>
      </c>
      <c r="O67" s="100">
        <v>0</v>
      </c>
      <c r="P67" s="100">
        <v>0.52</v>
      </c>
      <c r="Q67" s="100">
        <v>9.93</v>
      </c>
      <c r="R67" s="6"/>
      <c r="S67" s="6"/>
      <c r="T67" s="156"/>
      <c r="U67" s="6"/>
    </row>
    <row r="68" spans="1:21" customFormat="1">
      <c r="A68" s="163" t="s">
        <v>875</v>
      </c>
      <c r="B68" s="100">
        <v>3.54</v>
      </c>
      <c r="C68" s="100">
        <v>8.9</v>
      </c>
      <c r="D68" s="100">
        <v>5.37</v>
      </c>
      <c r="E68" s="100">
        <v>4.82</v>
      </c>
      <c r="F68" s="100">
        <v>15.08</v>
      </c>
      <c r="G68" s="100">
        <v>60.49</v>
      </c>
      <c r="H68" s="100">
        <v>28.05</v>
      </c>
      <c r="I68" s="100">
        <v>8.15</v>
      </c>
      <c r="J68" s="100">
        <v>0.49</v>
      </c>
      <c r="K68" s="100">
        <v>260.83</v>
      </c>
      <c r="L68" s="100">
        <v>40.619999999999997</v>
      </c>
      <c r="M68" s="100">
        <v>21.14</v>
      </c>
      <c r="N68" s="100">
        <v>405.6</v>
      </c>
      <c r="O68" s="100">
        <v>0</v>
      </c>
      <c r="P68" s="100">
        <v>0.47</v>
      </c>
      <c r="Q68" s="100">
        <v>9.92</v>
      </c>
      <c r="R68" s="6"/>
      <c r="S68" s="6"/>
      <c r="T68" s="156"/>
      <c r="U68" s="6"/>
    </row>
    <row r="69" spans="1:21" customFormat="1">
      <c r="A69" s="163" t="s">
        <v>876</v>
      </c>
      <c r="B69" s="100">
        <v>3.4</v>
      </c>
      <c r="C69" s="100">
        <v>8.3800000000000008</v>
      </c>
      <c r="D69" s="100">
        <v>4.9800000000000004</v>
      </c>
      <c r="E69" s="100">
        <v>4.92</v>
      </c>
      <c r="F69" s="100">
        <v>17.13</v>
      </c>
      <c r="G69" s="100">
        <v>60.22</v>
      </c>
      <c r="H69" s="100">
        <v>27.41</v>
      </c>
      <c r="I69" s="100">
        <v>8.0299999999999994</v>
      </c>
      <c r="J69" s="100">
        <v>0.53</v>
      </c>
      <c r="K69" s="100">
        <v>274.01</v>
      </c>
      <c r="L69" s="100">
        <v>41.07</v>
      </c>
      <c r="M69" s="100">
        <v>21.59</v>
      </c>
      <c r="N69" s="100">
        <v>515.79999999999995</v>
      </c>
      <c r="O69" s="100">
        <v>0</v>
      </c>
      <c r="P69" s="100">
        <v>0.41</v>
      </c>
      <c r="Q69" s="100">
        <v>9.92</v>
      </c>
      <c r="R69" s="6"/>
      <c r="S69" s="6"/>
      <c r="T69" s="156"/>
      <c r="U69" s="6"/>
    </row>
    <row r="70" spans="1:21" customFormat="1">
      <c r="A70" s="163" t="s">
        <v>877</v>
      </c>
      <c r="B70" s="100">
        <v>3.44</v>
      </c>
      <c r="C70" s="100">
        <v>9.0399999999999991</v>
      </c>
      <c r="D70" s="100">
        <v>5.59</v>
      </c>
      <c r="E70" s="100">
        <v>4.7699999999999996</v>
      </c>
      <c r="F70" s="100">
        <v>11.36</v>
      </c>
      <c r="G70" s="100">
        <v>59.88</v>
      </c>
      <c r="H70" s="100">
        <v>26.96</v>
      </c>
      <c r="I70" s="100">
        <v>8.2200000000000006</v>
      </c>
      <c r="J70" s="100">
        <v>0.89</v>
      </c>
      <c r="K70" s="100">
        <v>288.45999999999998</v>
      </c>
      <c r="L70" s="100">
        <v>40.659999999999997</v>
      </c>
      <c r="M70" s="100">
        <v>22.54</v>
      </c>
      <c r="N70" s="100">
        <v>471.6</v>
      </c>
      <c r="O70" s="100">
        <v>0</v>
      </c>
      <c r="P70" s="100">
        <v>0.4</v>
      </c>
      <c r="Q70" s="100">
        <v>9.93</v>
      </c>
      <c r="R70" s="6"/>
      <c r="S70" s="6"/>
      <c r="T70" s="156"/>
      <c r="U70" s="6"/>
    </row>
    <row r="71" spans="1:21" customFormat="1">
      <c r="A71" s="163" t="s">
        <v>878</v>
      </c>
      <c r="B71" s="100">
        <v>3.39</v>
      </c>
      <c r="C71" s="100">
        <v>9.2200000000000006</v>
      </c>
      <c r="D71" s="100">
        <v>5.83</v>
      </c>
      <c r="E71" s="100">
        <v>5.0599999999999996</v>
      </c>
      <c r="F71" s="100">
        <v>14.84</v>
      </c>
      <c r="G71" s="100">
        <v>59.88</v>
      </c>
      <c r="H71" s="100">
        <v>26.96</v>
      </c>
      <c r="I71" s="100">
        <v>8</v>
      </c>
      <c r="J71" s="100">
        <v>0.95</v>
      </c>
      <c r="K71" s="100">
        <v>302.29000000000002</v>
      </c>
      <c r="L71" s="100">
        <v>40.61</v>
      </c>
      <c r="M71" s="100">
        <v>22.02</v>
      </c>
      <c r="N71" s="100">
        <v>304.3</v>
      </c>
      <c r="O71" s="100">
        <v>0</v>
      </c>
      <c r="P71" s="100">
        <v>0.37</v>
      </c>
      <c r="Q71" s="100">
        <v>9.94</v>
      </c>
      <c r="R71" s="6"/>
      <c r="S71" s="6"/>
      <c r="T71" s="156"/>
      <c r="U71" s="6"/>
    </row>
    <row r="72" spans="1:21" customFormat="1">
      <c r="A72" s="163" t="s">
        <v>879</v>
      </c>
      <c r="B72" s="100">
        <v>3.39</v>
      </c>
      <c r="C72" s="100">
        <v>9.2899999999999991</v>
      </c>
      <c r="D72" s="100">
        <v>5.89</v>
      </c>
      <c r="E72" s="100">
        <v>5.08</v>
      </c>
      <c r="F72" s="100">
        <v>15.9</v>
      </c>
      <c r="G72" s="100">
        <v>59.88</v>
      </c>
      <c r="H72" s="100">
        <v>26.96</v>
      </c>
      <c r="I72" s="100">
        <v>7.99</v>
      </c>
      <c r="J72" s="100">
        <v>0.66</v>
      </c>
      <c r="K72" s="100">
        <v>248.74</v>
      </c>
      <c r="L72" s="100">
        <v>40.51</v>
      </c>
      <c r="M72" s="100">
        <v>23.16</v>
      </c>
      <c r="N72" s="100">
        <v>210.2</v>
      </c>
      <c r="O72" s="100">
        <v>0</v>
      </c>
      <c r="P72" s="100">
        <v>0.36</v>
      </c>
      <c r="Q72" s="100">
        <v>9.93</v>
      </c>
      <c r="R72" s="6"/>
      <c r="S72" s="6"/>
      <c r="T72" s="156"/>
      <c r="U72" s="6"/>
    </row>
    <row r="73" spans="1:21" customFormat="1">
      <c r="A73" s="163" t="s">
        <v>880</v>
      </c>
      <c r="B73" s="100">
        <v>3.43</v>
      </c>
      <c r="C73" s="100">
        <v>9.39</v>
      </c>
      <c r="D73" s="100">
        <v>5.96</v>
      </c>
      <c r="E73" s="100">
        <v>5.17</v>
      </c>
      <c r="F73" s="100">
        <v>14.85</v>
      </c>
      <c r="G73" s="100">
        <v>58.04</v>
      </c>
      <c r="H73" s="100">
        <v>27.95</v>
      </c>
      <c r="I73" s="100">
        <v>7.55</v>
      </c>
      <c r="J73" s="100">
        <v>1.1599999999999999</v>
      </c>
      <c r="K73" s="100">
        <v>287.58999999999997</v>
      </c>
      <c r="L73" s="100">
        <v>40.130000000000003</v>
      </c>
      <c r="M73" s="100">
        <v>22.63</v>
      </c>
      <c r="N73" s="100">
        <v>145.1</v>
      </c>
      <c r="O73" s="100">
        <v>0</v>
      </c>
      <c r="P73" s="100">
        <v>0.34</v>
      </c>
      <c r="Q73" s="100">
        <v>9.94</v>
      </c>
      <c r="R73" s="6"/>
      <c r="S73" s="6"/>
      <c r="T73" s="156"/>
      <c r="U73" s="6"/>
    </row>
    <row r="74" spans="1:21" customFormat="1">
      <c r="A74" s="163" t="s">
        <v>881</v>
      </c>
      <c r="B74" s="100">
        <v>3.46</v>
      </c>
      <c r="C74" s="100">
        <v>9.76</v>
      </c>
      <c r="D74" s="100">
        <v>6.29</v>
      </c>
      <c r="E74" s="100">
        <v>5.19</v>
      </c>
      <c r="F74" s="100">
        <v>15.39</v>
      </c>
      <c r="G74" s="100">
        <v>55.73</v>
      </c>
      <c r="H74" s="100">
        <v>28.63</v>
      </c>
      <c r="I74" s="100">
        <v>7.32</v>
      </c>
      <c r="J74" s="100">
        <v>0.82</v>
      </c>
      <c r="K74" s="100">
        <v>266.05</v>
      </c>
      <c r="L74" s="100">
        <v>39.68</v>
      </c>
      <c r="M74" s="100">
        <v>24.06</v>
      </c>
      <c r="N74" s="100">
        <v>124.8</v>
      </c>
      <c r="O74" s="100">
        <v>0</v>
      </c>
      <c r="P74" s="100">
        <v>0.33</v>
      </c>
      <c r="Q74" s="100">
        <v>9.9499999999999993</v>
      </c>
      <c r="R74" s="6"/>
      <c r="S74" s="6"/>
      <c r="T74" s="156"/>
      <c r="U74" s="6"/>
    </row>
    <row r="75" spans="1:21" customFormat="1">
      <c r="A75" s="163" t="s">
        <v>882</v>
      </c>
      <c r="B75" s="100">
        <v>3.43</v>
      </c>
      <c r="C75" s="100">
        <v>9.7100000000000009</v>
      </c>
      <c r="D75" s="100">
        <v>6.28</v>
      </c>
      <c r="E75" s="100">
        <v>5.01</v>
      </c>
      <c r="F75" s="100">
        <v>13.91</v>
      </c>
      <c r="G75" s="100">
        <v>55.73</v>
      </c>
      <c r="H75" s="100">
        <v>28.63</v>
      </c>
      <c r="I75" s="100">
        <v>7</v>
      </c>
      <c r="J75" s="100">
        <v>0.71</v>
      </c>
      <c r="K75" s="100">
        <v>262.33999999999997</v>
      </c>
      <c r="L75" s="100">
        <v>39.18</v>
      </c>
      <c r="M75" s="100">
        <v>25.08</v>
      </c>
      <c r="N75" s="100">
        <v>70.8</v>
      </c>
      <c r="O75" s="100">
        <v>0</v>
      </c>
      <c r="P75" s="100">
        <v>0.34</v>
      </c>
      <c r="Q75" s="100">
        <v>9.94</v>
      </c>
      <c r="R75" s="6"/>
      <c r="S75" s="6"/>
      <c r="T75" s="156"/>
      <c r="U75" s="6"/>
    </row>
    <row r="76" spans="1:21" customFormat="1">
      <c r="A76" s="163" t="s">
        <v>883</v>
      </c>
      <c r="B76" s="100">
        <v>3.41</v>
      </c>
      <c r="C76" s="100">
        <v>9.48</v>
      </c>
      <c r="D76" s="100">
        <v>6.08</v>
      </c>
      <c r="E76" s="100">
        <v>5.37</v>
      </c>
      <c r="F76" s="100">
        <v>16.62</v>
      </c>
      <c r="G76" s="100">
        <v>55.73</v>
      </c>
      <c r="H76" s="100">
        <v>28.63</v>
      </c>
      <c r="I76" s="100">
        <v>6.82</v>
      </c>
      <c r="J76" s="100">
        <v>0.64</v>
      </c>
      <c r="K76" s="100">
        <v>251.33</v>
      </c>
      <c r="L76" s="100">
        <v>38.369999999999997</v>
      </c>
      <c r="M76" s="100">
        <v>26.01</v>
      </c>
      <c r="N76" s="100">
        <v>31.8</v>
      </c>
      <c r="O76" s="100">
        <v>0</v>
      </c>
      <c r="P76" s="100">
        <v>0.33</v>
      </c>
      <c r="Q76" s="100">
        <v>9.94</v>
      </c>
      <c r="R76" s="6"/>
      <c r="S76" s="6"/>
      <c r="T76" s="156"/>
      <c r="U76" s="6"/>
    </row>
    <row r="77" spans="1:21" customFormat="1">
      <c r="A77" s="163" t="s">
        <v>884</v>
      </c>
      <c r="B77" s="100">
        <v>3.36</v>
      </c>
      <c r="C77" s="100">
        <v>9.1999999999999993</v>
      </c>
      <c r="D77" s="100">
        <v>5.84</v>
      </c>
      <c r="E77" s="100">
        <v>5.24</v>
      </c>
      <c r="F77" s="100">
        <v>23.36</v>
      </c>
      <c r="G77" s="100">
        <v>57.56</v>
      </c>
      <c r="H77" s="100">
        <v>27.11</v>
      </c>
      <c r="I77" s="100">
        <v>6.63</v>
      </c>
      <c r="J77" s="100">
        <v>0.37</v>
      </c>
      <c r="K77" s="100">
        <v>246.36</v>
      </c>
      <c r="L77" s="100">
        <v>37.770000000000003</v>
      </c>
      <c r="M77" s="100">
        <v>27.67</v>
      </c>
      <c r="N77" s="100">
        <v>22.9</v>
      </c>
      <c r="O77" s="100">
        <v>0</v>
      </c>
      <c r="P77" s="100">
        <v>0.31</v>
      </c>
      <c r="Q77" s="100">
        <v>9.94</v>
      </c>
      <c r="R77" s="6"/>
      <c r="S77" s="6"/>
      <c r="T77" s="156"/>
      <c r="U77" s="6"/>
    </row>
    <row r="78" spans="1:21" customFormat="1">
      <c r="A78" s="163" t="s">
        <v>885</v>
      </c>
      <c r="B78" s="100">
        <v>3.35</v>
      </c>
      <c r="C78" s="100">
        <v>9.09</v>
      </c>
      <c r="D78" s="100">
        <v>5.74</v>
      </c>
      <c r="E78" s="100">
        <v>5.35</v>
      </c>
      <c r="F78" s="100">
        <v>22.42</v>
      </c>
      <c r="G78" s="100">
        <v>59.84</v>
      </c>
      <c r="H78" s="100">
        <v>26.08</v>
      </c>
      <c r="I78" s="100">
        <v>6.55</v>
      </c>
      <c r="J78" s="100">
        <v>0.23</v>
      </c>
      <c r="K78" s="100">
        <v>226.53</v>
      </c>
      <c r="L78" s="100">
        <v>37.44</v>
      </c>
      <c r="M78" s="100">
        <v>29.97</v>
      </c>
      <c r="N78" s="100">
        <v>20.3</v>
      </c>
      <c r="O78" s="100">
        <v>0</v>
      </c>
      <c r="P78" s="100">
        <v>0.33</v>
      </c>
      <c r="Q78" s="100">
        <v>9.94</v>
      </c>
      <c r="R78" s="6"/>
      <c r="S78" s="6"/>
      <c r="T78" s="156"/>
      <c r="U78" s="6"/>
    </row>
    <row r="79" spans="1:21" customFormat="1">
      <c r="A79" s="163" t="s">
        <v>886</v>
      </c>
      <c r="B79" s="100">
        <v>3.37</v>
      </c>
      <c r="C79" s="100">
        <v>9.49</v>
      </c>
      <c r="D79" s="100">
        <v>6.12</v>
      </c>
      <c r="E79" s="100">
        <v>6.14</v>
      </c>
      <c r="F79" s="100">
        <v>24.24</v>
      </c>
      <c r="G79" s="100">
        <v>59.84</v>
      </c>
      <c r="H79" s="100">
        <v>26.08</v>
      </c>
      <c r="I79" s="100">
        <v>6.3</v>
      </c>
      <c r="J79" s="100">
        <v>0.13</v>
      </c>
      <c r="K79" s="100">
        <v>172.91</v>
      </c>
      <c r="L79" s="100">
        <v>37.07</v>
      </c>
      <c r="M79" s="100">
        <v>31.16</v>
      </c>
      <c r="N79" s="100">
        <v>20.7</v>
      </c>
      <c r="O79" s="100">
        <v>0</v>
      </c>
      <c r="P79" s="100">
        <v>0.36</v>
      </c>
      <c r="Q79" s="100">
        <v>9.94</v>
      </c>
      <c r="R79" s="6"/>
      <c r="S79" s="6"/>
      <c r="T79" s="156"/>
      <c r="U79" s="6"/>
    </row>
    <row r="80" spans="1:21" customFormat="1">
      <c r="A80" s="163" t="s">
        <v>887</v>
      </c>
      <c r="B80" s="100">
        <v>3.39</v>
      </c>
      <c r="C80" s="100">
        <v>9.77</v>
      </c>
      <c r="D80" s="100">
        <v>6.39</v>
      </c>
      <c r="E80" s="100">
        <v>6.32</v>
      </c>
      <c r="F80" s="100">
        <v>19.64</v>
      </c>
      <c r="G80" s="100">
        <v>59.84</v>
      </c>
      <c r="H80" s="100">
        <v>26.08</v>
      </c>
      <c r="I80" s="100">
        <v>6.29</v>
      </c>
      <c r="J80" s="100">
        <v>0.2</v>
      </c>
      <c r="K80" s="100">
        <v>221.03</v>
      </c>
      <c r="L80" s="100">
        <v>36.69</v>
      </c>
      <c r="M80" s="100">
        <v>31.88</v>
      </c>
      <c r="N80" s="100">
        <v>20.399999999999999</v>
      </c>
      <c r="O80" s="100">
        <v>0</v>
      </c>
      <c r="P80" s="100">
        <v>0.38</v>
      </c>
      <c r="Q80" s="100">
        <v>9.9499999999999993</v>
      </c>
      <c r="R80" s="6"/>
      <c r="S80" s="6"/>
      <c r="T80" s="156"/>
      <c r="U80" s="6"/>
    </row>
    <row r="81" spans="1:21" customFormat="1">
      <c r="A81" s="163" t="s">
        <v>888</v>
      </c>
      <c r="B81" s="100">
        <v>3.39</v>
      </c>
      <c r="C81" s="100">
        <v>10.11</v>
      </c>
      <c r="D81" s="100">
        <v>6.72</v>
      </c>
      <c r="E81" s="100">
        <v>4.9400000000000004</v>
      </c>
      <c r="F81" s="100">
        <v>24.44</v>
      </c>
      <c r="G81" s="100">
        <v>61.49</v>
      </c>
      <c r="H81" s="100">
        <v>26.07</v>
      </c>
      <c r="I81" s="100">
        <v>6.46</v>
      </c>
      <c r="J81" s="100">
        <v>0.16</v>
      </c>
      <c r="K81" s="100">
        <v>188.24</v>
      </c>
      <c r="L81" s="100">
        <v>36.700000000000003</v>
      </c>
      <c r="M81" s="100">
        <v>32.14</v>
      </c>
      <c r="N81" s="100">
        <v>17.2</v>
      </c>
      <c r="O81" s="100">
        <v>0</v>
      </c>
      <c r="P81" s="100">
        <v>0.43</v>
      </c>
      <c r="Q81" s="100">
        <v>9.94</v>
      </c>
      <c r="R81" s="6"/>
      <c r="S81" s="6"/>
      <c r="T81" s="156"/>
      <c r="U81" s="6"/>
    </row>
    <row r="82" spans="1:21" customFormat="1">
      <c r="A82" s="163" t="s">
        <v>889</v>
      </c>
      <c r="B82" s="100">
        <v>3.41</v>
      </c>
      <c r="C82" s="100">
        <v>10.38</v>
      </c>
      <c r="D82" s="100">
        <v>6.98</v>
      </c>
      <c r="E82" s="100">
        <v>6.18</v>
      </c>
      <c r="F82" s="100">
        <v>19.61</v>
      </c>
      <c r="G82" s="100">
        <v>63.55</v>
      </c>
      <c r="H82" s="100">
        <v>26.05</v>
      </c>
      <c r="I82" s="100">
        <v>6.64</v>
      </c>
      <c r="J82" s="100">
        <v>0.12</v>
      </c>
      <c r="K82" s="100">
        <v>181.04</v>
      </c>
      <c r="L82" s="100">
        <v>36.49</v>
      </c>
      <c r="M82" s="100">
        <v>31.95</v>
      </c>
      <c r="N82" s="100">
        <v>12.2</v>
      </c>
      <c r="O82" s="100">
        <v>0</v>
      </c>
      <c r="P82" s="100">
        <v>0.42</v>
      </c>
      <c r="Q82" s="100">
        <v>9.94</v>
      </c>
      <c r="R82" s="6"/>
      <c r="S82" s="6"/>
      <c r="T82" s="156"/>
      <c r="U82" s="6"/>
    </row>
    <row r="83" spans="1:21" customFormat="1">
      <c r="A83" s="163" t="s">
        <v>890</v>
      </c>
      <c r="B83" s="100">
        <v>3.45</v>
      </c>
      <c r="C83" s="100">
        <v>9.81</v>
      </c>
      <c r="D83" s="100">
        <v>6.36</v>
      </c>
      <c r="E83" s="100">
        <v>5.39</v>
      </c>
      <c r="F83" s="100">
        <v>17</v>
      </c>
      <c r="G83" s="100">
        <v>63.55</v>
      </c>
      <c r="H83" s="100">
        <v>26.05</v>
      </c>
      <c r="I83" s="100">
        <v>6.9</v>
      </c>
      <c r="J83" s="100">
        <v>0.19</v>
      </c>
      <c r="K83" s="100">
        <v>226.38</v>
      </c>
      <c r="L83" s="100">
        <v>36.26</v>
      </c>
      <c r="M83" s="100">
        <v>31.74</v>
      </c>
      <c r="N83" s="100">
        <v>4.7</v>
      </c>
      <c r="O83" s="100">
        <v>0</v>
      </c>
      <c r="P83" s="100">
        <v>0.4</v>
      </c>
      <c r="Q83" s="100">
        <v>9.92</v>
      </c>
      <c r="R83" s="6"/>
      <c r="S83" s="6"/>
      <c r="T83" s="156"/>
      <c r="U83" s="6"/>
    </row>
    <row r="84" spans="1:21" customFormat="1">
      <c r="A84" s="163" t="s">
        <v>891</v>
      </c>
      <c r="B84" s="100">
        <v>3.44</v>
      </c>
      <c r="C84" s="100">
        <v>9.85</v>
      </c>
      <c r="D84" s="100">
        <v>6.41</v>
      </c>
      <c r="E84" s="100">
        <v>5.0999999999999996</v>
      </c>
      <c r="F84" s="100">
        <v>14.62</v>
      </c>
      <c r="G84" s="100">
        <v>63.55</v>
      </c>
      <c r="H84" s="100">
        <v>26.05</v>
      </c>
      <c r="I84" s="100">
        <v>6.9</v>
      </c>
      <c r="J84" s="100">
        <v>0.41</v>
      </c>
      <c r="K84" s="100">
        <v>249.06</v>
      </c>
      <c r="L84" s="100">
        <v>36.08</v>
      </c>
      <c r="M84" s="100">
        <v>31.59</v>
      </c>
      <c r="N84" s="100">
        <v>1.9</v>
      </c>
      <c r="O84" s="100">
        <v>0</v>
      </c>
      <c r="P84" s="100">
        <v>0.41</v>
      </c>
      <c r="Q84" s="100">
        <v>9.93</v>
      </c>
      <c r="R84" s="6"/>
      <c r="S84" s="6"/>
      <c r="T84" s="156"/>
      <c r="U84" s="6"/>
    </row>
    <row r="85" spans="1:21" customFormat="1">
      <c r="A85" s="163" t="s">
        <v>892</v>
      </c>
      <c r="B85" s="100">
        <v>3.47</v>
      </c>
      <c r="C85" s="100">
        <v>10.75</v>
      </c>
      <c r="D85" s="100">
        <v>7.28</v>
      </c>
      <c r="E85" s="100">
        <v>5.03</v>
      </c>
      <c r="F85" s="100">
        <v>12.72</v>
      </c>
      <c r="G85" s="100">
        <v>65.680000000000007</v>
      </c>
      <c r="H85" s="100">
        <v>24.02</v>
      </c>
      <c r="I85" s="100">
        <v>6.94</v>
      </c>
      <c r="J85" s="100">
        <v>0.65</v>
      </c>
      <c r="K85" s="100">
        <v>256.14999999999998</v>
      </c>
      <c r="L85" s="100">
        <v>36.340000000000003</v>
      </c>
      <c r="M85" s="100">
        <v>30.05</v>
      </c>
      <c r="N85" s="100">
        <v>0.9</v>
      </c>
      <c r="O85" s="100">
        <v>0</v>
      </c>
      <c r="P85" s="100">
        <v>0.44</v>
      </c>
      <c r="Q85" s="100">
        <v>9.94</v>
      </c>
      <c r="R85" s="6"/>
      <c r="S85" s="6"/>
      <c r="T85" s="156"/>
      <c r="U85" s="6"/>
    </row>
    <row r="86" spans="1:21" customFormat="1">
      <c r="A86" s="163" t="s">
        <v>893</v>
      </c>
      <c r="B86" s="100">
        <v>4.13</v>
      </c>
      <c r="C86" s="100">
        <v>12.95</v>
      </c>
      <c r="D86" s="100">
        <v>8.83</v>
      </c>
      <c r="E86" s="100">
        <v>4.88</v>
      </c>
      <c r="F86" s="100">
        <v>8.2100000000000009</v>
      </c>
      <c r="G86" s="100">
        <v>68.33</v>
      </c>
      <c r="H86" s="100">
        <v>22.65</v>
      </c>
      <c r="I86" s="100">
        <v>6.86</v>
      </c>
      <c r="J86" s="100">
        <v>0.74</v>
      </c>
      <c r="K86" s="100">
        <v>280.82</v>
      </c>
      <c r="L86" s="100">
        <v>36.61</v>
      </c>
      <c r="M86" s="100">
        <v>28.21</v>
      </c>
      <c r="N86" s="100">
        <v>1</v>
      </c>
      <c r="O86" s="100">
        <v>0</v>
      </c>
      <c r="P86" s="100">
        <v>0.45</v>
      </c>
      <c r="Q86" s="100">
        <v>9.9600000000000009</v>
      </c>
      <c r="R86" s="6"/>
      <c r="S86" s="6"/>
      <c r="T86" s="156"/>
      <c r="U86" s="6"/>
    </row>
    <row r="87" spans="1:21" customFormat="1">
      <c r="A87" s="163" t="s">
        <v>894</v>
      </c>
      <c r="B87" s="100">
        <v>3.91</v>
      </c>
      <c r="C87" s="100">
        <v>13.09</v>
      </c>
      <c r="D87" s="100">
        <v>9.18</v>
      </c>
      <c r="E87" s="100">
        <v>4.88</v>
      </c>
      <c r="F87" s="100">
        <v>8.58</v>
      </c>
      <c r="G87" s="100">
        <v>68.33</v>
      </c>
      <c r="H87" s="100">
        <v>22.65</v>
      </c>
      <c r="I87" s="100">
        <v>7.11</v>
      </c>
      <c r="J87" s="100">
        <v>0.77</v>
      </c>
      <c r="K87" s="100">
        <v>284.2</v>
      </c>
      <c r="L87" s="100">
        <v>36.46</v>
      </c>
      <c r="M87" s="100">
        <v>27.7</v>
      </c>
      <c r="N87" s="100">
        <v>1.4</v>
      </c>
      <c r="O87" s="100">
        <v>0</v>
      </c>
      <c r="P87" s="100">
        <v>0.45</v>
      </c>
      <c r="Q87" s="100">
        <v>9.9600000000000009</v>
      </c>
      <c r="R87" s="6"/>
      <c r="S87" s="6"/>
      <c r="T87" s="156"/>
      <c r="U87" s="6"/>
    </row>
    <row r="88" spans="1:21" customFormat="1">
      <c r="A88" s="163" t="s">
        <v>895</v>
      </c>
      <c r="B88" s="100">
        <v>4.05</v>
      </c>
      <c r="C88" s="100">
        <v>15.44</v>
      </c>
      <c r="D88" s="100">
        <v>11.38</v>
      </c>
      <c r="E88" s="100">
        <v>4.68</v>
      </c>
      <c r="F88" s="100">
        <v>13.7</v>
      </c>
      <c r="G88" s="100">
        <v>68.33</v>
      </c>
      <c r="H88" s="100">
        <v>22.65</v>
      </c>
      <c r="I88" s="100">
        <v>7.19</v>
      </c>
      <c r="J88" s="100">
        <v>0.63</v>
      </c>
      <c r="K88" s="100">
        <v>272.2</v>
      </c>
      <c r="L88" s="100">
        <v>36.1</v>
      </c>
      <c r="M88" s="100">
        <v>28.21</v>
      </c>
      <c r="N88" s="100">
        <v>1.7</v>
      </c>
      <c r="O88" s="100">
        <v>0</v>
      </c>
      <c r="P88" s="100">
        <v>0.53</v>
      </c>
      <c r="Q88" s="100">
        <v>9.9499999999999993</v>
      </c>
      <c r="R88" s="6"/>
      <c r="S88" s="6"/>
      <c r="T88" s="156"/>
      <c r="U88" s="6"/>
    </row>
    <row r="89" spans="1:21" customFormat="1">
      <c r="A89" s="163" t="s">
        <v>896</v>
      </c>
      <c r="B89" s="100">
        <v>4.5</v>
      </c>
      <c r="C89" s="100">
        <v>19.28</v>
      </c>
      <c r="D89" s="100">
        <v>14.79</v>
      </c>
      <c r="E89" s="100">
        <v>4.25</v>
      </c>
      <c r="F89" s="100">
        <v>15.43</v>
      </c>
      <c r="G89" s="100">
        <v>69.31</v>
      </c>
      <c r="H89" s="100">
        <v>23.86</v>
      </c>
      <c r="I89" s="100">
        <v>7.16</v>
      </c>
      <c r="J89" s="100">
        <v>0.65</v>
      </c>
      <c r="K89" s="100">
        <v>271.92</v>
      </c>
      <c r="L89" s="100">
        <v>35.89</v>
      </c>
      <c r="M89" s="100">
        <v>28.07</v>
      </c>
      <c r="N89" s="100">
        <v>1.5</v>
      </c>
      <c r="O89" s="100">
        <v>0</v>
      </c>
      <c r="P89" s="100">
        <v>0.59</v>
      </c>
      <c r="Q89" s="100">
        <v>9.94</v>
      </c>
      <c r="R89" s="6"/>
      <c r="S89" s="6"/>
      <c r="T89" s="156"/>
      <c r="U89" s="6"/>
    </row>
    <row r="90" spans="1:21" customFormat="1">
      <c r="A90" s="163" t="s">
        <v>897</v>
      </c>
      <c r="B90" s="100">
        <v>4.18</v>
      </c>
      <c r="C90" s="100">
        <v>19.350000000000001</v>
      </c>
      <c r="D90" s="100">
        <v>15.17</v>
      </c>
      <c r="E90" s="100">
        <v>4.38</v>
      </c>
      <c r="F90" s="100">
        <v>14.62</v>
      </c>
      <c r="G90" s="100">
        <v>70.53</v>
      </c>
      <c r="H90" s="100">
        <v>24.68</v>
      </c>
      <c r="I90" s="100">
        <v>7.12</v>
      </c>
      <c r="J90" s="100">
        <v>0.52</v>
      </c>
      <c r="K90" s="100">
        <v>244.93</v>
      </c>
      <c r="L90" s="100">
        <v>35.46</v>
      </c>
      <c r="M90" s="100">
        <v>29.43</v>
      </c>
      <c r="N90" s="100">
        <v>1.8</v>
      </c>
      <c r="O90" s="100">
        <v>0</v>
      </c>
      <c r="P90" s="100">
        <v>0.6</v>
      </c>
      <c r="Q90" s="100">
        <v>9.93</v>
      </c>
      <c r="R90" s="6"/>
      <c r="S90" s="6"/>
      <c r="T90" s="156"/>
      <c r="U90" s="6"/>
    </row>
    <row r="91" spans="1:21" customFormat="1">
      <c r="A91" s="163" t="s">
        <v>898</v>
      </c>
      <c r="B91" s="100">
        <v>4.38</v>
      </c>
      <c r="C91" s="100">
        <v>19.22</v>
      </c>
      <c r="D91" s="100">
        <v>14.84</v>
      </c>
      <c r="E91" s="100">
        <v>4.24</v>
      </c>
      <c r="F91" s="100">
        <v>12.24</v>
      </c>
      <c r="G91" s="100">
        <v>70.53</v>
      </c>
      <c r="H91" s="100">
        <v>24.68</v>
      </c>
      <c r="I91" s="100">
        <v>7.17</v>
      </c>
      <c r="J91" s="100">
        <v>0.61</v>
      </c>
      <c r="K91" s="100">
        <v>269.39</v>
      </c>
      <c r="L91" s="100">
        <v>35.340000000000003</v>
      </c>
      <c r="M91" s="100">
        <v>29.46</v>
      </c>
      <c r="N91" s="100">
        <v>1.5</v>
      </c>
      <c r="O91" s="100">
        <v>0</v>
      </c>
      <c r="P91" s="100">
        <v>0.62</v>
      </c>
      <c r="Q91" s="100">
        <v>9.9499999999999993</v>
      </c>
      <c r="R91" s="6"/>
      <c r="S91" s="6"/>
      <c r="T91" s="156"/>
      <c r="U91" s="6"/>
    </row>
    <row r="92" spans="1:21" customFormat="1">
      <c r="A92" s="163" t="s">
        <v>899</v>
      </c>
      <c r="B92" s="100">
        <v>4.2</v>
      </c>
      <c r="C92" s="100">
        <v>18.68</v>
      </c>
      <c r="D92" s="100">
        <v>14.48</v>
      </c>
      <c r="E92" s="100">
        <v>4</v>
      </c>
      <c r="F92" s="100">
        <v>12.73</v>
      </c>
      <c r="G92" s="100">
        <v>70.53</v>
      </c>
      <c r="H92" s="100">
        <v>24.68</v>
      </c>
      <c r="I92" s="100">
        <v>7.43</v>
      </c>
      <c r="J92" s="100">
        <v>0.54</v>
      </c>
      <c r="K92" s="100">
        <v>252.6</v>
      </c>
      <c r="L92" s="100">
        <v>35.159999999999997</v>
      </c>
      <c r="M92" s="100">
        <v>30.24</v>
      </c>
      <c r="N92" s="100">
        <v>1.7</v>
      </c>
      <c r="O92" s="100">
        <v>0</v>
      </c>
      <c r="P92" s="100">
        <v>0.61</v>
      </c>
      <c r="Q92" s="100">
        <v>9.9499999999999993</v>
      </c>
      <c r="R92" s="6"/>
      <c r="S92" s="6"/>
      <c r="T92" s="156"/>
      <c r="U92" s="6"/>
    </row>
    <row r="93" spans="1:21" customFormat="1">
      <c r="A93" s="163" t="s">
        <v>900</v>
      </c>
      <c r="B93" s="100">
        <v>3.87</v>
      </c>
      <c r="C93" s="100">
        <v>16.75</v>
      </c>
      <c r="D93" s="100">
        <v>12.88</v>
      </c>
      <c r="E93" s="100">
        <v>3.31</v>
      </c>
      <c r="F93" s="100">
        <v>19.59</v>
      </c>
      <c r="G93" s="100">
        <v>70.77</v>
      </c>
      <c r="H93" s="100">
        <v>26.98</v>
      </c>
      <c r="I93" s="100">
        <v>7.76</v>
      </c>
      <c r="J93" s="100">
        <v>0.45</v>
      </c>
      <c r="K93" s="100">
        <v>248.7</v>
      </c>
      <c r="L93" s="100">
        <v>34.83</v>
      </c>
      <c r="M93" s="100">
        <v>31.28</v>
      </c>
      <c r="N93" s="100">
        <v>1.7</v>
      </c>
      <c r="O93" s="100">
        <v>0</v>
      </c>
      <c r="P93" s="100">
        <v>0.57999999999999996</v>
      </c>
      <c r="Q93" s="100">
        <v>9.9499999999999993</v>
      </c>
      <c r="R93" s="6"/>
      <c r="S93" s="6"/>
      <c r="T93" s="156"/>
      <c r="U93" s="6"/>
    </row>
    <row r="94" spans="1:21" customFormat="1">
      <c r="A94" s="163" t="s">
        <v>901</v>
      </c>
      <c r="B94" s="100">
        <v>3.86</v>
      </c>
      <c r="C94" s="100">
        <v>14.17</v>
      </c>
      <c r="D94" s="100">
        <v>10.31</v>
      </c>
      <c r="E94" s="100">
        <v>3.78</v>
      </c>
      <c r="F94" s="100">
        <v>18.47</v>
      </c>
      <c r="G94" s="100">
        <v>71.069999999999993</v>
      </c>
      <c r="H94" s="100">
        <v>28.54</v>
      </c>
      <c r="I94" s="100">
        <v>8.15</v>
      </c>
      <c r="J94" s="100">
        <v>0.53</v>
      </c>
      <c r="K94" s="100">
        <v>249.53</v>
      </c>
      <c r="L94" s="100">
        <v>34.72</v>
      </c>
      <c r="M94" s="100">
        <v>31.66</v>
      </c>
      <c r="N94" s="100">
        <v>1.5</v>
      </c>
      <c r="O94" s="100">
        <v>0</v>
      </c>
      <c r="P94" s="100">
        <v>0.56000000000000005</v>
      </c>
      <c r="Q94" s="100">
        <v>9.94</v>
      </c>
      <c r="R94" s="6"/>
      <c r="S94" s="6"/>
      <c r="T94" s="156"/>
      <c r="U94" s="6"/>
    </row>
    <row r="95" spans="1:21" customFormat="1">
      <c r="A95" s="163" t="s">
        <v>902</v>
      </c>
      <c r="B95" s="100">
        <v>3.98</v>
      </c>
      <c r="C95" s="100">
        <v>16.38</v>
      </c>
      <c r="D95" s="100">
        <v>12.4</v>
      </c>
      <c r="E95" s="100">
        <v>3.91</v>
      </c>
      <c r="F95" s="100">
        <v>15.27</v>
      </c>
      <c r="G95" s="100">
        <v>71.069999999999993</v>
      </c>
      <c r="H95" s="100">
        <v>28.54</v>
      </c>
      <c r="I95" s="100">
        <v>8.25</v>
      </c>
      <c r="J95" s="100">
        <v>0.45</v>
      </c>
      <c r="K95" s="100">
        <v>260.43</v>
      </c>
      <c r="L95" s="100">
        <v>34.72</v>
      </c>
      <c r="M95" s="100">
        <v>32.26</v>
      </c>
      <c r="N95" s="100">
        <v>1.5</v>
      </c>
      <c r="O95" s="100">
        <v>0</v>
      </c>
      <c r="P95" s="100">
        <v>0.56999999999999995</v>
      </c>
      <c r="Q95" s="100">
        <v>9.9499999999999993</v>
      </c>
      <c r="R95" s="6"/>
      <c r="S95" s="6"/>
      <c r="T95" s="156"/>
      <c r="U95" s="6"/>
    </row>
    <row r="96" spans="1:21" customFormat="1">
      <c r="A96" s="163" t="s">
        <v>903</v>
      </c>
      <c r="B96" s="100">
        <v>4.17</v>
      </c>
      <c r="C96" s="100">
        <v>18.899999999999999</v>
      </c>
      <c r="D96" s="100">
        <v>14.73</v>
      </c>
      <c r="E96" s="100">
        <v>4.45</v>
      </c>
      <c r="F96" s="100">
        <v>14</v>
      </c>
      <c r="G96" s="100">
        <v>71.069999999999993</v>
      </c>
      <c r="H96" s="100">
        <v>28.54</v>
      </c>
      <c r="I96" s="100">
        <v>8.1300000000000008</v>
      </c>
      <c r="J96" s="100">
        <v>0.52</v>
      </c>
      <c r="K96" s="100">
        <v>249.24</v>
      </c>
      <c r="L96" s="100">
        <v>34.770000000000003</v>
      </c>
      <c r="M96" s="100">
        <v>32.47</v>
      </c>
      <c r="N96" s="100">
        <v>1.6</v>
      </c>
      <c r="O96" s="100">
        <v>0</v>
      </c>
      <c r="P96" s="100">
        <v>0.57999999999999996</v>
      </c>
      <c r="Q96" s="100">
        <v>9.9499999999999993</v>
      </c>
      <c r="R96" s="6"/>
      <c r="S96" s="6"/>
      <c r="T96" s="156"/>
      <c r="U96" s="6"/>
    </row>
    <row r="97" spans="1:28" customFormat="1">
      <c r="A97" s="163" t="s">
        <v>904</v>
      </c>
      <c r="B97" s="100">
        <v>4.2699999999999996</v>
      </c>
      <c r="C97" s="100">
        <v>18.88</v>
      </c>
      <c r="D97" s="100">
        <v>14.61</v>
      </c>
      <c r="E97" s="100">
        <v>5.98</v>
      </c>
      <c r="F97" s="100">
        <v>18.04</v>
      </c>
      <c r="G97" s="100">
        <v>72.5</v>
      </c>
      <c r="H97" s="100">
        <v>29.59</v>
      </c>
      <c r="I97" s="100">
        <v>8.61</v>
      </c>
      <c r="J97" s="100">
        <v>0.57999999999999996</v>
      </c>
      <c r="K97" s="100">
        <v>249.54</v>
      </c>
      <c r="L97" s="100">
        <v>34.659999999999997</v>
      </c>
      <c r="M97" s="100">
        <v>33.04</v>
      </c>
      <c r="N97" s="100">
        <v>1.7</v>
      </c>
      <c r="O97" s="100">
        <v>0</v>
      </c>
      <c r="P97" s="100">
        <v>0.56999999999999995</v>
      </c>
      <c r="Q97" s="100">
        <v>9.9499999999999993</v>
      </c>
      <c r="R97" s="6"/>
      <c r="S97" s="6"/>
      <c r="T97" s="156"/>
      <c r="U97" s="6"/>
    </row>
    <row r="98" spans="1:28" customFormat="1">
      <c r="A98" s="163" t="s">
        <v>905</v>
      </c>
      <c r="B98" s="100">
        <v>3.94</v>
      </c>
      <c r="C98" s="100">
        <v>15.66</v>
      </c>
      <c r="D98" s="100">
        <v>11.72</v>
      </c>
      <c r="E98" s="100">
        <v>8.1199999999999992</v>
      </c>
      <c r="F98" s="100">
        <v>15.28</v>
      </c>
      <c r="G98" s="100">
        <v>74.37</v>
      </c>
      <c r="H98" s="100">
        <v>30.3</v>
      </c>
      <c r="I98" s="100">
        <v>9.25</v>
      </c>
      <c r="J98" s="100">
        <v>0.53</v>
      </c>
      <c r="K98" s="100">
        <v>252.8</v>
      </c>
      <c r="L98" s="100">
        <v>34.5</v>
      </c>
      <c r="M98" s="100">
        <v>33.869999999999997</v>
      </c>
      <c r="N98" s="100">
        <v>1.9</v>
      </c>
      <c r="O98" s="100">
        <v>0</v>
      </c>
      <c r="P98" s="100">
        <v>0.56999999999999995</v>
      </c>
      <c r="Q98" s="100">
        <v>9.9499999999999993</v>
      </c>
      <c r="R98" s="6"/>
      <c r="S98" s="6"/>
      <c r="T98" s="156"/>
      <c r="U98" s="6"/>
    </row>
    <row r="99" spans="1:28" customFormat="1">
      <c r="A99" s="163" t="s">
        <v>906</v>
      </c>
      <c r="B99" s="100">
        <v>3.8</v>
      </c>
      <c r="C99" s="100">
        <v>13.59</v>
      </c>
      <c r="D99" s="100">
        <v>9.7899999999999991</v>
      </c>
      <c r="E99" s="100">
        <v>6.69</v>
      </c>
      <c r="F99" s="100">
        <v>18.98</v>
      </c>
      <c r="G99" s="100">
        <v>74.37</v>
      </c>
      <c r="H99" s="100">
        <v>30.3</v>
      </c>
      <c r="I99" s="100">
        <v>9.73</v>
      </c>
      <c r="J99" s="100">
        <v>0.28000000000000003</v>
      </c>
      <c r="K99" s="100">
        <v>230.74</v>
      </c>
      <c r="L99" s="100">
        <v>34.18</v>
      </c>
      <c r="M99" s="100">
        <v>35.799999999999997</v>
      </c>
      <c r="N99" s="100">
        <v>2.1</v>
      </c>
      <c r="O99" s="100">
        <v>0</v>
      </c>
      <c r="P99" s="100">
        <v>0.57999999999999996</v>
      </c>
      <c r="Q99" s="100">
        <v>9.94</v>
      </c>
      <c r="R99" s="6"/>
      <c r="S99" s="6"/>
      <c r="T99" s="156"/>
      <c r="U99" s="6"/>
    </row>
    <row r="100" spans="1:28" customFormat="1">
      <c r="A100" s="163" t="s">
        <v>907</v>
      </c>
      <c r="B100" s="100">
        <v>3.85</v>
      </c>
      <c r="C100" s="100">
        <v>12.96</v>
      </c>
      <c r="D100" s="100">
        <v>9.1</v>
      </c>
      <c r="E100" s="100">
        <v>5.73</v>
      </c>
      <c r="F100" s="100">
        <v>13.19</v>
      </c>
      <c r="G100" s="100">
        <v>74.37</v>
      </c>
      <c r="H100" s="100">
        <v>30.3</v>
      </c>
      <c r="I100" s="100">
        <v>9.1300000000000008</v>
      </c>
      <c r="J100" s="100">
        <v>0.2</v>
      </c>
      <c r="K100" s="100">
        <v>115.05</v>
      </c>
      <c r="L100" s="100">
        <v>33.64</v>
      </c>
      <c r="M100" s="100">
        <v>38.35</v>
      </c>
      <c r="N100" s="100">
        <v>2.2999999999999998</v>
      </c>
      <c r="O100" s="100">
        <v>0</v>
      </c>
      <c r="P100" s="100">
        <v>0.66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908</v>
      </c>
      <c r="B101" s="100">
        <v>4.05</v>
      </c>
      <c r="C101" s="100">
        <v>12.68</v>
      </c>
      <c r="D101" s="100">
        <v>8.64</v>
      </c>
      <c r="E101" s="100">
        <v>6.69</v>
      </c>
      <c r="F101" s="100">
        <v>9.4</v>
      </c>
      <c r="G101" s="100">
        <v>73.92</v>
      </c>
      <c r="H101" s="100">
        <v>31.5</v>
      </c>
      <c r="I101" s="100">
        <v>9.41</v>
      </c>
      <c r="J101" s="100">
        <v>0.24</v>
      </c>
      <c r="K101" s="100">
        <v>94.39</v>
      </c>
      <c r="L101" s="100">
        <v>33.07</v>
      </c>
      <c r="M101" s="100">
        <v>39.24</v>
      </c>
      <c r="N101" s="100">
        <v>2.1</v>
      </c>
      <c r="O101" s="100">
        <v>0</v>
      </c>
      <c r="P101" s="100">
        <v>0.73</v>
      </c>
      <c r="Q101" s="100">
        <v>9.94</v>
      </c>
      <c r="R101" s="6"/>
      <c r="S101" s="6"/>
      <c r="T101" s="156"/>
      <c r="U101" s="6"/>
    </row>
    <row r="102" spans="1:28" customFormat="1">
      <c r="A102" s="163" t="s">
        <v>909</v>
      </c>
      <c r="B102" s="100">
        <v>4.0199999999999996</v>
      </c>
      <c r="C102" s="100">
        <v>12.79</v>
      </c>
      <c r="D102" s="100">
        <v>8.77</v>
      </c>
      <c r="E102" s="100">
        <v>6.33</v>
      </c>
      <c r="F102" s="100">
        <v>10.52</v>
      </c>
      <c r="G102" s="100">
        <v>73.37</v>
      </c>
      <c r="H102" s="100">
        <v>32.33</v>
      </c>
      <c r="I102" s="100">
        <v>9.64</v>
      </c>
      <c r="J102" s="100">
        <v>0.18</v>
      </c>
      <c r="K102" s="100">
        <v>224.96</v>
      </c>
      <c r="L102" s="100">
        <v>32.71</v>
      </c>
      <c r="M102" s="100">
        <v>40.58</v>
      </c>
      <c r="N102" s="100">
        <v>2.1</v>
      </c>
      <c r="O102" s="100">
        <v>0</v>
      </c>
      <c r="P102" s="100">
        <v>0.63</v>
      </c>
      <c r="Q102" s="100">
        <v>9.94</v>
      </c>
      <c r="R102" s="6"/>
      <c r="S102" s="6"/>
      <c r="T102" s="156"/>
      <c r="U102" s="6"/>
    </row>
    <row r="103" spans="1:28" customFormat="1">
      <c r="A103" s="163" t="s">
        <v>910</v>
      </c>
      <c r="B103" s="100">
        <v>4.04</v>
      </c>
      <c r="C103" s="100">
        <v>11.43</v>
      </c>
      <c r="D103" s="100">
        <v>7.39</v>
      </c>
      <c r="E103" s="100">
        <v>5.24</v>
      </c>
      <c r="F103" s="100">
        <v>11.57</v>
      </c>
      <c r="G103" s="100">
        <v>73.37</v>
      </c>
      <c r="H103" s="100">
        <v>32.33</v>
      </c>
      <c r="I103" s="100">
        <v>10.050000000000001</v>
      </c>
      <c r="J103" s="100">
        <v>0.1</v>
      </c>
      <c r="K103" s="100">
        <v>260.44</v>
      </c>
      <c r="L103" s="100">
        <v>32.520000000000003</v>
      </c>
      <c r="M103" s="100">
        <v>41.63</v>
      </c>
      <c r="N103" s="100">
        <v>2</v>
      </c>
      <c r="O103" s="100">
        <v>0</v>
      </c>
      <c r="P103" s="100">
        <v>0.59</v>
      </c>
      <c r="Q103" s="100">
        <v>9.9600000000000009</v>
      </c>
      <c r="R103" s="6"/>
      <c r="S103" s="6"/>
      <c r="T103" s="156"/>
      <c r="U103" s="6"/>
    </row>
    <row r="104" spans="1:28" customFormat="1">
      <c r="A104" s="163" t="s">
        <v>911</v>
      </c>
      <c r="B104" s="100">
        <v>3.95</v>
      </c>
      <c r="C104" s="100">
        <v>10.27</v>
      </c>
      <c r="D104" s="100">
        <v>6.33</v>
      </c>
      <c r="E104" s="100">
        <v>4.3600000000000003</v>
      </c>
      <c r="F104" s="100">
        <v>14.02</v>
      </c>
      <c r="G104" s="100">
        <v>73.37</v>
      </c>
      <c r="H104" s="100">
        <v>32.33</v>
      </c>
      <c r="I104" s="100">
        <v>8.82</v>
      </c>
      <c r="J104" s="100">
        <v>0.1</v>
      </c>
      <c r="K104" s="100">
        <v>214.79</v>
      </c>
      <c r="L104" s="100">
        <v>32.049999999999997</v>
      </c>
      <c r="M104" s="100">
        <v>42.96</v>
      </c>
      <c r="N104" s="100">
        <v>1.9</v>
      </c>
      <c r="O104" s="100">
        <v>0</v>
      </c>
      <c r="P104" s="100">
        <v>0.56999999999999995</v>
      </c>
      <c r="Q104" s="100">
        <v>9.9600000000000009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3.35</v>
      </c>
      <c r="C106" s="158">
        <f>MIN(C9:C104)</f>
        <v>7.49</v>
      </c>
      <c r="D106" s="158">
        <f t="shared" ref="D106:Q106" si="0">MIN(D9:D104)</f>
        <v>3.69</v>
      </c>
      <c r="E106" s="158">
        <f t="shared" si="0"/>
        <v>3.31</v>
      </c>
      <c r="F106" s="158">
        <f t="shared" si="0"/>
        <v>2.8</v>
      </c>
      <c r="G106" s="158">
        <f t="shared" si="0"/>
        <v>42.04</v>
      </c>
      <c r="H106" s="158">
        <f t="shared" si="0"/>
        <v>22.65</v>
      </c>
      <c r="I106" s="158">
        <f t="shared" si="0"/>
        <v>5.71</v>
      </c>
      <c r="J106" s="158">
        <f t="shared" si="0"/>
        <v>0.02</v>
      </c>
      <c r="K106" s="158">
        <f t="shared" si="0"/>
        <v>-0.13</v>
      </c>
      <c r="L106" s="158">
        <f t="shared" si="0"/>
        <v>27.93</v>
      </c>
      <c r="M106" s="158">
        <f t="shared" si="0"/>
        <v>20.27</v>
      </c>
      <c r="N106" s="158">
        <f t="shared" si="0"/>
        <v>0.9</v>
      </c>
      <c r="O106" s="158">
        <f t="shared" si="0"/>
        <v>0</v>
      </c>
      <c r="P106" s="158">
        <f t="shared" si="0"/>
        <v>0.31</v>
      </c>
      <c r="Q106" s="158">
        <f t="shared" si="0"/>
        <v>9.91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4.5</v>
      </c>
      <c r="C107" s="157">
        <f t="shared" ref="C107:Q107" si="1">MAX(C9:C104)</f>
        <v>19.350000000000001</v>
      </c>
      <c r="D107" s="157">
        <f t="shared" si="1"/>
        <v>15.17</v>
      </c>
      <c r="E107" s="157">
        <f t="shared" si="1"/>
        <v>9.1199999999999992</v>
      </c>
      <c r="F107" s="157">
        <f t="shared" si="1"/>
        <v>35.67</v>
      </c>
      <c r="G107" s="157">
        <f t="shared" si="1"/>
        <v>74.37</v>
      </c>
      <c r="H107" s="157">
        <f t="shared" si="1"/>
        <v>33.869999999999997</v>
      </c>
      <c r="I107" s="157">
        <f t="shared" si="1"/>
        <v>11.64</v>
      </c>
      <c r="J107" s="157">
        <f t="shared" si="1"/>
        <v>1.51</v>
      </c>
      <c r="K107" s="157">
        <f t="shared" si="1"/>
        <v>302.29000000000002</v>
      </c>
      <c r="L107" s="157">
        <f t="shared" si="1"/>
        <v>41.13</v>
      </c>
      <c r="M107" s="157">
        <f t="shared" si="1"/>
        <v>65.47</v>
      </c>
      <c r="N107" s="157">
        <f t="shared" si="1"/>
        <v>806.5</v>
      </c>
      <c r="O107" s="157">
        <f t="shared" si="1"/>
        <v>0</v>
      </c>
      <c r="P107" s="157">
        <f t="shared" si="1"/>
        <v>0.74</v>
      </c>
      <c r="Q107" s="157">
        <f t="shared" si="1"/>
        <v>9.98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3.7893750000000015</v>
      </c>
      <c r="C108" s="158">
        <f t="shared" ref="C108:Q108" si="2">AVERAGE(C9:C104)</f>
        <v>10.257187499999999</v>
      </c>
      <c r="D108" s="158">
        <f t="shared" si="2"/>
        <v>6.4680208333333331</v>
      </c>
      <c r="E108" s="158">
        <f t="shared" si="2"/>
        <v>5.4320833333333338</v>
      </c>
      <c r="F108" s="158">
        <f t="shared" si="2"/>
        <v>12.907395833333338</v>
      </c>
      <c r="G108" s="158">
        <f t="shared" si="2"/>
        <v>58.02666666666665</v>
      </c>
      <c r="H108" s="158">
        <f t="shared" si="2"/>
        <v>28.090000000000007</v>
      </c>
      <c r="I108" s="158">
        <f t="shared" si="2"/>
        <v>7.513333333333331</v>
      </c>
      <c r="J108" s="158">
        <f t="shared" si="2"/>
        <v>0.51760416666666675</v>
      </c>
      <c r="K108" s="158">
        <f t="shared" si="2"/>
        <v>243.71979166666677</v>
      </c>
      <c r="L108" s="158">
        <f t="shared" si="2"/>
        <v>34.302812499999995</v>
      </c>
      <c r="M108" s="158">
        <f t="shared" si="2"/>
        <v>41.718333333333341</v>
      </c>
      <c r="N108" s="158">
        <f t="shared" si="2"/>
        <v>137.06562499999998</v>
      </c>
      <c r="O108" s="158">
        <f t="shared" si="2"/>
        <v>0</v>
      </c>
      <c r="P108" s="158">
        <f t="shared" si="2"/>
        <v>0.47864583333333321</v>
      </c>
      <c r="Q108" s="158">
        <f t="shared" si="2"/>
        <v>9.942916666666676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0.30949130588928109</v>
      </c>
      <c r="C109" s="158">
        <f t="shared" ref="C109:Q109" si="3">STDEV(C9:C104)</f>
        <v>2.9537243940578852</v>
      </c>
      <c r="D109" s="158">
        <f t="shared" si="3"/>
        <v>2.8474282467893826</v>
      </c>
      <c r="E109" s="158">
        <f t="shared" si="3"/>
        <v>1.1916604220177482</v>
      </c>
      <c r="F109" s="158">
        <f t="shared" si="3"/>
        <v>7.0226813359947986</v>
      </c>
      <c r="G109" s="158">
        <f t="shared" si="3"/>
        <v>9.9297321389290119</v>
      </c>
      <c r="H109" s="158">
        <f t="shared" si="3"/>
        <v>2.7964601684422772</v>
      </c>
      <c r="I109" s="158">
        <f t="shared" si="3"/>
        <v>1.5432676656106432</v>
      </c>
      <c r="J109" s="158">
        <f t="shared" si="3"/>
        <v>0.35418325554544777</v>
      </c>
      <c r="K109" s="158">
        <f t="shared" si="3"/>
        <v>44.74828535331087</v>
      </c>
      <c r="L109" s="158">
        <f t="shared" si="3"/>
        <v>4.4263728059332728</v>
      </c>
      <c r="M109" s="158">
        <f t="shared" si="3"/>
        <v>15.30516835077659</v>
      </c>
      <c r="N109" s="158">
        <f t="shared" si="3"/>
        <v>216.45090841410087</v>
      </c>
      <c r="O109" s="158">
        <f t="shared" si="3"/>
        <v>0</v>
      </c>
      <c r="P109" s="158">
        <f t="shared" si="3"/>
        <v>0.12206658917567338</v>
      </c>
      <c r="Q109" s="158">
        <f t="shared" si="3"/>
        <v>1.4575875285926524E-2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23" sqref="I2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912</v>
      </c>
      <c r="B9" s="100">
        <v>4.16</v>
      </c>
      <c r="C9" s="100">
        <v>9.33</v>
      </c>
      <c r="D9" s="100">
        <v>5.17</v>
      </c>
      <c r="E9" s="100">
        <v>4.07</v>
      </c>
      <c r="F9" s="100">
        <v>17.79</v>
      </c>
      <c r="G9" s="100">
        <v>72.53</v>
      </c>
      <c r="H9" s="100">
        <v>31.77</v>
      </c>
      <c r="I9" s="100">
        <v>8.4</v>
      </c>
      <c r="J9" s="100">
        <v>0.16</v>
      </c>
      <c r="K9" s="100">
        <v>214.05</v>
      </c>
      <c r="L9" s="100">
        <v>31.56</v>
      </c>
      <c r="M9" s="100">
        <v>44.25</v>
      </c>
      <c r="N9" s="100">
        <v>1.9</v>
      </c>
      <c r="O9" s="100">
        <v>0</v>
      </c>
      <c r="P9" s="100">
        <v>0.53</v>
      </c>
      <c r="Q9" s="100">
        <v>9.9499999999999993</v>
      </c>
      <c r="R9" s="6"/>
      <c r="S9" s="6"/>
      <c r="T9" s="156"/>
      <c r="U9" s="6"/>
    </row>
    <row r="10" spans="1:21" customFormat="1">
      <c r="A10" s="163" t="s">
        <v>913</v>
      </c>
      <c r="B10" s="100">
        <v>4.3600000000000003</v>
      </c>
      <c r="C10" s="100">
        <v>9.5500000000000007</v>
      </c>
      <c r="D10" s="100">
        <v>5.19</v>
      </c>
      <c r="E10" s="100">
        <v>3.91</v>
      </c>
      <c r="F10" s="100">
        <v>10.29</v>
      </c>
      <c r="G10" s="100">
        <v>71.48</v>
      </c>
      <c r="H10" s="100">
        <v>30.8</v>
      </c>
      <c r="I10" s="100">
        <v>7.83</v>
      </c>
      <c r="J10" s="100">
        <v>0.15</v>
      </c>
      <c r="K10" s="100">
        <v>224.41</v>
      </c>
      <c r="L10" s="100">
        <v>31.11</v>
      </c>
      <c r="M10" s="100">
        <v>46.2</v>
      </c>
      <c r="N10" s="100">
        <v>1.7</v>
      </c>
      <c r="O10" s="100">
        <v>0</v>
      </c>
      <c r="P10" s="100">
        <v>0.56999999999999995</v>
      </c>
      <c r="Q10" s="100">
        <v>9.9499999999999993</v>
      </c>
      <c r="R10" s="6"/>
      <c r="S10" s="6"/>
      <c r="T10" s="156"/>
      <c r="U10" s="6"/>
    </row>
    <row r="11" spans="1:21" customFormat="1">
      <c r="A11" s="163" t="s">
        <v>914</v>
      </c>
      <c r="B11" s="100">
        <v>4.5199999999999996</v>
      </c>
      <c r="C11" s="100">
        <v>9.86</v>
      </c>
      <c r="D11" s="100">
        <v>5.35</v>
      </c>
      <c r="E11" s="100">
        <v>4.1399999999999997</v>
      </c>
      <c r="F11" s="100">
        <v>3.62</v>
      </c>
      <c r="G11" s="100">
        <v>71.48</v>
      </c>
      <c r="H11" s="100">
        <v>30.8</v>
      </c>
      <c r="I11" s="100">
        <v>7.53</v>
      </c>
      <c r="J11" s="100">
        <v>0.1</v>
      </c>
      <c r="K11" s="100">
        <v>200.31</v>
      </c>
      <c r="L11" s="100">
        <v>31.09</v>
      </c>
      <c r="M11" s="100">
        <v>46.88</v>
      </c>
      <c r="N11" s="100">
        <v>1.4</v>
      </c>
      <c r="O11" s="100">
        <v>0</v>
      </c>
      <c r="P11" s="100">
        <v>0.56999999999999995</v>
      </c>
      <c r="Q11" s="100">
        <v>9.9499999999999993</v>
      </c>
      <c r="R11" s="6"/>
      <c r="S11" s="6"/>
      <c r="T11" s="156"/>
      <c r="U11" s="6"/>
    </row>
    <row r="12" spans="1:21" customFormat="1">
      <c r="A12" s="163" t="s">
        <v>915</v>
      </c>
      <c r="B12" s="100">
        <v>4.47</v>
      </c>
      <c r="C12" s="100">
        <v>9.89</v>
      </c>
      <c r="D12" s="100">
        <v>5.42</v>
      </c>
      <c r="E12" s="100">
        <v>3.88</v>
      </c>
      <c r="F12" s="100">
        <v>5.19</v>
      </c>
      <c r="G12" s="100">
        <v>71.48</v>
      </c>
      <c r="H12" s="100">
        <v>30.8</v>
      </c>
      <c r="I12" s="100">
        <v>8.16</v>
      </c>
      <c r="J12" s="100">
        <v>0.15</v>
      </c>
      <c r="K12" s="100">
        <v>152.35</v>
      </c>
      <c r="L12" s="100">
        <v>31.15</v>
      </c>
      <c r="M12" s="100">
        <v>47.99</v>
      </c>
      <c r="N12" s="100">
        <v>1.4</v>
      </c>
      <c r="O12" s="100">
        <v>0</v>
      </c>
      <c r="P12" s="100">
        <v>0.53</v>
      </c>
      <c r="Q12" s="100">
        <v>9.94</v>
      </c>
      <c r="R12" s="6"/>
      <c r="S12" s="6"/>
      <c r="T12" s="156"/>
      <c r="U12" s="6"/>
    </row>
    <row r="13" spans="1:21" customFormat="1">
      <c r="A13" s="163" t="s">
        <v>916</v>
      </c>
      <c r="B13" s="100">
        <v>4.3099999999999996</v>
      </c>
      <c r="C13" s="100">
        <v>9.9499999999999993</v>
      </c>
      <c r="D13" s="100">
        <v>5.64</v>
      </c>
      <c r="E13" s="100">
        <v>4.09</v>
      </c>
      <c r="F13" s="100">
        <v>4.88</v>
      </c>
      <c r="G13" s="100">
        <v>68.19</v>
      </c>
      <c r="H13" s="100">
        <v>30.73</v>
      </c>
      <c r="I13" s="100">
        <v>8.6300000000000008</v>
      </c>
      <c r="J13" s="100">
        <v>0.11</v>
      </c>
      <c r="K13" s="100">
        <v>179.71</v>
      </c>
      <c r="L13" s="100">
        <v>30.64</v>
      </c>
      <c r="M13" s="100">
        <v>50.35</v>
      </c>
      <c r="N13" s="100">
        <v>1.5</v>
      </c>
      <c r="O13" s="100">
        <v>0</v>
      </c>
      <c r="P13" s="100">
        <v>0.52</v>
      </c>
      <c r="Q13" s="100">
        <v>9.93</v>
      </c>
      <c r="R13" s="6"/>
      <c r="S13" s="6"/>
      <c r="T13" s="156"/>
      <c r="U13" s="6"/>
    </row>
    <row r="14" spans="1:21" customFormat="1">
      <c r="A14" s="163" t="s">
        <v>917</v>
      </c>
      <c r="B14" s="100">
        <v>4.24</v>
      </c>
      <c r="C14" s="100">
        <v>9.73</v>
      </c>
      <c r="D14" s="100">
        <v>5.49</v>
      </c>
      <c r="E14" s="100">
        <v>3.92</v>
      </c>
      <c r="F14" s="100">
        <v>6.63</v>
      </c>
      <c r="G14" s="100">
        <v>63.88</v>
      </c>
      <c r="H14" s="100">
        <v>30.68</v>
      </c>
      <c r="I14" s="100">
        <v>8.43</v>
      </c>
      <c r="J14" s="100">
        <v>0.14000000000000001</v>
      </c>
      <c r="K14" s="100">
        <v>212.31</v>
      </c>
      <c r="L14" s="100">
        <v>30.82</v>
      </c>
      <c r="M14" s="100">
        <v>51.42</v>
      </c>
      <c r="N14" s="100">
        <v>1.2</v>
      </c>
      <c r="O14" s="100">
        <v>0</v>
      </c>
      <c r="P14" s="100">
        <v>0.51</v>
      </c>
      <c r="Q14" s="100">
        <v>9.9499999999999993</v>
      </c>
      <c r="R14" s="6"/>
      <c r="S14" s="6"/>
      <c r="T14" s="156"/>
      <c r="U14" s="6"/>
    </row>
    <row r="15" spans="1:21" customFormat="1">
      <c r="A15" s="163" t="s">
        <v>918</v>
      </c>
      <c r="B15" s="100">
        <v>4.08</v>
      </c>
      <c r="C15" s="100">
        <v>9.73</v>
      </c>
      <c r="D15" s="100">
        <v>5.65</v>
      </c>
      <c r="E15" s="100">
        <v>4.04</v>
      </c>
      <c r="F15" s="100">
        <v>6.59</v>
      </c>
      <c r="G15" s="100">
        <v>63.88</v>
      </c>
      <c r="H15" s="100">
        <v>30.68</v>
      </c>
      <c r="I15" s="100">
        <v>8.2799999999999994</v>
      </c>
      <c r="J15" s="100">
        <v>0.18</v>
      </c>
      <c r="K15" s="100">
        <v>224.4</v>
      </c>
      <c r="L15" s="100">
        <v>30.65</v>
      </c>
      <c r="M15" s="100">
        <v>53.41</v>
      </c>
      <c r="N15" s="100">
        <v>1.3</v>
      </c>
      <c r="O15" s="100">
        <v>0</v>
      </c>
      <c r="P15" s="100">
        <v>0.5</v>
      </c>
      <c r="Q15" s="100">
        <v>9.94</v>
      </c>
      <c r="R15" s="6"/>
      <c r="S15" s="6"/>
      <c r="T15" s="156"/>
      <c r="U15" s="6"/>
    </row>
    <row r="16" spans="1:21" customFormat="1">
      <c r="A16" s="163" t="s">
        <v>919</v>
      </c>
      <c r="B16" s="100">
        <v>4</v>
      </c>
      <c r="C16" s="100">
        <v>9.64</v>
      </c>
      <c r="D16" s="100">
        <v>5.64</v>
      </c>
      <c r="E16" s="100">
        <v>4.3099999999999996</v>
      </c>
      <c r="F16" s="100">
        <v>5.68</v>
      </c>
      <c r="G16" s="100">
        <v>63.88</v>
      </c>
      <c r="H16" s="100">
        <v>30.68</v>
      </c>
      <c r="I16" s="100">
        <v>8.0399999999999991</v>
      </c>
      <c r="J16" s="100">
        <v>0.27</v>
      </c>
      <c r="K16" s="100">
        <v>250.84</v>
      </c>
      <c r="L16" s="100">
        <v>30.75</v>
      </c>
      <c r="M16" s="100">
        <v>54.19</v>
      </c>
      <c r="N16" s="100">
        <v>1.1000000000000001</v>
      </c>
      <c r="O16" s="100">
        <v>0</v>
      </c>
      <c r="P16" s="100">
        <v>0.49</v>
      </c>
      <c r="Q16" s="100">
        <v>9.94</v>
      </c>
      <c r="R16" s="6"/>
      <c r="S16" s="6"/>
      <c r="T16" s="156"/>
      <c r="U16" s="6"/>
    </row>
    <row r="17" spans="1:21" customFormat="1">
      <c r="A17" s="163" t="s">
        <v>920</v>
      </c>
      <c r="B17" s="100">
        <v>3.95</v>
      </c>
      <c r="C17" s="100">
        <v>9.5</v>
      </c>
      <c r="D17" s="100">
        <v>5.55</v>
      </c>
      <c r="E17" s="100">
        <v>4.03</v>
      </c>
      <c r="F17" s="100">
        <v>6.18</v>
      </c>
      <c r="G17" s="100">
        <v>63.9</v>
      </c>
      <c r="H17" s="100">
        <v>27.8</v>
      </c>
      <c r="I17" s="100">
        <v>7.88</v>
      </c>
      <c r="J17" s="100">
        <v>0.28000000000000003</v>
      </c>
      <c r="K17" s="100">
        <v>250.21</v>
      </c>
      <c r="L17" s="100">
        <v>30.59</v>
      </c>
      <c r="M17" s="100">
        <v>55.73</v>
      </c>
      <c r="N17" s="100">
        <v>1.3</v>
      </c>
      <c r="O17" s="100">
        <v>0</v>
      </c>
      <c r="P17" s="100">
        <v>0.48</v>
      </c>
      <c r="Q17" s="100">
        <v>9.94</v>
      </c>
      <c r="R17" s="6"/>
      <c r="S17" s="6"/>
      <c r="T17" s="156"/>
      <c r="U17" s="6"/>
    </row>
    <row r="18" spans="1:21" customFormat="1">
      <c r="A18" s="163" t="s">
        <v>921</v>
      </c>
      <c r="B18" s="100">
        <v>3.91</v>
      </c>
      <c r="C18" s="100">
        <v>9.1999999999999993</v>
      </c>
      <c r="D18" s="100">
        <v>5.29</v>
      </c>
      <c r="E18" s="100">
        <v>5.13</v>
      </c>
      <c r="F18" s="100">
        <v>4.87</v>
      </c>
      <c r="G18" s="100">
        <v>63.93</v>
      </c>
      <c r="H18" s="100">
        <v>25.81</v>
      </c>
      <c r="I18" s="100">
        <v>7.68</v>
      </c>
      <c r="J18" s="100">
        <v>0.35</v>
      </c>
      <c r="K18" s="100">
        <v>256.95999999999998</v>
      </c>
      <c r="L18" s="100">
        <v>30.67</v>
      </c>
      <c r="M18" s="100">
        <v>55.63</v>
      </c>
      <c r="N18" s="100">
        <v>1.2</v>
      </c>
      <c r="O18" s="100">
        <v>0</v>
      </c>
      <c r="P18" s="100">
        <v>0.47</v>
      </c>
      <c r="Q18" s="100">
        <v>9.94</v>
      </c>
      <c r="R18" s="6"/>
      <c r="S18" s="6"/>
      <c r="T18" s="156"/>
      <c r="U18" s="6"/>
    </row>
    <row r="19" spans="1:21" customFormat="1">
      <c r="A19" s="163" t="s">
        <v>922</v>
      </c>
      <c r="B19" s="100">
        <v>3.86</v>
      </c>
      <c r="C19" s="100">
        <v>9.17</v>
      </c>
      <c r="D19" s="100">
        <v>5.31</v>
      </c>
      <c r="E19" s="100">
        <v>4.91</v>
      </c>
      <c r="F19" s="100">
        <v>5.94</v>
      </c>
      <c r="G19" s="100">
        <v>63.93</v>
      </c>
      <c r="H19" s="100">
        <v>25.81</v>
      </c>
      <c r="I19" s="100">
        <v>7.49</v>
      </c>
      <c r="J19" s="100">
        <v>0.33</v>
      </c>
      <c r="K19" s="100">
        <v>250.49</v>
      </c>
      <c r="L19" s="100">
        <v>30.5</v>
      </c>
      <c r="M19" s="100">
        <v>56.21</v>
      </c>
      <c r="N19" s="100">
        <v>1.5</v>
      </c>
      <c r="O19" s="100">
        <v>0</v>
      </c>
      <c r="P19" s="100">
        <v>0.46</v>
      </c>
      <c r="Q19" s="100">
        <v>9.94</v>
      </c>
      <c r="R19" s="6"/>
      <c r="S19" s="6"/>
      <c r="T19" s="156"/>
      <c r="U19" s="6"/>
    </row>
    <row r="20" spans="1:21" customFormat="1">
      <c r="A20" s="163" t="s">
        <v>923</v>
      </c>
      <c r="B20" s="100">
        <v>3.84</v>
      </c>
      <c r="C20" s="100">
        <v>9.11</v>
      </c>
      <c r="D20" s="100">
        <v>5.27</v>
      </c>
      <c r="E20" s="100">
        <v>5.0199999999999996</v>
      </c>
      <c r="F20" s="100">
        <v>5.85</v>
      </c>
      <c r="G20" s="100">
        <v>63.93</v>
      </c>
      <c r="H20" s="100">
        <v>25.81</v>
      </c>
      <c r="I20" s="100">
        <v>7.38</v>
      </c>
      <c r="J20" s="100">
        <v>0.23</v>
      </c>
      <c r="K20" s="100">
        <v>231.7</v>
      </c>
      <c r="L20" s="100">
        <v>30.46</v>
      </c>
      <c r="M20" s="100">
        <v>56.58</v>
      </c>
      <c r="N20" s="100">
        <v>1.5</v>
      </c>
      <c r="O20" s="100">
        <v>0</v>
      </c>
      <c r="P20" s="100">
        <v>0.46</v>
      </c>
      <c r="Q20" s="100">
        <v>9.9499999999999993</v>
      </c>
      <c r="R20" s="6"/>
      <c r="S20" s="6"/>
      <c r="T20" s="156"/>
      <c r="U20" s="6"/>
    </row>
    <row r="21" spans="1:21" customFormat="1">
      <c r="A21" s="163" t="s">
        <v>924</v>
      </c>
      <c r="B21" s="100">
        <v>3.83</v>
      </c>
      <c r="C21" s="100">
        <v>9.1300000000000008</v>
      </c>
      <c r="D21" s="100">
        <v>5.29</v>
      </c>
      <c r="E21" s="100">
        <v>4.83</v>
      </c>
      <c r="F21" s="100">
        <v>5.4</v>
      </c>
      <c r="G21" s="100">
        <v>64.23</v>
      </c>
      <c r="H21" s="100">
        <v>31</v>
      </c>
      <c r="I21" s="100">
        <v>7.2</v>
      </c>
      <c r="J21" s="100">
        <v>0.23</v>
      </c>
      <c r="K21" s="100">
        <v>242.45</v>
      </c>
      <c r="L21" s="100">
        <v>30.29</v>
      </c>
      <c r="M21" s="100">
        <v>57.09</v>
      </c>
      <c r="N21" s="100">
        <v>1.5</v>
      </c>
      <c r="O21" s="100">
        <v>0</v>
      </c>
      <c r="P21" s="100">
        <v>0.45</v>
      </c>
      <c r="Q21" s="100">
        <v>9.9600000000000009</v>
      </c>
      <c r="R21" s="6"/>
      <c r="S21" s="6"/>
      <c r="T21" s="156"/>
      <c r="U21" s="6"/>
    </row>
    <row r="22" spans="1:21" customFormat="1">
      <c r="A22" s="163" t="s">
        <v>925</v>
      </c>
      <c r="B22" s="100">
        <v>3.81</v>
      </c>
      <c r="C22" s="100">
        <v>9.02</v>
      </c>
      <c r="D22" s="100">
        <v>5.21</v>
      </c>
      <c r="E22" s="100">
        <v>5.26</v>
      </c>
      <c r="F22" s="100">
        <v>4.95</v>
      </c>
      <c r="G22" s="100">
        <v>64.62</v>
      </c>
      <c r="H22" s="100">
        <v>34.590000000000003</v>
      </c>
      <c r="I22" s="100">
        <v>7.06</v>
      </c>
      <c r="J22" s="100">
        <v>0.15</v>
      </c>
      <c r="K22" s="100">
        <v>220.65</v>
      </c>
      <c r="L22" s="100">
        <v>30.23</v>
      </c>
      <c r="M22" s="100">
        <v>57.1</v>
      </c>
      <c r="N22" s="100">
        <v>1.5</v>
      </c>
      <c r="O22" s="100">
        <v>0</v>
      </c>
      <c r="P22" s="100">
        <v>0.45</v>
      </c>
      <c r="Q22" s="100">
        <v>9.93</v>
      </c>
      <c r="R22" s="6"/>
      <c r="S22" s="6"/>
      <c r="T22" s="156"/>
      <c r="U22" s="6"/>
    </row>
    <row r="23" spans="1:21" customFormat="1">
      <c r="A23" s="163" t="s">
        <v>926</v>
      </c>
      <c r="B23" s="100">
        <v>3.83</v>
      </c>
      <c r="C23" s="100">
        <v>8.91</v>
      </c>
      <c r="D23" s="100">
        <v>5.07</v>
      </c>
      <c r="E23" s="100">
        <v>5.0199999999999996</v>
      </c>
      <c r="F23" s="100">
        <v>4.95</v>
      </c>
      <c r="G23" s="100">
        <v>64.62</v>
      </c>
      <c r="H23" s="100">
        <v>34.590000000000003</v>
      </c>
      <c r="I23" s="100">
        <v>6.94</v>
      </c>
      <c r="J23" s="100">
        <v>0.18</v>
      </c>
      <c r="K23" s="100">
        <v>196.95</v>
      </c>
      <c r="L23" s="100">
        <v>29.98</v>
      </c>
      <c r="M23" s="100">
        <v>58.11</v>
      </c>
      <c r="N23" s="100">
        <v>1.6</v>
      </c>
      <c r="O23" s="100">
        <v>0</v>
      </c>
      <c r="P23" s="100">
        <v>0.45</v>
      </c>
      <c r="Q23" s="100">
        <v>9.93</v>
      </c>
      <c r="R23" s="6"/>
      <c r="S23" s="6"/>
      <c r="T23" s="156"/>
      <c r="U23" s="6"/>
    </row>
    <row r="24" spans="1:21" customFormat="1">
      <c r="A24" s="163" t="s">
        <v>927</v>
      </c>
      <c r="B24" s="100">
        <v>3.83</v>
      </c>
      <c r="C24" s="100">
        <v>8.82</v>
      </c>
      <c r="D24" s="100">
        <v>4.99</v>
      </c>
      <c r="E24" s="100">
        <v>5.4</v>
      </c>
      <c r="F24" s="100">
        <v>4.63</v>
      </c>
      <c r="G24" s="100">
        <v>64.62</v>
      </c>
      <c r="H24" s="100">
        <v>34.590000000000003</v>
      </c>
      <c r="I24" s="100">
        <v>6.85</v>
      </c>
      <c r="J24" s="100">
        <v>0.11</v>
      </c>
      <c r="K24" s="100">
        <v>232.09</v>
      </c>
      <c r="L24" s="100">
        <v>29.84</v>
      </c>
      <c r="M24" s="100">
        <v>58.9</v>
      </c>
      <c r="N24" s="100">
        <v>1.5</v>
      </c>
      <c r="O24" s="100">
        <v>0</v>
      </c>
      <c r="P24" s="100">
        <v>0.45</v>
      </c>
      <c r="Q24" s="100">
        <v>9.93</v>
      </c>
      <c r="R24" s="6"/>
      <c r="S24" s="6"/>
      <c r="T24" s="156"/>
      <c r="U24" s="6"/>
    </row>
    <row r="25" spans="1:21" customFormat="1">
      <c r="A25" s="163" t="s">
        <v>928</v>
      </c>
      <c r="B25" s="100">
        <v>3.85</v>
      </c>
      <c r="C25" s="100">
        <v>8.9</v>
      </c>
      <c r="D25" s="100">
        <v>5.05</v>
      </c>
      <c r="E25" s="100">
        <v>5.36</v>
      </c>
      <c r="F25" s="100">
        <v>4.5199999999999996</v>
      </c>
      <c r="G25" s="100">
        <v>61.52</v>
      </c>
      <c r="H25" s="100">
        <v>33.92</v>
      </c>
      <c r="I25" s="100">
        <v>6.74</v>
      </c>
      <c r="J25" s="100">
        <v>0.14000000000000001</v>
      </c>
      <c r="K25" s="100">
        <v>187.25</v>
      </c>
      <c r="L25" s="100">
        <v>29.62</v>
      </c>
      <c r="M25" s="100">
        <v>60.33</v>
      </c>
      <c r="N25" s="100">
        <v>1.6</v>
      </c>
      <c r="O25" s="100">
        <v>0</v>
      </c>
      <c r="P25" s="100">
        <v>0.45</v>
      </c>
      <c r="Q25" s="100">
        <v>9.93</v>
      </c>
      <c r="R25" s="6"/>
      <c r="S25" s="6"/>
      <c r="T25" s="156"/>
      <c r="U25" s="6"/>
    </row>
    <row r="26" spans="1:21" customFormat="1">
      <c r="A26" s="163" t="s">
        <v>929</v>
      </c>
      <c r="B26" s="100">
        <v>3.86</v>
      </c>
      <c r="C26" s="100">
        <v>8.82</v>
      </c>
      <c r="D26" s="100">
        <v>4.96</v>
      </c>
      <c r="E26" s="100">
        <v>5.28</v>
      </c>
      <c r="F26" s="100">
        <v>4.26</v>
      </c>
      <c r="G26" s="100">
        <v>57.48</v>
      </c>
      <c r="H26" s="100">
        <v>33.450000000000003</v>
      </c>
      <c r="I26" s="100">
        <v>6.63</v>
      </c>
      <c r="J26" s="100">
        <v>0.1</v>
      </c>
      <c r="K26" s="100">
        <v>208.9</v>
      </c>
      <c r="L26" s="100">
        <v>29.54</v>
      </c>
      <c r="M26" s="100">
        <v>61.41</v>
      </c>
      <c r="N26" s="100">
        <v>1.4</v>
      </c>
      <c r="O26" s="100">
        <v>0</v>
      </c>
      <c r="P26" s="100">
        <v>0.44</v>
      </c>
      <c r="Q26" s="100">
        <v>9.93</v>
      </c>
      <c r="R26" s="6"/>
      <c r="S26" s="6"/>
      <c r="T26" s="156"/>
      <c r="U26" s="6"/>
    </row>
    <row r="27" spans="1:21" customFormat="1">
      <c r="A27" s="163" t="s">
        <v>930</v>
      </c>
      <c r="B27" s="100">
        <v>3.85</v>
      </c>
      <c r="C27" s="100">
        <v>8.83</v>
      </c>
      <c r="D27" s="100">
        <v>4.9800000000000004</v>
      </c>
      <c r="E27" s="100">
        <v>5.19</v>
      </c>
      <c r="F27" s="100">
        <v>3.8</v>
      </c>
      <c r="G27" s="100">
        <v>57.48</v>
      </c>
      <c r="H27" s="100">
        <v>33.450000000000003</v>
      </c>
      <c r="I27" s="100">
        <v>6.57</v>
      </c>
      <c r="J27" s="100">
        <v>0.12</v>
      </c>
      <c r="K27" s="100">
        <v>159.44</v>
      </c>
      <c r="L27" s="100">
        <v>29.5</v>
      </c>
      <c r="M27" s="100">
        <v>62.02</v>
      </c>
      <c r="N27" s="100">
        <v>1.6</v>
      </c>
      <c r="O27" s="100">
        <v>0</v>
      </c>
      <c r="P27" s="100">
        <v>0.44</v>
      </c>
      <c r="Q27" s="100">
        <v>9.93</v>
      </c>
      <c r="R27" s="6"/>
      <c r="S27" s="6"/>
      <c r="T27" s="156"/>
      <c r="U27" s="6"/>
    </row>
    <row r="28" spans="1:21" customFormat="1">
      <c r="A28" s="163" t="s">
        <v>931</v>
      </c>
      <c r="B28" s="100">
        <v>3.87</v>
      </c>
      <c r="C28" s="100">
        <v>8.83</v>
      </c>
      <c r="D28" s="100">
        <v>4.97</v>
      </c>
      <c r="E28" s="100">
        <v>5.51</v>
      </c>
      <c r="F28" s="100">
        <v>4.1900000000000004</v>
      </c>
      <c r="G28" s="100">
        <v>57.48</v>
      </c>
      <c r="H28" s="100">
        <v>33.450000000000003</v>
      </c>
      <c r="I28" s="100">
        <v>6.47</v>
      </c>
      <c r="J28" s="100">
        <v>0.11</v>
      </c>
      <c r="K28" s="100">
        <v>221.45</v>
      </c>
      <c r="L28" s="100">
        <v>29.28</v>
      </c>
      <c r="M28" s="100">
        <v>63.33</v>
      </c>
      <c r="N28" s="100">
        <v>1.4</v>
      </c>
      <c r="O28" s="100">
        <v>0</v>
      </c>
      <c r="P28" s="100">
        <v>0.43</v>
      </c>
      <c r="Q28" s="100">
        <v>9.94</v>
      </c>
      <c r="R28" s="6"/>
      <c r="S28" s="6"/>
      <c r="T28" s="156"/>
      <c r="U28" s="6"/>
    </row>
    <row r="29" spans="1:21" customFormat="1">
      <c r="A29" s="163" t="s">
        <v>932</v>
      </c>
      <c r="B29" s="100">
        <v>3.88</v>
      </c>
      <c r="C29" s="100">
        <v>8.89</v>
      </c>
      <c r="D29" s="100">
        <v>5.01</v>
      </c>
      <c r="E29" s="100">
        <v>5.47</v>
      </c>
      <c r="F29" s="100">
        <v>4.1399999999999997</v>
      </c>
      <c r="G29" s="100">
        <v>56.63</v>
      </c>
      <c r="H29" s="100">
        <v>31.77</v>
      </c>
      <c r="I29" s="100">
        <v>6.36</v>
      </c>
      <c r="J29" s="100">
        <v>0.24</v>
      </c>
      <c r="K29" s="100">
        <v>236.34</v>
      </c>
      <c r="L29" s="100">
        <v>29.45</v>
      </c>
      <c r="M29" s="100">
        <v>63.01</v>
      </c>
      <c r="N29" s="100">
        <v>1.6</v>
      </c>
      <c r="O29" s="100">
        <v>0</v>
      </c>
      <c r="P29" s="100">
        <v>0.43</v>
      </c>
      <c r="Q29" s="100">
        <v>9.92</v>
      </c>
      <c r="R29" s="6"/>
      <c r="S29" s="6"/>
      <c r="T29" s="156"/>
      <c r="U29" s="6"/>
    </row>
    <row r="30" spans="1:21" customFormat="1">
      <c r="A30" s="163" t="s">
        <v>933</v>
      </c>
      <c r="B30" s="100">
        <v>3.89</v>
      </c>
      <c r="C30" s="100">
        <v>8.9600000000000009</v>
      </c>
      <c r="D30" s="100">
        <v>5.07</v>
      </c>
      <c r="E30" s="100">
        <v>5.59</v>
      </c>
      <c r="F30" s="100">
        <v>3.92</v>
      </c>
      <c r="G30" s="100">
        <v>55.53</v>
      </c>
      <c r="H30" s="100">
        <v>30.61</v>
      </c>
      <c r="I30" s="100">
        <v>6.28</v>
      </c>
      <c r="J30" s="100">
        <v>0.2</v>
      </c>
      <c r="K30" s="100">
        <v>190.42</v>
      </c>
      <c r="L30" s="100">
        <v>29.46</v>
      </c>
      <c r="M30" s="100">
        <v>64.36</v>
      </c>
      <c r="N30" s="100">
        <v>4.5</v>
      </c>
      <c r="O30" s="100">
        <v>0</v>
      </c>
      <c r="P30" s="100">
        <v>0.41</v>
      </c>
      <c r="Q30" s="100">
        <v>9.92</v>
      </c>
      <c r="R30" s="6"/>
      <c r="S30" s="6"/>
      <c r="T30" s="156"/>
      <c r="U30" s="6"/>
    </row>
    <row r="31" spans="1:21" customFormat="1">
      <c r="A31" s="163" t="s">
        <v>934</v>
      </c>
      <c r="B31" s="100">
        <v>3.94</v>
      </c>
      <c r="C31" s="100">
        <v>8.93</v>
      </c>
      <c r="D31" s="100">
        <v>4.99</v>
      </c>
      <c r="E31" s="100">
        <v>5.56</v>
      </c>
      <c r="F31" s="100">
        <v>5.07</v>
      </c>
      <c r="G31" s="100">
        <v>55.53</v>
      </c>
      <c r="H31" s="100">
        <v>30.61</v>
      </c>
      <c r="I31" s="100">
        <v>6.17</v>
      </c>
      <c r="J31" s="100">
        <v>0.16</v>
      </c>
      <c r="K31" s="100">
        <v>174.32</v>
      </c>
      <c r="L31" s="100">
        <v>28.94</v>
      </c>
      <c r="M31" s="100">
        <v>66.989999999999995</v>
      </c>
      <c r="N31" s="100">
        <v>10.4</v>
      </c>
      <c r="O31" s="100">
        <v>0</v>
      </c>
      <c r="P31" s="100">
        <v>0.43</v>
      </c>
      <c r="Q31" s="100">
        <v>9.92</v>
      </c>
      <c r="R31" s="6"/>
      <c r="S31" s="6"/>
      <c r="T31" s="156"/>
      <c r="U31" s="6"/>
    </row>
    <row r="32" spans="1:21" customFormat="1">
      <c r="A32" s="163" t="s">
        <v>935</v>
      </c>
      <c r="B32" s="100">
        <v>3.97</v>
      </c>
      <c r="C32" s="100">
        <v>8.9499999999999993</v>
      </c>
      <c r="D32" s="100">
        <v>4.9800000000000004</v>
      </c>
      <c r="E32" s="100">
        <v>5.12</v>
      </c>
      <c r="F32" s="100">
        <v>9.9600000000000009</v>
      </c>
      <c r="G32" s="100">
        <v>55.53</v>
      </c>
      <c r="H32" s="100">
        <v>30.61</v>
      </c>
      <c r="I32" s="100">
        <v>6.06</v>
      </c>
      <c r="J32" s="100">
        <v>0.16</v>
      </c>
      <c r="K32" s="100">
        <v>181.46</v>
      </c>
      <c r="L32" s="100">
        <v>28.81</v>
      </c>
      <c r="M32" s="100">
        <v>68.38</v>
      </c>
      <c r="N32" s="100">
        <v>21.8</v>
      </c>
      <c r="O32" s="100">
        <v>0</v>
      </c>
      <c r="P32" s="100">
        <v>0.45</v>
      </c>
      <c r="Q32" s="100">
        <v>9.93</v>
      </c>
      <c r="R32" s="6"/>
      <c r="S32" s="6"/>
      <c r="T32" s="156"/>
      <c r="U32" s="6"/>
    </row>
    <row r="33" spans="1:21" customFormat="1">
      <c r="A33" s="163" t="s">
        <v>936</v>
      </c>
      <c r="B33" s="100">
        <v>4.07</v>
      </c>
      <c r="C33" s="100">
        <v>8.5</v>
      </c>
      <c r="D33" s="100">
        <v>4.43</v>
      </c>
      <c r="E33" s="100">
        <v>5.25</v>
      </c>
      <c r="F33" s="100">
        <v>9.65</v>
      </c>
      <c r="G33" s="100">
        <v>54.92</v>
      </c>
      <c r="H33" s="100">
        <v>31.86</v>
      </c>
      <c r="I33" s="100">
        <v>5.96</v>
      </c>
      <c r="J33" s="100">
        <v>0.21</v>
      </c>
      <c r="K33" s="100">
        <v>157.61000000000001</v>
      </c>
      <c r="L33" s="100">
        <v>28.92</v>
      </c>
      <c r="M33" s="100">
        <v>69.11</v>
      </c>
      <c r="N33" s="100">
        <v>34.799999999999997</v>
      </c>
      <c r="O33" s="100">
        <v>0</v>
      </c>
      <c r="P33" s="100">
        <v>0.45</v>
      </c>
      <c r="Q33" s="100">
        <v>9.94</v>
      </c>
      <c r="R33" s="6"/>
      <c r="S33" s="6"/>
      <c r="T33" s="156"/>
      <c r="U33" s="6"/>
    </row>
    <row r="34" spans="1:21" customFormat="1">
      <c r="A34" s="163" t="s">
        <v>937</v>
      </c>
      <c r="B34" s="100">
        <v>4.2</v>
      </c>
      <c r="C34" s="100">
        <v>8.73</v>
      </c>
      <c r="D34" s="100">
        <v>4.5199999999999996</v>
      </c>
      <c r="E34" s="100">
        <v>5.22</v>
      </c>
      <c r="F34" s="100">
        <v>7.59</v>
      </c>
      <c r="G34" s="100">
        <v>54.11</v>
      </c>
      <c r="H34" s="100">
        <v>34.119999999999997</v>
      </c>
      <c r="I34" s="100">
        <v>5.74</v>
      </c>
      <c r="J34" s="100">
        <v>0.22</v>
      </c>
      <c r="K34" s="100">
        <v>159.41999999999999</v>
      </c>
      <c r="L34" s="100">
        <v>29.28</v>
      </c>
      <c r="M34" s="100">
        <v>68.73</v>
      </c>
      <c r="N34" s="100">
        <v>49.2</v>
      </c>
      <c r="O34" s="100">
        <v>0</v>
      </c>
      <c r="P34" s="100">
        <v>0.47</v>
      </c>
      <c r="Q34" s="100">
        <v>9.93</v>
      </c>
      <c r="R34" s="6"/>
      <c r="S34" s="6"/>
      <c r="T34" s="156"/>
      <c r="U34" s="6"/>
    </row>
    <row r="35" spans="1:21" customFormat="1">
      <c r="A35" s="163" t="s">
        <v>938</v>
      </c>
      <c r="B35" s="100">
        <v>4.3</v>
      </c>
      <c r="C35" s="100">
        <v>8.5299999999999994</v>
      </c>
      <c r="D35" s="100">
        <v>4.2300000000000004</v>
      </c>
      <c r="E35" s="100">
        <v>5</v>
      </c>
      <c r="F35" s="100">
        <v>10.74</v>
      </c>
      <c r="G35" s="100">
        <v>54.11</v>
      </c>
      <c r="H35" s="100">
        <v>34.119999999999997</v>
      </c>
      <c r="I35" s="100">
        <v>5.83</v>
      </c>
      <c r="J35" s="100">
        <v>0.25</v>
      </c>
      <c r="K35" s="100">
        <v>124.43</v>
      </c>
      <c r="L35" s="100">
        <v>29.82</v>
      </c>
      <c r="M35" s="100">
        <v>66.260000000000005</v>
      </c>
      <c r="N35" s="100">
        <v>62.5</v>
      </c>
      <c r="O35" s="100">
        <v>0</v>
      </c>
      <c r="P35" s="100">
        <v>0.47</v>
      </c>
      <c r="Q35" s="100">
        <v>9.94</v>
      </c>
      <c r="R35" s="6"/>
      <c r="S35" s="6"/>
      <c r="T35" s="156"/>
      <c r="U35" s="6"/>
    </row>
    <row r="36" spans="1:21" customFormat="1">
      <c r="A36" s="163" t="s">
        <v>939</v>
      </c>
      <c r="B36" s="100">
        <v>4.3600000000000003</v>
      </c>
      <c r="C36" s="100">
        <v>8.09</v>
      </c>
      <c r="D36" s="100">
        <v>3.73</v>
      </c>
      <c r="E36" s="100">
        <v>4.6900000000000004</v>
      </c>
      <c r="F36" s="100">
        <v>7.92</v>
      </c>
      <c r="G36" s="100">
        <v>54.11</v>
      </c>
      <c r="H36" s="100">
        <v>34.119999999999997</v>
      </c>
      <c r="I36" s="100">
        <v>6.06</v>
      </c>
      <c r="J36" s="100">
        <v>0.15</v>
      </c>
      <c r="K36" s="100">
        <v>235.33</v>
      </c>
      <c r="L36" s="100">
        <v>30.33</v>
      </c>
      <c r="M36" s="100">
        <v>64.77</v>
      </c>
      <c r="N36" s="100">
        <v>75.2</v>
      </c>
      <c r="O36" s="100">
        <v>0</v>
      </c>
      <c r="P36" s="100">
        <v>0.46</v>
      </c>
      <c r="Q36" s="100">
        <v>9.93</v>
      </c>
      <c r="R36" s="6"/>
      <c r="S36" s="6"/>
      <c r="T36" s="156"/>
      <c r="U36" s="6"/>
    </row>
    <row r="37" spans="1:21" customFormat="1">
      <c r="A37" s="163" t="s">
        <v>940</v>
      </c>
      <c r="B37" s="100">
        <v>4.33</v>
      </c>
      <c r="C37" s="100">
        <v>8.51</v>
      </c>
      <c r="D37" s="100">
        <v>4.17</v>
      </c>
      <c r="E37" s="100">
        <v>4.78</v>
      </c>
      <c r="F37" s="100">
        <v>12.18</v>
      </c>
      <c r="G37" s="100">
        <v>51.04</v>
      </c>
      <c r="H37" s="100">
        <v>30.61</v>
      </c>
      <c r="I37" s="100">
        <v>6.23</v>
      </c>
      <c r="J37" s="100">
        <v>0.31</v>
      </c>
      <c r="K37" s="100">
        <v>252.28</v>
      </c>
      <c r="L37" s="100">
        <v>30.79</v>
      </c>
      <c r="M37" s="100">
        <v>62.45</v>
      </c>
      <c r="N37" s="100">
        <v>87.9</v>
      </c>
      <c r="O37" s="100">
        <v>0</v>
      </c>
      <c r="P37" s="100">
        <v>0.46</v>
      </c>
      <c r="Q37" s="100">
        <v>9.94</v>
      </c>
      <c r="R37" s="6"/>
      <c r="S37" s="6"/>
      <c r="T37" s="156"/>
      <c r="U37" s="6"/>
    </row>
    <row r="38" spans="1:21" customFormat="1">
      <c r="A38" s="163" t="s">
        <v>941</v>
      </c>
      <c r="B38" s="100">
        <v>4.3600000000000003</v>
      </c>
      <c r="C38" s="100">
        <v>8.1300000000000008</v>
      </c>
      <c r="D38" s="100">
        <v>3.77</v>
      </c>
      <c r="E38" s="100">
        <v>5.37</v>
      </c>
      <c r="F38" s="100">
        <v>8.6</v>
      </c>
      <c r="G38" s="100">
        <v>47.2</v>
      </c>
      <c r="H38" s="100">
        <v>28.18</v>
      </c>
      <c r="I38" s="100">
        <v>6.26</v>
      </c>
      <c r="J38" s="100">
        <v>0.51</v>
      </c>
      <c r="K38" s="100">
        <v>249.27</v>
      </c>
      <c r="L38" s="100">
        <v>31.24</v>
      </c>
      <c r="M38" s="100">
        <v>60.03</v>
      </c>
      <c r="N38" s="100">
        <v>99.7</v>
      </c>
      <c r="O38" s="100">
        <v>0</v>
      </c>
      <c r="P38" s="100">
        <v>0.45</v>
      </c>
      <c r="Q38" s="100">
        <v>9.9499999999999993</v>
      </c>
      <c r="R38" s="6"/>
      <c r="S38" s="6"/>
      <c r="T38" s="156"/>
      <c r="U38" s="6"/>
    </row>
    <row r="39" spans="1:21" customFormat="1">
      <c r="A39" s="163" t="s">
        <v>942</v>
      </c>
      <c r="B39" s="100">
        <v>4.34</v>
      </c>
      <c r="C39" s="100">
        <v>7.74</v>
      </c>
      <c r="D39" s="100">
        <v>3.4</v>
      </c>
      <c r="E39" s="100">
        <v>5.16</v>
      </c>
      <c r="F39" s="100">
        <v>8.39</v>
      </c>
      <c r="G39" s="100">
        <v>47.2</v>
      </c>
      <c r="H39" s="100">
        <v>28.18</v>
      </c>
      <c r="I39" s="100">
        <v>6.14</v>
      </c>
      <c r="J39" s="100">
        <v>0.56000000000000005</v>
      </c>
      <c r="K39" s="100">
        <v>247.53</v>
      </c>
      <c r="L39" s="100">
        <v>31.63</v>
      </c>
      <c r="M39" s="100">
        <v>57.75</v>
      </c>
      <c r="N39" s="100">
        <v>106.8</v>
      </c>
      <c r="O39" s="100">
        <v>0</v>
      </c>
      <c r="P39" s="100">
        <v>0.44</v>
      </c>
      <c r="Q39" s="100">
        <v>9.93</v>
      </c>
      <c r="R39" s="6"/>
      <c r="S39" s="6"/>
      <c r="T39" s="156"/>
      <c r="U39" s="6"/>
    </row>
    <row r="40" spans="1:21" customFormat="1">
      <c r="A40" s="163" t="s">
        <v>943</v>
      </c>
      <c r="B40" s="100">
        <v>4.29</v>
      </c>
      <c r="C40" s="100">
        <v>7.57</v>
      </c>
      <c r="D40" s="100">
        <v>3.28</v>
      </c>
      <c r="E40" s="100">
        <v>5.1100000000000003</v>
      </c>
      <c r="F40" s="100">
        <v>11.43</v>
      </c>
      <c r="G40" s="100">
        <v>47.2</v>
      </c>
      <c r="H40" s="100">
        <v>28.18</v>
      </c>
      <c r="I40" s="100">
        <v>6.19</v>
      </c>
      <c r="J40" s="100">
        <v>0.63</v>
      </c>
      <c r="K40" s="100">
        <v>269.08999999999997</v>
      </c>
      <c r="L40" s="100">
        <v>32.200000000000003</v>
      </c>
      <c r="M40" s="100">
        <v>55.71</v>
      </c>
      <c r="N40" s="100">
        <v>113.1</v>
      </c>
      <c r="O40" s="100">
        <v>0</v>
      </c>
      <c r="P40" s="100">
        <v>0.42</v>
      </c>
      <c r="Q40" s="100">
        <v>9.9499999999999993</v>
      </c>
      <c r="R40" s="6"/>
      <c r="S40" s="6"/>
      <c r="T40" s="156"/>
      <c r="U40" s="6"/>
    </row>
    <row r="41" spans="1:21" customFormat="1">
      <c r="A41" s="163" t="s">
        <v>944</v>
      </c>
      <c r="B41" s="100">
        <v>4.24</v>
      </c>
      <c r="C41" s="100">
        <v>7.72</v>
      </c>
      <c r="D41" s="100">
        <v>3.48</v>
      </c>
      <c r="E41" s="100">
        <v>4.72</v>
      </c>
      <c r="F41" s="100">
        <v>7.09</v>
      </c>
      <c r="G41" s="100">
        <v>46.98</v>
      </c>
      <c r="H41" s="100">
        <v>27.94</v>
      </c>
      <c r="I41" s="100">
        <v>6.21</v>
      </c>
      <c r="J41" s="100">
        <v>0.82</v>
      </c>
      <c r="K41" s="100">
        <v>263.5</v>
      </c>
      <c r="L41" s="100">
        <v>32.340000000000003</v>
      </c>
      <c r="M41" s="100">
        <v>54.54</v>
      </c>
      <c r="N41" s="100">
        <v>119.9</v>
      </c>
      <c r="O41" s="100">
        <v>0</v>
      </c>
      <c r="P41" s="100">
        <v>0.43</v>
      </c>
      <c r="Q41" s="100">
        <v>9.9499999999999993</v>
      </c>
      <c r="R41" s="6"/>
      <c r="S41" s="6"/>
      <c r="T41" s="156"/>
      <c r="U41" s="6"/>
    </row>
    <row r="42" spans="1:21" customFormat="1">
      <c r="A42" s="163" t="s">
        <v>945</v>
      </c>
      <c r="B42" s="100">
        <v>4.1900000000000004</v>
      </c>
      <c r="C42" s="100">
        <v>8.5399999999999991</v>
      </c>
      <c r="D42" s="100">
        <v>4.3600000000000003</v>
      </c>
      <c r="E42" s="100">
        <v>5.2</v>
      </c>
      <c r="F42" s="100">
        <v>6.27</v>
      </c>
      <c r="G42" s="100">
        <v>46.71</v>
      </c>
      <c r="H42" s="100">
        <v>27.77</v>
      </c>
      <c r="I42" s="100">
        <v>6.1</v>
      </c>
      <c r="J42" s="100">
        <v>0.8</v>
      </c>
      <c r="K42" s="100">
        <v>252.69</v>
      </c>
      <c r="L42" s="100">
        <v>32.74</v>
      </c>
      <c r="M42" s="100">
        <v>53.6</v>
      </c>
      <c r="N42" s="100">
        <v>131.30000000000001</v>
      </c>
      <c r="O42" s="100">
        <v>0</v>
      </c>
      <c r="P42" s="100">
        <v>0.45</v>
      </c>
      <c r="Q42" s="100">
        <v>9.94</v>
      </c>
      <c r="R42" s="6"/>
      <c r="S42" s="6"/>
      <c r="T42" s="156"/>
      <c r="U42" s="6"/>
    </row>
    <row r="43" spans="1:21" customFormat="1">
      <c r="A43" s="163" t="s">
        <v>946</v>
      </c>
      <c r="B43" s="100">
        <v>4.13</v>
      </c>
      <c r="C43" s="100">
        <v>8.06</v>
      </c>
      <c r="D43" s="100">
        <v>3.93</v>
      </c>
      <c r="E43" s="100">
        <v>5.39</v>
      </c>
      <c r="F43" s="100">
        <v>7.4</v>
      </c>
      <c r="G43" s="100">
        <v>46.71</v>
      </c>
      <c r="H43" s="100">
        <v>27.77</v>
      </c>
      <c r="I43" s="100">
        <v>6.26</v>
      </c>
      <c r="J43" s="100">
        <v>0.85</v>
      </c>
      <c r="K43" s="100">
        <v>267.60000000000002</v>
      </c>
      <c r="L43" s="100">
        <v>33.5</v>
      </c>
      <c r="M43" s="100">
        <v>49.8</v>
      </c>
      <c r="N43" s="100">
        <v>146.69999999999999</v>
      </c>
      <c r="O43" s="100">
        <v>0</v>
      </c>
      <c r="P43" s="100">
        <v>0.46</v>
      </c>
      <c r="Q43" s="100">
        <v>9.93</v>
      </c>
      <c r="R43" s="6"/>
      <c r="S43" s="6"/>
      <c r="T43" s="156"/>
      <c r="U43" s="6"/>
    </row>
    <row r="44" spans="1:21" customFormat="1">
      <c r="A44" s="163" t="s">
        <v>947</v>
      </c>
      <c r="B44" s="100">
        <v>4.12</v>
      </c>
      <c r="C44" s="100">
        <v>8.02</v>
      </c>
      <c r="D44" s="100">
        <v>3.9</v>
      </c>
      <c r="E44" s="100">
        <v>5.93</v>
      </c>
      <c r="F44" s="100">
        <v>8.76</v>
      </c>
      <c r="G44" s="100">
        <v>46.71</v>
      </c>
      <c r="H44" s="100">
        <v>27.77</v>
      </c>
      <c r="I44" s="100">
        <v>6.36</v>
      </c>
      <c r="J44" s="100">
        <v>0.97</v>
      </c>
      <c r="K44" s="100">
        <v>265.5</v>
      </c>
      <c r="L44" s="100">
        <v>34.04</v>
      </c>
      <c r="M44" s="100">
        <v>46.81</v>
      </c>
      <c r="N44" s="100">
        <v>154.80000000000001</v>
      </c>
      <c r="O44" s="100">
        <v>0</v>
      </c>
      <c r="P44" s="100">
        <v>0.46</v>
      </c>
      <c r="Q44" s="100">
        <v>9.94</v>
      </c>
      <c r="R44" s="6"/>
      <c r="S44" s="6"/>
      <c r="T44" s="156"/>
      <c r="U44" s="6"/>
    </row>
    <row r="45" spans="1:21" customFormat="1">
      <c r="A45" s="163" t="s">
        <v>948</v>
      </c>
      <c r="B45" s="100">
        <v>4.18</v>
      </c>
      <c r="C45" s="100">
        <v>9.01</v>
      </c>
      <c r="D45" s="100">
        <v>4.83</v>
      </c>
      <c r="E45" s="100">
        <v>7.28</v>
      </c>
      <c r="F45" s="100">
        <v>14.23</v>
      </c>
      <c r="G45" s="100">
        <v>46.9</v>
      </c>
      <c r="H45" s="100">
        <v>26.96</v>
      </c>
      <c r="I45" s="100">
        <v>6.38</v>
      </c>
      <c r="J45" s="100">
        <v>0.89</v>
      </c>
      <c r="K45" s="100">
        <v>285.37</v>
      </c>
      <c r="L45" s="100">
        <v>34.729999999999997</v>
      </c>
      <c r="M45" s="100">
        <v>44.8</v>
      </c>
      <c r="N45" s="100">
        <v>159</v>
      </c>
      <c r="O45" s="100">
        <v>0</v>
      </c>
      <c r="P45" s="100">
        <v>0.5</v>
      </c>
      <c r="Q45" s="100">
        <v>9.92</v>
      </c>
      <c r="R45" s="6"/>
      <c r="S45" s="6"/>
      <c r="T45" s="156"/>
      <c r="U45" s="6"/>
    </row>
    <row r="46" spans="1:21" customFormat="1">
      <c r="A46" s="163" t="s">
        <v>949</v>
      </c>
      <c r="B46" s="100">
        <v>4.1900000000000004</v>
      </c>
      <c r="C46" s="100">
        <v>9.1999999999999993</v>
      </c>
      <c r="D46" s="100">
        <v>5.01</v>
      </c>
      <c r="E46" s="100">
        <v>7.89</v>
      </c>
      <c r="F46" s="100">
        <v>12.53</v>
      </c>
      <c r="G46" s="100">
        <v>47.16</v>
      </c>
      <c r="H46" s="100">
        <v>26.41</v>
      </c>
      <c r="I46" s="100">
        <v>6.59</v>
      </c>
      <c r="J46" s="100">
        <v>0.92</v>
      </c>
      <c r="K46" s="100">
        <v>291.17</v>
      </c>
      <c r="L46" s="100">
        <v>35.07</v>
      </c>
      <c r="M46" s="100">
        <v>43.47</v>
      </c>
      <c r="N46" s="100">
        <v>163.69999999999999</v>
      </c>
      <c r="O46" s="100">
        <v>0</v>
      </c>
      <c r="P46" s="100">
        <v>0.51</v>
      </c>
      <c r="Q46" s="100">
        <v>9.94</v>
      </c>
      <c r="R46" s="6"/>
      <c r="S46" s="6"/>
      <c r="T46" s="156"/>
      <c r="U46" s="6"/>
    </row>
    <row r="47" spans="1:21" customFormat="1">
      <c r="A47" s="163" t="s">
        <v>950</v>
      </c>
      <c r="B47" s="100">
        <v>4.2699999999999996</v>
      </c>
      <c r="C47" s="100">
        <v>10.3</v>
      </c>
      <c r="D47" s="100">
        <v>6.03</v>
      </c>
      <c r="E47" s="100">
        <v>9.1300000000000008</v>
      </c>
      <c r="F47" s="100">
        <v>15.71</v>
      </c>
      <c r="G47" s="100">
        <v>47.16</v>
      </c>
      <c r="H47" s="100">
        <v>26.41</v>
      </c>
      <c r="I47" s="100">
        <v>7.01</v>
      </c>
      <c r="J47" s="100">
        <v>0.78</v>
      </c>
      <c r="K47" s="100">
        <v>295.97000000000003</v>
      </c>
      <c r="L47" s="100">
        <v>35.76</v>
      </c>
      <c r="M47" s="100">
        <v>42.07</v>
      </c>
      <c r="N47" s="100">
        <v>166.7</v>
      </c>
      <c r="O47" s="100">
        <v>0</v>
      </c>
      <c r="P47" s="100">
        <v>0.56999999999999995</v>
      </c>
      <c r="Q47" s="100">
        <v>9.93</v>
      </c>
      <c r="R47" s="6"/>
      <c r="S47" s="6"/>
      <c r="T47" s="156"/>
      <c r="U47" s="6"/>
    </row>
    <row r="48" spans="1:21" customFormat="1">
      <c r="A48" s="163" t="s">
        <v>951</v>
      </c>
      <c r="B48" s="100">
        <v>4.25</v>
      </c>
      <c r="C48" s="100">
        <v>10.33</v>
      </c>
      <c r="D48" s="100">
        <v>6.09</v>
      </c>
      <c r="E48" s="100">
        <v>8.14</v>
      </c>
      <c r="F48" s="100">
        <v>20.34</v>
      </c>
      <c r="G48" s="100">
        <v>47.16</v>
      </c>
      <c r="H48" s="100">
        <v>26.41</v>
      </c>
      <c r="I48" s="100">
        <v>7.3</v>
      </c>
      <c r="J48" s="100">
        <v>0.86</v>
      </c>
      <c r="K48" s="100">
        <v>295.76</v>
      </c>
      <c r="L48" s="100">
        <v>36.06</v>
      </c>
      <c r="M48" s="100">
        <v>39.520000000000003</v>
      </c>
      <c r="N48" s="100">
        <v>167.6</v>
      </c>
      <c r="O48" s="100">
        <v>0</v>
      </c>
      <c r="P48" s="100">
        <v>0.53</v>
      </c>
      <c r="Q48" s="100">
        <v>9.9499999999999993</v>
      </c>
      <c r="R48" s="6"/>
      <c r="S48" s="6"/>
      <c r="T48" s="156"/>
      <c r="U48" s="6"/>
    </row>
    <row r="49" spans="1:21" customFormat="1">
      <c r="A49" s="163" t="s">
        <v>952</v>
      </c>
      <c r="B49" s="100">
        <v>4.13</v>
      </c>
      <c r="C49" s="100">
        <v>10.07</v>
      </c>
      <c r="D49" s="100">
        <v>5.94</v>
      </c>
      <c r="E49" s="100">
        <v>6.66</v>
      </c>
      <c r="F49" s="100">
        <v>22.32</v>
      </c>
      <c r="G49" s="100">
        <v>52.53</v>
      </c>
      <c r="H49" s="100">
        <v>32.33</v>
      </c>
      <c r="I49" s="100">
        <v>8.01</v>
      </c>
      <c r="J49" s="100">
        <v>0.95</v>
      </c>
      <c r="K49" s="100">
        <v>303.77</v>
      </c>
      <c r="L49" s="100">
        <v>36.409999999999997</v>
      </c>
      <c r="M49" s="100">
        <v>39.64</v>
      </c>
      <c r="N49" s="100">
        <v>169.8</v>
      </c>
      <c r="O49" s="100">
        <v>0</v>
      </c>
      <c r="P49" s="100">
        <v>0.52</v>
      </c>
      <c r="Q49" s="100">
        <v>9.9600000000000009</v>
      </c>
      <c r="R49" s="6"/>
      <c r="S49" s="6"/>
      <c r="T49" s="156"/>
      <c r="U49" s="6"/>
    </row>
    <row r="50" spans="1:21" customFormat="1">
      <c r="A50" s="163" t="s">
        <v>953</v>
      </c>
      <c r="B50" s="100">
        <v>4.0199999999999996</v>
      </c>
      <c r="C50" s="100">
        <v>9.93</v>
      </c>
      <c r="D50" s="100">
        <v>5.91</v>
      </c>
      <c r="E50" s="100">
        <v>7.39</v>
      </c>
      <c r="F50" s="100">
        <v>11.99</v>
      </c>
      <c r="G50" s="100">
        <v>59.24</v>
      </c>
      <c r="H50" s="100">
        <v>36.33</v>
      </c>
      <c r="I50" s="100">
        <v>7.39</v>
      </c>
      <c r="J50" s="100">
        <v>0.85</v>
      </c>
      <c r="K50" s="100">
        <v>304.92</v>
      </c>
      <c r="L50" s="100">
        <v>36.909999999999997</v>
      </c>
      <c r="M50" s="100">
        <v>38.28</v>
      </c>
      <c r="N50" s="100">
        <v>173.5</v>
      </c>
      <c r="O50" s="100">
        <v>0</v>
      </c>
      <c r="P50" s="100">
        <v>0.51</v>
      </c>
      <c r="Q50" s="100">
        <v>9.94</v>
      </c>
      <c r="R50" s="6"/>
      <c r="S50" s="6"/>
      <c r="T50" s="156"/>
      <c r="U50" s="6"/>
    </row>
    <row r="51" spans="1:21" customFormat="1">
      <c r="A51" s="163" t="s">
        <v>954</v>
      </c>
      <c r="B51" s="100">
        <v>3.87</v>
      </c>
      <c r="C51" s="100">
        <v>10.08</v>
      </c>
      <c r="D51" s="100">
        <v>6.21</v>
      </c>
      <c r="E51" s="100">
        <v>5.86</v>
      </c>
      <c r="F51" s="100">
        <v>9.2799999999999994</v>
      </c>
      <c r="G51" s="100">
        <v>59.24</v>
      </c>
      <c r="H51" s="100">
        <v>36.33</v>
      </c>
      <c r="I51" s="100">
        <v>7.35</v>
      </c>
      <c r="J51" s="100">
        <v>0.91</v>
      </c>
      <c r="K51" s="100">
        <v>302.32</v>
      </c>
      <c r="L51" s="100">
        <v>37.450000000000003</v>
      </c>
      <c r="M51" s="100">
        <v>36.729999999999997</v>
      </c>
      <c r="N51" s="100">
        <v>179.1</v>
      </c>
      <c r="O51" s="100">
        <v>0</v>
      </c>
      <c r="P51" s="100">
        <v>0.46</v>
      </c>
      <c r="Q51" s="100">
        <v>9.93</v>
      </c>
      <c r="R51" s="6"/>
      <c r="S51" s="6"/>
      <c r="T51" s="156"/>
      <c r="U51" s="6"/>
    </row>
    <row r="52" spans="1:21" customFormat="1">
      <c r="A52" s="163" t="s">
        <v>955</v>
      </c>
      <c r="B52" s="100">
        <v>3.84</v>
      </c>
      <c r="C52" s="100">
        <v>10.7</v>
      </c>
      <c r="D52" s="100">
        <v>6.86</v>
      </c>
      <c r="E52" s="100">
        <v>6.31</v>
      </c>
      <c r="F52" s="100">
        <v>14.29</v>
      </c>
      <c r="G52" s="100">
        <v>59.24</v>
      </c>
      <c r="H52" s="100">
        <v>36.33</v>
      </c>
      <c r="I52" s="100">
        <v>7.47</v>
      </c>
      <c r="J52" s="100">
        <v>0.5</v>
      </c>
      <c r="K52" s="100">
        <v>323</v>
      </c>
      <c r="L52" s="100">
        <v>38.28</v>
      </c>
      <c r="M52" s="100">
        <v>34.83</v>
      </c>
      <c r="N52" s="100">
        <v>182</v>
      </c>
      <c r="O52" s="100">
        <v>0</v>
      </c>
      <c r="P52" s="100">
        <v>0.45</v>
      </c>
      <c r="Q52" s="100">
        <v>9.94</v>
      </c>
      <c r="R52" s="6"/>
      <c r="S52" s="6"/>
      <c r="T52" s="156"/>
      <c r="U52" s="6"/>
    </row>
    <row r="53" spans="1:21" customFormat="1">
      <c r="A53" s="163" t="s">
        <v>956</v>
      </c>
      <c r="B53" s="100">
        <v>3.84</v>
      </c>
      <c r="C53" s="100">
        <v>11.11</v>
      </c>
      <c r="D53" s="100">
        <v>7.26</v>
      </c>
      <c r="E53" s="100">
        <v>6.78</v>
      </c>
      <c r="F53" s="100">
        <v>13.02</v>
      </c>
      <c r="G53" s="100">
        <v>62.22</v>
      </c>
      <c r="H53" s="100">
        <v>35.92</v>
      </c>
      <c r="I53" s="100">
        <v>7.51</v>
      </c>
      <c r="J53" s="100">
        <v>0.54</v>
      </c>
      <c r="K53" s="100">
        <v>323.52</v>
      </c>
      <c r="L53" s="100">
        <v>38.799999999999997</v>
      </c>
      <c r="M53" s="100">
        <v>33.47</v>
      </c>
      <c r="N53" s="100">
        <v>189.3</v>
      </c>
      <c r="O53" s="100">
        <v>0</v>
      </c>
      <c r="P53" s="100">
        <v>0.46</v>
      </c>
      <c r="Q53" s="100">
        <v>9.94</v>
      </c>
      <c r="R53" s="6"/>
      <c r="S53" s="6"/>
      <c r="T53" s="156"/>
      <c r="U53" s="6"/>
    </row>
    <row r="54" spans="1:21" customFormat="1">
      <c r="A54" s="163" t="s">
        <v>957</v>
      </c>
      <c r="B54" s="100">
        <v>3.78</v>
      </c>
      <c r="C54" s="100">
        <v>10.77</v>
      </c>
      <c r="D54" s="100">
        <v>6.99</v>
      </c>
      <c r="E54" s="100">
        <v>6.46</v>
      </c>
      <c r="F54" s="100">
        <v>13.68</v>
      </c>
      <c r="G54" s="100">
        <v>66.13</v>
      </c>
      <c r="H54" s="100">
        <v>35.630000000000003</v>
      </c>
      <c r="I54" s="100">
        <v>7.36</v>
      </c>
      <c r="J54" s="100">
        <v>0.7</v>
      </c>
      <c r="K54" s="100">
        <v>336.29</v>
      </c>
      <c r="L54" s="100">
        <v>38.840000000000003</v>
      </c>
      <c r="M54" s="100">
        <v>32.729999999999997</v>
      </c>
      <c r="N54" s="100">
        <v>199.4</v>
      </c>
      <c r="O54" s="100">
        <v>0</v>
      </c>
      <c r="P54" s="100">
        <v>0.46</v>
      </c>
      <c r="Q54" s="100">
        <v>9.94</v>
      </c>
      <c r="R54" s="6"/>
      <c r="S54" s="6"/>
      <c r="T54" s="156"/>
      <c r="U54" s="6"/>
    </row>
    <row r="55" spans="1:21" customFormat="1">
      <c r="A55" s="163" t="s">
        <v>958</v>
      </c>
      <c r="B55" s="100">
        <v>3.79</v>
      </c>
      <c r="C55" s="100">
        <v>10.93</v>
      </c>
      <c r="D55" s="100">
        <v>7.14</v>
      </c>
      <c r="E55" s="100">
        <v>7.03</v>
      </c>
      <c r="F55" s="100">
        <v>14.43</v>
      </c>
      <c r="G55" s="100">
        <v>66.13</v>
      </c>
      <c r="H55" s="100">
        <v>35.630000000000003</v>
      </c>
      <c r="I55" s="100">
        <v>7.27</v>
      </c>
      <c r="J55" s="100">
        <v>1.1200000000000001</v>
      </c>
      <c r="K55" s="100">
        <v>310.41000000000003</v>
      </c>
      <c r="L55" s="100">
        <v>38.909999999999997</v>
      </c>
      <c r="M55" s="100">
        <v>32.03</v>
      </c>
      <c r="N55" s="100">
        <v>211.6</v>
      </c>
      <c r="O55" s="100">
        <v>0</v>
      </c>
      <c r="P55" s="100">
        <v>0.45</v>
      </c>
      <c r="Q55" s="100">
        <v>9.9499999999999993</v>
      </c>
      <c r="R55" s="6"/>
      <c r="S55" s="6"/>
      <c r="T55" s="156"/>
      <c r="U55" s="6"/>
    </row>
    <row r="56" spans="1:21" customFormat="1">
      <c r="A56" s="163" t="s">
        <v>959</v>
      </c>
      <c r="B56" s="100">
        <v>3.74</v>
      </c>
      <c r="C56" s="100">
        <v>11.02</v>
      </c>
      <c r="D56" s="100">
        <v>7.28</v>
      </c>
      <c r="E56" s="100">
        <v>6.76</v>
      </c>
      <c r="F56" s="100">
        <v>15.59</v>
      </c>
      <c r="G56" s="100">
        <v>66.13</v>
      </c>
      <c r="H56" s="100">
        <v>35.630000000000003</v>
      </c>
      <c r="I56" s="100">
        <v>7.27</v>
      </c>
      <c r="J56" s="100">
        <v>0.78</v>
      </c>
      <c r="K56" s="100">
        <v>290.3</v>
      </c>
      <c r="L56" s="100">
        <v>39.630000000000003</v>
      </c>
      <c r="M56" s="100">
        <v>31.31</v>
      </c>
      <c r="N56" s="100">
        <v>485.3</v>
      </c>
      <c r="O56" s="100">
        <v>0</v>
      </c>
      <c r="P56" s="100">
        <v>0.46</v>
      </c>
      <c r="Q56" s="100">
        <v>9.9499999999999993</v>
      </c>
      <c r="R56" s="6"/>
      <c r="S56" s="6"/>
      <c r="T56" s="156"/>
      <c r="U56" s="6"/>
    </row>
    <row r="57" spans="1:21" customFormat="1">
      <c r="A57" s="163" t="s">
        <v>960</v>
      </c>
      <c r="B57" s="100">
        <v>3.74</v>
      </c>
      <c r="C57" s="100">
        <v>11.12</v>
      </c>
      <c r="D57" s="100">
        <v>7.38</v>
      </c>
      <c r="E57" s="100">
        <v>6.84</v>
      </c>
      <c r="F57" s="100">
        <v>21.29</v>
      </c>
      <c r="G57" s="100">
        <v>68.099999999999994</v>
      </c>
      <c r="H57" s="100">
        <v>36.409999999999997</v>
      </c>
      <c r="I57" s="100">
        <v>7.23</v>
      </c>
      <c r="J57" s="100">
        <v>0.76</v>
      </c>
      <c r="K57" s="100">
        <v>295.42</v>
      </c>
      <c r="L57" s="100">
        <v>40.130000000000003</v>
      </c>
      <c r="M57" s="100">
        <v>29.85</v>
      </c>
      <c r="N57" s="100">
        <v>799.3</v>
      </c>
      <c r="O57" s="100">
        <v>0</v>
      </c>
      <c r="P57" s="100">
        <v>0.45</v>
      </c>
      <c r="Q57" s="100">
        <v>9.94</v>
      </c>
      <c r="R57" s="6"/>
      <c r="S57" s="6"/>
      <c r="T57" s="156"/>
      <c r="U57" s="6"/>
    </row>
    <row r="58" spans="1:21" customFormat="1">
      <c r="A58" s="163" t="s">
        <v>961</v>
      </c>
      <c r="B58" s="100">
        <v>3.74</v>
      </c>
      <c r="C58" s="100">
        <v>11.05</v>
      </c>
      <c r="D58" s="100">
        <v>7.32</v>
      </c>
      <c r="E58" s="100">
        <v>7.17</v>
      </c>
      <c r="F58" s="100">
        <v>16.690000000000001</v>
      </c>
      <c r="G58" s="100">
        <v>70.56</v>
      </c>
      <c r="H58" s="100">
        <v>37.729999999999997</v>
      </c>
      <c r="I58" s="100">
        <v>7.07</v>
      </c>
      <c r="J58" s="100">
        <v>0.52</v>
      </c>
      <c r="K58" s="100">
        <v>248.18</v>
      </c>
      <c r="L58" s="100">
        <v>40.380000000000003</v>
      </c>
      <c r="M58" s="100">
        <v>29.46</v>
      </c>
      <c r="N58" s="100">
        <v>808.9</v>
      </c>
      <c r="O58" s="100">
        <v>0</v>
      </c>
      <c r="P58" s="100">
        <v>0.44</v>
      </c>
      <c r="Q58" s="100">
        <v>9.9499999999999993</v>
      </c>
      <c r="R58" s="6"/>
      <c r="S58" s="6"/>
      <c r="T58" s="156"/>
      <c r="U58" s="6"/>
    </row>
    <row r="59" spans="1:21" customFormat="1">
      <c r="A59" s="163" t="s">
        <v>962</v>
      </c>
      <c r="B59" s="100">
        <v>3.65</v>
      </c>
      <c r="C59" s="100">
        <v>10.18</v>
      </c>
      <c r="D59" s="100">
        <v>6.52</v>
      </c>
      <c r="E59" s="100">
        <v>6.97</v>
      </c>
      <c r="F59" s="100">
        <v>11.33</v>
      </c>
      <c r="G59" s="100">
        <v>70.56</v>
      </c>
      <c r="H59" s="100">
        <v>37.729999999999997</v>
      </c>
      <c r="I59" s="100">
        <v>6.9</v>
      </c>
      <c r="J59" s="100">
        <v>0.66</v>
      </c>
      <c r="K59" s="100">
        <v>271.45</v>
      </c>
      <c r="L59" s="100">
        <v>40.89</v>
      </c>
      <c r="M59" s="100">
        <v>27.97</v>
      </c>
      <c r="N59" s="100">
        <v>798.4</v>
      </c>
      <c r="O59" s="100">
        <v>0</v>
      </c>
      <c r="P59" s="100">
        <v>0.45</v>
      </c>
      <c r="Q59" s="100">
        <v>9.9499999999999993</v>
      </c>
      <c r="R59" s="6"/>
      <c r="S59" s="6"/>
      <c r="T59" s="156"/>
      <c r="U59" s="6"/>
    </row>
    <row r="60" spans="1:21" customFormat="1">
      <c r="A60" s="163" t="s">
        <v>963</v>
      </c>
      <c r="B60" s="100">
        <v>3.67</v>
      </c>
      <c r="C60" s="100">
        <v>9.98</v>
      </c>
      <c r="D60" s="100">
        <v>6.31</v>
      </c>
      <c r="E60" s="100">
        <v>6.46</v>
      </c>
      <c r="F60" s="100">
        <v>12.55</v>
      </c>
      <c r="G60" s="100">
        <v>70.56</v>
      </c>
      <c r="H60" s="100">
        <v>37.729999999999997</v>
      </c>
      <c r="I60" s="100">
        <v>6.81</v>
      </c>
      <c r="J60" s="100">
        <v>0.86</v>
      </c>
      <c r="K60" s="100">
        <v>283.64999999999998</v>
      </c>
      <c r="L60" s="100">
        <v>41.02</v>
      </c>
      <c r="M60" s="100">
        <v>26.24</v>
      </c>
      <c r="N60" s="100">
        <v>741.8</v>
      </c>
      <c r="O60" s="100">
        <v>0</v>
      </c>
      <c r="P60" s="100">
        <v>0.43</v>
      </c>
      <c r="Q60" s="100">
        <v>9.9499999999999993</v>
      </c>
      <c r="R60" s="6"/>
      <c r="S60" s="6"/>
      <c r="T60" s="156"/>
      <c r="U60" s="6"/>
    </row>
    <row r="61" spans="1:21" customFormat="1">
      <c r="A61" s="163" t="s">
        <v>964</v>
      </c>
      <c r="B61" s="100">
        <v>3.73</v>
      </c>
      <c r="C61" s="100">
        <v>9.94</v>
      </c>
      <c r="D61" s="100">
        <v>6.21</v>
      </c>
      <c r="E61" s="100">
        <v>6.07</v>
      </c>
      <c r="F61" s="100">
        <v>14.95</v>
      </c>
      <c r="G61" s="100">
        <v>67.319999999999993</v>
      </c>
      <c r="H61" s="100">
        <v>34.42</v>
      </c>
      <c r="I61" s="100">
        <v>6.81</v>
      </c>
      <c r="J61" s="100">
        <v>0.86</v>
      </c>
      <c r="K61" s="100">
        <v>285.67</v>
      </c>
      <c r="L61" s="100">
        <v>41.05</v>
      </c>
      <c r="M61" s="100">
        <v>25.23</v>
      </c>
      <c r="N61" s="100">
        <v>730.1</v>
      </c>
      <c r="O61" s="100">
        <v>0</v>
      </c>
      <c r="P61" s="100">
        <v>0.41</v>
      </c>
      <c r="Q61" s="100">
        <v>9.9499999999999993</v>
      </c>
      <c r="R61" s="6"/>
      <c r="S61" s="6"/>
      <c r="T61" s="156"/>
      <c r="U61" s="6"/>
    </row>
    <row r="62" spans="1:21" customFormat="1">
      <c r="A62" s="163" t="s">
        <v>965</v>
      </c>
      <c r="B62" s="100">
        <v>3.74</v>
      </c>
      <c r="C62" s="100">
        <v>10.19</v>
      </c>
      <c r="D62" s="100">
        <v>6.45</v>
      </c>
      <c r="E62" s="100">
        <v>6.11</v>
      </c>
      <c r="F62" s="100">
        <v>10.94</v>
      </c>
      <c r="G62" s="100">
        <v>63.27</v>
      </c>
      <c r="H62" s="100">
        <v>32.119999999999997</v>
      </c>
      <c r="I62" s="100">
        <v>6.56</v>
      </c>
      <c r="J62" s="100">
        <v>0.68</v>
      </c>
      <c r="K62" s="100">
        <v>277.8</v>
      </c>
      <c r="L62" s="100">
        <v>41.11</v>
      </c>
      <c r="M62" s="100">
        <v>25.27</v>
      </c>
      <c r="N62" s="100">
        <v>713.5</v>
      </c>
      <c r="O62" s="100">
        <v>0</v>
      </c>
      <c r="P62" s="100">
        <v>0.42</v>
      </c>
      <c r="Q62" s="100">
        <v>9.94</v>
      </c>
      <c r="R62" s="6"/>
      <c r="S62" s="6"/>
      <c r="T62" s="156"/>
      <c r="U62" s="6"/>
    </row>
    <row r="63" spans="1:21" customFormat="1">
      <c r="A63" s="163" t="s">
        <v>966</v>
      </c>
      <c r="B63" s="100">
        <v>3.69</v>
      </c>
      <c r="C63" s="100">
        <v>9.84</v>
      </c>
      <c r="D63" s="100">
        <v>6.14</v>
      </c>
      <c r="E63" s="100">
        <v>6.07</v>
      </c>
      <c r="F63" s="100">
        <v>10.88</v>
      </c>
      <c r="G63" s="100">
        <v>63.27</v>
      </c>
      <c r="H63" s="100">
        <v>32.119999999999997</v>
      </c>
      <c r="I63" s="100">
        <v>6.34</v>
      </c>
      <c r="J63" s="100">
        <v>0.75</v>
      </c>
      <c r="K63" s="100">
        <v>269.72000000000003</v>
      </c>
      <c r="L63" s="100">
        <v>40.98</v>
      </c>
      <c r="M63" s="100">
        <v>25.95</v>
      </c>
      <c r="N63" s="100">
        <v>573.1</v>
      </c>
      <c r="O63" s="100">
        <v>0</v>
      </c>
      <c r="P63" s="100">
        <v>0.41</v>
      </c>
      <c r="Q63" s="100">
        <v>9.92</v>
      </c>
      <c r="R63" s="6"/>
      <c r="S63" s="6"/>
      <c r="T63" s="156"/>
      <c r="U63" s="6"/>
    </row>
    <row r="64" spans="1:21" customFormat="1">
      <c r="A64" s="163" t="s">
        <v>967</v>
      </c>
      <c r="B64" s="100">
        <v>3.69</v>
      </c>
      <c r="C64" s="100">
        <v>9.61</v>
      </c>
      <c r="D64" s="100">
        <v>5.92</v>
      </c>
      <c r="E64" s="100">
        <v>6.13</v>
      </c>
      <c r="F64" s="100">
        <v>11.1</v>
      </c>
      <c r="G64" s="100">
        <v>63.27</v>
      </c>
      <c r="H64" s="100">
        <v>32.119999999999997</v>
      </c>
      <c r="I64" s="100">
        <v>6.3</v>
      </c>
      <c r="J64" s="100">
        <v>0.5</v>
      </c>
      <c r="K64" s="100">
        <v>245.15</v>
      </c>
      <c r="L64" s="100">
        <v>41.56</v>
      </c>
      <c r="M64" s="100">
        <v>25.88</v>
      </c>
      <c r="N64" s="100">
        <v>511</v>
      </c>
      <c r="O64" s="100">
        <v>0</v>
      </c>
      <c r="P64" s="100">
        <v>0.41</v>
      </c>
      <c r="Q64" s="100">
        <v>9.92</v>
      </c>
      <c r="R64" s="6"/>
      <c r="S64" s="6"/>
      <c r="T64" s="156"/>
      <c r="U64" s="6"/>
    </row>
    <row r="65" spans="1:21" customFormat="1">
      <c r="A65" s="163" t="s">
        <v>968</v>
      </c>
      <c r="B65" s="100">
        <v>3.75</v>
      </c>
      <c r="C65" s="100">
        <v>10.039999999999999</v>
      </c>
      <c r="D65" s="100">
        <v>6.29</v>
      </c>
      <c r="E65" s="100">
        <v>6.11</v>
      </c>
      <c r="F65" s="100">
        <v>16.579999999999998</v>
      </c>
      <c r="G65" s="100">
        <v>63.43</v>
      </c>
      <c r="H65" s="100">
        <v>31.22</v>
      </c>
      <c r="I65" s="100">
        <v>6.21</v>
      </c>
      <c r="J65" s="100">
        <v>0.59</v>
      </c>
      <c r="K65" s="100">
        <v>309.83</v>
      </c>
      <c r="L65" s="100">
        <v>41.25</v>
      </c>
      <c r="M65" s="100">
        <v>25.22</v>
      </c>
      <c r="N65" s="100">
        <v>264.60000000000002</v>
      </c>
      <c r="O65" s="100">
        <v>0</v>
      </c>
      <c r="P65" s="100">
        <v>0.46</v>
      </c>
      <c r="Q65" s="100">
        <v>9.94</v>
      </c>
      <c r="R65" s="6"/>
      <c r="S65" s="6"/>
      <c r="T65" s="156"/>
      <c r="U65" s="6"/>
    </row>
    <row r="66" spans="1:21" customFormat="1">
      <c r="A66" s="163" t="s">
        <v>969</v>
      </c>
      <c r="B66" s="100">
        <v>3.74</v>
      </c>
      <c r="C66" s="100">
        <v>9.81</v>
      </c>
      <c r="D66" s="100">
        <v>6.08</v>
      </c>
      <c r="E66" s="100">
        <v>6.33</v>
      </c>
      <c r="F66" s="100">
        <v>15.13</v>
      </c>
      <c r="G66" s="100">
        <v>63.65</v>
      </c>
      <c r="H66" s="100">
        <v>30.61</v>
      </c>
      <c r="I66" s="100">
        <v>6.06</v>
      </c>
      <c r="J66" s="100">
        <v>0.42</v>
      </c>
      <c r="K66" s="100">
        <v>343.84</v>
      </c>
      <c r="L66" s="100">
        <v>41.28</v>
      </c>
      <c r="M66" s="100">
        <v>24.74</v>
      </c>
      <c r="N66" s="100">
        <v>458.2</v>
      </c>
      <c r="O66" s="100">
        <v>0</v>
      </c>
      <c r="P66" s="100">
        <v>0.49</v>
      </c>
      <c r="Q66" s="100">
        <v>9.94</v>
      </c>
      <c r="R66" s="6"/>
      <c r="S66" s="6"/>
      <c r="T66" s="156"/>
      <c r="U66" s="6"/>
    </row>
    <row r="67" spans="1:21" customFormat="1">
      <c r="A67" s="163" t="s">
        <v>970</v>
      </c>
      <c r="B67" s="100">
        <v>3.83</v>
      </c>
      <c r="C67" s="100">
        <v>10.58</v>
      </c>
      <c r="D67" s="100">
        <v>6.75</v>
      </c>
      <c r="E67" s="100">
        <v>6.16</v>
      </c>
      <c r="F67" s="100">
        <v>14.3</v>
      </c>
      <c r="G67" s="100">
        <v>63.65</v>
      </c>
      <c r="H67" s="100">
        <v>30.61</v>
      </c>
      <c r="I67" s="100">
        <v>5.81</v>
      </c>
      <c r="J67" s="100">
        <v>0.67</v>
      </c>
      <c r="K67" s="100">
        <v>301.08999999999997</v>
      </c>
      <c r="L67" s="100">
        <v>41.52</v>
      </c>
      <c r="M67" s="100">
        <v>24.58</v>
      </c>
      <c r="N67" s="100">
        <v>327.10000000000002</v>
      </c>
      <c r="O67" s="100">
        <v>0</v>
      </c>
      <c r="P67" s="100">
        <v>0.49</v>
      </c>
      <c r="Q67" s="100">
        <v>9.94</v>
      </c>
      <c r="R67" s="6"/>
      <c r="S67" s="6"/>
      <c r="T67" s="156"/>
      <c r="U67" s="6"/>
    </row>
    <row r="68" spans="1:21" customFormat="1">
      <c r="A68" s="163" t="s">
        <v>971</v>
      </c>
      <c r="B68" s="100">
        <v>3.87</v>
      </c>
      <c r="C68" s="100">
        <v>11.37</v>
      </c>
      <c r="D68" s="100">
        <v>7.5</v>
      </c>
      <c r="E68" s="100">
        <v>6.51</v>
      </c>
      <c r="F68" s="100">
        <v>15.16</v>
      </c>
      <c r="G68" s="100">
        <v>63.65</v>
      </c>
      <c r="H68" s="100">
        <v>30.61</v>
      </c>
      <c r="I68" s="100">
        <v>5.78</v>
      </c>
      <c r="J68" s="100">
        <v>0.46</v>
      </c>
      <c r="K68" s="100">
        <v>338.08</v>
      </c>
      <c r="L68" s="100">
        <v>41.5</v>
      </c>
      <c r="M68" s="100">
        <v>24.16</v>
      </c>
      <c r="N68" s="100">
        <v>378.5</v>
      </c>
      <c r="O68" s="100">
        <v>0</v>
      </c>
      <c r="P68" s="100">
        <v>0.48</v>
      </c>
      <c r="Q68" s="100">
        <v>9.94</v>
      </c>
      <c r="R68" s="6"/>
      <c r="S68" s="6"/>
      <c r="T68" s="156"/>
      <c r="U68" s="6"/>
    </row>
    <row r="69" spans="1:21" customFormat="1">
      <c r="A69" s="163" t="s">
        <v>972</v>
      </c>
      <c r="B69" s="100">
        <v>3.8</v>
      </c>
      <c r="C69" s="100">
        <v>10.35</v>
      </c>
      <c r="D69" s="100">
        <v>6.56</v>
      </c>
      <c r="E69" s="100">
        <v>6.68</v>
      </c>
      <c r="F69" s="100">
        <v>22.76</v>
      </c>
      <c r="G69" s="100">
        <v>62.87</v>
      </c>
      <c r="H69" s="100">
        <v>32.450000000000003</v>
      </c>
      <c r="I69" s="100">
        <v>5.73</v>
      </c>
      <c r="J69" s="100">
        <v>0.24</v>
      </c>
      <c r="K69" s="100">
        <v>255.46</v>
      </c>
      <c r="L69" s="100">
        <v>42.19</v>
      </c>
      <c r="M69" s="100">
        <v>23.89</v>
      </c>
      <c r="N69" s="100">
        <v>318</v>
      </c>
      <c r="O69" s="100">
        <v>0</v>
      </c>
      <c r="P69" s="100">
        <v>0.45</v>
      </c>
      <c r="Q69" s="100">
        <v>9.93</v>
      </c>
      <c r="R69" s="6"/>
      <c r="S69" s="6"/>
      <c r="T69" s="156"/>
      <c r="U69" s="6"/>
    </row>
    <row r="70" spans="1:21" customFormat="1">
      <c r="A70" s="163" t="s">
        <v>973</v>
      </c>
      <c r="B70" s="100">
        <v>3.75</v>
      </c>
      <c r="C70" s="100">
        <v>9.35</v>
      </c>
      <c r="D70" s="100">
        <v>5.6</v>
      </c>
      <c r="E70" s="100">
        <v>7.37</v>
      </c>
      <c r="F70" s="100">
        <v>25.78</v>
      </c>
      <c r="G70" s="100">
        <v>61.9</v>
      </c>
      <c r="H70" s="100">
        <v>33.729999999999997</v>
      </c>
      <c r="I70" s="100">
        <v>5.67</v>
      </c>
      <c r="J70" s="100">
        <v>0.34</v>
      </c>
      <c r="K70" s="100">
        <v>257.23</v>
      </c>
      <c r="L70" s="100">
        <v>41.09</v>
      </c>
      <c r="M70" s="100">
        <v>25.59</v>
      </c>
      <c r="N70" s="100">
        <v>202.5</v>
      </c>
      <c r="O70" s="100">
        <v>0</v>
      </c>
      <c r="P70" s="100">
        <v>0.46</v>
      </c>
      <c r="Q70" s="100">
        <v>9.93</v>
      </c>
      <c r="R70" s="6"/>
      <c r="S70" s="6"/>
      <c r="T70" s="156"/>
      <c r="U70" s="6"/>
    </row>
    <row r="71" spans="1:21" customFormat="1">
      <c r="A71" s="163" t="s">
        <v>974</v>
      </c>
      <c r="B71" s="100">
        <v>3.69</v>
      </c>
      <c r="C71" s="100">
        <v>8.64</v>
      </c>
      <c r="D71" s="100">
        <v>4.9400000000000004</v>
      </c>
      <c r="E71" s="100">
        <v>6.46</v>
      </c>
      <c r="F71" s="100">
        <v>50.41</v>
      </c>
      <c r="G71" s="100">
        <v>61.9</v>
      </c>
      <c r="H71" s="100">
        <v>33.729999999999997</v>
      </c>
      <c r="I71" s="100">
        <v>5.38</v>
      </c>
      <c r="J71" s="100">
        <v>0.27</v>
      </c>
      <c r="K71" s="100">
        <v>232.69</v>
      </c>
      <c r="L71" s="100">
        <v>40.35</v>
      </c>
      <c r="M71" s="100">
        <v>27.81</v>
      </c>
      <c r="N71" s="100">
        <v>134.5</v>
      </c>
      <c r="O71" s="100">
        <v>0</v>
      </c>
      <c r="P71" s="100">
        <v>0.5</v>
      </c>
      <c r="Q71" s="100">
        <v>9.92</v>
      </c>
      <c r="R71" s="6"/>
      <c r="S71" s="6"/>
      <c r="T71" s="156"/>
      <c r="U71" s="6"/>
    </row>
    <row r="72" spans="1:21" customFormat="1">
      <c r="A72" s="163" t="s">
        <v>975</v>
      </c>
      <c r="B72" s="100">
        <v>3.67</v>
      </c>
      <c r="C72" s="100">
        <v>8.3699999999999992</v>
      </c>
      <c r="D72" s="100">
        <v>4.6900000000000004</v>
      </c>
      <c r="E72" s="100">
        <v>7.34</v>
      </c>
      <c r="F72" s="100">
        <v>30.32</v>
      </c>
      <c r="G72" s="100">
        <v>61.9</v>
      </c>
      <c r="H72" s="100">
        <v>33.729999999999997</v>
      </c>
      <c r="I72" s="100">
        <v>5.37</v>
      </c>
      <c r="J72" s="100">
        <v>0.86</v>
      </c>
      <c r="K72" s="100">
        <v>273.60000000000002</v>
      </c>
      <c r="L72" s="100">
        <v>39.83</v>
      </c>
      <c r="M72" s="100">
        <v>27.93</v>
      </c>
      <c r="N72" s="100">
        <v>162.4</v>
      </c>
      <c r="O72" s="100">
        <v>0</v>
      </c>
      <c r="P72" s="100">
        <v>0.53</v>
      </c>
      <c r="Q72" s="100">
        <v>9.92</v>
      </c>
      <c r="R72" s="6"/>
      <c r="S72" s="6"/>
      <c r="T72" s="156"/>
      <c r="U72" s="6"/>
    </row>
    <row r="73" spans="1:21" customFormat="1">
      <c r="A73" s="163" t="s">
        <v>976</v>
      </c>
      <c r="B73" s="100">
        <v>3.86</v>
      </c>
      <c r="C73" s="100">
        <v>8.9600000000000009</v>
      </c>
      <c r="D73" s="100">
        <v>5.09</v>
      </c>
      <c r="E73" s="100">
        <v>6.79</v>
      </c>
      <c r="F73" s="100">
        <v>17.59</v>
      </c>
      <c r="G73" s="100">
        <v>65.069999999999993</v>
      </c>
      <c r="H73" s="100">
        <v>32.119999999999997</v>
      </c>
      <c r="I73" s="100">
        <v>4.97</v>
      </c>
      <c r="J73" s="100">
        <v>1.1599999999999999</v>
      </c>
      <c r="K73" s="100">
        <v>273.18</v>
      </c>
      <c r="L73" s="100">
        <v>38.86</v>
      </c>
      <c r="M73" s="100">
        <v>28.64</v>
      </c>
      <c r="N73" s="100">
        <v>166.5</v>
      </c>
      <c r="O73" s="100">
        <v>0</v>
      </c>
      <c r="P73" s="100">
        <v>0.55000000000000004</v>
      </c>
      <c r="Q73" s="100">
        <v>9.91</v>
      </c>
      <c r="R73" s="6"/>
      <c r="S73" s="6"/>
      <c r="T73" s="156"/>
      <c r="U73" s="6"/>
    </row>
    <row r="74" spans="1:21" customFormat="1">
      <c r="A74" s="163" t="s">
        <v>977</v>
      </c>
      <c r="B74" s="100">
        <v>3.9</v>
      </c>
      <c r="C74" s="100">
        <v>9.2799999999999994</v>
      </c>
      <c r="D74" s="100">
        <v>5.39</v>
      </c>
      <c r="E74" s="100">
        <v>6.3</v>
      </c>
      <c r="F74" s="100">
        <v>16.96</v>
      </c>
      <c r="G74" s="100">
        <v>69.040000000000006</v>
      </c>
      <c r="H74" s="100">
        <v>31.04</v>
      </c>
      <c r="I74" s="100">
        <v>5.26</v>
      </c>
      <c r="J74" s="100">
        <v>1.03</v>
      </c>
      <c r="K74" s="100">
        <v>266.3</v>
      </c>
      <c r="L74" s="100">
        <v>39.11</v>
      </c>
      <c r="M74" s="100">
        <v>29.73</v>
      </c>
      <c r="N74" s="100">
        <v>156.6</v>
      </c>
      <c r="O74" s="100">
        <v>0</v>
      </c>
      <c r="P74" s="100">
        <v>0.55000000000000004</v>
      </c>
      <c r="Q74" s="100">
        <v>9.92</v>
      </c>
      <c r="R74" s="6"/>
      <c r="S74" s="6"/>
      <c r="T74" s="156"/>
      <c r="U74" s="6"/>
    </row>
    <row r="75" spans="1:21" customFormat="1">
      <c r="A75" s="163" t="s">
        <v>978</v>
      </c>
      <c r="B75" s="100">
        <v>3.92</v>
      </c>
      <c r="C75" s="100">
        <v>8.75</v>
      </c>
      <c r="D75" s="100">
        <v>4.82</v>
      </c>
      <c r="E75" s="100">
        <v>5.98</v>
      </c>
      <c r="F75" s="100">
        <v>12.13</v>
      </c>
      <c r="G75" s="100">
        <v>69.040000000000006</v>
      </c>
      <c r="H75" s="100">
        <v>31.04</v>
      </c>
      <c r="I75" s="100">
        <v>5.5</v>
      </c>
      <c r="J75" s="100">
        <v>1.21</v>
      </c>
      <c r="K75" s="100">
        <v>259.87</v>
      </c>
      <c r="L75" s="100">
        <v>38.369999999999997</v>
      </c>
      <c r="M75" s="100">
        <v>30.56</v>
      </c>
      <c r="N75" s="100">
        <v>118.3</v>
      </c>
      <c r="O75" s="100">
        <v>0</v>
      </c>
      <c r="P75" s="100">
        <v>0.55000000000000004</v>
      </c>
      <c r="Q75" s="100">
        <v>9.93</v>
      </c>
      <c r="R75" s="6"/>
      <c r="S75" s="6"/>
      <c r="T75" s="156"/>
      <c r="U75" s="6"/>
    </row>
    <row r="76" spans="1:21" customFormat="1">
      <c r="A76" s="163" t="s">
        <v>979</v>
      </c>
      <c r="B76" s="100">
        <v>3.92</v>
      </c>
      <c r="C76" s="100">
        <v>9.48</v>
      </c>
      <c r="D76" s="100">
        <v>5.56</v>
      </c>
      <c r="E76" s="100">
        <v>6.38</v>
      </c>
      <c r="F76" s="100">
        <v>10.86</v>
      </c>
      <c r="G76" s="100">
        <v>69.040000000000006</v>
      </c>
      <c r="H76" s="100">
        <v>31.04</v>
      </c>
      <c r="I76" s="100">
        <v>5.63</v>
      </c>
      <c r="J76" s="100">
        <v>1.36</v>
      </c>
      <c r="K76" s="100">
        <v>262.56</v>
      </c>
      <c r="L76" s="100">
        <v>37.950000000000003</v>
      </c>
      <c r="M76" s="100">
        <v>28.95</v>
      </c>
      <c r="N76" s="100">
        <v>120.3</v>
      </c>
      <c r="O76" s="100">
        <v>0</v>
      </c>
      <c r="P76" s="100">
        <v>0.56000000000000005</v>
      </c>
      <c r="Q76" s="100">
        <v>9.93</v>
      </c>
      <c r="R76" s="6"/>
      <c r="S76" s="6"/>
      <c r="T76" s="156"/>
      <c r="U76" s="6"/>
    </row>
    <row r="77" spans="1:21" customFormat="1">
      <c r="A77" s="163" t="s">
        <v>980</v>
      </c>
      <c r="B77" s="100">
        <v>3.95</v>
      </c>
      <c r="C77" s="100">
        <v>10.53</v>
      </c>
      <c r="D77" s="100">
        <v>6.58</v>
      </c>
      <c r="E77" s="100">
        <v>9.4</v>
      </c>
      <c r="F77" s="100">
        <v>13.32</v>
      </c>
      <c r="G77" s="100">
        <v>67.48</v>
      </c>
      <c r="H77" s="100">
        <v>31.16</v>
      </c>
      <c r="I77" s="100">
        <v>5.74</v>
      </c>
      <c r="J77" s="100">
        <v>0.92</v>
      </c>
      <c r="K77" s="100">
        <v>254.43</v>
      </c>
      <c r="L77" s="100">
        <v>37.28</v>
      </c>
      <c r="M77" s="100">
        <v>29.38</v>
      </c>
      <c r="N77" s="100">
        <v>66.7</v>
      </c>
      <c r="O77" s="100">
        <v>0</v>
      </c>
      <c r="P77" s="100">
        <v>0.75</v>
      </c>
      <c r="Q77" s="100">
        <v>9.93</v>
      </c>
      <c r="R77" s="6"/>
      <c r="S77" s="6"/>
      <c r="T77" s="156"/>
      <c r="U77" s="6"/>
    </row>
    <row r="78" spans="1:21" customFormat="1">
      <c r="A78" s="163" t="s">
        <v>981</v>
      </c>
      <c r="B78" s="100">
        <v>3.99</v>
      </c>
      <c r="C78" s="100">
        <v>13.28</v>
      </c>
      <c r="D78" s="100">
        <v>9.2899999999999991</v>
      </c>
      <c r="E78" s="100">
        <v>20.82</v>
      </c>
      <c r="F78" s="100">
        <v>18.36</v>
      </c>
      <c r="G78" s="100">
        <v>65.55</v>
      </c>
      <c r="H78" s="100">
        <v>31.25</v>
      </c>
      <c r="I78" s="100">
        <v>6.44</v>
      </c>
      <c r="J78" s="100">
        <v>0.83</v>
      </c>
      <c r="K78" s="100">
        <v>267.32</v>
      </c>
      <c r="L78" s="100">
        <v>36.799999999999997</v>
      </c>
      <c r="M78" s="100">
        <v>29.48</v>
      </c>
      <c r="N78" s="100">
        <v>30.3</v>
      </c>
      <c r="O78" s="100">
        <v>0</v>
      </c>
      <c r="P78" s="100">
        <v>0.85</v>
      </c>
      <c r="Q78" s="100">
        <v>9.92</v>
      </c>
      <c r="R78" s="6"/>
      <c r="S78" s="6"/>
      <c r="T78" s="156"/>
      <c r="U78" s="6"/>
    </row>
    <row r="79" spans="1:21" customFormat="1">
      <c r="A79" s="163" t="s">
        <v>982</v>
      </c>
      <c r="B79" s="100">
        <v>5.01</v>
      </c>
      <c r="C79" s="100">
        <v>14.84</v>
      </c>
      <c r="D79" s="100">
        <v>9.83</v>
      </c>
      <c r="E79" s="100">
        <v>10.15</v>
      </c>
      <c r="F79" s="100">
        <v>21.06</v>
      </c>
      <c r="G79" s="100">
        <v>65.55</v>
      </c>
      <c r="H79" s="100">
        <v>31.25</v>
      </c>
      <c r="I79" s="100">
        <v>8.64</v>
      </c>
      <c r="J79" s="100">
        <v>0.54</v>
      </c>
      <c r="K79" s="100">
        <v>314.08999999999997</v>
      </c>
      <c r="L79" s="100">
        <v>36.51</v>
      </c>
      <c r="M79" s="100">
        <v>30.73</v>
      </c>
      <c r="N79" s="100">
        <v>13.8</v>
      </c>
      <c r="O79" s="100">
        <v>0</v>
      </c>
      <c r="P79" s="100">
        <v>0.71</v>
      </c>
      <c r="Q79" s="100">
        <v>9.92</v>
      </c>
      <c r="R79" s="6"/>
      <c r="S79" s="6"/>
      <c r="T79" s="156"/>
      <c r="U79" s="6"/>
    </row>
    <row r="80" spans="1:21" customFormat="1">
      <c r="A80" s="163" t="s">
        <v>983</v>
      </c>
      <c r="B80" s="100">
        <v>5.72</v>
      </c>
      <c r="C80" s="100">
        <v>15.43</v>
      </c>
      <c r="D80" s="100">
        <v>9.7100000000000009</v>
      </c>
      <c r="E80" s="100">
        <v>7.83</v>
      </c>
      <c r="F80" s="100">
        <v>14.35</v>
      </c>
      <c r="G80" s="100">
        <v>65.55</v>
      </c>
      <c r="H80" s="100">
        <v>31.25</v>
      </c>
      <c r="I80" s="100">
        <v>8.59</v>
      </c>
      <c r="J80" s="100">
        <v>1.94</v>
      </c>
      <c r="K80" s="100">
        <v>34.26</v>
      </c>
      <c r="L80" s="100">
        <v>35.22</v>
      </c>
      <c r="M80" s="100">
        <v>38.03</v>
      </c>
      <c r="N80" s="100">
        <v>9</v>
      </c>
      <c r="O80" s="100">
        <v>0</v>
      </c>
      <c r="P80" s="100">
        <v>0.71</v>
      </c>
      <c r="Q80" s="100">
        <v>9.94</v>
      </c>
      <c r="R80" s="6"/>
      <c r="S80" s="6"/>
      <c r="T80" s="156"/>
      <c r="U80" s="6"/>
    </row>
    <row r="81" spans="1:21" customFormat="1">
      <c r="A81" s="163" t="s">
        <v>984</v>
      </c>
      <c r="B81" s="100">
        <v>4.84</v>
      </c>
      <c r="C81" s="100">
        <v>12.55</v>
      </c>
      <c r="D81" s="100">
        <v>7.72</v>
      </c>
      <c r="E81" s="100">
        <v>5.8</v>
      </c>
      <c r="F81" s="100">
        <v>23.34</v>
      </c>
      <c r="G81" s="100">
        <v>73.75</v>
      </c>
      <c r="H81" s="100">
        <v>32.549999999999997</v>
      </c>
      <c r="I81" s="100">
        <v>7.07</v>
      </c>
      <c r="J81" s="100">
        <v>1.55</v>
      </c>
      <c r="K81" s="100">
        <v>36.9</v>
      </c>
      <c r="L81" s="100">
        <v>34.1</v>
      </c>
      <c r="M81" s="100">
        <v>42.47</v>
      </c>
      <c r="N81" s="100">
        <v>6.5</v>
      </c>
      <c r="O81" s="100">
        <v>0</v>
      </c>
      <c r="P81" s="100">
        <v>0.68</v>
      </c>
      <c r="Q81" s="100">
        <v>9.9499999999999993</v>
      </c>
      <c r="R81" s="6"/>
      <c r="S81" s="6"/>
      <c r="T81" s="156"/>
      <c r="U81" s="6"/>
    </row>
    <row r="82" spans="1:21" customFormat="1">
      <c r="A82" s="163" t="s">
        <v>985</v>
      </c>
      <c r="B82" s="100">
        <v>5.17</v>
      </c>
      <c r="C82" s="100">
        <v>15.77</v>
      </c>
      <c r="D82" s="100">
        <v>10.61</v>
      </c>
      <c r="E82" s="100">
        <v>5.65</v>
      </c>
      <c r="F82" s="100">
        <v>29.56</v>
      </c>
      <c r="G82" s="100">
        <v>84.01</v>
      </c>
      <c r="H82" s="100">
        <v>34.89</v>
      </c>
      <c r="I82" s="100">
        <v>7.41</v>
      </c>
      <c r="J82" s="100">
        <v>0.91</v>
      </c>
      <c r="K82" s="100">
        <v>28.43</v>
      </c>
      <c r="L82" s="100">
        <v>34.630000000000003</v>
      </c>
      <c r="M82" s="100">
        <v>37.58</v>
      </c>
      <c r="N82" s="100">
        <v>3.4</v>
      </c>
      <c r="O82" s="100">
        <v>0</v>
      </c>
      <c r="P82" s="100">
        <v>0.74</v>
      </c>
      <c r="Q82" s="100">
        <v>9.9499999999999993</v>
      </c>
      <c r="R82" s="6"/>
      <c r="S82" s="6"/>
      <c r="T82" s="156"/>
      <c r="U82" s="6"/>
    </row>
    <row r="83" spans="1:21" customFormat="1">
      <c r="A83" s="163" t="s">
        <v>986</v>
      </c>
      <c r="B83" s="100">
        <v>8.06</v>
      </c>
      <c r="C83" s="100">
        <v>25.89</v>
      </c>
      <c r="D83" s="100">
        <v>17.829999999999998</v>
      </c>
      <c r="E83" s="100">
        <v>5.41</v>
      </c>
      <c r="F83" s="100">
        <v>19.98</v>
      </c>
      <c r="G83" s="100">
        <v>84.01</v>
      </c>
      <c r="H83" s="100">
        <v>34.89</v>
      </c>
      <c r="I83" s="100">
        <v>7</v>
      </c>
      <c r="J83" s="100">
        <v>0.62</v>
      </c>
      <c r="K83" s="100">
        <v>38.090000000000003</v>
      </c>
      <c r="L83" s="100">
        <v>34.590000000000003</v>
      </c>
      <c r="M83" s="100">
        <v>39.119999999999997</v>
      </c>
      <c r="N83" s="100">
        <v>2.2000000000000002</v>
      </c>
      <c r="O83" s="100">
        <v>0</v>
      </c>
      <c r="P83" s="100">
        <v>0.84</v>
      </c>
      <c r="Q83" s="100">
        <v>9.94</v>
      </c>
      <c r="R83" s="6"/>
      <c r="S83" s="6"/>
      <c r="T83" s="156"/>
      <c r="U83" s="6"/>
    </row>
    <row r="84" spans="1:21" customFormat="1">
      <c r="A84" s="163" t="s">
        <v>987</v>
      </c>
      <c r="B84" s="100">
        <v>5.35</v>
      </c>
      <c r="C84" s="100">
        <v>17.22</v>
      </c>
      <c r="D84" s="100">
        <v>11.87</v>
      </c>
      <c r="E84" s="100">
        <v>5.51</v>
      </c>
      <c r="F84" s="100">
        <v>23.17</v>
      </c>
      <c r="G84" s="100">
        <v>84.01</v>
      </c>
      <c r="H84" s="100">
        <v>34.89</v>
      </c>
      <c r="I84" s="100">
        <v>7.06</v>
      </c>
      <c r="J84" s="100">
        <v>1.05</v>
      </c>
      <c r="K84" s="100">
        <v>47.66</v>
      </c>
      <c r="L84" s="100">
        <v>34.590000000000003</v>
      </c>
      <c r="M84" s="100">
        <v>39.33</v>
      </c>
      <c r="N84" s="100">
        <v>2</v>
      </c>
      <c r="O84" s="100">
        <v>0</v>
      </c>
      <c r="P84" s="100">
        <v>0.76</v>
      </c>
      <c r="Q84" s="100">
        <v>9.9499999999999993</v>
      </c>
      <c r="R84" s="6"/>
      <c r="S84" s="6"/>
      <c r="T84" s="156"/>
      <c r="U84" s="6"/>
    </row>
    <row r="85" spans="1:21" customFormat="1">
      <c r="A85" s="163" t="s">
        <v>988</v>
      </c>
      <c r="B85" s="100">
        <v>4.63</v>
      </c>
      <c r="C85" s="100">
        <v>15.54</v>
      </c>
      <c r="D85" s="100">
        <v>10.91</v>
      </c>
      <c r="E85" s="100">
        <v>8.91</v>
      </c>
      <c r="F85" s="100">
        <v>29.66</v>
      </c>
      <c r="G85" s="100">
        <v>82.75</v>
      </c>
      <c r="H85" s="100">
        <v>34.25</v>
      </c>
      <c r="I85" s="100">
        <v>7.77</v>
      </c>
      <c r="J85" s="100">
        <v>0.21</v>
      </c>
      <c r="K85" s="100">
        <v>98.2</v>
      </c>
      <c r="L85" s="100">
        <v>34.520000000000003</v>
      </c>
      <c r="M85" s="100">
        <v>41.1</v>
      </c>
      <c r="N85" s="100">
        <v>1.9</v>
      </c>
      <c r="O85" s="100">
        <v>0</v>
      </c>
      <c r="P85" s="100">
        <v>0.72</v>
      </c>
      <c r="Q85" s="100">
        <v>9.9499999999999993</v>
      </c>
      <c r="R85" s="6"/>
      <c r="S85" s="6"/>
      <c r="T85" s="156"/>
      <c r="U85" s="6"/>
    </row>
    <row r="86" spans="1:21" customFormat="1">
      <c r="A86" s="163" t="s">
        <v>989</v>
      </c>
      <c r="B86" s="100">
        <v>4.2</v>
      </c>
      <c r="C86" s="100">
        <v>13.26</v>
      </c>
      <c r="D86" s="100">
        <v>9.06</v>
      </c>
      <c r="E86" s="100">
        <v>8.85</v>
      </c>
      <c r="F86" s="100">
        <v>25.42</v>
      </c>
      <c r="G86" s="100">
        <v>81.180000000000007</v>
      </c>
      <c r="H86" s="100">
        <v>33.82</v>
      </c>
      <c r="I86" s="100">
        <v>7.6</v>
      </c>
      <c r="J86" s="100">
        <v>0.28000000000000003</v>
      </c>
      <c r="K86" s="100">
        <v>245.35</v>
      </c>
      <c r="L86" s="100">
        <v>33.92</v>
      </c>
      <c r="M86" s="100">
        <v>44.91</v>
      </c>
      <c r="N86" s="100">
        <v>2.1</v>
      </c>
      <c r="O86" s="100">
        <v>0</v>
      </c>
      <c r="P86" s="100">
        <v>0.65</v>
      </c>
      <c r="Q86" s="100">
        <v>9.9499999999999993</v>
      </c>
      <c r="R86" s="6"/>
      <c r="S86" s="6"/>
      <c r="T86" s="156"/>
      <c r="U86" s="6"/>
    </row>
    <row r="87" spans="1:21" customFormat="1">
      <c r="A87" s="163" t="s">
        <v>990</v>
      </c>
      <c r="B87" s="100">
        <v>4.0199999999999996</v>
      </c>
      <c r="C87" s="100">
        <v>11.74</v>
      </c>
      <c r="D87" s="100">
        <v>7.72</v>
      </c>
      <c r="E87" s="100">
        <v>8.6999999999999993</v>
      </c>
      <c r="F87" s="100">
        <v>37.159999999999997</v>
      </c>
      <c r="G87" s="100">
        <v>81.180000000000007</v>
      </c>
      <c r="H87" s="100">
        <v>33.82</v>
      </c>
      <c r="I87" s="100">
        <v>7.06</v>
      </c>
      <c r="J87" s="100">
        <v>0.05</v>
      </c>
      <c r="K87" s="100">
        <v>161.62</v>
      </c>
      <c r="L87" s="100">
        <v>33.880000000000003</v>
      </c>
      <c r="M87" s="100">
        <v>42.65</v>
      </c>
      <c r="N87" s="100">
        <v>1.6</v>
      </c>
      <c r="O87" s="100">
        <v>0</v>
      </c>
      <c r="P87" s="100">
        <v>0.62</v>
      </c>
      <c r="Q87" s="100">
        <v>9.94</v>
      </c>
      <c r="R87" s="6"/>
      <c r="S87" s="6"/>
      <c r="T87" s="156"/>
      <c r="U87" s="6"/>
    </row>
    <row r="88" spans="1:21" customFormat="1">
      <c r="A88" s="163" t="s">
        <v>991</v>
      </c>
      <c r="B88" s="100">
        <v>3.95</v>
      </c>
      <c r="C88" s="100">
        <v>11.26</v>
      </c>
      <c r="D88" s="100">
        <v>7.31</v>
      </c>
      <c r="E88" s="100">
        <v>8.43</v>
      </c>
      <c r="F88" s="100">
        <v>33.22</v>
      </c>
      <c r="G88" s="100">
        <v>81.180000000000007</v>
      </c>
      <c r="H88" s="100">
        <v>33.82</v>
      </c>
      <c r="I88" s="100">
        <v>6.79</v>
      </c>
      <c r="J88" s="100">
        <v>0.26</v>
      </c>
      <c r="K88" s="100">
        <v>211.09</v>
      </c>
      <c r="L88" s="100">
        <v>33.549999999999997</v>
      </c>
      <c r="M88" s="100">
        <v>44.83</v>
      </c>
      <c r="N88" s="100">
        <v>2.1</v>
      </c>
      <c r="O88" s="100">
        <v>0</v>
      </c>
      <c r="P88" s="100">
        <v>0.62</v>
      </c>
      <c r="Q88" s="100">
        <v>9.9600000000000009</v>
      </c>
      <c r="R88" s="6"/>
      <c r="S88" s="6"/>
      <c r="T88" s="156"/>
      <c r="U88" s="6"/>
    </row>
    <row r="89" spans="1:21" customFormat="1">
      <c r="A89" s="163" t="s">
        <v>992</v>
      </c>
      <c r="B89" s="100">
        <v>3.92</v>
      </c>
      <c r="C89" s="100">
        <v>10.43</v>
      </c>
      <c r="D89" s="100">
        <v>6.51</v>
      </c>
      <c r="E89" s="100">
        <v>7.21</v>
      </c>
      <c r="F89" s="100">
        <v>23.5</v>
      </c>
      <c r="G89" s="100">
        <v>78.38</v>
      </c>
      <c r="H89" s="100">
        <v>31.46</v>
      </c>
      <c r="I89" s="100">
        <v>6.54</v>
      </c>
      <c r="J89" s="100">
        <v>0.18</v>
      </c>
      <c r="K89" s="100">
        <v>228.07</v>
      </c>
      <c r="L89" s="100">
        <v>33.36</v>
      </c>
      <c r="M89" s="100">
        <v>45.71</v>
      </c>
      <c r="N89" s="100">
        <v>1.7</v>
      </c>
      <c r="O89" s="100">
        <v>0</v>
      </c>
      <c r="P89" s="100">
        <v>0.63</v>
      </c>
      <c r="Q89" s="100">
        <v>9.94</v>
      </c>
      <c r="R89" s="6"/>
      <c r="S89" s="6"/>
      <c r="T89" s="156"/>
      <c r="U89" s="6"/>
    </row>
    <row r="90" spans="1:21" customFormat="1">
      <c r="A90" s="163" t="s">
        <v>993</v>
      </c>
      <c r="B90" s="100">
        <v>3.93</v>
      </c>
      <c r="C90" s="100">
        <v>9.9600000000000009</v>
      </c>
      <c r="D90" s="100">
        <v>6.04</v>
      </c>
      <c r="E90" s="100">
        <v>5.8</v>
      </c>
      <c r="F90" s="100">
        <v>13.17</v>
      </c>
      <c r="G90" s="100">
        <v>74.88</v>
      </c>
      <c r="H90" s="100">
        <v>29.86</v>
      </c>
      <c r="I90" s="100">
        <v>6.61</v>
      </c>
      <c r="J90" s="100">
        <v>0.1</v>
      </c>
      <c r="K90" s="100">
        <v>230.21</v>
      </c>
      <c r="L90" s="100">
        <v>33.53</v>
      </c>
      <c r="M90" s="100">
        <v>44.59</v>
      </c>
      <c r="N90" s="100">
        <v>1.5</v>
      </c>
      <c r="O90" s="100">
        <v>0</v>
      </c>
      <c r="P90" s="100">
        <v>0.6</v>
      </c>
      <c r="Q90" s="100">
        <v>9.94</v>
      </c>
      <c r="R90" s="6"/>
      <c r="S90" s="6"/>
      <c r="T90" s="156"/>
      <c r="U90" s="6"/>
    </row>
    <row r="91" spans="1:21" customFormat="1">
      <c r="A91" s="163" t="s">
        <v>994</v>
      </c>
      <c r="B91" s="100">
        <v>3.87</v>
      </c>
      <c r="C91" s="100">
        <v>10.15</v>
      </c>
      <c r="D91" s="100">
        <v>6.28</v>
      </c>
      <c r="E91" s="100">
        <v>6.64</v>
      </c>
      <c r="F91" s="100">
        <v>10.98</v>
      </c>
      <c r="G91" s="100">
        <v>74.88</v>
      </c>
      <c r="H91" s="100">
        <v>29.86</v>
      </c>
      <c r="I91" s="100">
        <v>6.78</v>
      </c>
      <c r="J91" s="100">
        <v>0.3</v>
      </c>
      <c r="K91" s="100">
        <v>250.13</v>
      </c>
      <c r="L91" s="100">
        <v>33.619999999999997</v>
      </c>
      <c r="M91" s="100">
        <v>43.17</v>
      </c>
      <c r="N91" s="100">
        <v>1.3</v>
      </c>
      <c r="O91" s="100">
        <v>0</v>
      </c>
      <c r="P91" s="100">
        <v>0.61</v>
      </c>
      <c r="Q91" s="100">
        <v>9.93</v>
      </c>
      <c r="R91" s="6"/>
      <c r="S91" s="6"/>
      <c r="T91" s="156"/>
      <c r="U91" s="6"/>
    </row>
    <row r="92" spans="1:21" customFormat="1">
      <c r="A92" s="163" t="s">
        <v>995</v>
      </c>
      <c r="B92" s="100">
        <v>3.79</v>
      </c>
      <c r="C92" s="100">
        <v>10.199999999999999</v>
      </c>
      <c r="D92" s="100">
        <v>6.41</v>
      </c>
      <c r="E92" s="100">
        <v>7.09</v>
      </c>
      <c r="F92" s="100">
        <v>13.2</v>
      </c>
      <c r="G92" s="100">
        <v>74.88</v>
      </c>
      <c r="H92" s="100">
        <v>29.86</v>
      </c>
      <c r="I92" s="100">
        <v>6.99</v>
      </c>
      <c r="J92" s="100">
        <v>0.15</v>
      </c>
      <c r="K92" s="100">
        <v>202.75</v>
      </c>
      <c r="L92" s="100">
        <v>33.76</v>
      </c>
      <c r="M92" s="100">
        <v>43.64</v>
      </c>
      <c r="N92" s="100">
        <v>1.8</v>
      </c>
      <c r="O92" s="100">
        <v>0</v>
      </c>
      <c r="P92" s="100">
        <v>0.6</v>
      </c>
      <c r="Q92" s="100">
        <v>9.94</v>
      </c>
      <c r="R92" s="6"/>
      <c r="S92" s="6"/>
      <c r="T92" s="156"/>
      <c r="U92" s="6"/>
    </row>
    <row r="93" spans="1:21" customFormat="1">
      <c r="A93" s="163" t="s">
        <v>996</v>
      </c>
      <c r="B93" s="100">
        <v>3.74</v>
      </c>
      <c r="C93" s="100">
        <v>9.91</v>
      </c>
      <c r="D93" s="100">
        <v>6.16</v>
      </c>
      <c r="E93" s="100">
        <v>6.45</v>
      </c>
      <c r="F93" s="100">
        <v>9.4499999999999993</v>
      </c>
      <c r="G93" s="100">
        <v>73.599999999999994</v>
      </c>
      <c r="H93" s="100">
        <v>30.26</v>
      </c>
      <c r="I93" s="100">
        <v>7.02</v>
      </c>
      <c r="J93" s="100">
        <v>0.51</v>
      </c>
      <c r="K93" s="100">
        <v>257.27</v>
      </c>
      <c r="L93" s="100">
        <v>33.299999999999997</v>
      </c>
      <c r="M93" s="100">
        <v>43.74</v>
      </c>
      <c r="N93" s="100">
        <v>1.5</v>
      </c>
      <c r="O93" s="100">
        <v>0</v>
      </c>
      <c r="P93" s="100">
        <v>0.6</v>
      </c>
      <c r="Q93" s="100">
        <v>9.94</v>
      </c>
      <c r="R93" s="6"/>
      <c r="S93" s="6"/>
      <c r="T93" s="156"/>
      <c r="U93" s="6"/>
    </row>
    <row r="94" spans="1:21" customFormat="1">
      <c r="A94" s="163" t="s">
        <v>997</v>
      </c>
      <c r="B94" s="100">
        <v>3.72</v>
      </c>
      <c r="C94" s="100">
        <v>9.65</v>
      </c>
      <c r="D94" s="100">
        <v>5.93</v>
      </c>
      <c r="E94" s="100">
        <v>6.33</v>
      </c>
      <c r="F94" s="100">
        <v>9.9499999999999993</v>
      </c>
      <c r="G94" s="100">
        <v>72.02</v>
      </c>
      <c r="H94" s="100">
        <v>30.53</v>
      </c>
      <c r="I94" s="100">
        <v>6.93</v>
      </c>
      <c r="J94" s="100">
        <v>0.56999999999999995</v>
      </c>
      <c r="K94" s="100">
        <v>253.91</v>
      </c>
      <c r="L94" s="100">
        <v>33.479999999999997</v>
      </c>
      <c r="M94" s="100">
        <v>42.92</v>
      </c>
      <c r="N94" s="100">
        <v>1.4</v>
      </c>
      <c r="O94" s="100">
        <v>0</v>
      </c>
      <c r="P94" s="100">
        <v>0.59</v>
      </c>
      <c r="Q94" s="100">
        <v>9.92</v>
      </c>
      <c r="R94" s="6"/>
      <c r="S94" s="6"/>
      <c r="T94" s="156"/>
      <c r="U94" s="6"/>
    </row>
    <row r="95" spans="1:21" customFormat="1">
      <c r="A95" s="163" t="s">
        <v>998</v>
      </c>
      <c r="B95" s="100">
        <v>3.71</v>
      </c>
      <c r="C95" s="100">
        <v>9.5</v>
      </c>
      <c r="D95" s="100">
        <v>5.79</v>
      </c>
      <c r="E95" s="100">
        <v>5.64</v>
      </c>
      <c r="F95" s="100">
        <v>10.33</v>
      </c>
      <c r="G95" s="100">
        <v>72.02</v>
      </c>
      <c r="H95" s="100">
        <v>30.53</v>
      </c>
      <c r="I95" s="100">
        <v>6.91</v>
      </c>
      <c r="J95" s="100">
        <v>0.69</v>
      </c>
      <c r="K95" s="100">
        <v>254.64</v>
      </c>
      <c r="L95" s="100">
        <v>33.28</v>
      </c>
      <c r="M95" s="100">
        <v>42.86</v>
      </c>
      <c r="N95" s="100">
        <v>1.9</v>
      </c>
      <c r="O95" s="100">
        <v>0</v>
      </c>
      <c r="P95" s="100">
        <v>0.56999999999999995</v>
      </c>
      <c r="Q95" s="100">
        <v>9.93</v>
      </c>
      <c r="R95" s="6"/>
      <c r="S95" s="6"/>
      <c r="T95" s="156"/>
      <c r="U95" s="6"/>
    </row>
    <row r="96" spans="1:21" customFormat="1">
      <c r="A96" s="163" t="s">
        <v>999</v>
      </c>
      <c r="B96" s="100">
        <v>3.67</v>
      </c>
      <c r="C96" s="100">
        <v>9.18</v>
      </c>
      <c r="D96" s="100">
        <v>5.52</v>
      </c>
      <c r="E96" s="100">
        <v>5.75</v>
      </c>
      <c r="F96" s="100">
        <v>9.08</v>
      </c>
      <c r="G96" s="100">
        <v>72.02</v>
      </c>
      <c r="H96" s="100">
        <v>30.53</v>
      </c>
      <c r="I96" s="100">
        <v>6.82</v>
      </c>
      <c r="J96" s="100">
        <v>0.54</v>
      </c>
      <c r="K96" s="100">
        <v>254.19</v>
      </c>
      <c r="L96" s="100">
        <v>33.08</v>
      </c>
      <c r="M96" s="100">
        <v>43.33</v>
      </c>
      <c r="N96" s="100">
        <v>1.9</v>
      </c>
      <c r="O96" s="100">
        <v>0</v>
      </c>
      <c r="P96" s="100">
        <v>0.56000000000000005</v>
      </c>
      <c r="Q96" s="100">
        <v>9.92</v>
      </c>
      <c r="R96" s="6"/>
      <c r="S96" s="6"/>
      <c r="T96" s="156"/>
      <c r="U96" s="6"/>
    </row>
    <row r="97" spans="1:28" customFormat="1">
      <c r="A97" s="163" t="s">
        <v>1000</v>
      </c>
      <c r="B97" s="100">
        <v>3.63</v>
      </c>
      <c r="C97" s="100">
        <v>8.8800000000000008</v>
      </c>
      <c r="D97" s="100">
        <v>5.25</v>
      </c>
      <c r="E97" s="100">
        <v>5.48</v>
      </c>
      <c r="F97" s="100">
        <v>13.51</v>
      </c>
      <c r="G97" s="100">
        <v>67.260000000000005</v>
      </c>
      <c r="H97" s="100">
        <v>30.83</v>
      </c>
      <c r="I97" s="100">
        <v>6.64</v>
      </c>
      <c r="J97" s="100">
        <v>0.27</v>
      </c>
      <c r="K97" s="100">
        <v>233.33</v>
      </c>
      <c r="L97" s="100">
        <v>32.94</v>
      </c>
      <c r="M97" s="100">
        <v>44.88</v>
      </c>
      <c r="N97" s="100">
        <v>2.1</v>
      </c>
      <c r="O97" s="100">
        <v>0</v>
      </c>
      <c r="P97" s="100">
        <v>0.53</v>
      </c>
      <c r="Q97" s="100">
        <v>9.92</v>
      </c>
      <c r="R97" s="6"/>
      <c r="S97" s="6"/>
      <c r="T97" s="156"/>
      <c r="U97" s="6"/>
    </row>
    <row r="98" spans="1:28" customFormat="1">
      <c r="A98" s="163" t="s">
        <v>1001</v>
      </c>
      <c r="B98" s="100">
        <v>3.62</v>
      </c>
      <c r="C98" s="100">
        <v>8.8000000000000007</v>
      </c>
      <c r="D98" s="100">
        <v>5.18</v>
      </c>
      <c r="E98" s="100">
        <v>5.43</v>
      </c>
      <c r="F98" s="100">
        <v>11.04</v>
      </c>
      <c r="G98" s="100">
        <v>61.32</v>
      </c>
      <c r="H98" s="100">
        <v>31.03</v>
      </c>
      <c r="I98" s="100">
        <v>6.46</v>
      </c>
      <c r="J98" s="100">
        <v>0.24</v>
      </c>
      <c r="K98" s="100">
        <v>219.86</v>
      </c>
      <c r="L98" s="100">
        <v>32.6</v>
      </c>
      <c r="M98" s="100">
        <v>46.31</v>
      </c>
      <c r="N98" s="100">
        <v>1.9</v>
      </c>
      <c r="O98" s="100">
        <v>0</v>
      </c>
      <c r="P98" s="100">
        <v>0.51</v>
      </c>
      <c r="Q98" s="100">
        <v>9.92</v>
      </c>
      <c r="R98" s="6"/>
      <c r="S98" s="6"/>
      <c r="T98" s="156"/>
      <c r="U98" s="6"/>
    </row>
    <row r="99" spans="1:28" customFormat="1">
      <c r="A99" s="163" t="s">
        <v>1002</v>
      </c>
      <c r="B99" s="100">
        <v>3.64</v>
      </c>
      <c r="C99" s="100">
        <v>8.7899999999999991</v>
      </c>
      <c r="D99" s="100">
        <v>5.16</v>
      </c>
      <c r="E99" s="100">
        <v>5.61</v>
      </c>
      <c r="F99" s="100">
        <v>9.83</v>
      </c>
      <c r="G99" s="100">
        <v>61.32</v>
      </c>
      <c r="H99" s="100">
        <v>31.03</v>
      </c>
      <c r="I99" s="100">
        <v>6.12</v>
      </c>
      <c r="J99" s="100">
        <v>0.68</v>
      </c>
      <c r="K99" s="100">
        <v>256.44</v>
      </c>
      <c r="L99" s="100">
        <v>32.81</v>
      </c>
      <c r="M99" s="100">
        <v>43.98</v>
      </c>
      <c r="N99" s="100">
        <v>1.2</v>
      </c>
      <c r="O99" s="100">
        <v>0</v>
      </c>
      <c r="P99" s="100">
        <v>0.51</v>
      </c>
      <c r="Q99" s="100">
        <v>9.92</v>
      </c>
      <c r="R99" s="6"/>
      <c r="S99" s="6"/>
      <c r="T99" s="156"/>
      <c r="U99" s="6"/>
    </row>
    <row r="100" spans="1:28" customFormat="1">
      <c r="A100" s="163" t="s">
        <v>1003</v>
      </c>
      <c r="B100" s="100">
        <v>3.66</v>
      </c>
      <c r="C100" s="100">
        <v>8.66</v>
      </c>
      <c r="D100" s="100">
        <v>5</v>
      </c>
      <c r="E100" s="100">
        <v>5.84</v>
      </c>
      <c r="F100" s="100">
        <v>9.5299999999999994</v>
      </c>
      <c r="G100" s="100">
        <v>61.32</v>
      </c>
      <c r="H100" s="100">
        <v>31.03</v>
      </c>
      <c r="I100" s="100">
        <v>6</v>
      </c>
      <c r="J100" s="100">
        <v>0.79</v>
      </c>
      <c r="K100" s="100">
        <v>251.67</v>
      </c>
      <c r="L100" s="100">
        <v>32.81</v>
      </c>
      <c r="M100" s="100">
        <v>44.38</v>
      </c>
      <c r="N100" s="100">
        <v>1.9</v>
      </c>
      <c r="O100" s="100">
        <v>0</v>
      </c>
      <c r="P100" s="100">
        <v>0.5</v>
      </c>
      <c r="Q100" s="100">
        <v>9.94</v>
      </c>
      <c r="R100" s="6"/>
      <c r="S100" s="6"/>
      <c r="T100" s="156"/>
      <c r="U100" s="6"/>
      <c r="AB100" s="161"/>
    </row>
    <row r="101" spans="1:28" customFormat="1">
      <c r="A101" s="163" t="s">
        <v>1004</v>
      </c>
      <c r="B101" s="100">
        <v>3.62</v>
      </c>
      <c r="C101" s="100">
        <v>8.69</v>
      </c>
      <c r="D101" s="100">
        <v>5.07</v>
      </c>
      <c r="E101" s="100">
        <v>5.51</v>
      </c>
      <c r="F101" s="100">
        <v>11.31</v>
      </c>
      <c r="G101" s="100">
        <v>56.25</v>
      </c>
      <c r="H101" s="100">
        <v>27.07</v>
      </c>
      <c r="I101" s="100">
        <v>5.96</v>
      </c>
      <c r="J101" s="100">
        <v>0.34</v>
      </c>
      <c r="K101" s="100">
        <v>238.82</v>
      </c>
      <c r="L101" s="100">
        <v>32.75</v>
      </c>
      <c r="M101" s="100">
        <v>45.66</v>
      </c>
      <c r="N101" s="100">
        <v>1.8</v>
      </c>
      <c r="O101" s="100">
        <v>0</v>
      </c>
      <c r="P101" s="100">
        <v>0.47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1005</v>
      </c>
      <c r="B102" s="100">
        <v>3.62</v>
      </c>
      <c r="C102" s="100">
        <v>8.6199999999999992</v>
      </c>
      <c r="D102" s="100">
        <v>5</v>
      </c>
      <c r="E102" s="100">
        <v>5.6</v>
      </c>
      <c r="F102" s="100">
        <v>9.24</v>
      </c>
      <c r="G102" s="100">
        <v>49.91</v>
      </c>
      <c r="H102" s="100">
        <v>24.39</v>
      </c>
      <c r="I102" s="100">
        <v>5.85</v>
      </c>
      <c r="J102" s="100">
        <v>0.24</v>
      </c>
      <c r="K102" s="100">
        <v>96.6</v>
      </c>
      <c r="L102" s="100">
        <v>32.75</v>
      </c>
      <c r="M102" s="100">
        <v>46.05</v>
      </c>
      <c r="N102" s="100">
        <v>2.1</v>
      </c>
      <c r="O102" s="100">
        <v>0</v>
      </c>
      <c r="P102" s="100">
        <v>0.47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1006</v>
      </c>
      <c r="B103" s="100">
        <v>3.63</v>
      </c>
      <c r="C103" s="100">
        <v>8.6199999999999992</v>
      </c>
      <c r="D103" s="100">
        <v>4.99</v>
      </c>
      <c r="E103" s="100">
        <v>5.68</v>
      </c>
      <c r="F103" s="100">
        <v>9.32</v>
      </c>
      <c r="G103" s="100">
        <v>49.91</v>
      </c>
      <c r="H103" s="100">
        <v>24.39</v>
      </c>
      <c r="I103" s="100">
        <v>5.55</v>
      </c>
      <c r="J103" s="100">
        <v>0.26</v>
      </c>
      <c r="K103" s="100">
        <v>234.76</v>
      </c>
      <c r="L103" s="100">
        <v>32.22</v>
      </c>
      <c r="M103" s="100">
        <v>48.35</v>
      </c>
      <c r="N103" s="100">
        <v>1.9</v>
      </c>
      <c r="O103" s="100">
        <v>0</v>
      </c>
      <c r="P103" s="100">
        <v>0.46</v>
      </c>
      <c r="Q103" s="100">
        <v>9.92</v>
      </c>
      <c r="R103" s="6"/>
      <c r="S103" s="6"/>
      <c r="T103" s="156"/>
      <c r="U103" s="6"/>
    </row>
    <row r="104" spans="1:28" customFormat="1">
      <c r="A104" s="163" t="s">
        <v>1007</v>
      </c>
      <c r="B104" s="100">
        <v>3.65</v>
      </c>
      <c r="C104" s="100">
        <v>8.58</v>
      </c>
      <c r="D104" s="100">
        <v>4.93</v>
      </c>
      <c r="E104" s="100">
        <v>5.81</v>
      </c>
      <c r="F104" s="100">
        <v>8.19</v>
      </c>
      <c r="G104" s="100">
        <v>49.91</v>
      </c>
      <c r="H104" s="100">
        <v>24.39</v>
      </c>
      <c r="I104" s="100">
        <v>5.54</v>
      </c>
      <c r="J104" s="100">
        <v>0.11</v>
      </c>
      <c r="K104" s="100">
        <v>152.25</v>
      </c>
      <c r="L104" s="100">
        <v>32.1</v>
      </c>
      <c r="M104" s="100">
        <v>49.67</v>
      </c>
      <c r="N104" s="100">
        <v>2</v>
      </c>
      <c r="O104" s="100">
        <v>0</v>
      </c>
      <c r="P104" s="100">
        <v>0.44</v>
      </c>
      <c r="Q104" s="100">
        <v>9.92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3.62</v>
      </c>
      <c r="C106" s="158">
        <f>MIN(C9:C104)</f>
        <v>7.57</v>
      </c>
      <c r="D106" s="158">
        <f t="shared" ref="D106:Q106" si="0">MIN(D9:D104)</f>
        <v>3.28</v>
      </c>
      <c r="E106" s="158">
        <f t="shared" si="0"/>
        <v>3.88</v>
      </c>
      <c r="F106" s="158">
        <f t="shared" si="0"/>
        <v>3.62</v>
      </c>
      <c r="G106" s="158">
        <f t="shared" si="0"/>
        <v>46.71</v>
      </c>
      <c r="H106" s="158">
        <f t="shared" si="0"/>
        <v>24.39</v>
      </c>
      <c r="I106" s="158">
        <f t="shared" si="0"/>
        <v>4.97</v>
      </c>
      <c r="J106" s="158">
        <f t="shared" si="0"/>
        <v>0.05</v>
      </c>
      <c r="K106" s="158">
        <f t="shared" si="0"/>
        <v>28.43</v>
      </c>
      <c r="L106" s="158">
        <f t="shared" si="0"/>
        <v>28.81</v>
      </c>
      <c r="M106" s="158">
        <f t="shared" si="0"/>
        <v>23.89</v>
      </c>
      <c r="N106" s="158">
        <f t="shared" si="0"/>
        <v>1.1000000000000001</v>
      </c>
      <c r="O106" s="158">
        <f t="shared" si="0"/>
        <v>0</v>
      </c>
      <c r="P106" s="158">
        <f t="shared" si="0"/>
        <v>0.41</v>
      </c>
      <c r="Q106" s="158">
        <f t="shared" si="0"/>
        <v>9.91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8.06</v>
      </c>
      <c r="C107" s="157">
        <f t="shared" ref="C107:Q107" si="1">MAX(C9:C104)</f>
        <v>25.89</v>
      </c>
      <c r="D107" s="157">
        <f t="shared" si="1"/>
        <v>17.829999999999998</v>
      </c>
      <c r="E107" s="157">
        <f t="shared" si="1"/>
        <v>20.82</v>
      </c>
      <c r="F107" s="157">
        <f t="shared" si="1"/>
        <v>50.41</v>
      </c>
      <c r="G107" s="157">
        <f t="shared" si="1"/>
        <v>84.01</v>
      </c>
      <c r="H107" s="157">
        <f t="shared" si="1"/>
        <v>37.729999999999997</v>
      </c>
      <c r="I107" s="157">
        <f t="shared" si="1"/>
        <v>8.64</v>
      </c>
      <c r="J107" s="157">
        <f t="shared" si="1"/>
        <v>1.94</v>
      </c>
      <c r="K107" s="157">
        <f t="shared" si="1"/>
        <v>343.84</v>
      </c>
      <c r="L107" s="157">
        <f t="shared" si="1"/>
        <v>42.19</v>
      </c>
      <c r="M107" s="157">
        <f t="shared" si="1"/>
        <v>69.11</v>
      </c>
      <c r="N107" s="157">
        <f t="shared" si="1"/>
        <v>808.9</v>
      </c>
      <c r="O107" s="157">
        <f t="shared" si="1"/>
        <v>0</v>
      </c>
      <c r="P107" s="157">
        <f t="shared" si="1"/>
        <v>0.85</v>
      </c>
      <c r="Q107" s="157">
        <f t="shared" si="1"/>
        <v>9.9600000000000009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4.0479166666666684</v>
      </c>
      <c r="C108" s="158">
        <f t="shared" ref="C108:Q108" si="2">AVERAGE(C9:C104)</f>
        <v>10.063124999999998</v>
      </c>
      <c r="D108" s="158">
        <f t="shared" si="2"/>
        <v>6.0153124999999976</v>
      </c>
      <c r="E108" s="158">
        <f t="shared" si="2"/>
        <v>6.1886458333333332</v>
      </c>
      <c r="F108" s="158">
        <f t="shared" si="2"/>
        <v>13.069479166666666</v>
      </c>
      <c r="G108" s="158">
        <f t="shared" si="2"/>
        <v>63.251354166666687</v>
      </c>
      <c r="H108" s="158">
        <f t="shared" si="2"/>
        <v>31.489062500000017</v>
      </c>
      <c r="I108" s="158">
        <f t="shared" si="2"/>
        <v>6.7353124999999983</v>
      </c>
      <c r="J108" s="158">
        <f t="shared" si="2"/>
        <v>0.5183333333333332</v>
      </c>
      <c r="K108" s="158">
        <f t="shared" si="2"/>
        <v>233.43354166666657</v>
      </c>
      <c r="L108" s="158">
        <f t="shared" si="2"/>
        <v>34.448020833333352</v>
      </c>
      <c r="M108" s="158">
        <f t="shared" si="2"/>
        <v>44.11260416666665</v>
      </c>
      <c r="N108" s="158">
        <f t="shared" si="2"/>
        <v>128.63958333333332</v>
      </c>
      <c r="O108" s="158">
        <f t="shared" si="2"/>
        <v>0</v>
      </c>
      <c r="P108" s="158">
        <f t="shared" si="2"/>
        <v>0.51520833333333349</v>
      </c>
      <c r="Q108" s="158">
        <f t="shared" si="2"/>
        <v>9.9359374999999996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0.55882379610008071</v>
      </c>
      <c r="C109" s="158">
        <f t="shared" ref="C109:Q109" si="3">STDEV(C9:C104)</f>
        <v>2.3996917839370178</v>
      </c>
      <c r="D109" s="158">
        <f t="shared" si="3"/>
        <v>1.9859670602690531</v>
      </c>
      <c r="E109" s="158">
        <f t="shared" si="3"/>
        <v>1.97648365047982</v>
      </c>
      <c r="F109" s="158">
        <f t="shared" si="3"/>
        <v>8.0994980182064324</v>
      </c>
      <c r="G109" s="158">
        <f t="shared" si="3"/>
        <v>9.6703271179406833</v>
      </c>
      <c r="H109" s="158">
        <f t="shared" si="3"/>
        <v>3.1224430644592176</v>
      </c>
      <c r="I109" s="158">
        <f t="shared" si="3"/>
        <v>0.8308143793259517</v>
      </c>
      <c r="J109" s="158">
        <f t="shared" si="3"/>
        <v>0.37096649491682854</v>
      </c>
      <c r="K109" s="158">
        <f t="shared" si="3"/>
        <v>67.545050509842895</v>
      </c>
      <c r="L109" s="158">
        <f t="shared" si="3"/>
        <v>4.0102118646724367</v>
      </c>
      <c r="M109" s="158">
        <f t="shared" si="3"/>
        <v>12.845021009164537</v>
      </c>
      <c r="N109" s="158">
        <f t="shared" si="3"/>
        <v>206.42456987540422</v>
      </c>
      <c r="O109" s="158">
        <f t="shared" si="3"/>
        <v>0</v>
      </c>
      <c r="P109" s="158">
        <f t="shared" si="3"/>
        <v>9.6256009153951119E-2</v>
      </c>
      <c r="Q109" s="158">
        <f t="shared" si="3"/>
        <v>1.1749860021562501E-2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L11" sqref="L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1008</v>
      </c>
      <c r="B9" s="100">
        <v>3.67</v>
      </c>
      <c r="C9" s="100">
        <v>8.24</v>
      </c>
      <c r="D9" s="100">
        <v>4.5599999999999996</v>
      </c>
      <c r="E9" s="100">
        <v>5.66</v>
      </c>
      <c r="F9" s="100">
        <v>12.25</v>
      </c>
      <c r="G9" s="100">
        <v>46.95</v>
      </c>
      <c r="H9" s="100">
        <v>23.81</v>
      </c>
      <c r="I9" s="100">
        <v>5.41</v>
      </c>
      <c r="J9" s="100">
        <v>0.11</v>
      </c>
      <c r="K9" s="100">
        <v>196.22</v>
      </c>
      <c r="L9" s="100">
        <v>31.53</v>
      </c>
      <c r="M9" s="100">
        <v>52.1</v>
      </c>
      <c r="N9" s="100">
        <v>2</v>
      </c>
      <c r="O9" s="100">
        <v>0</v>
      </c>
      <c r="P9" s="100">
        <v>0.43</v>
      </c>
      <c r="Q9" s="100">
        <v>9.91</v>
      </c>
      <c r="R9" s="6"/>
      <c r="S9" s="6"/>
      <c r="T9" s="156"/>
      <c r="U9" s="6"/>
    </row>
    <row r="10" spans="1:21" customFormat="1">
      <c r="A10" s="163" t="s">
        <v>1009</v>
      </c>
      <c r="B10" s="100">
        <v>3.72</v>
      </c>
      <c r="C10" s="100">
        <v>8.48</v>
      </c>
      <c r="D10" s="100">
        <v>4.7699999999999996</v>
      </c>
      <c r="E10" s="100">
        <v>5.8</v>
      </c>
      <c r="F10" s="100">
        <v>7.51</v>
      </c>
      <c r="G10" s="100">
        <v>43.25</v>
      </c>
      <c r="H10" s="100">
        <v>23.13</v>
      </c>
      <c r="I10" s="100">
        <v>5.27</v>
      </c>
      <c r="J10" s="100">
        <v>0.13</v>
      </c>
      <c r="K10" s="100">
        <v>193.71</v>
      </c>
      <c r="L10" s="100">
        <v>30.91</v>
      </c>
      <c r="M10" s="100">
        <v>54.07</v>
      </c>
      <c r="N10" s="100">
        <v>1.9</v>
      </c>
      <c r="O10" s="100">
        <v>0</v>
      </c>
      <c r="P10" s="100">
        <v>0.43</v>
      </c>
      <c r="Q10" s="100">
        <v>9.93</v>
      </c>
      <c r="R10" s="6"/>
      <c r="S10" s="6"/>
      <c r="T10" s="156"/>
      <c r="U10" s="6"/>
    </row>
    <row r="11" spans="1:21" customFormat="1">
      <c r="A11" s="163" t="s">
        <v>1010</v>
      </c>
      <c r="B11" s="100">
        <v>3.71</v>
      </c>
      <c r="C11" s="100">
        <v>8.61</v>
      </c>
      <c r="D11" s="100">
        <v>4.9000000000000004</v>
      </c>
      <c r="E11" s="100">
        <v>5.92</v>
      </c>
      <c r="F11" s="100">
        <v>7.69</v>
      </c>
      <c r="G11" s="100">
        <v>43.25</v>
      </c>
      <c r="H11" s="100">
        <v>23.13</v>
      </c>
      <c r="I11" s="100">
        <v>5.0599999999999996</v>
      </c>
      <c r="J11" s="100">
        <v>0.22</v>
      </c>
      <c r="K11" s="100">
        <v>195.51</v>
      </c>
      <c r="L11" s="100">
        <v>30.79</v>
      </c>
      <c r="M11" s="100">
        <v>54.76</v>
      </c>
      <c r="N11" s="100">
        <v>1.8</v>
      </c>
      <c r="O11" s="100">
        <v>0</v>
      </c>
      <c r="P11" s="100">
        <v>0.43</v>
      </c>
      <c r="Q11" s="100">
        <v>9.92</v>
      </c>
      <c r="R11" s="6"/>
      <c r="S11" s="6"/>
      <c r="T11" s="156"/>
      <c r="U11" s="6"/>
    </row>
    <row r="12" spans="1:21" customFormat="1">
      <c r="A12" s="163" t="s">
        <v>1011</v>
      </c>
      <c r="B12" s="100">
        <v>3.72</v>
      </c>
      <c r="C12" s="100">
        <v>8.5399999999999991</v>
      </c>
      <c r="D12" s="100">
        <v>4.82</v>
      </c>
      <c r="E12" s="100">
        <v>6.14</v>
      </c>
      <c r="F12" s="100">
        <v>6.77</v>
      </c>
      <c r="G12" s="100">
        <v>43.25</v>
      </c>
      <c r="H12" s="100">
        <v>23.13</v>
      </c>
      <c r="I12" s="100">
        <v>5.04</v>
      </c>
      <c r="J12" s="100">
        <v>0.13</v>
      </c>
      <c r="K12" s="100">
        <v>153.03</v>
      </c>
      <c r="L12" s="100">
        <v>30.52</v>
      </c>
      <c r="M12" s="100">
        <v>55.98</v>
      </c>
      <c r="N12" s="100">
        <v>1.7</v>
      </c>
      <c r="O12" s="100">
        <v>0</v>
      </c>
      <c r="P12" s="100">
        <v>0.42</v>
      </c>
      <c r="Q12" s="100">
        <v>9.92</v>
      </c>
      <c r="R12" s="6"/>
      <c r="S12" s="6"/>
      <c r="T12" s="156"/>
      <c r="U12" s="6"/>
    </row>
    <row r="13" spans="1:21" customFormat="1">
      <c r="A13" s="163" t="s">
        <v>1012</v>
      </c>
      <c r="B13" s="100">
        <v>3.74</v>
      </c>
      <c r="C13" s="100">
        <v>8.61</v>
      </c>
      <c r="D13" s="100">
        <v>4.87</v>
      </c>
      <c r="E13" s="100">
        <v>5.97</v>
      </c>
      <c r="F13" s="100">
        <v>6.1</v>
      </c>
      <c r="G13" s="100">
        <v>39.64</v>
      </c>
      <c r="H13" s="100">
        <v>20.67</v>
      </c>
      <c r="I13" s="100">
        <v>4.99</v>
      </c>
      <c r="J13" s="100">
        <v>0.13</v>
      </c>
      <c r="K13" s="100">
        <v>185.72</v>
      </c>
      <c r="L13" s="100">
        <v>30.41</v>
      </c>
      <c r="M13" s="100">
        <v>55.73</v>
      </c>
      <c r="N13" s="100">
        <v>1.5</v>
      </c>
      <c r="O13" s="100">
        <v>0</v>
      </c>
      <c r="P13" s="100">
        <v>0.41</v>
      </c>
      <c r="Q13" s="100">
        <v>9.9</v>
      </c>
      <c r="R13" s="6"/>
      <c r="S13" s="6"/>
      <c r="T13" s="156"/>
      <c r="U13" s="6"/>
    </row>
    <row r="14" spans="1:21" customFormat="1">
      <c r="A14" s="163" t="s">
        <v>1013</v>
      </c>
      <c r="B14" s="100">
        <v>3.74</v>
      </c>
      <c r="C14" s="100">
        <v>8.57</v>
      </c>
      <c r="D14" s="100">
        <v>4.82</v>
      </c>
      <c r="E14" s="100">
        <v>5.61</v>
      </c>
      <c r="F14" s="100">
        <v>19.399999999999999</v>
      </c>
      <c r="G14" s="100">
        <v>34.93</v>
      </c>
      <c r="H14" s="100">
        <v>18.97</v>
      </c>
      <c r="I14" s="100">
        <v>4.92</v>
      </c>
      <c r="J14" s="100">
        <v>0.16</v>
      </c>
      <c r="K14" s="100">
        <v>190.42</v>
      </c>
      <c r="L14" s="100">
        <v>30.16</v>
      </c>
      <c r="M14" s="100">
        <v>56.83</v>
      </c>
      <c r="N14" s="100">
        <v>1.6</v>
      </c>
      <c r="O14" s="100">
        <v>0</v>
      </c>
      <c r="P14" s="100">
        <v>0.43</v>
      </c>
      <c r="Q14" s="100">
        <v>9.93</v>
      </c>
      <c r="R14" s="6"/>
      <c r="S14" s="6"/>
      <c r="T14" s="156"/>
      <c r="U14" s="6"/>
    </row>
    <row r="15" spans="1:21" customFormat="1">
      <c r="A15" s="163" t="s">
        <v>1014</v>
      </c>
      <c r="B15" s="100">
        <v>3.78</v>
      </c>
      <c r="C15" s="100">
        <v>7.89</v>
      </c>
      <c r="D15" s="100">
        <v>4.1100000000000003</v>
      </c>
      <c r="E15" s="100">
        <v>5.46</v>
      </c>
      <c r="F15" s="100">
        <v>22.11</v>
      </c>
      <c r="G15" s="100">
        <v>34.93</v>
      </c>
      <c r="H15" s="100">
        <v>18.97</v>
      </c>
      <c r="I15" s="100">
        <v>4.79</v>
      </c>
      <c r="J15" s="100">
        <v>0.15</v>
      </c>
      <c r="K15" s="100">
        <v>111.86</v>
      </c>
      <c r="L15" s="100">
        <v>30.01</v>
      </c>
      <c r="M15" s="100">
        <v>56.12</v>
      </c>
      <c r="N15" s="100">
        <v>1.4</v>
      </c>
      <c r="O15" s="100">
        <v>0</v>
      </c>
      <c r="P15" s="100">
        <v>0.43</v>
      </c>
      <c r="Q15" s="100">
        <v>9.93</v>
      </c>
      <c r="R15" s="6"/>
      <c r="S15" s="6"/>
      <c r="T15" s="156"/>
      <c r="U15" s="6"/>
    </row>
    <row r="16" spans="1:21" customFormat="1">
      <c r="A16" s="163" t="s">
        <v>1015</v>
      </c>
      <c r="B16" s="100">
        <v>3.82</v>
      </c>
      <c r="C16" s="100">
        <v>7.7</v>
      </c>
      <c r="D16" s="100">
        <v>3.88</v>
      </c>
      <c r="E16" s="100">
        <v>5.17</v>
      </c>
      <c r="F16" s="100">
        <v>21.59</v>
      </c>
      <c r="G16" s="100">
        <v>34.93</v>
      </c>
      <c r="H16" s="100">
        <v>18.97</v>
      </c>
      <c r="I16" s="100">
        <v>4.3099999999999996</v>
      </c>
      <c r="J16" s="100">
        <v>0.21</v>
      </c>
      <c r="K16" s="100">
        <v>192.33</v>
      </c>
      <c r="L16" s="100">
        <v>29.84</v>
      </c>
      <c r="M16" s="100">
        <v>58.02</v>
      </c>
      <c r="N16" s="100">
        <v>1.7</v>
      </c>
      <c r="O16" s="100">
        <v>0</v>
      </c>
      <c r="P16" s="100">
        <v>0.41</v>
      </c>
      <c r="Q16" s="100">
        <v>9.93</v>
      </c>
      <c r="R16" s="6"/>
      <c r="S16" s="6"/>
      <c r="T16" s="156"/>
      <c r="U16" s="6"/>
    </row>
    <row r="17" spans="1:21" customFormat="1">
      <c r="A17" s="163" t="s">
        <v>1016</v>
      </c>
      <c r="B17" s="100">
        <v>3.88</v>
      </c>
      <c r="C17" s="100">
        <v>7.47</v>
      </c>
      <c r="D17" s="100">
        <v>3.59</v>
      </c>
      <c r="E17" s="100">
        <v>3.87</v>
      </c>
      <c r="F17" s="100">
        <v>17.79</v>
      </c>
      <c r="G17" s="100">
        <v>33.6</v>
      </c>
      <c r="H17" s="100">
        <v>19.91</v>
      </c>
      <c r="I17" s="100">
        <v>4.26</v>
      </c>
      <c r="J17" s="100">
        <v>0.14000000000000001</v>
      </c>
      <c r="K17" s="100">
        <v>191.66</v>
      </c>
      <c r="L17" s="100">
        <v>29.83</v>
      </c>
      <c r="M17" s="100">
        <v>57.18</v>
      </c>
      <c r="N17" s="100">
        <v>1.5</v>
      </c>
      <c r="O17" s="100">
        <v>0</v>
      </c>
      <c r="P17" s="100">
        <v>0.42</v>
      </c>
      <c r="Q17" s="100">
        <v>9.94</v>
      </c>
      <c r="R17" s="6"/>
      <c r="S17" s="6"/>
      <c r="T17" s="156"/>
      <c r="U17" s="6"/>
    </row>
    <row r="18" spans="1:21" customFormat="1">
      <c r="A18" s="163" t="s">
        <v>1017</v>
      </c>
      <c r="B18" s="100">
        <v>4.01</v>
      </c>
      <c r="C18" s="100">
        <v>8.01</v>
      </c>
      <c r="D18" s="100">
        <v>4</v>
      </c>
      <c r="E18" s="100">
        <v>5.03</v>
      </c>
      <c r="F18" s="100">
        <v>14.42</v>
      </c>
      <c r="G18" s="100">
        <v>31.87</v>
      </c>
      <c r="H18" s="100">
        <v>20.56</v>
      </c>
      <c r="I18" s="100">
        <v>4.25</v>
      </c>
      <c r="J18" s="100">
        <v>0.16</v>
      </c>
      <c r="K18" s="100">
        <v>233.77</v>
      </c>
      <c r="L18" s="100">
        <v>29.6</v>
      </c>
      <c r="M18" s="100">
        <v>57.95</v>
      </c>
      <c r="N18" s="100">
        <v>1.7</v>
      </c>
      <c r="O18" s="100">
        <v>0</v>
      </c>
      <c r="P18" s="100">
        <v>0.44</v>
      </c>
      <c r="Q18" s="100">
        <v>9.93</v>
      </c>
      <c r="R18" s="6"/>
      <c r="S18" s="6"/>
      <c r="T18" s="156"/>
      <c r="U18" s="6"/>
    </row>
    <row r="19" spans="1:21" customFormat="1">
      <c r="A19" s="163" t="s">
        <v>1018</v>
      </c>
      <c r="B19" s="100">
        <v>4.03</v>
      </c>
      <c r="C19" s="100">
        <v>7.7</v>
      </c>
      <c r="D19" s="100">
        <v>3.66</v>
      </c>
      <c r="E19" s="100">
        <v>4.88</v>
      </c>
      <c r="F19" s="100">
        <v>17.57</v>
      </c>
      <c r="G19" s="100">
        <v>31.87</v>
      </c>
      <c r="H19" s="100">
        <v>20.56</v>
      </c>
      <c r="I19" s="100">
        <v>4.32</v>
      </c>
      <c r="J19" s="100">
        <v>0.08</v>
      </c>
      <c r="K19" s="100">
        <v>212.44</v>
      </c>
      <c r="L19" s="100">
        <v>29.68</v>
      </c>
      <c r="M19" s="100">
        <v>57.8</v>
      </c>
      <c r="N19" s="100">
        <v>1.4</v>
      </c>
      <c r="O19" s="100">
        <v>0</v>
      </c>
      <c r="P19" s="100">
        <v>0.43</v>
      </c>
      <c r="Q19" s="100">
        <v>9.94</v>
      </c>
      <c r="R19" s="6"/>
      <c r="S19" s="6"/>
      <c r="T19" s="156"/>
      <c r="U19" s="6"/>
    </row>
    <row r="20" spans="1:21" customFormat="1">
      <c r="A20" s="163" t="s">
        <v>1019</v>
      </c>
      <c r="B20" s="100">
        <v>4.01</v>
      </c>
      <c r="C20" s="100">
        <v>7.61</v>
      </c>
      <c r="D20" s="100">
        <v>3.6</v>
      </c>
      <c r="E20" s="100">
        <v>4.54</v>
      </c>
      <c r="F20" s="100">
        <v>12.74</v>
      </c>
      <c r="G20" s="100">
        <v>31.87</v>
      </c>
      <c r="H20" s="100">
        <v>20.56</v>
      </c>
      <c r="I20" s="100">
        <v>4.5</v>
      </c>
      <c r="J20" s="100">
        <v>0.15</v>
      </c>
      <c r="K20" s="100">
        <v>172.42</v>
      </c>
      <c r="L20" s="100">
        <v>29.57</v>
      </c>
      <c r="M20" s="100">
        <v>58.68</v>
      </c>
      <c r="N20" s="100">
        <v>1.6</v>
      </c>
      <c r="O20" s="100">
        <v>0</v>
      </c>
      <c r="P20" s="100">
        <v>0.43</v>
      </c>
      <c r="Q20" s="100">
        <v>9.92</v>
      </c>
      <c r="R20" s="6"/>
      <c r="S20" s="6"/>
      <c r="T20" s="156"/>
      <c r="U20" s="6"/>
    </row>
    <row r="21" spans="1:21" customFormat="1">
      <c r="A21" s="163" t="s">
        <v>1020</v>
      </c>
      <c r="B21" s="100">
        <v>4.0599999999999996</v>
      </c>
      <c r="C21" s="100">
        <v>8.06</v>
      </c>
      <c r="D21" s="100">
        <v>4</v>
      </c>
      <c r="E21" s="100">
        <v>5.15</v>
      </c>
      <c r="F21" s="100">
        <v>16.52</v>
      </c>
      <c r="G21" s="100">
        <v>32.82</v>
      </c>
      <c r="H21" s="100">
        <v>19.38</v>
      </c>
      <c r="I21" s="100">
        <v>4.3600000000000003</v>
      </c>
      <c r="J21" s="100">
        <v>0.17</v>
      </c>
      <c r="K21" s="100">
        <v>181.42</v>
      </c>
      <c r="L21" s="100">
        <v>29.12</v>
      </c>
      <c r="M21" s="100">
        <v>61.48</v>
      </c>
      <c r="N21" s="100">
        <v>1.9</v>
      </c>
      <c r="O21" s="100">
        <v>0</v>
      </c>
      <c r="P21" s="100">
        <v>0.44</v>
      </c>
      <c r="Q21" s="100">
        <v>9.92</v>
      </c>
      <c r="R21" s="6"/>
      <c r="S21" s="6"/>
      <c r="T21" s="156"/>
      <c r="U21" s="6"/>
    </row>
    <row r="22" spans="1:21" customFormat="1">
      <c r="A22" s="163" t="s">
        <v>1021</v>
      </c>
      <c r="B22" s="100">
        <v>4.1100000000000003</v>
      </c>
      <c r="C22" s="100">
        <v>7.84</v>
      </c>
      <c r="D22" s="100">
        <v>3.73</v>
      </c>
      <c r="E22" s="100">
        <v>4.8899999999999997</v>
      </c>
      <c r="F22" s="100">
        <v>13.72</v>
      </c>
      <c r="G22" s="100">
        <v>34.07</v>
      </c>
      <c r="H22" s="100">
        <v>18.57</v>
      </c>
      <c r="I22" s="100">
        <v>4.53</v>
      </c>
      <c r="J22" s="100">
        <v>0.14000000000000001</v>
      </c>
      <c r="K22" s="100">
        <v>185.03</v>
      </c>
      <c r="L22" s="100">
        <v>28.89</v>
      </c>
      <c r="M22" s="100">
        <v>62.86</v>
      </c>
      <c r="N22" s="100">
        <v>1.7</v>
      </c>
      <c r="O22" s="100">
        <v>0</v>
      </c>
      <c r="P22" s="100">
        <v>0.42</v>
      </c>
      <c r="Q22" s="100">
        <v>9.94</v>
      </c>
      <c r="R22" s="6"/>
      <c r="S22" s="6"/>
      <c r="T22" s="156"/>
      <c r="U22" s="6"/>
    </row>
    <row r="23" spans="1:21" customFormat="1">
      <c r="A23" s="163" t="s">
        <v>1022</v>
      </c>
      <c r="B23" s="100">
        <v>4.21</v>
      </c>
      <c r="C23" s="100">
        <v>7.77</v>
      </c>
      <c r="D23" s="100">
        <v>3.56</v>
      </c>
      <c r="E23" s="100">
        <v>5.22</v>
      </c>
      <c r="F23" s="100">
        <v>6.77</v>
      </c>
      <c r="G23" s="100">
        <v>34.07</v>
      </c>
      <c r="H23" s="100">
        <v>18.57</v>
      </c>
      <c r="I23" s="100">
        <v>4.4800000000000004</v>
      </c>
      <c r="J23" s="100">
        <v>0.12</v>
      </c>
      <c r="K23" s="100">
        <v>168.79</v>
      </c>
      <c r="L23" s="100">
        <v>28.77</v>
      </c>
      <c r="M23" s="100">
        <v>63.54</v>
      </c>
      <c r="N23" s="100">
        <v>1.6</v>
      </c>
      <c r="O23" s="100">
        <v>0</v>
      </c>
      <c r="P23" s="100">
        <v>0.43</v>
      </c>
      <c r="Q23" s="100">
        <v>9.93</v>
      </c>
      <c r="R23" s="6"/>
      <c r="S23" s="6"/>
      <c r="T23" s="156"/>
      <c r="U23" s="6"/>
    </row>
    <row r="24" spans="1:21" customFormat="1">
      <c r="A24" s="163" t="s">
        <v>1023</v>
      </c>
      <c r="B24" s="100">
        <v>4.21</v>
      </c>
      <c r="C24" s="100">
        <v>8.23</v>
      </c>
      <c r="D24" s="100">
        <v>4.0199999999999996</v>
      </c>
      <c r="E24" s="100">
        <v>5.08</v>
      </c>
      <c r="F24" s="100">
        <v>11.19</v>
      </c>
      <c r="G24" s="100">
        <v>34.07</v>
      </c>
      <c r="H24" s="100">
        <v>18.57</v>
      </c>
      <c r="I24" s="100">
        <v>4.54</v>
      </c>
      <c r="J24" s="100">
        <v>0.15</v>
      </c>
      <c r="K24" s="100">
        <v>190.97</v>
      </c>
      <c r="L24" s="100">
        <v>28.62</v>
      </c>
      <c r="M24" s="100">
        <v>63.88</v>
      </c>
      <c r="N24" s="100">
        <v>1.6</v>
      </c>
      <c r="O24" s="100">
        <v>0</v>
      </c>
      <c r="P24" s="100">
        <v>0.44</v>
      </c>
      <c r="Q24" s="100">
        <v>9.94</v>
      </c>
      <c r="R24" s="6"/>
      <c r="S24" s="6"/>
      <c r="T24" s="156"/>
      <c r="U24" s="6"/>
    </row>
    <row r="25" spans="1:21" customFormat="1">
      <c r="A25" s="163" t="s">
        <v>1024</v>
      </c>
      <c r="B25" s="100">
        <v>4.22</v>
      </c>
      <c r="C25" s="100">
        <v>7.91</v>
      </c>
      <c r="D25" s="100">
        <v>3.69</v>
      </c>
      <c r="E25" s="100">
        <v>4.95</v>
      </c>
      <c r="F25" s="100">
        <v>11.59</v>
      </c>
      <c r="G25" s="100">
        <v>32.39</v>
      </c>
      <c r="H25" s="100">
        <v>18.47</v>
      </c>
      <c r="I25" s="100">
        <v>4.8099999999999996</v>
      </c>
      <c r="J25" s="100">
        <v>0.15</v>
      </c>
      <c r="K25" s="100">
        <v>177.67</v>
      </c>
      <c r="L25" s="100">
        <v>28.59</v>
      </c>
      <c r="M25" s="100">
        <v>64.5</v>
      </c>
      <c r="N25" s="100">
        <v>1.5</v>
      </c>
      <c r="O25" s="100">
        <v>0</v>
      </c>
      <c r="P25" s="100">
        <v>0.43</v>
      </c>
      <c r="Q25" s="100">
        <v>9.93</v>
      </c>
      <c r="R25" s="6"/>
      <c r="S25" s="6"/>
      <c r="T25" s="156"/>
      <c r="U25" s="6"/>
    </row>
    <row r="26" spans="1:21" customFormat="1">
      <c r="A26" s="163" t="s">
        <v>1025</v>
      </c>
      <c r="B26" s="100">
        <v>4.3099999999999996</v>
      </c>
      <c r="C26" s="100">
        <v>8.25</v>
      </c>
      <c r="D26" s="100">
        <v>3.94</v>
      </c>
      <c r="E26" s="100">
        <v>5.3</v>
      </c>
      <c r="F26" s="100">
        <v>10.18</v>
      </c>
      <c r="G26" s="100">
        <v>30.2</v>
      </c>
      <c r="H26" s="100">
        <v>18.41</v>
      </c>
      <c r="I26" s="100">
        <v>4.66</v>
      </c>
      <c r="J26" s="100">
        <v>0.11</v>
      </c>
      <c r="K26" s="100">
        <v>185.66</v>
      </c>
      <c r="L26" s="100">
        <v>28.42</v>
      </c>
      <c r="M26" s="100">
        <v>65.540000000000006</v>
      </c>
      <c r="N26" s="100">
        <v>1.5</v>
      </c>
      <c r="O26" s="100">
        <v>0</v>
      </c>
      <c r="P26" s="100">
        <v>0.44</v>
      </c>
      <c r="Q26" s="100">
        <v>9.94</v>
      </c>
      <c r="R26" s="6"/>
      <c r="S26" s="6"/>
      <c r="T26" s="156"/>
      <c r="U26" s="6"/>
    </row>
    <row r="27" spans="1:21" customFormat="1">
      <c r="A27" s="163" t="s">
        <v>1026</v>
      </c>
      <c r="B27" s="100">
        <v>4.33</v>
      </c>
      <c r="C27" s="100">
        <v>8.02</v>
      </c>
      <c r="D27" s="100">
        <v>3.69</v>
      </c>
      <c r="E27" s="100">
        <v>5.39</v>
      </c>
      <c r="F27" s="100">
        <v>9.14</v>
      </c>
      <c r="G27" s="100">
        <v>30.2</v>
      </c>
      <c r="H27" s="100">
        <v>18.41</v>
      </c>
      <c r="I27" s="100">
        <v>4.66</v>
      </c>
      <c r="J27" s="100">
        <v>0.2</v>
      </c>
      <c r="K27" s="100">
        <v>189.13</v>
      </c>
      <c r="L27" s="100">
        <v>28.12</v>
      </c>
      <c r="M27" s="100">
        <v>67.17</v>
      </c>
      <c r="N27" s="100">
        <v>1.7</v>
      </c>
      <c r="O27" s="100">
        <v>0</v>
      </c>
      <c r="P27" s="100">
        <v>0.42</v>
      </c>
      <c r="Q27" s="100">
        <v>9.9499999999999993</v>
      </c>
      <c r="R27" s="6"/>
      <c r="S27" s="6"/>
      <c r="T27" s="156"/>
      <c r="U27" s="6"/>
    </row>
    <row r="28" spans="1:21" customFormat="1">
      <c r="A28" s="163" t="s">
        <v>1027</v>
      </c>
      <c r="B28" s="100">
        <v>4.42</v>
      </c>
      <c r="C28" s="100">
        <v>7.67</v>
      </c>
      <c r="D28" s="100">
        <v>3.26</v>
      </c>
      <c r="E28" s="100">
        <v>5.24</v>
      </c>
      <c r="F28" s="100">
        <v>4.8</v>
      </c>
      <c r="G28" s="100">
        <v>30.2</v>
      </c>
      <c r="H28" s="100">
        <v>18.41</v>
      </c>
      <c r="I28" s="100">
        <v>4.79</v>
      </c>
      <c r="J28" s="100">
        <v>0.11</v>
      </c>
      <c r="K28" s="100">
        <v>194.97</v>
      </c>
      <c r="L28" s="100">
        <v>27.83</v>
      </c>
      <c r="M28" s="100">
        <v>69</v>
      </c>
      <c r="N28" s="100">
        <v>1.7</v>
      </c>
      <c r="O28" s="100">
        <v>0</v>
      </c>
      <c r="P28" s="100">
        <v>0.42</v>
      </c>
      <c r="Q28" s="100">
        <v>9.93</v>
      </c>
      <c r="R28" s="6"/>
      <c r="S28" s="6"/>
      <c r="T28" s="156"/>
      <c r="U28" s="6"/>
    </row>
    <row r="29" spans="1:21" customFormat="1">
      <c r="A29" s="163" t="s">
        <v>1028</v>
      </c>
      <c r="B29" s="100">
        <v>4.38</v>
      </c>
      <c r="C29" s="100">
        <v>8.2899999999999991</v>
      </c>
      <c r="D29" s="100">
        <v>3.91</v>
      </c>
      <c r="E29" s="100">
        <v>5.0999999999999996</v>
      </c>
      <c r="F29" s="100">
        <v>9.0399999999999991</v>
      </c>
      <c r="G29" s="100">
        <v>31.03</v>
      </c>
      <c r="H29" s="100">
        <v>19.739999999999998</v>
      </c>
      <c r="I29" s="100">
        <v>4.7699999999999996</v>
      </c>
      <c r="J29" s="100">
        <v>0.14000000000000001</v>
      </c>
      <c r="K29" s="100">
        <v>200.4</v>
      </c>
      <c r="L29" s="100">
        <v>27.87</v>
      </c>
      <c r="M29" s="100">
        <v>68.88</v>
      </c>
      <c r="N29" s="100">
        <v>1.8</v>
      </c>
      <c r="O29" s="100">
        <v>0</v>
      </c>
      <c r="P29" s="100">
        <v>0.43</v>
      </c>
      <c r="Q29" s="100">
        <v>9.94</v>
      </c>
      <c r="R29" s="6"/>
      <c r="S29" s="6"/>
      <c r="T29" s="156"/>
      <c r="U29" s="6"/>
    </row>
    <row r="30" spans="1:21" customFormat="1">
      <c r="A30" s="163" t="s">
        <v>1029</v>
      </c>
      <c r="B30" s="100">
        <v>4.43</v>
      </c>
      <c r="C30" s="100">
        <v>7.99</v>
      </c>
      <c r="D30" s="100">
        <v>3.56</v>
      </c>
      <c r="E30" s="100">
        <v>5.1100000000000003</v>
      </c>
      <c r="F30" s="100">
        <v>6.32</v>
      </c>
      <c r="G30" s="100">
        <v>32.11</v>
      </c>
      <c r="H30" s="100">
        <v>20.67</v>
      </c>
      <c r="I30" s="100">
        <v>4.88</v>
      </c>
      <c r="J30" s="100">
        <v>0.19</v>
      </c>
      <c r="K30" s="100">
        <v>222.37</v>
      </c>
      <c r="L30" s="100">
        <v>27.66</v>
      </c>
      <c r="M30" s="100">
        <v>69.989999999999995</v>
      </c>
      <c r="N30" s="100">
        <v>4.4000000000000004</v>
      </c>
      <c r="O30" s="100">
        <v>0</v>
      </c>
      <c r="P30" s="100">
        <v>0.42</v>
      </c>
      <c r="Q30" s="100">
        <v>9.94</v>
      </c>
      <c r="R30" s="6"/>
      <c r="S30" s="6"/>
      <c r="T30" s="156"/>
      <c r="U30" s="6"/>
    </row>
    <row r="31" spans="1:21" customFormat="1">
      <c r="A31" s="163" t="s">
        <v>1030</v>
      </c>
      <c r="B31" s="100">
        <v>4.49</v>
      </c>
      <c r="C31" s="100">
        <v>8.39</v>
      </c>
      <c r="D31" s="100">
        <v>3.9</v>
      </c>
      <c r="E31" s="100">
        <v>5.44</v>
      </c>
      <c r="F31" s="100">
        <v>5.7</v>
      </c>
      <c r="G31" s="100">
        <v>32.11</v>
      </c>
      <c r="H31" s="100">
        <v>20.67</v>
      </c>
      <c r="I31" s="100">
        <v>4.87</v>
      </c>
      <c r="J31" s="100">
        <v>0.15</v>
      </c>
      <c r="K31" s="100">
        <v>223.9</v>
      </c>
      <c r="L31" s="100">
        <v>27.71</v>
      </c>
      <c r="M31" s="100">
        <v>70.37</v>
      </c>
      <c r="N31" s="100">
        <v>11.2</v>
      </c>
      <c r="O31" s="100">
        <v>0</v>
      </c>
      <c r="P31" s="100">
        <v>0.44</v>
      </c>
      <c r="Q31" s="100">
        <v>9.94</v>
      </c>
      <c r="R31" s="6"/>
      <c r="S31" s="6"/>
      <c r="T31" s="156"/>
      <c r="U31" s="6"/>
    </row>
    <row r="32" spans="1:21" customFormat="1">
      <c r="A32" s="163" t="s">
        <v>1031</v>
      </c>
      <c r="B32" s="100">
        <v>4.51</v>
      </c>
      <c r="C32" s="100">
        <v>8.2200000000000006</v>
      </c>
      <c r="D32" s="100">
        <v>3.71</v>
      </c>
      <c r="E32" s="100">
        <v>5.04</v>
      </c>
      <c r="F32" s="100">
        <v>8.0500000000000007</v>
      </c>
      <c r="G32" s="100">
        <v>32.11</v>
      </c>
      <c r="H32" s="100">
        <v>20.67</v>
      </c>
      <c r="I32" s="100">
        <v>4.92</v>
      </c>
      <c r="J32" s="100">
        <v>0.17</v>
      </c>
      <c r="K32" s="100">
        <v>207.98</v>
      </c>
      <c r="L32" s="100">
        <v>27.87</v>
      </c>
      <c r="M32" s="100">
        <v>70.069999999999993</v>
      </c>
      <c r="N32" s="100">
        <v>20.5</v>
      </c>
      <c r="O32" s="100">
        <v>0</v>
      </c>
      <c r="P32" s="100">
        <v>0.43</v>
      </c>
      <c r="Q32" s="100">
        <v>9.94</v>
      </c>
      <c r="R32" s="6"/>
      <c r="S32" s="6"/>
      <c r="T32" s="156"/>
      <c r="U32" s="6"/>
    </row>
    <row r="33" spans="1:21" customFormat="1">
      <c r="A33" s="163" t="s">
        <v>1032</v>
      </c>
      <c r="B33" s="100">
        <v>4.54</v>
      </c>
      <c r="C33" s="100">
        <v>8.23</v>
      </c>
      <c r="D33" s="100">
        <v>3.69</v>
      </c>
      <c r="E33" s="100">
        <v>5.0999999999999996</v>
      </c>
      <c r="F33" s="100">
        <v>4.5999999999999996</v>
      </c>
      <c r="G33" s="100">
        <v>32.89</v>
      </c>
      <c r="H33" s="100">
        <v>19.96</v>
      </c>
      <c r="I33" s="100">
        <v>5.05</v>
      </c>
      <c r="J33" s="100">
        <v>0.13</v>
      </c>
      <c r="K33" s="100">
        <v>227.65</v>
      </c>
      <c r="L33" s="100">
        <v>28.09</v>
      </c>
      <c r="M33" s="100">
        <v>70.25</v>
      </c>
      <c r="N33" s="100">
        <v>38.200000000000003</v>
      </c>
      <c r="O33" s="100">
        <v>0</v>
      </c>
      <c r="P33" s="100">
        <v>0.4</v>
      </c>
      <c r="Q33" s="100">
        <v>9.92</v>
      </c>
      <c r="R33" s="6"/>
      <c r="S33" s="6"/>
      <c r="T33" s="156"/>
      <c r="U33" s="6"/>
    </row>
    <row r="34" spans="1:21" customFormat="1">
      <c r="A34" s="163" t="s">
        <v>1033</v>
      </c>
      <c r="B34" s="100">
        <v>4.46</v>
      </c>
      <c r="C34" s="100">
        <v>8.5399999999999991</v>
      </c>
      <c r="D34" s="100">
        <v>4.08</v>
      </c>
      <c r="E34" s="100">
        <v>5.18</v>
      </c>
      <c r="F34" s="100">
        <v>4.3499999999999996</v>
      </c>
      <c r="G34" s="100">
        <v>33.909999999999997</v>
      </c>
      <c r="H34" s="100">
        <v>18.690000000000001</v>
      </c>
      <c r="I34" s="100">
        <v>4.9800000000000004</v>
      </c>
      <c r="J34" s="100">
        <v>0.17</v>
      </c>
      <c r="K34" s="100">
        <v>194.79</v>
      </c>
      <c r="L34" s="100">
        <v>28.7</v>
      </c>
      <c r="M34" s="100">
        <v>68.78</v>
      </c>
      <c r="N34" s="100">
        <v>54.1</v>
      </c>
      <c r="O34" s="100">
        <v>0</v>
      </c>
      <c r="P34" s="100">
        <v>0.39</v>
      </c>
      <c r="Q34" s="100">
        <v>9.93</v>
      </c>
      <c r="R34" s="6"/>
      <c r="S34" s="6"/>
      <c r="T34" s="156"/>
      <c r="U34" s="6"/>
    </row>
    <row r="35" spans="1:21" customFormat="1">
      <c r="A35" s="163" t="s">
        <v>1034</v>
      </c>
      <c r="B35" s="100">
        <v>4.37</v>
      </c>
      <c r="C35" s="100">
        <v>8.67</v>
      </c>
      <c r="D35" s="100">
        <v>4.29</v>
      </c>
      <c r="E35" s="100">
        <v>5.38</v>
      </c>
      <c r="F35" s="100">
        <v>3.69</v>
      </c>
      <c r="G35" s="100">
        <v>33.909999999999997</v>
      </c>
      <c r="H35" s="100">
        <v>18.690000000000001</v>
      </c>
      <c r="I35" s="100">
        <v>5.0999999999999996</v>
      </c>
      <c r="J35" s="100">
        <v>0.22</v>
      </c>
      <c r="K35" s="100">
        <v>243.45</v>
      </c>
      <c r="L35" s="100">
        <v>29.25</v>
      </c>
      <c r="M35" s="100">
        <v>67.150000000000006</v>
      </c>
      <c r="N35" s="100">
        <v>67.3</v>
      </c>
      <c r="O35" s="100">
        <v>0</v>
      </c>
      <c r="P35" s="100">
        <v>0.38</v>
      </c>
      <c r="Q35" s="100">
        <v>9.94</v>
      </c>
      <c r="R35" s="6"/>
      <c r="S35" s="6"/>
      <c r="T35" s="156"/>
      <c r="U35" s="6"/>
    </row>
    <row r="36" spans="1:21" customFormat="1">
      <c r="A36" s="163" t="s">
        <v>1035</v>
      </c>
      <c r="B36" s="100">
        <v>4.28</v>
      </c>
      <c r="C36" s="100">
        <v>8.75</v>
      </c>
      <c r="D36" s="100">
        <v>4.47</v>
      </c>
      <c r="E36" s="100">
        <v>5.27</v>
      </c>
      <c r="F36" s="100">
        <v>3.7</v>
      </c>
      <c r="G36" s="100">
        <v>33.909999999999997</v>
      </c>
      <c r="H36" s="100">
        <v>18.690000000000001</v>
      </c>
      <c r="I36" s="100">
        <v>5.09</v>
      </c>
      <c r="J36" s="100">
        <v>0.28000000000000003</v>
      </c>
      <c r="K36" s="100">
        <v>247.82</v>
      </c>
      <c r="L36" s="100">
        <v>29.75</v>
      </c>
      <c r="M36" s="100">
        <v>65.239999999999995</v>
      </c>
      <c r="N36" s="100">
        <v>76.5</v>
      </c>
      <c r="O36" s="100">
        <v>0</v>
      </c>
      <c r="P36" s="100">
        <v>0.38</v>
      </c>
      <c r="Q36" s="100">
        <v>9.92</v>
      </c>
      <c r="R36" s="6"/>
      <c r="S36" s="6"/>
      <c r="T36" s="156"/>
      <c r="U36" s="6"/>
    </row>
    <row r="37" spans="1:21" customFormat="1">
      <c r="A37" s="163" t="s">
        <v>1036</v>
      </c>
      <c r="B37" s="100">
        <v>4.1500000000000004</v>
      </c>
      <c r="C37" s="100">
        <v>8.8000000000000007</v>
      </c>
      <c r="D37" s="100">
        <v>4.6500000000000004</v>
      </c>
      <c r="E37" s="100">
        <v>5.33</v>
      </c>
      <c r="F37" s="100">
        <v>6.52</v>
      </c>
      <c r="G37" s="100">
        <v>33.630000000000003</v>
      </c>
      <c r="H37" s="100">
        <v>18.02</v>
      </c>
      <c r="I37" s="100">
        <v>5.14</v>
      </c>
      <c r="J37" s="100">
        <v>0.43</v>
      </c>
      <c r="K37" s="100">
        <v>255.51</v>
      </c>
      <c r="L37" s="100">
        <v>30.3</v>
      </c>
      <c r="M37" s="100">
        <v>63.5</v>
      </c>
      <c r="N37" s="100">
        <v>88.3</v>
      </c>
      <c r="O37" s="100">
        <v>0</v>
      </c>
      <c r="P37" s="100">
        <v>0.38</v>
      </c>
      <c r="Q37" s="100">
        <v>9.93</v>
      </c>
      <c r="R37" s="6"/>
      <c r="S37" s="6"/>
      <c r="T37" s="156"/>
      <c r="U37" s="6"/>
    </row>
    <row r="38" spans="1:21" customFormat="1">
      <c r="A38" s="163" t="s">
        <v>1037</v>
      </c>
      <c r="B38" s="100">
        <v>4.04</v>
      </c>
      <c r="C38" s="100">
        <v>8.82</v>
      </c>
      <c r="D38" s="100">
        <v>4.78</v>
      </c>
      <c r="E38" s="100">
        <v>5.5</v>
      </c>
      <c r="F38" s="100">
        <v>5.28</v>
      </c>
      <c r="G38" s="100">
        <v>33.270000000000003</v>
      </c>
      <c r="H38" s="100">
        <v>17.559999999999999</v>
      </c>
      <c r="I38" s="100">
        <v>5.1100000000000003</v>
      </c>
      <c r="J38" s="100">
        <v>0.7</v>
      </c>
      <c r="K38" s="100">
        <v>259.07</v>
      </c>
      <c r="L38" s="100">
        <v>30.75</v>
      </c>
      <c r="M38" s="100">
        <v>61.45</v>
      </c>
      <c r="N38" s="100">
        <v>99.7</v>
      </c>
      <c r="O38" s="100">
        <v>0</v>
      </c>
      <c r="P38" s="100">
        <v>0.38</v>
      </c>
      <c r="Q38" s="100">
        <v>9.93</v>
      </c>
      <c r="R38" s="6"/>
      <c r="S38" s="6"/>
      <c r="T38" s="156"/>
      <c r="U38" s="6"/>
    </row>
    <row r="39" spans="1:21" customFormat="1">
      <c r="A39" s="163" t="s">
        <v>1038</v>
      </c>
      <c r="B39" s="100">
        <v>3.92</v>
      </c>
      <c r="C39" s="100">
        <v>8.74</v>
      </c>
      <c r="D39" s="100">
        <v>4.82</v>
      </c>
      <c r="E39" s="100">
        <v>5.52</v>
      </c>
      <c r="F39" s="100">
        <v>5.1100000000000003</v>
      </c>
      <c r="G39" s="100">
        <v>33.270000000000003</v>
      </c>
      <c r="H39" s="100">
        <v>17.559999999999999</v>
      </c>
      <c r="I39" s="100">
        <v>5.04</v>
      </c>
      <c r="J39" s="100">
        <v>0.79</v>
      </c>
      <c r="K39" s="100">
        <v>267.37</v>
      </c>
      <c r="L39" s="100">
        <v>31.26</v>
      </c>
      <c r="M39" s="100">
        <v>59.04</v>
      </c>
      <c r="N39" s="100">
        <v>112.1</v>
      </c>
      <c r="O39" s="100">
        <v>0</v>
      </c>
      <c r="P39" s="100">
        <v>0.37</v>
      </c>
      <c r="Q39" s="100">
        <v>9.93</v>
      </c>
      <c r="R39" s="6"/>
      <c r="S39" s="6"/>
      <c r="T39" s="156"/>
      <c r="U39" s="6"/>
    </row>
    <row r="40" spans="1:21" customFormat="1">
      <c r="A40" s="163" t="s">
        <v>1039</v>
      </c>
      <c r="B40" s="100">
        <v>3.84</v>
      </c>
      <c r="C40" s="100">
        <v>8.6</v>
      </c>
      <c r="D40" s="100">
        <v>4.76</v>
      </c>
      <c r="E40" s="100">
        <v>5.75</v>
      </c>
      <c r="F40" s="100">
        <v>4.96</v>
      </c>
      <c r="G40" s="100">
        <v>33.270000000000003</v>
      </c>
      <c r="H40" s="100">
        <v>17.559999999999999</v>
      </c>
      <c r="I40" s="100">
        <v>5.01</v>
      </c>
      <c r="J40" s="100">
        <v>0.87</v>
      </c>
      <c r="K40" s="100">
        <v>258.55</v>
      </c>
      <c r="L40" s="100">
        <v>31.63</v>
      </c>
      <c r="M40" s="100">
        <v>57.35</v>
      </c>
      <c r="N40" s="100">
        <v>125.3</v>
      </c>
      <c r="O40" s="100">
        <v>0</v>
      </c>
      <c r="P40" s="100">
        <v>0.37</v>
      </c>
      <c r="Q40" s="100">
        <v>9.93</v>
      </c>
      <c r="R40" s="6"/>
      <c r="S40" s="6"/>
      <c r="T40" s="156"/>
      <c r="U40" s="6"/>
    </row>
    <row r="41" spans="1:21" customFormat="1">
      <c r="A41" s="163" t="s">
        <v>1040</v>
      </c>
      <c r="B41" s="100">
        <v>3.79</v>
      </c>
      <c r="C41" s="100">
        <v>8.6</v>
      </c>
      <c r="D41" s="100">
        <v>4.8</v>
      </c>
      <c r="E41" s="100">
        <v>5.56</v>
      </c>
      <c r="F41" s="100">
        <v>4.72</v>
      </c>
      <c r="G41" s="100">
        <v>32.35</v>
      </c>
      <c r="H41" s="100">
        <v>18.29</v>
      </c>
      <c r="I41" s="100">
        <v>4.96</v>
      </c>
      <c r="J41" s="100">
        <v>0.81</v>
      </c>
      <c r="K41" s="100">
        <v>255.03</v>
      </c>
      <c r="L41" s="100">
        <v>31.98</v>
      </c>
      <c r="M41" s="100">
        <v>56.21</v>
      </c>
      <c r="N41" s="100">
        <v>136.19999999999999</v>
      </c>
      <c r="O41" s="100">
        <v>0</v>
      </c>
      <c r="P41" s="100">
        <v>0.37</v>
      </c>
      <c r="Q41" s="100">
        <v>9.92</v>
      </c>
      <c r="R41" s="6"/>
      <c r="S41" s="6"/>
      <c r="T41" s="156"/>
      <c r="U41" s="6"/>
    </row>
    <row r="42" spans="1:21" customFormat="1">
      <c r="A42" s="163" t="s">
        <v>1041</v>
      </c>
      <c r="B42" s="100">
        <v>3.78</v>
      </c>
      <c r="C42" s="100">
        <v>8.48</v>
      </c>
      <c r="D42" s="100">
        <v>4.7</v>
      </c>
      <c r="E42" s="100">
        <v>5.98</v>
      </c>
      <c r="F42" s="100">
        <v>4.71</v>
      </c>
      <c r="G42" s="100">
        <v>31.19</v>
      </c>
      <c r="H42" s="100">
        <v>18.8</v>
      </c>
      <c r="I42" s="100">
        <v>4.93</v>
      </c>
      <c r="J42" s="100">
        <v>0.86</v>
      </c>
      <c r="K42" s="100">
        <v>264.3</v>
      </c>
      <c r="L42" s="100">
        <v>32.11</v>
      </c>
      <c r="M42" s="100">
        <v>56.04</v>
      </c>
      <c r="N42" s="100">
        <v>143.19999999999999</v>
      </c>
      <c r="O42" s="100">
        <v>0</v>
      </c>
      <c r="P42" s="100">
        <v>0.37</v>
      </c>
      <c r="Q42" s="100">
        <v>9.93</v>
      </c>
      <c r="R42" s="6"/>
      <c r="S42" s="6"/>
      <c r="T42" s="156"/>
      <c r="U42" s="6"/>
    </row>
    <row r="43" spans="1:21" customFormat="1">
      <c r="A43" s="163" t="s">
        <v>1042</v>
      </c>
      <c r="B43" s="100">
        <v>3.8</v>
      </c>
      <c r="C43" s="100">
        <v>8.5500000000000007</v>
      </c>
      <c r="D43" s="100">
        <v>4.75</v>
      </c>
      <c r="E43" s="100">
        <v>5.95</v>
      </c>
      <c r="F43" s="100">
        <v>4.63</v>
      </c>
      <c r="G43" s="100">
        <v>31.19</v>
      </c>
      <c r="H43" s="100">
        <v>18.8</v>
      </c>
      <c r="I43" s="100">
        <v>4.8499999999999996</v>
      </c>
      <c r="J43" s="100">
        <v>1.03</v>
      </c>
      <c r="K43" s="100">
        <v>269.64999999999998</v>
      </c>
      <c r="L43" s="100">
        <v>32.33</v>
      </c>
      <c r="M43" s="100">
        <v>56.27</v>
      </c>
      <c r="N43" s="100">
        <v>150.1</v>
      </c>
      <c r="O43" s="100">
        <v>0</v>
      </c>
      <c r="P43" s="100">
        <v>0.37</v>
      </c>
      <c r="Q43" s="100">
        <v>9.94</v>
      </c>
      <c r="R43" s="6"/>
      <c r="S43" s="6"/>
      <c r="T43" s="156"/>
      <c r="U43" s="6"/>
    </row>
    <row r="44" spans="1:21" customFormat="1">
      <c r="A44" s="163" t="s">
        <v>1043</v>
      </c>
      <c r="B44" s="100">
        <v>3.81</v>
      </c>
      <c r="C44" s="100">
        <v>8.85</v>
      </c>
      <c r="D44" s="100">
        <v>5.04</v>
      </c>
      <c r="E44" s="100">
        <v>5.86</v>
      </c>
      <c r="F44" s="100">
        <v>5.17</v>
      </c>
      <c r="G44" s="100">
        <v>31.19</v>
      </c>
      <c r="H44" s="100">
        <v>18.8</v>
      </c>
      <c r="I44" s="100">
        <v>4.82</v>
      </c>
      <c r="J44" s="100">
        <v>0.97</v>
      </c>
      <c r="K44" s="100">
        <v>260.38</v>
      </c>
      <c r="L44" s="100">
        <v>32.83</v>
      </c>
      <c r="M44" s="100">
        <v>55.48</v>
      </c>
      <c r="N44" s="100">
        <v>156.30000000000001</v>
      </c>
      <c r="O44" s="100">
        <v>0</v>
      </c>
      <c r="P44" s="100">
        <v>0.39</v>
      </c>
      <c r="Q44" s="100">
        <v>9.94</v>
      </c>
      <c r="R44" s="6"/>
      <c r="S44" s="6"/>
      <c r="T44" s="156"/>
      <c r="U44" s="6"/>
    </row>
    <row r="45" spans="1:21" customFormat="1">
      <c r="A45" s="163" t="s">
        <v>1044</v>
      </c>
      <c r="B45" s="100">
        <v>3.83</v>
      </c>
      <c r="C45" s="100">
        <v>8.82</v>
      </c>
      <c r="D45" s="100">
        <v>4.99</v>
      </c>
      <c r="E45" s="100">
        <v>6.18</v>
      </c>
      <c r="F45" s="100">
        <v>5.23</v>
      </c>
      <c r="G45" s="100">
        <v>34.119999999999997</v>
      </c>
      <c r="H45" s="100">
        <v>21.01</v>
      </c>
      <c r="I45" s="100">
        <v>4.8499999999999996</v>
      </c>
      <c r="J45" s="100">
        <v>0.99</v>
      </c>
      <c r="K45" s="100">
        <v>258.38</v>
      </c>
      <c r="L45" s="100">
        <v>33.130000000000003</v>
      </c>
      <c r="M45" s="100">
        <v>54.59</v>
      </c>
      <c r="N45" s="100">
        <v>164.4</v>
      </c>
      <c r="O45" s="100">
        <v>0</v>
      </c>
      <c r="P45" s="100">
        <v>0.39</v>
      </c>
      <c r="Q45" s="100">
        <v>9.93</v>
      </c>
      <c r="R45" s="6"/>
      <c r="S45" s="6"/>
      <c r="T45" s="156"/>
      <c r="U45" s="6"/>
    </row>
    <row r="46" spans="1:21" customFormat="1">
      <c r="A46" s="163" t="s">
        <v>1045</v>
      </c>
      <c r="B46" s="100">
        <v>3.82</v>
      </c>
      <c r="C46" s="100">
        <v>8.93</v>
      </c>
      <c r="D46" s="100">
        <v>5.0999999999999996</v>
      </c>
      <c r="E46" s="100">
        <v>6.1</v>
      </c>
      <c r="F46" s="100">
        <v>5.33</v>
      </c>
      <c r="G46" s="100">
        <v>37.950000000000003</v>
      </c>
      <c r="H46" s="100">
        <v>22.54</v>
      </c>
      <c r="I46" s="100">
        <v>4.9400000000000004</v>
      </c>
      <c r="J46" s="100">
        <v>0.87</v>
      </c>
      <c r="K46" s="100">
        <v>257.85000000000002</v>
      </c>
      <c r="L46" s="100">
        <v>33.700000000000003</v>
      </c>
      <c r="M46" s="100">
        <v>52.17</v>
      </c>
      <c r="N46" s="100">
        <v>172.4</v>
      </c>
      <c r="O46" s="100">
        <v>0</v>
      </c>
      <c r="P46" s="100">
        <v>0.41</v>
      </c>
      <c r="Q46" s="100">
        <v>9.93</v>
      </c>
      <c r="R46" s="6"/>
      <c r="S46" s="6"/>
      <c r="T46" s="156"/>
      <c r="U46" s="6"/>
    </row>
    <row r="47" spans="1:21" customFormat="1">
      <c r="A47" s="163" t="s">
        <v>1046</v>
      </c>
      <c r="B47" s="100">
        <v>3.77</v>
      </c>
      <c r="C47" s="100">
        <v>9.0399999999999991</v>
      </c>
      <c r="D47" s="100">
        <v>5.27</v>
      </c>
      <c r="E47" s="100">
        <v>5.98</v>
      </c>
      <c r="F47" s="100">
        <v>4.67</v>
      </c>
      <c r="G47" s="100">
        <v>37.950000000000003</v>
      </c>
      <c r="H47" s="100">
        <v>22.54</v>
      </c>
      <c r="I47" s="100">
        <v>5.1100000000000003</v>
      </c>
      <c r="J47" s="100">
        <v>0.9</v>
      </c>
      <c r="K47" s="100">
        <v>252.09</v>
      </c>
      <c r="L47" s="100">
        <v>34.32</v>
      </c>
      <c r="M47" s="100">
        <v>51.17</v>
      </c>
      <c r="N47" s="100">
        <v>186.1</v>
      </c>
      <c r="O47" s="100">
        <v>0</v>
      </c>
      <c r="P47" s="100">
        <v>0.42</v>
      </c>
      <c r="Q47" s="100">
        <v>9.94</v>
      </c>
      <c r="R47" s="6"/>
      <c r="S47" s="6"/>
      <c r="T47" s="156"/>
      <c r="U47" s="6"/>
    </row>
    <row r="48" spans="1:21" customFormat="1">
      <c r="A48" s="163" t="s">
        <v>1047</v>
      </c>
      <c r="B48" s="100">
        <v>3.76</v>
      </c>
      <c r="C48" s="100">
        <v>8.6999999999999993</v>
      </c>
      <c r="D48" s="100">
        <v>4.9400000000000004</v>
      </c>
      <c r="E48" s="100">
        <v>5.79</v>
      </c>
      <c r="F48" s="100">
        <v>5.93</v>
      </c>
      <c r="G48" s="100">
        <v>37.950000000000003</v>
      </c>
      <c r="H48" s="100">
        <v>22.54</v>
      </c>
      <c r="I48" s="100">
        <v>5.38</v>
      </c>
      <c r="J48" s="100">
        <v>1.06</v>
      </c>
      <c r="K48" s="100">
        <v>255.97</v>
      </c>
      <c r="L48" s="100">
        <v>34.53</v>
      </c>
      <c r="M48" s="100">
        <v>49.34</v>
      </c>
      <c r="N48" s="100">
        <v>198.9</v>
      </c>
      <c r="O48" s="100">
        <v>0</v>
      </c>
      <c r="P48" s="100">
        <v>0.42</v>
      </c>
      <c r="Q48" s="100">
        <v>9.93</v>
      </c>
      <c r="R48" s="6"/>
      <c r="S48" s="6"/>
      <c r="T48" s="156"/>
      <c r="U48" s="6"/>
    </row>
    <row r="49" spans="1:21" customFormat="1">
      <c r="A49" s="163" t="s">
        <v>1048</v>
      </c>
      <c r="B49" s="100">
        <v>3.75</v>
      </c>
      <c r="C49" s="100">
        <v>8.59</v>
      </c>
      <c r="D49" s="100">
        <v>4.8499999999999996</v>
      </c>
      <c r="E49" s="100">
        <v>3.76</v>
      </c>
      <c r="F49" s="100">
        <v>6.11</v>
      </c>
      <c r="G49" s="100">
        <v>37.659999999999997</v>
      </c>
      <c r="H49" s="100">
        <v>22.7</v>
      </c>
      <c r="I49" s="100">
        <v>5.41</v>
      </c>
      <c r="J49" s="100">
        <v>0.94</v>
      </c>
      <c r="K49" s="100">
        <v>264.63</v>
      </c>
      <c r="L49" s="100">
        <v>34.869999999999997</v>
      </c>
      <c r="M49" s="100">
        <v>48.26</v>
      </c>
      <c r="N49" s="100">
        <v>203.4</v>
      </c>
      <c r="O49" s="100">
        <v>0</v>
      </c>
      <c r="P49" s="100">
        <v>0.42</v>
      </c>
      <c r="Q49" s="100">
        <v>9.94</v>
      </c>
      <c r="R49" s="6"/>
      <c r="S49" s="6"/>
      <c r="T49" s="156"/>
      <c r="U49" s="6"/>
    </row>
    <row r="50" spans="1:21" customFormat="1">
      <c r="A50" s="163" t="s">
        <v>1049</v>
      </c>
      <c r="B50" s="100">
        <v>3.73</v>
      </c>
      <c r="C50" s="100">
        <v>8.65</v>
      </c>
      <c r="D50" s="100">
        <v>4.92</v>
      </c>
      <c r="E50" s="100">
        <v>4.88</v>
      </c>
      <c r="F50" s="100">
        <v>6.54</v>
      </c>
      <c r="G50" s="100">
        <v>37.270000000000003</v>
      </c>
      <c r="H50" s="100">
        <v>22.81</v>
      </c>
      <c r="I50" s="100">
        <v>5.37</v>
      </c>
      <c r="J50" s="100">
        <v>0.9</v>
      </c>
      <c r="K50" s="100">
        <v>258.68</v>
      </c>
      <c r="L50" s="100">
        <v>35.770000000000003</v>
      </c>
      <c r="M50" s="100">
        <v>47</v>
      </c>
      <c r="N50" s="100">
        <v>210.3</v>
      </c>
      <c r="O50" s="100">
        <v>0</v>
      </c>
      <c r="P50" s="100">
        <v>0.42</v>
      </c>
      <c r="Q50" s="100">
        <v>9.93</v>
      </c>
      <c r="R50" s="6"/>
      <c r="S50" s="6"/>
      <c r="T50" s="156"/>
      <c r="U50" s="6"/>
    </row>
    <row r="51" spans="1:21" customFormat="1">
      <c r="A51" s="163" t="s">
        <v>1050</v>
      </c>
      <c r="B51" s="100">
        <v>3.7</v>
      </c>
      <c r="C51" s="100">
        <v>7.77</v>
      </c>
      <c r="D51" s="100">
        <v>4.07</v>
      </c>
      <c r="E51" s="100">
        <v>4.18</v>
      </c>
      <c r="F51" s="100">
        <v>8.4700000000000006</v>
      </c>
      <c r="G51" s="100">
        <v>37.270000000000003</v>
      </c>
      <c r="H51" s="100">
        <v>22.81</v>
      </c>
      <c r="I51" s="100">
        <v>5.3</v>
      </c>
      <c r="J51" s="100">
        <v>1</v>
      </c>
      <c r="K51" s="100">
        <v>258.02999999999997</v>
      </c>
      <c r="L51" s="100">
        <v>35.67</v>
      </c>
      <c r="M51" s="100">
        <v>46.25</v>
      </c>
      <c r="N51" s="100">
        <v>215.5</v>
      </c>
      <c r="O51" s="100">
        <v>0</v>
      </c>
      <c r="P51" s="100">
        <v>0.4</v>
      </c>
      <c r="Q51" s="100">
        <v>9.93</v>
      </c>
      <c r="R51" s="6"/>
      <c r="S51" s="6"/>
      <c r="T51" s="156"/>
      <c r="U51" s="6"/>
    </row>
    <row r="52" spans="1:21" customFormat="1">
      <c r="A52" s="163" t="s">
        <v>1051</v>
      </c>
      <c r="B52" s="100">
        <v>3.69</v>
      </c>
      <c r="C52" s="100">
        <v>8.3000000000000007</v>
      </c>
      <c r="D52" s="100">
        <v>4.6100000000000003</v>
      </c>
      <c r="E52" s="100">
        <v>4.7699999999999996</v>
      </c>
      <c r="F52" s="100">
        <v>7.94</v>
      </c>
      <c r="G52" s="100">
        <v>37.270000000000003</v>
      </c>
      <c r="H52" s="100">
        <v>22.81</v>
      </c>
      <c r="I52" s="100">
        <v>5.22</v>
      </c>
      <c r="J52" s="100">
        <v>0.99</v>
      </c>
      <c r="K52" s="100">
        <v>265.95</v>
      </c>
      <c r="L52" s="100">
        <v>36.200000000000003</v>
      </c>
      <c r="M52" s="100">
        <v>45.3</v>
      </c>
      <c r="N52" s="100">
        <v>223.8</v>
      </c>
      <c r="O52" s="100">
        <v>0</v>
      </c>
      <c r="P52" s="100">
        <v>0.41</v>
      </c>
      <c r="Q52" s="100">
        <v>9.93</v>
      </c>
      <c r="R52" s="6"/>
      <c r="S52" s="6"/>
      <c r="T52" s="156"/>
      <c r="U52" s="6"/>
    </row>
    <row r="53" spans="1:21" customFormat="1">
      <c r="A53" s="163" t="s">
        <v>1052</v>
      </c>
      <c r="B53" s="100">
        <v>3.7</v>
      </c>
      <c r="C53" s="100">
        <v>7.91</v>
      </c>
      <c r="D53" s="100">
        <v>4.21</v>
      </c>
      <c r="E53" s="100">
        <v>5.0199999999999996</v>
      </c>
      <c r="F53" s="100">
        <v>13.64</v>
      </c>
      <c r="G53" s="100">
        <v>38.9</v>
      </c>
      <c r="H53" s="100">
        <v>23.89</v>
      </c>
      <c r="I53" s="100">
        <v>5.15</v>
      </c>
      <c r="J53" s="100">
        <v>0.98</v>
      </c>
      <c r="K53" s="100">
        <v>268.76</v>
      </c>
      <c r="L53" s="100">
        <v>36.49</v>
      </c>
      <c r="M53" s="100">
        <v>44.78</v>
      </c>
      <c r="N53" s="100">
        <v>234.3</v>
      </c>
      <c r="O53" s="100">
        <v>0</v>
      </c>
      <c r="P53" s="100">
        <v>0.44</v>
      </c>
      <c r="Q53" s="100">
        <v>9.93</v>
      </c>
      <c r="R53" s="6"/>
      <c r="S53" s="6"/>
      <c r="T53" s="156"/>
      <c r="U53" s="6"/>
    </row>
    <row r="54" spans="1:21" customFormat="1">
      <c r="A54" s="163" t="s">
        <v>1053</v>
      </c>
      <c r="B54" s="100">
        <v>3.74</v>
      </c>
      <c r="C54" s="100">
        <v>8.1199999999999992</v>
      </c>
      <c r="D54" s="100">
        <v>4.38</v>
      </c>
      <c r="E54" s="100">
        <v>5.89</v>
      </c>
      <c r="F54" s="100">
        <v>16.22</v>
      </c>
      <c r="G54" s="100">
        <v>40.94</v>
      </c>
      <c r="H54" s="100">
        <v>24.64</v>
      </c>
      <c r="I54" s="100">
        <v>5.13</v>
      </c>
      <c r="J54" s="100">
        <v>0.92</v>
      </c>
      <c r="K54" s="100">
        <v>277.70999999999998</v>
      </c>
      <c r="L54" s="100">
        <v>37.229999999999997</v>
      </c>
      <c r="M54" s="100">
        <v>43</v>
      </c>
      <c r="N54" s="100">
        <v>250.8</v>
      </c>
      <c r="O54" s="100">
        <v>0</v>
      </c>
      <c r="P54" s="100">
        <v>0.5</v>
      </c>
      <c r="Q54" s="100">
        <v>9.9</v>
      </c>
      <c r="R54" s="6"/>
      <c r="S54" s="6"/>
      <c r="T54" s="156"/>
      <c r="U54" s="6"/>
    </row>
    <row r="55" spans="1:21" customFormat="1">
      <c r="A55" s="163" t="s">
        <v>1054</v>
      </c>
      <c r="B55" s="100">
        <v>3.81</v>
      </c>
      <c r="C55" s="100">
        <v>8.2899999999999991</v>
      </c>
      <c r="D55" s="100">
        <v>4.4800000000000004</v>
      </c>
      <c r="E55" s="100">
        <v>6.19</v>
      </c>
      <c r="F55" s="100">
        <v>18.63</v>
      </c>
      <c r="G55" s="100">
        <v>40.94</v>
      </c>
      <c r="H55" s="100">
        <v>24.64</v>
      </c>
      <c r="I55" s="100">
        <v>5.07</v>
      </c>
      <c r="J55" s="100">
        <v>0.83</v>
      </c>
      <c r="K55" s="100">
        <v>275.38</v>
      </c>
      <c r="L55" s="100">
        <v>37.39</v>
      </c>
      <c r="M55" s="100">
        <v>42.44</v>
      </c>
      <c r="N55" s="100">
        <v>289.7</v>
      </c>
      <c r="O55" s="100">
        <v>0</v>
      </c>
      <c r="P55" s="100">
        <v>0.5</v>
      </c>
      <c r="Q55" s="100">
        <v>9.91</v>
      </c>
      <c r="R55" s="6"/>
      <c r="S55" s="6"/>
      <c r="T55" s="156"/>
      <c r="U55" s="6"/>
    </row>
    <row r="56" spans="1:21" customFormat="1">
      <c r="A56" s="163" t="s">
        <v>1055</v>
      </c>
      <c r="B56" s="100">
        <v>3.95</v>
      </c>
      <c r="C56" s="100">
        <v>8.5500000000000007</v>
      </c>
      <c r="D56" s="100">
        <v>4.5999999999999996</v>
      </c>
      <c r="E56" s="100">
        <v>6.41</v>
      </c>
      <c r="F56" s="100">
        <v>16.420000000000002</v>
      </c>
      <c r="G56" s="100">
        <v>40.94</v>
      </c>
      <c r="H56" s="100">
        <v>24.64</v>
      </c>
      <c r="I56" s="100">
        <v>5.21</v>
      </c>
      <c r="J56" s="100">
        <v>1.03</v>
      </c>
      <c r="K56" s="100">
        <v>293.14999999999998</v>
      </c>
      <c r="L56" s="100">
        <v>37.479999999999997</v>
      </c>
      <c r="M56" s="100">
        <v>42.23</v>
      </c>
      <c r="N56" s="100">
        <v>467.8</v>
      </c>
      <c r="O56" s="100">
        <v>0</v>
      </c>
      <c r="P56" s="100">
        <v>0.52</v>
      </c>
      <c r="Q56" s="100">
        <v>9.91</v>
      </c>
      <c r="R56" s="6"/>
      <c r="S56" s="6"/>
      <c r="T56" s="156"/>
      <c r="U56" s="6"/>
    </row>
    <row r="57" spans="1:21" customFormat="1">
      <c r="A57" s="163" t="s">
        <v>1056</v>
      </c>
      <c r="B57" s="100">
        <v>3.9</v>
      </c>
      <c r="C57" s="100">
        <v>8.15</v>
      </c>
      <c r="D57" s="100">
        <v>4.24</v>
      </c>
      <c r="E57" s="100">
        <v>6.51</v>
      </c>
      <c r="F57" s="100">
        <v>25.64</v>
      </c>
      <c r="G57" s="100">
        <v>46.97</v>
      </c>
      <c r="H57" s="100">
        <v>25.36</v>
      </c>
      <c r="I57" s="100">
        <v>5.26</v>
      </c>
      <c r="J57" s="100">
        <v>0.69</v>
      </c>
      <c r="K57" s="100">
        <v>253.41</v>
      </c>
      <c r="L57" s="100">
        <v>38.159999999999997</v>
      </c>
      <c r="M57" s="100">
        <v>40.81</v>
      </c>
      <c r="N57" s="100">
        <v>524.79999999999995</v>
      </c>
      <c r="O57" s="100">
        <v>0</v>
      </c>
      <c r="P57" s="100">
        <v>0.52</v>
      </c>
      <c r="Q57" s="100">
        <v>9.93</v>
      </c>
      <c r="R57" s="6"/>
      <c r="S57" s="6"/>
      <c r="T57" s="156"/>
      <c r="U57" s="6"/>
    </row>
    <row r="58" spans="1:21" customFormat="1">
      <c r="A58" s="163" t="s">
        <v>1057</v>
      </c>
      <c r="B58" s="100">
        <v>3.94</v>
      </c>
      <c r="C58" s="100">
        <v>8.68</v>
      </c>
      <c r="D58" s="100">
        <v>4.74</v>
      </c>
      <c r="E58" s="100">
        <v>7.49</v>
      </c>
      <c r="F58" s="100">
        <v>24.97</v>
      </c>
      <c r="G58" s="100">
        <v>54.86</v>
      </c>
      <c r="H58" s="100">
        <v>26.51</v>
      </c>
      <c r="I58" s="100">
        <v>5.33</v>
      </c>
      <c r="J58" s="100">
        <v>0.5</v>
      </c>
      <c r="K58" s="100">
        <v>284.74</v>
      </c>
      <c r="L58" s="100">
        <v>38.08</v>
      </c>
      <c r="M58" s="100">
        <v>40.25</v>
      </c>
      <c r="N58" s="100">
        <v>573.4</v>
      </c>
      <c r="O58" s="100">
        <v>0</v>
      </c>
      <c r="P58" s="100">
        <v>0.53</v>
      </c>
      <c r="Q58" s="100">
        <v>9.92</v>
      </c>
      <c r="R58" s="6"/>
      <c r="S58" s="6"/>
      <c r="T58" s="156"/>
      <c r="U58" s="6"/>
    </row>
    <row r="59" spans="1:21" customFormat="1">
      <c r="A59" s="163" t="s">
        <v>1058</v>
      </c>
      <c r="B59" s="100">
        <v>3.95</v>
      </c>
      <c r="C59" s="100">
        <v>8.68</v>
      </c>
      <c r="D59" s="100">
        <v>4.7300000000000004</v>
      </c>
      <c r="E59" s="100">
        <v>7.25</v>
      </c>
      <c r="F59" s="100">
        <v>29.52</v>
      </c>
      <c r="G59" s="100">
        <v>54.86</v>
      </c>
      <c r="H59" s="100">
        <v>26.51</v>
      </c>
      <c r="I59" s="100">
        <v>5.3</v>
      </c>
      <c r="J59" s="100">
        <v>0.84</v>
      </c>
      <c r="K59" s="100">
        <v>312.10000000000002</v>
      </c>
      <c r="L59" s="100">
        <v>38.11</v>
      </c>
      <c r="M59" s="100">
        <v>39.57</v>
      </c>
      <c r="N59" s="100">
        <v>394.3</v>
      </c>
      <c r="O59" s="100">
        <v>0</v>
      </c>
      <c r="P59" s="100">
        <v>0.52</v>
      </c>
      <c r="Q59" s="100">
        <v>9.91</v>
      </c>
      <c r="R59" s="6"/>
      <c r="S59" s="6"/>
      <c r="T59" s="156"/>
      <c r="U59" s="6"/>
    </row>
    <row r="60" spans="1:21" customFormat="1">
      <c r="A60" s="163" t="s">
        <v>1059</v>
      </c>
      <c r="B60" s="100">
        <v>3.96</v>
      </c>
      <c r="C60" s="100">
        <v>8.68</v>
      </c>
      <c r="D60" s="100">
        <v>4.72</v>
      </c>
      <c r="E60" s="100">
        <v>7.3</v>
      </c>
      <c r="F60" s="100">
        <v>32.1</v>
      </c>
      <c r="G60" s="100">
        <v>54.86</v>
      </c>
      <c r="H60" s="100">
        <v>26.51</v>
      </c>
      <c r="I60" s="100">
        <v>5.56</v>
      </c>
      <c r="J60" s="100">
        <v>0.65</v>
      </c>
      <c r="K60" s="100">
        <v>292.70999999999998</v>
      </c>
      <c r="L60" s="100">
        <v>37.67</v>
      </c>
      <c r="M60" s="100">
        <v>39.83</v>
      </c>
      <c r="N60" s="100">
        <v>432.4</v>
      </c>
      <c r="O60" s="100">
        <v>0</v>
      </c>
      <c r="P60" s="100">
        <v>0.53</v>
      </c>
      <c r="Q60" s="100">
        <v>9.91</v>
      </c>
      <c r="R60" s="6"/>
      <c r="S60" s="6"/>
      <c r="T60" s="156"/>
      <c r="U60" s="6"/>
    </row>
    <row r="61" spans="1:21" customFormat="1">
      <c r="A61" s="163" t="s">
        <v>1060</v>
      </c>
      <c r="B61" s="100">
        <v>4.54</v>
      </c>
      <c r="C61" s="100">
        <v>12.2</v>
      </c>
      <c r="D61" s="100">
        <v>7.66</v>
      </c>
      <c r="E61" s="100">
        <v>7.99</v>
      </c>
      <c r="F61" s="100">
        <v>37.94</v>
      </c>
      <c r="G61" s="100">
        <v>55.64</v>
      </c>
      <c r="H61" s="100">
        <v>26.36</v>
      </c>
      <c r="I61" s="100">
        <v>5.52</v>
      </c>
      <c r="J61" s="100">
        <v>0.59</v>
      </c>
      <c r="K61" s="100">
        <v>288.64999999999998</v>
      </c>
      <c r="L61" s="100">
        <v>38.880000000000003</v>
      </c>
      <c r="M61" s="100">
        <v>38.340000000000003</v>
      </c>
      <c r="N61" s="100">
        <v>649.29999999999995</v>
      </c>
      <c r="O61" s="100">
        <v>0</v>
      </c>
      <c r="P61" s="100">
        <v>0.56000000000000005</v>
      </c>
      <c r="Q61" s="100">
        <v>9.91</v>
      </c>
      <c r="R61" s="6"/>
      <c r="S61" s="6"/>
      <c r="T61" s="156"/>
      <c r="U61" s="6"/>
    </row>
    <row r="62" spans="1:21" customFormat="1">
      <c r="A62" s="163" t="s">
        <v>1061</v>
      </c>
      <c r="B62" s="100">
        <v>4.03</v>
      </c>
      <c r="C62" s="100">
        <v>9.06</v>
      </c>
      <c r="D62" s="100">
        <v>5.03</v>
      </c>
      <c r="E62" s="100">
        <v>7.29</v>
      </c>
      <c r="F62" s="100">
        <v>24.71</v>
      </c>
      <c r="G62" s="100">
        <v>56.61</v>
      </c>
      <c r="H62" s="100">
        <v>26.26</v>
      </c>
      <c r="I62" s="100">
        <v>5.57</v>
      </c>
      <c r="J62" s="100">
        <v>0.56999999999999995</v>
      </c>
      <c r="K62" s="100">
        <v>258.55</v>
      </c>
      <c r="L62" s="100">
        <v>39.58</v>
      </c>
      <c r="M62" s="100">
        <v>37.15</v>
      </c>
      <c r="N62" s="100">
        <v>633.6</v>
      </c>
      <c r="O62" s="100">
        <v>0</v>
      </c>
      <c r="P62" s="100">
        <v>0.54</v>
      </c>
      <c r="Q62" s="100">
        <v>9.92</v>
      </c>
      <c r="R62" s="6"/>
      <c r="S62" s="6"/>
      <c r="T62" s="156"/>
      <c r="U62" s="6"/>
    </row>
    <row r="63" spans="1:21" customFormat="1">
      <c r="A63" s="163" t="s">
        <v>1062</v>
      </c>
      <c r="B63" s="100">
        <v>3.91</v>
      </c>
      <c r="C63" s="100">
        <v>7.93</v>
      </c>
      <c r="D63" s="100">
        <v>4.0199999999999996</v>
      </c>
      <c r="E63" s="100">
        <v>6.76</v>
      </c>
      <c r="F63" s="100">
        <v>24.73</v>
      </c>
      <c r="G63" s="100">
        <v>56.61</v>
      </c>
      <c r="H63" s="100">
        <v>26.26</v>
      </c>
      <c r="I63" s="100">
        <v>5.62</v>
      </c>
      <c r="J63" s="100">
        <v>0.71</v>
      </c>
      <c r="K63" s="100">
        <v>255.09</v>
      </c>
      <c r="L63" s="100">
        <v>39.53</v>
      </c>
      <c r="M63" s="100">
        <v>36.29</v>
      </c>
      <c r="N63" s="100">
        <v>622.79999999999995</v>
      </c>
      <c r="O63" s="100">
        <v>0</v>
      </c>
      <c r="P63" s="100">
        <v>0.55000000000000004</v>
      </c>
      <c r="Q63" s="100">
        <v>9.92</v>
      </c>
      <c r="R63" s="6"/>
      <c r="S63" s="6"/>
      <c r="T63" s="156"/>
      <c r="U63" s="6"/>
    </row>
    <row r="64" spans="1:21" customFormat="1">
      <c r="A64" s="163" t="s">
        <v>1063</v>
      </c>
      <c r="B64" s="100">
        <v>3.82</v>
      </c>
      <c r="C64" s="100">
        <v>7.55</v>
      </c>
      <c r="D64" s="100">
        <v>3.73</v>
      </c>
      <c r="E64" s="100">
        <v>6.28</v>
      </c>
      <c r="F64" s="100">
        <v>28</v>
      </c>
      <c r="G64" s="100">
        <v>56.61</v>
      </c>
      <c r="H64" s="100">
        <v>26.26</v>
      </c>
      <c r="I64" s="100">
        <v>5.86</v>
      </c>
      <c r="J64" s="100">
        <v>0.67</v>
      </c>
      <c r="K64" s="100">
        <v>256.32</v>
      </c>
      <c r="L64" s="100">
        <v>39.979999999999997</v>
      </c>
      <c r="M64" s="100">
        <v>34.83</v>
      </c>
      <c r="N64" s="100">
        <v>496.2</v>
      </c>
      <c r="O64" s="100">
        <v>0</v>
      </c>
      <c r="P64" s="100">
        <v>0.54</v>
      </c>
      <c r="Q64" s="100">
        <v>9.93</v>
      </c>
      <c r="R64" s="6"/>
      <c r="S64" s="6"/>
      <c r="T64" s="156"/>
      <c r="U64" s="6"/>
    </row>
    <row r="65" spans="1:21" customFormat="1">
      <c r="A65" s="163" t="s">
        <v>1064</v>
      </c>
      <c r="B65" s="100">
        <v>3.78</v>
      </c>
      <c r="C65" s="100">
        <v>7.26</v>
      </c>
      <c r="D65" s="100">
        <v>3.48</v>
      </c>
      <c r="E65" s="100">
        <v>6.62</v>
      </c>
      <c r="F65" s="100">
        <v>42.43</v>
      </c>
      <c r="G65" s="100">
        <v>55.59</v>
      </c>
      <c r="H65" s="100">
        <v>26.25</v>
      </c>
      <c r="I65" s="100">
        <v>6.09</v>
      </c>
      <c r="J65" s="100">
        <v>0.46</v>
      </c>
      <c r="K65" s="100">
        <v>244.07</v>
      </c>
      <c r="L65" s="100">
        <v>40.25</v>
      </c>
      <c r="M65" s="100">
        <v>33.06</v>
      </c>
      <c r="N65" s="100">
        <v>268</v>
      </c>
      <c r="O65" s="100">
        <v>0</v>
      </c>
      <c r="P65" s="100">
        <v>0.4</v>
      </c>
      <c r="Q65" s="100">
        <v>9.93</v>
      </c>
      <c r="R65" s="6"/>
      <c r="S65" s="6"/>
      <c r="T65" s="156"/>
      <c r="U65" s="6"/>
    </row>
    <row r="66" spans="1:21" customFormat="1">
      <c r="A66" s="163" t="s">
        <v>1065</v>
      </c>
      <c r="B66" s="100">
        <v>3.72</v>
      </c>
      <c r="C66" s="100">
        <v>7.1</v>
      </c>
      <c r="D66" s="100">
        <v>3.37</v>
      </c>
      <c r="E66" s="100">
        <v>7.34</v>
      </c>
      <c r="F66" s="100">
        <v>44.4</v>
      </c>
      <c r="G66" s="100">
        <v>54.27</v>
      </c>
      <c r="H66" s="100">
        <v>26.25</v>
      </c>
      <c r="I66" s="100">
        <v>5.99</v>
      </c>
      <c r="J66" s="100">
        <v>0.27</v>
      </c>
      <c r="K66" s="100">
        <v>183.79</v>
      </c>
      <c r="L66" s="100">
        <v>40.619999999999997</v>
      </c>
      <c r="M66" s="100">
        <v>30.9</v>
      </c>
      <c r="N66" s="100">
        <v>388</v>
      </c>
      <c r="O66" s="100">
        <v>0</v>
      </c>
      <c r="P66" s="100">
        <v>0.4</v>
      </c>
      <c r="Q66" s="100">
        <v>9.91</v>
      </c>
      <c r="R66" s="6"/>
      <c r="S66" s="6"/>
      <c r="T66" s="156"/>
      <c r="U66" s="6"/>
    </row>
    <row r="67" spans="1:21" customFormat="1">
      <c r="A67" s="163" t="s">
        <v>1066</v>
      </c>
      <c r="B67" s="100">
        <v>3.73</v>
      </c>
      <c r="C67" s="100">
        <v>7.68</v>
      </c>
      <c r="D67" s="100">
        <v>3.95</v>
      </c>
      <c r="E67" s="100">
        <v>6.85</v>
      </c>
      <c r="F67" s="100">
        <v>39.26</v>
      </c>
      <c r="G67" s="100">
        <v>54.27</v>
      </c>
      <c r="H67" s="100">
        <v>26.25</v>
      </c>
      <c r="I67" s="100">
        <v>5.73</v>
      </c>
      <c r="J67" s="100">
        <v>0.31</v>
      </c>
      <c r="K67" s="100">
        <v>281.33999999999997</v>
      </c>
      <c r="L67" s="100">
        <v>40.61</v>
      </c>
      <c r="M67" s="100">
        <v>31.76</v>
      </c>
      <c r="N67" s="100">
        <v>339</v>
      </c>
      <c r="O67" s="100">
        <v>0</v>
      </c>
      <c r="P67" s="100">
        <v>0.41</v>
      </c>
      <c r="Q67" s="100">
        <v>9.91</v>
      </c>
      <c r="R67" s="6"/>
      <c r="S67" s="6"/>
      <c r="T67" s="156"/>
      <c r="U67" s="6"/>
    </row>
    <row r="68" spans="1:21" customFormat="1">
      <c r="A68" s="163" t="s">
        <v>1067</v>
      </c>
      <c r="B68" s="100">
        <v>3.79</v>
      </c>
      <c r="C68" s="100">
        <v>8.41</v>
      </c>
      <c r="D68" s="100">
        <v>4.62</v>
      </c>
      <c r="E68" s="100">
        <v>6.86</v>
      </c>
      <c r="F68" s="100">
        <v>41.8</v>
      </c>
      <c r="G68" s="100">
        <v>54.27</v>
      </c>
      <c r="H68" s="100">
        <v>26.25</v>
      </c>
      <c r="I68" s="100">
        <v>5.46</v>
      </c>
      <c r="J68" s="100">
        <v>0.48</v>
      </c>
      <c r="K68" s="100">
        <v>262.06</v>
      </c>
      <c r="L68" s="100">
        <v>40.840000000000003</v>
      </c>
      <c r="M68" s="100">
        <v>31.9</v>
      </c>
      <c r="N68" s="100">
        <v>337.3</v>
      </c>
      <c r="O68" s="100">
        <v>0</v>
      </c>
      <c r="P68" s="100">
        <v>0.41</v>
      </c>
      <c r="Q68" s="100">
        <v>9.92</v>
      </c>
      <c r="R68" s="6"/>
      <c r="S68" s="6"/>
      <c r="T68" s="156"/>
      <c r="U68" s="6"/>
    </row>
    <row r="69" spans="1:21" customFormat="1">
      <c r="A69" s="163" t="s">
        <v>1068</v>
      </c>
      <c r="B69" s="100">
        <v>3.63</v>
      </c>
      <c r="C69" s="100">
        <v>7.14</v>
      </c>
      <c r="D69" s="100">
        <v>3.52</v>
      </c>
      <c r="E69" s="100">
        <v>7.32</v>
      </c>
      <c r="F69" s="100">
        <v>49.75</v>
      </c>
      <c r="G69" s="100">
        <v>53.88</v>
      </c>
      <c r="H69" s="100">
        <v>26.48</v>
      </c>
      <c r="I69" s="100">
        <v>5.59</v>
      </c>
      <c r="J69" s="100">
        <v>0.43</v>
      </c>
      <c r="K69" s="100">
        <v>258.08</v>
      </c>
      <c r="L69" s="100">
        <v>40.119999999999997</v>
      </c>
      <c r="M69" s="100">
        <v>32.369999999999997</v>
      </c>
      <c r="N69" s="100">
        <v>162.80000000000001</v>
      </c>
      <c r="O69" s="100">
        <v>0</v>
      </c>
      <c r="P69" s="100">
        <v>0.41</v>
      </c>
      <c r="Q69" s="100">
        <v>9.92</v>
      </c>
      <c r="R69" s="6"/>
      <c r="S69" s="6"/>
      <c r="T69" s="156"/>
      <c r="U69" s="6"/>
    </row>
    <row r="70" spans="1:21" customFormat="1">
      <c r="A70" s="163" t="s">
        <v>1069</v>
      </c>
      <c r="B70" s="100">
        <v>3.59</v>
      </c>
      <c r="C70" s="100">
        <v>6.97</v>
      </c>
      <c r="D70" s="100">
        <v>3.38</v>
      </c>
      <c r="E70" s="100">
        <v>7.08</v>
      </c>
      <c r="F70" s="100">
        <v>53.76</v>
      </c>
      <c r="G70" s="100">
        <v>53.4</v>
      </c>
      <c r="H70" s="100">
        <v>26.65</v>
      </c>
      <c r="I70" s="100">
        <v>5.63</v>
      </c>
      <c r="J70" s="100">
        <v>0.33</v>
      </c>
      <c r="K70" s="100">
        <v>231.04</v>
      </c>
      <c r="L70" s="100">
        <v>39.229999999999997</v>
      </c>
      <c r="M70" s="100">
        <v>35.18</v>
      </c>
      <c r="N70" s="100">
        <v>143.19999999999999</v>
      </c>
      <c r="O70" s="100">
        <v>0</v>
      </c>
      <c r="P70" s="100">
        <v>0.4</v>
      </c>
      <c r="Q70" s="100">
        <v>9.92</v>
      </c>
      <c r="R70" s="6"/>
      <c r="S70" s="6"/>
      <c r="T70" s="156"/>
      <c r="U70" s="6"/>
    </row>
    <row r="71" spans="1:21" customFormat="1">
      <c r="A71" s="163" t="s">
        <v>1070</v>
      </c>
      <c r="B71" s="100">
        <v>3.6</v>
      </c>
      <c r="C71" s="100">
        <v>7.06</v>
      </c>
      <c r="D71" s="100">
        <v>3.46</v>
      </c>
      <c r="E71" s="100">
        <v>7.67</v>
      </c>
      <c r="F71" s="100">
        <v>51.94</v>
      </c>
      <c r="G71" s="100">
        <v>53.4</v>
      </c>
      <c r="H71" s="100">
        <v>26.65</v>
      </c>
      <c r="I71" s="100">
        <v>5.58</v>
      </c>
      <c r="J71" s="100">
        <v>0.46</v>
      </c>
      <c r="K71" s="100">
        <v>262.99</v>
      </c>
      <c r="L71" s="100">
        <v>39.159999999999997</v>
      </c>
      <c r="M71" s="100">
        <v>34.67</v>
      </c>
      <c r="N71" s="100">
        <v>149.9</v>
      </c>
      <c r="O71" s="100">
        <v>0</v>
      </c>
      <c r="P71" s="100">
        <v>0.4</v>
      </c>
      <c r="Q71" s="100">
        <v>9.92</v>
      </c>
      <c r="R71" s="6"/>
      <c r="S71" s="6"/>
      <c r="T71" s="156"/>
      <c r="U71" s="6"/>
    </row>
    <row r="72" spans="1:21" customFormat="1">
      <c r="A72" s="163" t="s">
        <v>1071</v>
      </c>
      <c r="B72" s="100">
        <v>3.67</v>
      </c>
      <c r="C72" s="100">
        <v>8.43</v>
      </c>
      <c r="D72" s="100">
        <v>4.76</v>
      </c>
      <c r="E72" s="100">
        <v>6.64</v>
      </c>
      <c r="F72" s="100">
        <v>12.11</v>
      </c>
      <c r="G72" s="100">
        <v>53.4</v>
      </c>
      <c r="H72" s="100">
        <v>26.65</v>
      </c>
      <c r="I72" s="100">
        <v>5.35</v>
      </c>
      <c r="J72" s="100">
        <v>1.04</v>
      </c>
      <c r="K72" s="100">
        <v>255.03</v>
      </c>
      <c r="L72" s="100">
        <v>38.840000000000003</v>
      </c>
      <c r="M72" s="100">
        <v>34.69</v>
      </c>
      <c r="N72" s="100">
        <v>227.3</v>
      </c>
      <c r="O72" s="100">
        <v>0</v>
      </c>
      <c r="P72" s="100">
        <v>0.42</v>
      </c>
      <c r="Q72" s="100">
        <v>9.92</v>
      </c>
      <c r="R72" s="6"/>
      <c r="S72" s="6"/>
      <c r="T72" s="156"/>
      <c r="U72" s="6"/>
    </row>
    <row r="73" spans="1:21" customFormat="1">
      <c r="A73" s="163" t="s">
        <v>1072</v>
      </c>
      <c r="B73" s="100">
        <v>3.62</v>
      </c>
      <c r="C73" s="100">
        <v>9.99</v>
      </c>
      <c r="D73" s="100">
        <v>6.37</v>
      </c>
      <c r="E73" s="100">
        <v>6.34</v>
      </c>
      <c r="F73" s="100">
        <v>10.98</v>
      </c>
      <c r="G73" s="100">
        <v>58.83</v>
      </c>
      <c r="H73" s="100">
        <v>30.27</v>
      </c>
      <c r="I73" s="100">
        <v>5.35</v>
      </c>
      <c r="J73" s="100">
        <v>1.19</v>
      </c>
      <c r="K73" s="100">
        <v>260.38</v>
      </c>
      <c r="L73" s="100">
        <v>37.03</v>
      </c>
      <c r="M73" s="100">
        <v>37.340000000000003</v>
      </c>
      <c r="N73" s="100">
        <v>171.4</v>
      </c>
      <c r="O73" s="100">
        <v>0</v>
      </c>
      <c r="P73" s="100">
        <v>0.46</v>
      </c>
      <c r="Q73" s="100">
        <v>9.93</v>
      </c>
      <c r="R73" s="6"/>
      <c r="S73" s="6"/>
      <c r="T73" s="156"/>
      <c r="U73" s="6"/>
    </row>
    <row r="74" spans="1:21" customFormat="1">
      <c r="A74" s="163" t="s">
        <v>1073</v>
      </c>
      <c r="B74" s="100">
        <v>3.64</v>
      </c>
      <c r="C74" s="100">
        <v>10.26</v>
      </c>
      <c r="D74" s="100">
        <v>6.62</v>
      </c>
      <c r="E74" s="100">
        <v>6.3</v>
      </c>
      <c r="F74" s="100">
        <v>12.68</v>
      </c>
      <c r="G74" s="100">
        <v>65.61</v>
      </c>
      <c r="H74" s="100">
        <v>32.71</v>
      </c>
      <c r="I74" s="100">
        <v>6.34</v>
      </c>
      <c r="J74" s="100">
        <v>1.01</v>
      </c>
      <c r="K74" s="100">
        <v>255.39</v>
      </c>
      <c r="L74" s="100">
        <v>36.31</v>
      </c>
      <c r="M74" s="100">
        <v>38.83</v>
      </c>
      <c r="N74" s="100">
        <v>130.9</v>
      </c>
      <c r="O74" s="100">
        <v>0</v>
      </c>
      <c r="P74" s="100">
        <v>0.41</v>
      </c>
      <c r="Q74" s="100">
        <v>9.94</v>
      </c>
      <c r="R74" s="6"/>
      <c r="S74" s="6"/>
      <c r="T74" s="156"/>
      <c r="U74" s="6"/>
    </row>
    <row r="75" spans="1:21" customFormat="1">
      <c r="A75" s="163" t="s">
        <v>1074</v>
      </c>
      <c r="B75" s="100">
        <v>3.65</v>
      </c>
      <c r="C75" s="100">
        <v>9.57</v>
      </c>
      <c r="D75" s="100">
        <v>5.92</v>
      </c>
      <c r="E75" s="100">
        <v>5.44</v>
      </c>
      <c r="F75" s="100">
        <v>13.04</v>
      </c>
      <c r="G75" s="100">
        <v>65.61</v>
      </c>
      <c r="H75" s="100">
        <v>32.71</v>
      </c>
      <c r="I75" s="100">
        <v>7.01</v>
      </c>
      <c r="J75" s="100">
        <v>0.8</v>
      </c>
      <c r="K75" s="100">
        <v>257.35000000000002</v>
      </c>
      <c r="L75" s="100">
        <v>36.14</v>
      </c>
      <c r="M75" s="100">
        <v>39.1</v>
      </c>
      <c r="N75" s="100">
        <v>116.2</v>
      </c>
      <c r="O75" s="100">
        <v>0</v>
      </c>
      <c r="P75" s="100">
        <v>0.4</v>
      </c>
      <c r="Q75" s="100">
        <v>9.94</v>
      </c>
      <c r="R75" s="6"/>
      <c r="S75" s="6"/>
      <c r="T75" s="156"/>
      <c r="U75" s="6"/>
    </row>
    <row r="76" spans="1:21" customFormat="1">
      <c r="A76" s="163" t="s">
        <v>1075</v>
      </c>
      <c r="B76" s="100">
        <v>3.7</v>
      </c>
      <c r="C76" s="100">
        <v>8.83</v>
      </c>
      <c r="D76" s="100">
        <v>5.13</v>
      </c>
      <c r="E76" s="100">
        <v>4.88</v>
      </c>
      <c r="F76" s="100">
        <v>13.22</v>
      </c>
      <c r="G76" s="100">
        <v>65.61</v>
      </c>
      <c r="H76" s="100">
        <v>32.71</v>
      </c>
      <c r="I76" s="100">
        <v>6.73</v>
      </c>
      <c r="J76" s="100">
        <v>0.77</v>
      </c>
      <c r="K76" s="100">
        <v>258.23</v>
      </c>
      <c r="L76" s="100">
        <v>35.799999999999997</v>
      </c>
      <c r="M76" s="100">
        <v>40.04</v>
      </c>
      <c r="N76" s="100">
        <v>104.9</v>
      </c>
      <c r="O76" s="100">
        <v>0</v>
      </c>
      <c r="P76" s="100">
        <v>0.37</v>
      </c>
      <c r="Q76" s="100">
        <v>9.94</v>
      </c>
      <c r="R76" s="6"/>
      <c r="S76" s="6"/>
      <c r="T76" s="156"/>
      <c r="U76" s="6"/>
    </row>
    <row r="77" spans="1:21" customFormat="1">
      <c r="A77" s="163" t="s">
        <v>1076</v>
      </c>
      <c r="B77" s="100">
        <v>3.73</v>
      </c>
      <c r="C77" s="100">
        <v>9.32</v>
      </c>
      <c r="D77" s="100">
        <v>5.6</v>
      </c>
      <c r="E77" s="100">
        <v>4.75</v>
      </c>
      <c r="F77" s="100">
        <v>13.91</v>
      </c>
      <c r="G77" s="100">
        <v>62.81</v>
      </c>
      <c r="H77" s="100">
        <v>30.81</v>
      </c>
      <c r="I77" s="100">
        <v>6.48</v>
      </c>
      <c r="J77" s="100">
        <v>0.72</v>
      </c>
      <c r="K77" s="100">
        <v>257.89999999999998</v>
      </c>
      <c r="L77" s="100">
        <v>35.79</v>
      </c>
      <c r="M77" s="100">
        <v>40.369999999999997</v>
      </c>
      <c r="N77" s="100">
        <v>83.4</v>
      </c>
      <c r="O77" s="100">
        <v>0</v>
      </c>
      <c r="P77" s="100">
        <v>0.38</v>
      </c>
      <c r="Q77" s="100">
        <v>9.93</v>
      </c>
      <c r="R77" s="6"/>
      <c r="S77" s="6"/>
      <c r="T77" s="156"/>
      <c r="U77" s="6"/>
    </row>
    <row r="78" spans="1:21" customFormat="1">
      <c r="A78" s="163" t="s">
        <v>1077</v>
      </c>
      <c r="B78" s="100">
        <v>3.72</v>
      </c>
      <c r="C78" s="100">
        <v>9.06</v>
      </c>
      <c r="D78" s="100">
        <v>5.35</v>
      </c>
      <c r="E78" s="100">
        <v>5.22</v>
      </c>
      <c r="F78" s="100">
        <v>13.6</v>
      </c>
      <c r="G78" s="100">
        <v>59.31</v>
      </c>
      <c r="H78" s="100">
        <v>29.52</v>
      </c>
      <c r="I78" s="100">
        <v>6.31</v>
      </c>
      <c r="J78" s="100">
        <v>0.48</v>
      </c>
      <c r="K78" s="100">
        <v>246.62</v>
      </c>
      <c r="L78" s="100">
        <v>35.75</v>
      </c>
      <c r="M78" s="100">
        <v>39.44</v>
      </c>
      <c r="N78" s="100">
        <v>46.7</v>
      </c>
      <c r="O78" s="100">
        <v>0</v>
      </c>
      <c r="P78" s="100">
        <v>0.39</v>
      </c>
      <c r="Q78" s="100">
        <v>9.94</v>
      </c>
      <c r="R78" s="6"/>
      <c r="S78" s="6"/>
      <c r="T78" s="156"/>
      <c r="U78" s="6"/>
    </row>
    <row r="79" spans="1:21" customFormat="1">
      <c r="A79" s="163" t="s">
        <v>1078</v>
      </c>
      <c r="B79" s="100">
        <v>3.73</v>
      </c>
      <c r="C79" s="100">
        <v>9.09</v>
      </c>
      <c r="D79" s="100">
        <v>5.36</v>
      </c>
      <c r="E79" s="100">
        <v>5.13</v>
      </c>
      <c r="F79" s="100">
        <v>12.95</v>
      </c>
      <c r="G79" s="100">
        <v>59.31</v>
      </c>
      <c r="H79" s="100">
        <v>29.52</v>
      </c>
      <c r="I79" s="100">
        <v>6.08</v>
      </c>
      <c r="J79" s="100">
        <v>0.55000000000000004</v>
      </c>
      <c r="K79" s="100">
        <v>255.56</v>
      </c>
      <c r="L79" s="100">
        <v>35.409999999999997</v>
      </c>
      <c r="M79" s="100">
        <v>39.75</v>
      </c>
      <c r="N79" s="100">
        <v>19.8</v>
      </c>
      <c r="O79" s="100">
        <v>0</v>
      </c>
      <c r="P79" s="100">
        <v>0.38</v>
      </c>
      <c r="Q79" s="100">
        <v>9.93</v>
      </c>
      <c r="R79" s="6"/>
      <c r="S79" s="6"/>
      <c r="T79" s="156"/>
      <c r="U79" s="6"/>
    </row>
    <row r="80" spans="1:21" customFormat="1">
      <c r="A80" s="163" t="s">
        <v>1079</v>
      </c>
      <c r="B80" s="100">
        <v>3.73</v>
      </c>
      <c r="C80" s="100">
        <v>9</v>
      </c>
      <c r="D80" s="100">
        <v>5.27</v>
      </c>
      <c r="E80" s="100">
        <v>5.18</v>
      </c>
      <c r="F80" s="100">
        <v>12.83</v>
      </c>
      <c r="G80" s="100">
        <v>59.31</v>
      </c>
      <c r="H80" s="100">
        <v>29.52</v>
      </c>
      <c r="I80" s="100">
        <v>6.13</v>
      </c>
      <c r="J80" s="100">
        <v>0.94</v>
      </c>
      <c r="K80" s="100">
        <v>258.83</v>
      </c>
      <c r="L80" s="100">
        <v>35.06</v>
      </c>
      <c r="M80" s="100">
        <v>39.94</v>
      </c>
      <c r="N80" s="100">
        <v>16.3</v>
      </c>
      <c r="O80" s="100">
        <v>0</v>
      </c>
      <c r="P80" s="100">
        <v>0.4</v>
      </c>
      <c r="Q80" s="100">
        <v>9.92</v>
      </c>
      <c r="R80" s="6"/>
      <c r="S80" s="6"/>
      <c r="T80" s="156"/>
      <c r="U80" s="6"/>
    </row>
    <row r="81" spans="1:21" customFormat="1">
      <c r="A81" s="163" t="s">
        <v>1080</v>
      </c>
      <c r="B81" s="100">
        <v>3.72</v>
      </c>
      <c r="C81" s="100">
        <v>9.9600000000000009</v>
      </c>
      <c r="D81" s="100">
        <v>6.24</v>
      </c>
      <c r="E81" s="100">
        <v>4.8</v>
      </c>
      <c r="F81" s="100">
        <v>16.100000000000001</v>
      </c>
      <c r="G81" s="100">
        <v>57.97</v>
      </c>
      <c r="H81" s="100">
        <v>29.86</v>
      </c>
      <c r="I81" s="100">
        <v>6.07</v>
      </c>
      <c r="J81" s="100">
        <v>0.56999999999999995</v>
      </c>
      <c r="K81" s="100">
        <v>262.67</v>
      </c>
      <c r="L81" s="100">
        <v>34.85</v>
      </c>
      <c r="M81" s="100">
        <v>40.869999999999997</v>
      </c>
      <c r="N81" s="100">
        <v>22.1</v>
      </c>
      <c r="O81" s="100">
        <v>0</v>
      </c>
      <c r="P81" s="100">
        <v>0.42</v>
      </c>
      <c r="Q81" s="100">
        <v>9.91</v>
      </c>
      <c r="R81" s="6"/>
      <c r="S81" s="6"/>
      <c r="T81" s="156"/>
      <c r="U81" s="6"/>
    </row>
    <row r="82" spans="1:21" customFormat="1">
      <c r="A82" s="163" t="s">
        <v>1081</v>
      </c>
      <c r="B82" s="100">
        <v>3.74</v>
      </c>
      <c r="C82" s="100">
        <v>9.91</v>
      </c>
      <c r="D82" s="100">
        <v>6.17</v>
      </c>
      <c r="E82" s="100">
        <v>5.93</v>
      </c>
      <c r="F82" s="100">
        <v>11.73</v>
      </c>
      <c r="G82" s="100">
        <v>56.3</v>
      </c>
      <c r="H82" s="100">
        <v>30.43</v>
      </c>
      <c r="I82" s="100">
        <v>6.13</v>
      </c>
      <c r="J82" s="100">
        <v>0.62</v>
      </c>
      <c r="K82" s="100">
        <v>254.69</v>
      </c>
      <c r="L82" s="100">
        <v>34.619999999999997</v>
      </c>
      <c r="M82" s="100">
        <v>40.549999999999997</v>
      </c>
      <c r="N82" s="100">
        <v>14.8</v>
      </c>
      <c r="O82" s="100">
        <v>0</v>
      </c>
      <c r="P82" s="100">
        <v>0.41</v>
      </c>
      <c r="Q82" s="100">
        <v>9.93</v>
      </c>
      <c r="R82" s="6"/>
      <c r="S82" s="6"/>
      <c r="T82" s="156"/>
      <c r="U82" s="6"/>
    </row>
    <row r="83" spans="1:21" customFormat="1">
      <c r="A83" s="163" t="s">
        <v>1082</v>
      </c>
      <c r="B83" s="100">
        <v>3.74</v>
      </c>
      <c r="C83" s="100">
        <v>9.91</v>
      </c>
      <c r="D83" s="100">
        <v>6.17</v>
      </c>
      <c r="E83" s="100">
        <v>5.63</v>
      </c>
      <c r="F83" s="100">
        <v>13.55</v>
      </c>
      <c r="G83" s="100">
        <v>56.3</v>
      </c>
      <c r="H83" s="100">
        <v>30.43</v>
      </c>
      <c r="I83" s="100">
        <v>6.29</v>
      </c>
      <c r="J83" s="100">
        <v>0.4</v>
      </c>
      <c r="K83" s="100">
        <v>247.8</v>
      </c>
      <c r="L83" s="100">
        <v>34.32</v>
      </c>
      <c r="M83" s="100">
        <v>42.38</v>
      </c>
      <c r="N83" s="100">
        <v>7.6</v>
      </c>
      <c r="O83" s="100">
        <v>0</v>
      </c>
      <c r="P83" s="100">
        <v>0.4</v>
      </c>
      <c r="Q83" s="100">
        <v>9.93</v>
      </c>
      <c r="R83" s="6"/>
      <c r="S83" s="6"/>
      <c r="T83" s="156"/>
      <c r="U83" s="6"/>
    </row>
    <row r="84" spans="1:21" customFormat="1">
      <c r="A84" s="163" t="s">
        <v>1083</v>
      </c>
      <c r="B84" s="100">
        <v>3.74</v>
      </c>
      <c r="C84" s="100">
        <v>9.6999999999999993</v>
      </c>
      <c r="D84" s="100">
        <v>5.96</v>
      </c>
      <c r="E84" s="100">
        <v>5.32</v>
      </c>
      <c r="F84" s="100">
        <v>12.27</v>
      </c>
      <c r="G84" s="100">
        <v>56.3</v>
      </c>
      <c r="H84" s="100">
        <v>30.43</v>
      </c>
      <c r="I84" s="100">
        <v>6.19</v>
      </c>
      <c r="J84" s="100">
        <v>0.62</v>
      </c>
      <c r="K84" s="100">
        <v>253.96</v>
      </c>
      <c r="L84" s="100">
        <v>33.76</v>
      </c>
      <c r="M84" s="100">
        <v>45.27</v>
      </c>
      <c r="N84" s="100">
        <v>3.9</v>
      </c>
      <c r="O84" s="100">
        <v>0</v>
      </c>
      <c r="P84" s="100">
        <v>0.41</v>
      </c>
      <c r="Q84" s="100">
        <v>9.92</v>
      </c>
      <c r="R84" s="6"/>
      <c r="S84" s="6"/>
      <c r="T84" s="156"/>
      <c r="U84" s="6"/>
    </row>
    <row r="85" spans="1:21" customFormat="1">
      <c r="A85" s="163" t="s">
        <v>1084</v>
      </c>
      <c r="B85" s="100">
        <v>3.75</v>
      </c>
      <c r="C85" s="100">
        <v>9.32</v>
      </c>
      <c r="D85" s="100">
        <v>5.57</v>
      </c>
      <c r="E85" s="100">
        <v>5.08</v>
      </c>
      <c r="F85" s="100">
        <v>9.7799999999999994</v>
      </c>
      <c r="G85" s="100">
        <v>55.58</v>
      </c>
      <c r="H85" s="100">
        <v>29.85</v>
      </c>
      <c r="I85" s="100">
        <v>6.16</v>
      </c>
      <c r="J85" s="100">
        <v>0.69</v>
      </c>
      <c r="K85" s="100">
        <v>249.66</v>
      </c>
      <c r="L85" s="100">
        <v>33.450000000000003</v>
      </c>
      <c r="M85" s="100">
        <v>47.43</v>
      </c>
      <c r="N85" s="100">
        <v>1.9</v>
      </c>
      <c r="O85" s="100">
        <v>0</v>
      </c>
      <c r="P85" s="100">
        <v>0.41</v>
      </c>
      <c r="Q85" s="100">
        <v>9.91</v>
      </c>
      <c r="R85" s="6"/>
      <c r="S85" s="6"/>
      <c r="T85" s="156"/>
      <c r="U85" s="6"/>
    </row>
    <row r="86" spans="1:21" customFormat="1">
      <c r="A86" s="163" t="s">
        <v>1085</v>
      </c>
      <c r="B86" s="100">
        <v>3.74</v>
      </c>
      <c r="C86" s="100">
        <v>9.2200000000000006</v>
      </c>
      <c r="D86" s="100">
        <v>5.49</v>
      </c>
      <c r="E86" s="100">
        <v>5.26</v>
      </c>
      <c r="F86" s="100">
        <v>10.15</v>
      </c>
      <c r="G86" s="100">
        <v>54.68</v>
      </c>
      <c r="H86" s="100">
        <v>29.44</v>
      </c>
      <c r="I86" s="100">
        <v>6.14</v>
      </c>
      <c r="J86" s="100">
        <v>0.53</v>
      </c>
      <c r="K86" s="100">
        <v>255.92</v>
      </c>
      <c r="L86" s="100">
        <v>33.270000000000003</v>
      </c>
      <c r="M86" s="100">
        <v>48.03</v>
      </c>
      <c r="N86" s="100">
        <v>1.9</v>
      </c>
      <c r="O86" s="100">
        <v>0</v>
      </c>
      <c r="P86" s="100">
        <v>0.41</v>
      </c>
      <c r="Q86" s="100">
        <v>9.93</v>
      </c>
      <c r="R86" s="6"/>
      <c r="S86" s="6"/>
      <c r="T86" s="156"/>
      <c r="U86" s="6"/>
    </row>
    <row r="87" spans="1:21" customFormat="1">
      <c r="A87" s="163" t="s">
        <v>1086</v>
      </c>
      <c r="B87" s="100">
        <v>3.74</v>
      </c>
      <c r="C87" s="100">
        <v>9.23</v>
      </c>
      <c r="D87" s="100">
        <v>5.49</v>
      </c>
      <c r="E87" s="100">
        <v>5.3</v>
      </c>
      <c r="F87" s="100">
        <v>10.16</v>
      </c>
      <c r="G87" s="100">
        <v>54.68</v>
      </c>
      <c r="H87" s="100">
        <v>29.44</v>
      </c>
      <c r="I87" s="100">
        <v>6.04</v>
      </c>
      <c r="J87" s="100">
        <v>0.42</v>
      </c>
      <c r="K87" s="100">
        <v>247.1</v>
      </c>
      <c r="L87" s="100">
        <v>33.090000000000003</v>
      </c>
      <c r="M87" s="100">
        <v>46.65</v>
      </c>
      <c r="N87" s="100">
        <v>1.7</v>
      </c>
      <c r="O87" s="100">
        <v>0</v>
      </c>
      <c r="P87" s="100">
        <v>0.41</v>
      </c>
      <c r="Q87" s="100">
        <v>9.93</v>
      </c>
      <c r="R87" s="6"/>
      <c r="S87" s="6"/>
      <c r="T87" s="156"/>
      <c r="U87" s="6"/>
    </row>
    <row r="88" spans="1:21" customFormat="1">
      <c r="A88" s="163" t="s">
        <v>1087</v>
      </c>
      <c r="B88" s="100">
        <v>3.75</v>
      </c>
      <c r="C88" s="100">
        <v>9.33</v>
      </c>
      <c r="D88" s="100">
        <v>5.57</v>
      </c>
      <c r="E88" s="100">
        <v>5.41</v>
      </c>
      <c r="F88" s="100">
        <v>9.06</v>
      </c>
      <c r="G88" s="100">
        <v>54.68</v>
      </c>
      <c r="H88" s="100">
        <v>29.44</v>
      </c>
      <c r="I88" s="100">
        <v>5.97</v>
      </c>
      <c r="J88" s="100">
        <v>0.26</v>
      </c>
      <c r="K88" s="100">
        <v>244.97</v>
      </c>
      <c r="L88" s="100">
        <v>32.840000000000003</v>
      </c>
      <c r="M88" s="100">
        <v>46.83</v>
      </c>
      <c r="N88" s="100">
        <v>1.6</v>
      </c>
      <c r="O88" s="100">
        <v>0</v>
      </c>
      <c r="P88" s="100">
        <v>0.43</v>
      </c>
      <c r="Q88" s="100">
        <v>9.91</v>
      </c>
      <c r="R88" s="6"/>
      <c r="S88" s="6"/>
      <c r="T88" s="156"/>
      <c r="U88" s="6"/>
    </row>
    <row r="89" spans="1:21" customFormat="1">
      <c r="A89" s="163" t="s">
        <v>1088</v>
      </c>
      <c r="B89" s="100">
        <v>3.77</v>
      </c>
      <c r="C89" s="100">
        <v>9.24</v>
      </c>
      <c r="D89" s="100">
        <v>5.47</v>
      </c>
      <c r="E89" s="100">
        <v>5.26</v>
      </c>
      <c r="F89" s="100">
        <v>7.63</v>
      </c>
      <c r="G89" s="100">
        <v>54.77</v>
      </c>
      <c r="H89" s="100">
        <v>29.55</v>
      </c>
      <c r="I89" s="100">
        <v>6.02</v>
      </c>
      <c r="J89" s="100">
        <v>0.22</v>
      </c>
      <c r="K89" s="100">
        <v>234.77</v>
      </c>
      <c r="L89" s="100">
        <v>32.6</v>
      </c>
      <c r="M89" s="100">
        <v>46.65</v>
      </c>
      <c r="N89" s="100">
        <v>1.5</v>
      </c>
      <c r="O89" s="100">
        <v>0</v>
      </c>
      <c r="P89" s="100">
        <v>0.42</v>
      </c>
      <c r="Q89" s="100">
        <v>9.91</v>
      </c>
      <c r="R89" s="6"/>
      <c r="S89" s="6"/>
      <c r="T89" s="156"/>
      <c r="U89" s="6"/>
    </row>
    <row r="90" spans="1:21" customFormat="1">
      <c r="A90" s="163" t="s">
        <v>1089</v>
      </c>
      <c r="B90" s="100">
        <v>3.79</v>
      </c>
      <c r="C90" s="100">
        <v>9.17</v>
      </c>
      <c r="D90" s="100">
        <v>5.38</v>
      </c>
      <c r="E90" s="100">
        <v>5.28</v>
      </c>
      <c r="F90" s="100">
        <v>7.81</v>
      </c>
      <c r="G90" s="100">
        <v>54.9</v>
      </c>
      <c r="H90" s="100">
        <v>29.62</v>
      </c>
      <c r="I90" s="100">
        <v>6.2</v>
      </c>
      <c r="J90" s="100">
        <v>0.24</v>
      </c>
      <c r="K90" s="100">
        <v>254.41</v>
      </c>
      <c r="L90" s="100">
        <v>32.58</v>
      </c>
      <c r="M90" s="100">
        <v>45.96</v>
      </c>
      <c r="N90" s="100">
        <v>1.4</v>
      </c>
      <c r="O90" s="100">
        <v>0</v>
      </c>
      <c r="P90" s="100">
        <v>0.42</v>
      </c>
      <c r="Q90" s="100">
        <v>9.91</v>
      </c>
      <c r="R90" s="6"/>
      <c r="S90" s="6"/>
      <c r="T90" s="156"/>
      <c r="U90" s="6"/>
    </row>
    <row r="91" spans="1:21" customFormat="1">
      <c r="A91" s="163" t="s">
        <v>1090</v>
      </c>
      <c r="B91" s="100">
        <v>3.81</v>
      </c>
      <c r="C91" s="100">
        <v>9.06</v>
      </c>
      <c r="D91" s="100">
        <v>5.25</v>
      </c>
      <c r="E91" s="100">
        <v>5.28</v>
      </c>
      <c r="F91" s="100">
        <v>7.49</v>
      </c>
      <c r="G91" s="100">
        <v>54.9</v>
      </c>
      <c r="H91" s="100">
        <v>29.62</v>
      </c>
      <c r="I91" s="100">
        <v>6.15</v>
      </c>
      <c r="J91" s="100">
        <v>0.41</v>
      </c>
      <c r="K91" s="100">
        <v>249.68</v>
      </c>
      <c r="L91" s="100">
        <v>32.590000000000003</v>
      </c>
      <c r="M91" s="100">
        <v>44.6</v>
      </c>
      <c r="N91" s="100">
        <v>1.5</v>
      </c>
      <c r="O91" s="100">
        <v>0</v>
      </c>
      <c r="P91" s="100">
        <v>0.41</v>
      </c>
      <c r="Q91" s="100">
        <v>9.92</v>
      </c>
      <c r="R91" s="6"/>
      <c r="S91" s="6"/>
      <c r="T91" s="156"/>
      <c r="U91" s="6"/>
    </row>
    <row r="92" spans="1:21" customFormat="1">
      <c r="A92" s="163" t="s">
        <v>1091</v>
      </c>
      <c r="B92" s="100">
        <v>3.81</v>
      </c>
      <c r="C92" s="100">
        <v>9.3000000000000007</v>
      </c>
      <c r="D92" s="100">
        <v>5.49</v>
      </c>
      <c r="E92" s="100">
        <v>5.5</v>
      </c>
      <c r="F92" s="100">
        <v>7.92</v>
      </c>
      <c r="G92" s="100">
        <v>54.9</v>
      </c>
      <c r="H92" s="100">
        <v>29.62</v>
      </c>
      <c r="I92" s="100">
        <v>6.08</v>
      </c>
      <c r="J92" s="100">
        <v>0.57999999999999996</v>
      </c>
      <c r="K92" s="100">
        <v>252.09</v>
      </c>
      <c r="L92" s="100">
        <v>32.46</v>
      </c>
      <c r="M92" s="100">
        <v>43.24</v>
      </c>
      <c r="N92" s="100">
        <v>1.7</v>
      </c>
      <c r="O92" s="100">
        <v>0</v>
      </c>
      <c r="P92" s="100">
        <v>0.44</v>
      </c>
      <c r="Q92" s="100">
        <v>9.92</v>
      </c>
      <c r="R92" s="6"/>
      <c r="S92" s="6"/>
      <c r="T92" s="156"/>
      <c r="U92" s="6"/>
    </row>
    <row r="93" spans="1:21" customFormat="1">
      <c r="A93" s="163" t="s">
        <v>1092</v>
      </c>
      <c r="B93" s="100">
        <v>3.82</v>
      </c>
      <c r="C93" s="100">
        <v>8.7100000000000009</v>
      </c>
      <c r="D93" s="100">
        <v>4.8899999999999997</v>
      </c>
      <c r="E93" s="100">
        <v>5.03</v>
      </c>
      <c r="F93" s="100">
        <v>17.54</v>
      </c>
      <c r="G93" s="100">
        <v>52.53</v>
      </c>
      <c r="H93" s="100">
        <v>29.54</v>
      </c>
      <c r="I93" s="100">
        <v>5.99</v>
      </c>
      <c r="J93" s="100">
        <v>0.66</v>
      </c>
      <c r="K93" s="100">
        <v>254.63</v>
      </c>
      <c r="L93" s="100">
        <v>32.270000000000003</v>
      </c>
      <c r="M93" s="100">
        <v>43.52</v>
      </c>
      <c r="N93" s="100">
        <v>1.8</v>
      </c>
      <c r="O93" s="100">
        <v>0</v>
      </c>
      <c r="P93" s="100">
        <v>0.45</v>
      </c>
      <c r="Q93" s="100">
        <v>9.93</v>
      </c>
      <c r="R93" s="6"/>
      <c r="S93" s="6"/>
      <c r="T93" s="156"/>
      <c r="U93" s="6"/>
    </row>
    <row r="94" spans="1:21" customFormat="1">
      <c r="A94" s="163" t="s">
        <v>1093</v>
      </c>
      <c r="B94" s="100">
        <v>3.81</v>
      </c>
      <c r="C94" s="100">
        <v>8.0500000000000007</v>
      </c>
      <c r="D94" s="100">
        <v>4.24</v>
      </c>
      <c r="E94" s="100">
        <v>4.63</v>
      </c>
      <c r="F94" s="100">
        <v>20.88</v>
      </c>
      <c r="G94" s="100">
        <v>49.57</v>
      </c>
      <c r="H94" s="100">
        <v>29.49</v>
      </c>
      <c r="I94" s="100">
        <v>5.98</v>
      </c>
      <c r="J94" s="100">
        <v>0.49</v>
      </c>
      <c r="K94" s="100">
        <v>256.41000000000003</v>
      </c>
      <c r="L94" s="100">
        <v>32.07</v>
      </c>
      <c r="M94" s="100">
        <v>44.88</v>
      </c>
      <c r="N94" s="100">
        <v>1.9</v>
      </c>
      <c r="O94" s="100">
        <v>0</v>
      </c>
      <c r="P94" s="100">
        <v>0.44</v>
      </c>
      <c r="Q94" s="100">
        <v>9.92</v>
      </c>
      <c r="R94" s="6"/>
      <c r="S94" s="6"/>
      <c r="T94" s="156"/>
      <c r="U94" s="6"/>
    </row>
    <row r="95" spans="1:21" customFormat="1">
      <c r="A95" s="163" t="s">
        <v>1094</v>
      </c>
      <c r="B95" s="100">
        <v>3.82</v>
      </c>
      <c r="C95" s="100">
        <v>7.7</v>
      </c>
      <c r="D95" s="100">
        <v>3.88</v>
      </c>
      <c r="E95" s="100">
        <v>4.5999999999999996</v>
      </c>
      <c r="F95" s="100">
        <v>17.899999999999999</v>
      </c>
      <c r="G95" s="100">
        <v>49.57</v>
      </c>
      <c r="H95" s="100">
        <v>29.49</v>
      </c>
      <c r="I95" s="100">
        <v>5.73</v>
      </c>
      <c r="J95" s="100">
        <v>0.6</v>
      </c>
      <c r="K95" s="100">
        <v>257.04000000000002</v>
      </c>
      <c r="L95" s="100">
        <v>31.82</v>
      </c>
      <c r="M95" s="100">
        <v>46.09</v>
      </c>
      <c r="N95" s="100">
        <v>1.9</v>
      </c>
      <c r="O95" s="100">
        <v>0</v>
      </c>
      <c r="P95" s="100">
        <v>0.45</v>
      </c>
      <c r="Q95" s="100">
        <v>9.93</v>
      </c>
      <c r="R95" s="6"/>
      <c r="S95" s="6"/>
      <c r="T95" s="156"/>
      <c r="U95" s="6"/>
    </row>
    <row r="96" spans="1:21" customFormat="1">
      <c r="A96" s="163" t="s">
        <v>1095</v>
      </c>
      <c r="B96" s="100">
        <v>3.84</v>
      </c>
      <c r="C96" s="100">
        <v>7.66</v>
      </c>
      <c r="D96" s="100">
        <v>3.82</v>
      </c>
      <c r="E96" s="100">
        <v>4.34</v>
      </c>
      <c r="F96" s="100">
        <v>18.57</v>
      </c>
      <c r="G96" s="100">
        <v>49.57</v>
      </c>
      <c r="H96" s="100">
        <v>29.49</v>
      </c>
      <c r="I96" s="100">
        <v>5.64</v>
      </c>
      <c r="J96" s="100">
        <v>0.41</v>
      </c>
      <c r="K96" s="100">
        <v>247.52</v>
      </c>
      <c r="L96" s="100">
        <v>31.71</v>
      </c>
      <c r="M96" s="100">
        <v>47.24</v>
      </c>
      <c r="N96" s="100">
        <v>1.7</v>
      </c>
      <c r="O96" s="100">
        <v>0</v>
      </c>
      <c r="P96" s="100">
        <v>0.43</v>
      </c>
      <c r="Q96" s="100">
        <v>9.94</v>
      </c>
      <c r="R96" s="6"/>
      <c r="S96" s="6"/>
      <c r="T96" s="156"/>
      <c r="U96" s="6"/>
    </row>
    <row r="97" spans="1:28" customFormat="1">
      <c r="A97" s="163" t="s">
        <v>1096</v>
      </c>
      <c r="B97" s="100">
        <v>3.9</v>
      </c>
      <c r="C97" s="100">
        <v>7.56</v>
      </c>
      <c r="D97" s="100">
        <v>3.66</v>
      </c>
      <c r="E97" s="100">
        <v>3.99</v>
      </c>
      <c r="F97" s="100">
        <v>17.16</v>
      </c>
      <c r="G97" s="100">
        <v>45.04</v>
      </c>
      <c r="H97" s="100">
        <v>29.11</v>
      </c>
      <c r="I97" s="100">
        <v>5.73</v>
      </c>
      <c r="J97" s="100">
        <v>0.56000000000000005</v>
      </c>
      <c r="K97" s="100">
        <v>256.02999999999997</v>
      </c>
      <c r="L97" s="100">
        <v>31.75</v>
      </c>
      <c r="M97" s="100">
        <v>49.14</v>
      </c>
      <c r="N97" s="100">
        <v>1.6</v>
      </c>
      <c r="O97" s="100">
        <v>0</v>
      </c>
      <c r="P97" s="100">
        <v>0.42</v>
      </c>
      <c r="Q97" s="100">
        <v>9.94</v>
      </c>
      <c r="R97" s="6"/>
      <c r="S97" s="6"/>
      <c r="T97" s="156"/>
      <c r="U97" s="6"/>
    </row>
    <row r="98" spans="1:28" customFormat="1">
      <c r="A98" s="163" t="s">
        <v>1097</v>
      </c>
      <c r="B98" s="100">
        <v>3.84</v>
      </c>
      <c r="C98" s="100">
        <v>7.76</v>
      </c>
      <c r="D98" s="100">
        <v>3.92</v>
      </c>
      <c r="E98" s="100">
        <v>4.54</v>
      </c>
      <c r="F98" s="100">
        <v>14.5</v>
      </c>
      <c r="G98" s="100">
        <v>39.380000000000003</v>
      </c>
      <c r="H98" s="100">
        <v>28.85</v>
      </c>
      <c r="I98" s="100">
        <v>5.71</v>
      </c>
      <c r="J98" s="100">
        <v>0.62</v>
      </c>
      <c r="K98" s="100">
        <v>255.99</v>
      </c>
      <c r="L98" s="100">
        <v>31.69</v>
      </c>
      <c r="M98" s="100">
        <v>50.14</v>
      </c>
      <c r="N98" s="100">
        <v>1.7</v>
      </c>
      <c r="O98" s="100">
        <v>0</v>
      </c>
      <c r="P98" s="100">
        <v>0.44</v>
      </c>
      <c r="Q98" s="100">
        <v>9.92</v>
      </c>
      <c r="R98" s="6"/>
      <c r="S98" s="6"/>
      <c r="T98" s="156"/>
      <c r="U98" s="6"/>
    </row>
    <row r="99" spans="1:28" customFormat="1">
      <c r="A99" s="163" t="s">
        <v>1098</v>
      </c>
      <c r="B99" s="100">
        <v>3.8</v>
      </c>
      <c r="C99" s="100">
        <v>7.67</v>
      </c>
      <c r="D99" s="100">
        <v>3.88</v>
      </c>
      <c r="E99" s="100">
        <v>4.3899999999999997</v>
      </c>
      <c r="F99" s="100">
        <v>20.75</v>
      </c>
      <c r="G99" s="100">
        <v>39.380000000000003</v>
      </c>
      <c r="H99" s="100">
        <v>28.85</v>
      </c>
      <c r="I99" s="100">
        <v>5.69</v>
      </c>
      <c r="J99" s="100">
        <v>0.32</v>
      </c>
      <c r="K99" s="100">
        <v>243.46</v>
      </c>
      <c r="L99" s="100">
        <v>31.46</v>
      </c>
      <c r="M99" s="100">
        <v>50.44</v>
      </c>
      <c r="N99" s="100">
        <v>1.9</v>
      </c>
      <c r="O99" s="100">
        <v>0</v>
      </c>
      <c r="P99" s="100">
        <v>0.43</v>
      </c>
      <c r="Q99" s="100">
        <v>9.92</v>
      </c>
      <c r="R99" s="6"/>
      <c r="S99" s="6"/>
      <c r="T99" s="156"/>
      <c r="U99" s="6"/>
    </row>
    <row r="100" spans="1:28" customFormat="1">
      <c r="A100" s="163" t="s">
        <v>1099</v>
      </c>
      <c r="B100" s="100">
        <v>3.84</v>
      </c>
      <c r="C100" s="100">
        <v>7.54</v>
      </c>
      <c r="D100" s="100">
        <v>3.69</v>
      </c>
      <c r="E100" s="100">
        <v>4.09</v>
      </c>
      <c r="F100" s="100">
        <v>21.44</v>
      </c>
      <c r="G100" s="100">
        <v>39.380000000000003</v>
      </c>
      <c r="H100" s="100">
        <v>28.85</v>
      </c>
      <c r="I100" s="100">
        <v>5.82</v>
      </c>
      <c r="J100" s="100">
        <v>0.3</v>
      </c>
      <c r="K100" s="100">
        <v>241.4</v>
      </c>
      <c r="L100" s="100">
        <v>31.14</v>
      </c>
      <c r="M100" s="100">
        <v>51.72</v>
      </c>
      <c r="N100" s="100">
        <v>1.9</v>
      </c>
      <c r="O100" s="100">
        <v>0</v>
      </c>
      <c r="P100" s="100">
        <v>0.42</v>
      </c>
      <c r="Q100" s="100">
        <v>9.9499999999999993</v>
      </c>
      <c r="R100" s="6"/>
      <c r="S100" s="6"/>
      <c r="T100" s="156"/>
      <c r="U100" s="6"/>
      <c r="AB100" s="161"/>
    </row>
    <row r="101" spans="1:28" customFormat="1">
      <c r="A101" s="163" t="s">
        <v>1100</v>
      </c>
      <c r="B101" s="100">
        <v>3.88</v>
      </c>
      <c r="C101" s="100">
        <v>7.47</v>
      </c>
      <c r="D101" s="100">
        <v>3.6</v>
      </c>
      <c r="E101" s="100">
        <v>4.3499999999999996</v>
      </c>
      <c r="F101" s="100">
        <v>16.89</v>
      </c>
      <c r="G101" s="100">
        <v>41.73</v>
      </c>
      <c r="H101" s="100">
        <v>28.64</v>
      </c>
      <c r="I101" s="100">
        <v>5.58</v>
      </c>
      <c r="J101" s="100">
        <v>0.45</v>
      </c>
      <c r="K101" s="100">
        <v>254.47</v>
      </c>
      <c r="L101" s="100">
        <v>30.98</v>
      </c>
      <c r="M101" s="100">
        <v>51.87</v>
      </c>
      <c r="N101" s="100">
        <v>1.7</v>
      </c>
      <c r="O101" s="100">
        <v>0</v>
      </c>
      <c r="P101" s="100">
        <v>0.41</v>
      </c>
      <c r="Q101" s="100">
        <v>9.94</v>
      </c>
      <c r="R101" s="6"/>
      <c r="S101" s="6"/>
      <c r="T101" s="156"/>
      <c r="U101" s="6"/>
    </row>
    <row r="102" spans="1:28" customFormat="1">
      <c r="A102" s="163" t="s">
        <v>1101</v>
      </c>
      <c r="B102" s="100">
        <v>3.85</v>
      </c>
      <c r="C102" s="100">
        <v>7.69</v>
      </c>
      <c r="D102" s="100">
        <v>3.84</v>
      </c>
      <c r="E102" s="100">
        <v>4.6399999999999997</v>
      </c>
      <c r="F102" s="100">
        <v>11.96</v>
      </c>
      <c r="G102" s="100">
        <v>44.67</v>
      </c>
      <c r="H102" s="100">
        <v>28.51</v>
      </c>
      <c r="I102" s="100">
        <v>5.58</v>
      </c>
      <c r="J102" s="100">
        <v>0.5</v>
      </c>
      <c r="K102" s="100">
        <v>251.03</v>
      </c>
      <c r="L102" s="100">
        <v>30.93</v>
      </c>
      <c r="M102" s="100">
        <v>52.46</v>
      </c>
      <c r="N102" s="100">
        <v>1.7</v>
      </c>
      <c r="O102" s="100">
        <v>0</v>
      </c>
      <c r="P102" s="100">
        <v>0.43</v>
      </c>
      <c r="Q102" s="100">
        <v>9.93</v>
      </c>
      <c r="R102" s="6"/>
      <c r="S102" s="6"/>
      <c r="T102" s="156"/>
      <c r="U102" s="6"/>
    </row>
    <row r="103" spans="1:28" customFormat="1">
      <c r="A103" s="163" t="s">
        <v>1102</v>
      </c>
      <c r="B103" s="100">
        <v>3.89</v>
      </c>
      <c r="C103" s="100">
        <v>7.46</v>
      </c>
      <c r="D103" s="100">
        <v>3.57</v>
      </c>
      <c r="E103" s="100">
        <v>4.66</v>
      </c>
      <c r="F103" s="100">
        <v>15.34</v>
      </c>
      <c r="G103" s="100">
        <v>44.67</v>
      </c>
      <c r="H103" s="100">
        <v>28.51</v>
      </c>
      <c r="I103" s="100">
        <v>5.6</v>
      </c>
      <c r="J103" s="100">
        <v>0.41</v>
      </c>
      <c r="K103" s="100">
        <v>254.05</v>
      </c>
      <c r="L103" s="100">
        <v>30.83</v>
      </c>
      <c r="M103" s="100">
        <v>54.17</v>
      </c>
      <c r="N103" s="100">
        <v>1.8</v>
      </c>
      <c r="O103" s="100">
        <v>0</v>
      </c>
      <c r="P103" s="100">
        <v>0.41</v>
      </c>
      <c r="Q103" s="100">
        <v>9.92</v>
      </c>
      <c r="R103" s="6"/>
      <c r="S103" s="6"/>
      <c r="T103" s="156"/>
      <c r="U103" s="6"/>
    </row>
    <row r="104" spans="1:28" customFormat="1">
      <c r="A104" s="163" t="s">
        <v>1103</v>
      </c>
      <c r="B104" s="100">
        <v>3.93</v>
      </c>
      <c r="C104" s="100">
        <v>7.27</v>
      </c>
      <c r="D104" s="100">
        <v>3.34</v>
      </c>
      <c r="E104" s="100">
        <v>4.5599999999999996</v>
      </c>
      <c r="F104" s="100">
        <v>17.96</v>
      </c>
      <c r="G104" s="100">
        <v>44.67</v>
      </c>
      <c r="H104" s="100">
        <v>28.51</v>
      </c>
      <c r="I104" s="100">
        <v>5.82</v>
      </c>
      <c r="J104" s="100">
        <v>0.49</v>
      </c>
      <c r="K104" s="100">
        <v>259.87</v>
      </c>
      <c r="L104" s="100">
        <v>30.54</v>
      </c>
      <c r="M104" s="100">
        <v>56</v>
      </c>
      <c r="N104" s="100">
        <v>2</v>
      </c>
      <c r="O104" s="100">
        <v>0</v>
      </c>
      <c r="P104" s="100">
        <v>0.4</v>
      </c>
      <c r="Q104" s="100">
        <v>9.93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3.59</v>
      </c>
      <c r="C106" s="158">
        <f>MIN(C9:C104)</f>
        <v>6.97</v>
      </c>
      <c r="D106" s="158">
        <f t="shared" ref="D106:Q106" si="0">MIN(D9:D104)</f>
        <v>3.26</v>
      </c>
      <c r="E106" s="158">
        <f t="shared" si="0"/>
        <v>3.76</v>
      </c>
      <c r="F106" s="158">
        <f t="shared" si="0"/>
        <v>3.69</v>
      </c>
      <c r="G106" s="158">
        <f t="shared" si="0"/>
        <v>30.2</v>
      </c>
      <c r="H106" s="158">
        <f t="shared" si="0"/>
        <v>17.559999999999999</v>
      </c>
      <c r="I106" s="158">
        <f t="shared" si="0"/>
        <v>4.25</v>
      </c>
      <c r="J106" s="158">
        <f t="shared" si="0"/>
        <v>0.08</v>
      </c>
      <c r="K106" s="158">
        <f t="shared" si="0"/>
        <v>111.86</v>
      </c>
      <c r="L106" s="158">
        <f t="shared" si="0"/>
        <v>27.66</v>
      </c>
      <c r="M106" s="158">
        <f t="shared" si="0"/>
        <v>30.9</v>
      </c>
      <c r="N106" s="158">
        <f t="shared" si="0"/>
        <v>1.4</v>
      </c>
      <c r="O106" s="158">
        <f t="shared" si="0"/>
        <v>0</v>
      </c>
      <c r="P106" s="158">
        <f t="shared" si="0"/>
        <v>0.37</v>
      </c>
      <c r="Q106" s="158">
        <f t="shared" si="0"/>
        <v>9.9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4.54</v>
      </c>
      <c r="C107" s="157">
        <f t="shared" ref="C107:Q107" si="1">MAX(C9:C104)</f>
        <v>12.2</v>
      </c>
      <c r="D107" s="157">
        <f t="shared" si="1"/>
        <v>7.66</v>
      </c>
      <c r="E107" s="157">
        <f t="shared" si="1"/>
        <v>7.99</v>
      </c>
      <c r="F107" s="157">
        <f t="shared" si="1"/>
        <v>53.76</v>
      </c>
      <c r="G107" s="157">
        <f t="shared" si="1"/>
        <v>65.61</v>
      </c>
      <c r="H107" s="157">
        <f t="shared" si="1"/>
        <v>32.71</v>
      </c>
      <c r="I107" s="157">
        <f t="shared" si="1"/>
        <v>7.01</v>
      </c>
      <c r="J107" s="157">
        <f t="shared" si="1"/>
        <v>1.19</v>
      </c>
      <c r="K107" s="157">
        <f t="shared" si="1"/>
        <v>312.10000000000002</v>
      </c>
      <c r="L107" s="157">
        <f t="shared" si="1"/>
        <v>40.840000000000003</v>
      </c>
      <c r="M107" s="157">
        <f t="shared" si="1"/>
        <v>70.37</v>
      </c>
      <c r="N107" s="157">
        <f t="shared" si="1"/>
        <v>649.29999999999995</v>
      </c>
      <c r="O107" s="157">
        <f t="shared" si="1"/>
        <v>0</v>
      </c>
      <c r="P107" s="157">
        <f t="shared" si="1"/>
        <v>0.56000000000000005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3.8952083333333332</v>
      </c>
      <c r="C108" s="158">
        <f t="shared" ref="C108:Q108" si="2">AVERAGE(C9:C104)</f>
        <v>8.451666666666668</v>
      </c>
      <c r="D108" s="158">
        <f t="shared" si="2"/>
        <v>4.5563541666666669</v>
      </c>
      <c r="E108" s="158">
        <f t="shared" si="2"/>
        <v>5.5401041666666657</v>
      </c>
      <c r="F108" s="158">
        <f t="shared" si="2"/>
        <v>15.128541666666671</v>
      </c>
      <c r="G108" s="158">
        <f t="shared" si="2"/>
        <v>44.384166666666687</v>
      </c>
      <c r="H108" s="158">
        <f t="shared" si="2"/>
        <v>24.548958333333328</v>
      </c>
      <c r="I108" s="158">
        <f t="shared" si="2"/>
        <v>5.3936458333333333</v>
      </c>
      <c r="J108" s="158">
        <f t="shared" si="2"/>
        <v>0.51114583333333308</v>
      </c>
      <c r="K108" s="158">
        <f t="shared" si="2"/>
        <v>239.76437499999994</v>
      </c>
      <c r="L108" s="158">
        <f t="shared" si="2"/>
        <v>33.256770833333334</v>
      </c>
      <c r="M108" s="158">
        <f t="shared" si="2"/>
        <v>49.982604166666697</v>
      </c>
      <c r="N108" s="158">
        <f t="shared" si="2"/>
        <v>117.19479166666666</v>
      </c>
      <c r="O108" s="158">
        <f t="shared" si="2"/>
        <v>0</v>
      </c>
      <c r="P108" s="158">
        <f t="shared" si="2"/>
        <v>0.4262499999999998</v>
      </c>
      <c r="Q108" s="158">
        <f t="shared" si="2"/>
        <v>9.9268749999999901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0.23989462233356001</v>
      </c>
      <c r="C109" s="158">
        <f t="shared" ref="C109:Q109" si="3">STDEV(C9:C104)</f>
        <v>0.81957198928101205</v>
      </c>
      <c r="D109" s="158">
        <f t="shared" si="3"/>
        <v>0.85960593149194908</v>
      </c>
      <c r="E109" s="158">
        <f t="shared" si="3"/>
        <v>0.89598695337267387</v>
      </c>
      <c r="F109" s="158">
        <f t="shared" si="3"/>
        <v>11.216543700611124</v>
      </c>
      <c r="G109" s="158">
        <f t="shared" si="3"/>
        <v>10.652381465061767</v>
      </c>
      <c r="H109" s="158">
        <f t="shared" si="3"/>
        <v>4.5843469325789608</v>
      </c>
      <c r="I109" s="158">
        <f t="shared" si="3"/>
        <v>0.59554330752713103</v>
      </c>
      <c r="J109" s="158">
        <f t="shared" si="3"/>
        <v>0.30956631732887513</v>
      </c>
      <c r="K109" s="158">
        <f t="shared" si="3"/>
        <v>34.892596313545098</v>
      </c>
      <c r="L109" s="158">
        <f t="shared" si="3"/>
        <v>3.7295331991781007</v>
      </c>
      <c r="M109" s="158">
        <f t="shared" si="3"/>
        <v>10.711449874320692</v>
      </c>
      <c r="N109" s="158">
        <f t="shared" si="3"/>
        <v>166.07399515675104</v>
      </c>
      <c r="O109" s="158">
        <f t="shared" si="3"/>
        <v>0</v>
      </c>
      <c r="P109" s="158">
        <f t="shared" si="3"/>
        <v>4.2407794715495148E-2</v>
      </c>
      <c r="Q109" s="158">
        <f t="shared" si="3"/>
        <v>1.0888187708656679E-2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1" sqref="G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1104</v>
      </c>
      <c r="B9" s="100">
        <v>3.79</v>
      </c>
      <c r="C9" s="100">
        <v>7.41</v>
      </c>
      <c r="D9" s="100">
        <v>3.62</v>
      </c>
      <c r="E9" s="100">
        <v>4.2300000000000004</v>
      </c>
      <c r="F9" s="100">
        <v>16.54</v>
      </c>
      <c r="G9" s="100">
        <v>45.34</v>
      </c>
      <c r="H9" s="100">
        <v>28.88</v>
      </c>
      <c r="I9" s="100">
        <v>5.6</v>
      </c>
      <c r="J9" s="100">
        <v>0.45</v>
      </c>
      <c r="K9" s="100">
        <v>255.03</v>
      </c>
      <c r="L9" s="100">
        <v>30.43</v>
      </c>
      <c r="M9" s="100">
        <v>57.9</v>
      </c>
      <c r="N9" s="100">
        <v>1.7</v>
      </c>
      <c r="O9" s="100">
        <v>0</v>
      </c>
      <c r="P9" s="100">
        <v>0.4</v>
      </c>
      <c r="Q9" s="100">
        <v>9.93</v>
      </c>
      <c r="R9" s="6"/>
      <c r="S9" s="6"/>
      <c r="T9" s="156"/>
      <c r="U9" s="6"/>
    </row>
    <row r="10" spans="1:21" customFormat="1">
      <c r="A10" s="163" t="s">
        <v>1105</v>
      </c>
      <c r="B10" s="100">
        <v>3.77</v>
      </c>
      <c r="C10" s="100">
        <v>7.71</v>
      </c>
      <c r="D10" s="100">
        <v>3.94</v>
      </c>
      <c r="E10" s="100">
        <v>4.63</v>
      </c>
      <c r="F10" s="100">
        <v>12.94</v>
      </c>
      <c r="G10" s="100">
        <v>46.17</v>
      </c>
      <c r="H10" s="100">
        <v>29.52</v>
      </c>
      <c r="I10" s="100">
        <v>5.49</v>
      </c>
      <c r="J10" s="100">
        <v>0.34</v>
      </c>
      <c r="K10" s="100">
        <v>246.11</v>
      </c>
      <c r="L10" s="100">
        <v>30.3</v>
      </c>
      <c r="M10" s="100">
        <v>59.68</v>
      </c>
      <c r="N10" s="100">
        <v>1.8</v>
      </c>
      <c r="O10" s="100">
        <v>0</v>
      </c>
      <c r="P10" s="100">
        <v>0.41</v>
      </c>
      <c r="Q10" s="100">
        <v>9.92</v>
      </c>
      <c r="R10" s="6"/>
      <c r="S10" s="6"/>
      <c r="T10" s="156"/>
      <c r="U10" s="6"/>
    </row>
    <row r="11" spans="1:21" customFormat="1">
      <c r="A11" s="163" t="s">
        <v>1106</v>
      </c>
      <c r="B11" s="100">
        <v>3.81</v>
      </c>
      <c r="C11" s="100">
        <v>7.46</v>
      </c>
      <c r="D11" s="100">
        <v>3.65</v>
      </c>
      <c r="E11" s="100">
        <v>4.6900000000000004</v>
      </c>
      <c r="F11" s="100">
        <v>15.88</v>
      </c>
      <c r="G11" s="100">
        <v>46.17</v>
      </c>
      <c r="H11" s="100">
        <v>29.52</v>
      </c>
      <c r="I11" s="100">
        <v>5.49</v>
      </c>
      <c r="J11" s="100">
        <v>0.43</v>
      </c>
      <c r="K11" s="100">
        <v>251.31</v>
      </c>
      <c r="L11" s="100">
        <v>30.21</v>
      </c>
      <c r="M11" s="100">
        <v>61</v>
      </c>
      <c r="N11" s="100">
        <v>1.7</v>
      </c>
      <c r="O11" s="100">
        <v>0</v>
      </c>
      <c r="P11" s="100">
        <v>0.39</v>
      </c>
      <c r="Q11" s="100">
        <v>9.93</v>
      </c>
      <c r="R11" s="6"/>
      <c r="S11" s="6"/>
      <c r="T11" s="156"/>
      <c r="U11" s="6"/>
    </row>
    <row r="12" spans="1:21" customFormat="1">
      <c r="A12" s="163" t="s">
        <v>1107</v>
      </c>
      <c r="B12" s="100">
        <v>3.83</v>
      </c>
      <c r="C12" s="100">
        <v>7.22</v>
      </c>
      <c r="D12" s="100">
        <v>3.39</v>
      </c>
      <c r="E12" s="100">
        <v>4.41</v>
      </c>
      <c r="F12" s="100">
        <v>15.5</v>
      </c>
      <c r="G12" s="100">
        <v>46.17</v>
      </c>
      <c r="H12" s="100">
        <v>29.52</v>
      </c>
      <c r="I12" s="100">
        <v>5.62</v>
      </c>
      <c r="J12" s="100">
        <v>0.26</v>
      </c>
      <c r="K12" s="100">
        <v>244.4</v>
      </c>
      <c r="L12" s="100">
        <v>30.16</v>
      </c>
      <c r="M12" s="100">
        <v>62</v>
      </c>
      <c r="N12" s="100">
        <v>1.7</v>
      </c>
      <c r="O12" s="100">
        <v>0</v>
      </c>
      <c r="P12" s="100">
        <v>0.37</v>
      </c>
      <c r="Q12" s="100">
        <v>9.93</v>
      </c>
      <c r="R12" s="6"/>
      <c r="S12" s="6"/>
      <c r="T12" s="156"/>
      <c r="U12" s="6"/>
    </row>
    <row r="13" spans="1:21" customFormat="1">
      <c r="A13" s="163" t="s">
        <v>1108</v>
      </c>
      <c r="B13" s="100">
        <v>3.86</v>
      </c>
      <c r="C13" s="100">
        <v>7.48</v>
      </c>
      <c r="D13" s="100">
        <v>3.62</v>
      </c>
      <c r="E13" s="100">
        <v>4.66</v>
      </c>
      <c r="F13" s="100">
        <v>10.96</v>
      </c>
      <c r="G13" s="100">
        <v>45.06</v>
      </c>
      <c r="H13" s="100">
        <v>27</v>
      </c>
      <c r="I13" s="100">
        <v>5.44</v>
      </c>
      <c r="J13" s="100">
        <v>0.35</v>
      </c>
      <c r="K13" s="100">
        <v>250.74</v>
      </c>
      <c r="L13" s="100">
        <v>30.05</v>
      </c>
      <c r="M13" s="100">
        <v>63.04</v>
      </c>
      <c r="N13" s="100">
        <v>1.7</v>
      </c>
      <c r="O13" s="100">
        <v>0</v>
      </c>
      <c r="P13" s="100">
        <v>0.39</v>
      </c>
      <c r="Q13" s="100">
        <v>9.93</v>
      </c>
      <c r="R13" s="6"/>
      <c r="S13" s="6"/>
      <c r="T13" s="156"/>
      <c r="U13" s="6"/>
    </row>
    <row r="14" spans="1:21" customFormat="1">
      <c r="A14" s="163" t="s">
        <v>1109</v>
      </c>
      <c r="B14" s="100">
        <v>3.81</v>
      </c>
      <c r="C14" s="100">
        <v>7.57</v>
      </c>
      <c r="D14" s="100">
        <v>3.77</v>
      </c>
      <c r="E14" s="100">
        <v>4.51</v>
      </c>
      <c r="F14" s="100">
        <v>14.51</v>
      </c>
      <c r="G14" s="100">
        <v>43.6</v>
      </c>
      <c r="H14" s="100">
        <v>25.25</v>
      </c>
      <c r="I14" s="100">
        <v>5.36</v>
      </c>
      <c r="J14" s="100">
        <v>0.23</v>
      </c>
      <c r="K14" s="100">
        <v>229.09</v>
      </c>
      <c r="L14" s="100">
        <v>29.93</v>
      </c>
      <c r="M14" s="100">
        <v>64.150000000000006</v>
      </c>
      <c r="N14" s="100">
        <v>1.8</v>
      </c>
      <c r="O14" s="100">
        <v>0</v>
      </c>
      <c r="P14" s="100">
        <v>0.38</v>
      </c>
      <c r="Q14" s="100">
        <v>9.92</v>
      </c>
      <c r="R14" s="6"/>
      <c r="S14" s="6"/>
      <c r="T14" s="156"/>
      <c r="U14" s="6"/>
    </row>
    <row r="15" spans="1:21" customFormat="1">
      <c r="A15" s="163" t="s">
        <v>1110</v>
      </c>
      <c r="B15" s="100">
        <v>3.87</v>
      </c>
      <c r="C15" s="100">
        <v>7.43</v>
      </c>
      <c r="D15" s="100">
        <v>3.55</v>
      </c>
      <c r="E15" s="100">
        <v>4.2699999999999996</v>
      </c>
      <c r="F15" s="100">
        <v>9.44</v>
      </c>
      <c r="G15" s="100">
        <v>43.6</v>
      </c>
      <c r="H15" s="100">
        <v>25.25</v>
      </c>
      <c r="I15" s="100">
        <v>5.66</v>
      </c>
      <c r="J15" s="100">
        <v>0.32</v>
      </c>
      <c r="K15" s="100">
        <v>247.2</v>
      </c>
      <c r="L15" s="100">
        <v>29.77</v>
      </c>
      <c r="M15" s="100">
        <v>65.19</v>
      </c>
      <c r="N15" s="100">
        <v>1.7</v>
      </c>
      <c r="O15" s="100">
        <v>0</v>
      </c>
      <c r="P15" s="100">
        <v>0.36</v>
      </c>
      <c r="Q15" s="100">
        <v>9.92</v>
      </c>
      <c r="R15" s="6"/>
      <c r="S15" s="6"/>
      <c r="T15" s="156"/>
      <c r="U15" s="6"/>
    </row>
    <row r="16" spans="1:21" customFormat="1">
      <c r="A16" s="163" t="s">
        <v>1111</v>
      </c>
      <c r="B16" s="100">
        <v>3.88</v>
      </c>
      <c r="C16" s="100">
        <v>7.78</v>
      </c>
      <c r="D16" s="100">
        <v>3.9</v>
      </c>
      <c r="E16" s="100">
        <v>4.5599999999999996</v>
      </c>
      <c r="F16" s="100">
        <v>6.23</v>
      </c>
      <c r="G16" s="100">
        <v>43.6</v>
      </c>
      <c r="H16" s="100">
        <v>25.25</v>
      </c>
      <c r="I16" s="100">
        <v>5.33</v>
      </c>
      <c r="J16" s="100">
        <v>0.21</v>
      </c>
      <c r="K16" s="100">
        <v>224.53</v>
      </c>
      <c r="L16" s="100">
        <v>29.77</v>
      </c>
      <c r="M16" s="100">
        <v>65.63</v>
      </c>
      <c r="N16" s="100">
        <v>1.6</v>
      </c>
      <c r="O16" s="100">
        <v>0</v>
      </c>
      <c r="P16" s="100">
        <v>0.33</v>
      </c>
      <c r="Q16" s="100">
        <v>9.92</v>
      </c>
      <c r="R16" s="6"/>
      <c r="S16" s="6"/>
      <c r="T16" s="156"/>
      <c r="U16" s="6"/>
    </row>
    <row r="17" spans="1:21" customFormat="1">
      <c r="A17" s="163" t="s">
        <v>1112</v>
      </c>
      <c r="B17" s="100">
        <v>3.84</v>
      </c>
      <c r="C17" s="100">
        <v>7.96</v>
      </c>
      <c r="D17" s="100">
        <v>4.12</v>
      </c>
      <c r="E17" s="100">
        <v>4.33</v>
      </c>
      <c r="F17" s="100">
        <v>6.15</v>
      </c>
      <c r="G17" s="100">
        <v>41.96</v>
      </c>
      <c r="H17" s="100">
        <v>24.32</v>
      </c>
      <c r="I17" s="100">
        <v>5.47</v>
      </c>
      <c r="J17" s="100">
        <v>0.2</v>
      </c>
      <c r="K17" s="100">
        <v>235.2</v>
      </c>
      <c r="L17" s="100">
        <v>29.59</v>
      </c>
      <c r="M17" s="100">
        <v>66.680000000000007</v>
      </c>
      <c r="N17" s="100">
        <v>1.6</v>
      </c>
      <c r="O17" s="100">
        <v>0</v>
      </c>
      <c r="P17" s="100">
        <v>0.32</v>
      </c>
      <c r="Q17" s="100">
        <v>9.94</v>
      </c>
      <c r="R17" s="6"/>
      <c r="S17" s="6"/>
      <c r="T17" s="156"/>
      <c r="U17" s="6"/>
    </row>
    <row r="18" spans="1:21" customFormat="1">
      <c r="A18" s="163" t="s">
        <v>1113</v>
      </c>
      <c r="B18" s="100">
        <v>3.86</v>
      </c>
      <c r="C18" s="100">
        <v>8.14</v>
      </c>
      <c r="D18" s="100">
        <v>4.28</v>
      </c>
      <c r="E18" s="100">
        <v>5.49</v>
      </c>
      <c r="F18" s="100">
        <v>4.8899999999999997</v>
      </c>
      <c r="G18" s="100">
        <v>39.81</v>
      </c>
      <c r="H18" s="100">
        <v>23.67</v>
      </c>
      <c r="I18" s="100">
        <v>5.62</v>
      </c>
      <c r="J18" s="100">
        <v>0.28000000000000003</v>
      </c>
      <c r="K18" s="100">
        <v>239.82</v>
      </c>
      <c r="L18" s="100">
        <v>29.54</v>
      </c>
      <c r="M18" s="100">
        <v>67.47</v>
      </c>
      <c r="N18" s="100">
        <v>1.5</v>
      </c>
      <c r="O18" s="100">
        <v>0</v>
      </c>
      <c r="P18" s="100">
        <v>0.32</v>
      </c>
      <c r="Q18" s="100">
        <v>9.93</v>
      </c>
      <c r="R18" s="6"/>
      <c r="S18" s="6"/>
      <c r="T18" s="156"/>
      <c r="U18" s="6"/>
    </row>
    <row r="19" spans="1:21" customFormat="1">
      <c r="A19" s="163" t="s">
        <v>1114</v>
      </c>
      <c r="B19" s="100">
        <v>3.87</v>
      </c>
      <c r="C19" s="100">
        <v>8.1199999999999992</v>
      </c>
      <c r="D19" s="100">
        <v>4.25</v>
      </c>
      <c r="E19" s="100">
        <v>5.64</v>
      </c>
      <c r="F19" s="100">
        <v>4.59</v>
      </c>
      <c r="G19" s="100">
        <v>39.81</v>
      </c>
      <c r="H19" s="100">
        <v>23.67</v>
      </c>
      <c r="I19" s="100">
        <v>5.49</v>
      </c>
      <c r="J19" s="100">
        <v>0.24</v>
      </c>
      <c r="K19" s="100">
        <v>237.58</v>
      </c>
      <c r="L19" s="100">
        <v>29.39</v>
      </c>
      <c r="M19" s="100">
        <v>68.52</v>
      </c>
      <c r="N19" s="100">
        <v>1.6</v>
      </c>
      <c r="O19" s="100">
        <v>0</v>
      </c>
      <c r="P19" s="100">
        <v>0.31</v>
      </c>
      <c r="Q19" s="100">
        <v>9.92</v>
      </c>
      <c r="R19" s="6"/>
      <c r="S19" s="6"/>
      <c r="T19" s="156"/>
      <c r="U19" s="6"/>
    </row>
    <row r="20" spans="1:21" customFormat="1">
      <c r="A20" s="163" t="s">
        <v>1115</v>
      </c>
      <c r="B20" s="100">
        <v>3.85</v>
      </c>
      <c r="C20" s="100">
        <v>8.17</v>
      </c>
      <c r="D20" s="100">
        <v>4.32</v>
      </c>
      <c r="E20" s="100">
        <v>5.36</v>
      </c>
      <c r="F20" s="100">
        <v>4.4000000000000004</v>
      </c>
      <c r="G20" s="100">
        <v>39.81</v>
      </c>
      <c r="H20" s="100">
        <v>23.67</v>
      </c>
      <c r="I20" s="100">
        <v>5.44</v>
      </c>
      <c r="J20" s="100">
        <v>0.38</v>
      </c>
      <c r="K20" s="100">
        <v>255.5</v>
      </c>
      <c r="L20" s="100">
        <v>29.38</v>
      </c>
      <c r="M20" s="100">
        <v>68.900000000000006</v>
      </c>
      <c r="N20" s="100">
        <v>1.4</v>
      </c>
      <c r="O20" s="100">
        <v>0</v>
      </c>
      <c r="P20" s="100">
        <v>0.3</v>
      </c>
      <c r="Q20" s="100">
        <v>9.93</v>
      </c>
      <c r="R20" s="6"/>
      <c r="S20" s="6"/>
      <c r="T20" s="156"/>
      <c r="U20" s="6"/>
    </row>
    <row r="21" spans="1:21" customFormat="1">
      <c r="A21" s="163" t="s">
        <v>1116</v>
      </c>
      <c r="B21" s="100">
        <v>3.85</v>
      </c>
      <c r="C21" s="100">
        <v>8.3000000000000007</v>
      </c>
      <c r="D21" s="100">
        <v>4.4400000000000004</v>
      </c>
      <c r="E21" s="100">
        <v>5.82</v>
      </c>
      <c r="F21" s="100">
        <v>5.14</v>
      </c>
      <c r="G21" s="100">
        <v>39.74</v>
      </c>
      <c r="H21" s="100">
        <v>23.04</v>
      </c>
      <c r="I21" s="100">
        <v>5.36</v>
      </c>
      <c r="J21" s="100">
        <v>0.38</v>
      </c>
      <c r="K21" s="100">
        <v>245.57</v>
      </c>
      <c r="L21" s="100">
        <v>29.3</v>
      </c>
      <c r="M21" s="100">
        <v>69.7</v>
      </c>
      <c r="N21" s="100">
        <v>1.6</v>
      </c>
      <c r="O21" s="100">
        <v>0</v>
      </c>
      <c r="P21" s="100">
        <v>0.3</v>
      </c>
      <c r="Q21" s="100">
        <v>9.91</v>
      </c>
      <c r="R21" s="6"/>
      <c r="S21" s="6"/>
      <c r="T21" s="156"/>
      <c r="U21" s="6"/>
    </row>
    <row r="22" spans="1:21" customFormat="1">
      <c r="A22" s="163" t="s">
        <v>1117</v>
      </c>
      <c r="B22" s="100">
        <v>3.85</v>
      </c>
      <c r="C22" s="100">
        <v>8.24</v>
      </c>
      <c r="D22" s="100">
        <v>4.3899999999999997</v>
      </c>
      <c r="E22" s="100">
        <v>5.73</v>
      </c>
      <c r="F22" s="100">
        <v>4.17</v>
      </c>
      <c r="G22" s="100">
        <v>39.65</v>
      </c>
      <c r="H22" s="100">
        <v>22.59</v>
      </c>
      <c r="I22" s="100">
        <v>5.23</v>
      </c>
      <c r="J22" s="100">
        <v>0.41</v>
      </c>
      <c r="K22" s="100">
        <v>245.68</v>
      </c>
      <c r="L22" s="100">
        <v>29.3</v>
      </c>
      <c r="M22" s="100">
        <v>69.89</v>
      </c>
      <c r="N22" s="100">
        <v>1.6</v>
      </c>
      <c r="O22" s="100">
        <v>0</v>
      </c>
      <c r="P22" s="100">
        <v>0.3</v>
      </c>
      <c r="Q22" s="100">
        <v>9.89</v>
      </c>
      <c r="R22" s="6"/>
      <c r="S22" s="6"/>
      <c r="T22" s="156"/>
      <c r="U22" s="6"/>
    </row>
    <row r="23" spans="1:21" customFormat="1">
      <c r="A23" s="163" t="s">
        <v>1118</v>
      </c>
      <c r="B23" s="100">
        <v>3.85</v>
      </c>
      <c r="C23" s="100">
        <v>8.19</v>
      </c>
      <c r="D23" s="100">
        <v>4.3499999999999996</v>
      </c>
      <c r="E23" s="100">
        <v>5.51</v>
      </c>
      <c r="F23" s="100">
        <v>3.59</v>
      </c>
      <c r="G23" s="100">
        <v>39.65</v>
      </c>
      <c r="H23" s="100">
        <v>22.59</v>
      </c>
      <c r="I23" s="100">
        <v>5.15</v>
      </c>
      <c r="J23" s="100">
        <v>0.31</v>
      </c>
      <c r="K23" s="100">
        <v>248.94</v>
      </c>
      <c r="L23" s="100">
        <v>29.15</v>
      </c>
      <c r="M23" s="100">
        <v>71.069999999999993</v>
      </c>
      <c r="N23" s="100">
        <v>1.7</v>
      </c>
      <c r="O23" s="100">
        <v>0</v>
      </c>
      <c r="P23" s="100">
        <v>0.28999999999999998</v>
      </c>
      <c r="Q23" s="100">
        <v>9.92</v>
      </c>
      <c r="R23" s="6"/>
      <c r="S23" s="6"/>
      <c r="T23" s="156"/>
      <c r="U23" s="6"/>
    </row>
    <row r="24" spans="1:21" customFormat="1">
      <c r="A24" s="163" t="s">
        <v>1119</v>
      </c>
      <c r="B24" s="100">
        <v>3.86</v>
      </c>
      <c r="C24" s="100">
        <v>8.2200000000000006</v>
      </c>
      <c r="D24" s="100">
        <v>4.3499999999999996</v>
      </c>
      <c r="E24" s="100">
        <v>5.61</v>
      </c>
      <c r="F24" s="100">
        <v>2.9</v>
      </c>
      <c r="G24" s="100">
        <v>39.65</v>
      </c>
      <c r="H24" s="100">
        <v>22.59</v>
      </c>
      <c r="I24" s="100">
        <v>5.07</v>
      </c>
      <c r="J24" s="100">
        <v>0.43</v>
      </c>
      <c r="K24" s="100">
        <v>250.95</v>
      </c>
      <c r="L24" s="100">
        <v>28.93</v>
      </c>
      <c r="M24" s="100">
        <v>72.11</v>
      </c>
      <c r="N24" s="100">
        <v>1.6</v>
      </c>
      <c r="O24" s="100">
        <v>0</v>
      </c>
      <c r="P24" s="100">
        <v>0.28000000000000003</v>
      </c>
      <c r="Q24" s="100">
        <v>9.92</v>
      </c>
      <c r="R24" s="6"/>
      <c r="S24" s="6"/>
      <c r="T24" s="156"/>
      <c r="U24" s="6"/>
    </row>
    <row r="25" spans="1:21" customFormat="1">
      <c r="A25" s="163" t="s">
        <v>1120</v>
      </c>
      <c r="B25" s="100">
        <v>3.89</v>
      </c>
      <c r="C25" s="100">
        <v>8.3000000000000007</v>
      </c>
      <c r="D25" s="100">
        <v>4.41</v>
      </c>
      <c r="E25" s="100">
        <v>5.91</v>
      </c>
      <c r="F25" s="100">
        <v>3.21</v>
      </c>
      <c r="G25" s="100">
        <v>38.880000000000003</v>
      </c>
      <c r="H25" s="100">
        <v>23.6</v>
      </c>
      <c r="I25" s="100">
        <v>5.0199999999999996</v>
      </c>
      <c r="J25" s="100">
        <v>0.39</v>
      </c>
      <c r="K25" s="100">
        <v>251.02</v>
      </c>
      <c r="L25" s="100">
        <v>28.87</v>
      </c>
      <c r="M25" s="100">
        <v>72.53</v>
      </c>
      <c r="N25" s="100">
        <v>1.6</v>
      </c>
      <c r="O25" s="100">
        <v>0</v>
      </c>
      <c r="P25" s="100">
        <v>0.28999999999999998</v>
      </c>
      <c r="Q25" s="100">
        <v>9.92</v>
      </c>
      <c r="R25" s="6"/>
      <c r="S25" s="6"/>
      <c r="T25" s="156"/>
      <c r="U25" s="6"/>
    </row>
    <row r="26" spans="1:21" customFormat="1">
      <c r="A26" s="163" t="s">
        <v>1121</v>
      </c>
      <c r="B26" s="100">
        <v>3.89</v>
      </c>
      <c r="C26" s="100">
        <v>8.27</v>
      </c>
      <c r="D26" s="100">
        <v>4.3899999999999997</v>
      </c>
      <c r="E26" s="100">
        <v>5.88</v>
      </c>
      <c r="F26" s="100">
        <v>3.2</v>
      </c>
      <c r="G26" s="100">
        <v>37.86</v>
      </c>
      <c r="H26" s="100">
        <v>24.29</v>
      </c>
      <c r="I26" s="100">
        <v>4.95</v>
      </c>
      <c r="J26" s="100">
        <v>0.49</v>
      </c>
      <c r="K26" s="100">
        <v>254.08</v>
      </c>
      <c r="L26" s="100">
        <v>28.88</v>
      </c>
      <c r="M26" s="100">
        <v>72.03</v>
      </c>
      <c r="N26" s="100">
        <v>1.5</v>
      </c>
      <c r="O26" s="100">
        <v>0</v>
      </c>
      <c r="P26" s="100">
        <v>0.28000000000000003</v>
      </c>
      <c r="Q26" s="100">
        <v>9.92</v>
      </c>
      <c r="R26" s="6"/>
      <c r="S26" s="6"/>
      <c r="T26" s="156"/>
      <c r="U26" s="6"/>
    </row>
    <row r="27" spans="1:21" customFormat="1">
      <c r="A27" s="163" t="s">
        <v>1122</v>
      </c>
      <c r="B27" s="100">
        <v>3.89</v>
      </c>
      <c r="C27" s="100">
        <v>8.2200000000000006</v>
      </c>
      <c r="D27" s="100">
        <v>4.33</v>
      </c>
      <c r="E27" s="100">
        <v>5.92</v>
      </c>
      <c r="F27" s="100">
        <v>3.43</v>
      </c>
      <c r="G27" s="100">
        <v>37.86</v>
      </c>
      <c r="H27" s="100">
        <v>24.29</v>
      </c>
      <c r="I27" s="100">
        <v>4.8499999999999996</v>
      </c>
      <c r="J27" s="100">
        <v>0.53</v>
      </c>
      <c r="K27" s="100">
        <v>252.12</v>
      </c>
      <c r="L27" s="100">
        <v>28.75</v>
      </c>
      <c r="M27" s="100">
        <v>71.64</v>
      </c>
      <c r="N27" s="100">
        <v>1.6</v>
      </c>
      <c r="O27" s="100">
        <v>0</v>
      </c>
      <c r="P27" s="100">
        <v>0.27</v>
      </c>
      <c r="Q27" s="100">
        <v>9.92</v>
      </c>
      <c r="R27" s="6"/>
      <c r="S27" s="6"/>
      <c r="T27" s="156"/>
      <c r="U27" s="6"/>
    </row>
    <row r="28" spans="1:21" customFormat="1">
      <c r="A28" s="163" t="s">
        <v>1123</v>
      </c>
      <c r="B28" s="100">
        <v>3.89</v>
      </c>
      <c r="C28" s="100">
        <v>8.2100000000000009</v>
      </c>
      <c r="D28" s="100">
        <v>4.33</v>
      </c>
      <c r="E28" s="100">
        <v>5.93</v>
      </c>
      <c r="F28" s="100">
        <v>3.47</v>
      </c>
      <c r="G28" s="100">
        <v>37.86</v>
      </c>
      <c r="H28" s="100">
        <v>24.29</v>
      </c>
      <c r="I28" s="100">
        <v>4.78</v>
      </c>
      <c r="J28" s="100">
        <v>0.51</v>
      </c>
      <c r="K28" s="100">
        <v>249.89</v>
      </c>
      <c r="L28" s="100">
        <v>28.67</v>
      </c>
      <c r="M28" s="100">
        <v>70.48</v>
      </c>
      <c r="N28" s="100">
        <v>1.7</v>
      </c>
      <c r="O28" s="100">
        <v>0</v>
      </c>
      <c r="P28" s="100">
        <v>0.27</v>
      </c>
      <c r="Q28" s="100">
        <v>9.91</v>
      </c>
      <c r="R28" s="6"/>
      <c r="S28" s="6"/>
      <c r="T28" s="156"/>
      <c r="U28" s="6"/>
    </row>
    <row r="29" spans="1:21" customFormat="1">
      <c r="A29" s="163" t="s">
        <v>1124</v>
      </c>
      <c r="B29" s="100">
        <v>3.89</v>
      </c>
      <c r="C29" s="100">
        <v>8.2899999999999991</v>
      </c>
      <c r="D29" s="100">
        <v>4.4000000000000004</v>
      </c>
      <c r="E29" s="100">
        <v>5.94</v>
      </c>
      <c r="F29" s="100">
        <v>3.11</v>
      </c>
      <c r="G29" s="100">
        <v>36.64</v>
      </c>
      <c r="H29" s="100">
        <v>21.79</v>
      </c>
      <c r="I29" s="100">
        <v>4.71</v>
      </c>
      <c r="J29" s="100">
        <v>0.54</v>
      </c>
      <c r="K29" s="100">
        <v>254.68</v>
      </c>
      <c r="L29" s="100">
        <v>28.57</v>
      </c>
      <c r="M29" s="100">
        <v>69.44</v>
      </c>
      <c r="N29" s="100">
        <v>2</v>
      </c>
      <c r="O29" s="100">
        <v>0</v>
      </c>
      <c r="P29" s="100">
        <v>0.28000000000000003</v>
      </c>
      <c r="Q29" s="100">
        <v>9.91</v>
      </c>
      <c r="R29" s="6"/>
      <c r="S29" s="6"/>
      <c r="T29" s="156"/>
      <c r="U29" s="6"/>
    </row>
    <row r="30" spans="1:21" customFormat="1">
      <c r="A30" s="163" t="s">
        <v>1125</v>
      </c>
      <c r="B30" s="100">
        <v>3.89</v>
      </c>
      <c r="C30" s="100">
        <v>8.3800000000000008</v>
      </c>
      <c r="D30" s="100">
        <v>4.49</v>
      </c>
      <c r="E30" s="100">
        <v>6.31</v>
      </c>
      <c r="F30" s="100">
        <v>3.38</v>
      </c>
      <c r="G30" s="100">
        <v>35.04</v>
      </c>
      <c r="H30" s="100">
        <v>20.059999999999999</v>
      </c>
      <c r="I30" s="100">
        <v>4.67</v>
      </c>
      <c r="J30" s="100">
        <v>0.47</v>
      </c>
      <c r="K30" s="100">
        <v>248.76</v>
      </c>
      <c r="L30" s="100">
        <v>28.56</v>
      </c>
      <c r="M30" s="100">
        <v>67.56</v>
      </c>
      <c r="N30" s="100">
        <v>3.3</v>
      </c>
      <c r="O30" s="100">
        <v>0</v>
      </c>
      <c r="P30" s="100">
        <v>0.27</v>
      </c>
      <c r="Q30" s="100">
        <v>9.93</v>
      </c>
      <c r="R30" s="6"/>
      <c r="S30" s="6"/>
      <c r="T30" s="156"/>
      <c r="U30" s="6"/>
    </row>
    <row r="31" spans="1:21" customFormat="1">
      <c r="A31" s="163" t="s">
        <v>1126</v>
      </c>
      <c r="B31" s="100">
        <v>3.89</v>
      </c>
      <c r="C31" s="100">
        <v>8.35</v>
      </c>
      <c r="D31" s="100">
        <v>4.45</v>
      </c>
      <c r="E31" s="100">
        <v>5.8</v>
      </c>
      <c r="F31" s="100">
        <v>3.18</v>
      </c>
      <c r="G31" s="100">
        <v>35.04</v>
      </c>
      <c r="H31" s="100">
        <v>20.059999999999999</v>
      </c>
      <c r="I31" s="100">
        <v>4.6100000000000003</v>
      </c>
      <c r="J31" s="100">
        <v>0.56999999999999995</v>
      </c>
      <c r="K31" s="100">
        <v>252.25</v>
      </c>
      <c r="L31" s="100">
        <v>28.58</v>
      </c>
      <c r="M31" s="100">
        <v>65.19</v>
      </c>
      <c r="N31" s="100">
        <v>7.1</v>
      </c>
      <c r="O31" s="100">
        <v>0</v>
      </c>
      <c r="P31" s="100">
        <v>0.26</v>
      </c>
      <c r="Q31" s="100">
        <v>9.93</v>
      </c>
      <c r="R31" s="6"/>
      <c r="S31" s="6"/>
      <c r="T31" s="156"/>
      <c r="U31" s="6"/>
    </row>
    <row r="32" spans="1:21" customFormat="1">
      <c r="A32" s="163" t="s">
        <v>1127</v>
      </c>
      <c r="B32" s="100">
        <v>3.88</v>
      </c>
      <c r="C32" s="100">
        <v>8.39</v>
      </c>
      <c r="D32" s="100">
        <v>4.51</v>
      </c>
      <c r="E32" s="100">
        <v>6.05</v>
      </c>
      <c r="F32" s="100">
        <v>3.48</v>
      </c>
      <c r="G32" s="100">
        <v>35.04</v>
      </c>
      <c r="H32" s="100">
        <v>20.059999999999999</v>
      </c>
      <c r="I32" s="100">
        <v>4.57</v>
      </c>
      <c r="J32" s="100">
        <v>0.46</v>
      </c>
      <c r="K32" s="100">
        <v>257.77999999999997</v>
      </c>
      <c r="L32" s="100">
        <v>28.51</v>
      </c>
      <c r="M32" s="100">
        <v>64.92</v>
      </c>
      <c r="N32" s="100">
        <v>13</v>
      </c>
      <c r="O32" s="100">
        <v>0</v>
      </c>
      <c r="P32" s="100">
        <v>0.27</v>
      </c>
      <c r="Q32" s="100">
        <v>9.91</v>
      </c>
      <c r="R32" s="6"/>
      <c r="S32" s="6"/>
      <c r="T32" s="156"/>
      <c r="U32" s="6"/>
    </row>
    <row r="33" spans="1:21" customFormat="1">
      <c r="A33" s="163" t="s">
        <v>1128</v>
      </c>
      <c r="B33" s="100">
        <v>3.85</v>
      </c>
      <c r="C33" s="100">
        <v>8.51</v>
      </c>
      <c r="D33" s="100">
        <v>4.66</v>
      </c>
      <c r="E33" s="100">
        <v>6.15</v>
      </c>
      <c r="F33" s="100">
        <v>3.73</v>
      </c>
      <c r="G33" s="100">
        <v>34.64</v>
      </c>
      <c r="H33" s="100">
        <v>19.63</v>
      </c>
      <c r="I33" s="100">
        <v>4.55</v>
      </c>
      <c r="J33" s="100">
        <v>0.38</v>
      </c>
      <c r="K33" s="100">
        <v>259.14999999999998</v>
      </c>
      <c r="L33" s="100">
        <v>28.5</v>
      </c>
      <c r="M33" s="100">
        <v>64.42</v>
      </c>
      <c r="N33" s="100">
        <v>22.4</v>
      </c>
      <c r="O33" s="100">
        <v>0</v>
      </c>
      <c r="P33" s="100">
        <v>0.27</v>
      </c>
      <c r="Q33" s="100">
        <v>9.92</v>
      </c>
      <c r="R33" s="6"/>
      <c r="S33" s="6"/>
      <c r="T33" s="156"/>
      <c r="U33" s="6"/>
    </row>
    <row r="34" spans="1:21" customFormat="1">
      <c r="A34" s="163" t="s">
        <v>1129</v>
      </c>
      <c r="B34" s="100">
        <v>3.87</v>
      </c>
      <c r="C34" s="100">
        <v>8.5500000000000007</v>
      </c>
      <c r="D34" s="100">
        <v>4.68</v>
      </c>
      <c r="E34" s="100">
        <v>6</v>
      </c>
      <c r="F34" s="100">
        <v>3.35</v>
      </c>
      <c r="G34" s="100">
        <v>34.14</v>
      </c>
      <c r="H34" s="100">
        <v>18.920000000000002</v>
      </c>
      <c r="I34" s="100">
        <v>4.5599999999999996</v>
      </c>
      <c r="J34" s="100">
        <v>0.39</v>
      </c>
      <c r="K34" s="100">
        <v>249.56</v>
      </c>
      <c r="L34" s="100">
        <v>28.72</v>
      </c>
      <c r="M34" s="100">
        <v>63.84</v>
      </c>
      <c r="N34" s="100">
        <v>36.299999999999997</v>
      </c>
      <c r="O34" s="100">
        <v>0</v>
      </c>
      <c r="P34" s="100">
        <v>0.27</v>
      </c>
      <c r="Q34" s="100">
        <v>9.93</v>
      </c>
      <c r="R34" s="6"/>
      <c r="S34" s="6"/>
      <c r="T34" s="156"/>
      <c r="U34" s="6"/>
    </row>
    <row r="35" spans="1:21" customFormat="1">
      <c r="A35" s="163" t="s">
        <v>1130</v>
      </c>
      <c r="B35" s="100">
        <v>3.88</v>
      </c>
      <c r="C35" s="100">
        <v>8.59</v>
      </c>
      <c r="D35" s="100">
        <v>4.71</v>
      </c>
      <c r="E35" s="100">
        <v>6.13</v>
      </c>
      <c r="F35" s="100">
        <v>2.48</v>
      </c>
      <c r="G35" s="100">
        <v>34.14</v>
      </c>
      <c r="H35" s="100">
        <v>18.920000000000002</v>
      </c>
      <c r="I35" s="100">
        <v>4.58</v>
      </c>
      <c r="J35" s="100">
        <v>0.43</v>
      </c>
      <c r="K35" s="100">
        <v>246.22</v>
      </c>
      <c r="L35" s="100">
        <v>28.85</v>
      </c>
      <c r="M35" s="100">
        <v>63.8</v>
      </c>
      <c r="N35" s="100">
        <v>55.2</v>
      </c>
      <c r="O35" s="100">
        <v>0</v>
      </c>
      <c r="P35" s="100">
        <v>0.26</v>
      </c>
      <c r="Q35" s="100">
        <v>9.93</v>
      </c>
      <c r="R35" s="6"/>
      <c r="S35" s="6"/>
      <c r="T35" s="156"/>
      <c r="U35" s="6"/>
    </row>
    <row r="36" spans="1:21" customFormat="1">
      <c r="A36" s="163" t="s">
        <v>1131</v>
      </c>
      <c r="B36" s="100">
        <v>3.92</v>
      </c>
      <c r="C36" s="100">
        <v>8.3800000000000008</v>
      </c>
      <c r="D36" s="100">
        <v>4.46</v>
      </c>
      <c r="E36" s="100">
        <v>5.83</v>
      </c>
      <c r="F36" s="100">
        <v>4.18</v>
      </c>
      <c r="G36" s="100">
        <v>34.14</v>
      </c>
      <c r="H36" s="100">
        <v>18.920000000000002</v>
      </c>
      <c r="I36" s="100">
        <v>4.5599999999999996</v>
      </c>
      <c r="J36" s="100">
        <v>0.45</v>
      </c>
      <c r="K36" s="100">
        <v>254.75</v>
      </c>
      <c r="L36" s="100">
        <v>28.91</v>
      </c>
      <c r="M36" s="100">
        <v>63.87</v>
      </c>
      <c r="N36" s="100">
        <v>74.099999999999994</v>
      </c>
      <c r="O36" s="100">
        <v>0</v>
      </c>
      <c r="P36" s="100">
        <v>0.31</v>
      </c>
      <c r="Q36" s="100">
        <v>9.93</v>
      </c>
      <c r="R36" s="6"/>
      <c r="S36" s="6"/>
      <c r="T36" s="156"/>
      <c r="U36" s="6"/>
    </row>
    <row r="37" spans="1:21" customFormat="1">
      <c r="A37" s="163" t="s">
        <v>1132</v>
      </c>
      <c r="B37" s="100">
        <v>4</v>
      </c>
      <c r="C37" s="100">
        <v>8.16</v>
      </c>
      <c r="D37" s="100">
        <v>4.16</v>
      </c>
      <c r="E37" s="100">
        <v>5.75</v>
      </c>
      <c r="F37" s="100">
        <v>8.01</v>
      </c>
      <c r="G37" s="100">
        <v>34.049999999999997</v>
      </c>
      <c r="H37" s="100">
        <v>21.38</v>
      </c>
      <c r="I37" s="100">
        <v>4.63</v>
      </c>
      <c r="J37" s="100">
        <v>0.48</v>
      </c>
      <c r="K37" s="100">
        <v>261.37</v>
      </c>
      <c r="L37" s="100">
        <v>29.29</v>
      </c>
      <c r="M37" s="100">
        <v>62.82</v>
      </c>
      <c r="N37" s="100">
        <v>85.6</v>
      </c>
      <c r="O37" s="100">
        <v>0</v>
      </c>
      <c r="P37" s="100">
        <v>0.32</v>
      </c>
      <c r="Q37" s="100">
        <v>9.93</v>
      </c>
      <c r="R37" s="6"/>
      <c r="S37" s="6"/>
      <c r="T37" s="156"/>
      <c r="U37" s="6"/>
    </row>
    <row r="38" spans="1:21" customFormat="1">
      <c r="A38" s="163" t="s">
        <v>1133</v>
      </c>
      <c r="B38" s="100">
        <v>4.04</v>
      </c>
      <c r="C38" s="100">
        <v>7.82</v>
      </c>
      <c r="D38" s="100">
        <v>3.78</v>
      </c>
      <c r="E38" s="100">
        <v>5.7</v>
      </c>
      <c r="F38" s="100">
        <v>4.26</v>
      </c>
      <c r="G38" s="100">
        <v>33.94</v>
      </c>
      <c r="H38" s="100">
        <v>23.09</v>
      </c>
      <c r="I38" s="100">
        <v>4.76</v>
      </c>
      <c r="J38" s="100">
        <v>0.62</v>
      </c>
      <c r="K38" s="100">
        <v>258.7</v>
      </c>
      <c r="L38" s="100">
        <v>29.36</v>
      </c>
      <c r="M38" s="100">
        <v>62.55</v>
      </c>
      <c r="N38" s="100">
        <v>95</v>
      </c>
      <c r="O38" s="100">
        <v>0</v>
      </c>
      <c r="P38" s="100">
        <v>0.32</v>
      </c>
      <c r="Q38" s="100">
        <v>9.94</v>
      </c>
      <c r="R38" s="6"/>
      <c r="S38" s="6"/>
      <c r="T38" s="156"/>
      <c r="U38" s="6"/>
    </row>
    <row r="39" spans="1:21" customFormat="1">
      <c r="A39" s="163" t="s">
        <v>1134</v>
      </c>
      <c r="B39" s="100">
        <v>4.0999999999999996</v>
      </c>
      <c r="C39" s="100">
        <v>8.06</v>
      </c>
      <c r="D39" s="100">
        <v>3.96</v>
      </c>
      <c r="E39" s="100">
        <v>5.46</v>
      </c>
      <c r="F39" s="100">
        <v>3.39</v>
      </c>
      <c r="G39" s="100">
        <v>33.94</v>
      </c>
      <c r="H39" s="100">
        <v>23.09</v>
      </c>
      <c r="I39" s="100">
        <v>5.08</v>
      </c>
      <c r="J39" s="100">
        <v>0.74</v>
      </c>
      <c r="K39" s="100">
        <v>255.81</v>
      </c>
      <c r="L39" s="100">
        <v>29.52</v>
      </c>
      <c r="M39" s="100">
        <v>62.18</v>
      </c>
      <c r="N39" s="100">
        <v>119.7</v>
      </c>
      <c r="O39" s="100">
        <v>0</v>
      </c>
      <c r="P39" s="100">
        <v>0.35</v>
      </c>
      <c r="Q39" s="100">
        <v>9.93</v>
      </c>
      <c r="R39" s="6"/>
      <c r="S39" s="6"/>
      <c r="T39" s="156"/>
      <c r="U39" s="6"/>
    </row>
    <row r="40" spans="1:21" customFormat="1">
      <c r="A40" s="163" t="s">
        <v>1135</v>
      </c>
      <c r="B40" s="100">
        <v>4.1399999999999997</v>
      </c>
      <c r="C40" s="100">
        <v>8.0299999999999994</v>
      </c>
      <c r="D40" s="100">
        <v>3.89</v>
      </c>
      <c r="E40" s="100">
        <v>5.51</v>
      </c>
      <c r="F40" s="100">
        <v>5.22</v>
      </c>
      <c r="G40" s="100">
        <v>33.94</v>
      </c>
      <c r="H40" s="100">
        <v>23.09</v>
      </c>
      <c r="I40" s="100">
        <v>5.12</v>
      </c>
      <c r="J40" s="100">
        <v>0.36</v>
      </c>
      <c r="K40" s="100">
        <v>264.07</v>
      </c>
      <c r="L40" s="100">
        <v>29.94</v>
      </c>
      <c r="M40" s="100">
        <v>62.33</v>
      </c>
      <c r="N40" s="100">
        <v>131.80000000000001</v>
      </c>
      <c r="O40" s="100">
        <v>0</v>
      </c>
      <c r="P40" s="100">
        <v>0.36</v>
      </c>
      <c r="Q40" s="100">
        <v>9.94</v>
      </c>
      <c r="R40" s="6"/>
      <c r="S40" s="6"/>
      <c r="T40" s="156"/>
      <c r="U40" s="6"/>
    </row>
    <row r="41" spans="1:21" customFormat="1">
      <c r="A41" s="163" t="s">
        <v>1136</v>
      </c>
      <c r="B41" s="100">
        <v>4.1399999999999997</v>
      </c>
      <c r="C41" s="100">
        <v>8.06</v>
      </c>
      <c r="D41" s="100">
        <v>3.91</v>
      </c>
      <c r="E41" s="100">
        <v>5.76</v>
      </c>
      <c r="F41" s="100">
        <v>6.5</v>
      </c>
      <c r="G41" s="100">
        <v>36.35</v>
      </c>
      <c r="H41" s="100">
        <v>23.09</v>
      </c>
      <c r="I41" s="100">
        <v>5.38</v>
      </c>
      <c r="J41" s="100">
        <v>0.52</v>
      </c>
      <c r="K41" s="100">
        <v>251.86</v>
      </c>
      <c r="L41" s="100">
        <v>30.2</v>
      </c>
      <c r="M41" s="100">
        <v>61.07</v>
      </c>
      <c r="N41" s="100">
        <v>156.9</v>
      </c>
      <c r="O41" s="100">
        <v>0</v>
      </c>
      <c r="P41" s="100">
        <v>0.36</v>
      </c>
      <c r="Q41" s="100">
        <v>9.92</v>
      </c>
      <c r="R41" s="6"/>
      <c r="S41" s="6"/>
      <c r="T41" s="156"/>
      <c r="U41" s="6"/>
    </row>
    <row r="42" spans="1:21" customFormat="1">
      <c r="A42" s="163" t="s">
        <v>1137</v>
      </c>
      <c r="B42" s="100">
        <v>4.18</v>
      </c>
      <c r="C42" s="100">
        <v>8.42</v>
      </c>
      <c r="D42" s="100">
        <v>4.24</v>
      </c>
      <c r="E42" s="100">
        <v>5.87</v>
      </c>
      <c r="F42" s="100">
        <v>4.5</v>
      </c>
      <c r="G42" s="100">
        <v>39.35</v>
      </c>
      <c r="H42" s="100">
        <v>23.09</v>
      </c>
      <c r="I42" s="100">
        <v>5.75</v>
      </c>
      <c r="J42" s="100">
        <v>0.5</v>
      </c>
      <c r="K42" s="100">
        <v>262.95</v>
      </c>
      <c r="L42" s="100">
        <v>30.63</v>
      </c>
      <c r="M42" s="100">
        <v>59.99</v>
      </c>
      <c r="N42" s="100">
        <v>185</v>
      </c>
      <c r="O42" s="100">
        <v>0</v>
      </c>
      <c r="P42" s="100">
        <v>0.39</v>
      </c>
      <c r="Q42" s="100">
        <v>9.92</v>
      </c>
      <c r="R42" s="6"/>
      <c r="S42" s="6"/>
      <c r="T42" s="156"/>
      <c r="U42" s="6"/>
    </row>
    <row r="43" spans="1:21" customFormat="1">
      <c r="A43" s="163" t="s">
        <v>1138</v>
      </c>
      <c r="B43" s="100">
        <v>4.4000000000000004</v>
      </c>
      <c r="C43" s="100">
        <v>9.36</v>
      </c>
      <c r="D43" s="100">
        <v>4.96</v>
      </c>
      <c r="E43" s="100">
        <v>6.47</v>
      </c>
      <c r="F43" s="100">
        <v>6.7</v>
      </c>
      <c r="G43" s="100">
        <v>39.35</v>
      </c>
      <c r="H43" s="100">
        <v>23.09</v>
      </c>
      <c r="I43" s="100">
        <v>6.02</v>
      </c>
      <c r="J43" s="100">
        <v>0.72</v>
      </c>
      <c r="K43" s="100">
        <v>287.10000000000002</v>
      </c>
      <c r="L43" s="100">
        <v>31.16</v>
      </c>
      <c r="M43" s="100">
        <v>58.23</v>
      </c>
      <c r="N43" s="100">
        <v>209.4</v>
      </c>
      <c r="O43" s="100">
        <v>0</v>
      </c>
      <c r="P43" s="100">
        <v>0.42</v>
      </c>
      <c r="Q43" s="100">
        <v>9.93</v>
      </c>
      <c r="R43" s="6"/>
      <c r="S43" s="6"/>
      <c r="T43" s="156"/>
      <c r="U43" s="6"/>
    </row>
    <row r="44" spans="1:21" customFormat="1">
      <c r="A44" s="163" t="s">
        <v>1139</v>
      </c>
      <c r="B44" s="100">
        <v>4.51</v>
      </c>
      <c r="C44" s="100">
        <v>9.4</v>
      </c>
      <c r="D44" s="100">
        <v>4.8899999999999997</v>
      </c>
      <c r="E44" s="100">
        <v>5.98</v>
      </c>
      <c r="F44" s="100">
        <v>5.07</v>
      </c>
      <c r="G44" s="100">
        <v>39.35</v>
      </c>
      <c r="H44" s="100">
        <v>23.09</v>
      </c>
      <c r="I44" s="100">
        <v>6.38</v>
      </c>
      <c r="J44" s="100">
        <v>0.56000000000000005</v>
      </c>
      <c r="K44" s="100">
        <v>281.95999999999998</v>
      </c>
      <c r="L44" s="100">
        <v>31.55</v>
      </c>
      <c r="M44" s="100">
        <v>56.96</v>
      </c>
      <c r="N44" s="100">
        <v>213.2</v>
      </c>
      <c r="O44" s="100">
        <v>0</v>
      </c>
      <c r="P44" s="100">
        <v>0.44</v>
      </c>
      <c r="Q44" s="100">
        <v>9.93</v>
      </c>
      <c r="R44" s="6"/>
      <c r="S44" s="6"/>
      <c r="T44" s="156"/>
      <c r="U44" s="6"/>
    </row>
    <row r="45" spans="1:21" customFormat="1">
      <c r="A45" s="163" t="s">
        <v>1140</v>
      </c>
      <c r="B45" s="100">
        <v>4.41</v>
      </c>
      <c r="C45" s="100">
        <v>9.23</v>
      </c>
      <c r="D45" s="100">
        <v>4.82</v>
      </c>
      <c r="E45" s="100">
        <v>6.64</v>
      </c>
      <c r="F45" s="100">
        <v>6.84</v>
      </c>
      <c r="G45" s="100">
        <v>41.38</v>
      </c>
      <c r="H45" s="100">
        <v>25.85</v>
      </c>
      <c r="I45" s="100">
        <v>6.71</v>
      </c>
      <c r="J45" s="100">
        <v>0.43</v>
      </c>
      <c r="K45" s="100">
        <v>286.33999999999997</v>
      </c>
      <c r="L45" s="100">
        <v>31.88</v>
      </c>
      <c r="M45" s="100">
        <v>55.95</v>
      </c>
      <c r="N45" s="100">
        <v>205.4</v>
      </c>
      <c r="O45" s="100">
        <v>0</v>
      </c>
      <c r="P45" s="100">
        <v>0.48</v>
      </c>
      <c r="Q45" s="100">
        <v>9.93</v>
      </c>
      <c r="R45" s="6"/>
      <c r="S45" s="6"/>
      <c r="T45" s="156"/>
      <c r="U45" s="6"/>
    </row>
    <row r="46" spans="1:21" customFormat="1">
      <c r="A46" s="163" t="s">
        <v>1141</v>
      </c>
      <c r="B46" s="100">
        <v>4.37</v>
      </c>
      <c r="C46" s="100">
        <v>9.3000000000000007</v>
      </c>
      <c r="D46" s="100">
        <v>4.93</v>
      </c>
      <c r="E46" s="100">
        <v>7.32</v>
      </c>
      <c r="F46" s="100">
        <v>8.09</v>
      </c>
      <c r="G46" s="100">
        <v>43.92</v>
      </c>
      <c r="H46" s="100">
        <v>27.75</v>
      </c>
      <c r="I46" s="100">
        <v>6.94</v>
      </c>
      <c r="J46" s="100">
        <v>0.2</v>
      </c>
      <c r="K46" s="100">
        <v>241.61</v>
      </c>
      <c r="L46" s="100">
        <v>32.130000000000003</v>
      </c>
      <c r="M46" s="100">
        <v>55.65</v>
      </c>
      <c r="N46" s="100">
        <v>203.3</v>
      </c>
      <c r="O46" s="100">
        <v>0</v>
      </c>
      <c r="P46" s="100">
        <v>0.52</v>
      </c>
      <c r="Q46" s="100">
        <v>9.94</v>
      </c>
      <c r="R46" s="6"/>
      <c r="S46" s="6"/>
      <c r="T46" s="156"/>
      <c r="U46" s="6"/>
    </row>
    <row r="47" spans="1:21" customFormat="1">
      <c r="A47" s="163" t="s">
        <v>1142</v>
      </c>
      <c r="B47" s="100">
        <v>4.33</v>
      </c>
      <c r="C47" s="100">
        <v>9.27</v>
      </c>
      <c r="D47" s="100">
        <v>4.95</v>
      </c>
      <c r="E47" s="100">
        <v>8.0299999999999994</v>
      </c>
      <c r="F47" s="100">
        <v>10.73</v>
      </c>
      <c r="G47" s="100">
        <v>43.92</v>
      </c>
      <c r="H47" s="100">
        <v>27.75</v>
      </c>
      <c r="I47" s="100">
        <v>7.3</v>
      </c>
      <c r="J47" s="100">
        <v>0.23</v>
      </c>
      <c r="K47" s="100">
        <v>164.76</v>
      </c>
      <c r="L47" s="100">
        <v>32.49</v>
      </c>
      <c r="M47" s="100">
        <v>54.73</v>
      </c>
      <c r="N47" s="100">
        <v>203.2</v>
      </c>
      <c r="O47" s="100">
        <v>0</v>
      </c>
      <c r="P47" s="100">
        <v>0.56999999999999995</v>
      </c>
      <c r="Q47" s="100">
        <v>9.93</v>
      </c>
      <c r="R47" s="6"/>
      <c r="S47" s="6"/>
      <c r="T47" s="156"/>
      <c r="U47" s="6"/>
    </row>
    <row r="48" spans="1:21" customFormat="1">
      <c r="A48" s="163" t="s">
        <v>1143</v>
      </c>
      <c r="B48" s="100">
        <v>4.2300000000000004</v>
      </c>
      <c r="C48" s="100">
        <v>9.32</v>
      </c>
      <c r="D48" s="100">
        <v>5.09</v>
      </c>
      <c r="E48" s="100">
        <v>8.36</v>
      </c>
      <c r="F48" s="100">
        <v>12.03</v>
      </c>
      <c r="G48" s="100">
        <v>43.92</v>
      </c>
      <c r="H48" s="100">
        <v>27.75</v>
      </c>
      <c r="I48" s="100">
        <v>7.74</v>
      </c>
      <c r="J48" s="100">
        <v>0.22</v>
      </c>
      <c r="K48" s="100">
        <v>236.63</v>
      </c>
      <c r="L48" s="100">
        <v>32.44</v>
      </c>
      <c r="M48" s="100">
        <v>54.81</v>
      </c>
      <c r="N48" s="100">
        <v>202.5</v>
      </c>
      <c r="O48" s="100">
        <v>0</v>
      </c>
      <c r="P48" s="100">
        <v>0.61</v>
      </c>
      <c r="Q48" s="100">
        <v>9.93</v>
      </c>
      <c r="R48" s="6"/>
      <c r="S48" s="6"/>
      <c r="T48" s="156"/>
      <c r="U48" s="6"/>
    </row>
    <row r="49" spans="1:21" customFormat="1">
      <c r="A49" s="163" t="s">
        <v>1144</v>
      </c>
      <c r="B49" s="100">
        <v>4.2</v>
      </c>
      <c r="C49" s="100">
        <v>9.59</v>
      </c>
      <c r="D49" s="100">
        <v>5.39</v>
      </c>
      <c r="E49" s="100">
        <v>6.95</v>
      </c>
      <c r="F49" s="100">
        <v>14.22</v>
      </c>
      <c r="G49" s="100">
        <v>47.97</v>
      </c>
      <c r="H49" s="100">
        <v>27.35</v>
      </c>
      <c r="I49" s="100">
        <v>8.0500000000000007</v>
      </c>
      <c r="J49" s="100">
        <v>0.54</v>
      </c>
      <c r="K49" s="100">
        <v>263.55</v>
      </c>
      <c r="L49" s="100">
        <v>32.229999999999997</v>
      </c>
      <c r="M49" s="100">
        <v>55.03</v>
      </c>
      <c r="N49" s="100">
        <v>209.9</v>
      </c>
      <c r="O49" s="100">
        <v>0</v>
      </c>
      <c r="P49" s="100">
        <v>0.64</v>
      </c>
      <c r="Q49" s="100">
        <v>9.93</v>
      </c>
      <c r="R49" s="6"/>
      <c r="S49" s="6"/>
      <c r="T49" s="156"/>
      <c r="U49" s="6"/>
    </row>
    <row r="50" spans="1:21" customFormat="1">
      <c r="A50" s="163" t="s">
        <v>1145</v>
      </c>
      <c r="B50" s="100">
        <v>4.08</v>
      </c>
      <c r="C50" s="100">
        <v>9.3800000000000008</v>
      </c>
      <c r="D50" s="100">
        <v>5.29</v>
      </c>
      <c r="E50" s="100">
        <v>7.99</v>
      </c>
      <c r="F50" s="100">
        <v>11.61</v>
      </c>
      <c r="G50" s="100">
        <v>53.03</v>
      </c>
      <c r="H50" s="100">
        <v>27.08</v>
      </c>
      <c r="I50" s="100">
        <v>8.36</v>
      </c>
      <c r="J50" s="100">
        <v>0.35</v>
      </c>
      <c r="K50" s="100">
        <v>255.3</v>
      </c>
      <c r="L50" s="100">
        <v>32.369999999999997</v>
      </c>
      <c r="M50" s="100">
        <v>54.48</v>
      </c>
      <c r="N50" s="100">
        <v>219.9</v>
      </c>
      <c r="O50" s="100">
        <v>0</v>
      </c>
      <c r="P50" s="100">
        <v>0.62</v>
      </c>
      <c r="Q50" s="100">
        <v>9.9499999999999993</v>
      </c>
      <c r="R50" s="6"/>
      <c r="S50" s="6"/>
      <c r="T50" s="156"/>
      <c r="U50" s="6"/>
    </row>
    <row r="51" spans="1:21" customFormat="1">
      <c r="A51" s="163" t="s">
        <v>1146</v>
      </c>
      <c r="B51" s="100">
        <v>4.01</v>
      </c>
      <c r="C51" s="100">
        <v>9.08</v>
      </c>
      <c r="D51" s="100">
        <v>5.07</v>
      </c>
      <c r="E51" s="100">
        <v>8.68</v>
      </c>
      <c r="F51" s="100">
        <v>13.66</v>
      </c>
      <c r="G51" s="100">
        <v>53.03</v>
      </c>
      <c r="H51" s="100">
        <v>27.08</v>
      </c>
      <c r="I51" s="100">
        <v>8.73</v>
      </c>
      <c r="J51" s="100">
        <v>0.38</v>
      </c>
      <c r="K51" s="100">
        <v>265.13</v>
      </c>
      <c r="L51" s="100">
        <v>33.04</v>
      </c>
      <c r="M51" s="100">
        <v>52.45</v>
      </c>
      <c r="N51" s="100">
        <v>283.39999999999998</v>
      </c>
      <c r="O51" s="100">
        <v>0</v>
      </c>
      <c r="P51" s="100">
        <v>0.61</v>
      </c>
      <c r="Q51" s="100">
        <v>9.94</v>
      </c>
      <c r="R51" s="6"/>
      <c r="S51" s="6"/>
      <c r="T51" s="156"/>
      <c r="U51" s="6"/>
    </row>
    <row r="52" spans="1:21" customFormat="1">
      <c r="A52" s="163" t="s">
        <v>1147</v>
      </c>
      <c r="B52" s="100">
        <v>3.9</v>
      </c>
      <c r="C52" s="100">
        <v>8.99</v>
      </c>
      <c r="D52" s="100">
        <v>5.09</v>
      </c>
      <c r="E52" s="100">
        <v>9.1199999999999992</v>
      </c>
      <c r="F52" s="100">
        <v>14.37</v>
      </c>
      <c r="G52" s="100">
        <v>53.03</v>
      </c>
      <c r="H52" s="100">
        <v>27.08</v>
      </c>
      <c r="I52" s="100">
        <v>8.65</v>
      </c>
      <c r="J52" s="100">
        <v>0.12</v>
      </c>
      <c r="K52" s="100">
        <v>229.22</v>
      </c>
      <c r="L52" s="100">
        <v>33.49</v>
      </c>
      <c r="M52" s="100">
        <v>51.63</v>
      </c>
      <c r="N52" s="100">
        <v>231.6</v>
      </c>
      <c r="O52" s="100">
        <v>0</v>
      </c>
      <c r="P52" s="100">
        <v>0.63</v>
      </c>
      <c r="Q52" s="100">
        <v>9.94</v>
      </c>
      <c r="R52" s="6"/>
      <c r="S52" s="6"/>
      <c r="T52" s="156"/>
      <c r="U52" s="6"/>
    </row>
    <row r="53" spans="1:21" customFormat="1">
      <c r="A53" s="163" t="s">
        <v>1148</v>
      </c>
      <c r="B53" s="100">
        <v>3.78</v>
      </c>
      <c r="C53" s="100">
        <v>9.59</v>
      </c>
      <c r="D53" s="100">
        <v>5.81</v>
      </c>
      <c r="E53" s="100">
        <v>10.6</v>
      </c>
      <c r="F53" s="100">
        <v>36.28</v>
      </c>
      <c r="G53" s="100">
        <v>55.45</v>
      </c>
      <c r="H53" s="100">
        <v>30.7</v>
      </c>
      <c r="I53" s="100">
        <v>8.67</v>
      </c>
      <c r="J53" s="100">
        <v>0.26</v>
      </c>
      <c r="K53" s="100">
        <v>244.26</v>
      </c>
      <c r="L53" s="100">
        <v>33.200000000000003</v>
      </c>
      <c r="M53" s="100">
        <v>52.38</v>
      </c>
      <c r="N53" s="100">
        <v>189</v>
      </c>
      <c r="O53" s="100">
        <v>0</v>
      </c>
      <c r="P53" s="100">
        <v>0.68</v>
      </c>
      <c r="Q53" s="100">
        <v>9.93</v>
      </c>
      <c r="R53" s="6"/>
      <c r="S53" s="6"/>
      <c r="T53" s="156"/>
      <c r="U53" s="6"/>
    </row>
    <row r="54" spans="1:21" customFormat="1">
      <c r="A54" s="163" t="s">
        <v>1149</v>
      </c>
      <c r="B54" s="100">
        <v>3.69</v>
      </c>
      <c r="C54" s="100">
        <v>11.38</v>
      </c>
      <c r="D54" s="100">
        <v>7.69</v>
      </c>
      <c r="E54" s="100">
        <v>17.73</v>
      </c>
      <c r="F54" s="100">
        <v>48.02</v>
      </c>
      <c r="G54" s="100">
        <v>58.48</v>
      </c>
      <c r="H54" s="100">
        <v>33.14</v>
      </c>
      <c r="I54" s="100">
        <v>8.8699999999999992</v>
      </c>
      <c r="J54" s="100">
        <v>0.26</v>
      </c>
      <c r="K54" s="100">
        <v>227.63</v>
      </c>
      <c r="L54" s="100">
        <v>33.72</v>
      </c>
      <c r="M54" s="100">
        <v>50.12</v>
      </c>
      <c r="N54" s="100">
        <v>286.60000000000002</v>
      </c>
      <c r="O54" s="100">
        <v>0</v>
      </c>
      <c r="P54" s="100">
        <v>0.72</v>
      </c>
      <c r="Q54" s="100">
        <v>9.92</v>
      </c>
      <c r="R54" s="6"/>
      <c r="S54" s="6"/>
      <c r="T54" s="156"/>
      <c r="U54" s="6"/>
    </row>
    <row r="55" spans="1:21" customFormat="1">
      <c r="A55" s="163" t="s">
        <v>1150</v>
      </c>
      <c r="B55" s="100">
        <v>3.68</v>
      </c>
      <c r="C55" s="100">
        <v>12.52</v>
      </c>
      <c r="D55" s="100">
        <v>8.84</v>
      </c>
      <c r="E55" s="100">
        <v>17.22</v>
      </c>
      <c r="F55" s="100">
        <v>44.57</v>
      </c>
      <c r="G55" s="100">
        <v>58.48</v>
      </c>
      <c r="H55" s="100">
        <v>33.14</v>
      </c>
      <c r="I55" s="100">
        <v>8.92</v>
      </c>
      <c r="J55" s="100">
        <v>0.3</v>
      </c>
      <c r="K55" s="100">
        <v>264.13</v>
      </c>
      <c r="L55" s="100">
        <v>34.47</v>
      </c>
      <c r="M55" s="100">
        <v>48.43</v>
      </c>
      <c r="N55" s="100">
        <v>299.39999999999998</v>
      </c>
      <c r="O55" s="100">
        <v>0</v>
      </c>
      <c r="P55" s="100">
        <v>0.69</v>
      </c>
      <c r="Q55" s="100">
        <v>9.92</v>
      </c>
      <c r="R55" s="6"/>
      <c r="S55" s="6"/>
      <c r="T55" s="156"/>
      <c r="U55" s="6"/>
    </row>
    <row r="56" spans="1:21" customFormat="1">
      <c r="A56" s="163" t="s">
        <v>1151</v>
      </c>
      <c r="B56" s="100">
        <v>3.71</v>
      </c>
      <c r="C56" s="100">
        <v>11.77</v>
      </c>
      <c r="D56" s="100">
        <v>8.06</v>
      </c>
      <c r="E56" s="100">
        <v>13.48</v>
      </c>
      <c r="F56" s="100">
        <v>49.16</v>
      </c>
      <c r="G56" s="100">
        <v>58.48</v>
      </c>
      <c r="H56" s="100">
        <v>33.14</v>
      </c>
      <c r="I56" s="100">
        <v>7.6</v>
      </c>
      <c r="J56" s="100">
        <v>0.22</v>
      </c>
      <c r="K56" s="100">
        <v>173.24</v>
      </c>
      <c r="L56" s="100">
        <v>35.369999999999997</v>
      </c>
      <c r="M56" s="100">
        <v>46.1</v>
      </c>
      <c r="N56" s="100">
        <v>288.39999999999998</v>
      </c>
      <c r="O56" s="100">
        <v>0</v>
      </c>
      <c r="P56" s="100">
        <v>0.65</v>
      </c>
      <c r="Q56" s="100">
        <v>9.9499999999999993</v>
      </c>
      <c r="R56" s="6"/>
      <c r="S56" s="6"/>
      <c r="T56" s="156"/>
      <c r="U56" s="6"/>
    </row>
    <row r="57" spans="1:21" customFormat="1">
      <c r="A57" s="163" t="s">
        <v>1152</v>
      </c>
      <c r="B57" s="100">
        <v>3.74</v>
      </c>
      <c r="C57" s="100">
        <v>12.17</v>
      </c>
      <c r="D57" s="100">
        <v>8.42</v>
      </c>
      <c r="E57" s="100">
        <v>13.44</v>
      </c>
      <c r="F57" s="100">
        <v>70.77</v>
      </c>
      <c r="G57" s="100">
        <v>60.91</v>
      </c>
      <c r="H57" s="100">
        <v>34.08</v>
      </c>
      <c r="I57" s="100">
        <v>7.5</v>
      </c>
      <c r="J57" s="100">
        <v>0.34</v>
      </c>
      <c r="K57" s="100">
        <v>232.89</v>
      </c>
      <c r="L57" s="100">
        <v>35.11</v>
      </c>
      <c r="M57" s="100">
        <v>47.05</v>
      </c>
      <c r="N57" s="100">
        <v>414.3</v>
      </c>
      <c r="O57" s="100">
        <v>0</v>
      </c>
      <c r="P57" s="100">
        <v>0.6</v>
      </c>
      <c r="Q57" s="100">
        <v>9.9499999999999993</v>
      </c>
      <c r="R57" s="6"/>
      <c r="S57" s="6"/>
      <c r="T57" s="156"/>
      <c r="U57" s="6"/>
    </row>
    <row r="58" spans="1:21" customFormat="1">
      <c r="A58" s="163" t="s">
        <v>1153</v>
      </c>
      <c r="B58" s="100">
        <v>3.68</v>
      </c>
      <c r="C58" s="100">
        <v>11.81</v>
      </c>
      <c r="D58" s="100">
        <v>8.1300000000000008</v>
      </c>
      <c r="E58" s="100">
        <v>11.94</v>
      </c>
      <c r="F58" s="100">
        <v>61.78</v>
      </c>
      <c r="G58" s="100">
        <v>63.96</v>
      </c>
      <c r="H58" s="100">
        <v>35.58</v>
      </c>
      <c r="I58" s="100">
        <v>7.51</v>
      </c>
      <c r="J58" s="100">
        <v>0.17</v>
      </c>
      <c r="K58" s="100">
        <v>108.37</v>
      </c>
      <c r="L58" s="100">
        <v>35.71</v>
      </c>
      <c r="M58" s="100">
        <v>45.19</v>
      </c>
      <c r="N58" s="100">
        <v>308.2</v>
      </c>
      <c r="O58" s="100">
        <v>0</v>
      </c>
      <c r="P58" s="100">
        <v>0.56999999999999995</v>
      </c>
      <c r="Q58" s="100">
        <v>9.94</v>
      </c>
      <c r="R58" s="6"/>
      <c r="S58" s="6"/>
      <c r="T58" s="156"/>
      <c r="U58" s="6"/>
    </row>
    <row r="59" spans="1:21" customFormat="1">
      <c r="A59" s="163" t="s">
        <v>1154</v>
      </c>
      <c r="B59" s="100">
        <v>3.61</v>
      </c>
      <c r="C59" s="100">
        <v>11.41</v>
      </c>
      <c r="D59" s="100">
        <v>7.8</v>
      </c>
      <c r="E59" s="100">
        <v>11.84</v>
      </c>
      <c r="F59" s="100">
        <v>38.19</v>
      </c>
      <c r="G59" s="100">
        <v>63.96</v>
      </c>
      <c r="H59" s="100">
        <v>35.58</v>
      </c>
      <c r="I59" s="100">
        <v>8.8699999999999992</v>
      </c>
      <c r="J59" s="100">
        <v>0.15</v>
      </c>
      <c r="K59" s="100">
        <v>106.29</v>
      </c>
      <c r="L59" s="100">
        <v>35.89</v>
      </c>
      <c r="M59" s="100">
        <v>44.17</v>
      </c>
      <c r="N59" s="100">
        <v>520.6</v>
      </c>
      <c r="O59" s="100">
        <v>0</v>
      </c>
      <c r="P59" s="100">
        <v>0.56000000000000005</v>
      </c>
      <c r="Q59" s="100">
        <v>9.9499999999999993</v>
      </c>
      <c r="R59" s="6"/>
      <c r="S59" s="6"/>
      <c r="T59" s="156"/>
      <c r="U59" s="6"/>
    </row>
    <row r="60" spans="1:21" customFormat="1">
      <c r="A60" s="163" t="s">
        <v>1155</v>
      </c>
      <c r="B60" s="100">
        <v>3.52</v>
      </c>
      <c r="C60" s="100">
        <v>10.42</v>
      </c>
      <c r="D60" s="100">
        <v>6.9</v>
      </c>
      <c r="E60" s="100">
        <v>6.61</v>
      </c>
      <c r="F60" s="100">
        <v>15.14</v>
      </c>
      <c r="G60" s="100">
        <v>63.96</v>
      </c>
      <c r="H60" s="100">
        <v>35.58</v>
      </c>
      <c r="I60" s="100">
        <v>8.4700000000000006</v>
      </c>
      <c r="J60" s="100">
        <v>0.16</v>
      </c>
      <c r="K60" s="100">
        <v>9.4</v>
      </c>
      <c r="L60" s="100">
        <v>37.020000000000003</v>
      </c>
      <c r="M60" s="100">
        <v>41.86</v>
      </c>
      <c r="N60" s="100">
        <v>524.1</v>
      </c>
      <c r="O60" s="100">
        <v>0</v>
      </c>
      <c r="P60" s="100">
        <v>0.63</v>
      </c>
      <c r="Q60" s="100">
        <v>9.93</v>
      </c>
      <c r="R60" s="6"/>
      <c r="S60" s="6"/>
      <c r="T60" s="156"/>
      <c r="U60" s="6"/>
    </row>
    <row r="61" spans="1:21" customFormat="1">
      <c r="A61" s="163" t="s">
        <v>1156</v>
      </c>
      <c r="B61" s="100">
        <v>3.52</v>
      </c>
      <c r="C61" s="100">
        <v>9.67</v>
      </c>
      <c r="D61" s="100">
        <v>6.14</v>
      </c>
      <c r="E61" s="100">
        <v>6.51</v>
      </c>
      <c r="F61" s="100">
        <v>19.760000000000002</v>
      </c>
      <c r="G61" s="100">
        <v>64.239999999999995</v>
      </c>
      <c r="H61" s="100">
        <v>37.07</v>
      </c>
      <c r="I61" s="100">
        <v>8.33</v>
      </c>
      <c r="J61" s="100">
        <v>0.06</v>
      </c>
      <c r="K61" s="100">
        <v>33.18</v>
      </c>
      <c r="L61" s="100">
        <v>37.44</v>
      </c>
      <c r="M61" s="100">
        <v>41.23</v>
      </c>
      <c r="N61" s="100">
        <v>477.5</v>
      </c>
      <c r="O61" s="100">
        <v>0</v>
      </c>
      <c r="P61" s="100">
        <v>0.57999999999999996</v>
      </c>
      <c r="Q61" s="100">
        <v>9.92</v>
      </c>
      <c r="R61" s="6"/>
      <c r="S61" s="6"/>
      <c r="T61" s="156"/>
      <c r="U61" s="6"/>
    </row>
    <row r="62" spans="1:21" customFormat="1">
      <c r="A62" s="163" t="s">
        <v>1157</v>
      </c>
      <c r="B62" s="100">
        <v>3.54</v>
      </c>
      <c r="C62" s="100">
        <v>8.98</v>
      </c>
      <c r="D62" s="100">
        <v>5.44</v>
      </c>
      <c r="E62" s="100">
        <v>6.48</v>
      </c>
      <c r="F62" s="100">
        <v>17.010000000000002</v>
      </c>
      <c r="G62" s="100">
        <v>64.59</v>
      </c>
      <c r="H62" s="100">
        <v>38.11</v>
      </c>
      <c r="I62" s="100">
        <v>8.7100000000000009</v>
      </c>
      <c r="J62" s="100">
        <v>0.16</v>
      </c>
      <c r="K62" s="100">
        <v>214.71</v>
      </c>
      <c r="L62" s="100">
        <v>37.42</v>
      </c>
      <c r="M62" s="100">
        <v>41.33</v>
      </c>
      <c r="N62" s="100">
        <v>489.9</v>
      </c>
      <c r="O62" s="100">
        <v>0</v>
      </c>
      <c r="P62" s="100">
        <v>0.56999999999999995</v>
      </c>
      <c r="Q62" s="100">
        <v>9.93</v>
      </c>
      <c r="R62" s="6"/>
      <c r="S62" s="6"/>
      <c r="T62" s="156"/>
      <c r="U62" s="6"/>
    </row>
    <row r="63" spans="1:21" customFormat="1">
      <c r="A63" s="163" t="s">
        <v>1158</v>
      </c>
      <c r="B63" s="100">
        <v>3.51</v>
      </c>
      <c r="C63" s="100">
        <v>8.64</v>
      </c>
      <c r="D63" s="100">
        <v>5.13</v>
      </c>
      <c r="E63" s="100">
        <v>5.82</v>
      </c>
      <c r="F63" s="100">
        <v>13.98</v>
      </c>
      <c r="G63" s="100">
        <v>64.59</v>
      </c>
      <c r="H63" s="100">
        <v>38.11</v>
      </c>
      <c r="I63" s="100">
        <v>8.27</v>
      </c>
      <c r="J63" s="100">
        <v>0.33</v>
      </c>
      <c r="K63" s="100">
        <v>102.65</v>
      </c>
      <c r="L63" s="100">
        <v>37.82</v>
      </c>
      <c r="M63" s="100">
        <v>39.08</v>
      </c>
      <c r="N63" s="100">
        <v>453.4</v>
      </c>
      <c r="O63" s="100">
        <v>0</v>
      </c>
      <c r="P63" s="100">
        <v>0.55000000000000004</v>
      </c>
      <c r="Q63" s="100">
        <v>9.93</v>
      </c>
      <c r="R63" s="6"/>
      <c r="S63" s="6"/>
      <c r="T63" s="156"/>
      <c r="U63" s="6"/>
    </row>
    <row r="64" spans="1:21" customFormat="1">
      <c r="A64" s="163" t="s">
        <v>1159</v>
      </c>
      <c r="B64" s="100">
        <v>3.54</v>
      </c>
      <c r="C64" s="100">
        <v>8.15</v>
      </c>
      <c r="D64" s="100">
        <v>4.6100000000000003</v>
      </c>
      <c r="E64" s="100">
        <v>6.07</v>
      </c>
      <c r="F64" s="100">
        <v>17.329999999999998</v>
      </c>
      <c r="G64" s="100">
        <v>64.59</v>
      </c>
      <c r="H64" s="100">
        <v>38.11</v>
      </c>
      <c r="I64" s="100">
        <v>6.39</v>
      </c>
      <c r="J64" s="100">
        <v>0.35</v>
      </c>
      <c r="K64" s="100">
        <v>75.27</v>
      </c>
      <c r="L64" s="100">
        <v>38.49</v>
      </c>
      <c r="M64" s="100">
        <v>37.42</v>
      </c>
      <c r="N64" s="100">
        <v>493.4</v>
      </c>
      <c r="O64" s="100">
        <v>0</v>
      </c>
      <c r="P64" s="100">
        <v>0.52</v>
      </c>
      <c r="Q64" s="100">
        <v>9.93</v>
      </c>
      <c r="R64" s="6"/>
      <c r="S64" s="6"/>
      <c r="T64" s="156"/>
      <c r="U64" s="6"/>
    </row>
    <row r="65" spans="1:21" customFormat="1">
      <c r="A65" s="163" t="s">
        <v>1160</v>
      </c>
      <c r="B65" s="100">
        <v>3.58</v>
      </c>
      <c r="C65" s="100">
        <v>8.01</v>
      </c>
      <c r="D65" s="100">
        <v>4.43</v>
      </c>
      <c r="E65" s="100">
        <v>6.01</v>
      </c>
      <c r="F65" s="100">
        <v>17.68</v>
      </c>
      <c r="G65" s="100">
        <v>65.540000000000006</v>
      </c>
      <c r="H65" s="100">
        <v>37.4</v>
      </c>
      <c r="I65" s="100">
        <v>6.28</v>
      </c>
      <c r="J65" s="100">
        <v>0.28000000000000003</v>
      </c>
      <c r="K65" s="100">
        <v>94.77</v>
      </c>
      <c r="L65" s="100">
        <v>38.54</v>
      </c>
      <c r="M65" s="100">
        <v>36.94</v>
      </c>
      <c r="N65" s="100">
        <v>356.7</v>
      </c>
      <c r="O65" s="100">
        <v>0</v>
      </c>
      <c r="P65" s="100">
        <v>0.55000000000000004</v>
      </c>
      <c r="Q65" s="100">
        <v>9.92</v>
      </c>
      <c r="R65" s="6"/>
      <c r="S65" s="6"/>
      <c r="T65" s="156"/>
      <c r="U65" s="6"/>
    </row>
    <row r="66" spans="1:21" customFormat="1">
      <c r="A66" s="163" t="s">
        <v>1161</v>
      </c>
      <c r="B66" s="100">
        <v>3.56</v>
      </c>
      <c r="C66" s="100">
        <v>7.98</v>
      </c>
      <c r="D66" s="100">
        <v>4.42</v>
      </c>
      <c r="E66" s="100">
        <v>5.86</v>
      </c>
      <c r="F66" s="100">
        <v>16.239999999999998</v>
      </c>
      <c r="G66" s="100">
        <v>66.709999999999994</v>
      </c>
      <c r="H66" s="100">
        <v>36.909999999999997</v>
      </c>
      <c r="I66" s="100">
        <v>7.3</v>
      </c>
      <c r="J66" s="100">
        <v>0.35</v>
      </c>
      <c r="K66" s="100">
        <v>111.71</v>
      </c>
      <c r="L66" s="100">
        <v>38.799999999999997</v>
      </c>
      <c r="M66" s="100">
        <v>37.01</v>
      </c>
      <c r="N66" s="100">
        <v>303.2</v>
      </c>
      <c r="O66" s="100">
        <v>0</v>
      </c>
      <c r="P66" s="100">
        <v>0.57999999999999996</v>
      </c>
      <c r="Q66" s="100">
        <v>9.91</v>
      </c>
      <c r="R66" s="6"/>
      <c r="S66" s="6"/>
      <c r="T66" s="156"/>
      <c r="U66" s="6"/>
    </row>
    <row r="67" spans="1:21" customFormat="1">
      <c r="A67" s="163" t="s">
        <v>1162</v>
      </c>
      <c r="B67" s="100">
        <v>3.54</v>
      </c>
      <c r="C67" s="100">
        <v>7.4</v>
      </c>
      <c r="D67" s="100">
        <v>3.86</v>
      </c>
      <c r="E67" s="100">
        <v>6.29</v>
      </c>
      <c r="F67" s="100">
        <v>21.18</v>
      </c>
      <c r="G67" s="100">
        <v>66.709999999999994</v>
      </c>
      <c r="H67" s="100">
        <v>36.909999999999997</v>
      </c>
      <c r="I67" s="100">
        <v>7.07</v>
      </c>
      <c r="J67" s="100">
        <v>0.25</v>
      </c>
      <c r="K67" s="100">
        <v>223.12</v>
      </c>
      <c r="L67" s="100">
        <v>38.799999999999997</v>
      </c>
      <c r="M67" s="100">
        <v>37.75</v>
      </c>
      <c r="N67" s="100">
        <v>375.4</v>
      </c>
      <c r="O67" s="100">
        <v>0</v>
      </c>
      <c r="P67" s="100">
        <v>0.54</v>
      </c>
      <c r="Q67" s="100">
        <v>9.91</v>
      </c>
      <c r="R67" s="6"/>
      <c r="S67" s="6"/>
      <c r="T67" s="156"/>
      <c r="U67" s="6"/>
    </row>
    <row r="68" spans="1:21" customFormat="1">
      <c r="A68" s="163" t="s">
        <v>1163</v>
      </c>
      <c r="B68" s="100">
        <v>3.53</v>
      </c>
      <c r="C68" s="100">
        <v>7.06</v>
      </c>
      <c r="D68" s="100">
        <v>3.54</v>
      </c>
      <c r="E68" s="100">
        <v>6.59</v>
      </c>
      <c r="F68" s="100">
        <v>22.49</v>
      </c>
      <c r="G68" s="100">
        <v>66.709999999999994</v>
      </c>
      <c r="H68" s="100">
        <v>36.909999999999997</v>
      </c>
      <c r="I68" s="100">
        <v>6.9</v>
      </c>
      <c r="J68" s="100">
        <v>0.22</v>
      </c>
      <c r="K68" s="100">
        <v>130.96</v>
      </c>
      <c r="L68" s="100">
        <v>39.090000000000003</v>
      </c>
      <c r="M68" s="100">
        <v>36.799999999999997</v>
      </c>
      <c r="N68" s="100">
        <v>373.9</v>
      </c>
      <c r="O68" s="100">
        <v>0</v>
      </c>
      <c r="P68" s="100">
        <v>0.52</v>
      </c>
      <c r="Q68" s="100">
        <v>9.91</v>
      </c>
      <c r="R68" s="6"/>
      <c r="S68" s="6"/>
      <c r="T68" s="156"/>
      <c r="U68" s="6"/>
    </row>
    <row r="69" spans="1:21" customFormat="1">
      <c r="A69" s="163" t="s">
        <v>1164</v>
      </c>
      <c r="B69" s="100">
        <v>3.55</v>
      </c>
      <c r="C69" s="100">
        <v>6.94</v>
      </c>
      <c r="D69" s="100">
        <v>3.39</v>
      </c>
      <c r="E69" s="100">
        <v>6.14</v>
      </c>
      <c r="F69" s="100">
        <v>27.36</v>
      </c>
      <c r="G69" s="100">
        <v>65.45</v>
      </c>
      <c r="H69" s="100">
        <v>37.28</v>
      </c>
      <c r="I69" s="100">
        <v>6.58</v>
      </c>
      <c r="J69" s="100">
        <v>0.33</v>
      </c>
      <c r="K69" s="100">
        <v>123.28</v>
      </c>
      <c r="L69" s="100">
        <v>39.950000000000003</v>
      </c>
      <c r="M69" s="100">
        <v>35.659999999999997</v>
      </c>
      <c r="N69" s="100">
        <v>518.70000000000005</v>
      </c>
      <c r="O69" s="100">
        <v>0</v>
      </c>
      <c r="P69" s="100">
        <v>0.5</v>
      </c>
      <c r="Q69" s="100">
        <v>9.91</v>
      </c>
      <c r="R69" s="6"/>
      <c r="S69" s="6"/>
      <c r="T69" s="156"/>
      <c r="U69" s="6"/>
    </row>
    <row r="70" spans="1:21" customFormat="1">
      <c r="A70" s="163" t="s">
        <v>1165</v>
      </c>
      <c r="B70" s="100">
        <v>3.54</v>
      </c>
      <c r="C70" s="100">
        <v>7.04</v>
      </c>
      <c r="D70" s="100">
        <v>3.5</v>
      </c>
      <c r="E70" s="100">
        <v>6.04</v>
      </c>
      <c r="F70" s="100">
        <v>17.38</v>
      </c>
      <c r="G70" s="100">
        <v>63.87</v>
      </c>
      <c r="H70" s="100">
        <v>37.54</v>
      </c>
      <c r="I70" s="100">
        <v>6.38</v>
      </c>
      <c r="J70" s="100">
        <v>0.25</v>
      </c>
      <c r="K70" s="100">
        <v>157.88</v>
      </c>
      <c r="L70" s="100">
        <v>39.4</v>
      </c>
      <c r="M70" s="100">
        <v>36.71</v>
      </c>
      <c r="N70" s="100">
        <v>308.60000000000002</v>
      </c>
      <c r="O70" s="100">
        <v>0</v>
      </c>
      <c r="P70" s="100">
        <v>0.51</v>
      </c>
      <c r="Q70" s="100">
        <v>9.92</v>
      </c>
      <c r="R70" s="6"/>
      <c r="S70" s="6"/>
      <c r="T70" s="156"/>
      <c r="U70" s="6"/>
    </row>
    <row r="71" spans="1:21" customFormat="1">
      <c r="A71" s="163" t="s">
        <v>1166</v>
      </c>
      <c r="B71" s="100">
        <v>3.54</v>
      </c>
      <c r="C71" s="100">
        <v>7.26</v>
      </c>
      <c r="D71" s="100">
        <v>3.72</v>
      </c>
      <c r="E71" s="100">
        <v>5.92</v>
      </c>
      <c r="F71" s="100">
        <v>21.17</v>
      </c>
      <c r="G71" s="100">
        <v>63.87</v>
      </c>
      <c r="H71" s="100">
        <v>37.54</v>
      </c>
      <c r="I71" s="100">
        <v>6.28</v>
      </c>
      <c r="J71" s="100">
        <v>0.21</v>
      </c>
      <c r="K71" s="100">
        <v>124.53</v>
      </c>
      <c r="L71" s="100">
        <v>38.06</v>
      </c>
      <c r="M71" s="100">
        <v>39.54</v>
      </c>
      <c r="N71" s="100">
        <v>146.9</v>
      </c>
      <c r="O71" s="100">
        <v>0</v>
      </c>
      <c r="P71" s="100">
        <v>0.52</v>
      </c>
      <c r="Q71" s="100">
        <v>9.9</v>
      </c>
      <c r="R71" s="6"/>
      <c r="S71" s="6"/>
      <c r="T71" s="156"/>
      <c r="U71" s="6"/>
    </row>
    <row r="72" spans="1:21" customFormat="1">
      <c r="A72" s="163" t="s">
        <v>1167</v>
      </c>
      <c r="B72" s="100">
        <v>3.56</v>
      </c>
      <c r="C72" s="100">
        <v>7</v>
      </c>
      <c r="D72" s="100">
        <v>3.44</v>
      </c>
      <c r="E72" s="100">
        <v>6.31</v>
      </c>
      <c r="F72" s="100">
        <v>21.31</v>
      </c>
      <c r="G72" s="100">
        <v>63.87</v>
      </c>
      <c r="H72" s="100">
        <v>37.54</v>
      </c>
      <c r="I72" s="100">
        <v>6.23</v>
      </c>
      <c r="J72" s="100">
        <v>0.39</v>
      </c>
      <c r="K72" s="100">
        <v>129.80000000000001</v>
      </c>
      <c r="L72" s="100">
        <v>37.35</v>
      </c>
      <c r="M72" s="100">
        <v>40.86</v>
      </c>
      <c r="N72" s="100">
        <v>149.69999999999999</v>
      </c>
      <c r="O72" s="100">
        <v>0</v>
      </c>
      <c r="P72" s="100">
        <v>0.51</v>
      </c>
      <c r="Q72" s="100">
        <v>9.91</v>
      </c>
      <c r="R72" s="6"/>
      <c r="S72" s="6"/>
      <c r="T72" s="156"/>
      <c r="U72" s="6"/>
    </row>
    <row r="73" spans="1:21" customFormat="1">
      <c r="A73" s="163" t="s">
        <v>1168</v>
      </c>
      <c r="B73" s="100">
        <v>3.56</v>
      </c>
      <c r="C73" s="100">
        <v>7.21</v>
      </c>
      <c r="D73" s="100">
        <v>3.65</v>
      </c>
      <c r="E73" s="100">
        <v>6.07</v>
      </c>
      <c r="F73" s="100">
        <v>19.79</v>
      </c>
      <c r="G73" s="100">
        <v>63.78</v>
      </c>
      <c r="H73" s="100">
        <v>38.47</v>
      </c>
      <c r="I73" s="100">
        <v>6.04</v>
      </c>
      <c r="J73" s="100">
        <v>0.34</v>
      </c>
      <c r="K73" s="100">
        <v>113.64</v>
      </c>
      <c r="L73" s="100">
        <v>36.79</v>
      </c>
      <c r="M73" s="100">
        <v>41.72</v>
      </c>
      <c r="N73" s="100">
        <v>138.5</v>
      </c>
      <c r="O73" s="100">
        <v>0</v>
      </c>
      <c r="P73" s="100">
        <v>0.52</v>
      </c>
      <c r="Q73" s="100">
        <v>9.92</v>
      </c>
      <c r="R73" s="6"/>
      <c r="S73" s="6"/>
      <c r="T73" s="156"/>
      <c r="U73" s="6"/>
    </row>
    <row r="74" spans="1:21" customFormat="1">
      <c r="A74" s="163" t="s">
        <v>1169</v>
      </c>
      <c r="B74" s="100">
        <v>3.56</v>
      </c>
      <c r="C74" s="100">
        <v>7.2</v>
      </c>
      <c r="D74" s="100">
        <v>3.64</v>
      </c>
      <c r="E74" s="100">
        <v>6.31</v>
      </c>
      <c r="F74" s="100">
        <v>26.83</v>
      </c>
      <c r="G74" s="100">
        <v>63.66</v>
      </c>
      <c r="H74" s="100">
        <v>39.090000000000003</v>
      </c>
      <c r="I74" s="100">
        <v>6.04</v>
      </c>
      <c r="J74" s="100">
        <v>0.22</v>
      </c>
      <c r="K74" s="100">
        <v>105.94</v>
      </c>
      <c r="L74" s="100">
        <v>36.99</v>
      </c>
      <c r="M74" s="100">
        <v>41.71</v>
      </c>
      <c r="N74" s="100">
        <v>121.9</v>
      </c>
      <c r="O74" s="100">
        <v>0</v>
      </c>
      <c r="P74" s="100">
        <v>0.49</v>
      </c>
      <c r="Q74" s="100">
        <v>9.93</v>
      </c>
      <c r="R74" s="6"/>
      <c r="S74" s="6"/>
      <c r="T74" s="156"/>
      <c r="U74" s="6"/>
    </row>
    <row r="75" spans="1:21" customFormat="1">
      <c r="A75" s="163" t="s">
        <v>1170</v>
      </c>
      <c r="B75" s="100">
        <v>3.56</v>
      </c>
      <c r="C75" s="100">
        <v>7.34</v>
      </c>
      <c r="D75" s="100">
        <v>3.78</v>
      </c>
      <c r="E75" s="100">
        <v>6.57</v>
      </c>
      <c r="F75" s="100">
        <v>40.01</v>
      </c>
      <c r="G75" s="100">
        <v>63.66</v>
      </c>
      <c r="H75" s="100">
        <v>39.090000000000003</v>
      </c>
      <c r="I75" s="100">
        <v>6.09</v>
      </c>
      <c r="J75" s="100">
        <v>0.12</v>
      </c>
      <c r="K75" s="100">
        <v>119.64</v>
      </c>
      <c r="L75" s="100">
        <v>36.54</v>
      </c>
      <c r="M75" s="100">
        <v>44.2</v>
      </c>
      <c r="N75" s="100">
        <v>118.8</v>
      </c>
      <c r="O75" s="100">
        <v>0</v>
      </c>
      <c r="P75" s="100">
        <v>0.53</v>
      </c>
      <c r="Q75" s="100">
        <v>9.92</v>
      </c>
      <c r="R75" s="6"/>
      <c r="S75" s="6"/>
      <c r="T75" s="156"/>
      <c r="U75" s="6"/>
    </row>
    <row r="76" spans="1:21" customFormat="1">
      <c r="A76" s="163" t="s">
        <v>1171</v>
      </c>
      <c r="B76" s="100">
        <v>3.6</v>
      </c>
      <c r="C76" s="100">
        <v>7.44</v>
      </c>
      <c r="D76" s="100">
        <v>3.84</v>
      </c>
      <c r="E76" s="100">
        <v>7.12</v>
      </c>
      <c r="F76" s="100">
        <v>42.27</v>
      </c>
      <c r="G76" s="100">
        <v>63.66</v>
      </c>
      <c r="H76" s="100">
        <v>39.090000000000003</v>
      </c>
      <c r="I76" s="100">
        <v>5.89</v>
      </c>
      <c r="J76" s="100">
        <v>0.28000000000000003</v>
      </c>
      <c r="K76" s="100">
        <v>129.03</v>
      </c>
      <c r="L76" s="100">
        <v>36.28</v>
      </c>
      <c r="M76" s="100">
        <v>45.95</v>
      </c>
      <c r="N76" s="100">
        <v>118.1</v>
      </c>
      <c r="O76" s="100">
        <v>0</v>
      </c>
      <c r="P76" s="100">
        <v>0.55000000000000004</v>
      </c>
      <c r="Q76" s="100">
        <v>9.91</v>
      </c>
      <c r="R76" s="6"/>
      <c r="S76" s="6"/>
      <c r="T76" s="156"/>
      <c r="U76" s="6"/>
    </row>
    <row r="77" spans="1:21" customFormat="1">
      <c r="A77" s="163" t="s">
        <v>1172</v>
      </c>
      <c r="B77" s="100">
        <v>3.63</v>
      </c>
      <c r="C77" s="100">
        <v>7.38</v>
      </c>
      <c r="D77" s="100">
        <v>3.76</v>
      </c>
      <c r="E77" s="100">
        <v>7.04</v>
      </c>
      <c r="F77" s="100">
        <v>43.24</v>
      </c>
      <c r="G77" s="100">
        <v>67.739999999999995</v>
      </c>
      <c r="H77" s="100">
        <v>39.58</v>
      </c>
      <c r="I77" s="100">
        <v>5.77</v>
      </c>
      <c r="J77" s="100">
        <v>0.2</v>
      </c>
      <c r="K77" s="100">
        <v>128.22</v>
      </c>
      <c r="L77" s="100">
        <v>35.92</v>
      </c>
      <c r="M77" s="100">
        <v>47.11</v>
      </c>
      <c r="N77" s="100">
        <v>90.4</v>
      </c>
      <c r="O77" s="100">
        <v>0</v>
      </c>
      <c r="P77" s="100">
        <v>0.56000000000000005</v>
      </c>
      <c r="Q77" s="100">
        <v>9.93</v>
      </c>
      <c r="R77" s="6"/>
      <c r="S77" s="6"/>
      <c r="T77" s="156"/>
      <c r="U77" s="6"/>
    </row>
    <row r="78" spans="1:21" customFormat="1">
      <c r="A78" s="163" t="s">
        <v>1173</v>
      </c>
      <c r="B78" s="100">
        <v>3.63</v>
      </c>
      <c r="C78" s="100">
        <v>7.47</v>
      </c>
      <c r="D78" s="100">
        <v>3.84</v>
      </c>
      <c r="E78" s="100">
        <v>6.76</v>
      </c>
      <c r="F78" s="100">
        <v>38.47</v>
      </c>
      <c r="G78" s="100">
        <v>72.84</v>
      </c>
      <c r="H78" s="100">
        <v>39.909999999999997</v>
      </c>
      <c r="I78" s="100">
        <v>5.55</v>
      </c>
      <c r="J78" s="100">
        <v>0.02</v>
      </c>
      <c r="K78" s="100">
        <v>160.08000000000001</v>
      </c>
      <c r="L78" s="100">
        <v>35.57</v>
      </c>
      <c r="M78" s="100">
        <v>47.63</v>
      </c>
      <c r="N78" s="100">
        <v>78</v>
      </c>
      <c r="O78" s="100">
        <v>0</v>
      </c>
      <c r="P78" s="100">
        <v>0.55000000000000004</v>
      </c>
      <c r="Q78" s="100">
        <v>9.92</v>
      </c>
      <c r="R78" s="6"/>
      <c r="S78" s="6"/>
      <c r="T78" s="156"/>
      <c r="U78" s="6"/>
    </row>
    <row r="79" spans="1:21" customFormat="1">
      <c r="A79" s="163" t="s">
        <v>1174</v>
      </c>
      <c r="B79" s="100">
        <v>3.65</v>
      </c>
      <c r="C79" s="100">
        <v>7.64</v>
      </c>
      <c r="D79" s="100">
        <v>4</v>
      </c>
      <c r="E79" s="100">
        <v>6.57</v>
      </c>
      <c r="F79" s="100">
        <v>39.11</v>
      </c>
      <c r="G79" s="100">
        <v>72.84</v>
      </c>
      <c r="H79" s="100">
        <v>39.909999999999997</v>
      </c>
      <c r="I79" s="100">
        <v>5.58</v>
      </c>
      <c r="J79" s="100">
        <v>0.1</v>
      </c>
      <c r="K79" s="100">
        <v>180.11</v>
      </c>
      <c r="L79" s="100">
        <v>35.32</v>
      </c>
      <c r="M79" s="100">
        <v>48.12</v>
      </c>
      <c r="N79" s="100">
        <v>51.3</v>
      </c>
      <c r="O79" s="100">
        <v>0</v>
      </c>
      <c r="P79" s="100">
        <v>0.55000000000000004</v>
      </c>
      <c r="Q79" s="100">
        <v>9.92</v>
      </c>
      <c r="R79" s="6"/>
      <c r="S79" s="6"/>
      <c r="T79" s="156"/>
      <c r="U79" s="6"/>
    </row>
    <row r="80" spans="1:21" customFormat="1">
      <c r="A80" s="163" t="s">
        <v>1175</v>
      </c>
      <c r="B80" s="100">
        <v>3.71</v>
      </c>
      <c r="C80" s="100">
        <v>7.83</v>
      </c>
      <c r="D80" s="100">
        <v>4.12</v>
      </c>
      <c r="E80" s="100">
        <v>6.55</v>
      </c>
      <c r="F80" s="100">
        <v>39</v>
      </c>
      <c r="G80" s="100">
        <v>72.84</v>
      </c>
      <c r="H80" s="100">
        <v>39.909999999999997</v>
      </c>
      <c r="I80" s="100">
        <v>5.51</v>
      </c>
      <c r="J80" s="100">
        <v>0.14000000000000001</v>
      </c>
      <c r="K80" s="100">
        <v>78.92</v>
      </c>
      <c r="L80" s="100">
        <v>34.92</v>
      </c>
      <c r="M80" s="100">
        <v>48.82</v>
      </c>
      <c r="N80" s="100">
        <v>29.7</v>
      </c>
      <c r="O80" s="100">
        <v>0</v>
      </c>
      <c r="P80" s="100">
        <v>0.55000000000000004</v>
      </c>
      <c r="Q80" s="100">
        <v>9.91</v>
      </c>
      <c r="R80" s="6"/>
      <c r="S80" s="6"/>
      <c r="T80" s="156"/>
      <c r="U80" s="6"/>
    </row>
    <row r="81" spans="1:21" customFormat="1">
      <c r="A81" s="163" t="s">
        <v>1176</v>
      </c>
      <c r="B81" s="100">
        <v>3.73</v>
      </c>
      <c r="C81" s="100">
        <v>7.84</v>
      </c>
      <c r="D81" s="100">
        <v>4.1100000000000003</v>
      </c>
      <c r="E81" s="100">
        <v>5.26</v>
      </c>
      <c r="F81" s="100">
        <v>42.45</v>
      </c>
      <c r="G81" s="100">
        <v>69.86</v>
      </c>
      <c r="H81" s="100">
        <v>40.6</v>
      </c>
      <c r="I81" s="100">
        <v>5.5</v>
      </c>
      <c r="J81" s="100">
        <v>0.26</v>
      </c>
      <c r="K81" s="100">
        <v>142.18</v>
      </c>
      <c r="L81" s="100">
        <v>34.53</v>
      </c>
      <c r="M81" s="100">
        <v>49.61</v>
      </c>
      <c r="N81" s="100">
        <v>17.899999999999999</v>
      </c>
      <c r="O81" s="100">
        <v>0</v>
      </c>
      <c r="P81" s="100">
        <v>0.53</v>
      </c>
      <c r="Q81" s="100">
        <v>9.92</v>
      </c>
      <c r="R81" s="6"/>
      <c r="S81" s="6"/>
      <c r="T81" s="156"/>
      <c r="U81" s="6"/>
    </row>
    <row r="82" spans="1:21" customFormat="1">
      <c r="A82" s="163" t="s">
        <v>1177</v>
      </c>
      <c r="B82" s="100">
        <v>3.71</v>
      </c>
      <c r="C82" s="100">
        <v>7.51</v>
      </c>
      <c r="D82" s="100">
        <v>3.8</v>
      </c>
      <c r="E82" s="100">
        <v>5.89</v>
      </c>
      <c r="F82" s="100">
        <v>31.3</v>
      </c>
      <c r="G82" s="100">
        <v>66.14</v>
      </c>
      <c r="H82" s="100">
        <v>41.69</v>
      </c>
      <c r="I82" s="100">
        <v>5.46</v>
      </c>
      <c r="J82" s="100">
        <v>0.24</v>
      </c>
      <c r="K82" s="100">
        <v>112.87</v>
      </c>
      <c r="L82" s="100">
        <v>34.18</v>
      </c>
      <c r="M82" s="100">
        <v>50.2</v>
      </c>
      <c r="N82" s="100">
        <v>9.1999999999999993</v>
      </c>
      <c r="O82" s="100">
        <v>0</v>
      </c>
      <c r="P82" s="100">
        <v>0.53</v>
      </c>
      <c r="Q82" s="100">
        <v>9.9</v>
      </c>
      <c r="R82" s="6"/>
      <c r="S82" s="6"/>
      <c r="T82" s="156"/>
      <c r="U82" s="6"/>
    </row>
    <row r="83" spans="1:21" customFormat="1">
      <c r="A83" s="163" t="s">
        <v>1178</v>
      </c>
      <c r="B83" s="100">
        <v>3.7</v>
      </c>
      <c r="C83" s="100">
        <v>7.47</v>
      </c>
      <c r="D83" s="100">
        <v>3.77</v>
      </c>
      <c r="E83" s="100">
        <v>6.16</v>
      </c>
      <c r="F83" s="100">
        <v>38.03</v>
      </c>
      <c r="G83" s="100">
        <v>66.14</v>
      </c>
      <c r="H83" s="100">
        <v>41.69</v>
      </c>
      <c r="I83" s="100">
        <v>5.24</v>
      </c>
      <c r="J83" s="100">
        <v>0.24</v>
      </c>
      <c r="K83" s="100">
        <v>121.21</v>
      </c>
      <c r="L83" s="100">
        <v>33.86</v>
      </c>
      <c r="M83" s="100">
        <v>51.13</v>
      </c>
      <c r="N83" s="100">
        <v>3.8</v>
      </c>
      <c r="O83" s="100">
        <v>0</v>
      </c>
      <c r="P83" s="100">
        <v>0.52</v>
      </c>
      <c r="Q83" s="100">
        <v>9.92</v>
      </c>
      <c r="R83" s="6"/>
      <c r="S83" s="6"/>
      <c r="T83" s="156"/>
      <c r="U83" s="6"/>
    </row>
    <row r="84" spans="1:21" customFormat="1">
      <c r="A84" s="163" t="s">
        <v>1179</v>
      </c>
      <c r="B84" s="100">
        <v>4.3499999999999996</v>
      </c>
      <c r="C84" s="100">
        <v>11.25</v>
      </c>
      <c r="D84" s="100">
        <v>6.9</v>
      </c>
      <c r="E84" s="100">
        <v>5.71</v>
      </c>
      <c r="F84" s="100">
        <v>32.67</v>
      </c>
      <c r="G84" s="100">
        <v>66.14</v>
      </c>
      <c r="H84" s="100">
        <v>41.69</v>
      </c>
      <c r="I84" s="100">
        <v>5.51</v>
      </c>
      <c r="J84" s="100">
        <v>1.1599999999999999</v>
      </c>
      <c r="K84" s="100">
        <v>22.49</v>
      </c>
      <c r="L84" s="100">
        <v>33.340000000000003</v>
      </c>
      <c r="M84" s="100">
        <v>54.57</v>
      </c>
      <c r="N84" s="100">
        <v>3.7</v>
      </c>
      <c r="O84" s="100">
        <v>0</v>
      </c>
      <c r="P84" s="100">
        <v>0.6</v>
      </c>
      <c r="Q84" s="100">
        <v>9.91</v>
      </c>
      <c r="R84" s="6"/>
      <c r="S84" s="6"/>
      <c r="T84" s="156"/>
      <c r="U84" s="6"/>
    </row>
    <row r="85" spans="1:21" customFormat="1">
      <c r="A85" s="163" t="s">
        <v>1180</v>
      </c>
      <c r="B85" s="100">
        <v>4.3899999999999997</v>
      </c>
      <c r="C85" s="100">
        <v>10.92</v>
      </c>
      <c r="D85" s="100">
        <v>6.53</v>
      </c>
      <c r="E85" s="100">
        <v>5.23</v>
      </c>
      <c r="F85" s="100">
        <v>17.63</v>
      </c>
      <c r="G85" s="100">
        <v>79.34</v>
      </c>
      <c r="H85" s="100">
        <v>41.03</v>
      </c>
      <c r="I85" s="100">
        <v>5.54</v>
      </c>
      <c r="J85" s="100">
        <v>3.65</v>
      </c>
      <c r="K85" s="100">
        <v>34.090000000000003</v>
      </c>
      <c r="L85" s="100">
        <v>26.16</v>
      </c>
      <c r="M85" s="100">
        <v>88.51</v>
      </c>
      <c r="N85" s="100">
        <v>16.7</v>
      </c>
      <c r="O85" s="100">
        <v>18.399999999999999</v>
      </c>
      <c r="P85" s="100">
        <v>0.54</v>
      </c>
      <c r="Q85" s="100">
        <v>9.92</v>
      </c>
      <c r="R85" s="6"/>
      <c r="S85" s="6"/>
      <c r="T85" s="156"/>
      <c r="U85" s="6"/>
    </row>
    <row r="86" spans="1:21" customFormat="1">
      <c r="A86" s="163" t="s">
        <v>1181</v>
      </c>
      <c r="B86" s="100">
        <v>4.6399999999999997</v>
      </c>
      <c r="C86" s="100">
        <v>8.7200000000000006</v>
      </c>
      <c r="D86" s="100">
        <v>4.08</v>
      </c>
      <c r="E86" s="100">
        <v>4.1500000000000004</v>
      </c>
      <c r="F86" s="100">
        <v>11.33</v>
      </c>
      <c r="G86" s="100">
        <v>95.86</v>
      </c>
      <c r="H86" s="100">
        <v>40.58</v>
      </c>
      <c r="I86" s="100">
        <v>6.08</v>
      </c>
      <c r="J86" s="100">
        <v>2.35</v>
      </c>
      <c r="K86" s="100">
        <v>315.42</v>
      </c>
      <c r="L86" s="100">
        <v>23.41</v>
      </c>
      <c r="M86" s="100">
        <v>103.4</v>
      </c>
      <c r="N86" s="100">
        <v>6</v>
      </c>
      <c r="O86" s="100">
        <v>15.6</v>
      </c>
      <c r="P86" s="100">
        <v>0.51</v>
      </c>
      <c r="Q86" s="100">
        <v>9.94</v>
      </c>
      <c r="R86" s="6"/>
      <c r="S86" s="6"/>
      <c r="T86" s="156"/>
      <c r="U86" s="6"/>
    </row>
    <row r="87" spans="1:21" customFormat="1">
      <c r="A87" s="163" t="s">
        <v>1182</v>
      </c>
      <c r="B87" s="100">
        <v>4.5</v>
      </c>
      <c r="C87" s="100">
        <v>8.5</v>
      </c>
      <c r="D87" s="100">
        <v>4.01</v>
      </c>
      <c r="E87" s="100">
        <v>3.87</v>
      </c>
      <c r="F87" s="100">
        <v>7.55</v>
      </c>
      <c r="G87" s="100">
        <v>95.86</v>
      </c>
      <c r="H87" s="100">
        <v>40.58</v>
      </c>
      <c r="I87" s="100">
        <v>5.74</v>
      </c>
      <c r="J87" s="100">
        <v>1.53</v>
      </c>
      <c r="K87" s="100">
        <v>288.94</v>
      </c>
      <c r="L87" s="100">
        <v>22.35</v>
      </c>
      <c r="M87" s="100">
        <v>104.31</v>
      </c>
      <c r="N87" s="100">
        <v>3.4</v>
      </c>
      <c r="O87" s="100">
        <v>0</v>
      </c>
      <c r="P87" s="100">
        <v>0.5</v>
      </c>
      <c r="Q87" s="100">
        <v>9.93</v>
      </c>
      <c r="R87" s="6"/>
      <c r="S87" s="6"/>
      <c r="T87" s="156"/>
      <c r="U87" s="6"/>
    </row>
    <row r="88" spans="1:21" customFormat="1">
      <c r="A88" s="163" t="s">
        <v>1183</v>
      </c>
      <c r="B88" s="100">
        <v>3.95</v>
      </c>
      <c r="C88" s="100">
        <v>8.26</v>
      </c>
      <c r="D88" s="100">
        <v>4.3099999999999996</v>
      </c>
      <c r="E88" s="100">
        <v>3.87</v>
      </c>
      <c r="F88" s="100">
        <v>4.49</v>
      </c>
      <c r="G88" s="100">
        <v>95.86</v>
      </c>
      <c r="H88" s="100">
        <v>40.58</v>
      </c>
      <c r="I88" s="100">
        <v>5.75</v>
      </c>
      <c r="J88" s="100">
        <v>0.74</v>
      </c>
      <c r="K88" s="100">
        <v>254.37</v>
      </c>
      <c r="L88" s="100">
        <v>22.94</v>
      </c>
      <c r="M88" s="100">
        <v>105.19</v>
      </c>
      <c r="N88" s="100">
        <v>1.8</v>
      </c>
      <c r="O88" s="100">
        <v>0</v>
      </c>
      <c r="P88" s="100">
        <v>0.51</v>
      </c>
      <c r="Q88" s="100">
        <v>9.9499999999999993</v>
      </c>
      <c r="R88" s="6"/>
      <c r="S88" s="6"/>
      <c r="T88" s="156"/>
      <c r="U88" s="6"/>
    </row>
    <row r="89" spans="1:21" customFormat="1">
      <c r="A89" s="163" t="s">
        <v>1184</v>
      </c>
      <c r="B89" s="100">
        <v>3.84</v>
      </c>
      <c r="C89" s="100">
        <v>8.33</v>
      </c>
      <c r="D89" s="100">
        <v>4.49</v>
      </c>
      <c r="E89" s="100">
        <v>3.98</v>
      </c>
      <c r="F89" s="100">
        <v>3.5</v>
      </c>
      <c r="G89" s="100">
        <v>81.13</v>
      </c>
      <c r="H89" s="100">
        <v>33.39</v>
      </c>
      <c r="I89" s="100">
        <v>5.77</v>
      </c>
      <c r="J89" s="100">
        <v>0.79</v>
      </c>
      <c r="K89" s="100">
        <v>292.37</v>
      </c>
      <c r="L89" s="100">
        <v>23.13</v>
      </c>
      <c r="M89" s="100">
        <v>105.24</v>
      </c>
      <c r="N89" s="100">
        <v>2.6</v>
      </c>
      <c r="O89" s="100">
        <v>0</v>
      </c>
      <c r="P89" s="100">
        <v>0.53</v>
      </c>
      <c r="Q89" s="100">
        <v>9.93</v>
      </c>
      <c r="R89" s="6"/>
      <c r="S89" s="6"/>
      <c r="T89" s="156"/>
      <c r="U89" s="6"/>
    </row>
    <row r="90" spans="1:21" customFormat="1">
      <c r="A90" s="163" t="s">
        <v>1185</v>
      </c>
      <c r="B90" s="100">
        <v>3.99</v>
      </c>
      <c r="C90" s="100">
        <v>8.56</v>
      </c>
      <c r="D90" s="100">
        <v>4.58</v>
      </c>
      <c r="E90" s="100">
        <v>3.69</v>
      </c>
      <c r="F90" s="100">
        <v>2.96</v>
      </c>
      <c r="G90" s="100">
        <v>62.72</v>
      </c>
      <c r="H90" s="100">
        <v>28.41</v>
      </c>
      <c r="I90" s="100">
        <v>5.82</v>
      </c>
      <c r="J90" s="100">
        <v>0.56999999999999995</v>
      </c>
      <c r="K90" s="100">
        <v>284.19</v>
      </c>
      <c r="L90" s="100">
        <v>23.71</v>
      </c>
      <c r="M90" s="100">
        <v>104.71</v>
      </c>
      <c r="N90" s="100">
        <v>2.1</v>
      </c>
      <c r="O90" s="100">
        <v>0</v>
      </c>
      <c r="P90" s="100">
        <v>0.52</v>
      </c>
      <c r="Q90" s="100">
        <v>9.93</v>
      </c>
      <c r="R90" s="6"/>
      <c r="S90" s="6"/>
      <c r="T90" s="156"/>
      <c r="U90" s="6"/>
    </row>
    <row r="91" spans="1:21" customFormat="1">
      <c r="A91" s="163" t="s">
        <v>1186</v>
      </c>
      <c r="B91" s="100">
        <v>4.13</v>
      </c>
      <c r="C91" s="100">
        <v>8.57</v>
      </c>
      <c r="D91" s="100">
        <v>4.4400000000000004</v>
      </c>
      <c r="E91" s="100">
        <v>3.67</v>
      </c>
      <c r="F91" s="100">
        <v>2.42</v>
      </c>
      <c r="G91" s="100">
        <v>62.72</v>
      </c>
      <c r="H91" s="100">
        <v>28.41</v>
      </c>
      <c r="I91" s="100">
        <v>5.84</v>
      </c>
      <c r="J91" s="100">
        <v>0.24</v>
      </c>
      <c r="K91" s="100">
        <v>233.14</v>
      </c>
      <c r="L91" s="100">
        <v>24.14</v>
      </c>
      <c r="M91" s="100">
        <v>104.67</v>
      </c>
      <c r="N91" s="100">
        <v>2.1</v>
      </c>
      <c r="O91" s="100">
        <v>0</v>
      </c>
      <c r="P91" s="100">
        <v>0.52</v>
      </c>
      <c r="Q91" s="100">
        <v>9.94</v>
      </c>
      <c r="R91" s="6"/>
      <c r="S91" s="6"/>
      <c r="T91" s="156"/>
      <c r="U91" s="6"/>
    </row>
    <row r="92" spans="1:21" customFormat="1">
      <c r="A92" s="163" t="s">
        <v>1187</v>
      </c>
      <c r="B92" s="100">
        <v>4.16</v>
      </c>
      <c r="C92" s="100">
        <v>8.41</v>
      </c>
      <c r="D92" s="100">
        <v>4.25</v>
      </c>
      <c r="E92" s="100">
        <v>3.82</v>
      </c>
      <c r="F92" s="100">
        <v>2.14</v>
      </c>
      <c r="G92" s="100">
        <v>62.72</v>
      </c>
      <c r="H92" s="100">
        <v>28.41</v>
      </c>
      <c r="I92" s="100">
        <v>5.84</v>
      </c>
      <c r="J92" s="100">
        <v>0.18</v>
      </c>
      <c r="K92" s="100">
        <v>233.81</v>
      </c>
      <c r="L92" s="100">
        <v>24.23</v>
      </c>
      <c r="M92" s="100">
        <v>104.56</v>
      </c>
      <c r="N92" s="100">
        <v>2.2999999999999998</v>
      </c>
      <c r="O92" s="100">
        <v>0</v>
      </c>
      <c r="P92" s="100">
        <v>0.52</v>
      </c>
      <c r="Q92" s="100">
        <v>9.93</v>
      </c>
      <c r="R92" s="6"/>
      <c r="S92" s="6"/>
      <c r="T92" s="156"/>
      <c r="U92" s="6"/>
    </row>
    <row r="93" spans="1:21" customFormat="1">
      <c r="A93" s="163" t="s">
        <v>1188</v>
      </c>
      <c r="B93" s="100">
        <v>4.17</v>
      </c>
      <c r="C93" s="100">
        <v>8.2899999999999991</v>
      </c>
      <c r="D93" s="100">
        <v>4.12</v>
      </c>
      <c r="E93" s="100">
        <v>3.54</v>
      </c>
      <c r="F93" s="100">
        <v>2.79</v>
      </c>
      <c r="G93" s="100">
        <v>56.79</v>
      </c>
      <c r="H93" s="100">
        <v>26.41</v>
      </c>
      <c r="I93" s="100">
        <v>5.88</v>
      </c>
      <c r="J93" s="100">
        <v>0.28999999999999998</v>
      </c>
      <c r="K93" s="100">
        <v>249.44</v>
      </c>
      <c r="L93" s="100">
        <v>24.16</v>
      </c>
      <c r="M93" s="100">
        <v>102.77</v>
      </c>
      <c r="N93" s="100">
        <v>2.8</v>
      </c>
      <c r="O93" s="100">
        <v>0</v>
      </c>
      <c r="P93" s="100">
        <v>0.52</v>
      </c>
      <c r="Q93" s="100">
        <v>9.92</v>
      </c>
      <c r="R93" s="6"/>
      <c r="S93" s="6"/>
      <c r="T93" s="156"/>
      <c r="U93" s="6"/>
    </row>
    <row r="94" spans="1:21" customFormat="1">
      <c r="A94" s="163" t="s">
        <v>1189</v>
      </c>
      <c r="B94" s="100">
        <v>4.1100000000000003</v>
      </c>
      <c r="C94" s="100">
        <v>9.68</v>
      </c>
      <c r="D94" s="100">
        <v>5.57</v>
      </c>
      <c r="E94" s="100">
        <v>4.08</v>
      </c>
      <c r="F94" s="100">
        <v>3.74</v>
      </c>
      <c r="G94" s="100">
        <v>49.39</v>
      </c>
      <c r="H94" s="100">
        <v>25.02</v>
      </c>
      <c r="I94" s="100">
        <v>5.91</v>
      </c>
      <c r="J94" s="100">
        <v>0.2</v>
      </c>
      <c r="K94" s="100">
        <v>172.5</v>
      </c>
      <c r="L94" s="100">
        <v>24.51</v>
      </c>
      <c r="M94" s="100">
        <v>100.29</v>
      </c>
      <c r="N94" s="100">
        <v>1.9</v>
      </c>
      <c r="O94" s="100">
        <v>0</v>
      </c>
      <c r="P94" s="100">
        <v>0.51</v>
      </c>
      <c r="Q94" s="100">
        <v>9.93</v>
      </c>
      <c r="R94" s="6"/>
      <c r="S94" s="6"/>
      <c r="T94" s="156"/>
      <c r="U94" s="6"/>
    </row>
    <row r="95" spans="1:21" customFormat="1">
      <c r="A95" s="163" t="s">
        <v>1190</v>
      </c>
      <c r="B95" s="100">
        <v>4.05</v>
      </c>
      <c r="C95" s="100">
        <v>10.42</v>
      </c>
      <c r="D95" s="100">
        <v>6.37</v>
      </c>
      <c r="E95" s="100">
        <v>4.84</v>
      </c>
      <c r="F95" s="100">
        <v>3.44</v>
      </c>
      <c r="G95" s="100">
        <v>49.39</v>
      </c>
      <c r="H95" s="100">
        <v>25.02</v>
      </c>
      <c r="I95" s="100">
        <v>5.91</v>
      </c>
      <c r="J95" s="100">
        <v>0.16</v>
      </c>
      <c r="K95" s="100">
        <v>245.15</v>
      </c>
      <c r="L95" s="100">
        <v>24.39</v>
      </c>
      <c r="M95" s="100">
        <v>99.32</v>
      </c>
      <c r="N95" s="100">
        <v>2.4</v>
      </c>
      <c r="O95" s="100">
        <v>0</v>
      </c>
      <c r="P95" s="100">
        <v>0.5</v>
      </c>
      <c r="Q95" s="100">
        <v>9.92</v>
      </c>
      <c r="R95" s="6"/>
      <c r="S95" s="6"/>
      <c r="T95" s="156"/>
      <c r="U95" s="6"/>
    </row>
    <row r="96" spans="1:21" customFormat="1">
      <c r="A96" s="163" t="s">
        <v>1191</v>
      </c>
      <c r="B96" s="100">
        <v>4.13</v>
      </c>
      <c r="C96" s="100">
        <v>10.95</v>
      </c>
      <c r="D96" s="100">
        <v>6.82</v>
      </c>
      <c r="E96" s="100">
        <v>4.6900000000000004</v>
      </c>
      <c r="F96" s="100">
        <v>3.16</v>
      </c>
      <c r="G96" s="100">
        <v>49.39</v>
      </c>
      <c r="H96" s="100">
        <v>25.02</v>
      </c>
      <c r="I96" s="100">
        <v>5.9</v>
      </c>
      <c r="J96" s="100">
        <v>0.6</v>
      </c>
      <c r="K96" s="100">
        <v>301.45999999999998</v>
      </c>
      <c r="L96" s="100">
        <v>24.8</v>
      </c>
      <c r="M96" s="100">
        <v>97.12</v>
      </c>
      <c r="N96" s="100">
        <v>2</v>
      </c>
      <c r="O96" s="100">
        <v>0</v>
      </c>
      <c r="P96" s="100">
        <v>0.5</v>
      </c>
      <c r="Q96" s="100">
        <v>9.94</v>
      </c>
      <c r="R96" s="6"/>
      <c r="S96" s="6"/>
      <c r="T96" s="156"/>
      <c r="U96" s="6"/>
    </row>
    <row r="97" spans="1:28" customFormat="1">
      <c r="A97" s="163" t="s">
        <v>1192</v>
      </c>
      <c r="B97" s="100">
        <v>4.33</v>
      </c>
      <c r="C97" s="100">
        <v>11.56</v>
      </c>
      <c r="D97" s="100">
        <v>7.23</v>
      </c>
      <c r="E97" s="100">
        <v>5.2</v>
      </c>
      <c r="F97" s="100">
        <v>3.13</v>
      </c>
      <c r="G97" s="100">
        <v>45.4</v>
      </c>
      <c r="H97" s="100">
        <v>22.03</v>
      </c>
      <c r="I97" s="100">
        <v>5.78</v>
      </c>
      <c r="J97" s="100">
        <v>0.46</v>
      </c>
      <c r="K97" s="100">
        <v>282.95</v>
      </c>
      <c r="L97" s="100">
        <v>24.86</v>
      </c>
      <c r="M97" s="100">
        <v>96.75</v>
      </c>
      <c r="N97" s="100">
        <v>2.5</v>
      </c>
      <c r="O97" s="100">
        <v>0</v>
      </c>
      <c r="P97" s="100">
        <v>0.53</v>
      </c>
      <c r="Q97" s="100">
        <v>9.94</v>
      </c>
      <c r="R97" s="6"/>
      <c r="S97" s="6"/>
      <c r="T97" s="156"/>
      <c r="U97" s="6"/>
    </row>
    <row r="98" spans="1:28" customFormat="1">
      <c r="A98" s="163" t="s">
        <v>1193</v>
      </c>
      <c r="B98" s="100">
        <v>4.4000000000000004</v>
      </c>
      <c r="C98" s="100">
        <v>11.74</v>
      </c>
      <c r="D98" s="100">
        <v>7.34</v>
      </c>
      <c r="E98" s="100">
        <v>5.33</v>
      </c>
      <c r="F98" s="100">
        <v>3.07</v>
      </c>
      <c r="G98" s="100">
        <v>40.42</v>
      </c>
      <c r="H98" s="100">
        <v>20.010000000000002</v>
      </c>
      <c r="I98" s="100">
        <v>5.86</v>
      </c>
      <c r="J98" s="100">
        <v>0.27</v>
      </c>
      <c r="K98" s="100">
        <v>244.21</v>
      </c>
      <c r="L98" s="100">
        <v>24.86</v>
      </c>
      <c r="M98" s="100">
        <v>97.26</v>
      </c>
      <c r="N98" s="100">
        <v>2.2999999999999998</v>
      </c>
      <c r="O98" s="100">
        <v>0</v>
      </c>
      <c r="P98" s="100">
        <v>0.54</v>
      </c>
      <c r="Q98" s="100">
        <v>9.93</v>
      </c>
      <c r="R98" s="6"/>
      <c r="S98" s="6"/>
      <c r="T98" s="156"/>
      <c r="U98" s="6"/>
    </row>
    <row r="99" spans="1:28" customFormat="1">
      <c r="A99" s="163" t="s">
        <v>1194</v>
      </c>
      <c r="B99" s="100">
        <v>4.33</v>
      </c>
      <c r="C99" s="100">
        <v>11.27</v>
      </c>
      <c r="D99" s="100">
        <v>6.94</v>
      </c>
      <c r="E99" s="100">
        <v>5.04</v>
      </c>
      <c r="F99" s="100">
        <v>4.0199999999999996</v>
      </c>
      <c r="G99" s="100">
        <v>40.42</v>
      </c>
      <c r="H99" s="100">
        <v>20.010000000000002</v>
      </c>
      <c r="I99" s="100">
        <v>5.99</v>
      </c>
      <c r="J99" s="100">
        <v>0.23</v>
      </c>
      <c r="K99" s="100">
        <v>172.32</v>
      </c>
      <c r="L99" s="100">
        <v>24.98</v>
      </c>
      <c r="M99" s="100">
        <v>98.37</v>
      </c>
      <c r="N99" s="100">
        <v>2</v>
      </c>
      <c r="O99" s="100">
        <v>0</v>
      </c>
      <c r="P99" s="100">
        <v>0.55000000000000004</v>
      </c>
      <c r="Q99" s="100">
        <v>9.92</v>
      </c>
      <c r="R99" s="6"/>
      <c r="S99" s="6"/>
      <c r="T99" s="156"/>
      <c r="U99" s="6"/>
    </row>
    <row r="100" spans="1:28" customFormat="1">
      <c r="A100" s="163" t="s">
        <v>1195</v>
      </c>
      <c r="B100" s="100">
        <v>4.2699999999999996</v>
      </c>
      <c r="C100" s="100">
        <v>10.8</v>
      </c>
      <c r="D100" s="100">
        <v>6.53</v>
      </c>
      <c r="E100" s="100">
        <v>5.31</v>
      </c>
      <c r="F100" s="100">
        <v>4.21</v>
      </c>
      <c r="G100" s="100">
        <v>40.42</v>
      </c>
      <c r="H100" s="100">
        <v>20.010000000000002</v>
      </c>
      <c r="I100" s="100">
        <v>6.04</v>
      </c>
      <c r="J100" s="100">
        <v>0.13</v>
      </c>
      <c r="K100" s="100">
        <v>201.3</v>
      </c>
      <c r="L100" s="100">
        <v>25.09</v>
      </c>
      <c r="M100" s="100">
        <v>98.74</v>
      </c>
      <c r="N100" s="100">
        <v>2</v>
      </c>
      <c r="O100" s="100">
        <v>0</v>
      </c>
      <c r="P100" s="100">
        <v>0.53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1196</v>
      </c>
      <c r="B101" s="100">
        <v>4.22</v>
      </c>
      <c r="C101" s="100">
        <v>10.67</v>
      </c>
      <c r="D101" s="100">
        <v>6.45</v>
      </c>
      <c r="E101" s="100">
        <v>5.0599999999999996</v>
      </c>
      <c r="F101" s="100">
        <v>3.17</v>
      </c>
      <c r="G101" s="100">
        <v>38.58</v>
      </c>
      <c r="H101" s="100">
        <v>19.93</v>
      </c>
      <c r="I101" s="100">
        <v>6.02</v>
      </c>
      <c r="J101" s="100">
        <v>0.19</v>
      </c>
      <c r="K101" s="100">
        <v>160.16999999999999</v>
      </c>
      <c r="L101" s="100">
        <v>25.19</v>
      </c>
      <c r="M101" s="100">
        <v>97.91</v>
      </c>
      <c r="N101" s="100">
        <v>2.2000000000000002</v>
      </c>
      <c r="O101" s="100">
        <v>0</v>
      </c>
      <c r="P101" s="100">
        <v>0.55000000000000004</v>
      </c>
      <c r="Q101" s="100">
        <v>9.93</v>
      </c>
      <c r="R101" s="6"/>
      <c r="S101" s="6"/>
      <c r="T101" s="156"/>
      <c r="U101" s="6"/>
    </row>
    <row r="102" spans="1:28" customFormat="1">
      <c r="A102" s="163" t="s">
        <v>1197</v>
      </c>
      <c r="B102" s="100">
        <v>4.22</v>
      </c>
      <c r="C102" s="100">
        <v>10.38</v>
      </c>
      <c r="D102" s="100">
        <v>6.16</v>
      </c>
      <c r="E102" s="100">
        <v>5.13</v>
      </c>
      <c r="F102" s="100">
        <v>3.24</v>
      </c>
      <c r="G102" s="100">
        <v>36.28</v>
      </c>
      <c r="H102" s="100">
        <v>19.88</v>
      </c>
      <c r="I102" s="100">
        <v>5.99</v>
      </c>
      <c r="J102" s="100">
        <v>0.2</v>
      </c>
      <c r="K102" s="100">
        <v>141.47</v>
      </c>
      <c r="L102" s="100">
        <v>25.14</v>
      </c>
      <c r="M102" s="100">
        <v>95.66</v>
      </c>
      <c r="N102" s="100">
        <v>2.2000000000000002</v>
      </c>
      <c r="O102" s="100">
        <v>0</v>
      </c>
      <c r="P102" s="100">
        <v>0.55000000000000004</v>
      </c>
      <c r="Q102" s="100">
        <v>9.94</v>
      </c>
      <c r="R102" s="6"/>
      <c r="S102" s="6"/>
      <c r="T102" s="156"/>
      <c r="U102" s="6"/>
    </row>
    <row r="103" spans="1:28" customFormat="1">
      <c r="A103" s="163" t="s">
        <v>1198</v>
      </c>
      <c r="B103" s="100">
        <v>4.21</v>
      </c>
      <c r="C103" s="100">
        <v>10.02</v>
      </c>
      <c r="D103" s="100">
        <v>5.82</v>
      </c>
      <c r="E103" s="100">
        <v>5.16</v>
      </c>
      <c r="F103" s="100">
        <v>3.66</v>
      </c>
      <c r="G103" s="100">
        <v>36.28</v>
      </c>
      <c r="H103" s="100">
        <v>19.88</v>
      </c>
      <c r="I103" s="100">
        <v>6</v>
      </c>
      <c r="J103" s="100">
        <v>0.13</v>
      </c>
      <c r="K103" s="100">
        <v>219.12</v>
      </c>
      <c r="L103" s="100">
        <v>24.94</v>
      </c>
      <c r="M103" s="100">
        <v>95.32</v>
      </c>
      <c r="N103" s="100">
        <v>2.1</v>
      </c>
      <c r="O103" s="100">
        <v>0</v>
      </c>
      <c r="P103" s="100">
        <v>0.54</v>
      </c>
      <c r="Q103" s="100">
        <v>9.94</v>
      </c>
      <c r="R103" s="6"/>
      <c r="S103" s="6"/>
      <c r="T103" s="156"/>
      <c r="U103" s="6"/>
    </row>
    <row r="104" spans="1:28" customFormat="1">
      <c r="A104" s="163" t="s">
        <v>1199</v>
      </c>
      <c r="B104" s="100">
        <v>4.17</v>
      </c>
      <c r="C104" s="100">
        <v>9.82</v>
      </c>
      <c r="D104" s="100">
        <v>5.64</v>
      </c>
      <c r="E104" s="100">
        <v>5.57</v>
      </c>
      <c r="F104" s="100">
        <v>3.79</v>
      </c>
      <c r="G104" s="100">
        <v>36.28</v>
      </c>
      <c r="H104" s="100">
        <v>19.88</v>
      </c>
      <c r="I104" s="100">
        <v>6</v>
      </c>
      <c r="J104" s="100">
        <v>0.09</v>
      </c>
      <c r="K104" s="100">
        <v>161.72</v>
      </c>
      <c r="L104" s="100">
        <v>24.81</v>
      </c>
      <c r="M104" s="100">
        <v>94.25</v>
      </c>
      <c r="N104" s="100">
        <v>2.2000000000000002</v>
      </c>
      <c r="O104" s="100">
        <v>0</v>
      </c>
      <c r="P104" s="100">
        <v>0.54</v>
      </c>
      <c r="Q104" s="100">
        <v>9.93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3.51</v>
      </c>
      <c r="C106" s="158">
        <f>MIN(C9:C104)</f>
        <v>6.94</v>
      </c>
      <c r="D106" s="158">
        <f t="shared" ref="D106:Q106" si="0">MIN(D9:D104)</f>
        <v>3.39</v>
      </c>
      <c r="E106" s="158">
        <f t="shared" si="0"/>
        <v>3.54</v>
      </c>
      <c r="F106" s="158">
        <f t="shared" si="0"/>
        <v>2.14</v>
      </c>
      <c r="G106" s="158">
        <f t="shared" si="0"/>
        <v>33.94</v>
      </c>
      <c r="H106" s="158">
        <f t="shared" si="0"/>
        <v>18.920000000000002</v>
      </c>
      <c r="I106" s="158">
        <f t="shared" si="0"/>
        <v>4.55</v>
      </c>
      <c r="J106" s="158">
        <f t="shared" si="0"/>
        <v>0.02</v>
      </c>
      <c r="K106" s="158">
        <f t="shared" si="0"/>
        <v>9.4</v>
      </c>
      <c r="L106" s="158">
        <f t="shared" si="0"/>
        <v>22.35</v>
      </c>
      <c r="M106" s="158">
        <f t="shared" si="0"/>
        <v>35.659999999999997</v>
      </c>
      <c r="N106" s="158">
        <f t="shared" si="0"/>
        <v>1.4</v>
      </c>
      <c r="O106" s="158">
        <f t="shared" si="0"/>
        <v>0</v>
      </c>
      <c r="P106" s="158">
        <f t="shared" si="0"/>
        <v>0.26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4.6399999999999997</v>
      </c>
      <c r="C107" s="157">
        <f t="shared" ref="C107:Q107" si="1">MAX(C9:C104)</f>
        <v>12.52</v>
      </c>
      <c r="D107" s="157">
        <f t="shared" si="1"/>
        <v>8.84</v>
      </c>
      <c r="E107" s="157">
        <f t="shared" si="1"/>
        <v>17.73</v>
      </c>
      <c r="F107" s="157">
        <f t="shared" si="1"/>
        <v>70.77</v>
      </c>
      <c r="G107" s="157">
        <f t="shared" si="1"/>
        <v>95.86</v>
      </c>
      <c r="H107" s="157">
        <f t="shared" si="1"/>
        <v>41.69</v>
      </c>
      <c r="I107" s="157">
        <f t="shared" si="1"/>
        <v>8.92</v>
      </c>
      <c r="J107" s="157">
        <f t="shared" si="1"/>
        <v>3.65</v>
      </c>
      <c r="K107" s="157">
        <f t="shared" si="1"/>
        <v>315.42</v>
      </c>
      <c r="L107" s="157">
        <f t="shared" si="1"/>
        <v>39.950000000000003</v>
      </c>
      <c r="M107" s="157">
        <f t="shared" si="1"/>
        <v>105.24</v>
      </c>
      <c r="N107" s="157">
        <f t="shared" si="1"/>
        <v>524.1</v>
      </c>
      <c r="O107" s="157">
        <f t="shared" si="1"/>
        <v>18.399999999999999</v>
      </c>
      <c r="P107" s="157">
        <f t="shared" si="1"/>
        <v>0.72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3.9129166666666664</v>
      </c>
      <c r="C108" s="158">
        <f t="shared" ref="C108:Q108" si="2">AVERAGE(C9:C104)</f>
        <v>8.7704166666666659</v>
      </c>
      <c r="D108" s="158">
        <f t="shared" si="2"/>
        <v>4.8577083333333313</v>
      </c>
      <c r="E108" s="158">
        <f t="shared" si="2"/>
        <v>6.3023958333333354</v>
      </c>
      <c r="F108" s="158">
        <f t="shared" si="2"/>
        <v>14.965000000000003</v>
      </c>
      <c r="G108" s="158">
        <f t="shared" si="2"/>
        <v>52.192812500000002</v>
      </c>
      <c r="H108" s="158">
        <f t="shared" si="2"/>
        <v>29.244166666666661</v>
      </c>
      <c r="I108" s="158">
        <f t="shared" si="2"/>
        <v>6.1020833333333302</v>
      </c>
      <c r="J108" s="158">
        <f t="shared" si="2"/>
        <v>0.40791666666666687</v>
      </c>
      <c r="K108" s="158">
        <f t="shared" si="2"/>
        <v>206.19593749999993</v>
      </c>
      <c r="L108" s="158">
        <f t="shared" si="2"/>
        <v>30.98937500000001</v>
      </c>
      <c r="M108" s="158">
        <f t="shared" si="2"/>
        <v>64.419374999999988</v>
      </c>
      <c r="N108" s="158">
        <f t="shared" si="2"/>
        <v>117.965625</v>
      </c>
      <c r="O108" s="158">
        <f t="shared" si="2"/>
        <v>0.35416666666666669</v>
      </c>
      <c r="P108" s="158">
        <f t="shared" si="2"/>
        <v>0.46802083333333333</v>
      </c>
      <c r="Q108" s="158">
        <f t="shared" si="2"/>
        <v>9.9259374999999874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0.27969124580947496</v>
      </c>
      <c r="C109" s="158">
        <f t="shared" ref="C109:Q109" si="3">STDEV(C9:C104)</f>
        <v>1.3709527356946998</v>
      </c>
      <c r="D109" s="158">
        <f t="shared" si="3"/>
        <v>1.2875750191055197</v>
      </c>
      <c r="E109" s="158">
        <f t="shared" si="3"/>
        <v>2.4504352974379522</v>
      </c>
      <c r="F109" s="158">
        <f t="shared" si="3"/>
        <v>15.091828949886477</v>
      </c>
      <c r="G109" s="158">
        <f t="shared" si="3"/>
        <v>15.178377883175491</v>
      </c>
      <c r="H109" s="158">
        <f t="shared" si="3"/>
        <v>7.4084896772720246</v>
      </c>
      <c r="I109" s="158">
        <f t="shared" si="3"/>
        <v>1.1770345580641293</v>
      </c>
      <c r="J109" s="158">
        <f t="shared" si="3"/>
        <v>0.44769565947055118</v>
      </c>
      <c r="K109" s="158">
        <f t="shared" si="3"/>
        <v>70.999203799511108</v>
      </c>
      <c r="L109" s="158">
        <f t="shared" si="3"/>
        <v>4.6674789346351444</v>
      </c>
      <c r="M109" s="158">
        <f t="shared" si="3"/>
        <v>20.805436982344734</v>
      </c>
      <c r="N109" s="158">
        <f t="shared" si="3"/>
        <v>154.64793280775052</v>
      </c>
      <c r="O109" s="158">
        <f t="shared" si="3"/>
        <v>2.4492283066806193</v>
      </c>
      <c r="P109" s="158">
        <f t="shared" si="3"/>
        <v>0.12236803669058606</v>
      </c>
      <c r="Q109" s="158">
        <f t="shared" si="3"/>
        <v>1.1569299210000612E-2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1" sqref="F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1200</v>
      </c>
      <c r="B9" s="100">
        <v>3.93</v>
      </c>
      <c r="C9" s="100">
        <v>8.7899999999999991</v>
      </c>
      <c r="D9" s="100">
        <v>4.8600000000000003</v>
      </c>
      <c r="E9" s="100">
        <v>5.43</v>
      </c>
      <c r="F9" s="100">
        <v>4.74</v>
      </c>
      <c r="G9" s="100">
        <v>32.78</v>
      </c>
      <c r="H9" s="100">
        <v>19.95</v>
      </c>
      <c r="I9" s="100">
        <v>5.99</v>
      </c>
      <c r="J9" s="100">
        <v>0.06</v>
      </c>
      <c r="K9" s="100">
        <v>181.29</v>
      </c>
      <c r="L9" s="100">
        <v>24.64</v>
      </c>
      <c r="M9" s="100">
        <v>95.46</v>
      </c>
      <c r="N9" s="100">
        <v>2.1</v>
      </c>
      <c r="O9" s="100">
        <v>0</v>
      </c>
      <c r="P9" s="100">
        <v>0.53</v>
      </c>
      <c r="Q9" s="100">
        <v>9.92</v>
      </c>
      <c r="R9" s="6"/>
      <c r="S9" s="6"/>
      <c r="T9" s="156"/>
      <c r="U9" s="6"/>
    </row>
    <row r="10" spans="1:21" customFormat="1">
      <c r="A10" s="163" t="s">
        <v>1201</v>
      </c>
      <c r="B10" s="100">
        <v>3.88</v>
      </c>
      <c r="C10" s="100">
        <v>9.19</v>
      </c>
      <c r="D10" s="100">
        <v>5.31</v>
      </c>
      <c r="E10" s="100">
        <v>5.84</v>
      </c>
      <c r="F10" s="100">
        <v>3.65</v>
      </c>
      <c r="G10" s="100">
        <v>28.41</v>
      </c>
      <c r="H10" s="100">
        <v>20.07</v>
      </c>
      <c r="I10" s="100">
        <v>5.96</v>
      </c>
      <c r="J10" s="100">
        <v>0.18</v>
      </c>
      <c r="K10" s="100">
        <v>176.92</v>
      </c>
      <c r="L10" s="100">
        <v>24.9</v>
      </c>
      <c r="M10" s="100">
        <v>94.53</v>
      </c>
      <c r="N10" s="100">
        <v>2</v>
      </c>
      <c r="O10" s="100">
        <v>0</v>
      </c>
      <c r="P10" s="100">
        <v>0.52</v>
      </c>
      <c r="Q10" s="100">
        <v>9.93</v>
      </c>
      <c r="R10" s="6"/>
      <c r="S10" s="6"/>
      <c r="T10" s="156"/>
      <c r="U10" s="6"/>
    </row>
    <row r="11" spans="1:21" customFormat="1">
      <c r="A11" s="163" t="s">
        <v>1202</v>
      </c>
      <c r="B11" s="100">
        <v>3.91</v>
      </c>
      <c r="C11" s="100">
        <v>9.0299999999999994</v>
      </c>
      <c r="D11" s="100">
        <v>5.12</v>
      </c>
      <c r="E11" s="100">
        <v>5.24</v>
      </c>
      <c r="F11" s="100">
        <v>3.1</v>
      </c>
      <c r="G11" s="100">
        <v>28.41</v>
      </c>
      <c r="H11" s="100">
        <v>20.07</v>
      </c>
      <c r="I11" s="100">
        <v>5.87</v>
      </c>
      <c r="J11" s="100">
        <v>0.09</v>
      </c>
      <c r="K11" s="100">
        <v>144.29</v>
      </c>
      <c r="L11" s="100">
        <v>24.86</v>
      </c>
      <c r="M11" s="100">
        <v>95.75</v>
      </c>
      <c r="N11" s="100">
        <v>1.9</v>
      </c>
      <c r="O11" s="100">
        <v>0</v>
      </c>
      <c r="P11" s="100">
        <v>0.51</v>
      </c>
      <c r="Q11" s="100">
        <v>9.92</v>
      </c>
      <c r="R11" s="6"/>
      <c r="S11" s="6"/>
      <c r="T11" s="156"/>
      <c r="U11" s="6"/>
    </row>
    <row r="12" spans="1:21" customFormat="1">
      <c r="A12" s="163" t="s">
        <v>1203</v>
      </c>
      <c r="B12" s="100">
        <v>3.93</v>
      </c>
      <c r="C12" s="100">
        <v>8.8800000000000008</v>
      </c>
      <c r="D12" s="100">
        <v>4.95</v>
      </c>
      <c r="E12" s="100">
        <v>5.43</v>
      </c>
      <c r="F12" s="100">
        <v>3.16</v>
      </c>
      <c r="G12" s="100">
        <v>28.41</v>
      </c>
      <c r="H12" s="100">
        <v>20.07</v>
      </c>
      <c r="I12" s="100">
        <v>5.8</v>
      </c>
      <c r="J12" s="100">
        <v>0.38</v>
      </c>
      <c r="K12" s="100">
        <v>35.56</v>
      </c>
      <c r="L12" s="100">
        <v>24.88</v>
      </c>
      <c r="M12" s="100">
        <v>94.33</v>
      </c>
      <c r="N12" s="100">
        <v>2.1</v>
      </c>
      <c r="O12" s="100">
        <v>0</v>
      </c>
      <c r="P12" s="100">
        <v>0.51</v>
      </c>
      <c r="Q12" s="100">
        <v>9.91</v>
      </c>
      <c r="R12" s="6"/>
      <c r="S12" s="6"/>
      <c r="T12" s="156"/>
      <c r="U12" s="6"/>
    </row>
    <row r="13" spans="1:21" customFormat="1">
      <c r="A13" s="163" t="s">
        <v>1204</v>
      </c>
      <c r="B13" s="100">
        <v>4.01</v>
      </c>
      <c r="C13" s="100">
        <v>9.02</v>
      </c>
      <c r="D13" s="100">
        <v>5.01</v>
      </c>
      <c r="E13" s="100">
        <v>5.28</v>
      </c>
      <c r="F13" s="100">
        <v>4.07</v>
      </c>
      <c r="G13" s="100">
        <v>27.88</v>
      </c>
      <c r="H13" s="100">
        <v>21.14</v>
      </c>
      <c r="I13" s="100">
        <v>5.81</v>
      </c>
      <c r="J13" s="100">
        <v>0.4</v>
      </c>
      <c r="K13" s="100">
        <v>50.35</v>
      </c>
      <c r="L13" s="100">
        <v>25.03</v>
      </c>
      <c r="M13" s="100">
        <v>91.97</v>
      </c>
      <c r="N13" s="100">
        <v>2.1</v>
      </c>
      <c r="O13" s="100">
        <v>0</v>
      </c>
      <c r="P13" s="100">
        <v>0.5</v>
      </c>
      <c r="Q13" s="100">
        <v>9.91</v>
      </c>
      <c r="R13" s="6"/>
      <c r="S13" s="6"/>
      <c r="T13" s="156"/>
      <c r="U13" s="6"/>
    </row>
    <row r="14" spans="1:21" customFormat="1">
      <c r="A14" s="163" t="s">
        <v>1205</v>
      </c>
      <c r="B14" s="100">
        <v>4.12</v>
      </c>
      <c r="C14" s="100">
        <v>9.4499999999999993</v>
      </c>
      <c r="D14" s="100">
        <v>5.33</v>
      </c>
      <c r="E14" s="100">
        <v>5.41</v>
      </c>
      <c r="F14" s="100">
        <v>3.66</v>
      </c>
      <c r="G14" s="100">
        <v>27.18</v>
      </c>
      <c r="H14" s="100">
        <v>21.88</v>
      </c>
      <c r="I14" s="100">
        <v>5.78</v>
      </c>
      <c r="J14" s="100">
        <v>0.5</v>
      </c>
      <c r="K14" s="100">
        <v>54.42</v>
      </c>
      <c r="L14" s="100">
        <v>25.27</v>
      </c>
      <c r="M14" s="100">
        <v>89.62</v>
      </c>
      <c r="N14" s="100">
        <v>2.1</v>
      </c>
      <c r="O14" s="100">
        <v>0</v>
      </c>
      <c r="P14" s="100">
        <v>0.49</v>
      </c>
      <c r="Q14" s="100">
        <v>9.91</v>
      </c>
      <c r="R14" s="6"/>
      <c r="S14" s="6"/>
      <c r="T14" s="156"/>
      <c r="U14" s="6"/>
    </row>
    <row r="15" spans="1:21" customFormat="1">
      <c r="A15" s="163" t="s">
        <v>1206</v>
      </c>
      <c r="B15" s="100">
        <v>4.21</v>
      </c>
      <c r="C15" s="100">
        <v>9.76</v>
      </c>
      <c r="D15" s="100">
        <v>5.55</v>
      </c>
      <c r="E15" s="100">
        <v>5.4</v>
      </c>
      <c r="F15" s="100">
        <v>3.07</v>
      </c>
      <c r="G15" s="100">
        <v>27.18</v>
      </c>
      <c r="H15" s="100">
        <v>21.88</v>
      </c>
      <c r="I15" s="100">
        <v>5.74</v>
      </c>
      <c r="J15" s="100">
        <v>0.16</v>
      </c>
      <c r="K15" s="100">
        <v>73.319999999999993</v>
      </c>
      <c r="L15" s="100">
        <v>25.5</v>
      </c>
      <c r="M15" s="100">
        <v>90.61</v>
      </c>
      <c r="N15" s="100">
        <v>2</v>
      </c>
      <c r="O15" s="100">
        <v>0</v>
      </c>
      <c r="P15" s="100">
        <v>0.49</v>
      </c>
      <c r="Q15" s="100">
        <v>9.91</v>
      </c>
      <c r="R15" s="6"/>
      <c r="S15" s="6"/>
      <c r="T15" s="156"/>
      <c r="U15" s="6"/>
    </row>
    <row r="16" spans="1:21" customFormat="1">
      <c r="A16" s="163" t="s">
        <v>1207</v>
      </c>
      <c r="B16" s="100">
        <v>4.2699999999999996</v>
      </c>
      <c r="C16" s="100">
        <v>10.039999999999999</v>
      </c>
      <c r="D16" s="100">
        <v>5.78</v>
      </c>
      <c r="E16" s="100">
        <v>5.36</v>
      </c>
      <c r="F16" s="100">
        <v>3.12</v>
      </c>
      <c r="G16" s="100">
        <v>27.18</v>
      </c>
      <c r="H16" s="100">
        <v>21.88</v>
      </c>
      <c r="I16" s="100">
        <v>5.68</v>
      </c>
      <c r="J16" s="100">
        <v>0.26</v>
      </c>
      <c r="K16" s="100">
        <v>191.11</v>
      </c>
      <c r="L16" s="100">
        <v>25.54</v>
      </c>
      <c r="M16" s="100">
        <v>92.93</v>
      </c>
      <c r="N16" s="100">
        <v>2.1</v>
      </c>
      <c r="O16" s="100">
        <v>0</v>
      </c>
      <c r="P16" s="100">
        <v>0.5</v>
      </c>
      <c r="Q16" s="100">
        <v>9.92</v>
      </c>
      <c r="R16" s="6"/>
      <c r="S16" s="6"/>
      <c r="T16" s="156"/>
      <c r="U16" s="6"/>
    </row>
    <row r="17" spans="1:21" customFormat="1">
      <c r="A17" s="163" t="s">
        <v>1208</v>
      </c>
      <c r="B17" s="100">
        <v>4.28</v>
      </c>
      <c r="C17" s="100">
        <v>9.9600000000000009</v>
      </c>
      <c r="D17" s="100">
        <v>5.68</v>
      </c>
      <c r="E17" s="100">
        <v>4.6500000000000004</v>
      </c>
      <c r="F17" s="100">
        <v>3.98</v>
      </c>
      <c r="G17" s="100">
        <v>27.74</v>
      </c>
      <c r="H17" s="100">
        <v>20.78</v>
      </c>
      <c r="I17" s="100">
        <v>5.76</v>
      </c>
      <c r="J17" s="100">
        <v>0.17</v>
      </c>
      <c r="K17" s="100">
        <v>164.18</v>
      </c>
      <c r="L17" s="100">
        <v>25.49</v>
      </c>
      <c r="M17" s="100">
        <v>93.39</v>
      </c>
      <c r="N17" s="100">
        <v>2.1</v>
      </c>
      <c r="O17" s="100">
        <v>0</v>
      </c>
      <c r="P17" s="100">
        <v>0.51</v>
      </c>
      <c r="Q17" s="100">
        <v>9.92</v>
      </c>
      <c r="R17" s="6"/>
      <c r="S17" s="6"/>
      <c r="T17" s="156"/>
      <c r="U17" s="6"/>
    </row>
    <row r="18" spans="1:21" customFormat="1">
      <c r="A18" s="163" t="s">
        <v>1209</v>
      </c>
      <c r="B18" s="100">
        <v>4.3600000000000003</v>
      </c>
      <c r="C18" s="100">
        <v>10.039999999999999</v>
      </c>
      <c r="D18" s="100">
        <v>5.68</v>
      </c>
      <c r="E18" s="100">
        <v>5.49</v>
      </c>
      <c r="F18" s="100">
        <v>2.11</v>
      </c>
      <c r="G18" s="100">
        <v>28.44</v>
      </c>
      <c r="H18" s="100">
        <v>20.03</v>
      </c>
      <c r="I18" s="100">
        <v>5.74</v>
      </c>
      <c r="J18" s="100">
        <v>0.19</v>
      </c>
      <c r="K18" s="100">
        <v>56.52</v>
      </c>
      <c r="L18" s="100">
        <v>25.35</v>
      </c>
      <c r="M18" s="100">
        <v>93.63</v>
      </c>
      <c r="N18" s="100">
        <v>2</v>
      </c>
      <c r="O18" s="100">
        <v>0</v>
      </c>
      <c r="P18" s="100">
        <v>0.51</v>
      </c>
      <c r="Q18" s="100">
        <v>9.94</v>
      </c>
      <c r="R18" s="6"/>
      <c r="S18" s="6"/>
      <c r="T18" s="156"/>
      <c r="U18" s="6"/>
    </row>
    <row r="19" spans="1:21" customFormat="1">
      <c r="A19" s="163" t="s">
        <v>1210</v>
      </c>
      <c r="B19" s="100">
        <v>4.55</v>
      </c>
      <c r="C19" s="100">
        <v>10</v>
      </c>
      <c r="D19" s="100">
        <v>5.45</v>
      </c>
      <c r="E19" s="100">
        <v>5.34</v>
      </c>
      <c r="F19" s="100">
        <v>2.1</v>
      </c>
      <c r="G19" s="100">
        <v>28.44</v>
      </c>
      <c r="H19" s="100">
        <v>20.03</v>
      </c>
      <c r="I19" s="100">
        <v>5.71</v>
      </c>
      <c r="J19" s="100">
        <v>0.2</v>
      </c>
      <c r="K19" s="100">
        <v>61.29</v>
      </c>
      <c r="L19" s="100">
        <v>25.46</v>
      </c>
      <c r="M19" s="100">
        <v>93.32</v>
      </c>
      <c r="N19" s="100">
        <v>1.9</v>
      </c>
      <c r="O19" s="100">
        <v>0</v>
      </c>
      <c r="P19" s="100">
        <v>0.54</v>
      </c>
      <c r="Q19" s="100">
        <v>9.94</v>
      </c>
      <c r="R19" s="6"/>
      <c r="S19" s="6"/>
      <c r="T19" s="156"/>
      <c r="U19" s="6"/>
    </row>
    <row r="20" spans="1:21" customFormat="1">
      <c r="A20" s="163" t="s">
        <v>1211</v>
      </c>
      <c r="B20" s="100">
        <v>4.7300000000000004</v>
      </c>
      <c r="C20" s="100">
        <v>9.7200000000000006</v>
      </c>
      <c r="D20" s="100">
        <v>4.99</v>
      </c>
      <c r="E20" s="100">
        <v>4.67</v>
      </c>
      <c r="F20" s="100">
        <v>2.29</v>
      </c>
      <c r="G20" s="100">
        <v>28.44</v>
      </c>
      <c r="H20" s="100">
        <v>20.03</v>
      </c>
      <c r="I20" s="100">
        <v>5.72</v>
      </c>
      <c r="J20" s="100">
        <v>0.31</v>
      </c>
      <c r="K20" s="100">
        <v>63.71</v>
      </c>
      <c r="L20" s="100">
        <v>25.49</v>
      </c>
      <c r="M20" s="100">
        <v>93.69</v>
      </c>
      <c r="N20" s="100">
        <v>2.1</v>
      </c>
      <c r="O20" s="100">
        <v>0</v>
      </c>
      <c r="P20" s="100">
        <v>0.54</v>
      </c>
      <c r="Q20" s="100">
        <v>9.94</v>
      </c>
      <c r="R20" s="6"/>
      <c r="S20" s="6"/>
      <c r="T20" s="156"/>
      <c r="U20" s="6"/>
    </row>
    <row r="21" spans="1:21" customFormat="1">
      <c r="A21" s="163" t="s">
        <v>1212</v>
      </c>
      <c r="B21" s="100">
        <v>4.8499999999999996</v>
      </c>
      <c r="C21" s="100">
        <v>9.4600000000000009</v>
      </c>
      <c r="D21" s="100">
        <v>4.6100000000000003</v>
      </c>
      <c r="E21" s="100">
        <v>4.57</v>
      </c>
      <c r="F21" s="100">
        <v>2.2799999999999998</v>
      </c>
      <c r="G21" s="100">
        <v>31.7</v>
      </c>
      <c r="H21" s="100">
        <v>21</v>
      </c>
      <c r="I21" s="100">
        <v>5.81</v>
      </c>
      <c r="J21" s="100">
        <v>0.28000000000000003</v>
      </c>
      <c r="K21" s="100">
        <v>66.02</v>
      </c>
      <c r="L21" s="100">
        <v>25.52</v>
      </c>
      <c r="M21" s="100">
        <v>92.68</v>
      </c>
      <c r="N21" s="100">
        <v>2.1</v>
      </c>
      <c r="O21" s="100">
        <v>0</v>
      </c>
      <c r="P21" s="100">
        <v>0.55000000000000004</v>
      </c>
      <c r="Q21" s="100">
        <v>9.9499999999999993</v>
      </c>
      <c r="R21" s="6"/>
      <c r="S21" s="6"/>
      <c r="T21" s="156"/>
      <c r="U21" s="6"/>
    </row>
    <row r="22" spans="1:21" customFormat="1">
      <c r="A22" s="163" t="s">
        <v>1213</v>
      </c>
      <c r="B22" s="100">
        <v>5</v>
      </c>
      <c r="C22" s="100">
        <v>9.81</v>
      </c>
      <c r="D22" s="100">
        <v>4.8</v>
      </c>
      <c r="E22" s="100">
        <v>4.5199999999999996</v>
      </c>
      <c r="F22" s="100">
        <v>2.1</v>
      </c>
      <c r="G22" s="100">
        <v>35.96</v>
      </c>
      <c r="H22" s="100">
        <v>21.67</v>
      </c>
      <c r="I22" s="100">
        <v>5.87</v>
      </c>
      <c r="J22" s="100">
        <v>0.19</v>
      </c>
      <c r="K22" s="100">
        <v>66.53</v>
      </c>
      <c r="L22" s="100">
        <v>25.48</v>
      </c>
      <c r="M22" s="100">
        <v>92.81</v>
      </c>
      <c r="N22" s="100">
        <v>2.1</v>
      </c>
      <c r="O22" s="100">
        <v>0</v>
      </c>
      <c r="P22" s="100">
        <v>0.56000000000000005</v>
      </c>
      <c r="Q22" s="100">
        <v>9.94</v>
      </c>
      <c r="R22" s="6"/>
      <c r="S22" s="6"/>
      <c r="T22" s="156"/>
      <c r="U22" s="6"/>
    </row>
    <row r="23" spans="1:21" customFormat="1">
      <c r="A23" s="163" t="s">
        <v>1214</v>
      </c>
      <c r="B23" s="100">
        <v>5.1100000000000003</v>
      </c>
      <c r="C23" s="100">
        <v>9.57</v>
      </c>
      <c r="D23" s="100">
        <v>4.46</v>
      </c>
      <c r="E23" s="100">
        <v>4.51</v>
      </c>
      <c r="F23" s="100">
        <v>2.1</v>
      </c>
      <c r="G23" s="100">
        <v>35.96</v>
      </c>
      <c r="H23" s="100">
        <v>21.67</v>
      </c>
      <c r="I23" s="100">
        <v>6.03</v>
      </c>
      <c r="J23" s="100">
        <v>0.24</v>
      </c>
      <c r="K23" s="100">
        <v>81.760000000000005</v>
      </c>
      <c r="L23" s="100">
        <v>25.47</v>
      </c>
      <c r="M23" s="100">
        <v>92.99</v>
      </c>
      <c r="N23" s="100">
        <v>2</v>
      </c>
      <c r="O23" s="100">
        <v>0</v>
      </c>
      <c r="P23" s="100">
        <v>0.55000000000000004</v>
      </c>
      <c r="Q23" s="100">
        <v>9.94</v>
      </c>
      <c r="R23" s="6"/>
      <c r="S23" s="6"/>
      <c r="T23" s="156"/>
      <c r="U23" s="6"/>
    </row>
    <row r="24" spans="1:21" customFormat="1">
      <c r="A24" s="163" t="s">
        <v>1215</v>
      </c>
      <c r="B24" s="100">
        <v>5.21</v>
      </c>
      <c r="C24" s="100">
        <v>9.3000000000000007</v>
      </c>
      <c r="D24" s="100">
        <v>4.09</v>
      </c>
      <c r="E24" s="100">
        <v>4.3899999999999997</v>
      </c>
      <c r="F24" s="100">
        <v>2.33</v>
      </c>
      <c r="G24" s="100">
        <v>35.96</v>
      </c>
      <c r="H24" s="100">
        <v>21.67</v>
      </c>
      <c r="I24" s="100">
        <v>6.12</v>
      </c>
      <c r="J24" s="100">
        <v>0.15</v>
      </c>
      <c r="K24" s="100">
        <v>94.02</v>
      </c>
      <c r="L24" s="100">
        <v>25.38</v>
      </c>
      <c r="M24" s="100">
        <v>91.98</v>
      </c>
      <c r="N24" s="100">
        <v>2</v>
      </c>
      <c r="O24" s="100">
        <v>0</v>
      </c>
      <c r="P24" s="100">
        <v>0.57999999999999996</v>
      </c>
      <c r="Q24" s="100">
        <v>9.93</v>
      </c>
      <c r="R24" s="6"/>
      <c r="S24" s="6"/>
      <c r="T24" s="156"/>
      <c r="U24" s="6"/>
    </row>
    <row r="25" spans="1:21" customFormat="1">
      <c r="A25" s="163" t="s">
        <v>1216</v>
      </c>
      <c r="B25" s="100">
        <v>5.35</v>
      </c>
      <c r="C25" s="100">
        <v>9.98</v>
      </c>
      <c r="D25" s="100">
        <v>4.63</v>
      </c>
      <c r="E25" s="100">
        <v>4.3600000000000003</v>
      </c>
      <c r="F25" s="100">
        <v>2.1</v>
      </c>
      <c r="G25" s="100">
        <v>38</v>
      </c>
      <c r="H25" s="100">
        <v>23.06</v>
      </c>
      <c r="I25" s="100">
        <v>6.15</v>
      </c>
      <c r="J25" s="100">
        <v>0.24</v>
      </c>
      <c r="K25" s="100">
        <v>71.77</v>
      </c>
      <c r="L25" s="100">
        <v>25.35</v>
      </c>
      <c r="M25" s="100">
        <v>90.07</v>
      </c>
      <c r="N25" s="100">
        <v>1.8</v>
      </c>
      <c r="O25" s="100">
        <v>0</v>
      </c>
      <c r="P25" s="100">
        <v>0.59</v>
      </c>
      <c r="Q25" s="100">
        <v>9.94</v>
      </c>
      <c r="R25" s="6"/>
      <c r="S25" s="6"/>
      <c r="T25" s="156"/>
      <c r="U25" s="6"/>
    </row>
    <row r="26" spans="1:21" customFormat="1">
      <c r="A26" s="163" t="s">
        <v>1217</v>
      </c>
      <c r="B26" s="100">
        <v>5.58</v>
      </c>
      <c r="C26" s="100">
        <v>9.75</v>
      </c>
      <c r="D26" s="100">
        <v>4.17</v>
      </c>
      <c r="E26" s="100">
        <v>4.62</v>
      </c>
      <c r="F26" s="100">
        <v>2.2200000000000002</v>
      </c>
      <c r="G26" s="100">
        <v>40.67</v>
      </c>
      <c r="H26" s="100">
        <v>24.03</v>
      </c>
      <c r="I26" s="100">
        <v>6.28</v>
      </c>
      <c r="J26" s="100">
        <v>0.15</v>
      </c>
      <c r="K26" s="100">
        <v>69.98</v>
      </c>
      <c r="L26" s="100">
        <v>25.19</v>
      </c>
      <c r="M26" s="100">
        <v>90.31</v>
      </c>
      <c r="N26" s="100">
        <v>1.9</v>
      </c>
      <c r="O26" s="100">
        <v>0</v>
      </c>
      <c r="P26" s="100">
        <v>0.56999999999999995</v>
      </c>
      <c r="Q26" s="100">
        <v>9.94</v>
      </c>
      <c r="R26" s="6"/>
      <c r="S26" s="6"/>
      <c r="T26" s="156"/>
      <c r="U26" s="6"/>
    </row>
    <row r="27" spans="1:21" customFormat="1">
      <c r="A27" s="163" t="s">
        <v>1218</v>
      </c>
      <c r="B27" s="100">
        <v>5.7</v>
      </c>
      <c r="C27" s="100">
        <v>9.8800000000000008</v>
      </c>
      <c r="D27" s="100">
        <v>4.18</v>
      </c>
      <c r="E27" s="100">
        <v>4.4000000000000004</v>
      </c>
      <c r="F27" s="100">
        <v>2.14</v>
      </c>
      <c r="G27" s="100">
        <v>40.67</v>
      </c>
      <c r="H27" s="100">
        <v>24.03</v>
      </c>
      <c r="I27" s="100">
        <v>6.41</v>
      </c>
      <c r="J27" s="100">
        <v>0.38</v>
      </c>
      <c r="K27" s="100">
        <v>54.81</v>
      </c>
      <c r="L27" s="100">
        <v>25.14</v>
      </c>
      <c r="M27" s="100">
        <v>89.42</v>
      </c>
      <c r="N27" s="100">
        <v>1.7</v>
      </c>
      <c r="O27" s="100">
        <v>0</v>
      </c>
      <c r="P27" s="100">
        <v>0.6</v>
      </c>
      <c r="Q27" s="100">
        <v>9.94</v>
      </c>
      <c r="R27" s="6"/>
      <c r="S27" s="6"/>
      <c r="T27" s="156"/>
      <c r="U27" s="6"/>
    </row>
    <row r="28" spans="1:21" customFormat="1">
      <c r="A28" s="163" t="s">
        <v>1219</v>
      </c>
      <c r="B28" s="100">
        <v>6.14</v>
      </c>
      <c r="C28" s="100">
        <v>10.34</v>
      </c>
      <c r="D28" s="100">
        <v>4.1900000000000004</v>
      </c>
      <c r="E28" s="100">
        <v>4.5199999999999996</v>
      </c>
      <c r="F28" s="100">
        <v>2.1</v>
      </c>
      <c r="G28" s="100">
        <v>40.67</v>
      </c>
      <c r="H28" s="100">
        <v>24.03</v>
      </c>
      <c r="I28" s="100">
        <v>6.4</v>
      </c>
      <c r="J28" s="100">
        <v>0.61</v>
      </c>
      <c r="K28" s="100">
        <v>48.1</v>
      </c>
      <c r="L28" s="100">
        <v>25.18</v>
      </c>
      <c r="M28" s="100">
        <v>87.85</v>
      </c>
      <c r="N28" s="100">
        <v>1.8</v>
      </c>
      <c r="O28" s="100">
        <v>0</v>
      </c>
      <c r="P28" s="100">
        <v>0.59</v>
      </c>
      <c r="Q28" s="100">
        <v>9.9499999999999993</v>
      </c>
      <c r="R28" s="6"/>
      <c r="S28" s="6"/>
      <c r="T28" s="156"/>
      <c r="U28" s="6"/>
    </row>
    <row r="29" spans="1:21" customFormat="1">
      <c r="A29" s="163" t="s">
        <v>1220</v>
      </c>
      <c r="B29" s="100">
        <v>6.26</v>
      </c>
      <c r="C29" s="100">
        <v>10.220000000000001</v>
      </c>
      <c r="D29" s="100">
        <v>3.96</v>
      </c>
      <c r="E29" s="100">
        <v>4.45</v>
      </c>
      <c r="F29" s="100">
        <v>2.19</v>
      </c>
      <c r="G29" s="100">
        <v>48.5</v>
      </c>
      <c r="H29" s="100">
        <v>30.84</v>
      </c>
      <c r="I29" s="100">
        <v>6.57</v>
      </c>
      <c r="J29" s="100">
        <v>0.55000000000000004</v>
      </c>
      <c r="K29" s="100">
        <v>52.09</v>
      </c>
      <c r="L29" s="100">
        <v>25.16</v>
      </c>
      <c r="M29" s="100">
        <v>88.76</v>
      </c>
      <c r="N29" s="100">
        <v>3</v>
      </c>
      <c r="O29" s="100">
        <v>0</v>
      </c>
      <c r="P29" s="100">
        <v>0.62</v>
      </c>
      <c r="Q29" s="100">
        <v>9.94</v>
      </c>
      <c r="R29" s="6"/>
      <c r="S29" s="6"/>
      <c r="T29" s="156"/>
      <c r="U29" s="6"/>
    </row>
    <row r="30" spans="1:21" customFormat="1">
      <c r="A30" s="163" t="s">
        <v>1221</v>
      </c>
      <c r="B30" s="100">
        <v>6.56</v>
      </c>
      <c r="C30" s="100">
        <v>10.75</v>
      </c>
      <c r="D30" s="100">
        <v>4.18</v>
      </c>
      <c r="E30" s="100">
        <v>4.72</v>
      </c>
      <c r="F30" s="100">
        <v>2.1</v>
      </c>
      <c r="G30" s="100">
        <v>58.74</v>
      </c>
      <c r="H30" s="100">
        <v>35.56</v>
      </c>
      <c r="I30" s="100">
        <v>6.54</v>
      </c>
      <c r="J30" s="100">
        <v>0.28000000000000003</v>
      </c>
      <c r="K30" s="100">
        <v>61.19</v>
      </c>
      <c r="L30" s="100">
        <v>25.23</v>
      </c>
      <c r="M30" s="100">
        <v>89.2</v>
      </c>
      <c r="N30" s="100">
        <v>5.4</v>
      </c>
      <c r="O30" s="100">
        <v>0</v>
      </c>
      <c r="P30" s="100">
        <v>0.61</v>
      </c>
      <c r="Q30" s="100">
        <v>9.9499999999999993</v>
      </c>
      <c r="R30" s="6"/>
      <c r="S30" s="6"/>
      <c r="T30" s="156"/>
      <c r="U30" s="6"/>
    </row>
    <row r="31" spans="1:21" customFormat="1">
      <c r="A31" s="163" t="s">
        <v>1222</v>
      </c>
      <c r="B31" s="100">
        <v>6.93</v>
      </c>
      <c r="C31" s="100">
        <v>11.15</v>
      </c>
      <c r="D31" s="100">
        <v>4.21</v>
      </c>
      <c r="E31" s="100">
        <v>4.5599999999999996</v>
      </c>
      <c r="F31" s="100">
        <v>2.1</v>
      </c>
      <c r="G31" s="100">
        <v>58.74</v>
      </c>
      <c r="H31" s="100">
        <v>35.56</v>
      </c>
      <c r="I31" s="100">
        <v>6.66</v>
      </c>
      <c r="J31" s="100">
        <v>0.24</v>
      </c>
      <c r="K31" s="100">
        <v>63.4</v>
      </c>
      <c r="L31" s="100">
        <v>25.3</v>
      </c>
      <c r="M31" s="100">
        <v>89.28</v>
      </c>
      <c r="N31" s="100">
        <v>15.1</v>
      </c>
      <c r="O31" s="100">
        <v>0</v>
      </c>
      <c r="P31" s="100">
        <v>0.6</v>
      </c>
      <c r="Q31" s="100">
        <v>9.9600000000000009</v>
      </c>
      <c r="R31" s="6"/>
      <c r="S31" s="6"/>
      <c r="T31" s="156"/>
      <c r="U31" s="6"/>
    </row>
    <row r="32" spans="1:21" customFormat="1">
      <c r="A32" s="163" t="s">
        <v>1223</v>
      </c>
      <c r="B32" s="100">
        <v>7.16</v>
      </c>
      <c r="C32" s="100">
        <v>11.35</v>
      </c>
      <c r="D32" s="100">
        <v>4.18</v>
      </c>
      <c r="E32" s="100">
        <v>4.38</v>
      </c>
      <c r="F32" s="100">
        <v>2.12</v>
      </c>
      <c r="G32" s="100">
        <v>58.74</v>
      </c>
      <c r="H32" s="100">
        <v>35.56</v>
      </c>
      <c r="I32" s="100">
        <v>6.7</v>
      </c>
      <c r="J32" s="100">
        <v>0.44</v>
      </c>
      <c r="K32" s="100">
        <v>47.48</v>
      </c>
      <c r="L32" s="100">
        <v>25.48</v>
      </c>
      <c r="M32" s="100">
        <v>88.14</v>
      </c>
      <c r="N32" s="100">
        <v>27.1</v>
      </c>
      <c r="O32" s="100">
        <v>0</v>
      </c>
      <c r="P32" s="100">
        <v>0.63</v>
      </c>
      <c r="Q32" s="100">
        <v>9.9499999999999993</v>
      </c>
      <c r="R32" s="6"/>
      <c r="S32" s="6"/>
      <c r="T32" s="156"/>
      <c r="U32" s="6"/>
    </row>
    <row r="33" spans="1:21" customFormat="1">
      <c r="A33" s="163" t="s">
        <v>1224</v>
      </c>
      <c r="B33" s="100">
        <v>8.74</v>
      </c>
      <c r="C33" s="100">
        <v>14.16</v>
      </c>
      <c r="D33" s="100">
        <v>5.42</v>
      </c>
      <c r="E33" s="100">
        <v>4.6399999999999997</v>
      </c>
      <c r="F33" s="100">
        <v>2.1</v>
      </c>
      <c r="G33" s="100">
        <v>60.91</v>
      </c>
      <c r="H33" s="100">
        <v>35.26</v>
      </c>
      <c r="I33" s="100">
        <v>6.61</v>
      </c>
      <c r="J33" s="100">
        <v>0.09</v>
      </c>
      <c r="K33" s="100">
        <v>25.32</v>
      </c>
      <c r="L33" s="100">
        <v>25.72</v>
      </c>
      <c r="M33" s="100">
        <v>88.29</v>
      </c>
      <c r="N33" s="100">
        <v>38</v>
      </c>
      <c r="O33" s="100">
        <v>0</v>
      </c>
      <c r="P33" s="100">
        <v>0.65</v>
      </c>
      <c r="Q33" s="100">
        <v>9.9700000000000006</v>
      </c>
      <c r="R33" s="6"/>
      <c r="S33" s="6"/>
      <c r="T33" s="156"/>
      <c r="U33" s="6"/>
    </row>
    <row r="34" spans="1:21" customFormat="1">
      <c r="A34" s="163" t="s">
        <v>1225</v>
      </c>
      <c r="B34" s="100">
        <v>8.41</v>
      </c>
      <c r="C34" s="100">
        <v>12.91</v>
      </c>
      <c r="D34" s="100">
        <v>4.5</v>
      </c>
      <c r="E34" s="100">
        <v>4.5599999999999996</v>
      </c>
      <c r="F34" s="100">
        <v>2.1</v>
      </c>
      <c r="G34" s="100">
        <v>63.63</v>
      </c>
      <c r="H34" s="100">
        <v>34.76</v>
      </c>
      <c r="I34" s="100">
        <v>6.87</v>
      </c>
      <c r="J34" s="100">
        <v>0.25</v>
      </c>
      <c r="K34" s="100">
        <v>41.27</v>
      </c>
      <c r="L34" s="100">
        <v>26</v>
      </c>
      <c r="M34" s="100">
        <v>87.68</v>
      </c>
      <c r="N34" s="100">
        <v>53.6</v>
      </c>
      <c r="O34" s="100">
        <v>0</v>
      </c>
      <c r="P34" s="100">
        <v>0.65</v>
      </c>
      <c r="Q34" s="100">
        <v>9.9700000000000006</v>
      </c>
      <c r="R34" s="6"/>
      <c r="S34" s="6"/>
      <c r="T34" s="156"/>
      <c r="U34" s="6"/>
    </row>
    <row r="35" spans="1:21" customFormat="1">
      <c r="A35" s="163" t="s">
        <v>1226</v>
      </c>
      <c r="B35" s="100">
        <v>8.3800000000000008</v>
      </c>
      <c r="C35" s="100">
        <v>12.9</v>
      </c>
      <c r="D35" s="100">
        <v>4.5199999999999996</v>
      </c>
      <c r="E35" s="100">
        <v>4.8</v>
      </c>
      <c r="F35" s="100">
        <v>2.1</v>
      </c>
      <c r="G35" s="100">
        <v>63.63</v>
      </c>
      <c r="H35" s="100">
        <v>34.76</v>
      </c>
      <c r="I35" s="100">
        <v>6.84</v>
      </c>
      <c r="J35" s="100">
        <v>0.34</v>
      </c>
      <c r="K35" s="100">
        <v>53.88</v>
      </c>
      <c r="L35" s="100">
        <v>26.32</v>
      </c>
      <c r="M35" s="100">
        <v>83.86</v>
      </c>
      <c r="N35" s="100">
        <v>72.400000000000006</v>
      </c>
      <c r="O35" s="100">
        <v>0</v>
      </c>
      <c r="P35" s="100">
        <v>0.65</v>
      </c>
      <c r="Q35" s="100">
        <v>9.98</v>
      </c>
      <c r="R35" s="6"/>
      <c r="S35" s="6"/>
      <c r="T35" s="156"/>
      <c r="U35" s="6"/>
    </row>
    <row r="36" spans="1:21" customFormat="1">
      <c r="A36" s="163" t="s">
        <v>1227</v>
      </c>
      <c r="B36" s="100">
        <v>8.4499999999999993</v>
      </c>
      <c r="C36" s="100">
        <v>12.87</v>
      </c>
      <c r="D36" s="100">
        <v>4.42</v>
      </c>
      <c r="E36" s="100">
        <v>4.72</v>
      </c>
      <c r="F36" s="100">
        <v>2.23</v>
      </c>
      <c r="G36" s="100">
        <v>63.63</v>
      </c>
      <c r="H36" s="100">
        <v>34.76</v>
      </c>
      <c r="I36" s="100">
        <v>6.93</v>
      </c>
      <c r="J36" s="100">
        <v>0.42</v>
      </c>
      <c r="K36" s="100">
        <v>38.28</v>
      </c>
      <c r="L36" s="100">
        <v>26.8</v>
      </c>
      <c r="M36" s="100">
        <v>82.82</v>
      </c>
      <c r="N36" s="100">
        <v>86.9</v>
      </c>
      <c r="O36" s="100">
        <v>0</v>
      </c>
      <c r="P36" s="100">
        <v>0.65</v>
      </c>
      <c r="Q36" s="100">
        <v>9.98</v>
      </c>
      <c r="R36" s="6"/>
      <c r="S36" s="6"/>
      <c r="T36" s="156"/>
      <c r="U36" s="6"/>
    </row>
    <row r="37" spans="1:21" customFormat="1">
      <c r="A37" s="163" t="s">
        <v>1228</v>
      </c>
      <c r="B37" s="100">
        <v>8.3800000000000008</v>
      </c>
      <c r="C37" s="100">
        <v>12.94</v>
      </c>
      <c r="D37" s="100">
        <v>4.5599999999999996</v>
      </c>
      <c r="E37" s="100">
        <v>4.72</v>
      </c>
      <c r="F37" s="100">
        <v>2.82</v>
      </c>
      <c r="G37" s="100">
        <v>62.91</v>
      </c>
      <c r="H37" s="100">
        <v>35.56</v>
      </c>
      <c r="I37" s="100">
        <v>6.97</v>
      </c>
      <c r="J37" s="100">
        <v>0.71</v>
      </c>
      <c r="K37" s="100">
        <v>44.87</v>
      </c>
      <c r="L37" s="100">
        <v>27.09</v>
      </c>
      <c r="M37" s="100">
        <v>81.75</v>
      </c>
      <c r="N37" s="100">
        <v>104.1</v>
      </c>
      <c r="O37" s="100">
        <v>0</v>
      </c>
      <c r="P37" s="100">
        <v>0.66</v>
      </c>
      <c r="Q37" s="100">
        <v>9.99</v>
      </c>
      <c r="R37" s="6"/>
      <c r="S37" s="6"/>
      <c r="T37" s="156"/>
      <c r="U37" s="6"/>
    </row>
    <row r="38" spans="1:21" customFormat="1">
      <c r="A38" s="163" t="s">
        <v>1229</v>
      </c>
      <c r="B38" s="100">
        <v>8.3800000000000008</v>
      </c>
      <c r="C38" s="100">
        <v>13.88</v>
      </c>
      <c r="D38" s="100">
        <v>5.51</v>
      </c>
      <c r="E38" s="100">
        <v>5.0199999999999996</v>
      </c>
      <c r="F38" s="100">
        <v>2.62</v>
      </c>
      <c r="G38" s="100">
        <v>61.97</v>
      </c>
      <c r="H38" s="100">
        <v>36.119999999999997</v>
      </c>
      <c r="I38" s="100">
        <v>6.91</v>
      </c>
      <c r="J38" s="100">
        <v>0.47</v>
      </c>
      <c r="K38" s="100">
        <v>51.22</v>
      </c>
      <c r="L38" s="100">
        <v>27.68</v>
      </c>
      <c r="M38" s="100">
        <v>79.94</v>
      </c>
      <c r="N38" s="100">
        <v>120.5</v>
      </c>
      <c r="O38" s="100">
        <v>0</v>
      </c>
      <c r="P38" s="100">
        <v>0.62</v>
      </c>
      <c r="Q38" s="100">
        <v>9.99</v>
      </c>
      <c r="R38" s="6"/>
      <c r="S38" s="6"/>
      <c r="T38" s="156"/>
      <c r="U38" s="6"/>
    </row>
    <row r="39" spans="1:21" customFormat="1">
      <c r="A39" s="163" t="s">
        <v>1230</v>
      </c>
      <c r="B39" s="100">
        <v>8.26</v>
      </c>
      <c r="C39" s="100">
        <v>14.3</v>
      </c>
      <c r="D39" s="100">
        <v>6.04</v>
      </c>
      <c r="E39" s="100">
        <v>4.91</v>
      </c>
      <c r="F39" s="100">
        <v>2.37</v>
      </c>
      <c r="G39" s="100">
        <v>61.97</v>
      </c>
      <c r="H39" s="100">
        <v>36.119999999999997</v>
      </c>
      <c r="I39" s="100">
        <v>7</v>
      </c>
      <c r="J39" s="100">
        <v>0.47</v>
      </c>
      <c r="K39" s="100">
        <v>51.72</v>
      </c>
      <c r="L39" s="100">
        <v>28.17</v>
      </c>
      <c r="M39" s="100">
        <v>78.48</v>
      </c>
      <c r="N39" s="100">
        <v>121.8</v>
      </c>
      <c r="O39" s="100">
        <v>0</v>
      </c>
      <c r="P39" s="100">
        <v>0.62</v>
      </c>
      <c r="Q39" s="100">
        <v>9.9700000000000006</v>
      </c>
      <c r="R39" s="6"/>
      <c r="S39" s="6"/>
      <c r="T39" s="156"/>
      <c r="U39" s="6"/>
    </row>
    <row r="40" spans="1:21" customFormat="1">
      <c r="A40" s="163" t="s">
        <v>1231</v>
      </c>
      <c r="B40" s="100">
        <v>7.94</v>
      </c>
      <c r="C40" s="100">
        <v>14.2</v>
      </c>
      <c r="D40" s="100">
        <v>6.26</v>
      </c>
      <c r="E40" s="100">
        <v>4.84</v>
      </c>
      <c r="F40" s="100">
        <v>2.48</v>
      </c>
      <c r="G40" s="100">
        <v>61.97</v>
      </c>
      <c r="H40" s="100">
        <v>36.119999999999997</v>
      </c>
      <c r="I40" s="100">
        <v>7.01</v>
      </c>
      <c r="J40" s="100">
        <v>0.52</v>
      </c>
      <c r="K40" s="100">
        <v>47.19</v>
      </c>
      <c r="L40" s="100">
        <v>28.94</v>
      </c>
      <c r="M40" s="100">
        <v>75.13</v>
      </c>
      <c r="N40" s="100">
        <v>144.5</v>
      </c>
      <c r="O40" s="100">
        <v>0</v>
      </c>
      <c r="P40" s="100">
        <v>0.62</v>
      </c>
      <c r="Q40" s="100">
        <v>9.9600000000000009</v>
      </c>
      <c r="R40" s="6"/>
      <c r="S40" s="6"/>
      <c r="T40" s="156"/>
      <c r="U40" s="6"/>
    </row>
    <row r="41" spans="1:21" customFormat="1">
      <c r="A41" s="163" t="s">
        <v>1232</v>
      </c>
      <c r="B41" s="100">
        <v>7.47</v>
      </c>
      <c r="C41" s="100">
        <v>13.91</v>
      </c>
      <c r="D41" s="100">
        <v>6.43</v>
      </c>
      <c r="E41" s="100">
        <v>5.19</v>
      </c>
      <c r="F41" s="100">
        <v>2.6</v>
      </c>
      <c r="G41" s="100">
        <v>62.61</v>
      </c>
      <c r="H41" s="100">
        <v>35.92</v>
      </c>
      <c r="I41" s="100">
        <v>7.02</v>
      </c>
      <c r="J41" s="100">
        <v>0.71</v>
      </c>
      <c r="K41" s="100">
        <v>56.37</v>
      </c>
      <c r="L41" s="100">
        <v>29.37</v>
      </c>
      <c r="M41" s="100">
        <v>73.819999999999993</v>
      </c>
      <c r="N41" s="100">
        <v>158.4</v>
      </c>
      <c r="O41" s="100">
        <v>0</v>
      </c>
      <c r="P41" s="100">
        <v>0.61</v>
      </c>
      <c r="Q41" s="100">
        <v>9.9700000000000006</v>
      </c>
      <c r="R41" s="6"/>
      <c r="S41" s="6"/>
      <c r="T41" s="156"/>
      <c r="U41" s="6"/>
    </row>
    <row r="42" spans="1:21" customFormat="1">
      <c r="A42" s="163" t="s">
        <v>1233</v>
      </c>
      <c r="B42" s="100">
        <v>6.96</v>
      </c>
      <c r="C42" s="100">
        <v>13.67</v>
      </c>
      <c r="D42" s="100">
        <v>6.7</v>
      </c>
      <c r="E42" s="100">
        <v>4.8899999999999997</v>
      </c>
      <c r="F42" s="100">
        <v>2.78</v>
      </c>
      <c r="G42" s="100">
        <v>63.45</v>
      </c>
      <c r="H42" s="100">
        <v>35.78</v>
      </c>
      <c r="I42" s="100">
        <v>7.03</v>
      </c>
      <c r="J42" s="100">
        <v>0.43</v>
      </c>
      <c r="K42" s="100">
        <v>88.83</v>
      </c>
      <c r="L42" s="100">
        <v>30.1</v>
      </c>
      <c r="M42" s="100">
        <v>71.73</v>
      </c>
      <c r="N42" s="100">
        <v>169.4</v>
      </c>
      <c r="O42" s="100">
        <v>0</v>
      </c>
      <c r="P42" s="100">
        <v>0.6</v>
      </c>
      <c r="Q42" s="100">
        <v>9.9700000000000006</v>
      </c>
      <c r="R42" s="6"/>
      <c r="S42" s="6"/>
      <c r="T42" s="156"/>
      <c r="U42" s="6"/>
    </row>
    <row r="43" spans="1:21" customFormat="1">
      <c r="A43" s="163" t="s">
        <v>1234</v>
      </c>
      <c r="B43" s="100">
        <v>6.34</v>
      </c>
      <c r="C43" s="100">
        <v>13.08</v>
      </c>
      <c r="D43" s="100">
        <v>6.74</v>
      </c>
      <c r="E43" s="100">
        <v>5.25</v>
      </c>
      <c r="F43" s="100">
        <v>2.74</v>
      </c>
      <c r="G43" s="100">
        <v>63.45</v>
      </c>
      <c r="H43" s="100">
        <v>35.78</v>
      </c>
      <c r="I43" s="100">
        <v>6.87</v>
      </c>
      <c r="J43" s="100">
        <v>0.37</v>
      </c>
      <c r="K43" s="100">
        <v>82.67</v>
      </c>
      <c r="L43" s="100">
        <v>30.76</v>
      </c>
      <c r="M43" s="100">
        <v>70.17</v>
      </c>
      <c r="N43" s="100">
        <v>173.9</v>
      </c>
      <c r="O43" s="100">
        <v>0</v>
      </c>
      <c r="P43" s="100">
        <v>0.59</v>
      </c>
      <c r="Q43" s="100">
        <v>9.9600000000000009</v>
      </c>
      <c r="R43" s="6"/>
      <c r="S43" s="6"/>
      <c r="T43" s="156"/>
      <c r="U43" s="6"/>
    </row>
    <row r="44" spans="1:21" customFormat="1">
      <c r="A44" s="163" t="s">
        <v>1235</v>
      </c>
      <c r="B44" s="100">
        <v>5.7</v>
      </c>
      <c r="C44" s="100">
        <v>12.47</v>
      </c>
      <c r="D44" s="100">
        <v>6.77</v>
      </c>
      <c r="E44" s="100">
        <v>5.08</v>
      </c>
      <c r="F44" s="100">
        <v>2.96</v>
      </c>
      <c r="G44" s="100">
        <v>63.45</v>
      </c>
      <c r="H44" s="100">
        <v>35.78</v>
      </c>
      <c r="I44" s="100">
        <v>6.76</v>
      </c>
      <c r="J44" s="100">
        <v>0.75</v>
      </c>
      <c r="K44" s="100">
        <v>50.89</v>
      </c>
      <c r="L44" s="100">
        <v>31.19</v>
      </c>
      <c r="M44" s="100">
        <v>68.36</v>
      </c>
      <c r="N44" s="100">
        <v>182.6</v>
      </c>
      <c r="O44" s="100">
        <v>0</v>
      </c>
      <c r="P44" s="100">
        <v>0.59</v>
      </c>
      <c r="Q44" s="100">
        <v>9.9700000000000006</v>
      </c>
      <c r="R44" s="6"/>
      <c r="S44" s="6"/>
      <c r="T44" s="156"/>
      <c r="U44" s="6"/>
    </row>
    <row r="45" spans="1:21" customFormat="1">
      <c r="A45" s="163" t="s">
        <v>1236</v>
      </c>
      <c r="B45" s="100">
        <v>5.17</v>
      </c>
      <c r="C45" s="100">
        <v>11.76</v>
      </c>
      <c r="D45" s="100">
        <v>6.59</v>
      </c>
      <c r="E45" s="100">
        <v>4.99</v>
      </c>
      <c r="F45" s="100">
        <v>3.38</v>
      </c>
      <c r="G45" s="100">
        <v>63.15</v>
      </c>
      <c r="H45" s="100">
        <v>36.36</v>
      </c>
      <c r="I45" s="100">
        <v>6.67</v>
      </c>
      <c r="J45" s="100">
        <v>0.34</v>
      </c>
      <c r="K45" s="100">
        <v>68.34</v>
      </c>
      <c r="L45" s="100">
        <v>31.73</v>
      </c>
      <c r="M45" s="100">
        <v>66.599999999999994</v>
      </c>
      <c r="N45" s="100">
        <v>190.8</v>
      </c>
      <c r="O45" s="100">
        <v>0</v>
      </c>
      <c r="P45" s="100">
        <v>0.57999999999999996</v>
      </c>
      <c r="Q45" s="100">
        <v>9.9600000000000009</v>
      </c>
      <c r="R45" s="6"/>
      <c r="S45" s="6"/>
      <c r="T45" s="156"/>
      <c r="U45" s="6"/>
    </row>
    <row r="46" spans="1:21" customFormat="1">
      <c r="A46" s="163" t="s">
        <v>1237</v>
      </c>
      <c r="B46" s="100">
        <v>4.7699999999999996</v>
      </c>
      <c r="C46" s="100">
        <v>11.45</v>
      </c>
      <c r="D46" s="100">
        <v>6.67</v>
      </c>
      <c r="E46" s="100">
        <v>5.33</v>
      </c>
      <c r="F46" s="100">
        <v>4.24</v>
      </c>
      <c r="G46" s="100">
        <v>62.76</v>
      </c>
      <c r="H46" s="100">
        <v>36.76</v>
      </c>
      <c r="I46" s="100">
        <v>6.61</v>
      </c>
      <c r="J46" s="100">
        <v>0.5</v>
      </c>
      <c r="K46" s="100">
        <v>60.76</v>
      </c>
      <c r="L46" s="100">
        <v>32.590000000000003</v>
      </c>
      <c r="M46" s="100">
        <v>63.16</v>
      </c>
      <c r="N46" s="100">
        <v>217.9</v>
      </c>
      <c r="O46" s="100">
        <v>0</v>
      </c>
      <c r="P46" s="100">
        <v>0.56000000000000005</v>
      </c>
      <c r="Q46" s="100">
        <v>9.9499999999999993</v>
      </c>
      <c r="R46" s="6"/>
      <c r="S46" s="6"/>
      <c r="T46" s="156"/>
      <c r="U46" s="6"/>
    </row>
    <row r="47" spans="1:21" customFormat="1">
      <c r="A47" s="163" t="s">
        <v>1238</v>
      </c>
      <c r="B47" s="100">
        <v>4.3600000000000003</v>
      </c>
      <c r="C47" s="100">
        <v>10.66</v>
      </c>
      <c r="D47" s="100">
        <v>6.3</v>
      </c>
      <c r="E47" s="100">
        <v>5.03</v>
      </c>
      <c r="F47" s="100">
        <v>3.28</v>
      </c>
      <c r="G47" s="100">
        <v>62.76</v>
      </c>
      <c r="H47" s="100">
        <v>36.76</v>
      </c>
      <c r="I47" s="100">
        <v>6.48</v>
      </c>
      <c r="J47" s="100">
        <v>0.17</v>
      </c>
      <c r="K47" s="100">
        <v>110.15</v>
      </c>
      <c r="L47" s="100">
        <v>32.08</v>
      </c>
      <c r="M47" s="100">
        <v>64.52</v>
      </c>
      <c r="N47" s="100">
        <v>197.6</v>
      </c>
      <c r="O47" s="100">
        <v>0</v>
      </c>
      <c r="P47" s="100">
        <v>0.56000000000000005</v>
      </c>
      <c r="Q47" s="100">
        <v>9.9499999999999993</v>
      </c>
      <c r="R47" s="6"/>
      <c r="S47" s="6"/>
      <c r="T47" s="156"/>
      <c r="U47" s="6"/>
    </row>
    <row r="48" spans="1:21" customFormat="1">
      <c r="A48" s="163" t="s">
        <v>1239</v>
      </c>
      <c r="B48" s="100">
        <v>4.0599999999999996</v>
      </c>
      <c r="C48" s="100">
        <v>9.75</v>
      </c>
      <c r="D48" s="100">
        <v>5.69</v>
      </c>
      <c r="E48" s="100">
        <v>4.97</v>
      </c>
      <c r="F48" s="100">
        <v>5.27</v>
      </c>
      <c r="G48" s="100">
        <v>62.76</v>
      </c>
      <c r="H48" s="100">
        <v>36.76</v>
      </c>
      <c r="I48" s="100">
        <v>6.33</v>
      </c>
      <c r="J48" s="100">
        <v>0.32</v>
      </c>
      <c r="K48" s="100">
        <v>62.08</v>
      </c>
      <c r="L48" s="100">
        <v>32.33</v>
      </c>
      <c r="M48" s="100">
        <v>62.63</v>
      </c>
      <c r="N48" s="100">
        <v>201.3</v>
      </c>
      <c r="O48" s="100">
        <v>0</v>
      </c>
      <c r="P48" s="100">
        <v>0.54</v>
      </c>
      <c r="Q48" s="100">
        <v>9.9499999999999993</v>
      </c>
      <c r="R48" s="6"/>
      <c r="S48" s="6"/>
      <c r="T48" s="156"/>
      <c r="U48" s="6"/>
    </row>
    <row r="49" spans="1:21" customFormat="1">
      <c r="A49" s="163" t="s">
        <v>1240</v>
      </c>
      <c r="B49" s="100">
        <v>3.89</v>
      </c>
      <c r="C49" s="100">
        <v>9.5299999999999994</v>
      </c>
      <c r="D49" s="100">
        <v>5.65</v>
      </c>
      <c r="E49" s="100">
        <v>4.25</v>
      </c>
      <c r="F49" s="100">
        <v>6.92</v>
      </c>
      <c r="G49" s="100">
        <v>59.98</v>
      </c>
      <c r="H49" s="100">
        <v>33.729999999999997</v>
      </c>
      <c r="I49" s="100">
        <v>6.31</v>
      </c>
      <c r="J49" s="100">
        <v>0.43</v>
      </c>
      <c r="K49" s="100">
        <v>45.88</v>
      </c>
      <c r="L49" s="100">
        <v>32.799999999999997</v>
      </c>
      <c r="M49" s="100">
        <v>61.36</v>
      </c>
      <c r="N49" s="100">
        <v>249.7</v>
      </c>
      <c r="O49" s="100">
        <v>0</v>
      </c>
      <c r="P49" s="100">
        <v>0.54</v>
      </c>
      <c r="Q49" s="100">
        <v>9.94</v>
      </c>
      <c r="R49" s="6"/>
      <c r="S49" s="6"/>
      <c r="T49" s="156"/>
      <c r="U49" s="6"/>
    </row>
    <row r="50" spans="1:21" customFormat="1">
      <c r="A50" s="163" t="s">
        <v>1241</v>
      </c>
      <c r="B50" s="100">
        <v>3.95</v>
      </c>
      <c r="C50" s="100">
        <v>9.7100000000000009</v>
      </c>
      <c r="D50" s="100">
        <v>5.76</v>
      </c>
      <c r="E50" s="100">
        <v>5.44</v>
      </c>
      <c r="F50" s="100">
        <v>5.13</v>
      </c>
      <c r="G50" s="100">
        <v>56.5</v>
      </c>
      <c r="H50" s="100">
        <v>31.63</v>
      </c>
      <c r="I50" s="100">
        <v>6.07</v>
      </c>
      <c r="J50" s="100">
        <v>0.72</v>
      </c>
      <c r="K50" s="100">
        <v>34.11</v>
      </c>
      <c r="L50" s="100">
        <v>33.39</v>
      </c>
      <c r="M50" s="100">
        <v>59.97</v>
      </c>
      <c r="N50" s="100">
        <v>266.60000000000002</v>
      </c>
      <c r="O50" s="100">
        <v>0</v>
      </c>
      <c r="P50" s="100">
        <v>0.52</v>
      </c>
      <c r="Q50" s="100">
        <v>9.93</v>
      </c>
      <c r="R50" s="6"/>
      <c r="S50" s="6"/>
      <c r="T50" s="156"/>
      <c r="U50" s="6"/>
    </row>
    <row r="51" spans="1:21" customFormat="1">
      <c r="A51" s="163" t="s">
        <v>1242</v>
      </c>
      <c r="B51" s="100">
        <v>3.9</v>
      </c>
      <c r="C51" s="100">
        <v>9.36</v>
      </c>
      <c r="D51" s="100">
        <v>5.45</v>
      </c>
      <c r="E51" s="100">
        <v>5.45</v>
      </c>
      <c r="F51" s="100">
        <v>5.97</v>
      </c>
      <c r="G51" s="100">
        <v>56.5</v>
      </c>
      <c r="H51" s="100">
        <v>31.63</v>
      </c>
      <c r="I51" s="100">
        <v>5.93</v>
      </c>
      <c r="J51" s="100">
        <v>0.33</v>
      </c>
      <c r="K51" s="100">
        <v>81.650000000000006</v>
      </c>
      <c r="L51" s="100">
        <v>33.42</v>
      </c>
      <c r="M51" s="100">
        <v>58.73</v>
      </c>
      <c r="N51" s="100">
        <v>241.4</v>
      </c>
      <c r="O51" s="100">
        <v>0</v>
      </c>
      <c r="P51" s="100">
        <v>0.51</v>
      </c>
      <c r="Q51" s="100">
        <v>9.93</v>
      </c>
      <c r="R51" s="6"/>
      <c r="S51" s="6"/>
      <c r="T51" s="156"/>
      <c r="U51" s="6"/>
    </row>
    <row r="52" spans="1:21" customFormat="1">
      <c r="A52" s="163" t="s">
        <v>1243</v>
      </c>
      <c r="B52" s="100">
        <v>3.8</v>
      </c>
      <c r="C52" s="100">
        <v>9.23</v>
      </c>
      <c r="D52" s="100">
        <v>5.43</v>
      </c>
      <c r="E52" s="100">
        <v>5.44</v>
      </c>
      <c r="F52" s="100">
        <v>5.22</v>
      </c>
      <c r="G52" s="100">
        <v>56.5</v>
      </c>
      <c r="H52" s="100">
        <v>31.63</v>
      </c>
      <c r="I52" s="100">
        <v>5.92</v>
      </c>
      <c r="J52" s="100">
        <v>0.06</v>
      </c>
      <c r="K52" s="100">
        <v>327.73</v>
      </c>
      <c r="L52" s="100">
        <v>33.630000000000003</v>
      </c>
      <c r="M52" s="100">
        <v>57.82</v>
      </c>
      <c r="N52" s="100">
        <v>292.89999999999998</v>
      </c>
      <c r="O52" s="100">
        <v>0</v>
      </c>
      <c r="P52" s="100">
        <v>0.51</v>
      </c>
      <c r="Q52" s="100">
        <v>9.93</v>
      </c>
      <c r="R52" s="6"/>
      <c r="S52" s="6"/>
      <c r="T52" s="156"/>
      <c r="U52" s="6"/>
    </row>
    <row r="53" spans="1:21" customFormat="1">
      <c r="A53" s="163" t="s">
        <v>1244</v>
      </c>
      <c r="B53" s="100">
        <v>4.2699999999999996</v>
      </c>
      <c r="C53" s="100">
        <v>11</v>
      </c>
      <c r="D53" s="100">
        <v>6.73</v>
      </c>
      <c r="E53" s="100">
        <v>5.33</v>
      </c>
      <c r="F53" s="100">
        <v>7.24</v>
      </c>
      <c r="G53" s="100">
        <v>53.34</v>
      </c>
      <c r="H53" s="100">
        <v>29.96</v>
      </c>
      <c r="I53" s="100">
        <v>5.87</v>
      </c>
      <c r="J53" s="100">
        <v>0.98</v>
      </c>
      <c r="K53" s="100">
        <v>40.89</v>
      </c>
      <c r="L53" s="100">
        <v>33.840000000000003</v>
      </c>
      <c r="M53" s="100">
        <v>55.41</v>
      </c>
      <c r="N53" s="100">
        <v>307.39999999999998</v>
      </c>
      <c r="O53" s="100">
        <v>0</v>
      </c>
      <c r="P53" s="100">
        <v>0.5</v>
      </c>
      <c r="Q53" s="100">
        <v>9.92</v>
      </c>
      <c r="R53" s="6"/>
      <c r="S53" s="6"/>
      <c r="T53" s="156"/>
      <c r="U53" s="6"/>
    </row>
    <row r="54" spans="1:21" customFormat="1">
      <c r="A54" s="163" t="s">
        <v>1245</v>
      </c>
      <c r="B54" s="100">
        <v>3.84</v>
      </c>
      <c r="C54" s="100">
        <v>9.51</v>
      </c>
      <c r="D54" s="100">
        <v>5.67</v>
      </c>
      <c r="E54" s="100">
        <v>5.53</v>
      </c>
      <c r="F54" s="100">
        <v>6.92</v>
      </c>
      <c r="G54" s="100">
        <v>49.39</v>
      </c>
      <c r="H54" s="100">
        <v>28.81</v>
      </c>
      <c r="I54" s="100">
        <v>5.77</v>
      </c>
      <c r="J54" s="100">
        <v>0.42</v>
      </c>
      <c r="K54" s="100">
        <v>47.47</v>
      </c>
      <c r="L54" s="100">
        <v>34.090000000000003</v>
      </c>
      <c r="M54" s="100">
        <v>54.59</v>
      </c>
      <c r="N54" s="100">
        <v>307.8</v>
      </c>
      <c r="O54" s="100">
        <v>0</v>
      </c>
      <c r="P54" s="100">
        <v>0.49</v>
      </c>
      <c r="Q54" s="100">
        <v>9.92</v>
      </c>
      <c r="R54" s="6"/>
      <c r="S54" s="6"/>
      <c r="T54" s="156"/>
      <c r="U54" s="6"/>
    </row>
    <row r="55" spans="1:21" customFormat="1">
      <c r="A55" s="163" t="s">
        <v>1246</v>
      </c>
      <c r="B55" s="100">
        <v>3.81</v>
      </c>
      <c r="C55" s="100">
        <v>8.94</v>
      </c>
      <c r="D55" s="100">
        <v>5.13</v>
      </c>
      <c r="E55" s="100">
        <v>5.4</v>
      </c>
      <c r="F55" s="100">
        <v>7.83</v>
      </c>
      <c r="G55" s="100">
        <v>49.39</v>
      </c>
      <c r="H55" s="100">
        <v>28.81</v>
      </c>
      <c r="I55" s="100">
        <v>5.68</v>
      </c>
      <c r="J55" s="100">
        <v>0.78</v>
      </c>
      <c r="K55" s="100">
        <v>38.17</v>
      </c>
      <c r="L55" s="100">
        <v>34.35</v>
      </c>
      <c r="M55" s="100">
        <v>52.17</v>
      </c>
      <c r="N55" s="100">
        <v>321.7</v>
      </c>
      <c r="O55" s="100">
        <v>0</v>
      </c>
      <c r="P55" s="100">
        <v>0.48</v>
      </c>
      <c r="Q55" s="100">
        <v>9.93</v>
      </c>
      <c r="R55" s="6"/>
      <c r="S55" s="6"/>
      <c r="T55" s="156"/>
      <c r="U55" s="6"/>
    </row>
    <row r="56" spans="1:21" customFormat="1">
      <c r="A56" s="163" t="s">
        <v>1247</v>
      </c>
      <c r="B56" s="100">
        <v>3.7</v>
      </c>
      <c r="C56" s="100">
        <v>8.8699999999999992</v>
      </c>
      <c r="D56" s="100">
        <v>5.18</v>
      </c>
      <c r="E56" s="100">
        <v>5.44</v>
      </c>
      <c r="F56" s="100">
        <v>6.38</v>
      </c>
      <c r="G56" s="100">
        <v>49.39</v>
      </c>
      <c r="H56" s="100">
        <v>28.81</v>
      </c>
      <c r="I56" s="100">
        <v>5.54</v>
      </c>
      <c r="J56" s="100">
        <v>0.19</v>
      </c>
      <c r="K56" s="100">
        <v>199.38</v>
      </c>
      <c r="L56" s="100">
        <v>35.1</v>
      </c>
      <c r="M56" s="100">
        <v>53.54</v>
      </c>
      <c r="N56" s="100">
        <v>518.79999999999995</v>
      </c>
      <c r="O56" s="100">
        <v>0</v>
      </c>
      <c r="P56" s="100">
        <v>0.48</v>
      </c>
      <c r="Q56" s="100">
        <v>9.92</v>
      </c>
      <c r="R56" s="6"/>
      <c r="S56" s="6"/>
      <c r="T56" s="156"/>
      <c r="U56" s="6"/>
    </row>
    <row r="57" spans="1:21" customFormat="1">
      <c r="A57" s="163" t="s">
        <v>1248</v>
      </c>
      <c r="B57" s="100">
        <v>3.62</v>
      </c>
      <c r="C57" s="100">
        <v>8.14</v>
      </c>
      <c r="D57" s="100">
        <v>4.5199999999999996</v>
      </c>
      <c r="E57" s="100">
        <v>5.22</v>
      </c>
      <c r="F57" s="100">
        <v>12.36</v>
      </c>
      <c r="G57" s="100">
        <v>49.3</v>
      </c>
      <c r="H57" s="100">
        <v>29.76</v>
      </c>
      <c r="I57" s="100">
        <v>5.51</v>
      </c>
      <c r="J57" s="100">
        <v>0.36</v>
      </c>
      <c r="K57" s="100">
        <v>88.41</v>
      </c>
      <c r="L57" s="100">
        <v>35.799999999999997</v>
      </c>
      <c r="M57" s="100">
        <v>50.28</v>
      </c>
      <c r="N57" s="100">
        <v>814.9</v>
      </c>
      <c r="O57" s="100">
        <v>0</v>
      </c>
      <c r="P57" s="100">
        <v>0.45</v>
      </c>
      <c r="Q57" s="100">
        <v>9.92</v>
      </c>
      <c r="R57" s="6"/>
      <c r="S57" s="6"/>
      <c r="T57" s="156"/>
      <c r="U57" s="6"/>
    </row>
    <row r="58" spans="1:21" customFormat="1">
      <c r="A58" s="163" t="s">
        <v>1249</v>
      </c>
      <c r="B58" s="100">
        <v>3.63</v>
      </c>
      <c r="C58" s="100">
        <v>8.19</v>
      </c>
      <c r="D58" s="100">
        <v>4.5599999999999996</v>
      </c>
      <c r="E58" s="100">
        <v>5.66</v>
      </c>
      <c r="F58" s="100">
        <v>13.17</v>
      </c>
      <c r="G58" s="100">
        <v>49.17</v>
      </c>
      <c r="H58" s="100">
        <v>31.27</v>
      </c>
      <c r="I58" s="100">
        <v>5.37</v>
      </c>
      <c r="J58" s="100">
        <v>0.31</v>
      </c>
      <c r="K58" s="100">
        <v>125.83</v>
      </c>
      <c r="L58" s="100">
        <v>35.799999999999997</v>
      </c>
      <c r="M58" s="100">
        <v>50.05</v>
      </c>
      <c r="N58" s="100">
        <v>672.8</v>
      </c>
      <c r="O58" s="100">
        <v>0</v>
      </c>
      <c r="P58" s="100">
        <v>0.5</v>
      </c>
      <c r="Q58" s="100">
        <v>9.92</v>
      </c>
      <c r="R58" s="6"/>
      <c r="S58" s="6"/>
      <c r="T58" s="156"/>
      <c r="U58" s="6"/>
    </row>
    <row r="59" spans="1:21" customFormat="1">
      <c r="A59" s="163" t="s">
        <v>1250</v>
      </c>
      <c r="B59" s="100">
        <v>3.7</v>
      </c>
      <c r="C59" s="100">
        <v>8.01</v>
      </c>
      <c r="D59" s="100">
        <v>4.3099999999999996</v>
      </c>
      <c r="E59" s="100">
        <v>5.7</v>
      </c>
      <c r="F59" s="100">
        <v>14.39</v>
      </c>
      <c r="G59" s="100">
        <v>49.17</v>
      </c>
      <c r="H59" s="100">
        <v>31.27</v>
      </c>
      <c r="I59" s="100">
        <v>5.23</v>
      </c>
      <c r="J59" s="100">
        <v>0.43</v>
      </c>
      <c r="K59" s="100">
        <v>67.260000000000005</v>
      </c>
      <c r="L59" s="100">
        <v>35.659999999999997</v>
      </c>
      <c r="M59" s="100">
        <v>49.92</v>
      </c>
      <c r="N59" s="100">
        <v>736.1</v>
      </c>
      <c r="O59" s="100">
        <v>0</v>
      </c>
      <c r="P59" s="100">
        <v>0.52</v>
      </c>
      <c r="Q59" s="100">
        <v>9.91</v>
      </c>
      <c r="R59" s="6"/>
      <c r="S59" s="6"/>
      <c r="T59" s="156"/>
      <c r="U59" s="6"/>
    </row>
    <row r="60" spans="1:21" customFormat="1">
      <c r="A60" s="163" t="s">
        <v>1251</v>
      </c>
      <c r="B60" s="100">
        <v>3.75</v>
      </c>
      <c r="C60" s="100">
        <v>7.85</v>
      </c>
      <c r="D60" s="100">
        <v>4.0999999999999996</v>
      </c>
      <c r="E60" s="100">
        <v>6.03</v>
      </c>
      <c r="F60" s="100">
        <v>13.99</v>
      </c>
      <c r="G60" s="100">
        <v>49.17</v>
      </c>
      <c r="H60" s="100">
        <v>31.27</v>
      </c>
      <c r="I60" s="100">
        <v>5.09</v>
      </c>
      <c r="J60" s="100">
        <v>0.13</v>
      </c>
      <c r="K60" s="100">
        <v>174.42</v>
      </c>
      <c r="L60" s="100">
        <v>35.869999999999997</v>
      </c>
      <c r="M60" s="100">
        <v>49.05</v>
      </c>
      <c r="N60" s="100">
        <v>729.2</v>
      </c>
      <c r="O60" s="100">
        <v>0</v>
      </c>
      <c r="P60" s="100">
        <v>0.52</v>
      </c>
      <c r="Q60" s="100">
        <v>9.93</v>
      </c>
      <c r="R60" s="6"/>
      <c r="S60" s="6"/>
      <c r="T60" s="156"/>
      <c r="U60" s="6"/>
    </row>
    <row r="61" spans="1:21" customFormat="1">
      <c r="A61" s="163" t="s">
        <v>1252</v>
      </c>
      <c r="B61" s="100">
        <v>3.93</v>
      </c>
      <c r="C61" s="100">
        <v>8.3699999999999992</v>
      </c>
      <c r="D61" s="100">
        <v>4.43</v>
      </c>
      <c r="E61" s="100">
        <v>5.66</v>
      </c>
      <c r="F61" s="100">
        <v>19.829999999999998</v>
      </c>
      <c r="G61" s="100">
        <v>47.69</v>
      </c>
      <c r="H61" s="100">
        <v>30.17</v>
      </c>
      <c r="I61" s="100">
        <v>5.1100000000000003</v>
      </c>
      <c r="J61" s="100">
        <v>0.71</v>
      </c>
      <c r="K61" s="100">
        <v>27.85</v>
      </c>
      <c r="L61" s="100">
        <v>35.78</v>
      </c>
      <c r="M61" s="100">
        <v>47.43</v>
      </c>
      <c r="N61" s="100">
        <v>614.29999999999995</v>
      </c>
      <c r="O61" s="100">
        <v>0</v>
      </c>
      <c r="P61" s="100">
        <v>0.53</v>
      </c>
      <c r="Q61" s="100">
        <v>9.92</v>
      </c>
      <c r="R61" s="6"/>
      <c r="S61" s="6"/>
      <c r="T61" s="156"/>
      <c r="U61" s="6"/>
    </row>
    <row r="62" spans="1:21" customFormat="1">
      <c r="A62" s="163" t="s">
        <v>1253</v>
      </c>
      <c r="B62" s="100">
        <v>4.18</v>
      </c>
      <c r="C62" s="100">
        <v>9.24</v>
      </c>
      <c r="D62" s="100">
        <v>5.0599999999999996</v>
      </c>
      <c r="E62" s="100">
        <v>4.9800000000000004</v>
      </c>
      <c r="F62" s="100">
        <v>15.77</v>
      </c>
      <c r="G62" s="100">
        <v>45.83</v>
      </c>
      <c r="H62" s="100">
        <v>29.43</v>
      </c>
      <c r="I62" s="100">
        <v>5.12</v>
      </c>
      <c r="J62" s="100">
        <v>1.02</v>
      </c>
      <c r="K62" s="100">
        <v>39.15</v>
      </c>
      <c r="L62" s="100">
        <v>35.15</v>
      </c>
      <c r="M62" s="100">
        <v>48.89</v>
      </c>
      <c r="N62" s="100">
        <v>389.9</v>
      </c>
      <c r="O62" s="100">
        <v>0</v>
      </c>
      <c r="P62" s="100">
        <v>0.53</v>
      </c>
      <c r="Q62" s="100">
        <v>9.92</v>
      </c>
      <c r="R62" s="6"/>
      <c r="S62" s="6"/>
      <c r="T62" s="156"/>
      <c r="U62" s="6"/>
    </row>
    <row r="63" spans="1:21" customFormat="1">
      <c r="A63" s="163" t="s">
        <v>1254</v>
      </c>
      <c r="B63" s="100">
        <v>4.32</v>
      </c>
      <c r="C63" s="100">
        <v>10.050000000000001</v>
      </c>
      <c r="D63" s="100">
        <v>5.72</v>
      </c>
      <c r="E63" s="100">
        <v>4.4400000000000004</v>
      </c>
      <c r="F63" s="100">
        <v>20.14</v>
      </c>
      <c r="G63" s="100">
        <v>45.83</v>
      </c>
      <c r="H63" s="100">
        <v>29.43</v>
      </c>
      <c r="I63" s="100">
        <v>5.03</v>
      </c>
      <c r="J63" s="100">
        <v>0.69</v>
      </c>
      <c r="K63" s="100">
        <v>16.09</v>
      </c>
      <c r="L63" s="100">
        <v>35.200000000000003</v>
      </c>
      <c r="M63" s="100">
        <v>50.34</v>
      </c>
      <c r="N63" s="100">
        <v>546.79999999999995</v>
      </c>
      <c r="O63" s="100">
        <v>0</v>
      </c>
      <c r="P63" s="100">
        <v>0.53</v>
      </c>
      <c r="Q63" s="100">
        <v>9.92</v>
      </c>
      <c r="R63" s="6"/>
      <c r="S63" s="6"/>
      <c r="T63" s="156"/>
      <c r="U63" s="6"/>
    </row>
    <row r="64" spans="1:21" customFormat="1">
      <c r="A64" s="163" t="s">
        <v>1255</v>
      </c>
      <c r="B64" s="100">
        <v>4.2699999999999996</v>
      </c>
      <c r="C64" s="100">
        <v>9.7200000000000006</v>
      </c>
      <c r="D64" s="100">
        <v>5.45</v>
      </c>
      <c r="E64" s="100">
        <v>4.4000000000000004</v>
      </c>
      <c r="F64" s="100">
        <v>17.86</v>
      </c>
      <c r="G64" s="100">
        <v>45.83</v>
      </c>
      <c r="H64" s="100">
        <v>29.43</v>
      </c>
      <c r="I64" s="100">
        <v>5.15</v>
      </c>
      <c r="J64" s="100">
        <v>0.54</v>
      </c>
      <c r="K64" s="100">
        <v>359.08</v>
      </c>
      <c r="L64" s="100">
        <v>35.42</v>
      </c>
      <c r="M64" s="100">
        <v>49.25</v>
      </c>
      <c r="N64" s="100">
        <v>478.3</v>
      </c>
      <c r="O64" s="100">
        <v>0</v>
      </c>
      <c r="P64" s="100">
        <v>0.53</v>
      </c>
      <c r="Q64" s="100">
        <v>9.9499999999999993</v>
      </c>
      <c r="R64" s="6"/>
      <c r="S64" s="6"/>
      <c r="T64" s="156"/>
      <c r="U64" s="6"/>
    </row>
    <row r="65" spans="1:21" customFormat="1">
      <c r="A65" s="163" t="s">
        <v>1256</v>
      </c>
      <c r="B65" s="100">
        <v>5.25</v>
      </c>
      <c r="C65" s="100">
        <v>11.14</v>
      </c>
      <c r="D65" s="100">
        <v>5.89</v>
      </c>
      <c r="E65" s="100">
        <v>3.85</v>
      </c>
      <c r="F65" s="100">
        <v>21.23</v>
      </c>
      <c r="G65" s="100">
        <v>45.31</v>
      </c>
      <c r="H65" s="100">
        <v>29.02</v>
      </c>
      <c r="I65" s="100">
        <v>5.1100000000000003</v>
      </c>
      <c r="J65" s="100">
        <v>0.91</v>
      </c>
      <c r="K65" s="100">
        <v>26.49</v>
      </c>
      <c r="L65" s="100">
        <v>35.229999999999997</v>
      </c>
      <c r="M65" s="100">
        <v>49.42</v>
      </c>
      <c r="N65" s="100">
        <v>328.2</v>
      </c>
      <c r="O65" s="100">
        <v>0</v>
      </c>
      <c r="P65" s="100">
        <v>0.43</v>
      </c>
      <c r="Q65" s="100">
        <v>9.93</v>
      </c>
      <c r="R65" s="6"/>
      <c r="S65" s="6"/>
      <c r="T65" s="156"/>
      <c r="U65" s="6"/>
    </row>
    <row r="66" spans="1:21" customFormat="1">
      <c r="A66" s="163" t="s">
        <v>1257</v>
      </c>
      <c r="B66" s="100">
        <v>4.62</v>
      </c>
      <c r="C66" s="100">
        <v>10.91</v>
      </c>
      <c r="D66" s="100">
        <v>6.28</v>
      </c>
      <c r="E66" s="100">
        <v>3.95</v>
      </c>
      <c r="F66" s="100">
        <v>21.06</v>
      </c>
      <c r="G66" s="100">
        <v>44.65</v>
      </c>
      <c r="H66" s="100">
        <v>28.74</v>
      </c>
      <c r="I66" s="100">
        <v>5.04</v>
      </c>
      <c r="J66" s="100">
        <v>0.28000000000000003</v>
      </c>
      <c r="K66" s="100">
        <v>19.579999999999998</v>
      </c>
      <c r="L66" s="100">
        <v>35.4</v>
      </c>
      <c r="M66" s="100">
        <v>50.56</v>
      </c>
      <c r="N66" s="100">
        <v>260</v>
      </c>
      <c r="O66" s="100">
        <v>0</v>
      </c>
      <c r="P66" s="100">
        <v>0.44</v>
      </c>
      <c r="Q66" s="100">
        <v>9.93</v>
      </c>
      <c r="R66" s="6"/>
      <c r="S66" s="6"/>
      <c r="T66" s="156"/>
      <c r="U66" s="6"/>
    </row>
    <row r="67" spans="1:21" customFormat="1">
      <c r="A67" s="163" t="s">
        <v>1258</v>
      </c>
      <c r="B67" s="100">
        <v>4.12</v>
      </c>
      <c r="C67" s="100">
        <v>9.3800000000000008</v>
      </c>
      <c r="D67" s="100">
        <v>5.26</v>
      </c>
      <c r="E67" s="100">
        <v>3.93</v>
      </c>
      <c r="F67" s="100">
        <v>20.12</v>
      </c>
      <c r="G67" s="100">
        <v>44.65</v>
      </c>
      <c r="H67" s="100">
        <v>28.74</v>
      </c>
      <c r="I67" s="100">
        <v>4.93</v>
      </c>
      <c r="J67" s="100">
        <v>0.57999999999999996</v>
      </c>
      <c r="K67" s="100">
        <v>56.17</v>
      </c>
      <c r="L67" s="100">
        <v>35.39</v>
      </c>
      <c r="M67" s="100">
        <v>48.02</v>
      </c>
      <c r="N67" s="100">
        <v>244.5</v>
      </c>
      <c r="O67" s="100">
        <v>0</v>
      </c>
      <c r="P67" s="100">
        <v>0.43</v>
      </c>
      <c r="Q67" s="100">
        <v>9.93</v>
      </c>
      <c r="R67" s="6"/>
      <c r="S67" s="6"/>
      <c r="T67" s="156"/>
      <c r="U67" s="6"/>
    </row>
    <row r="68" spans="1:21" customFormat="1">
      <c r="A68" s="163" t="s">
        <v>1259</v>
      </c>
      <c r="B68" s="100">
        <v>4.01</v>
      </c>
      <c r="C68" s="100">
        <v>9.02</v>
      </c>
      <c r="D68" s="100">
        <v>5.01</v>
      </c>
      <c r="E68" s="100">
        <v>3.77</v>
      </c>
      <c r="F68" s="100">
        <v>17.350000000000001</v>
      </c>
      <c r="G68" s="100">
        <v>44.65</v>
      </c>
      <c r="H68" s="100">
        <v>28.74</v>
      </c>
      <c r="I68" s="100">
        <v>4.97</v>
      </c>
      <c r="J68" s="100">
        <v>0.19</v>
      </c>
      <c r="K68" s="100">
        <v>81.040000000000006</v>
      </c>
      <c r="L68" s="100">
        <v>35.46</v>
      </c>
      <c r="M68" s="100">
        <v>48.94</v>
      </c>
      <c r="N68" s="100">
        <v>255.6</v>
      </c>
      <c r="O68" s="100">
        <v>0</v>
      </c>
      <c r="P68" s="100">
        <v>0.41</v>
      </c>
      <c r="Q68" s="100">
        <v>9.92</v>
      </c>
      <c r="R68" s="6"/>
      <c r="S68" s="6"/>
      <c r="T68" s="156"/>
      <c r="U68" s="6"/>
    </row>
    <row r="69" spans="1:21" customFormat="1">
      <c r="A69" s="163" t="s">
        <v>1260</v>
      </c>
      <c r="B69" s="100">
        <v>3.88</v>
      </c>
      <c r="C69" s="100">
        <v>8.1199999999999992</v>
      </c>
      <c r="D69" s="100">
        <v>4.24</v>
      </c>
      <c r="E69" s="100">
        <v>4.2300000000000004</v>
      </c>
      <c r="F69" s="100">
        <v>17.399999999999999</v>
      </c>
      <c r="G69" s="100">
        <v>44.09</v>
      </c>
      <c r="H69" s="100">
        <v>28.36</v>
      </c>
      <c r="I69" s="100">
        <v>4.88</v>
      </c>
      <c r="J69" s="100">
        <v>0.39</v>
      </c>
      <c r="K69" s="100">
        <v>69.239999999999995</v>
      </c>
      <c r="L69" s="100">
        <v>35.770000000000003</v>
      </c>
      <c r="M69" s="100">
        <v>47.28</v>
      </c>
      <c r="N69" s="100">
        <v>369.7</v>
      </c>
      <c r="O69" s="100">
        <v>0</v>
      </c>
      <c r="P69" s="100">
        <v>0.42</v>
      </c>
      <c r="Q69" s="100">
        <v>9.93</v>
      </c>
      <c r="R69" s="6"/>
      <c r="S69" s="6"/>
      <c r="T69" s="156"/>
      <c r="U69" s="6"/>
    </row>
    <row r="70" spans="1:21" customFormat="1">
      <c r="A70" s="163" t="s">
        <v>1261</v>
      </c>
      <c r="B70" s="100">
        <v>3.92</v>
      </c>
      <c r="C70" s="100">
        <v>8.17</v>
      </c>
      <c r="D70" s="100">
        <v>4.26</v>
      </c>
      <c r="E70" s="100">
        <v>4.46</v>
      </c>
      <c r="F70" s="100">
        <v>14.05</v>
      </c>
      <c r="G70" s="100">
        <v>43.35</v>
      </c>
      <c r="H70" s="100">
        <v>28.1</v>
      </c>
      <c r="I70" s="100">
        <v>4.84</v>
      </c>
      <c r="J70" s="100">
        <v>0.33</v>
      </c>
      <c r="K70" s="100">
        <v>101.67</v>
      </c>
      <c r="L70" s="100">
        <v>35.61</v>
      </c>
      <c r="M70" s="100">
        <v>45.96</v>
      </c>
      <c r="N70" s="100">
        <v>232.2</v>
      </c>
      <c r="O70" s="100">
        <v>0</v>
      </c>
      <c r="P70" s="100">
        <v>0.41</v>
      </c>
      <c r="Q70" s="100">
        <v>9.93</v>
      </c>
      <c r="R70" s="6"/>
      <c r="S70" s="6"/>
      <c r="T70" s="156"/>
      <c r="U70" s="6"/>
    </row>
    <row r="71" spans="1:21" customFormat="1">
      <c r="A71" s="163" t="s">
        <v>1262</v>
      </c>
      <c r="B71" s="100">
        <v>3.88</v>
      </c>
      <c r="C71" s="100">
        <v>7.78</v>
      </c>
      <c r="D71" s="100">
        <v>3.9</v>
      </c>
      <c r="E71" s="100">
        <v>4</v>
      </c>
      <c r="F71" s="100">
        <v>14.39</v>
      </c>
      <c r="G71" s="100">
        <v>43.35</v>
      </c>
      <c r="H71" s="100">
        <v>28.1</v>
      </c>
      <c r="I71" s="100">
        <v>4.8899999999999997</v>
      </c>
      <c r="J71" s="100">
        <v>0.2</v>
      </c>
      <c r="K71" s="100">
        <v>120.31</v>
      </c>
      <c r="L71" s="100">
        <v>35.409999999999997</v>
      </c>
      <c r="M71" s="100">
        <v>46.4</v>
      </c>
      <c r="N71" s="100">
        <v>212.5</v>
      </c>
      <c r="O71" s="100">
        <v>0</v>
      </c>
      <c r="P71" s="100">
        <v>0.41</v>
      </c>
      <c r="Q71" s="100">
        <v>9.92</v>
      </c>
      <c r="R71" s="6"/>
      <c r="S71" s="6"/>
      <c r="T71" s="156"/>
      <c r="U71" s="6"/>
    </row>
    <row r="72" spans="1:21" customFormat="1">
      <c r="A72" s="163" t="s">
        <v>1263</v>
      </c>
      <c r="B72" s="100">
        <v>3.83</v>
      </c>
      <c r="C72" s="100">
        <v>7.45</v>
      </c>
      <c r="D72" s="100">
        <v>3.62</v>
      </c>
      <c r="E72" s="100">
        <v>3.6</v>
      </c>
      <c r="F72" s="100">
        <v>19.670000000000002</v>
      </c>
      <c r="G72" s="100">
        <v>43.35</v>
      </c>
      <c r="H72" s="100">
        <v>28.1</v>
      </c>
      <c r="I72" s="100">
        <v>5.04</v>
      </c>
      <c r="J72" s="100">
        <v>0.23</v>
      </c>
      <c r="K72" s="100">
        <v>114.43</v>
      </c>
      <c r="L72" s="100">
        <v>35.369999999999997</v>
      </c>
      <c r="M72" s="100">
        <v>46.34</v>
      </c>
      <c r="N72" s="100">
        <v>194.9</v>
      </c>
      <c r="O72" s="100">
        <v>0</v>
      </c>
      <c r="P72" s="100">
        <v>0.41</v>
      </c>
      <c r="Q72" s="100">
        <v>9.93</v>
      </c>
      <c r="R72" s="6"/>
      <c r="S72" s="6"/>
      <c r="T72" s="156"/>
      <c r="U72" s="6"/>
    </row>
    <row r="73" spans="1:21" customFormat="1">
      <c r="A73" s="163" t="s">
        <v>1264</v>
      </c>
      <c r="B73" s="100">
        <v>3.82</v>
      </c>
      <c r="C73" s="100">
        <v>7.77</v>
      </c>
      <c r="D73" s="100">
        <v>3.94</v>
      </c>
      <c r="E73" s="100">
        <v>3.85</v>
      </c>
      <c r="F73" s="100">
        <v>19.91</v>
      </c>
      <c r="G73" s="100">
        <v>40.08</v>
      </c>
      <c r="H73" s="100">
        <v>26.97</v>
      </c>
      <c r="I73" s="100">
        <v>4.91</v>
      </c>
      <c r="J73" s="100">
        <v>0.4</v>
      </c>
      <c r="K73" s="100">
        <v>69.59</v>
      </c>
      <c r="L73" s="100">
        <v>35.08</v>
      </c>
      <c r="M73" s="100">
        <v>46.92</v>
      </c>
      <c r="N73" s="100">
        <v>144.4</v>
      </c>
      <c r="O73" s="100">
        <v>0</v>
      </c>
      <c r="P73" s="100">
        <v>0.4</v>
      </c>
      <c r="Q73" s="100">
        <v>9.94</v>
      </c>
      <c r="R73" s="6"/>
      <c r="S73" s="6"/>
      <c r="T73" s="156"/>
      <c r="U73" s="6"/>
    </row>
    <row r="74" spans="1:21" customFormat="1">
      <c r="A74" s="163" t="s">
        <v>1265</v>
      </c>
      <c r="B74" s="100">
        <v>4.05</v>
      </c>
      <c r="C74" s="100">
        <v>9.2799999999999994</v>
      </c>
      <c r="D74" s="100">
        <v>5.23</v>
      </c>
      <c r="E74" s="100">
        <v>3.7</v>
      </c>
      <c r="F74" s="100">
        <v>16.48</v>
      </c>
      <c r="G74" s="100">
        <v>35.99</v>
      </c>
      <c r="H74" s="100">
        <v>26.19</v>
      </c>
      <c r="I74" s="100">
        <v>4.83</v>
      </c>
      <c r="J74" s="100">
        <v>0.65</v>
      </c>
      <c r="K74" s="100">
        <v>61.11</v>
      </c>
      <c r="L74" s="100">
        <v>35.04</v>
      </c>
      <c r="M74" s="100">
        <v>44.65</v>
      </c>
      <c r="N74" s="100">
        <v>128.30000000000001</v>
      </c>
      <c r="O74" s="100">
        <v>0</v>
      </c>
      <c r="P74" s="100">
        <v>0.41</v>
      </c>
      <c r="Q74" s="100">
        <v>9.94</v>
      </c>
      <c r="R74" s="6"/>
      <c r="S74" s="6"/>
      <c r="T74" s="156"/>
      <c r="U74" s="6"/>
    </row>
    <row r="75" spans="1:21" customFormat="1">
      <c r="A75" s="163" t="s">
        <v>1266</v>
      </c>
      <c r="B75" s="100">
        <v>4.04</v>
      </c>
      <c r="C75" s="100">
        <v>8.99</v>
      </c>
      <c r="D75" s="100">
        <v>4.95</v>
      </c>
      <c r="E75" s="100">
        <v>3.54</v>
      </c>
      <c r="F75" s="100">
        <v>15.1</v>
      </c>
      <c r="G75" s="100">
        <v>35.99</v>
      </c>
      <c r="H75" s="100">
        <v>26.19</v>
      </c>
      <c r="I75" s="100">
        <v>4.67</v>
      </c>
      <c r="J75" s="100">
        <v>0.45</v>
      </c>
      <c r="K75" s="100">
        <v>73.52</v>
      </c>
      <c r="L75" s="100">
        <v>34.82</v>
      </c>
      <c r="M75" s="100">
        <v>43.32</v>
      </c>
      <c r="N75" s="100">
        <v>112.1</v>
      </c>
      <c r="O75" s="100">
        <v>0</v>
      </c>
      <c r="P75" s="100">
        <v>0.39</v>
      </c>
      <c r="Q75" s="100">
        <v>9.93</v>
      </c>
      <c r="R75" s="6"/>
      <c r="S75" s="6"/>
      <c r="T75" s="156"/>
      <c r="U75" s="6"/>
    </row>
    <row r="76" spans="1:21" customFormat="1">
      <c r="A76" s="163" t="s">
        <v>1267</v>
      </c>
      <c r="B76" s="100">
        <v>4.04</v>
      </c>
      <c r="C76" s="100">
        <v>9.8000000000000007</v>
      </c>
      <c r="D76" s="100">
        <v>5.76</v>
      </c>
      <c r="E76" s="100">
        <v>3.52</v>
      </c>
      <c r="F76" s="100">
        <v>11.52</v>
      </c>
      <c r="G76" s="100">
        <v>35.99</v>
      </c>
      <c r="H76" s="100">
        <v>26.19</v>
      </c>
      <c r="I76" s="100">
        <v>4.7300000000000004</v>
      </c>
      <c r="J76" s="100">
        <v>0.64</v>
      </c>
      <c r="K76" s="100">
        <v>57.73</v>
      </c>
      <c r="L76" s="100">
        <v>34.74</v>
      </c>
      <c r="M76" s="100">
        <v>43.54</v>
      </c>
      <c r="N76" s="100">
        <v>108.8</v>
      </c>
      <c r="O76" s="100">
        <v>0</v>
      </c>
      <c r="P76" s="100">
        <v>0.39</v>
      </c>
      <c r="Q76" s="100">
        <v>9.93</v>
      </c>
      <c r="R76" s="6"/>
      <c r="S76" s="6"/>
      <c r="T76" s="156"/>
      <c r="U76" s="6"/>
    </row>
    <row r="77" spans="1:21" customFormat="1">
      <c r="A77" s="163" t="s">
        <v>1268</v>
      </c>
      <c r="B77" s="100">
        <v>3.99</v>
      </c>
      <c r="C77" s="100">
        <v>10.34</v>
      </c>
      <c r="D77" s="100">
        <v>6.35</v>
      </c>
      <c r="E77" s="100">
        <v>3.55</v>
      </c>
      <c r="F77" s="100">
        <v>11.7</v>
      </c>
      <c r="G77" s="100">
        <v>36.29</v>
      </c>
      <c r="H77" s="100">
        <v>24.6</v>
      </c>
      <c r="I77" s="100">
        <v>4.74</v>
      </c>
      <c r="J77" s="100">
        <v>0.42</v>
      </c>
      <c r="K77" s="100">
        <v>79.98</v>
      </c>
      <c r="L77" s="100">
        <v>34.67</v>
      </c>
      <c r="M77" s="100">
        <v>45.11</v>
      </c>
      <c r="N77" s="100">
        <v>95</v>
      </c>
      <c r="O77" s="100">
        <v>0</v>
      </c>
      <c r="P77" s="100">
        <v>0.35</v>
      </c>
      <c r="Q77" s="100">
        <v>9.91</v>
      </c>
      <c r="R77" s="6"/>
      <c r="S77" s="6"/>
      <c r="T77" s="156"/>
      <c r="U77" s="6"/>
    </row>
    <row r="78" spans="1:21" customFormat="1">
      <c r="A78" s="163" t="s">
        <v>1269</v>
      </c>
      <c r="B78" s="100">
        <v>4.01</v>
      </c>
      <c r="C78" s="100">
        <v>10.84</v>
      </c>
      <c r="D78" s="100">
        <v>6.83</v>
      </c>
      <c r="E78" s="100">
        <v>3.77</v>
      </c>
      <c r="F78" s="100">
        <v>13.38</v>
      </c>
      <c r="G78" s="100">
        <v>36.659999999999997</v>
      </c>
      <c r="H78" s="100">
        <v>23.5</v>
      </c>
      <c r="I78" s="100">
        <v>4.76</v>
      </c>
      <c r="J78" s="100">
        <v>0.77</v>
      </c>
      <c r="K78" s="100">
        <v>56.3</v>
      </c>
      <c r="L78" s="100">
        <v>34.549999999999997</v>
      </c>
      <c r="M78" s="100">
        <v>44.99</v>
      </c>
      <c r="N78" s="100">
        <v>68.099999999999994</v>
      </c>
      <c r="O78" s="100">
        <v>0</v>
      </c>
      <c r="P78" s="100">
        <v>0.33</v>
      </c>
      <c r="Q78" s="100">
        <v>9.94</v>
      </c>
      <c r="R78" s="6"/>
      <c r="S78" s="6"/>
      <c r="T78" s="156"/>
      <c r="U78" s="6"/>
    </row>
    <row r="79" spans="1:21" customFormat="1">
      <c r="A79" s="163" t="s">
        <v>1270</v>
      </c>
      <c r="B79" s="100">
        <v>4</v>
      </c>
      <c r="C79" s="100">
        <v>11.1</v>
      </c>
      <c r="D79" s="100">
        <v>7.1</v>
      </c>
      <c r="E79" s="100">
        <v>4.04</v>
      </c>
      <c r="F79" s="100">
        <v>7.62</v>
      </c>
      <c r="G79" s="100">
        <v>36.659999999999997</v>
      </c>
      <c r="H79" s="100">
        <v>23.5</v>
      </c>
      <c r="I79" s="100">
        <v>4.7699999999999996</v>
      </c>
      <c r="J79" s="100">
        <v>0.47</v>
      </c>
      <c r="K79" s="100">
        <v>68.22</v>
      </c>
      <c r="L79" s="100">
        <v>34.380000000000003</v>
      </c>
      <c r="M79" s="100">
        <v>46.37</v>
      </c>
      <c r="N79" s="100">
        <v>53.7</v>
      </c>
      <c r="O79" s="100">
        <v>0</v>
      </c>
      <c r="P79" s="100">
        <v>0.33</v>
      </c>
      <c r="Q79" s="100">
        <v>9.93</v>
      </c>
      <c r="R79" s="6"/>
      <c r="S79" s="6"/>
      <c r="T79" s="156"/>
      <c r="U79" s="6"/>
    </row>
    <row r="80" spans="1:21" customFormat="1">
      <c r="A80" s="163" t="s">
        <v>1271</v>
      </c>
      <c r="B80" s="100">
        <v>3.96</v>
      </c>
      <c r="C80" s="100">
        <v>11.14</v>
      </c>
      <c r="D80" s="100">
        <v>7.18</v>
      </c>
      <c r="E80" s="100">
        <v>4.0599999999999996</v>
      </c>
      <c r="F80" s="100">
        <v>10.27</v>
      </c>
      <c r="G80" s="100">
        <v>36.659999999999997</v>
      </c>
      <c r="H80" s="100">
        <v>23.5</v>
      </c>
      <c r="I80" s="100">
        <v>4.71</v>
      </c>
      <c r="J80" s="100">
        <v>0.41</v>
      </c>
      <c r="K80" s="100">
        <v>68.7</v>
      </c>
      <c r="L80" s="100">
        <v>34.28</v>
      </c>
      <c r="M80" s="100">
        <v>47.5</v>
      </c>
      <c r="N80" s="100">
        <v>44.6</v>
      </c>
      <c r="O80" s="100">
        <v>0</v>
      </c>
      <c r="P80" s="100">
        <v>0.33</v>
      </c>
      <c r="Q80" s="100">
        <v>9.92</v>
      </c>
      <c r="R80" s="6"/>
      <c r="S80" s="6"/>
      <c r="T80" s="156"/>
      <c r="U80" s="6"/>
    </row>
    <row r="81" spans="1:21" customFormat="1">
      <c r="A81" s="163" t="s">
        <v>1272</v>
      </c>
      <c r="B81" s="100">
        <v>4.07</v>
      </c>
      <c r="C81" s="100">
        <v>12.71</v>
      </c>
      <c r="D81" s="100">
        <v>8.64</v>
      </c>
      <c r="E81" s="100">
        <v>3.74</v>
      </c>
      <c r="F81" s="100">
        <v>11.83</v>
      </c>
      <c r="G81" s="100">
        <v>37.869999999999997</v>
      </c>
      <c r="H81" s="100">
        <v>25.79</v>
      </c>
      <c r="I81" s="100">
        <v>4.88</v>
      </c>
      <c r="J81" s="100">
        <v>0.38</v>
      </c>
      <c r="K81" s="100">
        <v>70.28</v>
      </c>
      <c r="L81" s="100">
        <v>34.04</v>
      </c>
      <c r="M81" s="100">
        <v>48.45</v>
      </c>
      <c r="N81" s="100">
        <v>29.8</v>
      </c>
      <c r="O81" s="100">
        <v>0</v>
      </c>
      <c r="P81" s="100">
        <v>0.38</v>
      </c>
      <c r="Q81" s="100">
        <v>9.94</v>
      </c>
      <c r="R81" s="6"/>
      <c r="S81" s="6"/>
      <c r="T81" s="156"/>
      <c r="U81" s="6"/>
    </row>
    <row r="82" spans="1:21" customFormat="1">
      <c r="A82" s="163" t="s">
        <v>1273</v>
      </c>
      <c r="B82" s="100">
        <v>4.07</v>
      </c>
      <c r="C82" s="100">
        <v>13.54</v>
      </c>
      <c r="D82" s="100">
        <v>9.4700000000000006</v>
      </c>
      <c r="E82" s="100">
        <v>4.82</v>
      </c>
      <c r="F82" s="100">
        <v>8.7200000000000006</v>
      </c>
      <c r="G82" s="100">
        <v>39.380000000000003</v>
      </c>
      <c r="H82" s="100">
        <v>29.65</v>
      </c>
      <c r="I82" s="100">
        <v>4.84</v>
      </c>
      <c r="J82" s="100">
        <v>0.3</v>
      </c>
      <c r="K82" s="100">
        <v>74.94</v>
      </c>
      <c r="L82" s="100">
        <v>33.770000000000003</v>
      </c>
      <c r="M82" s="100">
        <v>49.35</v>
      </c>
      <c r="N82" s="100">
        <v>18.5</v>
      </c>
      <c r="O82" s="100">
        <v>0</v>
      </c>
      <c r="P82" s="100">
        <v>0.39</v>
      </c>
      <c r="Q82" s="100">
        <v>9.93</v>
      </c>
      <c r="R82" s="6"/>
      <c r="S82" s="6"/>
      <c r="T82" s="156"/>
      <c r="U82" s="6"/>
    </row>
    <row r="83" spans="1:21" customFormat="1">
      <c r="A83" s="163" t="s">
        <v>1274</v>
      </c>
      <c r="B83" s="100">
        <v>4.0999999999999996</v>
      </c>
      <c r="C83" s="100">
        <v>12.95</v>
      </c>
      <c r="D83" s="100">
        <v>8.86</v>
      </c>
      <c r="E83" s="100">
        <v>4.8099999999999996</v>
      </c>
      <c r="F83" s="100">
        <v>6.48</v>
      </c>
      <c r="G83" s="100">
        <v>39.380000000000003</v>
      </c>
      <c r="H83" s="100">
        <v>29.65</v>
      </c>
      <c r="I83" s="100">
        <v>5.23</v>
      </c>
      <c r="J83" s="100">
        <v>0.36</v>
      </c>
      <c r="K83" s="100">
        <v>70.23</v>
      </c>
      <c r="L83" s="100">
        <v>33.43</v>
      </c>
      <c r="M83" s="100">
        <v>50.9</v>
      </c>
      <c r="N83" s="100">
        <v>9.4</v>
      </c>
      <c r="O83" s="100">
        <v>0</v>
      </c>
      <c r="P83" s="100">
        <v>0.38</v>
      </c>
      <c r="Q83" s="100">
        <v>9.94</v>
      </c>
      <c r="R83" s="6"/>
      <c r="S83" s="6"/>
      <c r="T83" s="156"/>
      <c r="U83" s="6"/>
    </row>
    <row r="84" spans="1:21" customFormat="1">
      <c r="A84" s="163" t="s">
        <v>1275</v>
      </c>
      <c r="B84" s="100">
        <v>4.13</v>
      </c>
      <c r="C84" s="100">
        <v>13.24</v>
      </c>
      <c r="D84" s="100">
        <v>9.11</v>
      </c>
      <c r="E84" s="100">
        <v>4.8</v>
      </c>
      <c r="F84" s="100">
        <v>8.08</v>
      </c>
      <c r="G84" s="100">
        <v>39.380000000000003</v>
      </c>
      <c r="H84" s="100">
        <v>29.65</v>
      </c>
      <c r="I84" s="100">
        <v>5.26</v>
      </c>
      <c r="J84" s="100">
        <v>0.28000000000000003</v>
      </c>
      <c r="K84" s="100">
        <v>97.52</v>
      </c>
      <c r="L84" s="100">
        <v>33.25</v>
      </c>
      <c r="M84" s="100">
        <v>49.98</v>
      </c>
      <c r="N84" s="100">
        <v>3.2</v>
      </c>
      <c r="O84" s="100">
        <v>0</v>
      </c>
      <c r="P84" s="100">
        <v>0.38</v>
      </c>
      <c r="Q84" s="100">
        <v>9.9600000000000009</v>
      </c>
      <c r="R84" s="6"/>
      <c r="S84" s="6"/>
      <c r="T84" s="156"/>
      <c r="U84" s="6"/>
    </row>
    <row r="85" spans="1:21" customFormat="1">
      <c r="A85" s="163" t="s">
        <v>1276</v>
      </c>
      <c r="B85" s="100">
        <v>4.04</v>
      </c>
      <c r="C85" s="100">
        <v>12.25</v>
      </c>
      <c r="D85" s="100">
        <v>8.2100000000000009</v>
      </c>
      <c r="E85" s="100">
        <v>4.9800000000000004</v>
      </c>
      <c r="F85" s="100">
        <v>11.22</v>
      </c>
      <c r="G85" s="100">
        <v>44.41</v>
      </c>
      <c r="H85" s="100">
        <v>28.89</v>
      </c>
      <c r="I85" s="100">
        <v>5.23</v>
      </c>
      <c r="J85" s="100">
        <v>0.21</v>
      </c>
      <c r="K85" s="100">
        <v>148.74</v>
      </c>
      <c r="L85" s="100">
        <v>33</v>
      </c>
      <c r="M85" s="100">
        <v>50.81</v>
      </c>
      <c r="N85" s="100">
        <v>2.1</v>
      </c>
      <c r="O85" s="100">
        <v>0</v>
      </c>
      <c r="P85" s="100">
        <v>0.37</v>
      </c>
      <c r="Q85" s="100">
        <v>9.93</v>
      </c>
      <c r="R85" s="6"/>
      <c r="S85" s="6"/>
      <c r="T85" s="156"/>
      <c r="U85" s="6"/>
    </row>
    <row r="86" spans="1:21" customFormat="1">
      <c r="A86" s="163" t="s">
        <v>1277</v>
      </c>
      <c r="B86" s="100">
        <v>3.99</v>
      </c>
      <c r="C86" s="100">
        <v>11.24</v>
      </c>
      <c r="D86" s="100">
        <v>7.25</v>
      </c>
      <c r="E86" s="100">
        <v>5.0999999999999996</v>
      </c>
      <c r="F86" s="100">
        <v>6.84</v>
      </c>
      <c r="G86" s="100">
        <v>50.69</v>
      </c>
      <c r="H86" s="100">
        <v>28.38</v>
      </c>
      <c r="I86" s="100">
        <v>5.17</v>
      </c>
      <c r="J86" s="100">
        <v>0.18</v>
      </c>
      <c r="K86" s="100">
        <v>173.96</v>
      </c>
      <c r="L86" s="100">
        <v>32.35</v>
      </c>
      <c r="M86" s="100">
        <v>54.23</v>
      </c>
      <c r="N86" s="100">
        <v>2.6</v>
      </c>
      <c r="O86" s="100">
        <v>0</v>
      </c>
      <c r="P86" s="100">
        <v>0.38</v>
      </c>
      <c r="Q86" s="100">
        <v>9.92</v>
      </c>
      <c r="R86" s="6"/>
      <c r="S86" s="6"/>
      <c r="T86" s="156"/>
      <c r="U86" s="6"/>
    </row>
    <row r="87" spans="1:21" customFormat="1">
      <c r="A87" s="163" t="s">
        <v>1278</v>
      </c>
      <c r="B87" s="100">
        <v>3.97</v>
      </c>
      <c r="C87" s="100">
        <v>10.95</v>
      </c>
      <c r="D87" s="100">
        <v>6.98</v>
      </c>
      <c r="E87" s="100">
        <v>4.7300000000000004</v>
      </c>
      <c r="F87" s="100">
        <v>7.5</v>
      </c>
      <c r="G87" s="100">
        <v>50.69</v>
      </c>
      <c r="H87" s="100">
        <v>28.38</v>
      </c>
      <c r="I87" s="100">
        <v>4.95</v>
      </c>
      <c r="J87" s="100">
        <v>0.14000000000000001</v>
      </c>
      <c r="K87" s="100">
        <v>185.93</v>
      </c>
      <c r="L87" s="100">
        <v>31.48</v>
      </c>
      <c r="M87" s="100">
        <v>58.17</v>
      </c>
      <c r="N87" s="100">
        <v>2.4</v>
      </c>
      <c r="O87" s="100">
        <v>0</v>
      </c>
      <c r="P87" s="100">
        <v>0.37</v>
      </c>
      <c r="Q87" s="100">
        <v>9.92</v>
      </c>
      <c r="R87" s="6"/>
      <c r="S87" s="6"/>
      <c r="T87" s="156"/>
      <c r="U87" s="6"/>
    </row>
    <row r="88" spans="1:21" customFormat="1">
      <c r="A88" s="163" t="s">
        <v>1279</v>
      </c>
      <c r="B88" s="100">
        <v>3.95</v>
      </c>
      <c r="C88" s="100">
        <v>10.62</v>
      </c>
      <c r="D88" s="100">
        <v>6.67</v>
      </c>
      <c r="E88" s="100">
        <v>5.24</v>
      </c>
      <c r="F88" s="100">
        <v>7.48</v>
      </c>
      <c r="G88" s="100">
        <v>50.69</v>
      </c>
      <c r="H88" s="100">
        <v>28.38</v>
      </c>
      <c r="I88" s="100">
        <v>5.07</v>
      </c>
      <c r="J88" s="100">
        <v>0.14000000000000001</v>
      </c>
      <c r="K88" s="100">
        <v>168.25</v>
      </c>
      <c r="L88" s="100">
        <v>31.02</v>
      </c>
      <c r="M88" s="100">
        <v>59.93</v>
      </c>
      <c r="N88" s="100">
        <v>2.1</v>
      </c>
      <c r="O88" s="100">
        <v>0</v>
      </c>
      <c r="P88" s="100">
        <v>0.37</v>
      </c>
      <c r="Q88" s="100">
        <v>9.9499999999999993</v>
      </c>
      <c r="R88" s="6"/>
      <c r="S88" s="6"/>
      <c r="T88" s="156"/>
      <c r="U88" s="6"/>
    </row>
    <row r="89" spans="1:21" customFormat="1">
      <c r="A89" s="163" t="s">
        <v>1280</v>
      </c>
      <c r="B89" s="100">
        <v>3.97</v>
      </c>
      <c r="C89" s="100">
        <v>10.08</v>
      </c>
      <c r="D89" s="100">
        <v>6.1</v>
      </c>
      <c r="E89" s="100">
        <v>5.1100000000000003</v>
      </c>
      <c r="F89" s="100">
        <v>5.69</v>
      </c>
      <c r="G89" s="100">
        <v>52.2</v>
      </c>
      <c r="H89" s="100">
        <v>29.22</v>
      </c>
      <c r="I89" s="100">
        <v>5.09</v>
      </c>
      <c r="J89" s="100">
        <v>0.18</v>
      </c>
      <c r="K89" s="100">
        <v>175.71</v>
      </c>
      <c r="L89" s="100">
        <v>30.85</v>
      </c>
      <c r="M89" s="100">
        <v>61.79</v>
      </c>
      <c r="N89" s="100">
        <v>2.1</v>
      </c>
      <c r="O89" s="100">
        <v>0</v>
      </c>
      <c r="P89" s="100">
        <v>0.38</v>
      </c>
      <c r="Q89" s="100">
        <v>9.9499999999999993</v>
      </c>
      <c r="R89" s="6"/>
      <c r="S89" s="6"/>
      <c r="T89" s="156"/>
      <c r="U89" s="6"/>
    </row>
    <row r="90" spans="1:21" customFormat="1">
      <c r="A90" s="163" t="s">
        <v>1281</v>
      </c>
      <c r="B90" s="100">
        <v>3.96</v>
      </c>
      <c r="C90" s="100">
        <v>10.01</v>
      </c>
      <c r="D90" s="100">
        <v>6.05</v>
      </c>
      <c r="E90" s="100">
        <v>5.12</v>
      </c>
      <c r="F90" s="100">
        <v>6.25</v>
      </c>
      <c r="G90" s="100">
        <v>54.18</v>
      </c>
      <c r="H90" s="100">
        <v>29.79</v>
      </c>
      <c r="I90" s="100">
        <v>5.1100000000000003</v>
      </c>
      <c r="J90" s="100">
        <v>0.17</v>
      </c>
      <c r="K90" s="100">
        <v>174.35</v>
      </c>
      <c r="L90" s="100">
        <v>30.42</v>
      </c>
      <c r="M90" s="100">
        <v>66.5</v>
      </c>
      <c r="N90" s="100">
        <v>2.1</v>
      </c>
      <c r="O90" s="100">
        <v>0</v>
      </c>
      <c r="P90" s="100">
        <v>0.37</v>
      </c>
      <c r="Q90" s="100">
        <v>9.9499999999999993</v>
      </c>
      <c r="R90" s="6"/>
      <c r="S90" s="6"/>
      <c r="T90" s="156"/>
      <c r="U90" s="6"/>
    </row>
    <row r="91" spans="1:21" customFormat="1">
      <c r="A91" s="163" t="s">
        <v>1282</v>
      </c>
      <c r="B91" s="100">
        <v>3.98</v>
      </c>
      <c r="C91" s="100">
        <v>9.98</v>
      </c>
      <c r="D91" s="100">
        <v>6</v>
      </c>
      <c r="E91" s="100">
        <v>5.3</v>
      </c>
      <c r="F91" s="100">
        <v>6.07</v>
      </c>
      <c r="G91" s="100">
        <v>54.18</v>
      </c>
      <c r="H91" s="100">
        <v>29.79</v>
      </c>
      <c r="I91" s="100">
        <v>5.21</v>
      </c>
      <c r="J91" s="100">
        <v>0.21</v>
      </c>
      <c r="K91" s="100">
        <v>163.72</v>
      </c>
      <c r="L91" s="100">
        <v>30.31</v>
      </c>
      <c r="M91" s="100">
        <v>66.03</v>
      </c>
      <c r="N91" s="100">
        <v>1.9</v>
      </c>
      <c r="O91" s="100">
        <v>0</v>
      </c>
      <c r="P91" s="100">
        <v>0.37</v>
      </c>
      <c r="Q91" s="100">
        <v>9.93</v>
      </c>
      <c r="R91" s="6"/>
      <c r="S91" s="6"/>
      <c r="T91" s="156"/>
      <c r="U91" s="6"/>
    </row>
    <row r="92" spans="1:21" customFormat="1">
      <c r="A92" s="163" t="s">
        <v>1283</v>
      </c>
      <c r="B92" s="100">
        <v>4.03</v>
      </c>
      <c r="C92" s="100">
        <v>9.69</v>
      </c>
      <c r="D92" s="100">
        <v>5.66</v>
      </c>
      <c r="E92" s="100">
        <v>5.15</v>
      </c>
      <c r="F92" s="100">
        <v>4.5999999999999996</v>
      </c>
      <c r="G92" s="100">
        <v>54.18</v>
      </c>
      <c r="H92" s="100">
        <v>29.79</v>
      </c>
      <c r="I92" s="100">
        <v>5.18</v>
      </c>
      <c r="J92" s="100">
        <v>0.2</v>
      </c>
      <c r="K92" s="100">
        <v>167.66</v>
      </c>
      <c r="L92" s="100">
        <v>30.07</v>
      </c>
      <c r="M92" s="100">
        <v>72.430000000000007</v>
      </c>
      <c r="N92" s="100">
        <v>2.1</v>
      </c>
      <c r="O92" s="100">
        <v>0</v>
      </c>
      <c r="P92" s="100">
        <v>0.38</v>
      </c>
      <c r="Q92" s="100">
        <v>9.93</v>
      </c>
      <c r="R92" s="6"/>
      <c r="S92" s="6"/>
      <c r="T92" s="156"/>
      <c r="U92" s="6"/>
    </row>
    <row r="93" spans="1:21" customFormat="1">
      <c r="A93" s="163" t="s">
        <v>1284</v>
      </c>
      <c r="B93" s="100">
        <v>4.09</v>
      </c>
      <c r="C93" s="100">
        <v>9.68</v>
      </c>
      <c r="D93" s="100">
        <v>5.59</v>
      </c>
      <c r="E93" s="100">
        <v>4.8600000000000003</v>
      </c>
      <c r="F93" s="100">
        <v>5.3</v>
      </c>
      <c r="G93" s="100">
        <v>58.62</v>
      </c>
      <c r="H93" s="100">
        <v>30.14</v>
      </c>
      <c r="I93" s="100">
        <v>5.28</v>
      </c>
      <c r="J93" s="100">
        <v>0.18</v>
      </c>
      <c r="K93" s="100">
        <v>158.56</v>
      </c>
      <c r="L93" s="100">
        <v>29.85</v>
      </c>
      <c r="M93" s="100">
        <v>71.430000000000007</v>
      </c>
      <c r="N93" s="100">
        <v>1.8</v>
      </c>
      <c r="O93" s="100">
        <v>0</v>
      </c>
      <c r="P93" s="100">
        <v>0.37</v>
      </c>
      <c r="Q93" s="100">
        <v>9.92</v>
      </c>
      <c r="R93" s="6"/>
      <c r="S93" s="6"/>
      <c r="T93" s="156"/>
      <c r="U93" s="6"/>
    </row>
    <row r="94" spans="1:21" customFormat="1">
      <c r="A94" s="163" t="s">
        <v>1285</v>
      </c>
      <c r="B94" s="100">
        <v>4.16</v>
      </c>
      <c r="C94" s="100">
        <v>10.15</v>
      </c>
      <c r="D94" s="100">
        <v>5.99</v>
      </c>
      <c r="E94" s="100">
        <v>5.19</v>
      </c>
      <c r="F94" s="100">
        <v>4.4000000000000004</v>
      </c>
      <c r="G94" s="100">
        <v>64.17</v>
      </c>
      <c r="H94" s="100">
        <v>30.38</v>
      </c>
      <c r="I94" s="100">
        <v>5.28</v>
      </c>
      <c r="J94" s="100">
        <v>0.21</v>
      </c>
      <c r="K94" s="100">
        <v>162.61000000000001</v>
      </c>
      <c r="L94" s="100">
        <v>30.29</v>
      </c>
      <c r="M94" s="100">
        <v>65.75</v>
      </c>
      <c r="N94" s="100">
        <v>1.6</v>
      </c>
      <c r="O94" s="100">
        <v>0</v>
      </c>
      <c r="P94" s="100">
        <v>0.38</v>
      </c>
      <c r="Q94" s="100">
        <v>9.92</v>
      </c>
      <c r="R94" s="6"/>
      <c r="S94" s="6"/>
      <c r="T94" s="156"/>
      <c r="U94" s="6"/>
    </row>
    <row r="95" spans="1:21" customFormat="1">
      <c r="A95" s="163" t="s">
        <v>1286</v>
      </c>
      <c r="B95" s="100">
        <v>4.2</v>
      </c>
      <c r="C95" s="100">
        <v>10.01</v>
      </c>
      <c r="D95" s="100">
        <v>5.81</v>
      </c>
      <c r="E95" s="100">
        <v>5.32</v>
      </c>
      <c r="F95" s="100">
        <v>3.71</v>
      </c>
      <c r="G95" s="100">
        <v>64.17</v>
      </c>
      <c r="H95" s="100">
        <v>30.38</v>
      </c>
      <c r="I95" s="100">
        <v>5.25</v>
      </c>
      <c r="J95" s="100">
        <v>0.22</v>
      </c>
      <c r="K95" s="100">
        <v>165.28</v>
      </c>
      <c r="L95" s="100">
        <v>30.43</v>
      </c>
      <c r="M95" s="100">
        <v>64.959999999999994</v>
      </c>
      <c r="N95" s="100">
        <v>1.8</v>
      </c>
      <c r="O95" s="100">
        <v>0</v>
      </c>
      <c r="P95" s="100">
        <v>0.4</v>
      </c>
      <c r="Q95" s="100">
        <v>9.92</v>
      </c>
      <c r="R95" s="6"/>
      <c r="S95" s="6"/>
      <c r="T95" s="156"/>
      <c r="U95" s="6"/>
    </row>
    <row r="96" spans="1:21" customFormat="1">
      <c r="A96" s="163" t="s">
        <v>1287</v>
      </c>
      <c r="B96" s="100">
        <v>4.2300000000000004</v>
      </c>
      <c r="C96" s="100">
        <v>9.84</v>
      </c>
      <c r="D96" s="100">
        <v>5.61</v>
      </c>
      <c r="E96" s="100">
        <v>5.63</v>
      </c>
      <c r="F96" s="100">
        <v>5.21</v>
      </c>
      <c r="G96" s="100">
        <v>64.17</v>
      </c>
      <c r="H96" s="100">
        <v>30.38</v>
      </c>
      <c r="I96" s="100">
        <v>5.33</v>
      </c>
      <c r="J96" s="100">
        <v>0.22</v>
      </c>
      <c r="K96" s="100">
        <v>167.29</v>
      </c>
      <c r="L96" s="100">
        <v>30.29</v>
      </c>
      <c r="M96" s="100">
        <v>66.12</v>
      </c>
      <c r="N96" s="100">
        <v>2</v>
      </c>
      <c r="O96" s="100">
        <v>0</v>
      </c>
      <c r="P96" s="100">
        <v>0.39</v>
      </c>
      <c r="Q96" s="100">
        <v>9.93</v>
      </c>
      <c r="R96" s="6"/>
      <c r="S96" s="6"/>
      <c r="T96" s="156"/>
      <c r="U96" s="6"/>
    </row>
    <row r="97" spans="1:28" customFormat="1">
      <c r="A97" s="163" t="s">
        <v>1288</v>
      </c>
      <c r="B97" s="100">
        <v>4.0999999999999996</v>
      </c>
      <c r="C97" s="100">
        <v>11.1</v>
      </c>
      <c r="D97" s="100">
        <v>6.99</v>
      </c>
      <c r="E97" s="100">
        <v>4.63</v>
      </c>
      <c r="F97" s="100">
        <v>12.35</v>
      </c>
      <c r="G97" s="100">
        <v>64.540000000000006</v>
      </c>
      <c r="H97" s="100">
        <v>33.07</v>
      </c>
      <c r="I97" s="100">
        <v>5.4</v>
      </c>
      <c r="J97" s="100">
        <v>0.21</v>
      </c>
      <c r="K97" s="100">
        <v>171.65</v>
      </c>
      <c r="L97" s="100">
        <v>29.94</v>
      </c>
      <c r="M97" s="100">
        <v>66.72</v>
      </c>
      <c r="N97" s="100">
        <v>2</v>
      </c>
      <c r="O97" s="100">
        <v>0</v>
      </c>
      <c r="P97" s="100">
        <v>0.45</v>
      </c>
      <c r="Q97" s="100">
        <v>9.92</v>
      </c>
      <c r="R97" s="6"/>
      <c r="S97" s="6"/>
      <c r="T97" s="156"/>
      <c r="U97" s="6"/>
    </row>
    <row r="98" spans="1:28" customFormat="1">
      <c r="A98" s="163" t="s">
        <v>1289</v>
      </c>
      <c r="B98" s="100">
        <v>4.1100000000000003</v>
      </c>
      <c r="C98" s="100">
        <v>11.19</v>
      </c>
      <c r="D98" s="100">
        <v>7.08</v>
      </c>
      <c r="E98" s="100">
        <v>4.76</v>
      </c>
      <c r="F98" s="100">
        <v>13.66</v>
      </c>
      <c r="G98" s="100">
        <v>65.010000000000005</v>
      </c>
      <c r="H98" s="100">
        <v>34.880000000000003</v>
      </c>
      <c r="I98" s="100">
        <v>5.4</v>
      </c>
      <c r="J98" s="100">
        <v>0.16</v>
      </c>
      <c r="K98" s="100">
        <v>178.09</v>
      </c>
      <c r="L98" s="100">
        <v>29.78</v>
      </c>
      <c r="M98" s="100">
        <v>67.12</v>
      </c>
      <c r="N98" s="100">
        <v>2.1</v>
      </c>
      <c r="O98" s="100">
        <v>0</v>
      </c>
      <c r="P98" s="100">
        <v>0.45</v>
      </c>
      <c r="Q98" s="100">
        <v>9.9499999999999993</v>
      </c>
      <c r="R98" s="6"/>
      <c r="S98" s="6"/>
      <c r="T98" s="156"/>
      <c r="U98" s="6"/>
    </row>
    <row r="99" spans="1:28" customFormat="1">
      <c r="A99" s="163" t="s">
        <v>1290</v>
      </c>
      <c r="B99" s="100">
        <v>4.1500000000000004</v>
      </c>
      <c r="C99" s="100">
        <v>10.47</v>
      </c>
      <c r="D99" s="100">
        <v>6.32</v>
      </c>
      <c r="E99" s="100">
        <v>4.54</v>
      </c>
      <c r="F99" s="100">
        <v>15.18</v>
      </c>
      <c r="G99" s="100">
        <v>65.010000000000005</v>
      </c>
      <c r="H99" s="100">
        <v>34.880000000000003</v>
      </c>
      <c r="I99" s="100">
        <v>5.39</v>
      </c>
      <c r="J99" s="100">
        <v>0.17</v>
      </c>
      <c r="K99" s="100">
        <v>185.08</v>
      </c>
      <c r="L99" s="100">
        <v>29.56</v>
      </c>
      <c r="M99" s="100">
        <v>68.150000000000006</v>
      </c>
      <c r="N99" s="100">
        <v>2</v>
      </c>
      <c r="O99" s="100">
        <v>0</v>
      </c>
      <c r="P99" s="100">
        <v>0.43</v>
      </c>
      <c r="Q99" s="100">
        <v>9.9499999999999993</v>
      </c>
      <c r="R99" s="6"/>
      <c r="S99" s="6"/>
      <c r="T99" s="156"/>
      <c r="U99" s="6"/>
    </row>
    <row r="100" spans="1:28" customFormat="1">
      <c r="A100" s="163" t="s">
        <v>1291</v>
      </c>
      <c r="B100" s="100">
        <v>4.13</v>
      </c>
      <c r="C100" s="100">
        <v>10.38</v>
      </c>
      <c r="D100" s="100">
        <v>6.26</v>
      </c>
      <c r="E100" s="100">
        <v>4.3499999999999996</v>
      </c>
      <c r="F100" s="100">
        <v>14.57</v>
      </c>
      <c r="G100" s="100">
        <v>65.010000000000005</v>
      </c>
      <c r="H100" s="100">
        <v>34.880000000000003</v>
      </c>
      <c r="I100" s="100">
        <v>5.37</v>
      </c>
      <c r="J100" s="100">
        <v>0.15</v>
      </c>
      <c r="K100" s="100">
        <v>201.3</v>
      </c>
      <c r="L100" s="100">
        <v>29.38</v>
      </c>
      <c r="M100" s="100">
        <v>68.569999999999993</v>
      </c>
      <c r="N100" s="100">
        <v>2</v>
      </c>
      <c r="O100" s="100">
        <v>0</v>
      </c>
      <c r="P100" s="100">
        <v>0.43</v>
      </c>
      <c r="Q100" s="100">
        <v>9.9499999999999993</v>
      </c>
      <c r="R100" s="6"/>
      <c r="S100" s="6"/>
      <c r="T100" s="156"/>
      <c r="U100" s="6"/>
      <c r="AB100" s="161"/>
    </row>
    <row r="101" spans="1:28" customFormat="1">
      <c r="A101" s="163" t="s">
        <v>1292</v>
      </c>
      <c r="B101" s="100">
        <v>4.2300000000000004</v>
      </c>
      <c r="C101" s="100">
        <v>10.19</v>
      </c>
      <c r="D101" s="100">
        <v>5.96</v>
      </c>
      <c r="E101" s="100">
        <v>4.8499999999999996</v>
      </c>
      <c r="F101" s="100">
        <v>10.79</v>
      </c>
      <c r="G101" s="100">
        <v>63.64</v>
      </c>
      <c r="H101" s="100">
        <v>37.380000000000003</v>
      </c>
      <c r="I101" s="100">
        <v>5.37</v>
      </c>
      <c r="J101" s="100">
        <v>0.2</v>
      </c>
      <c r="K101" s="100">
        <v>158.62</v>
      </c>
      <c r="L101" s="100">
        <v>29.29</v>
      </c>
      <c r="M101" s="100">
        <v>69.849999999999994</v>
      </c>
      <c r="N101" s="100">
        <v>1.9</v>
      </c>
      <c r="O101" s="100">
        <v>0</v>
      </c>
      <c r="P101" s="100">
        <v>0.44</v>
      </c>
      <c r="Q101" s="100">
        <v>9.93</v>
      </c>
      <c r="R101" s="6"/>
      <c r="S101" s="6"/>
      <c r="T101" s="156"/>
      <c r="U101" s="6"/>
    </row>
    <row r="102" spans="1:28" customFormat="1">
      <c r="A102" s="163" t="s">
        <v>1293</v>
      </c>
      <c r="B102" s="100">
        <v>4.32</v>
      </c>
      <c r="C102" s="100">
        <v>10.07</v>
      </c>
      <c r="D102" s="100">
        <v>5.75</v>
      </c>
      <c r="E102" s="100">
        <v>5.07</v>
      </c>
      <c r="F102" s="100">
        <v>10.09</v>
      </c>
      <c r="G102" s="100">
        <v>61.92</v>
      </c>
      <c r="H102" s="100">
        <v>39.1</v>
      </c>
      <c r="I102" s="100">
        <v>5.44</v>
      </c>
      <c r="J102" s="100">
        <v>0.16</v>
      </c>
      <c r="K102" s="100">
        <v>164.68</v>
      </c>
      <c r="L102" s="100">
        <v>29.24</v>
      </c>
      <c r="M102" s="100">
        <v>69.28</v>
      </c>
      <c r="N102" s="100">
        <v>2</v>
      </c>
      <c r="O102" s="100">
        <v>0</v>
      </c>
      <c r="P102" s="100">
        <v>0.45</v>
      </c>
      <c r="Q102" s="100">
        <v>9.93</v>
      </c>
      <c r="R102" s="6"/>
      <c r="S102" s="6"/>
      <c r="T102" s="156"/>
      <c r="U102" s="6"/>
    </row>
    <row r="103" spans="1:28" customFormat="1">
      <c r="A103" s="163" t="s">
        <v>1294</v>
      </c>
      <c r="B103" s="100">
        <v>4.33</v>
      </c>
      <c r="C103" s="100">
        <v>10.15</v>
      </c>
      <c r="D103" s="100">
        <v>5.82</v>
      </c>
      <c r="E103" s="100">
        <v>5.15</v>
      </c>
      <c r="F103" s="100">
        <v>10.8</v>
      </c>
      <c r="G103" s="100">
        <v>61.92</v>
      </c>
      <c r="H103" s="100">
        <v>39.1</v>
      </c>
      <c r="I103" s="100">
        <v>5.57</v>
      </c>
      <c r="J103" s="100">
        <v>0.17</v>
      </c>
      <c r="K103" s="100">
        <v>161.44999999999999</v>
      </c>
      <c r="L103" s="100">
        <v>29.09</v>
      </c>
      <c r="M103" s="100">
        <v>70.77</v>
      </c>
      <c r="N103" s="100">
        <v>2</v>
      </c>
      <c r="O103" s="100">
        <v>0</v>
      </c>
      <c r="P103" s="100">
        <v>0.45</v>
      </c>
      <c r="Q103" s="100">
        <v>9.93</v>
      </c>
      <c r="R103" s="6"/>
      <c r="S103" s="6"/>
      <c r="T103" s="156"/>
      <c r="U103" s="6"/>
    </row>
    <row r="104" spans="1:28" customFormat="1">
      <c r="A104" s="163" t="s">
        <v>1295</v>
      </c>
      <c r="B104" s="100">
        <v>4.42</v>
      </c>
      <c r="C104" s="100">
        <v>9.82</v>
      </c>
      <c r="D104" s="100">
        <v>5.4</v>
      </c>
      <c r="E104" s="100">
        <v>5.0999999999999996</v>
      </c>
      <c r="F104" s="100">
        <v>7.43</v>
      </c>
      <c r="G104" s="100">
        <v>61.92</v>
      </c>
      <c r="H104" s="100">
        <v>39.1</v>
      </c>
      <c r="I104" s="100">
        <v>5.59</v>
      </c>
      <c r="J104" s="100">
        <v>0.23</v>
      </c>
      <c r="K104" s="100">
        <v>146.93</v>
      </c>
      <c r="L104" s="100">
        <v>29.08</v>
      </c>
      <c r="M104" s="100">
        <v>68.98</v>
      </c>
      <c r="N104" s="100">
        <v>1.7</v>
      </c>
      <c r="O104" s="100">
        <v>0</v>
      </c>
      <c r="P104" s="100">
        <v>0.44</v>
      </c>
      <c r="Q104" s="100">
        <v>9.9499999999999993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3.62</v>
      </c>
      <c r="C106" s="158">
        <f>MIN(C9:C104)</f>
        <v>7.45</v>
      </c>
      <c r="D106" s="158">
        <f t="shared" ref="D106:Q106" si="0">MIN(D9:D104)</f>
        <v>3.62</v>
      </c>
      <c r="E106" s="158">
        <f t="shared" si="0"/>
        <v>3.52</v>
      </c>
      <c r="F106" s="158">
        <f t="shared" si="0"/>
        <v>2.1</v>
      </c>
      <c r="G106" s="158">
        <f t="shared" si="0"/>
        <v>27.18</v>
      </c>
      <c r="H106" s="158">
        <f t="shared" si="0"/>
        <v>19.95</v>
      </c>
      <c r="I106" s="158">
        <f t="shared" si="0"/>
        <v>4.67</v>
      </c>
      <c r="J106" s="158">
        <f t="shared" si="0"/>
        <v>0.06</v>
      </c>
      <c r="K106" s="158">
        <f t="shared" si="0"/>
        <v>16.09</v>
      </c>
      <c r="L106" s="158">
        <f t="shared" si="0"/>
        <v>24.64</v>
      </c>
      <c r="M106" s="158">
        <f t="shared" si="0"/>
        <v>43.32</v>
      </c>
      <c r="N106" s="158">
        <f t="shared" si="0"/>
        <v>1.6</v>
      </c>
      <c r="O106" s="158">
        <f t="shared" si="0"/>
        <v>0</v>
      </c>
      <c r="P106" s="158">
        <f t="shared" si="0"/>
        <v>0.33</v>
      </c>
      <c r="Q106" s="158">
        <f t="shared" si="0"/>
        <v>9.91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8.74</v>
      </c>
      <c r="C107" s="157">
        <f t="shared" ref="C107:Q107" si="1">MAX(C9:C104)</f>
        <v>14.3</v>
      </c>
      <c r="D107" s="157">
        <f t="shared" si="1"/>
        <v>9.4700000000000006</v>
      </c>
      <c r="E107" s="157">
        <f t="shared" si="1"/>
        <v>6.03</v>
      </c>
      <c r="F107" s="157">
        <f t="shared" si="1"/>
        <v>21.23</v>
      </c>
      <c r="G107" s="157">
        <f t="shared" si="1"/>
        <v>65.010000000000005</v>
      </c>
      <c r="H107" s="157">
        <f t="shared" si="1"/>
        <v>39.1</v>
      </c>
      <c r="I107" s="157">
        <f t="shared" si="1"/>
        <v>7.03</v>
      </c>
      <c r="J107" s="157">
        <f t="shared" si="1"/>
        <v>1.02</v>
      </c>
      <c r="K107" s="157">
        <f t="shared" si="1"/>
        <v>359.08</v>
      </c>
      <c r="L107" s="157">
        <f t="shared" si="1"/>
        <v>35.869999999999997</v>
      </c>
      <c r="M107" s="157">
        <f t="shared" si="1"/>
        <v>95.75</v>
      </c>
      <c r="N107" s="157">
        <f t="shared" si="1"/>
        <v>814.9</v>
      </c>
      <c r="O107" s="157">
        <f t="shared" si="1"/>
        <v>0</v>
      </c>
      <c r="P107" s="157">
        <f t="shared" si="1"/>
        <v>0.66</v>
      </c>
      <c r="Q107" s="157">
        <f t="shared" si="1"/>
        <v>9.99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4.7761458333333335</v>
      </c>
      <c r="C108" s="158">
        <f t="shared" ref="C108:Q108" si="2">AVERAGE(C9:C104)</f>
        <v>10.391770833333338</v>
      </c>
      <c r="D108" s="158">
        <f t="shared" si="2"/>
        <v>5.614791666666668</v>
      </c>
      <c r="E108" s="158">
        <f t="shared" si="2"/>
        <v>4.8022916666666688</v>
      </c>
      <c r="F108" s="158">
        <f t="shared" si="2"/>
        <v>7.7668750000000033</v>
      </c>
      <c r="G108" s="158">
        <f t="shared" si="2"/>
        <v>48.519166666666656</v>
      </c>
      <c r="H108" s="158">
        <f t="shared" si="2"/>
        <v>29.338125000000005</v>
      </c>
      <c r="I108" s="158">
        <f t="shared" si="2"/>
        <v>5.6918750000000005</v>
      </c>
      <c r="J108" s="158">
        <f t="shared" si="2"/>
        <v>0.35374999999999995</v>
      </c>
      <c r="K108" s="158">
        <f t="shared" si="2"/>
        <v>98.898229166666681</v>
      </c>
      <c r="L108" s="158">
        <f t="shared" si="2"/>
        <v>30.519479166666667</v>
      </c>
      <c r="M108" s="158">
        <f t="shared" si="2"/>
        <v>67.729687499999997</v>
      </c>
      <c r="N108" s="158">
        <f t="shared" si="2"/>
        <v>132.98541666666668</v>
      </c>
      <c r="O108" s="158">
        <f t="shared" si="2"/>
        <v>0</v>
      </c>
      <c r="P108" s="158">
        <f t="shared" si="2"/>
        <v>0.48937499999999989</v>
      </c>
      <c r="Q108" s="158">
        <f t="shared" si="2"/>
        <v>9.9376041666666612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1.3676582904956183</v>
      </c>
      <c r="C109" s="158">
        <f t="shared" ref="C109:Q109" si="3">STDEV(C9:C104)</f>
        <v>1.6344372891588335</v>
      </c>
      <c r="D109" s="158">
        <f t="shared" si="3"/>
        <v>1.1823615790056599</v>
      </c>
      <c r="E109" s="158">
        <f t="shared" si="3"/>
        <v>0.58542378562192976</v>
      </c>
      <c r="F109" s="158">
        <f t="shared" si="3"/>
        <v>5.7836978359778364</v>
      </c>
      <c r="G109" s="158">
        <f t="shared" si="3"/>
        <v>12.294487568069004</v>
      </c>
      <c r="H109" s="158">
        <f t="shared" si="3"/>
        <v>5.4054304687629378</v>
      </c>
      <c r="I109" s="158">
        <f t="shared" si="3"/>
        <v>0.69445823261165007</v>
      </c>
      <c r="J109" s="158">
        <f t="shared" si="3"/>
        <v>0.21113353220427286</v>
      </c>
      <c r="K109" s="158">
        <f t="shared" si="3"/>
        <v>63.884268370641813</v>
      </c>
      <c r="L109" s="158">
        <f t="shared" si="3"/>
        <v>3.938781903554982</v>
      </c>
      <c r="M109" s="158">
        <f t="shared" si="3"/>
        <v>17.456504470321967</v>
      </c>
      <c r="N109" s="158">
        <f t="shared" si="3"/>
        <v>189.31891833020629</v>
      </c>
      <c r="O109" s="158">
        <f t="shared" si="3"/>
        <v>0</v>
      </c>
      <c r="P109" s="158">
        <f t="shared" si="3"/>
        <v>9.0795461282344683E-2</v>
      </c>
      <c r="Q109" s="158">
        <f t="shared" si="3"/>
        <v>1.8566795016722371E-2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14" sqref="I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1296</v>
      </c>
      <c r="B9" s="100">
        <v>4.33</v>
      </c>
      <c r="C9" s="100">
        <v>9.43</v>
      </c>
      <c r="D9" s="100">
        <v>5.0999999999999996</v>
      </c>
      <c r="E9" s="100">
        <v>4.49</v>
      </c>
      <c r="F9" s="100">
        <v>13.27</v>
      </c>
      <c r="G9" s="100">
        <v>60.8</v>
      </c>
      <c r="H9" s="100">
        <v>37.28</v>
      </c>
      <c r="I9" s="100">
        <v>5.65</v>
      </c>
      <c r="J9" s="100">
        <v>0.15</v>
      </c>
      <c r="K9" s="100">
        <v>139.59</v>
      </c>
      <c r="L9" s="100">
        <v>29.31</v>
      </c>
      <c r="M9" s="100">
        <v>67.47</v>
      </c>
      <c r="N9" s="100">
        <v>1.7</v>
      </c>
      <c r="O9" s="100">
        <v>0</v>
      </c>
      <c r="P9" s="100">
        <v>0.44</v>
      </c>
      <c r="Q9" s="100">
        <v>9.9499999999999993</v>
      </c>
      <c r="R9" s="6"/>
      <c r="S9" s="6"/>
      <c r="T9" s="156"/>
      <c r="U9" s="6"/>
    </row>
    <row r="10" spans="1:21" customFormat="1">
      <c r="A10" s="163" t="s">
        <v>1297</v>
      </c>
      <c r="B10" s="100">
        <v>4.38</v>
      </c>
      <c r="C10" s="100">
        <v>8.64</v>
      </c>
      <c r="D10" s="100">
        <v>4.26</v>
      </c>
      <c r="E10" s="100">
        <v>4.07</v>
      </c>
      <c r="F10" s="100">
        <v>14.57</v>
      </c>
      <c r="G10" s="100">
        <v>59.39</v>
      </c>
      <c r="H10" s="100">
        <v>34.21</v>
      </c>
      <c r="I10" s="100">
        <v>5.73</v>
      </c>
      <c r="J10" s="100">
        <v>0.11</v>
      </c>
      <c r="K10" s="100">
        <v>125.28</v>
      </c>
      <c r="L10" s="100">
        <v>29.18</v>
      </c>
      <c r="M10" s="100">
        <v>68.75</v>
      </c>
      <c r="N10" s="100">
        <v>2</v>
      </c>
      <c r="O10" s="100">
        <v>0</v>
      </c>
      <c r="P10" s="100">
        <v>0.41</v>
      </c>
      <c r="Q10" s="100">
        <v>9.9499999999999993</v>
      </c>
      <c r="R10" s="6"/>
      <c r="S10" s="6"/>
      <c r="T10" s="156"/>
      <c r="U10" s="6"/>
    </row>
    <row r="11" spans="1:21" customFormat="1">
      <c r="A11" s="163" t="s">
        <v>1298</v>
      </c>
      <c r="B11" s="100">
        <v>4.45</v>
      </c>
      <c r="C11" s="100">
        <v>8.24</v>
      </c>
      <c r="D11" s="100">
        <v>3.79</v>
      </c>
      <c r="E11" s="100">
        <v>4.1500000000000004</v>
      </c>
      <c r="F11" s="100">
        <v>9.1300000000000008</v>
      </c>
      <c r="G11" s="100">
        <v>59.39</v>
      </c>
      <c r="H11" s="100">
        <v>34.21</v>
      </c>
      <c r="I11" s="100">
        <v>5.38</v>
      </c>
      <c r="J11" s="100">
        <v>0.16</v>
      </c>
      <c r="K11" s="100">
        <v>151</v>
      </c>
      <c r="L11" s="100">
        <v>29.12</v>
      </c>
      <c r="M11" s="100">
        <v>69.42</v>
      </c>
      <c r="N11" s="100">
        <v>1.9</v>
      </c>
      <c r="O11" s="100">
        <v>0</v>
      </c>
      <c r="P11" s="100">
        <v>0.4</v>
      </c>
      <c r="Q11" s="100">
        <v>9.9499999999999993</v>
      </c>
      <c r="R11" s="6"/>
      <c r="S11" s="6"/>
      <c r="T11" s="156"/>
      <c r="U11" s="6"/>
    </row>
    <row r="12" spans="1:21" customFormat="1">
      <c r="A12" s="163" t="s">
        <v>1299</v>
      </c>
      <c r="B12" s="100">
        <v>4.49</v>
      </c>
      <c r="C12" s="100">
        <v>8.26</v>
      </c>
      <c r="D12" s="100">
        <v>3.77</v>
      </c>
      <c r="E12" s="100">
        <v>4.4000000000000004</v>
      </c>
      <c r="F12" s="100">
        <v>9.11</v>
      </c>
      <c r="G12" s="100">
        <v>59.39</v>
      </c>
      <c r="H12" s="100">
        <v>34.21</v>
      </c>
      <c r="I12" s="100">
        <v>5.2</v>
      </c>
      <c r="J12" s="100">
        <v>0.26</v>
      </c>
      <c r="K12" s="100">
        <v>149.65</v>
      </c>
      <c r="L12" s="100">
        <v>29.06</v>
      </c>
      <c r="M12" s="100">
        <v>70.2</v>
      </c>
      <c r="N12" s="100">
        <v>1.9</v>
      </c>
      <c r="O12" s="100">
        <v>0</v>
      </c>
      <c r="P12" s="100">
        <v>0.42</v>
      </c>
      <c r="Q12" s="100">
        <v>9.92</v>
      </c>
      <c r="R12" s="6"/>
      <c r="S12" s="6"/>
      <c r="T12" s="156"/>
      <c r="U12" s="6"/>
    </row>
    <row r="13" spans="1:21" customFormat="1">
      <c r="A13" s="163" t="s">
        <v>1300</v>
      </c>
      <c r="B13" s="100">
        <v>4.45</v>
      </c>
      <c r="C13" s="100">
        <v>7.83</v>
      </c>
      <c r="D13" s="100">
        <v>3.38</v>
      </c>
      <c r="E13" s="100">
        <v>4.1900000000000004</v>
      </c>
      <c r="F13" s="100">
        <v>11.72</v>
      </c>
      <c r="G13" s="100">
        <v>56.26</v>
      </c>
      <c r="H13" s="100">
        <v>33.14</v>
      </c>
      <c r="I13" s="100">
        <v>5.34</v>
      </c>
      <c r="J13" s="100">
        <v>0.17</v>
      </c>
      <c r="K13" s="100">
        <v>131.09</v>
      </c>
      <c r="L13" s="100">
        <v>28.99</v>
      </c>
      <c r="M13" s="100">
        <v>70.34</v>
      </c>
      <c r="N13" s="100">
        <v>2</v>
      </c>
      <c r="O13" s="100">
        <v>0</v>
      </c>
      <c r="P13" s="100">
        <v>0.39</v>
      </c>
      <c r="Q13" s="100">
        <v>9.94</v>
      </c>
      <c r="R13" s="6"/>
      <c r="S13" s="6"/>
      <c r="T13" s="156"/>
      <c r="U13" s="6"/>
    </row>
    <row r="14" spans="1:21" customFormat="1">
      <c r="A14" s="163" t="s">
        <v>1301</v>
      </c>
      <c r="B14" s="100">
        <v>4.5</v>
      </c>
      <c r="C14" s="100">
        <v>7.69</v>
      </c>
      <c r="D14" s="100">
        <v>3.19</v>
      </c>
      <c r="E14" s="100">
        <v>4.26</v>
      </c>
      <c r="F14" s="100">
        <v>8.0299999999999994</v>
      </c>
      <c r="G14" s="100">
        <v>52.16</v>
      </c>
      <c r="H14" s="100">
        <v>32.4</v>
      </c>
      <c r="I14" s="100">
        <v>5.34</v>
      </c>
      <c r="J14" s="100">
        <v>0.18</v>
      </c>
      <c r="K14" s="100">
        <v>125.2</v>
      </c>
      <c r="L14" s="100">
        <v>28.82</v>
      </c>
      <c r="M14" s="100">
        <v>71.09</v>
      </c>
      <c r="N14" s="100">
        <v>2</v>
      </c>
      <c r="O14" s="100">
        <v>0</v>
      </c>
      <c r="P14" s="100">
        <v>0.39</v>
      </c>
      <c r="Q14" s="100">
        <v>9.9499999999999993</v>
      </c>
      <c r="R14" s="6"/>
      <c r="S14" s="6"/>
      <c r="T14" s="156"/>
      <c r="U14" s="6"/>
    </row>
    <row r="15" spans="1:21" customFormat="1">
      <c r="A15" s="163" t="s">
        <v>1302</v>
      </c>
      <c r="B15" s="100">
        <v>4.53</v>
      </c>
      <c r="C15" s="100">
        <v>7.95</v>
      </c>
      <c r="D15" s="100">
        <v>3.42</v>
      </c>
      <c r="E15" s="100">
        <v>4.17</v>
      </c>
      <c r="F15" s="100">
        <v>8.51</v>
      </c>
      <c r="G15" s="100">
        <v>52.16</v>
      </c>
      <c r="H15" s="100">
        <v>32.4</v>
      </c>
      <c r="I15" s="100">
        <v>5.0999999999999996</v>
      </c>
      <c r="J15" s="100">
        <v>0.18</v>
      </c>
      <c r="K15" s="100">
        <v>135.74</v>
      </c>
      <c r="L15" s="100">
        <v>28.7</v>
      </c>
      <c r="M15" s="100">
        <v>71.88</v>
      </c>
      <c r="N15" s="100">
        <v>2</v>
      </c>
      <c r="O15" s="100">
        <v>0</v>
      </c>
      <c r="P15" s="100">
        <v>0.39</v>
      </c>
      <c r="Q15" s="100">
        <v>9.94</v>
      </c>
      <c r="R15" s="6"/>
      <c r="S15" s="6"/>
      <c r="T15" s="156"/>
      <c r="U15" s="6"/>
    </row>
    <row r="16" spans="1:21" customFormat="1">
      <c r="A16" s="163" t="s">
        <v>1303</v>
      </c>
      <c r="B16" s="100">
        <v>4.58</v>
      </c>
      <c r="C16" s="100">
        <v>7.68</v>
      </c>
      <c r="D16" s="100">
        <v>3.09</v>
      </c>
      <c r="E16" s="100">
        <v>4.16</v>
      </c>
      <c r="F16" s="100">
        <v>9.27</v>
      </c>
      <c r="G16" s="100">
        <v>52.16</v>
      </c>
      <c r="H16" s="100">
        <v>32.4</v>
      </c>
      <c r="I16" s="100">
        <v>5.31</v>
      </c>
      <c r="J16" s="100">
        <v>0.15</v>
      </c>
      <c r="K16" s="100">
        <v>134.59</v>
      </c>
      <c r="L16" s="100">
        <v>28.62</v>
      </c>
      <c r="M16" s="100">
        <v>72.44</v>
      </c>
      <c r="N16" s="100">
        <v>2</v>
      </c>
      <c r="O16" s="100">
        <v>0</v>
      </c>
      <c r="P16" s="100">
        <v>0.36</v>
      </c>
      <c r="Q16" s="100">
        <v>9.9600000000000009</v>
      </c>
      <c r="R16" s="6"/>
      <c r="S16" s="6"/>
      <c r="T16" s="156"/>
      <c r="U16" s="6"/>
    </row>
    <row r="17" spans="1:21" customFormat="1">
      <c r="A17" s="163" t="s">
        <v>1304</v>
      </c>
      <c r="B17" s="100">
        <v>4.5999999999999996</v>
      </c>
      <c r="C17" s="100">
        <v>7.55</v>
      </c>
      <c r="D17" s="100">
        <v>2.95</v>
      </c>
      <c r="E17" s="100">
        <v>3.7</v>
      </c>
      <c r="F17" s="100">
        <v>7.44</v>
      </c>
      <c r="G17" s="100">
        <v>46.7</v>
      </c>
      <c r="H17" s="100">
        <v>29.02</v>
      </c>
      <c r="I17" s="100">
        <v>5.16</v>
      </c>
      <c r="J17" s="100">
        <v>0.18</v>
      </c>
      <c r="K17" s="100">
        <v>141.96</v>
      </c>
      <c r="L17" s="100">
        <v>28.61</v>
      </c>
      <c r="M17" s="100">
        <v>72.540000000000006</v>
      </c>
      <c r="N17" s="100">
        <v>2</v>
      </c>
      <c r="O17" s="100">
        <v>0</v>
      </c>
      <c r="P17" s="100">
        <v>0.37</v>
      </c>
      <c r="Q17" s="100">
        <v>9.9499999999999993</v>
      </c>
      <c r="R17" s="6"/>
      <c r="S17" s="6"/>
      <c r="T17" s="156"/>
      <c r="U17" s="6"/>
    </row>
    <row r="18" spans="1:21" customFormat="1">
      <c r="A18" s="163" t="s">
        <v>1305</v>
      </c>
      <c r="B18" s="100">
        <v>4.55</v>
      </c>
      <c r="C18" s="100">
        <v>7.83</v>
      </c>
      <c r="D18" s="100">
        <v>3.29</v>
      </c>
      <c r="E18" s="100">
        <v>4.8600000000000003</v>
      </c>
      <c r="F18" s="100">
        <v>7.57</v>
      </c>
      <c r="G18" s="100">
        <v>39.549999999999997</v>
      </c>
      <c r="H18" s="100">
        <v>26.68</v>
      </c>
      <c r="I18" s="100">
        <v>5.07</v>
      </c>
      <c r="J18" s="100">
        <v>0.09</v>
      </c>
      <c r="K18" s="100">
        <v>186.26</v>
      </c>
      <c r="L18" s="100">
        <v>28.37</v>
      </c>
      <c r="M18" s="100">
        <v>73.930000000000007</v>
      </c>
      <c r="N18" s="100">
        <v>2.1</v>
      </c>
      <c r="O18" s="100">
        <v>0</v>
      </c>
      <c r="P18" s="100">
        <v>0.37</v>
      </c>
      <c r="Q18" s="100">
        <v>9.93</v>
      </c>
      <c r="R18" s="6"/>
      <c r="S18" s="6"/>
      <c r="T18" s="156"/>
      <c r="U18" s="6"/>
    </row>
    <row r="19" spans="1:21" customFormat="1">
      <c r="A19" s="163" t="s">
        <v>1306</v>
      </c>
      <c r="B19" s="100">
        <v>4.54</v>
      </c>
      <c r="C19" s="100">
        <v>7.71</v>
      </c>
      <c r="D19" s="100">
        <v>3.17</v>
      </c>
      <c r="E19" s="100">
        <v>4.58</v>
      </c>
      <c r="F19" s="100">
        <v>8.59</v>
      </c>
      <c r="G19" s="100">
        <v>39.549999999999997</v>
      </c>
      <c r="H19" s="100">
        <v>26.68</v>
      </c>
      <c r="I19" s="100">
        <v>5.15</v>
      </c>
      <c r="J19" s="100">
        <v>0.11</v>
      </c>
      <c r="K19" s="100">
        <v>168.09</v>
      </c>
      <c r="L19" s="100">
        <v>28.33</v>
      </c>
      <c r="M19" s="100">
        <v>73.569999999999993</v>
      </c>
      <c r="N19" s="100">
        <v>2</v>
      </c>
      <c r="O19" s="100">
        <v>0</v>
      </c>
      <c r="P19" s="100">
        <v>0.36</v>
      </c>
      <c r="Q19" s="100">
        <v>9.9499999999999993</v>
      </c>
      <c r="R19" s="6"/>
      <c r="S19" s="6"/>
      <c r="T19" s="156"/>
      <c r="U19" s="6"/>
    </row>
    <row r="20" spans="1:21" customFormat="1">
      <c r="A20" s="163" t="s">
        <v>1307</v>
      </c>
      <c r="B20" s="100">
        <v>4.79</v>
      </c>
      <c r="C20" s="100">
        <v>10.4</v>
      </c>
      <c r="D20" s="100">
        <v>5.61</v>
      </c>
      <c r="E20" s="100">
        <v>4.88</v>
      </c>
      <c r="F20" s="100">
        <v>2.79</v>
      </c>
      <c r="G20" s="100">
        <v>39.549999999999997</v>
      </c>
      <c r="H20" s="100">
        <v>26.68</v>
      </c>
      <c r="I20" s="100">
        <v>4.95</v>
      </c>
      <c r="J20" s="100">
        <v>0.12</v>
      </c>
      <c r="K20" s="100">
        <v>155.78</v>
      </c>
      <c r="L20" s="100">
        <v>28.19</v>
      </c>
      <c r="M20" s="100">
        <v>76.010000000000005</v>
      </c>
      <c r="N20" s="100">
        <v>2.1</v>
      </c>
      <c r="O20" s="100">
        <v>0</v>
      </c>
      <c r="P20" s="100">
        <v>0.36</v>
      </c>
      <c r="Q20" s="100">
        <v>9.93</v>
      </c>
      <c r="R20" s="6"/>
      <c r="S20" s="6"/>
      <c r="T20" s="156"/>
      <c r="U20" s="6"/>
    </row>
    <row r="21" spans="1:21" customFormat="1">
      <c r="A21" s="163" t="s">
        <v>1308</v>
      </c>
      <c r="B21" s="100">
        <v>4.8</v>
      </c>
      <c r="C21" s="100">
        <v>11.38</v>
      </c>
      <c r="D21" s="100">
        <v>6.59</v>
      </c>
      <c r="E21" s="100">
        <v>4.7300000000000004</v>
      </c>
      <c r="F21" s="100">
        <v>2.79</v>
      </c>
      <c r="G21" s="100">
        <v>38.79</v>
      </c>
      <c r="H21" s="100">
        <v>24.32</v>
      </c>
      <c r="I21" s="100">
        <v>4.9000000000000004</v>
      </c>
      <c r="J21" s="100">
        <v>0.09</v>
      </c>
      <c r="K21" s="100">
        <v>141.12</v>
      </c>
      <c r="L21" s="100">
        <v>28.06</v>
      </c>
      <c r="M21" s="100">
        <v>76.44</v>
      </c>
      <c r="N21" s="100">
        <v>2</v>
      </c>
      <c r="O21" s="100">
        <v>0</v>
      </c>
      <c r="P21" s="100">
        <v>0.33</v>
      </c>
      <c r="Q21" s="100">
        <v>9.94</v>
      </c>
      <c r="R21" s="6"/>
      <c r="S21" s="6"/>
      <c r="T21" s="156"/>
      <c r="U21" s="6"/>
    </row>
    <row r="22" spans="1:21" customFormat="1">
      <c r="A22" s="163" t="s">
        <v>1309</v>
      </c>
      <c r="B22" s="100">
        <v>4.8099999999999996</v>
      </c>
      <c r="C22" s="100">
        <v>11.22</v>
      </c>
      <c r="D22" s="100">
        <v>6.41</v>
      </c>
      <c r="E22" s="100">
        <v>5.17</v>
      </c>
      <c r="F22" s="100">
        <v>2.6</v>
      </c>
      <c r="G22" s="100">
        <v>37.799999999999997</v>
      </c>
      <c r="H22" s="100">
        <v>22.69</v>
      </c>
      <c r="I22" s="100">
        <v>5.43</v>
      </c>
      <c r="J22" s="100">
        <v>0.1</v>
      </c>
      <c r="K22" s="100">
        <v>161.31</v>
      </c>
      <c r="L22" s="100">
        <v>28.11</v>
      </c>
      <c r="M22" s="100">
        <v>75.28</v>
      </c>
      <c r="N22" s="100">
        <v>2</v>
      </c>
      <c r="O22" s="100">
        <v>0</v>
      </c>
      <c r="P22" s="100">
        <v>0.31</v>
      </c>
      <c r="Q22" s="100">
        <v>9.92</v>
      </c>
      <c r="R22" s="6"/>
      <c r="S22" s="6"/>
      <c r="T22" s="156"/>
      <c r="U22" s="6"/>
    </row>
    <row r="23" spans="1:21" customFormat="1">
      <c r="A23" s="163" t="s">
        <v>1310</v>
      </c>
      <c r="B23" s="100">
        <v>4.78</v>
      </c>
      <c r="C23" s="100">
        <v>10.89</v>
      </c>
      <c r="D23" s="100">
        <v>6.11</v>
      </c>
      <c r="E23" s="100">
        <v>5.14</v>
      </c>
      <c r="F23" s="100">
        <v>2.5099999999999998</v>
      </c>
      <c r="G23" s="100">
        <v>37.799999999999997</v>
      </c>
      <c r="H23" s="100">
        <v>22.69</v>
      </c>
      <c r="I23" s="100">
        <v>5.25</v>
      </c>
      <c r="J23" s="100">
        <v>0.11</v>
      </c>
      <c r="K23" s="100">
        <v>185.01</v>
      </c>
      <c r="L23" s="100">
        <v>27.9</v>
      </c>
      <c r="M23" s="100">
        <v>75.94</v>
      </c>
      <c r="N23" s="100">
        <v>2</v>
      </c>
      <c r="O23" s="100">
        <v>0</v>
      </c>
      <c r="P23" s="100">
        <v>0.3</v>
      </c>
      <c r="Q23" s="100">
        <v>9.93</v>
      </c>
      <c r="R23" s="6"/>
      <c r="S23" s="6"/>
      <c r="T23" s="156"/>
      <c r="U23" s="6"/>
    </row>
    <row r="24" spans="1:21" customFormat="1">
      <c r="A24" s="163" t="s">
        <v>1311</v>
      </c>
      <c r="B24" s="100">
        <v>4.74</v>
      </c>
      <c r="C24" s="100">
        <v>10.65</v>
      </c>
      <c r="D24" s="100">
        <v>5.91</v>
      </c>
      <c r="E24" s="100">
        <v>5.09</v>
      </c>
      <c r="F24" s="100">
        <v>2.5099999999999998</v>
      </c>
      <c r="G24" s="100">
        <v>37.799999999999997</v>
      </c>
      <c r="H24" s="100">
        <v>22.69</v>
      </c>
      <c r="I24" s="100">
        <v>5.09</v>
      </c>
      <c r="J24" s="100">
        <v>0.13</v>
      </c>
      <c r="K24" s="100">
        <v>119.66</v>
      </c>
      <c r="L24" s="100">
        <v>28.08</v>
      </c>
      <c r="M24" s="100">
        <v>74.66</v>
      </c>
      <c r="N24" s="100">
        <v>1.9</v>
      </c>
      <c r="O24" s="100">
        <v>0</v>
      </c>
      <c r="P24" s="100">
        <v>0.3</v>
      </c>
      <c r="Q24" s="100">
        <v>9.94</v>
      </c>
      <c r="R24" s="6"/>
      <c r="S24" s="6"/>
      <c r="T24" s="156"/>
      <c r="U24" s="6"/>
    </row>
    <row r="25" spans="1:21" customFormat="1">
      <c r="A25" s="163" t="s">
        <v>1312</v>
      </c>
      <c r="B25" s="100">
        <v>4.72</v>
      </c>
      <c r="C25" s="100">
        <v>10.46</v>
      </c>
      <c r="D25" s="100">
        <v>5.74</v>
      </c>
      <c r="E25" s="100">
        <v>4.9800000000000004</v>
      </c>
      <c r="F25" s="100">
        <v>2.64</v>
      </c>
      <c r="G25" s="100">
        <v>33.29</v>
      </c>
      <c r="H25" s="100">
        <v>21.03</v>
      </c>
      <c r="I25" s="100">
        <v>4.9800000000000004</v>
      </c>
      <c r="J25" s="100">
        <v>0.15</v>
      </c>
      <c r="K25" s="100">
        <v>119.49</v>
      </c>
      <c r="L25" s="100">
        <v>28.33</v>
      </c>
      <c r="M25" s="100">
        <v>71.72</v>
      </c>
      <c r="N25" s="100">
        <v>1.8</v>
      </c>
      <c r="O25" s="100">
        <v>0</v>
      </c>
      <c r="P25" s="100">
        <v>0.3</v>
      </c>
      <c r="Q25" s="100">
        <v>9.93</v>
      </c>
      <c r="R25" s="6"/>
      <c r="S25" s="6"/>
      <c r="T25" s="156"/>
      <c r="U25" s="6"/>
    </row>
    <row r="26" spans="1:21" customFormat="1">
      <c r="A26" s="163" t="s">
        <v>1313</v>
      </c>
      <c r="B26" s="100">
        <v>4.67</v>
      </c>
      <c r="C26" s="100">
        <v>10.42</v>
      </c>
      <c r="D26" s="100">
        <v>5.76</v>
      </c>
      <c r="E26" s="100">
        <v>5.21</v>
      </c>
      <c r="F26" s="100">
        <v>2.2999999999999998</v>
      </c>
      <c r="G26" s="100">
        <v>27.38</v>
      </c>
      <c r="H26" s="100">
        <v>19.88</v>
      </c>
      <c r="I26" s="100">
        <v>4.9000000000000004</v>
      </c>
      <c r="J26" s="100">
        <v>0.17</v>
      </c>
      <c r="K26" s="100">
        <v>131.94999999999999</v>
      </c>
      <c r="L26" s="100">
        <v>28.25</v>
      </c>
      <c r="M26" s="100">
        <v>75.37</v>
      </c>
      <c r="N26" s="100">
        <v>3</v>
      </c>
      <c r="O26" s="100">
        <v>0.2</v>
      </c>
      <c r="P26" s="100">
        <v>0.28000000000000003</v>
      </c>
      <c r="Q26" s="100">
        <v>9.94</v>
      </c>
      <c r="R26" s="6"/>
      <c r="S26" s="6"/>
      <c r="T26" s="156"/>
      <c r="U26" s="6"/>
    </row>
    <row r="27" spans="1:21" customFormat="1">
      <c r="A27" s="163" t="s">
        <v>1314</v>
      </c>
      <c r="B27" s="100">
        <v>4.7300000000000004</v>
      </c>
      <c r="C27" s="100">
        <v>10.53</v>
      </c>
      <c r="D27" s="100">
        <v>5.8</v>
      </c>
      <c r="E27" s="100">
        <v>5.23</v>
      </c>
      <c r="F27" s="100">
        <v>2.44</v>
      </c>
      <c r="G27" s="100">
        <v>27.38</v>
      </c>
      <c r="H27" s="100">
        <v>19.88</v>
      </c>
      <c r="I27" s="100">
        <v>4.75</v>
      </c>
      <c r="J27" s="100">
        <v>0.19</v>
      </c>
      <c r="K27" s="100">
        <v>120.71</v>
      </c>
      <c r="L27" s="100">
        <v>27.29</v>
      </c>
      <c r="M27" s="100">
        <v>82.79</v>
      </c>
      <c r="N27" s="100">
        <v>3.1</v>
      </c>
      <c r="O27" s="100">
        <v>0</v>
      </c>
      <c r="P27" s="100">
        <v>0.28000000000000003</v>
      </c>
      <c r="Q27" s="100">
        <v>9.92</v>
      </c>
      <c r="R27" s="6"/>
      <c r="S27" s="6"/>
      <c r="T27" s="156"/>
      <c r="U27" s="6"/>
    </row>
    <row r="28" spans="1:21" customFormat="1">
      <c r="A28" s="163" t="s">
        <v>1315</v>
      </c>
      <c r="B28" s="100">
        <v>4.92</v>
      </c>
      <c r="C28" s="100">
        <v>10.82</v>
      </c>
      <c r="D28" s="100">
        <v>5.9</v>
      </c>
      <c r="E28" s="100">
        <v>5.17</v>
      </c>
      <c r="F28" s="100">
        <v>2.88</v>
      </c>
      <c r="G28" s="100">
        <v>27.38</v>
      </c>
      <c r="H28" s="100">
        <v>19.88</v>
      </c>
      <c r="I28" s="100">
        <v>4.62</v>
      </c>
      <c r="J28" s="100">
        <v>0.15</v>
      </c>
      <c r="K28" s="100">
        <v>120.22</v>
      </c>
      <c r="L28" s="100">
        <v>27</v>
      </c>
      <c r="M28" s="100">
        <v>84.34</v>
      </c>
      <c r="N28" s="100">
        <v>2.2000000000000002</v>
      </c>
      <c r="O28" s="100">
        <v>0</v>
      </c>
      <c r="P28" s="100">
        <v>0.27</v>
      </c>
      <c r="Q28" s="100">
        <v>9.93</v>
      </c>
      <c r="R28" s="6"/>
      <c r="S28" s="6"/>
      <c r="T28" s="156"/>
      <c r="U28" s="6"/>
    </row>
    <row r="29" spans="1:21" customFormat="1">
      <c r="A29" s="163" t="s">
        <v>1316</v>
      </c>
      <c r="B29" s="100">
        <v>5.22</v>
      </c>
      <c r="C29" s="100">
        <v>11.24</v>
      </c>
      <c r="D29" s="100">
        <v>6.02</v>
      </c>
      <c r="E29" s="100">
        <v>5.6</v>
      </c>
      <c r="F29" s="100">
        <v>2.46</v>
      </c>
      <c r="G29" s="100">
        <v>27.2</v>
      </c>
      <c r="H29" s="100">
        <v>20.37</v>
      </c>
      <c r="I29" s="100">
        <v>4.53</v>
      </c>
      <c r="J29" s="100">
        <v>0.11</v>
      </c>
      <c r="K29" s="100">
        <v>117.71</v>
      </c>
      <c r="L29" s="100">
        <v>26.92</v>
      </c>
      <c r="M29" s="100">
        <v>83.8</v>
      </c>
      <c r="N29" s="100">
        <v>2.9</v>
      </c>
      <c r="O29" s="100">
        <v>0</v>
      </c>
      <c r="P29" s="100">
        <v>0.27</v>
      </c>
      <c r="Q29" s="100">
        <v>9.94</v>
      </c>
      <c r="R29" s="6"/>
      <c r="S29" s="6"/>
      <c r="T29" s="156"/>
      <c r="U29" s="6"/>
    </row>
    <row r="30" spans="1:21" customFormat="1">
      <c r="A30" s="163" t="s">
        <v>1317</v>
      </c>
      <c r="B30" s="100">
        <v>5.68</v>
      </c>
      <c r="C30" s="100">
        <v>11.83</v>
      </c>
      <c r="D30" s="100">
        <v>6.14</v>
      </c>
      <c r="E30" s="100">
        <v>5.55</v>
      </c>
      <c r="F30" s="100">
        <v>2.4900000000000002</v>
      </c>
      <c r="G30" s="100">
        <v>26.96</v>
      </c>
      <c r="H30" s="100">
        <v>20.71</v>
      </c>
      <c r="I30" s="100">
        <v>4.5</v>
      </c>
      <c r="J30" s="100">
        <v>0.2</v>
      </c>
      <c r="K30" s="100">
        <v>68.069999999999993</v>
      </c>
      <c r="L30" s="100">
        <v>26.93</v>
      </c>
      <c r="M30" s="100">
        <v>82.72</v>
      </c>
      <c r="N30" s="100">
        <v>6.1</v>
      </c>
      <c r="O30" s="100">
        <v>0</v>
      </c>
      <c r="P30" s="100">
        <v>0.27</v>
      </c>
      <c r="Q30" s="100">
        <v>9.9499999999999993</v>
      </c>
      <c r="R30" s="6"/>
      <c r="S30" s="6"/>
      <c r="T30" s="156"/>
      <c r="U30" s="6"/>
    </row>
    <row r="31" spans="1:21" customFormat="1">
      <c r="A31" s="163" t="s">
        <v>1318</v>
      </c>
      <c r="B31" s="100">
        <v>6.56</v>
      </c>
      <c r="C31" s="100">
        <v>12.84</v>
      </c>
      <c r="D31" s="100">
        <v>6.28</v>
      </c>
      <c r="E31" s="100">
        <v>5.51</v>
      </c>
      <c r="F31" s="100">
        <v>2.54</v>
      </c>
      <c r="G31" s="100">
        <v>26.96</v>
      </c>
      <c r="H31" s="100">
        <v>20.71</v>
      </c>
      <c r="I31" s="100">
        <v>4.46</v>
      </c>
      <c r="J31" s="100">
        <v>0.33</v>
      </c>
      <c r="K31" s="100">
        <v>51.84</v>
      </c>
      <c r="L31" s="100">
        <v>27.12</v>
      </c>
      <c r="M31" s="100">
        <v>79.77</v>
      </c>
      <c r="N31" s="100">
        <v>14.9</v>
      </c>
      <c r="O31" s="100">
        <v>0</v>
      </c>
      <c r="P31" s="100">
        <v>0.27</v>
      </c>
      <c r="Q31" s="100">
        <v>9.9600000000000009</v>
      </c>
      <c r="R31" s="6"/>
      <c r="S31" s="6"/>
      <c r="T31" s="156"/>
      <c r="U31" s="6"/>
    </row>
    <row r="32" spans="1:21" customFormat="1">
      <c r="A32" s="163" t="s">
        <v>1319</v>
      </c>
      <c r="B32" s="100">
        <v>7.42</v>
      </c>
      <c r="C32" s="100">
        <v>13.8</v>
      </c>
      <c r="D32" s="100">
        <v>6.38</v>
      </c>
      <c r="E32" s="100">
        <v>5.54</v>
      </c>
      <c r="F32" s="100">
        <v>2.66</v>
      </c>
      <c r="G32" s="100">
        <v>26.96</v>
      </c>
      <c r="H32" s="100">
        <v>20.71</v>
      </c>
      <c r="I32" s="100">
        <v>4.5999999999999996</v>
      </c>
      <c r="J32" s="100">
        <v>0.56000000000000005</v>
      </c>
      <c r="K32" s="100">
        <v>47.15</v>
      </c>
      <c r="L32" s="100">
        <v>27.41</v>
      </c>
      <c r="M32" s="100">
        <v>77.67</v>
      </c>
      <c r="N32" s="100">
        <v>29.6</v>
      </c>
      <c r="O32" s="100">
        <v>0</v>
      </c>
      <c r="P32" s="100">
        <v>0.28000000000000003</v>
      </c>
      <c r="Q32" s="100">
        <v>9.9700000000000006</v>
      </c>
      <c r="R32" s="6"/>
      <c r="S32" s="6"/>
      <c r="T32" s="156"/>
      <c r="U32" s="6"/>
    </row>
    <row r="33" spans="1:21" customFormat="1">
      <c r="A33" s="163" t="s">
        <v>1320</v>
      </c>
      <c r="B33" s="100">
        <v>8.07</v>
      </c>
      <c r="C33" s="100">
        <v>14.3</v>
      </c>
      <c r="D33" s="100">
        <v>6.22</v>
      </c>
      <c r="E33" s="100">
        <v>5.56</v>
      </c>
      <c r="F33" s="100">
        <v>3.48</v>
      </c>
      <c r="G33" s="100">
        <v>34.69</v>
      </c>
      <c r="H33" s="100">
        <v>21.62</v>
      </c>
      <c r="I33" s="100">
        <v>4.6500000000000004</v>
      </c>
      <c r="J33" s="100">
        <v>0.33</v>
      </c>
      <c r="K33" s="100">
        <v>67.77</v>
      </c>
      <c r="L33" s="100">
        <v>27.64</v>
      </c>
      <c r="M33" s="100">
        <v>77.23</v>
      </c>
      <c r="N33" s="100">
        <v>43.2</v>
      </c>
      <c r="O33" s="100">
        <v>0</v>
      </c>
      <c r="P33" s="100">
        <v>0.28999999999999998</v>
      </c>
      <c r="Q33" s="100">
        <v>9.98</v>
      </c>
      <c r="R33" s="6"/>
      <c r="S33" s="6"/>
      <c r="T33" s="156"/>
      <c r="U33" s="6"/>
    </row>
    <row r="34" spans="1:21" customFormat="1">
      <c r="A34" s="163" t="s">
        <v>1321</v>
      </c>
      <c r="B34" s="100">
        <v>8.25</v>
      </c>
      <c r="C34" s="100">
        <v>14.21</v>
      </c>
      <c r="D34" s="100">
        <v>5.96</v>
      </c>
      <c r="E34" s="100">
        <v>5.59</v>
      </c>
      <c r="F34" s="100">
        <v>3.06</v>
      </c>
      <c r="G34" s="100">
        <v>44.81</v>
      </c>
      <c r="H34" s="100">
        <v>23.17</v>
      </c>
      <c r="I34" s="100">
        <v>4.7699999999999996</v>
      </c>
      <c r="J34" s="100">
        <v>0.67</v>
      </c>
      <c r="K34" s="100">
        <v>56.1</v>
      </c>
      <c r="L34" s="100">
        <v>28.05</v>
      </c>
      <c r="M34" s="100">
        <v>73.88</v>
      </c>
      <c r="N34" s="100">
        <v>69.7</v>
      </c>
      <c r="O34" s="100">
        <v>0</v>
      </c>
      <c r="P34" s="100">
        <v>0.28000000000000003</v>
      </c>
      <c r="Q34" s="100">
        <v>9.98</v>
      </c>
      <c r="R34" s="6"/>
      <c r="S34" s="6"/>
      <c r="T34" s="156"/>
      <c r="U34" s="6"/>
    </row>
    <row r="35" spans="1:21" customFormat="1">
      <c r="A35" s="163" t="s">
        <v>1322</v>
      </c>
      <c r="B35" s="100">
        <v>8.4</v>
      </c>
      <c r="C35" s="100">
        <v>14.23</v>
      </c>
      <c r="D35" s="100">
        <v>5.83</v>
      </c>
      <c r="E35" s="100">
        <v>5.52</v>
      </c>
      <c r="F35" s="100">
        <v>3.1</v>
      </c>
      <c r="G35" s="100">
        <v>44.81</v>
      </c>
      <c r="H35" s="100">
        <v>23.17</v>
      </c>
      <c r="I35" s="100">
        <v>4.74</v>
      </c>
      <c r="J35" s="100">
        <v>0.59</v>
      </c>
      <c r="K35" s="100">
        <v>58.36</v>
      </c>
      <c r="L35" s="100">
        <v>28.34</v>
      </c>
      <c r="M35" s="100">
        <v>72.760000000000005</v>
      </c>
      <c r="N35" s="100">
        <v>68.7</v>
      </c>
      <c r="O35" s="100">
        <v>0</v>
      </c>
      <c r="P35" s="100">
        <v>0.28000000000000003</v>
      </c>
      <c r="Q35" s="100">
        <v>9.99</v>
      </c>
      <c r="R35" s="6"/>
      <c r="S35" s="6"/>
      <c r="T35" s="156"/>
      <c r="U35" s="6"/>
    </row>
    <row r="36" spans="1:21" customFormat="1">
      <c r="A36" s="163" t="s">
        <v>1323</v>
      </c>
      <c r="B36" s="100">
        <v>8.31</v>
      </c>
      <c r="C36" s="100">
        <v>14.07</v>
      </c>
      <c r="D36" s="100">
        <v>5.76</v>
      </c>
      <c r="E36" s="100">
        <v>5.7</v>
      </c>
      <c r="F36" s="100">
        <v>2.98</v>
      </c>
      <c r="G36" s="100">
        <v>44.81</v>
      </c>
      <c r="H36" s="100">
        <v>23.17</v>
      </c>
      <c r="I36" s="100">
        <v>4.68</v>
      </c>
      <c r="J36" s="100">
        <v>0.59</v>
      </c>
      <c r="K36" s="100">
        <v>54.09</v>
      </c>
      <c r="L36" s="100">
        <v>28.7</v>
      </c>
      <c r="M36" s="100">
        <v>71.31</v>
      </c>
      <c r="N36" s="100">
        <v>76.3</v>
      </c>
      <c r="O36" s="100">
        <v>0</v>
      </c>
      <c r="P36" s="100">
        <v>0.28000000000000003</v>
      </c>
      <c r="Q36" s="100">
        <v>9.99</v>
      </c>
      <c r="R36" s="6"/>
      <c r="S36" s="6"/>
      <c r="T36" s="156"/>
      <c r="U36" s="6"/>
    </row>
    <row r="37" spans="1:21" customFormat="1">
      <c r="A37" s="163" t="s">
        <v>1324</v>
      </c>
      <c r="B37" s="100">
        <v>8.19</v>
      </c>
      <c r="C37" s="100">
        <v>13.88</v>
      </c>
      <c r="D37" s="100">
        <v>5.69</v>
      </c>
      <c r="E37" s="100">
        <v>5.7</v>
      </c>
      <c r="F37" s="100">
        <v>2.98</v>
      </c>
      <c r="G37" s="100">
        <v>43.88</v>
      </c>
      <c r="H37" s="100">
        <v>22.8</v>
      </c>
      <c r="I37" s="100">
        <v>4.75</v>
      </c>
      <c r="J37" s="100">
        <v>0.72</v>
      </c>
      <c r="K37" s="100">
        <v>57.22</v>
      </c>
      <c r="L37" s="100">
        <v>29.3</v>
      </c>
      <c r="M37" s="100">
        <v>68.77</v>
      </c>
      <c r="N37" s="100">
        <v>86.3</v>
      </c>
      <c r="O37" s="100">
        <v>0</v>
      </c>
      <c r="P37" s="100">
        <v>0.28000000000000003</v>
      </c>
      <c r="Q37" s="100">
        <v>9.99</v>
      </c>
      <c r="R37" s="6"/>
      <c r="S37" s="6"/>
      <c r="T37" s="156"/>
      <c r="U37" s="6"/>
    </row>
    <row r="38" spans="1:21" customFormat="1">
      <c r="A38" s="163" t="s">
        <v>1325</v>
      </c>
      <c r="B38" s="100">
        <v>7.94</v>
      </c>
      <c r="C38" s="100">
        <v>13.5</v>
      </c>
      <c r="D38" s="100">
        <v>5.56</v>
      </c>
      <c r="E38" s="100">
        <v>5.8</v>
      </c>
      <c r="F38" s="100">
        <v>3.18</v>
      </c>
      <c r="G38" s="100">
        <v>42.66</v>
      </c>
      <c r="H38" s="100">
        <v>22.55</v>
      </c>
      <c r="I38" s="100">
        <v>4.8</v>
      </c>
      <c r="J38" s="100">
        <v>0.67</v>
      </c>
      <c r="K38" s="100">
        <v>60.65</v>
      </c>
      <c r="L38" s="100">
        <v>30.03</v>
      </c>
      <c r="M38" s="100">
        <v>65.89</v>
      </c>
      <c r="N38" s="100">
        <v>100.3</v>
      </c>
      <c r="O38" s="100">
        <v>0</v>
      </c>
      <c r="P38" s="100">
        <v>0.28000000000000003</v>
      </c>
      <c r="Q38" s="100">
        <v>9.9700000000000006</v>
      </c>
      <c r="R38" s="6"/>
      <c r="S38" s="6"/>
      <c r="T38" s="156"/>
      <c r="U38" s="6"/>
    </row>
    <row r="39" spans="1:21" customFormat="1">
      <c r="A39" s="163" t="s">
        <v>1326</v>
      </c>
      <c r="B39" s="100">
        <v>7.57</v>
      </c>
      <c r="C39" s="100">
        <v>12.99</v>
      </c>
      <c r="D39" s="100">
        <v>5.42</v>
      </c>
      <c r="E39" s="100">
        <v>5.84</v>
      </c>
      <c r="F39" s="100">
        <v>3.45</v>
      </c>
      <c r="G39" s="100">
        <v>42.66</v>
      </c>
      <c r="H39" s="100">
        <v>22.55</v>
      </c>
      <c r="I39" s="100">
        <v>4.75</v>
      </c>
      <c r="J39" s="100">
        <v>0.59</v>
      </c>
      <c r="K39" s="100">
        <v>53.43</v>
      </c>
      <c r="L39" s="100">
        <v>30.68</v>
      </c>
      <c r="M39" s="100">
        <v>63.94</v>
      </c>
      <c r="N39" s="100">
        <v>110.2</v>
      </c>
      <c r="O39" s="100">
        <v>0</v>
      </c>
      <c r="P39" s="100">
        <v>0.28000000000000003</v>
      </c>
      <c r="Q39" s="100">
        <v>9.9700000000000006</v>
      </c>
      <c r="R39" s="6"/>
      <c r="S39" s="6"/>
      <c r="T39" s="156"/>
      <c r="U39" s="6"/>
    </row>
    <row r="40" spans="1:21" customFormat="1">
      <c r="A40" s="163" t="s">
        <v>1327</v>
      </c>
      <c r="B40" s="100">
        <v>7.22</v>
      </c>
      <c r="C40" s="100">
        <v>13.05</v>
      </c>
      <c r="D40" s="100">
        <v>5.83</v>
      </c>
      <c r="E40" s="100">
        <v>5.74</v>
      </c>
      <c r="F40" s="100">
        <v>3.1</v>
      </c>
      <c r="G40" s="100">
        <v>42.66</v>
      </c>
      <c r="H40" s="100">
        <v>22.55</v>
      </c>
      <c r="I40" s="100">
        <v>4.78</v>
      </c>
      <c r="J40" s="100">
        <v>1.22</v>
      </c>
      <c r="K40" s="100">
        <v>41.85</v>
      </c>
      <c r="L40" s="100">
        <v>30.88</v>
      </c>
      <c r="M40" s="100">
        <v>62.06</v>
      </c>
      <c r="N40" s="100">
        <v>108.8</v>
      </c>
      <c r="O40" s="100">
        <v>0</v>
      </c>
      <c r="P40" s="100">
        <v>0.33</v>
      </c>
      <c r="Q40" s="100">
        <v>9.9600000000000009</v>
      </c>
      <c r="R40" s="6"/>
      <c r="S40" s="6"/>
      <c r="T40" s="156"/>
      <c r="U40" s="6"/>
    </row>
    <row r="41" spans="1:21" customFormat="1">
      <c r="A41" s="163" t="s">
        <v>1328</v>
      </c>
      <c r="B41" s="100">
        <v>7.21</v>
      </c>
      <c r="C41" s="100">
        <v>12.47</v>
      </c>
      <c r="D41" s="100">
        <v>5.26</v>
      </c>
      <c r="E41" s="100">
        <v>5.67</v>
      </c>
      <c r="F41" s="100">
        <v>5.4</v>
      </c>
      <c r="G41" s="100">
        <v>40.380000000000003</v>
      </c>
      <c r="H41" s="100">
        <v>21.84</v>
      </c>
      <c r="I41" s="100">
        <v>4.71</v>
      </c>
      <c r="J41" s="100">
        <v>1.0900000000000001</v>
      </c>
      <c r="K41" s="100">
        <v>48.98</v>
      </c>
      <c r="L41" s="100">
        <v>31.09</v>
      </c>
      <c r="M41" s="100">
        <v>61.43</v>
      </c>
      <c r="N41" s="100">
        <v>98.6</v>
      </c>
      <c r="O41" s="100">
        <v>0</v>
      </c>
      <c r="P41" s="100">
        <v>0.33</v>
      </c>
      <c r="Q41" s="100">
        <v>9.9700000000000006</v>
      </c>
      <c r="R41" s="6"/>
      <c r="S41" s="6"/>
      <c r="T41" s="156"/>
      <c r="U41" s="6"/>
    </row>
    <row r="42" spans="1:21" customFormat="1">
      <c r="A42" s="163" t="s">
        <v>1329</v>
      </c>
      <c r="B42" s="100">
        <v>7.1</v>
      </c>
      <c r="C42" s="100">
        <v>11.82</v>
      </c>
      <c r="D42" s="100">
        <v>4.71</v>
      </c>
      <c r="E42" s="100">
        <v>5.03</v>
      </c>
      <c r="F42" s="100">
        <v>5.25</v>
      </c>
      <c r="G42" s="100">
        <v>37.4</v>
      </c>
      <c r="H42" s="100">
        <v>21.34</v>
      </c>
      <c r="I42" s="100">
        <v>4.6399999999999997</v>
      </c>
      <c r="J42" s="100">
        <v>1.1299999999999999</v>
      </c>
      <c r="K42" s="100">
        <v>45.99</v>
      </c>
      <c r="L42" s="100">
        <v>31.8</v>
      </c>
      <c r="M42" s="100">
        <v>59.21</v>
      </c>
      <c r="N42" s="100">
        <v>99.3</v>
      </c>
      <c r="O42" s="100">
        <v>0</v>
      </c>
      <c r="P42" s="100">
        <v>0.31</v>
      </c>
      <c r="Q42" s="100">
        <v>9.9700000000000006</v>
      </c>
      <c r="R42" s="6"/>
      <c r="S42" s="6"/>
      <c r="T42" s="156"/>
      <c r="U42" s="6"/>
    </row>
    <row r="43" spans="1:21" customFormat="1">
      <c r="A43" s="163" t="s">
        <v>1330</v>
      </c>
      <c r="B43" s="100">
        <v>7.01</v>
      </c>
      <c r="C43" s="100">
        <v>11.43</v>
      </c>
      <c r="D43" s="100">
        <v>4.43</v>
      </c>
      <c r="E43" s="100">
        <v>4.3099999999999996</v>
      </c>
      <c r="F43" s="100">
        <v>5.99</v>
      </c>
      <c r="G43" s="100">
        <v>37.4</v>
      </c>
      <c r="H43" s="100">
        <v>21.34</v>
      </c>
      <c r="I43" s="100">
        <v>4.5599999999999996</v>
      </c>
      <c r="J43" s="100">
        <v>0.67</v>
      </c>
      <c r="K43" s="100">
        <v>47.14</v>
      </c>
      <c r="L43" s="100">
        <v>32.22</v>
      </c>
      <c r="M43" s="100">
        <v>57.95</v>
      </c>
      <c r="N43" s="100">
        <v>103.5</v>
      </c>
      <c r="O43" s="100">
        <v>0</v>
      </c>
      <c r="P43" s="100">
        <v>0.31</v>
      </c>
      <c r="Q43" s="100">
        <v>9.9700000000000006</v>
      </c>
      <c r="R43" s="6"/>
      <c r="S43" s="6"/>
      <c r="T43" s="156"/>
      <c r="U43" s="6"/>
    </row>
    <row r="44" spans="1:21" customFormat="1">
      <c r="A44" s="163" t="s">
        <v>1331</v>
      </c>
      <c r="B44" s="100">
        <v>6.87</v>
      </c>
      <c r="C44" s="100">
        <v>11.19</v>
      </c>
      <c r="D44" s="100">
        <v>4.33</v>
      </c>
      <c r="E44" s="100">
        <v>4.49</v>
      </c>
      <c r="F44" s="100">
        <v>6.43</v>
      </c>
      <c r="G44" s="100">
        <v>37.4</v>
      </c>
      <c r="H44" s="100">
        <v>21.34</v>
      </c>
      <c r="I44" s="100">
        <v>4.57</v>
      </c>
      <c r="J44" s="100">
        <v>0.87</v>
      </c>
      <c r="K44" s="100">
        <v>56.2</v>
      </c>
      <c r="L44" s="100">
        <v>32.81</v>
      </c>
      <c r="M44" s="100">
        <v>56.29</v>
      </c>
      <c r="N44" s="100">
        <v>108.5</v>
      </c>
      <c r="O44" s="100">
        <v>0</v>
      </c>
      <c r="P44" s="100">
        <v>0.31</v>
      </c>
      <c r="Q44" s="100">
        <v>9.9600000000000009</v>
      </c>
      <c r="R44" s="6"/>
      <c r="S44" s="6"/>
      <c r="T44" s="156"/>
      <c r="U44" s="6"/>
    </row>
    <row r="45" spans="1:21" customFormat="1">
      <c r="A45" s="163" t="s">
        <v>1332</v>
      </c>
      <c r="B45" s="100">
        <v>6.61</v>
      </c>
      <c r="C45" s="100">
        <v>10.88</v>
      </c>
      <c r="D45" s="100">
        <v>4.2699999999999996</v>
      </c>
      <c r="E45" s="100">
        <v>4.07</v>
      </c>
      <c r="F45" s="100">
        <v>6.66</v>
      </c>
      <c r="G45" s="100">
        <v>37.49</v>
      </c>
      <c r="H45" s="100">
        <v>19.79</v>
      </c>
      <c r="I45" s="100">
        <v>4.5199999999999996</v>
      </c>
      <c r="J45" s="100">
        <v>0.81</v>
      </c>
      <c r="K45" s="100">
        <v>59.27</v>
      </c>
      <c r="L45" s="100">
        <v>33.24</v>
      </c>
      <c r="M45" s="100">
        <v>54.87</v>
      </c>
      <c r="N45" s="100">
        <v>113.1</v>
      </c>
      <c r="O45" s="100">
        <v>0</v>
      </c>
      <c r="P45" s="100">
        <v>0.3</v>
      </c>
      <c r="Q45" s="100">
        <v>9.94</v>
      </c>
      <c r="R45" s="6"/>
      <c r="S45" s="6"/>
      <c r="T45" s="156"/>
      <c r="U45" s="6"/>
    </row>
    <row r="46" spans="1:21" customFormat="1">
      <c r="A46" s="163" t="s">
        <v>1333</v>
      </c>
      <c r="B46" s="100">
        <v>6.51</v>
      </c>
      <c r="C46" s="100">
        <v>10.63</v>
      </c>
      <c r="D46" s="100">
        <v>4.13</v>
      </c>
      <c r="E46" s="100">
        <v>4.1399999999999997</v>
      </c>
      <c r="F46" s="100">
        <v>5.69</v>
      </c>
      <c r="G46" s="100">
        <v>37.590000000000003</v>
      </c>
      <c r="H46" s="100">
        <v>18.72</v>
      </c>
      <c r="I46" s="100">
        <v>4.49</v>
      </c>
      <c r="J46" s="100">
        <v>0.56000000000000005</v>
      </c>
      <c r="K46" s="100">
        <v>66.06</v>
      </c>
      <c r="L46" s="100">
        <v>33.520000000000003</v>
      </c>
      <c r="M46" s="100">
        <v>53.51</v>
      </c>
      <c r="N46" s="100">
        <v>119.3</v>
      </c>
      <c r="O46" s="100">
        <v>0</v>
      </c>
      <c r="P46" s="100">
        <v>0.3</v>
      </c>
      <c r="Q46" s="100">
        <v>9.9499999999999993</v>
      </c>
      <c r="R46" s="6"/>
      <c r="S46" s="6"/>
      <c r="T46" s="156"/>
      <c r="U46" s="6"/>
    </row>
    <row r="47" spans="1:21" customFormat="1">
      <c r="A47" s="163" t="s">
        <v>1334</v>
      </c>
      <c r="B47" s="100">
        <v>6.26</v>
      </c>
      <c r="C47" s="100">
        <v>10.23</v>
      </c>
      <c r="D47" s="100">
        <v>3.98</v>
      </c>
      <c r="E47" s="100">
        <v>4.5</v>
      </c>
      <c r="F47" s="100">
        <v>5.08</v>
      </c>
      <c r="G47" s="100">
        <v>37.590000000000003</v>
      </c>
      <c r="H47" s="100">
        <v>18.72</v>
      </c>
      <c r="I47" s="100">
        <v>4.4400000000000004</v>
      </c>
      <c r="J47" s="100">
        <v>0.24</v>
      </c>
      <c r="K47" s="100">
        <v>97.72</v>
      </c>
      <c r="L47" s="100">
        <v>34.1</v>
      </c>
      <c r="M47" s="100">
        <v>51.1</v>
      </c>
      <c r="N47" s="100">
        <v>129.5</v>
      </c>
      <c r="O47" s="100">
        <v>0</v>
      </c>
      <c r="P47" s="100">
        <v>0.28999999999999998</v>
      </c>
      <c r="Q47" s="100">
        <v>9.9499999999999993</v>
      </c>
      <c r="R47" s="6"/>
      <c r="S47" s="6"/>
      <c r="T47" s="156"/>
      <c r="U47" s="6"/>
    </row>
    <row r="48" spans="1:21" customFormat="1">
      <c r="A48" s="163" t="s">
        <v>1335</v>
      </c>
      <c r="B48" s="100">
        <v>6.02</v>
      </c>
      <c r="C48" s="100">
        <v>9.9700000000000006</v>
      </c>
      <c r="D48" s="100">
        <v>3.95</v>
      </c>
      <c r="E48" s="100">
        <v>4.25</v>
      </c>
      <c r="F48" s="100">
        <v>4.6399999999999997</v>
      </c>
      <c r="G48" s="100">
        <v>37.590000000000003</v>
      </c>
      <c r="H48" s="100">
        <v>18.72</v>
      </c>
      <c r="I48" s="100">
        <v>4.49</v>
      </c>
      <c r="J48" s="100">
        <v>0.52</v>
      </c>
      <c r="K48" s="100">
        <v>66.44</v>
      </c>
      <c r="L48" s="100">
        <v>34.22</v>
      </c>
      <c r="M48" s="100">
        <v>50.37</v>
      </c>
      <c r="N48" s="100">
        <v>168.2</v>
      </c>
      <c r="O48" s="100">
        <v>0</v>
      </c>
      <c r="P48" s="100">
        <v>0.31</v>
      </c>
      <c r="Q48" s="100">
        <v>9.9600000000000009</v>
      </c>
      <c r="R48" s="6"/>
      <c r="S48" s="6"/>
      <c r="T48" s="156"/>
      <c r="U48" s="6"/>
    </row>
    <row r="49" spans="1:21" customFormat="1">
      <c r="A49" s="163" t="s">
        <v>1336</v>
      </c>
      <c r="B49" s="100">
        <v>5.82</v>
      </c>
      <c r="C49" s="100">
        <v>10.08</v>
      </c>
      <c r="D49" s="100">
        <v>4.26</v>
      </c>
      <c r="E49" s="100">
        <v>4.2300000000000004</v>
      </c>
      <c r="F49" s="100">
        <v>6.58</v>
      </c>
      <c r="G49" s="100">
        <v>36.51</v>
      </c>
      <c r="H49" s="100">
        <v>20.28</v>
      </c>
      <c r="I49" s="100">
        <v>4.5199999999999996</v>
      </c>
      <c r="J49" s="100">
        <v>0.37</v>
      </c>
      <c r="K49" s="100">
        <v>80.41</v>
      </c>
      <c r="L49" s="100">
        <v>34.29</v>
      </c>
      <c r="M49" s="100">
        <v>49.63</v>
      </c>
      <c r="N49" s="100">
        <v>166.9</v>
      </c>
      <c r="O49" s="100">
        <v>0</v>
      </c>
      <c r="P49" s="100">
        <v>0.32</v>
      </c>
      <c r="Q49" s="100">
        <v>9.94</v>
      </c>
      <c r="R49" s="6"/>
      <c r="S49" s="6"/>
      <c r="T49" s="156"/>
      <c r="U49" s="6"/>
    </row>
    <row r="50" spans="1:21" customFormat="1">
      <c r="A50" s="163" t="s">
        <v>1337</v>
      </c>
      <c r="B50" s="100">
        <v>5.76</v>
      </c>
      <c r="C50" s="100">
        <v>9.82</v>
      </c>
      <c r="D50" s="100">
        <v>4.0599999999999996</v>
      </c>
      <c r="E50" s="100">
        <v>5.56</v>
      </c>
      <c r="F50" s="100">
        <v>5.26</v>
      </c>
      <c r="G50" s="100">
        <v>35.1</v>
      </c>
      <c r="H50" s="100">
        <v>21.36</v>
      </c>
      <c r="I50" s="100">
        <v>4.6900000000000004</v>
      </c>
      <c r="J50" s="100">
        <v>0.45</v>
      </c>
      <c r="K50" s="100">
        <v>74.95</v>
      </c>
      <c r="L50" s="100">
        <v>34.880000000000003</v>
      </c>
      <c r="M50" s="100">
        <v>49.32</v>
      </c>
      <c r="N50" s="100">
        <v>202.1</v>
      </c>
      <c r="O50" s="100">
        <v>0</v>
      </c>
      <c r="P50" s="100">
        <v>0.32</v>
      </c>
      <c r="Q50" s="100">
        <v>9.94</v>
      </c>
      <c r="R50" s="6"/>
      <c r="S50" s="6"/>
      <c r="T50" s="156"/>
      <c r="U50" s="6"/>
    </row>
    <row r="51" spans="1:21" customFormat="1">
      <c r="A51" s="163" t="s">
        <v>1338</v>
      </c>
      <c r="B51" s="100">
        <v>5.98</v>
      </c>
      <c r="C51" s="100">
        <v>11.87</v>
      </c>
      <c r="D51" s="100">
        <v>5.89</v>
      </c>
      <c r="E51" s="100">
        <v>5.16</v>
      </c>
      <c r="F51" s="100">
        <v>8.16</v>
      </c>
      <c r="G51" s="100">
        <v>35.1</v>
      </c>
      <c r="H51" s="100">
        <v>21.36</v>
      </c>
      <c r="I51" s="100">
        <v>4.55</v>
      </c>
      <c r="J51" s="100">
        <v>0.37</v>
      </c>
      <c r="K51" s="100">
        <v>80.33</v>
      </c>
      <c r="L51" s="100">
        <v>34.26</v>
      </c>
      <c r="M51" s="100">
        <v>50.96</v>
      </c>
      <c r="N51" s="100">
        <v>198.4</v>
      </c>
      <c r="O51" s="100">
        <v>0</v>
      </c>
      <c r="P51" s="100">
        <v>0.31</v>
      </c>
      <c r="Q51" s="100">
        <v>9.93</v>
      </c>
      <c r="R51" s="6"/>
      <c r="S51" s="6"/>
      <c r="T51" s="156"/>
      <c r="U51" s="6"/>
    </row>
    <row r="52" spans="1:21" customFormat="1">
      <c r="A52" s="163" t="s">
        <v>1339</v>
      </c>
      <c r="B52" s="100">
        <v>4.9800000000000004</v>
      </c>
      <c r="C52" s="100">
        <v>9.1300000000000008</v>
      </c>
      <c r="D52" s="100">
        <v>4.1399999999999997</v>
      </c>
      <c r="E52" s="100">
        <v>4.74</v>
      </c>
      <c r="F52" s="100">
        <v>25.53</v>
      </c>
      <c r="G52" s="100">
        <v>35.1</v>
      </c>
      <c r="H52" s="100">
        <v>21.36</v>
      </c>
      <c r="I52" s="100">
        <v>4.63</v>
      </c>
      <c r="J52" s="100">
        <v>0.25</v>
      </c>
      <c r="K52" s="100">
        <v>111.24</v>
      </c>
      <c r="L52" s="100">
        <v>34.74</v>
      </c>
      <c r="M52" s="100">
        <v>50.44</v>
      </c>
      <c r="N52" s="100">
        <v>202.3</v>
      </c>
      <c r="O52" s="100">
        <v>0</v>
      </c>
      <c r="P52" s="100">
        <v>0.28999999999999998</v>
      </c>
      <c r="Q52" s="100">
        <v>9.93</v>
      </c>
      <c r="R52" s="6"/>
      <c r="S52" s="6"/>
      <c r="T52" s="156"/>
      <c r="U52" s="6"/>
    </row>
    <row r="53" spans="1:21" customFormat="1">
      <c r="A53" s="163" t="s">
        <v>1340</v>
      </c>
      <c r="B53" s="100">
        <v>4.3099999999999996</v>
      </c>
      <c r="C53" s="100">
        <v>8.99</v>
      </c>
      <c r="D53" s="100">
        <v>4.68</v>
      </c>
      <c r="E53" s="100">
        <v>5.08</v>
      </c>
      <c r="F53" s="100">
        <v>13.02</v>
      </c>
      <c r="G53" s="100">
        <v>35.1</v>
      </c>
      <c r="H53" s="100">
        <v>21.36</v>
      </c>
      <c r="I53" s="100">
        <v>4.45</v>
      </c>
      <c r="J53" s="100">
        <v>0.54</v>
      </c>
      <c r="K53" s="100">
        <v>77.989999999999995</v>
      </c>
      <c r="L53" s="100">
        <v>35.22</v>
      </c>
      <c r="M53" s="100">
        <v>48.88</v>
      </c>
      <c r="N53" s="100">
        <v>279.3</v>
      </c>
      <c r="O53" s="100">
        <v>0</v>
      </c>
      <c r="P53" s="100">
        <v>0.31</v>
      </c>
      <c r="Q53" s="100">
        <v>9.94</v>
      </c>
      <c r="R53" s="6"/>
      <c r="S53" s="6"/>
      <c r="T53" s="156"/>
      <c r="U53" s="6"/>
    </row>
    <row r="54" spans="1:21" customFormat="1">
      <c r="A54" s="163" t="s">
        <v>1341</v>
      </c>
      <c r="B54" s="100">
        <v>3.95</v>
      </c>
      <c r="C54" s="100">
        <v>8.66</v>
      </c>
      <c r="D54" s="100">
        <v>4.71</v>
      </c>
      <c r="E54" s="100">
        <v>4.79</v>
      </c>
      <c r="F54" s="100">
        <v>19.66</v>
      </c>
      <c r="G54" s="100">
        <v>35.1</v>
      </c>
      <c r="H54" s="100">
        <v>21.36</v>
      </c>
      <c r="I54" s="100">
        <v>3.81</v>
      </c>
      <c r="J54" s="100">
        <v>0.6</v>
      </c>
      <c r="K54" s="100">
        <v>68.81</v>
      </c>
      <c r="L54" s="100">
        <v>34.950000000000003</v>
      </c>
      <c r="M54" s="100">
        <v>49.33</v>
      </c>
      <c r="N54" s="100">
        <v>295.39999999999998</v>
      </c>
      <c r="O54" s="100">
        <v>0</v>
      </c>
      <c r="P54" s="100">
        <v>0.3</v>
      </c>
      <c r="Q54" s="100">
        <v>9.93</v>
      </c>
      <c r="R54" s="6"/>
      <c r="S54" s="6"/>
      <c r="T54" s="156"/>
      <c r="U54" s="6"/>
    </row>
    <row r="55" spans="1:21" customFormat="1">
      <c r="A55" s="163" t="s">
        <v>1342</v>
      </c>
      <c r="B55" s="100">
        <v>3.35</v>
      </c>
      <c r="C55" s="100">
        <v>4.8099999999999996</v>
      </c>
      <c r="D55" s="100">
        <v>1.49</v>
      </c>
      <c r="E55" s="100">
        <v>4.54</v>
      </c>
      <c r="F55" s="100">
        <v>16.809999999999999</v>
      </c>
      <c r="G55" s="100">
        <v>35.1</v>
      </c>
      <c r="H55" s="100">
        <v>21.36</v>
      </c>
      <c r="I55" s="100">
        <v>4.0999999999999996</v>
      </c>
      <c r="J55" s="100">
        <v>0.42</v>
      </c>
      <c r="K55" s="100">
        <v>70.52</v>
      </c>
      <c r="L55" s="100">
        <v>34.78</v>
      </c>
      <c r="M55" s="100">
        <v>50.91</v>
      </c>
      <c r="N55" s="100">
        <v>337.9</v>
      </c>
      <c r="O55" s="100">
        <v>0</v>
      </c>
      <c r="P55" s="100">
        <v>0.31</v>
      </c>
      <c r="Q55" s="100">
        <v>9.93</v>
      </c>
      <c r="R55" s="6"/>
      <c r="S55" s="6"/>
      <c r="T55" s="156"/>
      <c r="U55" s="6"/>
    </row>
    <row r="56" spans="1:21" customFormat="1">
      <c r="A56" s="163" t="s">
        <v>1343</v>
      </c>
      <c r="B56" s="100">
        <v>172.38</v>
      </c>
      <c r="C56" s="100">
        <v>171.85</v>
      </c>
      <c r="D56" s="100">
        <v>0.23</v>
      </c>
      <c r="E56" s="100">
        <v>4.13</v>
      </c>
      <c r="F56" s="100">
        <v>24.64</v>
      </c>
      <c r="G56" s="100">
        <v>35.1</v>
      </c>
      <c r="H56" s="100">
        <v>21.36</v>
      </c>
      <c r="I56" s="100">
        <v>3.83</v>
      </c>
      <c r="J56" s="100">
        <v>0.34</v>
      </c>
      <c r="K56" s="100">
        <v>83.51</v>
      </c>
      <c r="L56" s="100">
        <v>35.39</v>
      </c>
      <c r="M56" s="100">
        <v>50.1</v>
      </c>
      <c r="N56" s="100">
        <v>538.79999999999995</v>
      </c>
      <c r="O56" s="100">
        <v>0</v>
      </c>
      <c r="P56" s="100">
        <v>0.3</v>
      </c>
      <c r="Q56" s="100">
        <v>9.92</v>
      </c>
      <c r="R56" s="6"/>
      <c r="S56" s="6"/>
      <c r="T56" s="156"/>
      <c r="U56" s="6"/>
    </row>
    <row r="57" spans="1:21" customFormat="1">
      <c r="A57" s="163" t="s">
        <v>1344</v>
      </c>
      <c r="B57" s="100">
        <v>197.79</v>
      </c>
      <c r="C57" s="100">
        <v>200.13</v>
      </c>
      <c r="D57" s="100">
        <v>2.34</v>
      </c>
      <c r="E57" s="100">
        <v>4.17</v>
      </c>
      <c r="F57" s="100">
        <v>30.19</v>
      </c>
      <c r="G57" s="100">
        <v>35.1</v>
      </c>
      <c r="H57" s="100">
        <v>21.36</v>
      </c>
      <c r="I57" s="100">
        <v>3.88</v>
      </c>
      <c r="J57" s="100">
        <v>0.28999999999999998</v>
      </c>
      <c r="K57" s="100">
        <v>90.5</v>
      </c>
      <c r="L57" s="100">
        <v>35.61</v>
      </c>
      <c r="M57" s="100">
        <v>49.3</v>
      </c>
      <c r="N57" s="100">
        <v>729.8</v>
      </c>
      <c r="O57" s="100">
        <v>0</v>
      </c>
      <c r="P57" s="100">
        <v>0.32</v>
      </c>
      <c r="Q57" s="100">
        <v>9.91</v>
      </c>
      <c r="R57" s="6"/>
      <c r="S57" s="6"/>
      <c r="T57" s="156"/>
      <c r="U57" s="6"/>
    </row>
    <row r="58" spans="1:21" customFormat="1">
      <c r="A58" s="163" t="s">
        <v>1345</v>
      </c>
      <c r="B58" s="100">
        <v>4.32</v>
      </c>
      <c r="C58" s="100">
        <v>9.7100000000000009</v>
      </c>
      <c r="D58" s="100">
        <v>5.39</v>
      </c>
      <c r="E58" s="100">
        <v>4.58</v>
      </c>
      <c r="F58" s="100">
        <v>21.24</v>
      </c>
      <c r="G58" s="100">
        <v>35.1</v>
      </c>
      <c r="H58" s="100">
        <v>21.36</v>
      </c>
      <c r="I58" s="100">
        <v>4.96</v>
      </c>
      <c r="J58" s="100">
        <v>0.74</v>
      </c>
      <c r="K58" s="100">
        <v>53.91</v>
      </c>
      <c r="L58" s="100">
        <v>35.56</v>
      </c>
      <c r="M58" s="100">
        <v>49.17</v>
      </c>
      <c r="N58" s="100">
        <v>635.29999999999995</v>
      </c>
      <c r="O58" s="100">
        <v>0</v>
      </c>
      <c r="P58" s="100">
        <v>0.55000000000000004</v>
      </c>
      <c r="Q58" s="100">
        <v>9.92</v>
      </c>
      <c r="R58" s="6"/>
      <c r="S58" s="6"/>
      <c r="T58" s="156"/>
      <c r="U58" s="6"/>
    </row>
    <row r="59" spans="1:21" customFormat="1">
      <c r="A59" s="163" t="s">
        <v>1346</v>
      </c>
      <c r="B59" s="100">
        <v>3.83</v>
      </c>
      <c r="C59" s="100">
        <v>8.86</v>
      </c>
      <c r="D59" s="100">
        <v>5.03</v>
      </c>
      <c r="E59" s="100">
        <v>5.32</v>
      </c>
      <c r="F59" s="100">
        <v>19.600000000000001</v>
      </c>
      <c r="G59" s="100">
        <v>35.1</v>
      </c>
      <c r="H59" s="100">
        <v>21.36</v>
      </c>
      <c r="I59" s="100">
        <v>8.98</v>
      </c>
      <c r="J59" s="100">
        <v>0.3</v>
      </c>
      <c r="K59" s="100">
        <v>99.06</v>
      </c>
      <c r="L59" s="100">
        <v>35.909999999999997</v>
      </c>
      <c r="M59" s="100">
        <v>48.41</v>
      </c>
      <c r="N59" s="100">
        <v>553.6</v>
      </c>
      <c r="O59" s="100">
        <v>0</v>
      </c>
      <c r="P59" s="100">
        <v>0.64</v>
      </c>
      <c r="Q59" s="100">
        <v>9.92</v>
      </c>
      <c r="R59" s="6"/>
      <c r="S59" s="6"/>
      <c r="T59" s="156"/>
      <c r="U59" s="6"/>
    </row>
    <row r="60" spans="1:21" customFormat="1">
      <c r="A60" s="163" t="s">
        <v>1347</v>
      </c>
      <c r="B60" s="100">
        <v>3.63</v>
      </c>
      <c r="C60" s="100">
        <v>8.01</v>
      </c>
      <c r="D60" s="100">
        <v>4.37</v>
      </c>
      <c r="E60" s="100">
        <v>242.59</v>
      </c>
      <c r="F60" s="100">
        <v>25.22</v>
      </c>
      <c r="G60" s="100">
        <v>35.1</v>
      </c>
      <c r="H60" s="100">
        <v>21.36</v>
      </c>
      <c r="I60" s="100">
        <v>14.52</v>
      </c>
      <c r="J60" s="100">
        <v>0.32</v>
      </c>
      <c r="K60" s="100">
        <v>90.93</v>
      </c>
      <c r="L60" s="100">
        <v>35.32</v>
      </c>
      <c r="M60" s="100">
        <v>49.5</v>
      </c>
      <c r="N60" s="100">
        <v>210.6</v>
      </c>
      <c r="O60" s="100">
        <v>0</v>
      </c>
      <c r="P60" s="100">
        <v>0.46</v>
      </c>
      <c r="Q60" s="100">
        <v>9.91</v>
      </c>
      <c r="R60" s="6"/>
      <c r="S60" s="6"/>
      <c r="T60" s="156"/>
      <c r="U60" s="6"/>
    </row>
    <row r="61" spans="1:21" customFormat="1">
      <c r="A61" s="163" t="s">
        <v>1348</v>
      </c>
      <c r="B61" s="100">
        <v>3.77</v>
      </c>
      <c r="C61" s="100">
        <v>9.7100000000000009</v>
      </c>
      <c r="D61" s="100">
        <v>5.94</v>
      </c>
      <c r="E61" s="100">
        <v>438.51</v>
      </c>
      <c r="F61" s="100">
        <v>16.77</v>
      </c>
      <c r="G61" s="100">
        <v>35.1</v>
      </c>
      <c r="H61" s="100">
        <v>21.36</v>
      </c>
      <c r="I61" s="100">
        <v>15.2</v>
      </c>
      <c r="J61" s="100">
        <v>0.34</v>
      </c>
      <c r="K61" s="100">
        <v>103.32</v>
      </c>
      <c r="L61" s="100">
        <v>35.04</v>
      </c>
      <c r="M61" s="100">
        <v>48.82</v>
      </c>
      <c r="N61" s="100">
        <v>280</v>
      </c>
      <c r="O61" s="100">
        <v>0</v>
      </c>
      <c r="P61" s="100">
        <v>0.45</v>
      </c>
      <c r="Q61" s="100">
        <v>9.91</v>
      </c>
      <c r="R61" s="6"/>
      <c r="S61" s="6"/>
      <c r="T61" s="156"/>
      <c r="U61" s="6"/>
    </row>
    <row r="62" spans="1:21" customFormat="1">
      <c r="A62" s="163" t="s">
        <v>1349</v>
      </c>
      <c r="B62" s="100">
        <v>3.58</v>
      </c>
      <c r="C62" s="100">
        <v>9.25</v>
      </c>
      <c r="D62" s="100">
        <v>5.67</v>
      </c>
      <c r="E62" s="100">
        <v>142.04</v>
      </c>
      <c r="F62" s="100">
        <v>22.58</v>
      </c>
      <c r="G62" s="100">
        <v>0</v>
      </c>
      <c r="H62" s="100">
        <v>0</v>
      </c>
      <c r="I62" s="100">
        <v>15.95</v>
      </c>
      <c r="J62" s="100">
        <v>0.55000000000000004</v>
      </c>
      <c r="K62" s="100">
        <v>67.58</v>
      </c>
      <c r="L62" s="100">
        <v>35.270000000000003</v>
      </c>
      <c r="M62" s="100">
        <v>47.8</v>
      </c>
      <c r="N62" s="100">
        <v>470.4</v>
      </c>
      <c r="O62" s="100">
        <v>0</v>
      </c>
      <c r="P62" s="100">
        <v>0.39</v>
      </c>
      <c r="Q62" s="100">
        <v>9.92</v>
      </c>
      <c r="R62" s="6"/>
      <c r="S62" s="6"/>
      <c r="T62" s="156"/>
      <c r="U62" s="6"/>
    </row>
    <row r="63" spans="1:21" customFormat="1">
      <c r="A63" s="163" t="s">
        <v>1350</v>
      </c>
      <c r="B63" s="100">
        <v>3.68</v>
      </c>
      <c r="C63" s="100">
        <v>10.16</v>
      </c>
      <c r="D63" s="100">
        <v>6.48</v>
      </c>
      <c r="E63" s="100">
        <v>228.99</v>
      </c>
      <c r="F63" s="100">
        <v>43</v>
      </c>
      <c r="G63" s="100">
        <v>0</v>
      </c>
      <c r="H63" s="100">
        <v>0</v>
      </c>
      <c r="I63" s="100">
        <v>18.989999999999998</v>
      </c>
      <c r="J63" s="100">
        <v>0.54</v>
      </c>
      <c r="K63" s="100">
        <v>60.68</v>
      </c>
      <c r="L63" s="100">
        <v>35.869999999999997</v>
      </c>
      <c r="M63" s="100">
        <v>47</v>
      </c>
      <c r="N63" s="100">
        <v>427.3</v>
      </c>
      <c r="O63" s="100">
        <v>0</v>
      </c>
      <c r="P63" s="100">
        <v>0.28000000000000003</v>
      </c>
      <c r="Q63" s="100">
        <v>9.93</v>
      </c>
      <c r="R63" s="6"/>
      <c r="S63" s="6"/>
      <c r="T63" s="156"/>
      <c r="U63" s="6"/>
    </row>
    <row r="64" spans="1:21" customFormat="1">
      <c r="A64" s="163" t="s">
        <v>1351</v>
      </c>
      <c r="B64" s="100">
        <v>3.44</v>
      </c>
      <c r="C64" s="100">
        <v>9.18</v>
      </c>
      <c r="D64" s="100">
        <v>5.74</v>
      </c>
      <c r="E64" s="100">
        <v>266.94</v>
      </c>
      <c r="F64" s="100">
        <v>31.35</v>
      </c>
      <c r="G64" s="100">
        <v>0</v>
      </c>
      <c r="H64" s="100">
        <v>0</v>
      </c>
      <c r="I64" s="100">
        <v>19.04</v>
      </c>
      <c r="J64" s="100">
        <v>0.42</v>
      </c>
      <c r="K64" s="100">
        <v>121.24</v>
      </c>
      <c r="L64" s="100">
        <v>35.770000000000003</v>
      </c>
      <c r="M64" s="100">
        <v>45.39</v>
      </c>
      <c r="N64" s="100">
        <v>287.2</v>
      </c>
      <c r="O64" s="100">
        <v>0</v>
      </c>
      <c r="P64" s="100">
        <v>0.28000000000000003</v>
      </c>
      <c r="Q64" s="100">
        <v>9.92</v>
      </c>
      <c r="R64" s="6"/>
      <c r="S64" s="6"/>
      <c r="T64" s="156"/>
      <c r="U64" s="6"/>
    </row>
    <row r="65" spans="1:21" customFormat="1">
      <c r="A65" s="163" t="s">
        <v>1352</v>
      </c>
      <c r="B65" s="100">
        <v>3.41</v>
      </c>
      <c r="C65" s="100">
        <v>8.52</v>
      </c>
      <c r="D65" s="100">
        <v>5.1100000000000003</v>
      </c>
      <c r="E65" s="100">
        <v>285.33</v>
      </c>
      <c r="F65" s="100">
        <v>32.75</v>
      </c>
      <c r="G65" s="100">
        <v>0</v>
      </c>
      <c r="H65" s="100">
        <v>0</v>
      </c>
      <c r="I65" s="100">
        <v>6.11</v>
      </c>
      <c r="J65" s="100">
        <v>0.35</v>
      </c>
      <c r="K65" s="100">
        <v>74.62</v>
      </c>
      <c r="L65" s="100">
        <v>35.78</v>
      </c>
      <c r="M65" s="100">
        <v>45.74</v>
      </c>
      <c r="N65" s="100">
        <v>244.6</v>
      </c>
      <c r="O65" s="100">
        <v>0</v>
      </c>
      <c r="P65" s="100">
        <v>0.34</v>
      </c>
      <c r="Q65" s="100">
        <v>9.9</v>
      </c>
      <c r="R65" s="6"/>
      <c r="S65" s="6"/>
      <c r="T65" s="156"/>
      <c r="U65" s="6"/>
    </row>
    <row r="66" spans="1:21" customFormat="1">
      <c r="A66" s="163" t="s">
        <v>1353</v>
      </c>
      <c r="B66" s="100">
        <v>4.05</v>
      </c>
      <c r="C66" s="100">
        <v>12.24</v>
      </c>
      <c r="D66" s="100">
        <v>8.19</v>
      </c>
      <c r="E66" s="100">
        <v>276.3</v>
      </c>
      <c r="F66" s="100">
        <v>20.03</v>
      </c>
      <c r="G66" s="100">
        <v>1.25</v>
      </c>
      <c r="H66" s="100">
        <v>3.98</v>
      </c>
      <c r="I66" s="100">
        <v>8.1199999999999992</v>
      </c>
      <c r="J66" s="100">
        <v>0.52</v>
      </c>
      <c r="K66" s="100">
        <v>72.44</v>
      </c>
      <c r="L66" s="100">
        <v>36.26</v>
      </c>
      <c r="M66" s="100">
        <v>43.92</v>
      </c>
      <c r="N66" s="100">
        <v>246.9</v>
      </c>
      <c r="O66" s="100">
        <v>0</v>
      </c>
      <c r="P66" s="100">
        <v>0.35</v>
      </c>
      <c r="Q66" s="100">
        <v>9.91</v>
      </c>
      <c r="R66" s="6"/>
      <c r="S66" s="6"/>
      <c r="T66" s="156"/>
      <c r="U66" s="6"/>
    </row>
    <row r="67" spans="1:21" customFormat="1">
      <c r="A67" s="163" t="s">
        <v>1354</v>
      </c>
      <c r="B67" s="100">
        <v>3.59</v>
      </c>
      <c r="C67" s="100">
        <v>9.9700000000000006</v>
      </c>
      <c r="D67" s="100">
        <v>6.37</v>
      </c>
      <c r="E67" s="100">
        <v>7.28</v>
      </c>
      <c r="F67" s="100">
        <v>14.15</v>
      </c>
      <c r="G67" s="100">
        <v>14.05</v>
      </c>
      <c r="H67" s="100">
        <v>37.53</v>
      </c>
      <c r="I67" s="100">
        <v>9.5299999999999994</v>
      </c>
      <c r="J67" s="100">
        <v>0.49</v>
      </c>
      <c r="K67" s="100">
        <v>81.66</v>
      </c>
      <c r="L67" s="100">
        <v>36.18</v>
      </c>
      <c r="M67" s="100">
        <v>43.84</v>
      </c>
      <c r="N67" s="100">
        <v>437.8</v>
      </c>
      <c r="O67" s="100">
        <v>0</v>
      </c>
      <c r="P67" s="100">
        <v>0.32</v>
      </c>
      <c r="Q67" s="100">
        <v>9.92</v>
      </c>
      <c r="R67" s="6"/>
      <c r="S67" s="6"/>
      <c r="T67" s="156"/>
      <c r="U67" s="6"/>
    </row>
    <row r="68" spans="1:21" customFormat="1">
      <c r="A68" s="163" t="s">
        <v>1355</v>
      </c>
      <c r="B68" s="100">
        <v>3.48</v>
      </c>
      <c r="C68" s="100">
        <v>8.99</v>
      </c>
      <c r="D68" s="100">
        <v>5.51</v>
      </c>
      <c r="E68" s="100">
        <v>3.66</v>
      </c>
      <c r="F68" s="100">
        <v>8.17</v>
      </c>
      <c r="G68" s="100">
        <v>14.05</v>
      </c>
      <c r="H68" s="100">
        <v>37.53</v>
      </c>
      <c r="I68" s="100">
        <v>12.34</v>
      </c>
      <c r="J68" s="100">
        <v>0.39</v>
      </c>
      <c r="K68" s="100">
        <v>104.54</v>
      </c>
      <c r="L68" s="100">
        <v>36.67</v>
      </c>
      <c r="M68" s="100">
        <v>41.67</v>
      </c>
      <c r="N68" s="100">
        <v>305.89999999999998</v>
      </c>
      <c r="O68" s="100">
        <v>0</v>
      </c>
      <c r="P68" s="100">
        <v>0.35</v>
      </c>
      <c r="Q68" s="100">
        <v>9.9</v>
      </c>
      <c r="R68" s="6"/>
      <c r="S68" s="6"/>
      <c r="T68" s="156"/>
      <c r="U68" s="6"/>
    </row>
    <row r="69" spans="1:21" customFormat="1">
      <c r="A69" s="163" t="s">
        <v>1356</v>
      </c>
      <c r="B69" s="100">
        <v>3.53</v>
      </c>
      <c r="C69" s="100">
        <v>8.4700000000000006</v>
      </c>
      <c r="D69" s="100">
        <v>4.9400000000000004</v>
      </c>
      <c r="E69" s="100">
        <v>3.72</v>
      </c>
      <c r="F69" s="100">
        <v>15.76</v>
      </c>
      <c r="G69" s="100">
        <v>14.05</v>
      </c>
      <c r="H69" s="100">
        <v>37.53</v>
      </c>
      <c r="I69" s="100">
        <v>15.41</v>
      </c>
      <c r="J69" s="100">
        <v>0.55000000000000004</v>
      </c>
      <c r="K69" s="100">
        <v>75.56</v>
      </c>
      <c r="L69" s="100">
        <v>37.15</v>
      </c>
      <c r="M69" s="100">
        <v>40.29</v>
      </c>
      <c r="N69" s="100">
        <v>561</v>
      </c>
      <c r="O69" s="100">
        <v>0</v>
      </c>
      <c r="P69" s="100">
        <v>0.35</v>
      </c>
      <c r="Q69" s="100">
        <v>9.9</v>
      </c>
      <c r="R69" s="6"/>
      <c r="S69" s="6"/>
      <c r="T69" s="156"/>
      <c r="U69" s="6"/>
    </row>
    <row r="70" spans="1:21" customFormat="1">
      <c r="A70" s="163" t="s">
        <v>1357</v>
      </c>
      <c r="B70" s="100">
        <v>3.58</v>
      </c>
      <c r="C70" s="100">
        <v>8.39</v>
      </c>
      <c r="D70" s="100">
        <v>4.8099999999999996</v>
      </c>
      <c r="E70" s="100">
        <v>7.02</v>
      </c>
      <c r="F70" s="100">
        <v>34.03</v>
      </c>
      <c r="G70" s="100">
        <v>14.54</v>
      </c>
      <c r="H70" s="100">
        <v>37.22</v>
      </c>
      <c r="I70" s="100">
        <v>18.649999999999999</v>
      </c>
      <c r="J70" s="100">
        <v>0.57999999999999996</v>
      </c>
      <c r="K70" s="100">
        <v>71.87</v>
      </c>
      <c r="L70" s="100">
        <v>37.479999999999997</v>
      </c>
      <c r="M70" s="100">
        <v>39.01</v>
      </c>
      <c r="N70" s="100">
        <v>525.29999999999995</v>
      </c>
      <c r="O70" s="100">
        <v>0</v>
      </c>
      <c r="P70" s="100">
        <v>0.1</v>
      </c>
      <c r="Q70" s="100">
        <v>9.9</v>
      </c>
      <c r="R70" s="6"/>
      <c r="S70" s="6"/>
      <c r="T70" s="156"/>
      <c r="U70" s="6"/>
    </row>
    <row r="71" spans="1:21" customFormat="1">
      <c r="A71" s="163" t="s">
        <v>1358</v>
      </c>
      <c r="B71" s="100">
        <v>3.49</v>
      </c>
      <c r="C71" s="100">
        <v>8.82</v>
      </c>
      <c r="D71" s="100">
        <v>5.33</v>
      </c>
      <c r="E71" s="100">
        <v>4.03</v>
      </c>
      <c r="F71" s="100">
        <v>32.4</v>
      </c>
      <c r="G71" s="100">
        <v>19.61</v>
      </c>
      <c r="H71" s="100">
        <v>34.549999999999997</v>
      </c>
      <c r="I71" s="100">
        <v>19.54</v>
      </c>
      <c r="J71" s="100">
        <v>0.47</v>
      </c>
      <c r="K71" s="100">
        <v>72.88</v>
      </c>
      <c r="L71" s="100">
        <v>37.08</v>
      </c>
      <c r="M71" s="100">
        <v>39.369999999999997</v>
      </c>
      <c r="N71" s="100">
        <v>328.8</v>
      </c>
      <c r="O71" s="100">
        <v>0</v>
      </c>
      <c r="P71" s="100">
        <v>4.68</v>
      </c>
      <c r="Q71" s="100">
        <v>9.9</v>
      </c>
      <c r="R71" s="6"/>
      <c r="S71" s="6"/>
      <c r="T71" s="156"/>
      <c r="U71" s="6"/>
    </row>
    <row r="72" spans="1:21" customFormat="1">
      <c r="A72" s="163" t="s">
        <v>1359</v>
      </c>
      <c r="B72" s="100">
        <v>3.41</v>
      </c>
      <c r="C72" s="100">
        <v>8.94</v>
      </c>
      <c r="D72" s="100">
        <v>5.53</v>
      </c>
      <c r="E72" s="100">
        <v>3.88</v>
      </c>
      <c r="F72" s="100">
        <v>30.31</v>
      </c>
      <c r="G72" s="100">
        <v>19.61</v>
      </c>
      <c r="H72" s="100">
        <v>34.549999999999997</v>
      </c>
      <c r="I72" s="100">
        <v>16.22</v>
      </c>
      <c r="J72" s="100">
        <v>0.5</v>
      </c>
      <c r="K72" s="100">
        <v>77.64</v>
      </c>
      <c r="L72" s="100">
        <v>37.18</v>
      </c>
      <c r="M72" s="100">
        <v>39.1</v>
      </c>
      <c r="N72" s="100">
        <v>266.3</v>
      </c>
      <c r="O72" s="100">
        <v>0</v>
      </c>
      <c r="P72" s="100">
        <v>5.1100000000000003</v>
      </c>
      <c r="Q72" s="100">
        <v>9.89</v>
      </c>
      <c r="R72" s="6"/>
      <c r="S72" s="6"/>
      <c r="T72" s="156"/>
      <c r="U72" s="6"/>
    </row>
    <row r="73" spans="1:21" customFormat="1">
      <c r="A73" s="163" t="s">
        <v>1360</v>
      </c>
      <c r="B73" s="100">
        <v>3.45</v>
      </c>
      <c r="C73" s="100">
        <v>9.26</v>
      </c>
      <c r="D73" s="100">
        <v>5.81</v>
      </c>
      <c r="E73" s="100">
        <v>3.77</v>
      </c>
      <c r="F73" s="100">
        <v>44.09</v>
      </c>
      <c r="G73" s="100">
        <v>13.98</v>
      </c>
      <c r="H73" s="100">
        <v>29.75</v>
      </c>
      <c r="I73" s="100">
        <v>14.61</v>
      </c>
      <c r="J73" s="100">
        <v>0.49</v>
      </c>
      <c r="K73" s="100">
        <v>68.510000000000005</v>
      </c>
      <c r="L73" s="100">
        <v>36.99</v>
      </c>
      <c r="M73" s="100">
        <v>39.880000000000003</v>
      </c>
      <c r="N73" s="100">
        <v>172.6</v>
      </c>
      <c r="O73" s="100">
        <v>0</v>
      </c>
      <c r="P73" s="100">
        <v>0.32</v>
      </c>
      <c r="Q73" s="100">
        <v>9.89</v>
      </c>
      <c r="R73" s="6"/>
      <c r="S73" s="6"/>
      <c r="T73" s="156"/>
      <c r="U73" s="6"/>
    </row>
    <row r="74" spans="1:21" customFormat="1">
      <c r="A74" s="163" t="s">
        <v>1361</v>
      </c>
      <c r="B74" s="100">
        <v>3.5</v>
      </c>
      <c r="C74" s="100">
        <v>9.5399999999999991</v>
      </c>
      <c r="D74" s="100">
        <v>6.04</v>
      </c>
      <c r="E74" s="100">
        <v>4.21</v>
      </c>
      <c r="F74" s="100">
        <v>42.85</v>
      </c>
      <c r="G74" s="135" t="s">
        <v>12</v>
      </c>
      <c r="H74" s="135" t="s">
        <v>12</v>
      </c>
      <c r="I74" s="100">
        <v>11.76</v>
      </c>
      <c r="J74" s="100">
        <v>0.28999999999999998</v>
      </c>
      <c r="K74" s="100">
        <v>101.56</v>
      </c>
      <c r="L74" s="100">
        <v>36.729999999999997</v>
      </c>
      <c r="M74" s="100">
        <v>40.67</v>
      </c>
      <c r="N74" s="100">
        <v>114.1</v>
      </c>
      <c r="O74" s="100">
        <v>0</v>
      </c>
      <c r="P74" s="100">
        <v>0.37</v>
      </c>
      <c r="Q74" s="100">
        <v>9.9</v>
      </c>
      <c r="R74" s="6"/>
      <c r="S74" s="6"/>
      <c r="T74" s="156"/>
      <c r="U74" s="6"/>
    </row>
    <row r="75" spans="1:21" customFormat="1">
      <c r="A75" s="163" t="s">
        <v>1362</v>
      </c>
      <c r="B75" s="100">
        <v>3.51</v>
      </c>
      <c r="C75" s="100">
        <v>9.4600000000000009</v>
      </c>
      <c r="D75" s="100">
        <v>5.95</v>
      </c>
      <c r="E75" s="100">
        <v>4.37</v>
      </c>
      <c r="F75" s="100">
        <v>28.12</v>
      </c>
      <c r="G75" s="135" t="s">
        <v>12</v>
      </c>
      <c r="H75" s="135" t="s">
        <v>12</v>
      </c>
      <c r="I75" s="100">
        <v>8.92</v>
      </c>
      <c r="J75" s="100">
        <v>0.8</v>
      </c>
      <c r="K75" s="100">
        <v>63.05</v>
      </c>
      <c r="L75" s="100">
        <v>36.42</v>
      </c>
      <c r="M75" s="100">
        <v>41.12</v>
      </c>
      <c r="N75" s="100">
        <v>142.9</v>
      </c>
      <c r="O75" s="100">
        <v>0</v>
      </c>
      <c r="P75" s="100">
        <v>0.37</v>
      </c>
      <c r="Q75" s="100">
        <v>9.9</v>
      </c>
      <c r="R75" s="6"/>
      <c r="S75" s="6"/>
      <c r="T75" s="156"/>
      <c r="U75" s="6"/>
    </row>
    <row r="76" spans="1:21" customFormat="1">
      <c r="A76" s="163" t="s">
        <v>1363</v>
      </c>
      <c r="B76" s="100">
        <v>3.46</v>
      </c>
      <c r="C76" s="100">
        <v>9.61</v>
      </c>
      <c r="D76" s="100">
        <v>6.16</v>
      </c>
      <c r="E76" s="100">
        <v>4.6500000000000004</v>
      </c>
      <c r="F76" s="100">
        <v>35.14</v>
      </c>
      <c r="G76" s="135" t="s">
        <v>12</v>
      </c>
      <c r="H76" s="135" t="s">
        <v>12</v>
      </c>
      <c r="I76" s="100">
        <v>7.83</v>
      </c>
      <c r="J76" s="100">
        <v>0.3</v>
      </c>
      <c r="K76" s="100">
        <v>80.47</v>
      </c>
      <c r="L76" s="100">
        <v>36.299999999999997</v>
      </c>
      <c r="M76" s="100">
        <v>42.42</v>
      </c>
      <c r="N76" s="100">
        <v>115.1</v>
      </c>
      <c r="O76" s="100">
        <v>0</v>
      </c>
      <c r="P76" s="100">
        <v>0.38</v>
      </c>
      <c r="Q76" s="100">
        <v>9.92</v>
      </c>
      <c r="R76" s="6"/>
      <c r="S76" s="6"/>
      <c r="T76" s="156"/>
      <c r="U76" s="6"/>
    </row>
    <row r="77" spans="1:21" customFormat="1">
      <c r="A77" s="163" t="s">
        <v>1364</v>
      </c>
      <c r="B77" s="100">
        <v>3.44</v>
      </c>
      <c r="C77" s="100">
        <v>9.14</v>
      </c>
      <c r="D77" s="100">
        <v>5.7</v>
      </c>
      <c r="E77" s="100">
        <v>4.6399999999999997</v>
      </c>
      <c r="F77" s="100">
        <v>28.87</v>
      </c>
      <c r="G77" s="100">
        <v>8</v>
      </c>
      <c r="H77" s="100">
        <v>12.84</v>
      </c>
      <c r="I77" s="100">
        <v>7.46</v>
      </c>
      <c r="J77" s="100">
        <v>0.54</v>
      </c>
      <c r="K77" s="100">
        <v>69.989999999999995</v>
      </c>
      <c r="L77" s="100">
        <v>36</v>
      </c>
      <c r="M77" s="100">
        <v>42.75</v>
      </c>
      <c r="N77" s="100">
        <v>120.5</v>
      </c>
      <c r="O77" s="100">
        <v>0</v>
      </c>
      <c r="P77" s="100">
        <v>0.39</v>
      </c>
      <c r="Q77" s="100">
        <v>9.91</v>
      </c>
      <c r="R77" s="6"/>
      <c r="S77" s="6"/>
      <c r="T77" s="156"/>
      <c r="U77" s="6"/>
    </row>
    <row r="78" spans="1:21" customFormat="1">
      <c r="A78" s="163" t="s">
        <v>1365</v>
      </c>
      <c r="B78" s="100">
        <v>3.48</v>
      </c>
      <c r="C78" s="100">
        <v>9.5399999999999991</v>
      </c>
      <c r="D78" s="100">
        <v>6.06</v>
      </c>
      <c r="E78" s="100">
        <v>4.9800000000000004</v>
      </c>
      <c r="F78" s="100">
        <v>31.97</v>
      </c>
      <c r="G78" s="100">
        <v>27.68</v>
      </c>
      <c r="H78" s="100">
        <v>33.9</v>
      </c>
      <c r="I78" s="100">
        <v>6.78</v>
      </c>
      <c r="J78" s="100">
        <v>0.28999999999999998</v>
      </c>
      <c r="K78" s="100">
        <v>100.38</v>
      </c>
      <c r="L78" s="100">
        <v>35.909999999999997</v>
      </c>
      <c r="M78" s="100">
        <v>43.02</v>
      </c>
      <c r="N78" s="100">
        <v>83.2</v>
      </c>
      <c r="O78" s="100">
        <v>0</v>
      </c>
      <c r="P78" s="100">
        <v>0.38</v>
      </c>
      <c r="Q78" s="100">
        <v>9.94</v>
      </c>
      <c r="R78" s="6"/>
      <c r="S78" s="6"/>
      <c r="T78" s="156"/>
      <c r="U78" s="6"/>
    </row>
    <row r="79" spans="1:21" customFormat="1">
      <c r="A79" s="163" t="s">
        <v>1366</v>
      </c>
      <c r="B79" s="100">
        <v>3.41</v>
      </c>
      <c r="C79" s="100">
        <v>9.3000000000000007</v>
      </c>
      <c r="D79" s="100">
        <v>5.89</v>
      </c>
      <c r="E79" s="100">
        <v>5.38</v>
      </c>
      <c r="F79" s="100">
        <v>17.25</v>
      </c>
      <c r="G79" s="100">
        <v>27.68</v>
      </c>
      <c r="H79" s="100">
        <v>33.9</v>
      </c>
      <c r="I79" s="100">
        <v>6.32</v>
      </c>
      <c r="J79" s="100">
        <v>0.31</v>
      </c>
      <c r="K79" s="100">
        <v>85.39</v>
      </c>
      <c r="L79" s="100">
        <v>35.479999999999997</v>
      </c>
      <c r="M79" s="100">
        <v>44.48</v>
      </c>
      <c r="N79" s="100">
        <v>68.099999999999994</v>
      </c>
      <c r="O79" s="100">
        <v>0</v>
      </c>
      <c r="P79" s="100">
        <v>0.39</v>
      </c>
      <c r="Q79" s="100">
        <v>9.94</v>
      </c>
      <c r="R79" s="6"/>
      <c r="S79" s="6"/>
      <c r="T79" s="156"/>
      <c r="U79" s="6"/>
    </row>
    <row r="80" spans="1:21" customFormat="1">
      <c r="A80" s="163" t="s">
        <v>1367</v>
      </c>
      <c r="B80" s="100">
        <v>3.44</v>
      </c>
      <c r="C80" s="100">
        <v>8.77</v>
      </c>
      <c r="D80" s="100">
        <v>5.33</v>
      </c>
      <c r="E80" s="100">
        <v>5.29</v>
      </c>
      <c r="F80" s="100">
        <v>20.010000000000002</v>
      </c>
      <c r="G80" s="100">
        <v>27.68</v>
      </c>
      <c r="H80" s="100">
        <v>33.9</v>
      </c>
      <c r="I80" s="100">
        <v>6.47</v>
      </c>
      <c r="J80" s="100">
        <v>0.3</v>
      </c>
      <c r="K80" s="100">
        <v>101.32</v>
      </c>
      <c r="L80" s="100">
        <v>34.950000000000003</v>
      </c>
      <c r="M80" s="100">
        <v>46.01</v>
      </c>
      <c r="N80" s="100">
        <v>71.8</v>
      </c>
      <c r="O80" s="100">
        <v>0</v>
      </c>
      <c r="P80" s="100">
        <v>0.41</v>
      </c>
      <c r="Q80" s="100">
        <v>9.93</v>
      </c>
      <c r="R80" s="6"/>
      <c r="S80" s="6"/>
      <c r="T80" s="156"/>
      <c r="U80" s="6"/>
    </row>
    <row r="81" spans="1:21" customFormat="1">
      <c r="A81" s="163" t="s">
        <v>1368</v>
      </c>
      <c r="B81" s="100">
        <v>3.58</v>
      </c>
      <c r="C81" s="100">
        <v>8.39</v>
      </c>
      <c r="D81" s="100">
        <v>4.8099999999999996</v>
      </c>
      <c r="E81" s="100">
        <v>3.85</v>
      </c>
      <c r="F81" s="100">
        <v>18.309999999999999</v>
      </c>
      <c r="G81" s="100">
        <v>28.41</v>
      </c>
      <c r="H81" s="100">
        <v>32.340000000000003</v>
      </c>
      <c r="I81" s="100">
        <v>6.66</v>
      </c>
      <c r="J81" s="100">
        <v>0.54</v>
      </c>
      <c r="K81" s="100">
        <v>93.34</v>
      </c>
      <c r="L81" s="100">
        <v>34.33</v>
      </c>
      <c r="M81" s="100">
        <v>51.77</v>
      </c>
      <c r="N81" s="100">
        <v>38.799999999999997</v>
      </c>
      <c r="O81" s="100">
        <v>0</v>
      </c>
      <c r="P81" s="100">
        <v>0.41</v>
      </c>
      <c r="Q81" s="100">
        <v>9.92</v>
      </c>
      <c r="R81" s="6"/>
      <c r="S81" s="6"/>
      <c r="T81" s="156"/>
      <c r="U81" s="6"/>
    </row>
    <row r="82" spans="1:21" customFormat="1">
      <c r="A82" s="163" t="s">
        <v>1369</v>
      </c>
      <c r="B82" s="100">
        <v>3.63</v>
      </c>
      <c r="C82" s="100">
        <v>8.02</v>
      </c>
      <c r="D82" s="100">
        <v>4.3899999999999997</v>
      </c>
      <c r="E82" s="100">
        <v>3.88</v>
      </c>
      <c r="F82" s="100">
        <v>21.44</v>
      </c>
      <c r="G82" s="100">
        <v>30.21</v>
      </c>
      <c r="H82" s="100">
        <v>29.78</v>
      </c>
      <c r="I82" s="100">
        <v>6.28</v>
      </c>
      <c r="J82" s="100">
        <v>0.43</v>
      </c>
      <c r="K82" s="100">
        <v>73.760000000000005</v>
      </c>
      <c r="L82" s="100">
        <v>33.65</v>
      </c>
      <c r="M82" s="100">
        <v>53.49</v>
      </c>
      <c r="N82" s="100">
        <v>19.2</v>
      </c>
      <c r="O82" s="100">
        <v>0</v>
      </c>
      <c r="P82" s="100">
        <v>0.4</v>
      </c>
      <c r="Q82" s="100">
        <v>9.92</v>
      </c>
      <c r="R82" s="6"/>
      <c r="S82" s="6"/>
      <c r="T82" s="156"/>
      <c r="U82" s="6"/>
    </row>
    <row r="83" spans="1:21" customFormat="1">
      <c r="A83" s="163" t="s">
        <v>1370</v>
      </c>
      <c r="B83" s="100">
        <v>3.7</v>
      </c>
      <c r="C83" s="100">
        <v>7.6</v>
      </c>
      <c r="D83" s="100">
        <v>3.9</v>
      </c>
      <c r="E83" s="100">
        <v>3.67</v>
      </c>
      <c r="F83" s="100">
        <v>20.94</v>
      </c>
      <c r="G83" s="100">
        <v>30.21</v>
      </c>
      <c r="H83" s="100">
        <v>29.78</v>
      </c>
      <c r="I83" s="100">
        <v>6.15</v>
      </c>
      <c r="J83" s="100">
        <v>0.35</v>
      </c>
      <c r="K83" s="100">
        <v>98.59</v>
      </c>
      <c r="L83" s="100">
        <v>33.25</v>
      </c>
      <c r="M83" s="100">
        <v>54.79</v>
      </c>
      <c r="N83" s="100">
        <v>9.1999999999999993</v>
      </c>
      <c r="O83" s="100">
        <v>0</v>
      </c>
      <c r="P83" s="100">
        <v>0.39</v>
      </c>
      <c r="Q83" s="100">
        <v>9.93</v>
      </c>
      <c r="R83" s="6"/>
      <c r="S83" s="6"/>
      <c r="T83" s="156"/>
      <c r="U83" s="6"/>
    </row>
    <row r="84" spans="1:21" customFormat="1">
      <c r="A84" s="163" t="s">
        <v>1371</v>
      </c>
      <c r="B84" s="100">
        <v>3.74</v>
      </c>
      <c r="C84" s="100">
        <v>7.43</v>
      </c>
      <c r="D84" s="100">
        <v>3.69</v>
      </c>
      <c r="E84" s="100">
        <v>3.52</v>
      </c>
      <c r="F84" s="100">
        <v>19.100000000000001</v>
      </c>
      <c r="G84" s="100">
        <v>30.21</v>
      </c>
      <c r="H84" s="100">
        <v>29.78</v>
      </c>
      <c r="I84" s="100">
        <v>4.47</v>
      </c>
      <c r="J84" s="100">
        <v>0.32</v>
      </c>
      <c r="K84" s="100">
        <v>90.28</v>
      </c>
      <c r="L84" s="100">
        <v>32.950000000000003</v>
      </c>
      <c r="M84" s="100">
        <v>56.12</v>
      </c>
      <c r="N84" s="100">
        <v>3.7</v>
      </c>
      <c r="O84" s="100">
        <v>0</v>
      </c>
      <c r="P84" s="100">
        <v>0.39</v>
      </c>
      <c r="Q84" s="100">
        <v>9.92</v>
      </c>
      <c r="R84" s="6"/>
      <c r="S84" s="6"/>
      <c r="T84" s="156"/>
      <c r="U84" s="6"/>
    </row>
    <row r="85" spans="1:21" customFormat="1">
      <c r="A85" s="163" t="s">
        <v>1372</v>
      </c>
      <c r="B85" s="100">
        <v>3.73</v>
      </c>
      <c r="C85" s="100">
        <v>7.11</v>
      </c>
      <c r="D85" s="100">
        <v>3.38</v>
      </c>
      <c r="E85" s="100">
        <v>3.56</v>
      </c>
      <c r="F85" s="100">
        <v>23.88</v>
      </c>
      <c r="G85" s="100">
        <v>31.03</v>
      </c>
      <c r="H85" s="100">
        <v>28.44</v>
      </c>
      <c r="I85" s="100">
        <v>4.3899999999999997</v>
      </c>
      <c r="J85" s="100">
        <v>0.33</v>
      </c>
      <c r="K85" s="100">
        <v>80.069999999999993</v>
      </c>
      <c r="L85" s="100">
        <v>32.76</v>
      </c>
      <c r="M85" s="100">
        <v>56.69</v>
      </c>
      <c r="N85" s="100">
        <v>2.1</v>
      </c>
      <c r="O85" s="100">
        <v>0</v>
      </c>
      <c r="P85" s="100">
        <v>0.39</v>
      </c>
      <c r="Q85" s="100">
        <v>9.93</v>
      </c>
      <c r="R85" s="6"/>
      <c r="S85" s="6"/>
      <c r="T85" s="156"/>
      <c r="U85" s="6"/>
    </row>
    <row r="86" spans="1:21" customFormat="1">
      <c r="A86" s="163" t="s">
        <v>1373</v>
      </c>
      <c r="B86" s="100">
        <v>3.77</v>
      </c>
      <c r="C86" s="100">
        <v>6.97</v>
      </c>
      <c r="D86" s="100">
        <v>3.21</v>
      </c>
      <c r="E86" s="100">
        <v>3.74</v>
      </c>
      <c r="F86" s="100">
        <v>20.13</v>
      </c>
      <c r="G86" s="100">
        <v>33.06</v>
      </c>
      <c r="H86" s="100">
        <v>26.24</v>
      </c>
      <c r="I86" s="100">
        <v>4.33</v>
      </c>
      <c r="J86" s="100">
        <v>0.3</v>
      </c>
      <c r="K86" s="100">
        <v>89.32</v>
      </c>
      <c r="L86" s="100">
        <v>32.520000000000003</v>
      </c>
      <c r="M86" s="100">
        <v>57.29</v>
      </c>
      <c r="N86" s="100">
        <v>2.1</v>
      </c>
      <c r="O86" s="100">
        <v>0</v>
      </c>
      <c r="P86" s="100">
        <v>0.37</v>
      </c>
      <c r="Q86" s="100">
        <v>9.93</v>
      </c>
      <c r="R86" s="6"/>
      <c r="S86" s="6"/>
      <c r="T86" s="156"/>
      <c r="U86" s="6"/>
    </row>
    <row r="87" spans="1:21" customFormat="1">
      <c r="A87" s="163" t="s">
        <v>1374</v>
      </c>
      <c r="B87" s="100">
        <v>3.81</v>
      </c>
      <c r="C87" s="100">
        <v>6.85</v>
      </c>
      <c r="D87" s="100">
        <v>3.04</v>
      </c>
      <c r="E87" s="100">
        <v>3.54</v>
      </c>
      <c r="F87" s="100">
        <v>17.43</v>
      </c>
      <c r="G87" s="100">
        <v>33.06</v>
      </c>
      <c r="H87" s="100">
        <v>26.24</v>
      </c>
      <c r="I87" s="100">
        <v>4.08</v>
      </c>
      <c r="J87" s="100">
        <v>0.35</v>
      </c>
      <c r="K87" s="100">
        <v>99.82</v>
      </c>
      <c r="L87" s="100">
        <v>32.25</v>
      </c>
      <c r="M87" s="100">
        <v>56.34</v>
      </c>
      <c r="N87" s="100">
        <v>2.1</v>
      </c>
      <c r="O87" s="100">
        <v>0</v>
      </c>
      <c r="P87" s="100">
        <v>0.38</v>
      </c>
      <c r="Q87" s="100">
        <v>9.93</v>
      </c>
      <c r="R87" s="6"/>
      <c r="S87" s="6"/>
      <c r="T87" s="156"/>
      <c r="U87" s="6"/>
    </row>
    <row r="88" spans="1:21" customFormat="1">
      <c r="A88" s="163" t="s">
        <v>1375</v>
      </c>
      <c r="B88" s="100">
        <v>3.82</v>
      </c>
      <c r="C88" s="100">
        <v>6.81</v>
      </c>
      <c r="D88" s="100">
        <v>2.99</v>
      </c>
      <c r="E88" s="100">
        <v>3.69</v>
      </c>
      <c r="F88" s="100">
        <v>19.2</v>
      </c>
      <c r="G88" s="100">
        <v>33.06</v>
      </c>
      <c r="H88" s="100">
        <v>26.24</v>
      </c>
      <c r="I88" s="100">
        <v>4.09</v>
      </c>
      <c r="J88" s="100">
        <v>0.39</v>
      </c>
      <c r="K88" s="100">
        <v>92.64</v>
      </c>
      <c r="L88" s="100">
        <v>31.97</v>
      </c>
      <c r="M88" s="100">
        <v>57.3</v>
      </c>
      <c r="N88" s="100">
        <v>2.1</v>
      </c>
      <c r="O88" s="100">
        <v>0</v>
      </c>
      <c r="P88" s="100">
        <v>0.37</v>
      </c>
      <c r="Q88" s="100">
        <v>9.92</v>
      </c>
      <c r="R88" s="6"/>
      <c r="S88" s="6"/>
      <c r="T88" s="156"/>
      <c r="U88" s="6"/>
    </row>
    <row r="89" spans="1:21" customFormat="1">
      <c r="A89" s="163" t="s">
        <v>1376</v>
      </c>
      <c r="B89" s="100">
        <v>3.81</v>
      </c>
      <c r="C89" s="100">
        <v>6.69</v>
      </c>
      <c r="D89" s="100">
        <v>2.88</v>
      </c>
      <c r="E89" s="100">
        <v>3.61</v>
      </c>
      <c r="F89" s="100">
        <v>19.54</v>
      </c>
      <c r="G89" s="100">
        <v>31.83</v>
      </c>
      <c r="H89" s="100">
        <v>24.43</v>
      </c>
      <c r="I89" s="100">
        <v>4.2</v>
      </c>
      <c r="J89" s="100">
        <v>0.27</v>
      </c>
      <c r="K89" s="100">
        <v>109.87</v>
      </c>
      <c r="L89" s="100">
        <v>31.71</v>
      </c>
      <c r="M89" s="100">
        <v>56.9</v>
      </c>
      <c r="N89" s="100">
        <v>2.1</v>
      </c>
      <c r="O89" s="100">
        <v>0</v>
      </c>
      <c r="P89" s="100">
        <v>0.36</v>
      </c>
      <c r="Q89" s="100">
        <v>9.92</v>
      </c>
      <c r="R89" s="6"/>
      <c r="S89" s="6"/>
      <c r="T89" s="156"/>
      <c r="U89" s="6"/>
    </row>
    <row r="90" spans="1:21" customFormat="1">
      <c r="A90" s="163" t="s">
        <v>1377</v>
      </c>
      <c r="B90" s="100">
        <v>3.86</v>
      </c>
      <c r="C90" s="100">
        <v>6.7</v>
      </c>
      <c r="D90" s="100">
        <v>2.84</v>
      </c>
      <c r="E90" s="100">
        <v>3.41</v>
      </c>
      <c r="F90" s="100">
        <v>16.96</v>
      </c>
      <c r="G90" s="100">
        <v>28.82</v>
      </c>
      <c r="H90" s="100">
        <v>21.57</v>
      </c>
      <c r="I90" s="100">
        <v>5.0999999999999996</v>
      </c>
      <c r="J90" s="100">
        <v>0.24</v>
      </c>
      <c r="K90" s="100">
        <v>124.93</v>
      </c>
      <c r="L90" s="100">
        <v>31.49</v>
      </c>
      <c r="M90" s="100">
        <v>57.58</v>
      </c>
      <c r="N90" s="100">
        <v>2</v>
      </c>
      <c r="O90" s="100">
        <v>0</v>
      </c>
      <c r="P90" s="100">
        <v>0.36</v>
      </c>
      <c r="Q90" s="100">
        <v>9.94</v>
      </c>
      <c r="R90" s="6"/>
      <c r="S90" s="6"/>
      <c r="T90" s="156"/>
      <c r="U90" s="6"/>
    </row>
    <row r="91" spans="1:21" customFormat="1">
      <c r="A91" s="163" t="s">
        <v>1378</v>
      </c>
      <c r="B91" s="100">
        <v>3.89</v>
      </c>
      <c r="C91" s="100">
        <v>6.67</v>
      </c>
      <c r="D91" s="100">
        <v>2.78</v>
      </c>
      <c r="E91" s="100">
        <v>3.47</v>
      </c>
      <c r="F91" s="100">
        <v>15.77</v>
      </c>
      <c r="G91" s="100">
        <v>28.82</v>
      </c>
      <c r="H91" s="100">
        <v>21.57</v>
      </c>
      <c r="I91" s="100">
        <v>3.89</v>
      </c>
      <c r="J91" s="100">
        <v>0.38</v>
      </c>
      <c r="K91" s="100">
        <v>130.22999999999999</v>
      </c>
      <c r="L91" s="100">
        <v>31.18</v>
      </c>
      <c r="M91" s="100">
        <v>58.54</v>
      </c>
      <c r="N91" s="100">
        <v>1.9</v>
      </c>
      <c r="O91" s="100">
        <v>0</v>
      </c>
      <c r="P91" s="100">
        <v>0.35</v>
      </c>
      <c r="Q91" s="100">
        <v>9.93</v>
      </c>
      <c r="R91" s="6"/>
      <c r="S91" s="6"/>
      <c r="T91" s="156"/>
      <c r="U91" s="6"/>
    </row>
    <row r="92" spans="1:21" customFormat="1">
      <c r="A92" s="163" t="s">
        <v>1379</v>
      </c>
      <c r="B92" s="100">
        <v>3.93</v>
      </c>
      <c r="C92" s="100">
        <v>6.61</v>
      </c>
      <c r="D92" s="100">
        <v>2.68</v>
      </c>
      <c r="E92" s="100">
        <v>3.82</v>
      </c>
      <c r="F92" s="100">
        <v>10.45</v>
      </c>
      <c r="G92" s="100">
        <v>28.82</v>
      </c>
      <c r="H92" s="100">
        <v>21.57</v>
      </c>
      <c r="I92" s="100">
        <v>5.09</v>
      </c>
      <c r="J92" s="100">
        <v>0.23</v>
      </c>
      <c r="K92" s="100">
        <v>136.04</v>
      </c>
      <c r="L92" s="100">
        <v>31.02</v>
      </c>
      <c r="M92" s="100">
        <v>57.9</v>
      </c>
      <c r="N92" s="100">
        <v>1.9</v>
      </c>
      <c r="O92" s="100">
        <v>0</v>
      </c>
      <c r="P92" s="100">
        <v>0.36</v>
      </c>
      <c r="Q92" s="100">
        <v>9.92</v>
      </c>
      <c r="R92" s="6"/>
      <c r="S92" s="6"/>
      <c r="T92" s="156"/>
      <c r="U92" s="6"/>
    </row>
    <row r="93" spans="1:21" customFormat="1">
      <c r="A93" s="163" t="s">
        <v>1380</v>
      </c>
      <c r="B93" s="100">
        <v>3.93</v>
      </c>
      <c r="C93" s="100">
        <v>6.8</v>
      </c>
      <c r="D93" s="100">
        <v>2.88</v>
      </c>
      <c r="E93" s="100">
        <v>3.64</v>
      </c>
      <c r="F93" s="100">
        <v>16.940000000000001</v>
      </c>
      <c r="G93" s="100">
        <v>27.81</v>
      </c>
      <c r="H93" s="100">
        <v>19.91</v>
      </c>
      <c r="I93" s="100">
        <v>5.07</v>
      </c>
      <c r="J93" s="100">
        <v>0.25</v>
      </c>
      <c r="K93" s="100">
        <v>87.08</v>
      </c>
      <c r="L93" s="100">
        <v>30.89</v>
      </c>
      <c r="M93" s="100">
        <v>58.44</v>
      </c>
      <c r="N93" s="100">
        <v>1.9</v>
      </c>
      <c r="O93" s="100">
        <v>0</v>
      </c>
      <c r="P93" s="100">
        <v>0.37</v>
      </c>
      <c r="Q93" s="100">
        <v>9.91</v>
      </c>
      <c r="R93" s="6"/>
      <c r="S93" s="6"/>
      <c r="T93" s="156"/>
      <c r="U93" s="6"/>
    </row>
    <row r="94" spans="1:21" customFormat="1">
      <c r="A94" s="163" t="s">
        <v>1381</v>
      </c>
      <c r="B94" s="100">
        <v>3.94</v>
      </c>
      <c r="C94" s="100">
        <v>6.61</v>
      </c>
      <c r="D94" s="100">
        <v>2.67</v>
      </c>
      <c r="E94" s="100">
        <v>3.76</v>
      </c>
      <c r="F94" s="100">
        <v>17.84</v>
      </c>
      <c r="G94" s="100">
        <v>25.33</v>
      </c>
      <c r="H94" s="100">
        <v>17.29</v>
      </c>
      <c r="I94" s="100">
        <v>5.26</v>
      </c>
      <c r="J94" s="100">
        <v>0.22</v>
      </c>
      <c r="K94" s="100">
        <v>126.23</v>
      </c>
      <c r="L94" s="100">
        <v>30.75</v>
      </c>
      <c r="M94" s="100">
        <v>58.7</v>
      </c>
      <c r="N94" s="100">
        <v>1.9</v>
      </c>
      <c r="O94" s="100">
        <v>0</v>
      </c>
      <c r="P94" s="100">
        <v>0.35</v>
      </c>
      <c r="Q94" s="100">
        <v>9.92</v>
      </c>
      <c r="R94" s="6"/>
      <c r="S94" s="6"/>
      <c r="T94" s="156"/>
      <c r="U94" s="6"/>
    </row>
    <row r="95" spans="1:21" customFormat="1">
      <c r="A95" s="163" t="s">
        <v>1382</v>
      </c>
      <c r="B95" s="100">
        <v>3.93</v>
      </c>
      <c r="C95" s="100">
        <v>6.57</v>
      </c>
      <c r="D95" s="100">
        <v>2.64</v>
      </c>
      <c r="E95" s="100">
        <v>3.78</v>
      </c>
      <c r="F95" s="100">
        <v>17.61</v>
      </c>
      <c r="G95" s="100">
        <v>25.33</v>
      </c>
      <c r="H95" s="100">
        <v>17.29</v>
      </c>
      <c r="I95" s="100">
        <v>4.8899999999999997</v>
      </c>
      <c r="J95" s="100">
        <v>0.12</v>
      </c>
      <c r="K95" s="100">
        <v>107.46</v>
      </c>
      <c r="L95" s="100">
        <v>30.54</v>
      </c>
      <c r="M95" s="100">
        <v>60.16</v>
      </c>
      <c r="N95" s="100">
        <v>1.9</v>
      </c>
      <c r="O95" s="100">
        <v>0</v>
      </c>
      <c r="P95" s="100">
        <v>0.34</v>
      </c>
      <c r="Q95" s="100">
        <v>9.93</v>
      </c>
      <c r="R95" s="6"/>
      <c r="S95" s="6"/>
      <c r="T95" s="156"/>
      <c r="U95" s="6"/>
    </row>
    <row r="96" spans="1:21" customFormat="1">
      <c r="A96" s="163" t="s">
        <v>1383</v>
      </c>
      <c r="B96" s="100">
        <v>4</v>
      </c>
      <c r="C96" s="100">
        <v>6.48</v>
      </c>
      <c r="D96" s="100">
        <v>2.48</v>
      </c>
      <c r="E96" s="100">
        <v>3.87</v>
      </c>
      <c r="F96" s="100">
        <v>16.22</v>
      </c>
      <c r="G96" s="100">
        <v>25.33</v>
      </c>
      <c r="H96" s="100">
        <v>17.29</v>
      </c>
      <c r="I96" s="100">
        <v>4.68</v>
      </c>
      <c r="J96" s="100">
        <v>0.17</v>
      </c>
      <c r="K96" s="100">
        <v>130.83000000000001</v>
      </c>
      <c r="L96" s="100">
        <v>30.3</v>
      </c>
      <c r="M96" s="100">
        <v>61.21</v>
      </c>
      <c r="N96" s="100">
        <v>1.9</v>
      </c>
      <c r="O96" s="100">
        <v>0</v>
      </c>
      <c r="P96" s="100">
        <v>0.33</v>
      </c>
      <c r="Q96" s="100">
        <v>9.93</v>
      </c>
      <c r="R96" s="6"/>
      <c r="S96" s="6"/>
      <c r="T96" s="156"/>
      <c r="U96" s="6"/>
    </row>
    <row r="97" spans="1:28" customFormat="1">
      <c r="A97" s="163" t="s">
        <v>1384</v>
      </c>
      <c r="B97" s="100">
        <v>4.01</v>
      </c>
      <c r="C97" s="100">
        <v>6.53</v>
      </c>
      <c r="D97" s="100">
        <v>2.52</v>
      </c>
      <c r="E97" s="100">
        <v>3.78</v>
      </c>
      <c r="F97" s="100">
        <v>12.39</v>
      </c>
      <c r="G97" s="100">
        <v>25.75</v>
      </c>
      <c r="H97" s="100">
        <v>16.73</v>
      </c>
      <c r="I97" s="100">
        <v>4.53</v>
      </c>
      <c r="J97" s="100">
        <v>0.16</v>
      </c>
      <c r="K97" s="100">
        <v>133.79</v>
      </c>
      <c r="L97" s="100">
        <v>30.26</v>
      </c>
      <c r="M97" s="100">
        <v>61.34</v>
      </c>
      <c r="N97" s="100">
        <v>1.9</v>
      </c>
      <c r="O97" s="100">
        <v>0</v>
      </c>
      <c r="P97" s="100">
        <v>0.34</v>
      </c>
      <c r="Q97" s="100">
        <v>9.93</v>
      </c>
      <c r="R97" s="6"/>
      <c r="S97" s="6"/>
      <c r="T97" s="156"/>
      <c r="U97" s="6"/>
    </row>
    <row r="98" spans="1:28" customFormat="1">
      <c r="A98" s="163" t="s">
        <v>1385</v>
      </c>
      <c r="B98" s="100">
        <v>4.17</v>
      </c>
      <c r="C98" s="100">
        <v>7.19</v>
      </c>
      <c r="D98" s="100">
        <v>3.02</v>
      </c>
      <c r="E98" s="100">
        <v>4.22</v>
      </c>
      <c r="F98" s="100">
        <v>5.6</v>
      </c>
      <c r="G98" s="100">
        <v>26.8</v>
      </c>
      <c r="H98" s="100">
        <v>14.62</v>
      </c>
      <c r="I98" s="100">
        <v>4.6100000000000003</v>
      </c>
      <c r="J98" s="100">
        <v>0.11</v>
      </c>
      <c r="K98" s="100">
        <v>121.13</v>
      </c>
      <c r="L98" s="100">
        <v>30.09</v>
      </c>
      <c r="M98" s="100">
        <v>62.88</v>
      </c>
      <c r="N98" s="100">
        <v>1.8</v>
      </c>
      <c r="O98" s="100">
        <v>0</v>
      </c>
      <c r="P98" s="100">
        <v>0.38</v>
      </c>
      <c r="Q98" s="100">
        <v>9.92</v>
      </c>
      <c r="R98" s="6"/>
      <c r="S98" s="6"/>
      <c r="T98" s="156"/>
      <c r="U98" s="6"/>
    </row>
    <row r="99" spans="1:28" customFormat="1">
      <c r="A99" s="163" t="s">
        <v>1386</v>
      </c>
      <c r="B99" s="100">
        <v>4.24</v>
      </c>
      <c r="C99" s="100">
        <v>7.24</v>
      </c>
      <c r="D99" s="100">
        <v>2.99</v>
      </c>
      <c r="E99" s="100">
        <v>4.99</v>
      </c>
      <c r="F99" s="100">
        <v>3.4</v>
      </c>
      <c r="G99" s="100">
        <v>26.8</v>
      </c>
      <c r="H99" s="100">
        <v>14.62</v>
      </c>
      <c r="I99" s="100">
        <v>4.8499999999999996</v>
      </c>
      <c r="J99" s="100">
        <v>0.23</v>
      </c>
      <c r="K99" s="100">
        <v>159.72</v>
      </c>
      <c r="L99" s="100">
        <v>30.08</v>
      </c>
      <c r="M99" s="100">
        <v>63.48</v>
      </c>
      <c r="N99" s="100">
        <v>1.9</v>
      </c>
      <c r="O99" s="100">
        <v>0</v>
      </c>
      <c r="P99" s="100">
        <v>0.37</v>
      </c>
      <c r="Q99" s="100">
        <v>9.92</v>
      </c>
      <c r="R99" s="6"/>
      <c r="S99" s="6"/>
      <c r="T99" s="156"/>
      <c r="U99" s="6"/>
    </row>
    <row r="100" spans="1:28" customFormat="1">
      <c r="A100" s="163" t="s">
        <v>1387</v>
      </c>
      <c r="B100" s="100">
        <v>4.17</v>
      </c>
      <c r="C100" s="100">
        <v>7.25</v>
      </c>
      <c r="D100" s="100">
        <v>3.08</v>
      </c>
      <c r="E100" s="100">
        <v>5.18</v>
      </c>
      <c r="F100" s="100">
        <v>2.88</v>
      </c>
      <c r="G100" s="100">
        <v>26.8</v>
      </c>
      <c r="H100" s="100">
        <v>14.62</v>
      </c>
      <c r="I100" s="100">
        <v>5.34</v>
      </c>
      <c r="J100" s="100">
        <v>0.2</v>
      </c>
      <c r="K100" s="100">
        <v>165.73</v>
      </c>
      <c r="L100" s="100">
        <v>29.89</v>
      </c>
      <c r="M100" s="100">
        <v>64.61</v>
      </c>
      <c r="N100" s="100">
        <v>1.8</v>
      </c>
      <c r="O100" s="100">
        <v>0</v>
      </c>
      <c r="P100" s="100">
        <v>0.36</v>
      </c>
      <c r="Q100" s="100">
        <v>9.91</v>
      </c>
      <c r="R100" s="6"/>
      <c r="S100" s="6"/>
      <c r="T100" s="156"/>
      <c r="U100" s="6"/>
      <c r="AB100" s="161"/>
    </row>
    <row r="101" spans="1:28" customFormat="1">
      <c r="A101" s="163" t="s">
        <v>1388</v>
      </c>
      <c r="B101" s="100">
        <v>4.1100000000000003</v>
      </c>
      <c r="C101" s="100">
        <v>7.07</v>
      </c>
      <c r="D101" s="100">
        <v>2.95</v>
      </c>
      <c r="E101" s="100">
        <v>5.14</v>
      </c>
      <c r="F101" s="100">
        <v>3.93</v>
      </c>
      <c r="G101" s="100">
        <v>26.03</v>
      </c>
      <c r="H101" s="100">
        <v>12.92</v>
      </c>
      <c r="I101" s="100">
        <v>5.17</v>
      </c>
      <c r="J101" s="100">
        <v>0.23</v>
      </c>
      <c r="K101" s="100">
        <v>156.51</v>
      </c>
      <c r="L101" s="100">
        <v>29.6</v>
      </c>
      <c r="M101" s="100">
        <v>66.14</v>
      </c>
      <c r="N101" s="100">
        <v>1.9</v>
      </c>
      <c r="O101" s="100">
        <v>0</v>
      </c>
      <c r="P101" s="100">
        <v>0.37</v>
      </c>
      <c r="Q101" s="100">
        <v>9.9</v>
      </c>
      <c r="R101" s="6"/>
      <c r="S101" s="6"/>
      <c r="T101" s="156"/>
      <c r="U101" s="6"/>
    </row>
    <row r="102" spans="1:28" customFormat="1">
      <c r="A102" s="163" t="s">
        <v>1389</v>
      </c>
      <c r="B102" s="100">
        <v>4.0999999999999996</v>
      </c>
      <c r="C102" s="100">
        <v>7.21</v>
      </c>
      <c r="D102" s="100">
        <v>3.11</v>
      </c>
      <c r="E102" s="100">
        <v>5.45</v>
      </c>
      <c r="F102" s="100">
        <v>3.06</v>
      </c>
      <c r="G102" s="100">
        <v>24.13</v>
      </c>
      <c r="H102" s="100">
        <v>10.23</v>
      </c>
      <c r="I102" s="100">
        <v>5.0599999999999996</v>
      </c>
      <c r="J102" s="100">
        <v>0.16</v>
      </c>
      <c r="K102" s="100">
        <v>139.84</v>
      </c>
      <c r="L102" s="100">
        <v>29.57</v>
      </c>
      <c r="M102" s="100">
        <v>66.33</v>
      </c>
      <c r="N102" s="100">
        <v>1.7</v>
      </c>
      <c r="O102" s="100">
        <v>0</v>
      </c>
      <c r="P102" s="100">
        <v>0.35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1390</v>
      </c>
      <c r="B103" s="100">
        <v>4.09</v>
      </c>
      <c r="C103" s="100">
        <v>7.1</v>
      </c>
      <c r="D103" s="100">
        <v>3.01</v>
      </c>
      <c r="E103" s="100">
        <v>5.76</v>
      </c>
      <c r="F103" s="100">
        <v>3.55</v>
      </c>
      <c r="G103" s="100">
        <v>24.13</v>
      </c>
      <c r="H103" s="100">
        <v>10.23</v>
      </c>
      <c r="I103" s="100">
        <v>4.9800000000000004</v>
      </c>
      <c r="J103" s="100">
        <v>0.25</v>
      </c>
      <c r="K103" s="100">
        <v>119.72</v>
      </c>
      <c r="L103" s="100">
        <v>29.56</v>
      </c>
      <c r="M103" s="100">
        <v>66.09</v>
      </c>
      <c r="N103" s="100">
        <v>1.5</v>
      </c>
      <c r="O103" s="100">
        <v>0</v>
      </c>
      <c r="P103" s="100">
        <v>0.36</v>
      </c>
      <c r="Q103" s="100">
        <v>9.92</v>
      </c>
      <c r="R103" s="6"/>
      <c r="S103" s="6"/>
      <c r="T103" s="156"/>
      <c r="U103" s="6"/>
    </row>
    <row r="104" spans="1:28" customFormat="1">
      <c r="A104" s="163" t="s">
        <v>1391</v>
      </c>
      <c r="B104" s="100">
        <v>4.05</v>
      </c>
      <c r="C104" s="100">
        <v>6.95</v>
      </c>
      <c r="D104" s="100">
        <v>2.9</v>
      </c>
      <c r="E104" s="100">
        <v>5.64</v>
      </c>
      <c r="F104" s="100">
        <v>3.73</v>
      </c>
      <c r="G104" s="100">
        <v>24.13</v>
      </c>
      <c r="H104" s="100">
        <v>10.23</v>
      </c>
      <c r="I104" s="100">
        <v>4.74</v>
      </c>
      <c r="J104" s="100">
        <v>0.17</v>
      </c>
      <c r="K104" s="100">
        <v>130.4</v>
      </c>
      <c r="L104" s="100">
        <v>29.53</v>
      </c>
      <c r="M104" s="100">
        <v>66.709999999999994</v>
      </c>
      <c r="N104" s="100">
        <v>1.6</v>
      </c>
      <c r="O104" s="100">
        <v>0</v>
      </c>
      <c r="P104" s="100">
        <v>0.35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3.35</v>
      </c>
      <c r="C106" s="158">
        <f>MIN(C9:C104)</f>
        <v>4.8099999999999996</v>
      </c>
      <c r="D106" s="158">
        <f t="shared" ref="D106:Q106" si="0">MIN(D9:D104)</f>
        <v>0.23</v>
      </c>
      <c r="E106" s="158">
        <f t="shared" si="0"/>
        <v>3.41</v>
      </c>
      <c r="F106" s="158">
        <f t="shared" si="0"/>
        <v>2.2999999999999998</v>
      </c>
      <c r="G106" s="158">
        <f t="shared" si="0"/>
        <v>0</v>
      </c>
      <c r="H106" s="158">
        <f t="shared" si="0"/>
        <v>0</v>
      </c>
      <c r="I106" s="158">
        <f t="shared" si="0"/>
        <v>3.81</v>
      </c>
      <c r="J106" s="158">
        <f t="shared" si="0"/>
        <v>0.09</v>
      </c>
      <c r="K106" s="158">
        <f t="shared" si="0"/>
        <v>41.85</v>
      </c>
      <c r="L106" s="158">
        <f t="shared" si="0"/>
        <v>26.92</v>
      </c>
      <c r="M106" s="158">
        <f t="shared" si="0"/>
        <v>39.01</v>
      </c>
      <c r="N106" s="158">
        <f t="shared" si="0"/>
        <v>1.5</v>
      </c>
      <c r="O106" s="158">
        <f t="shared" si="0"/>
        <v>0</v>
      </c>
      <c r="P106" s="158">
        <f t="shared" si="0"/>
        <v>0.1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197.79</v>
      </c>
      <c r="C107" s="157">
        <f t="shared" ref="C107:Q107" si="1">MAX(C9:C104)</f>
        <v>200.13</v>
      </c>
      <c r="D107" s="157">
        <f t="shared" si="1"/>
        <v>8.19</v>
      </c>
      <c r="E107" s="157">
        <f t="shared" si="1"/>
        <v>438.51</v>
      </c>
      <c r="F107" s="157">
        <f t="shared" si="1"/>
        <v>44.09</v>
      </c>
      <c r="G107" s="157">
        <f t="shared" si="1"/>
        <v>60.8</v>
      </c>
      <c r="H107" s="157">
        <f t="shared" si="1"/>
        <v>37.53</v>
      </c>
      <c r="I107" s="157">
        <f t="shared" si="1"/>
        <v>19.54</v>
      </c>
      <c r="J107" s="157">
        <f t="shared" si="1"/>
        <v>1.22</v>
      </c>
      <c r="K107" s="157">
        <f t="shared" si="1"/>
        <v>186.26</v>
      </c>
      <c r="L107" s="157">
        <f t="shared" si="1"/>
        <v>37.479999999999997</v>
      </c>
      <c r="M107" s="157">
        <f t="shared" si="1"/>
        <v>84.34</v>
      </c>
      <c r="N107" s="157">
        <f t="shared" si="1"/>
        <v>729.8</v>
      </c>
      <c r="O107" s="157">
        <f t="shared" si="1"/>
        <v>0.2</v>
      </c>
      <c r="P107" s="157">
        <f t="shared" si="1"/>
        <v>5.1100000000000003</v>
      </c>
      <c r="Q107" s="157">
        <f t="shared" si="1"/>
        <v>9.99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8.4957291666666688</v>
      </c>
      <c r="C108" s="158">
        <f t="shared" ref="C108:Q108" si="2">AVERAGE(C9:C104)</f>
        <v>13.043437499999998</v>
      </c>
      <c r="D108" s="158">
        <f t="shared" si="2"/>
        <v>4.5560416666666645</v>
      </c>
      <c r="E108" s="158">
        <f t="shared" si="2"/>
        <v>23.912395833333331</v>
      </c>
      <c r="F108" s="158">
        <f t="shared" si="2"/>
        <v>13.615625000000001</v>
      </c>
      <c r="G108" s="158">
        <f t="shared" si="2"/>
        <v>31.961075268817211</v>
      </c>
      <c r="H108" s="158">
        <f t="shared" si="2"/>
        <v>22.752688172042998</v>
      </c>
      <c r="I108" s="158">
        <f t="shared" si="2"/>
        <v>6.5188541666666682</v>
      </c>
      <c r="J108" s="158">
        <f t="shared" si="2"/>
        <v>0.37322916666666656</v>
      </c>
      <c r="K108" s="158">
        <f t="shared" si="2"/>
        <v>98.957604166666627</v>
      </c>
      <c r="L108" s="158">
        <f t="shared" si="2"/>
        <v>31.967499999999998</v>
      </c>
      <c r="M108" s="158">
        <f t="shared" si="2"/>
        <v>59.247499999999995</v>
      </c>
      <c r="N108" s="158">
        <f t="shared" si="2"/>
        <v>119.03958333333333</v>
      </c>
      <c r="O108" s="158">
        <f t="shared" si="2"/>
        <v>2.0833333333333333E-3</v>
      </c>
      <c r="P108" s="158">
        <f t="shared" si="2"/>
        <v>0.43875000000000003</v>
      </c>
      <c r="Q108" s="158">
        <f t="shared" si="2"/>
        <v>9.9329166666666548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25.996517448741457</v>
      </c>
      <c r="C109" s="158">
        <f t="shared" ref="C109:Q109" si="3">STDEV(C9:C104)</f>
        <v>25.534276728727022</v>
      </c>
      <c r="D109" s="158">
        <f t="shared" si="3"/>
        <v>1.4279315029765911</v>
      </c>
      <c r="E109" s="158">
        <f t="shared" si="3"/>
        <v>72.53773168053614</v>
      </c>
      <c r="F109" s="158">
        <f t="shared" si="3"/>
        <v>10.835395585764275</v>
      </c>
      <c r="G109" s="158">
        <f t="shared" si="3"/>
        <v>12.816525716430514</v>
      </c>
      <c r="H109" s="158">
        <f t="shared" si="3"/>
        <v>8.4202593603276572</v>
      </c>
      <c r="I109" s="158">
        <f t="shared" si="3"/>
        <v>3.8605248810823758</v>
      </c>
      <c r="J109" s="158">
        <f t="shared" si="3"/>
        <v>0.23524005562813891</v>
      </c>
      <c r="K109" s="158">
        <f t="shared" si="3"/>
        <v>35.441399869726986</v>
      </c>
      <c r="L109" s="158">
        <f t="shared" si="3"/>
        <v>3.2309056901970994</v>
      </c>
      <c r="M109" s="158">
        <f t="shared" si="3"/>
        <v>12.392522278416651</v>
      </c>
      <c r="N109" s="158">
        <f t="shared" si="3"/>
        <v>167.6393745226666</v>
      </c>
      <c r="O109" s="158">
        <f t="shared" si="3"/>
        <v>2.0412414523193152E-2</v>
      </c>
      <c r="P109" s="158">
        <f t="shared" si="3"/>
        <v>0.65724504762803559</v>
      </c>
      <c r="Q109" s="158">
        <f t="shared" si="3"/>
        <v>2.2937749472805614E-2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COUNT(G9:G104)+3</f>
        <v>96</v>
      </c>
      <c r="H110" s="157">
        <f>COUNT(H9:H104)+3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2" sqref="H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1392</v>
      </c>
      <c r="B9" s="100">
        <v>4.1900000000000004</v>
      </c>
      <c r="C9" s="100">
        <v>7.13</v>
      </c>
      <c r="D9" s="100">
        <v>2.94</v>
      </c>
      <c r="E9" s="100">
        <v>5.62</v>
      </c>
      <c r="F9" s="100">
        <v>2.98</v>
      </c>
      <c r="G9" s="100">
        <v>22.44</v>
      </c>
      <c r="H9" s="100">
        <v>9.0399999999999991</v>
      </c>
      <c r="I9" s="100">
        <v>4.7300000000000004</v>
      </c>
      <c r="J9" s="100">
        <v>0.3</v>
      </c>
      <c r="K9" s="100">
        <v>128.72</v>
      </c>
      <c r="L9" s="100">
        <v>29.55</v>
      </c>
      <c r="M9" s="100">
        <v>66.489999999999995</v>
      </c>
      <c r="N9" s="100">
        <v>1.7</v>
      </c>
      <c r="O9" s="100">
        <v>0</v>
      </c>
      <c r="P9" s="100">
        <v>0.33</v>
      </c>
      <c r="Q9" s="100">
        <v>9.92</v>
      </c>
      <c r="R9" s="6"/>
      <c r="S9" s="6"/>
      <c r="T9" s="156"/>
      <c r="U9" s="6"/>
    </row>
    <row r="10" spans="1:21" customFormat="1">
      <c r="A10" s="163" t="s">
        <v>1393</v>
      </c>
      <c r="B10" s="100">
        <v>4.1900000000000004</v>
      </c>
      <c r="C10" s="100">
        <v>7.19</v>
      </c>
      <c r="D10" s="100">
        <v>3</v>
      </c>
      <c r="E10" s="100">
        <v>5.6</v>
      </c>
      <c r="F10" s="100">
        <v>2.67</v>
      </c>
      <c r="G10" s="100">
        <v>18.260000000000002</v>
      </c>
      <c r="H10" s="100">
        <v>7.16</v>
      </c>
      <c r="I10" s="100">
        <v>4.5599999999999996</v>
      </c>
      <c r="J10" s="100">
        <v>0.25</v>
      </c>
      <c r="K10" s="100">
        <v>116.59</v>
      </c>
      <c r="L10" s="100">
        <v>29.52</v>
      </c>
      <c r="M10" s="100">
        <v>67.06</v>
      </c>
      <c r="N10" s="100">
        <v>1.6</v>
      </c>
      <c r="O10" s="100">
        <v>0</v>
      </c>
      <c r="P10" s="100">
        <v>0.34</v>
      </c>
      <c r="Q10" s="100">
        <v>9.91</v>
      </c>
      <c r="R10" s="6"/>
      <c r="S10" s="6"/>
      <c r="T10" s="156"/>
      <c r="U10" s="6"/>
    </row>
    <row r="11" spans="1:21" customFormat="1">
      <c r="A11" s="163" t="s">
        <v>1394</v>
      </c>
      <c r="B11" s="100">
        <v>4.1900000000000004</v>
      </c>
      <c r="C11" s="100">
        <v>7.05</v>
      </c>
      <c r="D11" s="100">
        <v>2.86</v>
      </c>
      <c r="E11" s="100">
        <v>5.61</v>
      </c>
      <c r="F11" s="100">
        <v>3.37</v>
      </c>
      <c r="G11" s="100">
        <v>18.260000000000002</v>
      </c>
      <c r="H11" s="100">
        <v>7.16</v>
      </c>
      <c r="I11" s="100">
        <v>4.4000000000000004</v>
      </c>
      <c r="J11" s="100">
        <v>0.28999999999999998</v>
      </c>
      <c r="K11" s="100">
        <v>112.23</v>
      </c>
      <c r="L11" s="100">
        <v>29.35</v>
      </c>
      <c r="M11" s="100">
        <v>67.98</v>
      </c>
      <c r="N11" s="100">
        <v>1.9</v>
      </c>
      <c r="O11" s="100">
        <v>0</v>
      </c>
      <c r="P11" s="100">
        <v>0.34</v>
      </c>
      <c r="Q11" s="100">
        <v>9.91</v>
      </c>
      <c r="R11" s="6"/>
      <c r="S11" s="6"/>
      <c r="T11" s="156"/>
      <c r="U11" s="6"/>
    </row>
    <row r="12" spans="1:21" customFormat="1">
      <c r="A12" s="163" t="s">
        <v>1395</v>
      </c>
      <c r="B12" s="100">
        <v>4.18</v>
      </c>
      <c r="C12" s="100">
        <v>7.04</v>
      </c>
      <c r="D12" s="100">
        <v>2.86</v>
      </c>
      <c r="E12" s="100">
        <v>5.73</v>
      </c>
      <c r="F12" s="100">
        <v>3.17</v>
      </c>
      <c r="G12" s="100">
        <v>18.260000000000002</v>
      </c>
      <c r="H12" s="100">
        <v>7.16</v>
      </c>
      <c r="I12" s="100">
        <v>4.3899999999999997</v>
      </c>
      <c r="J12" s="100">
        <v>0.3</v>
      </c>
      <c r="K12" s="100">
        <v>130.82</v>
      </c>
      <c r="L12" s="100">
        <v>29.28</v>
      </c>
      <c r="M12" s="100">
        <v>68.52</v>
      </c>
      <c r="N12" s="100">
        <v>1.9</v>
      </c>
      <c r="O12" s="100">
        <v>0</v>
      </c>
      <c r="P12" s="100">
        <v>0.32</v>
      </c>
      <c r="Q12" s="100">
        <v>9.91</v>
      </c>
      <c r="R12" s="6"/>
      <c r="S12" s="6"/>
      <c r="T12" s="156"/>
      <c r="U12" s="6"/>
    </row>
    <row r="13" spans="1:21" customFormat="1">
      <c r="A13" s="163" t="s">
        <v>1396</v>
      </c>
      <c r="B13" s="100">
        <v>4.1399999999999997</v>
      </c>
      <c r="C13" s="100">
        <v>7.05</v>
      </c>
      <c r="D13" s="100">
        <v>2.9</v>
      </c>
      <c r="E13" s="100">
        <v>5.54</v>
      </c>
      <c r="F13" s="100">
        <v>4.5199999999999996</v>
      </c>
      <c r="G13" s="100">
        <v>17.84</v>
      </c>
      <c r="H13" s="100">
        <v>7.09</v>
      </c>
      <c r="I13" s="100">
        <v>4.3</v>
      </c>
      <c r="J13" s="100">
        <v>0.17</v>
      </c>
      <c r="K13" s="100">
        <v>137.96</v>
      </c>
      <c r="L13" s="100">
        <v>29.21</v>
      </c>
      <c r="M13" s="100">
        <v>69.45</v>
      </c>
      <c r="N13" s="100">
        <v>1.8</v>
      </c>
      <c r="O13" s="100">
        <v>0</v>
      </c>
      <c r="P13" s="100">
        <v>0.32</v>
      </c>
      <c r="Q13" s="100">
        <v>9.93</v>
      </c>
      <c r="R13" s="6"/>
      <c r="S13" s="6"/>
      <c r="T13" s="156"/>
      <c r="U13" s="6"/>
    </row>
    <row r="14" spans="1:21" customFormat="1">
      <c r="A14" s="163" t="s">
        <v>1397</v>
      </c>
      <c r="B14" s="100">
        <v>4.16</v>
      </c>
      <c r="C14" s="100">
        <v>7.05</v>
      </c>
      <c r="D14" s="100">
        <v>2.89</v>
      </c>
      <c r="E14" s="100">
        <v>5.71</v>
      </c>
      <c r="F14" s="100">
        <v>3.09</v>
      </c>
      <c r="G14" s="100">
        <v>16.739999999999998</v>
      </c>
      <c r="H14" s="100">
        <v>6.96</v>
      </c>
      <c r="I14" s="100">
        <v>4.1500000000000004</v>
      </c>
      <c r="J14" s="100">
        <v>0.12</v>
      </c>
      <c r="K14" s="100">
        <v>118.01</v>
      </c>
      <c r="L14" s="100">
        <v>29.17</v>
      </c>
      <c r="M14" s="100">
        <v>70.12</v>
      </c>
      <c r="N14" s="100">
        <v>1.7</v>
      </c>
      <c r="O14" s="100">
        <v>0</v>
      </c>
      <c r="P14" s="100">
        <v>0.33</v>
      </c>
      <c r="Q14" s="100">
        <v>9.9</v>
      </c>
      <c r="R14" s="6"/>
      <c r="S14" s="6"/>
      <c r="T14" s="156"/>
      <c r="U14" s="6"/>
    </row>
    <row r="15" spans="1:21" customFormat="1">
      <c r="A15" s="163" t="s">
        <v>1398</v>
      </c>
      <c r="B15" s="100">
        <v>4.18</v>
      </c>
      <c r="C15" s="100">
        <v>6.98</v>
      </c>
      <c r="D15" s="100">
        <v>2.8</v>
      </c>
      <c r="E15" s="100">
        <v>5.88</v>
      </c>
      <c r="F15" s="100">
        <v>3.46</v>
      </c>
      <c r="G15" s="100">
        <v>16.739999999999998</v>
      </c>
      <c r="H15" s="100">
        <v>6.96</v>
      </c>
      <c r="I15" s="100">
        <v>4.04</v>
      </c>
      <c r="J15" s="100">
        <v>0.28999999999999998</v>
      </c>
      <c r="K15" s="100">
        <v>147.4</v>
      </c>
      <c r="L15" s="100">
        <v>29.04</v>
      </c>
      <c r="M15" s="100">
        <v>71.34</v>
      </c>
      <c r="N15" s="100">
        <v>1.9</v>
      </c>
      <c r="O15" s="100">
        <v>0</v>
      </c>
      <c r="P15" s="100">
        <v>0.32</v>
      </c>
      <c r="Q15" s="100">
        <v>9.9</v>
      </c>
      <c r="R15" s="6"/>
      <c r="S15" s="6"/>
      <c r="T15" s="156"/>
      <c r="U15" s="6"/>
    </row>
    <row r="16" spans="1:21" customFormat="1">
      <c r="A16" s="163" t="s">
        <v>1399</v>
      </c>
      <c r="B16" s="100">
        <v>4.17</v>
      </c>
      <c r="C16" s="100">
        <v>7.02</v>
      </c>
      <c r="D16" s="100">
        <v>2.85</v>
      </c>
      <c r="E16" s="100">
        <v>5.6</v>
      </c>
      <c r="F16" s="100">
        <v>3.76</v>
      </c>
      <c r="G16" s="100">
        <v>16.739999999999998</v>
      </c>
      <c r="H16" s="100">
        <v>6.96</v>
      </c>
      <c r="I16" s="100">
        <v>4.04</v>
      </c>
      <c r="J16" s="100">
        <v>0.35</v>
      </c>
      <c r="K16" s="100">
        <v>128.41999999999999</v>
      </c>
      <c r="L16" s="100">
        <v>29.08</v>
      </c>
      <c r="M16" s="100">
        <v>71.739999999999995</v>
      </c>
      <c r="N16" s="100">
        <v>1.8</v>
      </c>
      <c r="O16" s="100">
        <v>0</v>
      </c>
      <c r="P16" s="100">
        <v>0.31</v>
      </c>
      <c r="Q16" s="100">
        <v>9.92</v>
      </c>
      <c r="R16" s="6"/>
      <c r="S16" s="6"/>
      <c r="T16" s="156"/>
      <c r="U16" s="6"/>
    </row>
    <row r="17" spans="1:21" customFormat="1">
      <c r="A17" s="163" t="s">
        <v>1400</v>
      </c>
      <c r="B17" s="100">
        <v>4.18</v>
      </c>
      <c r="C17" s="100">
        <v>7.05</v>
      </c>
      <c r="D17" s="100">
        <v>2.87</v>
      </c>
      <c r="E17" s="100">
        <v>4.2</v>
      </c>
      <c r="F17" s="100">
        <v>2.61</v>
      </c>
      <c r="G17" s="100">
        <v>15.81</v>
      </c>
      <c r="H17" s="100">
        <v>6.5</v>
      </c>
      <c r="I17" s="100">
        <v>4</v>
      </c>
      <c r="J17" s="100">
        <v>0.39</v>
      </c>
      <c r="K17" s="100">
        <v>132.11000000000001</v>
      </c>
      <c r="L17" s="100">
        <v>28.94</v>
      </c>
      <c r="M17" s="100">
        <v>72.41</v>
      </c>
      <c r="N17" s="100">
        <v>1.8</v>
      </c>
      <c r="O17" s="100">
        <v>0</v>
      </c>
      <c r="P17" s="100">
        <v>0.31</v>
      </c>
      <c r="Q17" s="100">
        <v>9.91</v>
      </c>
      <c r="R17" s="6"/>
      <c r="S17" s="6"/>
      <c r="T17" s="156"/>
      <c r="U17" s="6"/>
    </row>
    <row r="18" spans="1:21" customFormat="1">
      <c r="A18" s="163" t="s">
        <v>1401</v>
      </c>
      <c r="B18" s="100">
        <v>4.21</v>
      </c>
      <c r="C18" s="100">
        <v>7.12</v>
      </c>
      <c r="D18" s="100">
        <v>2.91</v>
      </c>
      <c r="E18" s="100">
        <v>5.13</v>
      </c>
      <c r="F18" s="100">
        <v>2.58</v>
      </c>
      <c r="G18" s="100">
        <v>13.39</v>
      </c>
      <c r="H18" s="100">
        <v>5.72</v>
      </c>
      <c r="I18" s="100">
        <v>3.8</v>
      </c>
      <c r="J18" s="100">
        <v>0.31</v>
      </c>
      <c r="K18" s="100">
        <v>96.88</v>
      </c>
      <c r="L18" s="100">
        <v>28.8</v>
      </c>
      <c r="M18" s="100">
        <v>73.13</v>
      </c>
      <c r="N18" s="100">
        <v>1.8</v>
      </c>
      <c r="O18" s="100">
        <v>0</v>
      </c>
      <c r="P18" s="100">
        <v>0.31</v>
      </c>
      <c r="Q18" s="100">
        <v>9.93</v>
      </c>
      <c r="R18" s="6"/>
      <c r="S18" s="6"/>
      <c r="T18" s="156"/>
      <c r="U18" s="6"/>
    </row>
    <row r="19" spans="1:21" customFormat="1">
      <c r="A19" s="163" t="s">
        <v>1402</v>
      </c>
      <c r="B19" s="100">
        <v>4.21</v>
      </c>
      <c r="C19" s="100">
        <v>7.03</v>
      </c>
      <c r="D19" s="100">
        <v>2.82</v>
      </c>
      <c r="E19" s="100">
        <v>5.0999999999999996</v>
      </c>
      <c r="F19" s="100">
        <v>3.52</v>
      </c>
      <c r="G19" s="100">
        <v>13.39</v>
      </c>
      <c r="H19" s="100">
        <v>5.72</v>
      </c>
      <c r="I19" s="100">
        <v>3.8</v>
      </c>
      <c r="J19" s="100">
        <v>0.23</v>
      </c>
      <c r="K19" s="100">
        <v>108.62</v>
      </c>
      <c r="L19" s="100">
        <v>28.69</v>
      </c>
      <c r="M19" s="100">
        <v>73.510000000000005</v>
      </c>
      <c r="N19" s="100">
        <v>2</v>
      </c>
      <c r="O19" s="100">
        <v>0</v>
      </c>
      <c r="P19" s="100">
        <v>0.31</v>
      </c>
      <c r="Q19" s="100">
        <v>9.9</v>
      </c>
      <c r="R19" s="6"/>
      <c r="S19" s="6"/>
      <c r="T19" s="156"/>
      <c r="U19" s="6"/>
    </row>
    <row r="20" spans="1:21" customFormat="1">
      <c r="A20" s="163" t="s">
        <v>1403</v>
      </c>
      <c r="B20" s="100">
        <v>4.22</v>
      </c>
      <c r="C20" s="100">
        <v>7.02</v>
      </c>
      <c r="D20" s="100">
        <v>2.8</v>
      </c>
      <c r="E20" s="100">
        <v>5.31</v>
      </c>
      <c r="F20" s="100">
        <v>2.89</v>
      </c>
      <c r="G20" s="100">
        <v>13.39</v>
      </c>
      <c r="H20" s="100">
        <v>5.72</v>
      </c>
      <c r="I20" s="100">
        <v>3.84</v>
      </c>
      <c r="J20" s="100">
        <v>0.22</v>
      </c>
      <c r="K20" s="100">
        <v>107.42</v>
      </c>
      <c r="L20" s="100">
        <v>28.7</v>
      </c>
      <c r="M20" s="100">
        <v>72.930000000000007</v>
      </c>
      <c r="N20" s="100">
        <v>2</v>
      </c>
      <c r="O20" s="100">
        <v>0</v>
      </c>
      <c r="P20" s="100">
        <v>0.3</v>
      </c>
      <c r="Q20" s="100">
        <v>9.92</v>
      </c>
      <c r="R20" s="6"/>
      <c r="S20" s="6"/>
      <c r="T20" s="156"/>
      <c r="U20" s="6"/>
    </row>
    <row r="21" spans="1:21" customFormat="1">
      <c r="A21" s="163" t="s">
        <v>1404</v>
      </c>
      <c r="B21" s="100">
        <v>4.22</v>
      </c>
      <c r="C21" s="100">
        <v>7.06</v>
      </c>
      <c r="D21" s="100">
        <v>2.83</v>
      </c>
      <c r="E21" s="100">
        <v>4.9000000000000004</v>
      </c>
      <c r="F21" s="100">
        <v>2.91</v>
      </c>
      <c r="G21" s="100">
        <v>13.65</v>
      </c>
      <c r="H21" s="100">
        <v>6.69</v>
      </c>
      <c r="I21" s="100">
        <v>3.77</v>
      </c>
      <c r="J21" s="100">
        <v>0.18</v>
      </c>
      <c r="K21" s="100">
        <v>130.28</v>
      </c>
      <c r="L21" s="100">
        <v>28.5</v>
      </c>
      <c r="M21" s="100">
        <v>74.05</v>
      </c>
      <c r="N21" s="100">
        <v>1.9</v>
      </c>
      <c r="O21" s="100">
        <v>0</v>
      </c>
      <c r="P21" s="100">
        <v>0.31</v>
      </c>
      <c r="Q21" s="100">
        <v>9.93</v>
      </c>
      <c r="R21" s="6"/>
      <c r="S21" s="6"/>
      <c r="T21" s="156"/>
      <c r="U21" s="6"/>
    </row>
    <row r="22" spans="1:21" customFormat="1">
      <c r="A22" s="163" t="s">
        <v>1405</v>
      </c>
      <c r="B22" s="100">
        <v>4.24</v>
      </c>
      <c r="C22" s="100">
        <v>7.15</v>
      </c>
      <c r="D22" s="100">
        <v>2.92</v>
      </c>
      <c r="E22" s="100">
        <v>5.14</v>
      </c>
      <c r="F22" s="100">
        <v>3.92</v>
      </c>
      <c r="G22" s="100">
        <v>14.33</v>
      </c>
      <c r="H22" s="100">
        <v>8.2899999999999991</v>
      </c>
      <c r="I22" s="100">
        <v>3.66</v>
      </c>
      <c r="J22" s="100">
        <v>0.2</v>
      </c>
      <c r="K22" s="100">
        <v>144.19</v>
      </c>
      <c r="L22" s="100">
        <v>28.37</v>
      </c>
      <c r="M22" s="100">
        <v>74.72</v>
      </c>
      <c r="N22" s="100">
        <v>1.9</v>
      </c>
      <c r="O22" s="100">
        <v>0</v>
      </c>
      <c r="P22" s="100">
        <v>0.31</v>
      </c>
      <c r="Q22" s="100">
        <v>9.93</v>
      </c>
      <c r="R22" s="6"/>
      <c r="S22" s="6"/>
      <c r="T22" s="156"/>
      <c r="U22" s="6"/>
    </row>
    <row r="23" spans="1:21" customFormat="1">
      <c r="A23" s="163" t="s">
        <v>1406</v>
      </c>
      <c r="B23" s="100">
        <v>4.28</v>
      </c>
      <c r="C23" s="100">
        <v>7.15</v>
      </c>
      <c r="D23" s="100">
        <v>2.87</v>
      </c>
      <c r="E23" s="100">
        <v>4.62</v>
      </c>
      <c r="F23" s="100">
        <v>5.81</v>
      </c>
      <c r="G23" s="100">
        <v>14.33</v>
      </c>
      <c r="H23" s="100">
        <v>8.2899999999999991</v>
      </c>
      <c r="I23" s="100">
        <v>3.61</v>
      </c>
      <c r="J23" s="100">
        <v>0.19</v>
      </c>
      <c r="K23" s="100">
        <v>135.83000000000001</v>
      </c>
      <c r="L23" s="100">
        <v>28.19</v>
      </c>
      <c r="M23" s="100">
        <v>76.459999999999994</v>
      </c>
      <c r="N23" s="100">
        <v>1.9</v>
      </c>
      <c r="O23" s="100">
        <v>0</v>
      </c>
      <c r="P23" s="100">
        <v>0.3</v>
      </c>
      <c r="Q23" s="100">
        <v>9.92</v>
      </c>
      <c r="R23" s="6"/>
      <c r="S23" s="6"/>
      <c r="T23" s="156"/>
      <c r="U23" s="6"/>
    </row>
    <row r="24" spans="1:21" customFormat="1">
      <c r="A24" s="163" t="s">
        <v>1407</v>
      </c>
      <c r="B24" s="100">
        <v>4.41</v>
      </c>
      <c r="C24" s="100">
        <v>6.89</v>
      </c>
      <c r="D24" s="100">
        <v>2.48</v>
      </c>
      <c r="E24" s="100">
        <v>4.32</v>
      </c>
      <c r="F24" s="100">
        <v>7.24</v>
      </c>
      <c r="G24" s="100">
        <v>14.33</v>
      </c>
      <c r="H24" s="100">
        <v>8.2899999999999991</v>
      </c>
      <c r="I24" s="100">
        <v>3.61</v>
      </c>
      <c r="J24" s="100">
        <v>0.14000000000000001</v>
      </c>
      <c r="K24" s="100">
        <v>111.99</v>
      </c>
      <c r="L24" s="100">
        <v>28.02</v>
      </c>
      <c r="M24" s="100">
        <v>77.709999999999994</v>
      </c>
      <c r="N24" s="100">
        <v>1.9</v>
      </c>
      <c r="O24" s="100">
        <v>0</v>
      </c>
      <c r="P24" s="100">
        <v>0.28999999999999998</v>
      </c>
      <c r="Q24" s="100">
        <v>9.92</v>
      </c>
      <c r="R24" s="6"/>
      <c r="S24" s="6"/>
      <c r="T24" s="156"/>
      <c r="U24" s="6"/>
    </row>
    <row r="25" spans="1:21" customFormat="1">
      <c r="A25" s="163" t="s">
        <v>1408</v>
      </c>
      <c r="B25" s="100">
        <v>4.5199999999999996</v>
      </c>
      <c r="C25" s="100">
        <v>6.68</v>
      </c>
      <c r="D25" s="100">
        <v>2.16</v>
      </c>
      <c r="E25" s="100">
        <v>3.92</v>
      </c>
      <c r="F25" s="100">
        <v>8.11</v>
      </c>
      <c r="G25" s="100">
        <v>13.74</v>
      </c>
      <c r="H25" s="100">
        <v>8.06</v>
      </c>
      <c r="I25" s="100">
        <v>3.48</v>
      </c>
      <c r="J25" s="100">
        <v>0.19</v>
      </c>
      <c r="K25" s="100">
        <v>139.61000000000001</v>
      </c>
      <c r="L25" s="100">
        <v>27.88</v>
      </c>
      <c r="M25" s="100">
        <v>79.39</v>
      </c>
      <c r="N25" s="100">
        <v>1.9</v>
      </c>
      <c r="O25" s="100">
        <v>0</v>
      </c>
      <c r="P25" s="100">
        <v>0.28000000000000003</v>
      </c>
      <c r="Q25" s="100">
        <v>9.91</v>
      </c>
      <c r="R25" s="6"/>
      <c r="S25" s="6"/>
      <c r="T25" s="156"/>
      <c r="U25" s="6"/>
    </row>
    <row r="26" spans="1:21" customFormat="1">
      <c r="A26" s="163" t="s">
        <v>1409</v>
      </c>
      <c r="B26" s="100">
        <v>4.68</v>
      </c>
      <c r="C26" s="100">
        <v>7.11</v>
      </c>
      <c r="D26" s="100">
        <v>2.4300000000000002</v>
      </c>
      <c r="E26" s="100">
        <v>4.21</v>
      </c>
      <c r="F26" s="100">
        <v>5.25</v>
      </c>
      <c r="G26" s="100">
        <v>12.28</v>
      </c>
      <c r="H26" s="100">
        <v>7.15</v>
      </c>
      <c r="I26" s="100">
        <v>3.42</v>
      </c>
      <c r="J26" s="100">
        <v>0.21</v>
      </c>
      <c r="K26" s="100">
        <v>153.34</v>
      </c>
      <c r="L26" s="100">
        <v>27.71</v>
      </c>
      <c r="M26" s="100">
        <v>80.69</v>
      </c>
      <c r="N26" s="100">
        <v>1.9</v>
      </c>
      <c r="O26" s="100">
        <v>0</v>
      </c>
      <c r="P26" s="100">
        <v>0.3</v>
      </c>
      <c r="Q26" s="100">
        <v>9.91</v>
      </c>
      <c r="R26" s="6"/>
      <c r="S26" s="6"/>
      <c r="T26" s="156"/>
      <c r="U26" s="6"/>
    </row>
    <row r="27" spans="1:21" customFormat="1">
      <c r="A27" s="163" t="s">
        <v>1410</v>
      </c>
      <c r="B27" s="100">
        <v>4.78</v>
      </c>
      <c r="C27" s="100">
        <v>7.26</v>
      </c>
      <c r="D27" s="100">
        <v>2.48</v>
      </c>
      <c r="E27" s="100">
        <v>4.2699999999999996</v>
      </c>
      <c r="F27" s="100">
        <v>5.43</v>
      </c>
      <c r="G27" s="100">
        <v>12.28</v>
      </c>
      <c r="H27" s="100">
        <v>7.15</v>
      </c>
      <c r="I27" s="100">
        <v>3.39</v>
      </c>
      <c r="J27" s="100">
        <v>0.15</v>
      </c>
      <c r="K27" s="100">
        <v>143.99</v>
      </c>
      <c r="L27" s="100">
        <v>27.61</v>
      </c>
      <c r="M27" s="100">
        <v>81.48</v>
      </c>
      <c r="N27" s="100">
        <v>1.8</v>
      </c>
      <c r="O27" s="100">
        <v>0</v>
      </c>
      <c r="P27" s="100">
        <v>0.28999999999999998</v>
      </c>
      <c r="Q27" s="100">
        <v>9.92</v>
      </c>
      <c r="R27" s="6"/>
      <c r="S27" s="6"/>
      <c r="T27" s="156"/>
      <c r="U27" s="6"/>
    </row>
    <row r="28" spans="1:21" customFormat="1">
      <c r="A28" s="163" t="s">
        <v>1411</v>
      </c>
      <c r="B28" s="100">
        <v>4.8600000000000003</v>
      </c>
      <c r="C28" s="100">
        <v>7.1</v>
      </c>
      <c r="D28" s="100">
        <v>2.2400000000000002</v>
      </c>
      <c r="E28" s="100">
        <v>4.05</v>
      </c>
      <c r="F28" s="100">
        <v>5.72</v>
      </c>
      <c r="G28" s="100">
        <v>12.28</v>
      </c>
      <c r="H28" s="100">
        <v>7.15</v>
      </c>
      <c r="I28" s="100">
        <v>3.69</v>
      </c>
      <c r="J28" s="100">
        <v>0.09</v>
      </c>
      <c r="K28" s="100">
        <v>98.6</v>
      </c>
      <c r="L28" s="100">
        <v>27.47</v>
      </c>
      <c r="M28" s="100">
        <v>82.38</v>
      </c>
      <c r="N28" s="100">
        <v>1.8</v>
      </c>
      <c r="O28" s="100">
        <v>0</v>
      </c>
      <c r="P28" s="100">
        <v>0.27</v>
      </c>
      <c r="Q28" s="100">
        <v>9.93</v>
      </c>
      <c r="R28" s="6"/>
      <c r="S28" s="6"/>
      <c r="T28" s="156"/>
      <c r="U28" s="6"/>
    </row>
    <row r="29" spans="1:21" customFormat="1">
      <c r="A29" s="163" t="s">
        <v>1412</v>
      </c>
      <c r="B29" s="100">
        <v>5.0199999999999996</v>
      </c>
      <c r="C29" s="100">
        <v>7.35</v>
      </c>
      <c r="D29" s="100">
        <v>2.33</v>
      </c>
      <c r="E29" s="100">
        <v>4.22</v>
      </c>
      <c r="F29" s="100">
        <v>3.72</v>
      </c>
      <c r="G29" s="100">
        <v>12.37</v>
      </c>
      <c r="H29" s="100">
        <v>6.49</v>
      </c>
      <c r="I29" s="100">
        <v>3.56</v>
      </c>
      <c r="J29" s="100">
        <v>7.0000000000000007E-2</v>
      </c>
      <c r="K29" s="100">
        <v>235.06</v>
      </c>
      <c r="L29" s="100">
        <v>27.18</v>
      </c>
      <c r="M29" s="100">
        <v>84.14</v>
      </c>
      <c r="N29" s="100">
        <v>2.2999999999999998</v>
      </c>
      <c r="O29" s="100">
        <v>0</v>
      </c>
      <c r="P29" s="100">
        <v>0.3</v>
      </c>
      <c r="Q29" s="100">
        <v>9.93</v>
      </c>
      <c r="R29" s="6"/>
      <c r="S29" s="6"/>
      <c r="T29" s="156"/>
      <c r="U29" s="6"/>
    </row>
    <row r="30" spans="1:21" customFormat="1">
      <c r="A30" s="163" t="s">
        <v>1413</v>
      </c>
      <c r="B30" s="100">
        <v>5.04</v>
      </c>
      <c r="C30" s="100">
        <v>7.53</v>
      </c>
      <c r="D30" s="100">
        <v>2.4900000000000002</v>
      </c>
      <c r="E30" s="100">
        <v>4.07</v>
      </c>
      <c r="F30" s="100">
        <v>4.74</v>
      </c>
      <c r="G30" s="100">
        <v>12.57</v>
      </c>
      <c r="H30" s="100">
        <v>5.37</v>
      </c>
      <c r="I30" s="100">
        <v>3.54</v>
      </c>
      <c r="J30" s="100">
        <v>0.13</v>
      </c>
      <c r="K30" s="100">
        <v>224.13</v>
      </c>
      <c r="L30" s="100">
        <v>27.03</v>
      </c>
      <c r="M30" s="100">
        <v>84.29</v>
      </c>
      <c r="N30" s="100">
        <v>4.7</v>
      </c>
      <c r="O30" s="100">
        <v>0</v>
      </c>
      <c r="P30" s="100">
        <v>0.28999999999999998</v>
      </c>
      <c r="Q30" s="100">
        <v>9.92</v>
      </c>
      <c r="R30" s="6"/>
      <c r="S30" s="6"/>
      <c r="T30" s="156"/>
      <c r="U30" s="6"/>
    </row>
    <row r="31" spans="1:21" customFormat="1">
      <c r="A31" s="163" t="s">
        <v>1414</v>
      </c>
      <c r="B31" s="100">
        <v>5.07</v>
      </c>
      <c r="C31" s="100">
        <v>7.68</v>
      </c>
      <c r="D31" s="100">
        <v>2.61</v>
      </c>
      <c r="E31" s="100">
        <v>3.63</v>
      </c>
      <c r="F31" s="100">
        <v>7.29</v>
      </c>
      <c r="G31" s="100">
        <v>12.57</v>
      </c>
      <c r="H31" s="100">
        <v>5.37</v>
      </c>
      <c r="I31" s="100">
        <v>3.77</v>
      </c>
      <c r="J31" s="100">
        <v>7.0000000000000007E-2</v>
      </c>
      <c r="K31" s="100">
        <v>173.24</v>
      </c>
      <c r="L31" s="100">
        <v>27.2</v>
      </c>
      <c r="M31" s="100">
        <v>84.38</v>
      </c>
      <c r="N31" s="100">
        <v>11.7</v>
      </c>
      <c r="O31" s="100">
        <v>0</v>
      </c>
      <c r="P31" s="100">
        <v>0.28000000000000003</v>
      </c>
      <c r="Q31" s="100">
        <v>9.94</v>
      </c>
      <c r="R31" s="6"/>
      <c r="S31" s="6"/>
      <c r="T31" s="156"/>
      <c r="U31" s="6"/>
    </row>
    <row r="32" spans="1:21" customFormat="1">
      <c r="A32" s="163" t="s">
        <v>1415</v>
      </c>
      <c r="B32" s="100">
        <v>5.29</v>
      </c>
      <c r="C32" s="100">
        <v>8.06</v>
      </c>
      <c r="D32" s="100">
        <v>2.77</v>
      </c>
      <c r="E32" s="100">
        <v>3.86</v>
      </c>
      <c r="F32" s="100">
        <v>4.24</v>
      </c>
      <c r="G32" s="100">
        <v>12.57</v>
      </c>
      <c r="H32" s="100">
        <v>5.37</v>
      </c>
      <c r="I32" s="100">
        <v>3.55</v>
      </c>
      <c r="J32" s="100">
        <v>0.09</v>
      </c>
      <c r="K32" s="100">
        <v>137.38</v>
      </c>
      <c r="L32" s="100">
        <v>27.7</v>
      </c>
      <c r="M32" s="100">
        <v>83.05</v>
      </c>
      <c r="N32" s="100">
        <v>31.7</v>
      </c>
      <c r="O32" s="100">
        <v>0</v>
      </c>
      <c r="P32" s="100">
        <v>0.28999999999999998</v>
      </c>
      <c r="Q32" s="100">
        <v>9.94</v>
      </c>
      <c r="R32" s="6"/>
      <c r="S32" s="6"/>
      <c r="T32" s="156"/>
      <c r="U32" s="6"/>
    </row>
    <row r="33" spans="1:21" customFormat="1">
      <c r="A33" s="163" t="s">
        <v>1416</v>
      </c>
      <c r="B33" s="100">
        <v>5.21</v>
      </c>
      <c r="C33" s="100">
        <v>7.95</v>
      </c>
      <c r="D33" s="100">
        <v>2.74</v>
      </c>
      <c r="E33" s="100">
        <v>3.82</v>
      </c>
      <c r="F33" s="100">
        <v>6.97</v>
      </c>
      <c r="G33" s="100">
        <v>11.63</v>
      </c>
      <c r="H33" s="100">
        <v>4.8</v>
      </c>
      <c r="I33" s="100">
        <v>3.34</v>
      </c>
      <c r="J33" s="100">
        <v>0.11</v>
      </c>
      <c r="K33" s="100">
        <v>127.25</v>
      </c>
      <c r="L33" s="100">
        <v>28.16</v>
      </c>
      <c r="M33" s="100">
        <v>81.05</v>
      </c>
      <c r="N33" s="100">
        <v>38.299999999999997</v>
      </c>
      <c r="O33" s="100">
        <v>0</v>
      </c>
      <c r="P33" s="100">
        <v>0.3</v>
      </c>
      <c r="Q33" s="100">
        <v>9.94</v>
      </c>
      <c r="R33" s="6"/>
      <c r="S33" s="6"/>
      <c r="T33" s="156"/>
      <c r="U33" s="6"/>
    </row>
    <row r="34" spans="1:21" customFormat="1">
      <c r="A34" s="163" t="s">
        <v>1417</v>
      </c>
      <c r="B34" s="100">
        <v>5.19</v>
      </c>
      <c r="C34" s="100">
        <v>7.73</v>
      </c>
      <c r="D34" s="100">
        <v>2.54</v>
      </c>
      <c r="E34" s="100">
        <v>3.39</v>
      </c>
      <c r="F34" s="100">
        <v>8.3699999999999992</v>
      </c>
      <c r="G34" s="100">
        <v>9.32</v>
      </c>
      <c r="H34" s="100">
        <v>3.84</v>
      </c>
      <c r="I34" s="100">
        <v>3.71</v>
      </c>
      <c r="J34" s="100">
        <v>0.17</v>
      </c>
      <c r="K34" s="100">
        <v>122.36</v>
      </c>
      <c r="L34" s="100">
        <v>28.47</v>
      </c>
      <c r="M34" s="100">
        <v>79.64</v>
      </c>
      <c r="N34" s="100">
        <v>45.5</v>
      </c>
      <c r="O34" s="100">
        <v>0</v>
      </c>
      <c r="P34" s="100">
        <v>0.28000000000000003</v>
      </c>
      <c r="Q34" s="100">
        <v>9.93</v>
      </c>
      <c r="R34" s="6"/>
      <c r="S34" s="6"/>
      <c r="T34" s="156"/>
      <c r="U34" s="6"/>
    </row>
    <row r="35" spans="1:21" customFormat="1">
      <c r="A35" s="163" t="s">
        <v>1418</v>
      </c>
      <c r="B35" s="100">
        <v>5.41</v>
      </c>
      <c r="C35" s="100">
        <v>7.7</v>
      </c>
      <c r="D35" s="100">
        <v>2.2999999999999998</v>
      </c>
      <c r="E35" s="100">
        <v>3.95</v>
      </c>
      <c r="F35" s="100">
        <v>5.4</v>
      </c>
      <c r="G35" s="100">
        <v>9.32</v>
      </c>
      <c r="H35" s="100">
        <v>3.84</v>
      </c>
      <c r="I35" s="100">
        <v>3.53</v>
      </c>
      <c r="J35" s="100">
        <v>0.17</v>
      </c>
      <c r="K35" s="100">
        <v>147.99</v>
      </c>
      <c r="L35" s="100">
        <v>28.82</v>
      </c>
      <c r="M35" s="100">
        <v>78.12</v>
      </c>
      <c r="N35" s="100">
        <v>54.4</v>
      </c>
      <c r="O35" s="100">
        <v>0</v>
      </c>
      <c r="P35" s="100">
        <v>0.28999999999999998</v>
      </c>
      <c r="Q35" s="100">
        <v>9.93</v>
      </c>
      <c r="R35" s="6"/>
      <c r="S35" s="6"/>
      <c r="T35" s="156"/>
      <c r="U35" s="6"/>
    </row>
    <row r="36" spans="1:21" customFormat="1">
      <c r="A36" s="163" t="s">
        <v>1419</v>
      </c>
      <c r="B36" s="100">
        <v>5.41</v>
      </c>
      <c r="C36" s="100">
        <v>8.07</v>
      </c>
      <c r="D36" s="100">
        <v>2.66</v>
      </c>
      <c r="E36" s="100">
        <v>3.63</v>
      </c>
      <c r="F36" s="100">
        <v>7.94</v>
      </c>
      <c r="G36" s="100">
        <v>9.32</v>
      </c>
      <c r="H36" s="100">
        <v>3.84</v>
      </c>
      <c r="I36" s="100">
        <v>3.53</v>
      </c>
      <c r="J36" s="100">
        <v>0.33</v>
      </c>
      <c r="K36" s="100">
        <v>87.23</v>
      </c>
      <c r="L36" s="100">
        <v>29.14</v>
      </c>
      <c r="M36" s="100">
        <v>76.72</v>
      </c>
      <c r="N36" s="100">
        <v>62.7</v>
      </c>
      <c r="O36" s="100">
        <v>0</v>
      </c>
      <c r="P36" s="100">
        <v>0.31</v>
      </c>
      <c r="Q36" s="100">
        <v>9.92</v>
      </c>
      <c r="R36" s="6"/>
      <c r="S36" s="6"/>
      <c r="T36" s="156"/>
      <c r="U36" s="6"/>
    </row>
    <row r="37" spans="1:21" customFormat="1">
      <c r="A37" s="163" t="s">
        <v>1420</v>
      </c>
      <c r="B37" s="100">
        <v>5.39</v>
      </c>
      <c r="C37" s="100">
        <v>7.96</v>
      </c>
      <c r="D37" s="100">
        <v>2.57</v>
      </c>
      <c r="E37" s="100">
        <v>3.73</v>
      </c>
      <c r="F37" s="100">
        <v>8.93</v>
      </c>
      <c r="G37" s="100">
        <v>9.6999999999999993</v>
      </c>
      <c r="H37" s="100">
        <v>4.45</v>
      </c>
      <c r="I37" s="100">
        <v>3.67</v>
      </c>
      <c r="J37" s="100">
        <v>0.34</v>
      </c>
      <c r="K37" s="100">
        <v>68.040000000000006</v>
      </c>
      <c r="L37" s="100">
        <v>29.86</v>
      </c>
      <c r="M37" s="100">
        <v>74.16</v>
      </c>
      <c r="N37" s="100">
        <v>70.3</v>
      </c>
      <c r="O37" s="100">
        <v>0</v>
      </c>
      <c r="P37" s="100">
        <v>0.3</v>
      </c>
      <c r="Q37" s="100">
        <v>9.92</v>
      </c>
      <c r="R37" s="6"/>
      <c r="S37" s="6"/>
      <c r="T37" s="156"/>
      <c r="U37" s="6"/>
    </row>
    <row r="38" spans="1:21" customFormat="1">
      <c r="A38" s="163" t="s">
        <v>1421</v>
      </c>
      <c r="B38" s="100">
        <v>5.52</v>
      </c>
      <c r="C38" s="100">
        <v>8.06</v>
      </c>
      <c r="D38" s="100">
        <v>2.54</v>
      </c>
      <c r="E38" s="100">
        <v>3.92</v>
      </c>
      <c r="F38" s="100">
        <v>3.97</v>
      </c>
      <c r="G38" s="100">
        <v>10.7</v>
      </c>
      <c r="H38" s="100">
        <v>5.45</v>
      </c>
      <c r="I38" s="100">
        <v>3.7</v>
      </c>
      <c r="J38" s="100">
        <v>0.21</v>
      </c>
      <c r="K38" s="100">
        <v>96.91</v>
      </c>
      <c r="L38" s="100">
        <v>30.84</v>
      </c>
      <c r="M38" s="100">
        <v>69.64</v>
      </c>
      <c r="N38" s="100">
        <v>78.3</v>
      </c>
      <c r="O38" s="100">
        <v>0</v>
      </c>
      <c r="P38" s="100">
        <v>0.28999999999999998</v>
      </c>
      <c r="Q38" s="100">
        <v>9.93</v>
      </c>
      <c r="R38" s="6"/>
      <c r="S38" s="6"/>
      <c r="T38" s="156"/>
      <c r="U38" s="6"/>
    </row>
    <row r="39" spans="1:21" customFormat="1">
      <c r="A39" s="163" t="s">
        <v>1422</v>
      </c>
      <c r="B39" s="100">
        <v>5.52</v>
      </c>
      <c r="C39" s="100">
        <v>8.3000000000000007</v>
      </c>
      <c r="D39" s="100">
        <v>2.78</v>
      </c>
      <c r="E39" s="100">
        <v>3.86</v>
      </c>
      <c r="F39" s="100">
        <v>5.25</v>
      </c>
      <c r="G39" s="100">
        <v>10.7</v>
      </c>
      <c r="H39" s="100">
        <v>5.45</v>
      </c>
      <c r="I39" s="100">
        <v>3.53</v>
      </c>
      <c r="J39" s="100">
        <v>0.25</v>
      </c>
      <c r="K39" s="100">
        <v>123.74</v>
      </c>
      <c r="L39" s="100">
        <v>31.26</v>
      </c>
      <c r="M39" s="100">
        <v>68.02</v>
      </c>
      <c r="N39" s="100">
        <v>85.6</v>
      </c>
      <c r="O39" s="100">
        <v>0</v>
      </c>
      <c r="P39" s="100">
        <v>0.31</v>
      </c>
      <c r="Q39" s="100">
        <v>9.93</v>
      </c>
      <c r="R39" s="6"/>
      <c r="S39" s="6"/>
      <c r="T39" s="156"/>
      <c r="U39" s="6"/>
    </row>
    <row r="40" spans="1:21" customFormat="1">
      <c r="A40" s="163" t="s">
        <v>1423</v>
      </c>
      <c r="B40" s="100">
        <v>5.49</v>
      </c>
      <c r="C40" s="100">
        <v>8.0500000000000007</v>
      </c>
      <c r="D40" s="100">
        <v>2.56</v>
      </c>
      <c r="E40" s="100">
        <v>3.88</v>
      </c>
      <c r="F40" s="100">
        <v>5.85</v>
      </c>
      <c r="G40" s="100">
        <v>10.7</v>
      </c>
      <c r="H40" s="100">
        <v>5.45</v>
      </c>
      <c r="I40" s="100">
        <v>3.71</v>
      </c>
      <c r="J40" s="100">
        <v>0.36</v>
      </c>
      <c r="K40" s="100">
        <v>72.84</v>
      </c>
      <c r="L40" s="100">
        <v>31.86</v>
      </c>
      <c r="M40" s="100">
        <v>65.349999999999994</v>
      </c>
      <c r="N40" s="100">
        <v>94.3</v>
      </c>
      <c r="O40" s="100">
        <v>0</v>
      </c>
      <c r="P40" s="100">
        <v>0.28999999999999998</v>
      </c>
      <c r="Q40" s="100">
        <v>9.94</v>
      </c>
      <c r="R40" s="6"/>
      <c r="S40" s="6"/>
      <c r="T40" s="156"/>
      <c r="U40" s="6"/>
    </row>
    <row r="41" spans="1:21" customFormat="1">
      <c r="A41" s="163" t="s">
        <v>1424</v>
      </c>
      <c r="B41" s="100">
        <v>5.56</v>
      </c>
      <c r="C41" s="100">
        <v>8.3699999999999992</v>
      </c>
      <c r="D41" s="100">
        <v>2.81</v>
      </c>
      <c r="E41" s="100">
        <v>4</v>
      </c>
      <c r="F41" s="100">
        <v>5.46</v>
      </c>
      <c r="G41" s="100">
        <v>10.35</v>
      </c>
      <c r="H41" s="100">
        <v>6.08</v>
      </c>
      <c r="I41" s="100">
        <v>3.81</v>
      </c>
      <c r="J41" s="100">
        <v>0.35</v>
      </c>
      <c r="K41" s="100">
        <v>89.6</v>
      </c>
      <c r="L41" s="100">
        <v>32.19</v>
      </c>
      <c r="M41" s="100">
        <v>64.88</v>
      </c>
      <c r="N41" s="100">
        <v>108.2</v>
      </c>
      <c r="O41" s="100">
        <v>0</v>
      </c>
      <c r="P41" s="100">
        <v>0.28000000000000003</v>
      </c>
      <c r="Q41" s="100">
        <v>9.94</v>
      </c>
      <c r="R41" s="6"/>
      <c r="S41" s="6"/>
      <c r="T41" s="156"/>
      <c r="U41" s="6"/>
    </row>
    <row r="42" spans="1:21" customFormat="1">
      <c r="A42" s="163" t="s">
        <v>1425</v>
      </c>
      <c r="B42" s="100">
        <v>5.33</v>
      </c>
      <c r="C42" s="100">
        <v>10.09</v>
      </c>
      <c r="D42" s="100">
        <v>4.76</v>
      </c>
      <c r="E42" s="100">
        <v>4.26</v>
      </c>
      <c r="F42" s="100">
        <v>2.62</v>
      </c>
      <c r="G42" s="100">
        <v>9.4499999999999993</v>
      </c>
      <c r="H42" s="100">
        <v>7.12</v>
      </c>
      <c r="I42" s="100">
        <v>3.73</v>
      </c>
      <c r="J42" s="100">
        <v>0.37</v>
      </c>
      <c r="K42" s="100">
        <v>58.58</v>
      </c>
      <c r="L42" s="100">
        <v>32.86</v>
      </c>
      <c r="M42" s="100">
        <v>62.87</v>
      </c>
      <c r="N42" s="100">
        <v>115.6</v>
      </c>
      <c r="O42" s="100">
        <v>0</v>
      </c>
      <c r="P42" s="100">
        <v>0.3</v>
      </c>
      <c r="Q42" s="100">
        <v>9.93</v>
      </c>
      <c r="R42" s="6"/>
      <c r="S42" s="6"/>
      <c r="T42" s="156"/>
      <c r="U42" s="6"/>
    </row>
    <row r="43" spans="1:21" customFormat="1">
      <c r="A43" s="163" t="s">
        <v>1426</v>
      </c>
      <c r="B43" s="100">
        <v>5.0599999999999996</v>
      </c>
      <c r="C43" s="100">
        <v>9.89</v>
      </c>
      <c r="D43" s="100">
        <v>4.82</v>
      </c>
      <c r="E43" s="100">
        <v>4.3600000000000003</v>
      </c>
      <c r="F43" s="100">
        <v>2.71</v>
      </c>
      <c r="G43" s="100">
        <v>9.4499999999999993</v>
      </c>
      <c r="H43" s="100">
        <v>7.12</v>
      </c>
      <c r="I43" s="100">
        <v>3.75</v>
      </c>
      <c r="J43" s="100">
        <v>0.08</v>
      </c>
      <c r="K43" s="100">
        <v>324.27</v>
      </c>
      <c r="L43" s="100">
        <v>33.17</v>
      </c>
      <c r="M43" s="100">
        <v>61.73</v>
      </c>
      <c r="N43" s="100">
        <v>119.8</v>
      </c>
      <c r="O43" s="100">
        <v>0</v>
      </c>
      <c r="P43" s="100">
        <v>0.3</v>
      </c>
      <c r="Q43" s="100">
        <v>9.91</v>
      </c>
      <c r="R43" s="6"/>
      <c r="S43" s="6"/>
      <c r="T43" s="156"/>
      <c r="U43" s="6"/>
    </row>
    <row r="44" spans="1:21" customFormat="1">
      <c r="A44" s="163" t="s">
        <v>1427</v>
      </c>
      <c r="B44" s="100">
        <v>4.75</v>
      </c>
      <c r="C44" s="100">
        <v>9.4</v>
      </c>
      <c r="D44" s="100">
        <v>4.6500000000000004</v>
      </c>
      <c r="E44" s="100">
        <v>4.3</v>
      </c>
      <c r="F44" s="100">
        <v>2.95</v>
      </c>
      <c r="G44" s="100">
        <v>9.4499999999999993</v>
      </c>
      <c r="H44" s="100">
        <v>7.12</v>
      </c>
      <c r="I44" s="100">
        <v>4.05</v>
      </c>
      <c r="J44" s="100">
        <v>0.16</v>
      </c>
      <c r="K44" s="100">
        <v>287.48</v>
      </c>
      <c r="L44" s="100">
        <v>32.380000000000003</v>
      </c>
      <c r="M44" s="100">
        <v>63.06</v>
      </c>
      <c r="N44" s="100">
        <v>122.8</v>
      </c>
      <c r="O44" s="100">
        <v>0</v>
      </c>
      <c r="P44" s="100">
        <v>0.3</v>
      </c>
      <c r="Q44" s="100">
        <v>9.92</v>
      </c>
      <c r="R44" s="6"/>
      <c r="S44" s="6"/>
      <c r="T44" s="156"/>
      <c r="U44" s="6"/>
    </row>
    <row r="45" spans="1:21" customFormat="1">
      <c r="A45" s="163" t="s">
        <v>1428</v>
      </c>
      <c r="B45" s="100">
        <v>4.4400000000000004</v>
      </c>
      <c r="C45" s="100">
        <v>9.1300000000000008</v>
      </c>
      <c r="D45" s="100">
        <v>4.68</v>
      </c>
      <c r="E45" s="100">
        <v>4.5599999999999996</v>
      </c>
      <c r="F45" s="100">
        <v>3.26</v>
      </c>
      <c r="G45" s="100">
        <v>10.08</v>
      </c>
      <c r="H45" s="100">
        <v>6.94</v>
      </c>
      <c r="I45" s="100">
        <v>3.96</v>
      </c>
      <c r="J45" s="100">
        <v>7.0000000000000007E-2</v>
      </c>
      <c r="K45" s="100">
        <v>275.58999999999997</v>
      </c>
      <c r="L45" s="100">
        <v>33.020000000000003</v>
      </c>
      <c r="M45" s="100">
        <v>60.92</v>
      </c>
      <c r="N45" s="100">
        <v>166.1</v>
      </c>
      <c r="O45" s="100">
        <v>0</v>
      </c>
      <c r="P45" s="100">
        <v>0.3</v>
      </c>
      <c r="Q45" s="100">
        <v>9.91</v>
      </c>
      <c r="R45" s="6"/>
      <c r="S45" s="6"/>
      <c r="T45" s="156"/>
      <c r="U45" s="6"/>
    </row>
    <row r="46" spans="1:21" customFormat="1">
      <c r="A46" s="163" t="s">
        <v>1429</v>
      </c>
      <c r="B46" s="100">
        <v>4.26</v>
      </c>
      <c r="C46" s="100">
        <v>8.92</v>
      </c>
      <c r="D46" s="100">
        <v>4.66</v>
      </c>
      <c r="E46" s="100">
        <v>4.5999999999999996</v>
      </c>
      <c r="F46" s="100">
        <v>2.39</v>
      </c>
      <c r="G46" s="100">
        <v>11.64</v>
      </c>
      <c r="H46" s="100">
        <v>6.64</v>
      </c>
      <c r="I46" s="100">
        <v>3.73</v>
      </c>
      <c r="J46" s="100">
        <v>0.24</v>
      </c>
      <c r="K46" s="100">
        <v>25.84</v>
      </c>
      <c r="L46" s="100">
        <v>33.74</v>
      </c>
      <c r="M46" s="100">
        <v>59.02</v>
      </c>
      <c r="N46" s="100">
        <v>199.3</v>
      </c>
      <c r="O46" s="100">
        <v>0</v>
      </c>
      <c r="P46" s="100">
        <v>0.3</v>
      </c>
      <c r="Q46" s="100">
        <v>9.9</v>
      </c>
      <c r="R46" s="6"/>
      <c r="S46" s="6"/>
      <c r="T46" s="156"/>
      <c r="U46" s="6"/>
    </row>
    <row r="47" spans="1:21" customFormat="1">
      <c r="A47" s="163" t="s">
        <v>1430</v>
      </c>
      <c r="B47" s="100">
        <v>4.1500000000000004</v>
      </c>
      <c r="C47" s="100">
        <v>8.59</v>
      </c>
      <c r="D47" s="100">
        <v>4.45</v>
      </c>
      <c r="E47" s="100">
        <v>4.2300000000000004</v>
      </c>
      <c r="F47" s="100">
        <v>2.97</v>
      </c>
      <c r="G47" s="100">
        <v>11.64</v>
      </c>
      <c r="H47" s="100">
        <v>6.64</v>
      </c>
      <c r="I47" s="100">
        <v>3.83</v>
      </c>
      <c r="J47" s="100">
        <v>0.18</v>
      </c>
      <c r="K47" s="100">
        <v>182.44</v>
      </c>
      <c r="L47" s="100">
        <v>34.06</v>
      </c>
      <c r="M47" s="100">
        <v>58.74</v>
      </c>
      <c r="N47" s="100">
        <v>174.9</v>
      </c>
      <c r="O47" s="100">
        <v>0</v>
      </c>
      <c r="P47" s="100">
        <v>0.31</v>
      </c>
      <c r="Q47" s="100">
        <v>9.9</v>
      </c>
      <c r="R47" s="6"/>
      <c r="S47" s="6"/>
      <c r="T47" s="156"/>
      <c r="U47" s="6"/>
    </row>
    <row r="48" spans="1:21" customFormat="1">
      <c r="A48" s="163" t="s">
        <v>1431</v>
      </c>
      <c r="B48" s="100">
        <v>4.04</v>
      </c>
      <c r="C48" s="100">
        <v>8.17</v>
      </c>
      <c r="D48" s="100">
        <v>4.13</v>
      </c>
      <c r="E48" s="100">
        <v>4.34</v>
      </c>
      <c r="F48" s="100">
        <v>3.06</v>
      </c>
      <c r="G48" s="100">
        <v>11.64</v>
      </c>
      <c r="H48" s="100">
        <v>6.64</v>
      </c>
      <c r="I48" s="100">
        <v>3.87</v>
      </c>
      <c r="J48" s="100">
        <v>0.17</v>
      </c>
      <c r="K48" s="100">
        <v>119.04</v>
      </c>
      <c r="L48" s="100">
        <v>35.090000000000003</v>
      </c>
      <c r="M48" s="100">
        <v>54.32</v>
      </c>
      <c r="N48" s="100">
        <v>172</v>
      </c>
      <c r="O48" s="100">
        <v>0</v>
      </c>
      <c r="P48" s="100">
        <v>0.31</v>
      </c>
      <c r="Q48" s="100">
        <v>9.92</v>
      </c>
      <c r="R48" s="6"/>
      <c r="S48" s="6"/>
      <c r="T48" s="156"/>
      <c r="U48" s="6"/>
    </row>
    <row r="49" spans="1:21" customFormat="1">
      <c r="A49" s="163" t="s">
        <v>1432</v>
      </c>
      <c r="B49" s="100">
        <v>4</v>
      </c>
      <c r="C49" s="100">
        <v>8.09</v>
      </c>
      <c r="D49" s="100">
        <v>4.08</v>
      </c>
      <c r="E49" s="100">
        <v>3.44</v>
      </c>
      <c r="F49" s="100">
        <v>4.91</v>
      </c>
      <c r="G49" s="100">
        <v>13.46</v>
      </c>
      <c r="H49" s="100">
        <v>7.79</v>
      </c>
      <c r="I49" s="100">
        <v>3.88</v>
      </c>
      <c r="J49" s="100">
        <v>0.47</v>
      </c>
      <c r="K49" s="100">
        <v>51.26</v>
      </c>
      <c r="L49" s="100">
        <v>35.049999999999997</v>
      </c>
      <c r="M49" s="100">
        <v>54.47</v>
      </c>
      <c r="N49" s="100">
        <v>185.4</v>
      </c>
      <c r="O49" s="100">
        <v>0</v>
      </c>
      <c r="P49" s="100">
        <v>0.31</v>
      </c>
      <c r="Q49" s="100">
        <v>9.92</v>
      </c>
      <c r="R49" s="6"/>
      <c r="S49" s="6"/>
      <c r="T49" s="156"/>
      <c r="U49" s="6"/>
    </row>
    <row r="50" spans="1:21" customFormat="1">
      <c r="A50" s="163" t="s">
        <v>1433</v>
      </c>
      <c r="B50" s="100">
        <v>3.97</v>
      </c>
      <c r="C50" s="100">
        <v>7.9</v>
      </c>
      <c r="D50" s="100">
        <v>3.93</v>
      </c>
      <c r="E50" s="100">
        <v>4.51</v>
      </c>
      <c r="F50" s="100">
        <v>3.31</v>
      </c>
      <c r="G50" s="100">
        <v>17.920000000000002</v>
      </c>
      <c r="H50" s="100">
        <v>12.49</v>
      </c>
      <c r="I50" s="100">
        <v>3.77</v>
      </c>
      <c r="J50" s="100">
        <v>0.4</v>
      </c>
      <c r="K50" s="100">
        <v>176.65</v>
      </c>
      <c r="L50" s="100">
        <v>35.270000000000003</v>
      </c>
      <c r="M50" s="100">
        <v>53.67</v>
      </c>
      <c r="N50" s="100">
        <v>178.9</v>
      </c>
      <c r="O50" s="100">
        <v>0</v>
      </c>
      <c r="P50" s="100">
        <v>0.32</v>
      </c>
      <c r="Q50" s="100">
        <v>9.92</v>
      </c>
      <c r="R50" s="6"/>
      <c r="S50" s="6"/>
      <c r="T50" s="156"/>
      <c r="U50" s="6"/>
    </row>
    <row r="51" spans="1:21" customFormat="1">
      <c r="A51" s="163" t="s">
        <v>1434</v>
      </c>
      <c r="B51" s="100">
        <v>3.88</v>
      </c>
      <c r="C51" s="100">
        <v>7.22</v>
      </c>
      <c r="D51" s="100">
        <v>3.33</v>
      </c>
      <c r="E51" s="100">
        <v>4.12</v>
      </c>
      <c r="F51" s="100">
        <v>26.53</v>
      </c>
      <c r="G51" s="100">
        <v>17.920000000000002</v>
      </c>
      <c r="H51" s="100">
        <v>12.49</v>
      </c>
      <c r="I51" s="100">
        <v>3.76</v>
      </c>
      <c r="J51" s="100">
        <v>0.03</v>
      </c>
      <c r="K51" s="100">
        <v>-0.38</v>
      </c>
      <c r="L51" s="100">
        <v>34.61</v>
      </c>
      <c r="M51" s="100">
        <v>55.35</v>
      </c>
      <c r="N51" s="100">
        <v>205</v>
      </c>
      <c r="O51" s="100">
        <v>0</v>
      </c>
      <c r="P51" s="100">
        <v>0.28999999999999998</v>
      </c>
      <c r="Q51" s="100">
        <v>9.93</v>
      </c>
      <c r="R51" s="6"/>
      <c r="S51" s="6"/>
      <c r="T51" s="156"/>
      <c r="U51" s="6"/>
    </row>
    <row r="52" spans="1:21" customFormat="1">
      <c r="A52" s="163" t="s">
        <v>1435</v>
      </c>
      <c r="B52" s="100">
        <v>3.78</v>
      </c>
      <c r="C52" s="100">
        <v>6.57</v>
      </c>
      <c r="D52" s="100">
        <v>2.79</v>
      </c>
      <c r="E52" s="100">
        <v>3.36</v>
      </c>
      <c r="F52" s="100">
        <v>23.44</v>
      </c>
      <c r="G52" s="100">
        <v>17.920000000000002</v>
      </c>
      <c r="H52" s="100">
        <v>12.49</v>
      </c>
      <c r="I52" s="100">
        <v>3.79</v>
      </c>
      <c r="J52" s="100">
        <v>0.12</v>
      </c>
      <c r="K52" s="100">
        <v>135.66999999999999</v>
      </c>
      <c r="L52" s="100">
        <v>34.880000000000003</v>
      </c>
      <c r="M52" s="100">
        <v>53.48</v>
      </c>
      <c r="N52" s="100">
        <v>226.8</v>
      </c>
      <c r="O52" s="100">
        <v>0</v>
      </c>
      <c r="P52" s="100">
        <v>0.26</v>
      </c>
      <c r="Q52" s="100">
        <v>9.91</v>
      </c>
      <c r="R52" s="6"/>
      <c r="S52" s="6"/>
      <c r="T52" s="156"/>
      <c r="U52" s="6"/>
    </row>
    <row r="53" spans="1:21" customFormat="1">
      <c r="A53" s="163" t="s">
        <v>1436</v>
      </c>
      <c r="B53" s="100">
        <v>4.12</v>
      </c>
      <c r="C53" s="100">
        <v>7.63</v>
      </c>
      <c r="D53" s="100">
        <v>3.51</v>
      </c>
      <c r="E53" s="100">
        <v>3.45</v>
      </c>
      <c r="F53" s="100">
        <v>33.47</v>
      </c>
      <c r="G53" s="100">
        <v>16.48</v>
      </c>
      <c r="H53" s="100">
        <v>11.12</v>
      </c>
      <c r="I53" s="100">
        <v>3.33</v>
      </c>
      <c r="J53" s="100">
        <v>0.49</v>
      </c>
      <c r="K53" s="100">
        <v>25.75</v>
      </c>
      <c r="L53" s="100">
        <v>35.25</v>
      </c>
      <c r="M53" s="100">
        <v>51.09</v>
      </c>
      <c r="N53" s="100">
        <v>207.7</v>
      </c>
      <c r="O53" s="100">
        <v>0</v>
      </c>
      <c r="P53" s="100">
        <v>0.31</v>
      </c>
      <c r="Q53" s="100">
        <v>9.91</v>
      </c>
      <c r="R53" s="6"/>
      <c r="S53" s="6"/>
      <c r="T53" s="156"/>
      <c r="U53" s="6"/>
    </row>
    <row r="54" spans="1:21" customFormat="1">
      <c r="A54" s="163" t="s">
        <v>1437</v>
      </c>
      <c r="B54" s="100">
        <v>4.9000000000000004</v>
      </c>
      <c r="C54" s="100">
        <v>10.38</v>
      </c>
      <c r="D54" s="100">
        <v>5.48</v>
      </c>
      <c r="E54" s="100">
        <v>2.89</v>
      </c>
      <c r="F54" s="100">
        <v>37.97</v>
      </c>
      <c r="G54" s="100">
        <v>12.75</v>
      </c>
      <c r="H54" s="100">
        <v>8.82</v>
      </c>
      <c r="I54" s="100">
        <v>3.25</v>
      </c>
      <c r="J54" s="100">
        <v>0.34</v>
      </c>
      <c r="K54" s="100">
        <v>279.95999999999998</v>
      </c>
      <c r="L54" s="100">
        <v>35.479999999999997</v>
      </c>
      <c r="M54" s="100">
        <v>50.99</v>
      </c>
      <c r="N54" s="100">
        <v>252.1</v>
      </c>
      <c r="O54" s="100">
        <v>0</v>
      </c>
      <c r="P54" s="100">
        <v>0.28999999999999998</v>
      </c>
      <c r="Q54" s="100">
        <v>9.92</v>
      </c>
      <c r="R54" s="6"/>
      <c r="S54" s="6"/>
      <c r="T54" s="156"/>
      <c r="U54" s="6"/>
    </row>
    <row r="55" spans="1:21" customFormat="1">
      <c r="A55" s="163" t="s">
        <v>1438</v>
      </c>
      <c r="B55" s="100">
        <v>3.98</v>
      </c>
      <c r="C55" s="100">
        <v>8</v>
      </c>
      <c r="D55" s="100">
        <v>4.01</v>
      </c>
      <c r="E55" s="100">
        <v>3.34</v>
      </c>
      <c r="F55" s="100">
        <v>31.51</v>
      </c>
      <c r="G55" s="100">
        <v>12.75</v>
      </c>
      <c r="H55" s="100">
        <v>8.82</v>
      </c>
      <c r="I55" s="100">
        <v>3.23</v>
      </c>
      <c r="J55" s="100">
        <v>0.57999999999999996</v>
      </c>
      <c r="K55" s="100">
        <v>45.5</v>
      </c>
      <c r="L55" s="100">
        <v>35.99</v>
      </c>
      <c r="M55" s="100">
        <v>49.85</v>
      </c>
      <c r="N55" s="100">
        <v>243</v>
      </c>
      <c r="O55" s="100">
        <v>0</v>
      </c>
      <c r="P55" s="100">
        <v>0.28000000000000003</v>
      </c>
      <c r="Q55" s="100">
        <v>9.91</v>
      </c>
      <c r="R55" s="6"/>
      <c r="S55" s="6"/>
      <c r="T55" s="156"/>
      <c r="U55" s="6"/>
    </row>
    <row r="56" spans="1:21" customFormat="1">
      <c r="A56" s="163" t="s">
        <v>1439</v>
      </c>
      <c r="B56" s="100">
        <v>4.03</v>
      </c>
      <c r="C56" s="100">
        <v>8.98</v>
      </c>
      <c r="D56" s="100">
        <v>4.95</v>
      </c>
      <c r="E56" s="100">
        <v>3.16</v>
      </c>
      <c r="F56" s="100">
        <v>39.69</v>
      </c>
      <c r="G56" s="100">
        <v>12.75</v>
      </c>
      <c r="H56" s="100">
        <v>8.82</v>
      </c>
      <c r="I56" s="100">
        <v>3.06</v>
      </c>
      <c r="J56" s="100">
        <v>0.22</v>
      </c>
      <c r="K56" s="100">
        <v>116.68</v>
      </c>
      <c r="L56" s="100">
        <v>36.36</v>
      </c>
      <c r="M56" s="100">
        <v>49.55</v>
      </c>
      <c r="N56" s="100">
        <v>327.3</v>
      </c>
      <c r="O56" s="100">
        <v>0</v>
      </c>
      <c r="P56" s="100">
        <v>0.27</v>
      </c>
      <c r="Q56" s="100">
        <v>9.92</v>
      </c>
      <c r="R56" s="6"/>
      <c r="S56" s="6"/>
      <c r="T56" s="156"/>
      <c r="U56" s="6"/>
    </row>
    <row r="57" spans="1:21" customFormat="1">
      <c r="A57" s="163" t="s">
        <v>1440</v>
      </c>
      <c r="B57" s="100">
        <v>3.9</v>
      </c>
      <c r="C57" s="100">
        <v>8</v>
      </c>
      <c r="D57" s="100">
        <v>4.09</v>
      </c>
      <c r="E57" s="100">
        <v>3.14</v>
      </c>
      <c r="F57" s="100">
        <v>36.729999999999997</v>
      </c>
      <c r="G57" s="100">
        <v>13.23</v>
      </c>
      <c r="H57" s="100">
        <v>8.81</v>
      </c>
      <c r="I57" s="100">
        <v>3.13</v>
      </c>
      <c r="J57" s="100">
        <v>0.27</v>
      </c>
      <c r="K57" s="100">
        <v>138.97</v>
      </c>
      <c r="L57" s="100">
        <v>36.32</v>
      </c>
      <c r="M57" s="100">
        <v>48.73</v>
      </c>
      <c r="N57" s="100">
        <v>837.6</v>
      </c>
      <c r="O57" s="100">
        <v>0</v>
      </c>
      <c r="P57" s="100">
        <v>0.26</v>
      </c>
      <c r="Q57" s="100">
        <v>9.92</v>
      </c>
      <c r="R57" s="6"/>
      <c r="S57" s="6"/>
      <c r="T57" s="156"/>
      <c r="U57" s="6"/>
    </row>
    <row r="58" spans="1:21" customFormat="1">
      <c r="A58" s="163" t="s">
        <v>1441</v>
      </c>
      <c r="B58" s="100">
        <v>5.0199999999999996</v>
      </c>
      <c r="C58" s="100">
        <v>12.33</v>
      </c>
      <c r="D58" s="100">
        <v>7.31</v>
      </c>
      <c r="E58" s="100">
        <v>4.01</v>
      </c>
      <c r="F58" s="100">
        <v>32.340000000000003</v>
      </c>
      <c r="G58" s="100">
        <v>14.43</v>
      </c>
      <c r="H58" s="100">
        <v>8.7899999999999991</v>
      </c>
      <c r="I58" s="100">
        <v>3.15</v>
      </c>
      <c r="J58" s="100">
        <v>0.84</v>
      </c>
      <c r="K58" s="100">
        <v>8.17</v>
      </c>
      <c r="L58" s="100">
        <v>35.6</v>
      </c>
      <c r="M58" s="100">
        <v>47.94</v>
      </c>
      <c r="N58" s="100">
        <v>250.4</v>
      </c>
      <c r="O58" s="100">
        <v>0</v>
      </c>
      <c r="P58" s="100">
        <v>0.35</v>
      </c>
      <c r="Q58" s="100">
        <v>9.92</v>
      </c>
      <c r="R58" s="6"/>
      <c r="S58" s="6"/>
      <c r="T58" s="156"/>
      <c r="U58" s="6"/>
    </row>
    <row r="59" spans="1:21" customFormat="1">
      <c r="A59" s="163" t="s">
        <v>1442</v>
      </c>
      <c r="B59" s="100">
        <v>6.32</v>
      </c>
      <c r="C59" s="100">
        <v>17.399999999999999</v>
      </c>
      <c r="D59" s="100">
        <v>11.07</v>
      </c>
      <c r="E59" s="100">
        <v>4.4800000000000004</v>
      </c>
      <c r="F59" s="100">
        <v>39.97</v>
      </c>
      <c r="G59" s="100">
        <v>14.43</v>
      </c>
      <c r="H59" s="100">
        <v>8.7899999999999991</v>
      </c>
      <c r="I59" s="100">
        <v>3.14</v>
      </c>
      <c r="J59" s="100">
        <v>0.48</v>
      </c>
      <c r="K59" s="100">
        <v>33.96</v>
      </c>
      <c r="L59" s="100">
        <v>35.46</v>
      </c>
      <c r="M59" s="100">
        <v>48.5</v>
      </c>
      <c r="N59" s="100">
        <v>626.1</v>
      </c>
      <c r="O59" s="100">
        <v>0</v>
      </c>
      <c r="P59" s="100">
        <v>0.35</v>
      </c>
      <c r="Q59" s="100">
        <v>9.94</v>
      </c>
      <c r="R59" s="6"/>
      <c r="S59" s="6"/>
      <c r="T59" s="156"/>
      <c r="U59" s="6"/>
    </row>
    <row r="60" spans="1:21" customFormat="1">
      <c r="A60" s="163" t="s">
        <v>1443</v>
      </c>
      <c r="B60" s="100">
        <v>5.67</v>
      </c>
      <c r="C60" s="100">
        <v>15.55</v>
      </c>
      <c r="D60" s="100">
        <v>9.8699999999999992</v>
      </c>
      <c r="E60" s="100">
        <v>4.5199999999999996</v>
      </c>
      <c r="F60" s="100">
        <v>47.37</v>
      </c>
      <c r="G60" s="100">
        <v>14.43</v>
      </c>
      <c r="H60" s="100">
        <v>8.7899999999999991</v>
      </c>
      <c r="I60" s="100">
        <v>3.38</v>
      </c>
      <c r="J60" s="100">
        <v>0.82</v>
      </c>
      <c r="K60" s="100">
        <v>356.48</v>
      </c>
      <c r="L60" s="100">
        <v>36.28</v>
      </c>
      <c r="M60" s="100">
        <v>46.32</v>
      </c>
      <c r="N60" s="100">
        <v>794.1</v>
      </c>
      <c r="O60" s="100">
        <v>0</v>
      </c>
      <c r="P60" s="100">
        <v>0.35</v>
      </c>
      <c r="Q60" s="100">
        <v>9.94</v>
      </c>
      <c r="R60" s="6"/>
      <c r="S60" s="6"/>
      <c r="T60" s="156"/>
      <c r="U60" s="6"/>
    </row>
    <row r="61" spans="1:21" customFormat="1">
      <c r="A61" s="163" t="s">
        <v>1444</v>
      </c>
      <c r="B61" s="100">
        <v>5.36</v>
      </c>
      <c r="C61" s="100">
        <v>13.48</v>
      </c>
      <c r="D61" s="100">
        <v>8.1199999999999992</v>
      </c>
      <c r="E61" s="100">
        <v>4.8</v>
      </c>
      <c r="F61" s="100">
        <v>32.43</v>
      </c>
      <c r="G61" s="100">
        <v>21.13</v>
      </c>
      <c r="H61" s="100">
        <v>10.02</v>
      </c>
      <c r="I61" s="100">
        <v>2.78</v>
      </c>
      <c r="J61" s="100">
        <v>0.65</v>
      </c>
      <c r="K61" s="100">
        <v>24.41</v>
      </c>
      <c r="L61" s="100">
        <v>36.67</v>
      </c>
      <c r="M61" s="100">
        <v>45.52</v>
      </c>
      <c r="N61" s="100">
        <v>693.7</v>
      </c>
      <c r="O61" s="100">
        <v>0</v>
      </c>
      <c r="P61" s="100">
        <v>0.34</v>
      </c>
      <c r="Q61" s="100">
        <v>9.94</v>
      </c>
      <c r="R61" s="6"/>
      <c r="S61" s="6"/>
      <c r="T61" s="156"/>
      <c r="U61" s="6"/>
    </row>
    <row r="62" spans="1:21" customFormat="1">
      <c r="A62" s="163" t="s">
        <v>1445</v>
      </c>
      <c r="B62" s="100">
        <v>4.22</v>
      </c>
      <c r="C62" s="100">
        <v>11.26</v>
      </c>
      <c r="D62" s="100">
        <v>7.04</v>
      </c>
      <c r="E62" s="100">
        <v>4.7300000000000004</v>
      </c>
      <c r="F62" s="100">
        <v>23.55</v>
      </c>
      <c r="G62" s="100">
        <v>38.549999999999997</v>
      </c>
      <c r="H62" s="100">
        <v>12.1</v>
      </c>
      <c r="I62" s="100">
        <v>3.9</v>
      </c>
      <c r="J62" s="100">
        <v>0.3</v>
      </c>
      <c r="K62" s="100">
        <v>70.17</v>
      </c>
      <c r="L62" s="100">
        <v>36.71</v>
      </c>
      <c r="M62" s="100">
        <v>45.85</v>
      </c>
      <c r="N62" s="100">
        <v>392.6</v>
      </c>
      <c r="O62" s="100">
        <v>0</v>
      </c>
      <c r="P62" s="100">
        <v>0.38</v>
      </c>
      <c r="Q62" s="100">
        <v>9.92</v>
      </c>
      <c r="R62" s="6"/>
      <c r="S62" s="6"/>
      <c r="T62" s="156"/>
      <c r="U62" s="6"/>
    </row>
    <row r="63" spans="1:21" customFormat="1">
      <c r="A63" s="163" t="s">
        <v>1446</v>
      </c>
      <c r="B63" s="100">
        <v>4.1399999999999997</v>
      </c>
      <c r="C63" s="100">
        <v>10.64</v>
      </c>
      <c r="D63" s="100">
        <v>6.5</v>
      </c>
      <c r="E63" s="100">
        <v>5.07</v>
      </c>
      <c r="F63" s="100">
        <v>41.63</v>
      </c>
      <c r="G63" s="100">
        <v>38.549999999999997</v>
      </c>
      <c r="H63" s="100">
        <v>12.1</v>
      </c>
      <c r="I63" s="100">
        <v>2.83</v>
      </c>
      <c r="J63" s="100">
        <v>0.32</v>
      </c>
      <c r="K63" s="100">
        <v>355.69</v>
      </c>
      <c r="L63" s="100">
        <v>36.78</v>
      </c>
      <c r="M63" s="100">
        <v>44.93</v>
      </c>
      <c r="N63" s="100">
        <v>727.7</v>
      </c>
      <c r="O63" s="100">
        <v>0</v>
      </c>
      <c r="P63" s="100">
        <v>0.41</v>
      </c>
      <c r="Q63" s="100">
        <v>9.93</v>
      </c>
      <c r="R63" s="6"/>
      <c r="S63" s="6"/>
      <c r="T63" s="156"/>
      <c r="U63" s="6"/>
    </row>
    <row r="64" spans="1:21" customFormat="1">
      <c r="A64" s="163" t="s">
        <v>1447</v>
      </c>
      <c r="B64" s="100">
        <v>4.0599999999999996</v>
      </c>
      <c r="C64" s="100">
        <v>9.2799999999999994</v>
      </c>
      <c r="D64" s="100">
        <v>5.22</v>
      </c>
      <c r="E64" s="100">
        <v>5.35</v>
      </c>
      <c r="F64" s="100">
        <v>53.77</v>
      </c>
      <c r="G64" s="100">
        <v>38.549999999999997</v>
      </c>
      <c r="H64" s="100">
        <v>12.1</v>
      </c>
      <c r="I64" s="100">
        <v>2.74</v>
      </c>
      <c r="J64" s="100">
        <v>0.08</v>
      </c>
      <c r="K64" s="100">
        <v>92.55</v>
      </c>
      <c r="L64" s="100">
        <v>37.56</v>
      </c>
      <c r="M64" s="100">
        <v>42.03</v>
      </c>
      <c r="N64" s="100">
        <v>706</v>
      </c>
      <c r="O64" s="100">
        <v>0</v>
      </c>
      <c r="P64" s="100">
        <v>0.39</v>
      </c>
      <c r="Q64" s="100">
        <v>9.92</v>
      </c>
      <c r="R64" s="6"/>
      <c r="S64" s="6"/>
      <c r="T64" s="156"/>
      <c r="U64" s="6"/>
    </row>
    <row r="65" spans="1:21" customFormat="1">
      <c r="A65" s="163" t="s">
        <v>1448</v>
      </c>
      <c r="B65" s="100">
        <v>4.29</v>
      </c>
      <c r="C65" s="100">
        <v>9.59</v>
      </c>
      <c r="D65" s="100">
        <v>5.3</v>
      </c>
      <c r="E65" s="100">
        <v>5.58</v>
      </c>
      <c r="F65" s="100">
        <v>50.75</v>
      </c>
      <c r="G65" s="100">
        <v>40.200000000000003</v>
      </c>
      <c r="H65" s="100">
        <v>13.01</v>
      </c>
      <c r="I65" s="100">
        <v>2.79</v>
      </c>
      <c r="J65" s="100">
        <v>0.33</v>
      </c>
      <c r="K65" s="100">
        <v>63.6</v>
      </c>
      <c r="L65" s="100">
        <v>37.9</v>
      </c>
      <c r="M65" s="100">
        <v>41.38</v>
      </c>
      <c r="N65" s="100">
        <v>240.3</v>
      </c>
      <c r="O65" s="100">
        <v>0</v>
      </c>
      <c r="P65" s="100">
        <v>0.32</v>
      </c>
      <c r="Q65" s="100">
        <v>9.92</v>
      </c>
      <c r="R65" s="6"/>
      <c r="S65" s="6"/>
      <c r="T65" s="156"/>
      <c r="U65" s="6"/>
    </row>
    <row r="66" spans="1:21" customFormat="1">
      <c r="A66" s="163" t="s">
        <v>1449</v>
      </c>
      <c r="B66" s="100">
        <v>6.46</v>
      </c>
      <c r="C66" s="100">
        <v>16.47</v>
      </c>
      <c r="D66" s="100">
        <v>10.02</v>
      </c>
      <c r="E66" s="100">
        <v>5.42</v>
      </c>
      <c r="F66" s="100">
        <v>48.55</v>
      </c>
      <c r="G66" s="100">
        <v>44.49</v>
      </c>
      <c r="H66" s="100">
        <v>14.52</v>
      </c>
      <c r="I66" s="100">
        <v>3.5</v>
      </c>
      <c r="J66" s="100">
        <v>0.88</v>
      </c>
      <c r="K66" s="100">
        <v>21.5</v>
      </c>
      <c r="L66" s="100">
        <v>37.630000000000003</v>
      </c>
      <c r="M66" s="100">
        <v>39.32</v>
      </c>
      <c r="N66" s="100">
        <v>342.3</v>
      </c>
      <c r="O66" s="100">
        <v>0</v>
      </c>
      <c r="P66" s="100">
        <v>0.36</v>
      </c>
      <c r="Q66" s="100">
        <v>9.92</v>
      </c>
      <c r="R66" s="6"/>
      <c r="S66" s="6"/>
      <c r="T66" s="156"/>
      <c r="U66" s="6"/>
    </row>
    <row r="67" spans="1:21" customFormat="1">
      <c r="A67" s="163" t="s">
        <v>1450</v>
      </c>
      <c r="B67" s="100">
        <v>5.98</v>
      </c>
      <c r="C67" s="100">
        <v>14.71</v>
      </c>
      <c r="D67" s="100">
        <v>8.73</v>
      </c>
      <c r="E67" s="100">
        <v>4.57</v>
      </c>
      <c r="F67" s="100">
        <v>50.36</v>
      </c>
      <c r="G67" s="100">
        <v>44.49</v>
      </c>
      <c r="H67" s="100">
        <v>14.52</v>
      </c>
      <c r="I67" s="100">
        <v>3.39</v>
      </c>
      <c r="J67" s="100">
        <v>0.66</v>
      </c>
      <c r="K67" s="100">
        <v>49.84</v>
      </c>
      <c r="L67" s="100">
        <v>37.75</v>
      </c>
      <c r="M67" s="100">
        <v>39.119999999999997</v>
      </c>
      <c r="N67" s="100">
        <v>487.4</v>
      </c>
      <c r="O67" s="100">
        <v>0</v>
      </c>
      <c r="P67" s="100">
        <v>0.35</v>
      </c>
      <c r="Q67" s="100">
        <v>9.93</v>
      </c>
      <c r="R67" s="6"/>
      <c r="S67" s="6"/>
      <c r="T67" s="156"/>
      <c r="U67" s="6"/>
    </row>
    <row r="68" spans="1:21" customFormat="1">
      <c r="A68" s="163" t="s">
        <v>1451</v>
      </c>
      <c r="B68" s="100">
        <v>4.22</v>
      </c>
      <c r="C68" s="100">
        <v>10.54</v>
      </c>
      <c r="D68" s="100">
        <v>6.32</v>
      </c>
      <c r="E68" s="100">
        <v>4.1500000000000004</v>
      </c>
      <c r="F68" s="100">
        <v>40.42</v>
      </c>
      <c r="G68" s="100">
        <v>44.49</v>
      </c>
      <c r="H68" s="100">
        <v>14.52</v>
      </c>
      <c r="I68" s="100">
        <v>4.09</v>
      </c>
      <c r="J68" s="100">
        <v>0.43</v>
      </c>
      <c r="K68" s="100">
        <v>72.39</v>
      </c>
      <c r="L68" s="100">
        <v>38.4</v>
      </c>
      <c r="M68" s="100">
        <v>37.24</v>
      </c>
      <c r="N68" s="100">
        <v>258.39999999999998</v>
      </c>
      <c r="O68" s="100">
        <v>0</v>
      </c>
      <c r="P68" s="100">
        <v>0.31</v>
      </c>
      <c r="Q68" s="100">
        <v>9.94</v>
      </c>
      <c r="R68" s="6"/>
      <c r="S68" s="6"/>
      <c r="T68" s="156"/>
      <c r="U68" s="6"/>
    </row>
    <row r="69" spans="1:21" customFormat="1">
      <c r="A69" s="163" t="s">
        <v>1452</v>
      </c>
      <c r="B69" s="100">
        <v>4.38</v>
      </c>
      <c r="C69" s="100">
        <v>11</v>
      </c>
      <c r="D69" s="100">
        <v>6.62</v>
      </c>
      <c r="E69" s="100">
        <v>4.17</v>
      </c>
      <c r="F69" s="100">
        <v>48.93</v>
      </c>
      <c r="G69" s="100">
        <v>45.34</v>
      </c>
      <c r="H69" s="100">
        <v>15.27</v>
      </c>
      <c r="I69" s="100">
        <v>3.57</v>
      </c>
      <c r="J69" s="100">
        <v>0.56999999999999995</v>
      </c>
      <c r="K69" s="100">
        <v>42.55</v>
      </c>
      <c r="L69" s="100">
        <v>38.380000000000003</v>
      </c>
      <c r="M69" s="100">
        <v>36.159999999999997</v>
      </c>
      <c r="N69" s="100">
        <v>523</v>
      </c>
      <c r="O69" s="100">
        <v>0</v>
      </c>
      <c r="P69" s="100">
        <v>0.33</v>
      </c>
      <c r="Q69" s="100">
        <v>9.93</v>
      </c>
      <c r="R69" s="6"/>
      <c r="S69" s="6"/>
      <c r="T69" s="156"/>
      <c r="U69" s="6"/>
    </row>
    <row r="70" spans="1:21" customFormat="1">
      <c r="A70" s="163" t="s">
        <v>1453</v>
      </c>
      <c r="B70" s="100">
        <v>5.62</v>
      </c>
      <c r="C70" s="100">
        <v>14.22</v>
      </c>
      <c r="D70" s="100">
        <v>8.6</v>
      </c>
      <c r="E70" s="100">
        <v>3.97</v>
      </c>
      <c r="F70" s="100">
        <v>41.58</v>
      </c>
      <c r="G70" s="100">
        <v>47.43</v>
      </c>
      <c r="H70" s="100">
        <v>16.510000000000002</v>
      </c>
      <c r="I70" s="100">
        <v>3.46</v>
      </c>
      <c r="J70" s="100">
        <v>0.56000000000000005</v>
      </c>
      <c r="K70" s="100">
        <v>27.79</v>
      </c>
      <c r="L70" s="100">
        <v>38.479999999999997</v>
      </c>
      <c r="M70" s="100">
        <v>36.69</v>
      </c>
      <c r="N70" s="100">
        <v>544.20000000000005</v>
      </c>
      <c r="O70" s="100">
        <v>0</v>
      </c>
      <c r="P70" s="100">
        <v>0.34</v>
      </c>
      <c r="Q70" s="100">
        <v>9.92</v>
      </c>
      <c r="R70" s="6"/>
      <c r="S70" s="6"/>
      <c r="T70" s="156"/>
      <c r="U70" s="6"/>
    </row>
    <row r="71" spans="1:21" customFormat="1">
      <c r="A71" s="163" t="s">
        <v>1454</v>
      </c>
      <c r="B71" s="100">
        <v>6.16</v>
      </c>
      <c r="C71" s="100">
        <v>16.34</v>
      </c>
      <c r="D71" s="100">
        <v>10.18</v>
      </c>
      <c r="E71" s="100">
        <v>3.18</v>
      </c>
      <c r="F71" s="100">
        <v>49</v>
      </c>
      <c r="G71" s="100">
        <v>47.43</v>
      </c>
      <c r="H71" s="100">
        <v>16.510000000000002</v>
      </c>
      <c r="I71" s="100">
        <v>3.42</v>
      </c>
      <c r="J71" s="100">
        <v>0.43</v>
      </c>
      <c r="K71" s="100">
        <v>46.41</v>
      </c>
      <c r="L71" s="100">
        <v>39.14</v>
      </c>
      <c r="M71" s="100">
        <v>34.81</v>
      </c>
      <c r="N71" s="100">
        <v>434.6</v>
      </c>
      <c r="O71" s="100">
        <v>0</v>
      </c>
      <c r="P71" s="100">
        <v>0.35</v>
      </c>
      <c r="Q71" s="100">
        <v>9.93</v>
      </c>
      <c r="R71" s="6"/>
      <c r="S71" s="6"/>
      <c r="T71" s="156"/>
      <c r="U71" s="6"/>
    </row>
    <row r="72" spans="1:21" customFormat="1">
      <c r="A72" s="163" t="s">
        <v>1455</v>
      </c>
      <c r="B72" s="100">
        <v>5.9</v>
      </c>
      <c r="C72" s="100">
        <v>16.02</v>
      </c>
      <c r="D72" s="100">
        <v>10.119999999999999</v>
      </c>
      <c r="E72" s="100">
        <v>2.7</v>
      </c>
      <c r="F72" s="100">
        <v>48.21</v>
      </c>
      <c r="G72" s="100">
        <v>47.43</v>
      </c>
      <c r="H72" s="100">
        <v>16.510000000000002</v>
      </c>
      <c r="I72" s="100">
        <v>3.5</v>
      </c>
      <c r="J72" s="100">
        <v>0.82</v>
      </c>
      <c r="K72" s="100">
        <v>40.04</v>
      </c>
      <c r="L72" s="100">
        <v>38.75</v>
      </c>
      <c r="M72" s="100">
        <v>35.450000000000003</v>
      </c>
      <c r="N72" s="100">
        <v>277.8</v>
      </c>
      <c r="O72" s="100">
        <v>0</v>
      </c>
      <c r="P72" s="100">
        <v>0.35</v>
      </c>
      <c r="Q72" s="100">
        <v>9.92</v>
      </c>
      <c r="R72" s="6"/>
      <c r="S72" s="6"/>
      <c r="T72" s="156"/>
      <c r="U72" s="6"/>
    </row>
    <row r="73" spans="1:21" customFormat="1">
      <c r="A73" s="163" t="s">
        <v>1456</v>
      </c>
      <c r="B73" s="100">
        <v>4.66</v>
      </c>
      <c r="C73" s="100">
        <v>12.99</v>
      </c>
      <c r="D73" s="100">
        <v>8.34</v>
      </c>
      <c r="E73" s="100">
        <v>2.7</v>
      </c>
      <c r="F73" s="100">
        <v>55.98</v>
      </c>
      <c r="G73" s="100">
        <v>46.94</v>
      </c>
      <c r="H73" s="100">
        <v>17.059999999999999</v>
      </c>
      <c r="I73" s="100">
        <v>3.65</v>
      </c>
      <c r="J73" s="100">
        <v>0.36</v>
      </c>
      <c r="K73" s="100">
        <v>74.239999999999995</v>
      </c>
      <c r="L73" s="100">
        <v>37.96</v>
      </c>
      <c r="M73" s="100">
        <v>37.409999999999997</v>
      </c>
      <c r="N73" s="100">
        <v>108.4</v>
      </c>
      <c r="O73" s="100">
        <v>0</v>
      </c>
      <c r="P73" s="100">
        <v>0.33</v>
      </c>
      <c r="Q73" s="100">
        <v>9.91</v>
      </c>
      <c r="R73" s="6"/>
      <c r="S73" s="6"/>
      <c r="T73" s="156"/>
      <c r="U73" s="6"/>
    </row>
    <row r="74" spans="1:21" customFormat="1">
      <c r="A74" s="163" t="s">
        <v>1457</v>
      </c>
      <c r="B74" s="100">
        <v>6.64</v>
      </c>
      <c r="C74" s="100">
        <v>17.600000000000001</v>
      </c>
      <c r="D74" s="100">
        <v>10.96</v>
      </c>
      <c r="E74" s="100">
        <v>2.73</v>
      </c>
      <c r="F74" s="100">
        <v>45.06</v>
      </c>
      <c r="G74" s="100">
        <v>45.73</v>
      </c>
      <c r="H74" s="100">
        <v>19.399999999999999</v>
      </c>
      <c r="I74" s="100">
        <v>3.26</v>
      </c>
      <c r="J74" s="100">
        <v>0.51</v>
      </c>
      <c r="K74" s="100">
        <v>61.07</v>
      </c>
      <c r="L74" s="100">
        <v>37.880000000000003</v>
      </c>
      <c r="M74" s="100">
        <v>37.35</v>
      </c>
      <c r="N74" s="100">
        <v>198.3</v>
      </c>
      <c r="O74" s="100">
        <v>0</v>
      </c>
      <c r="P74" s="100">
        <v>0.34</v>
      </c>
      <c r="Q74" s="100">
        <v>9.91</v>
      </c>
      <c r="R74" s="6"/>
      <c r="S74" s="6"/>
      <c r="T74" s="156"/>
      <c r="U74" s="6"/>
    </row>
    <row r="75" spans="1:21" customFormat="1">
      <c r="A75" s="163" t="s">
        <v>1458</v>
      </c>
      <c r="B75" s="100">
        <v>4.21</v>
      </c>
      <c r="C75" s="100">
        <v>10.49</v>
      </c>
      <c r="D75" s="100">
        <v>6.29</v>
      </c>
      <c r="E75" s="100">
        <v>3.29</v>
      </c>
      <c r="F75" s="100">
        <v>57.29</v>
      </c>
      <c r="G75" s="100">
        <v>45.73</v>
      </c>
      <c r="H75" s="100">
        <v>19.399999999999999</v>
      </c>
      <c r="I75" s="100">
        <v>2.97</v>
      </c>
      <c r="J75" s="100">
        <v>0.13</v>
      </c>
      <c r="K75" s="100">
        <v>128.1</v>
      </c>
      <c r="L75" s="100">
        <v>38.32</v>
      </c>
      <c r="M75" s="100">
        <v>38</v>
      </c>
      <c r="N75" s="100">
        <v>165.6</v>
      </c>
      <c r="O75" s="100">
        <v>0</v>
      </c>
      <c r="P75" s="100">
        <v>0.28999999999999998</v>
      </c>
      <c r="Q75" s="100">
        <v>9.92</v>
      </c>
      <c r="R75" s="6"/>
      <c r="S75" s="6"/>
      <c r="T75" s="156"/>
      <c r="U75" s="6"/>
    </row>
    <row r="76" spans="1:21" customFormat="1">
      <c r="A76" s="163" t="s">
        <v>1459</v>
      </c>
      <c r="B76" s="100">
        <v>3.81</v>
      </c>
      <c r="C76" s="100">
        <v>8.3000000000000007</v>
      </c>
      <c r="D76" s="100">
        <v>4.49</v>
      </c>
      <c r="E76" s="100">
        <v>3.88</v>
      </c>
      <c r="F76" s="100">
        <v>42.02</v>
      </c>
      <c r="G76" s="100">
        <v>45.73</v>
      </c>
      <c r="H76" s="100">
        <v>19.399999999999999</v>
      </c>
      <c r="I76" s="100">
        <v>3.23</v>
      </c>
      <c r="J76" s="100">
        <v>0.47</v>
      </c>
      <c r="K76" s="100">
        <v>38.81</v>
      </c>
      <c r="L76" s="100">
        <v>37.47</v>
      </c>
      <c r="M76" s="100">
        <v>39.85</v>
      </c>
      <c r="N76" s="100">
        <v>61.5</v>
      </c>
      <c r="O76" s="100">
        <v>0</v>
      </c>
      <c r="P76" s="100">
        <v>0.31</v>
      </c>
      <c r="Q76" s="100">
        <v>9.91</v>
      </c>
      <c r="R76" s="6"/>
      <c r="S76" s="6"/>
      <c r="T76" s="156"/>
      <c r="U76" s="6"/>
    </row>
    <row r="77" spans="1:21" customFormat="1">
      <c r="A77" s="163" t="s">
        <v>1460</v>
      </c>
      <c r="B77" s="100">
        <v>4.3899999999999997</v>
      </c>
      <c r="C77" s="100">
        <v>10.220000000000001</v>
      </c>
      <c r="D77" s="100">
        <v>5.82</v>
      </c>
      <c r="E77" s="100">
        <v>2.5099999999999998</v>
      </c>
      <c r="F77" s="100">
        <v>25.86</v>
      </c>
      <c r="G77" s="100">
        <v>48.16</v>
      </c>
      <c r="H77" s="100">
        <v>17.260000000000002</v>
      </c>
      <c r="I77" s="100">
        <v>2.76</v>
      </c>
      <c r="J77" s="100">
        <v>1.0900000000000001</v>
      </c>
      <c r="K77" s="100">
        <v>31.25</v>
      </c>
      <c r="L77" s="100">
        <v>34.01</v>
      </c>
      <c r="M77" s="100">
        <v>52.11</v>
      </c>
      <c r="N77" s="100">
        <v>31</v>
      </c>
      <c r="O77" s="100">
        <v>0</v>
      </c>
      <c r="P77" s="100">
        <v>0.33</v>
      </c>
      <c r="Q77" s="100">
        <v>9.91</v>
      </c>
      <c r="R77" s="6"/>
      <c r="S77" s="6"/>
      <c r="T77" s="156"/>
      <c r="U77" s="6"/>
    </row>
    <row r="78" spans="1:21" customFormat="1">
      <c r="A78" s="163" t="s">
        <v>1461</v>
      </c>
      <c r="B78" s="100">
        <v>4.25</v>
      </c>
      <c r="C78" s="100">
        <v>10.54</v>
      </c>
      <c r="D78" s="100">
        <v>6.3</v>
      </c>
      <c r="E78" s="100">
        <v>2.11</v>
      </c>
      <c r="F78" s="100">
        <v>31.71</v>
      </c>
      <c r="G78" s="100">
        <v>54.14</v>
      </c>
      <c r="H78" s="100">
        <v>13.77</v>
      </c>
      <c r="I78" s="100">
        <v>3.07</v>
      </c>
      <c r="J78" s="100">
        <v>0.17</v>
      </c>
      <c r="K78" s="100">
        <v>194.94</v>
      </c>
      <c r="L78" s="100">
        <v>33.07</v>
      </c>
      <c r="M78" s="100">
        <v>55.44</v>
      </c>
      <c r="N78" s="100">
        <v>21.6</v>
      </c>
      <c r="O78" s="100">
        <v>0</v>
      </c>
      <c r="P78" s="100">
        <v>0.31</v>
      </c>
      <c r="Q78" s="100">
        <v>9.93</v>
      </c>
      <c r="R78" s="6"/>
      <c r="S78" s="6"/>
      <c r="T78" s="156"/>
      <c r="U78" s="6"/>
    </row>
    <row r="79" spans="1:21" customFormat="1">
      <c r="A79" s="163" t="s">
        <v>1462</v>
      </c>
      <c r="B79" s="100">
        <v>3.99</v>
      </c>
      <c r="C79" s="100">
        <v>8.64</v>
      </c>
      <c r="D79" s="100">
        <v>4.6500000000000004</v>
      </c>
      <c r="E79" s="100">
        <v>2.41</v>
      </c>
      <c r="F79" s="100">
        <v>38.56</v>
      </c>
      <c r="G79" s="100">
        <v>54.14</v>
      </c>
      <c r="H79" s="100">
        <v>13.77</v>
      </c>
      <c r="I79" s="100">
        <v>3.72</v>
      </c>
      <c r="J79" s="100">
        <v>0.16</v>
      </c>
      <c r="K79" s="100">
        <v>193.13</v>
      </c>
      <c r="L79" s="100">
        <v>34.119999999999997</v>
      </c>
      <c r="M79" s="100">
        <v>51.16</v>
      </c>
      <c r="N79" s="100">
        <v>30</v>
      </c>
      <c r="O79" s="100">
        <v>0</v>
      </c>
      <c r="P79" s="100">
        <v>0.28000000000000003</v>
      </c>
      <c r="Q79" s="100">
        <v>9.93</v>
      </c>
      <c r="R79" s="6"/>
      <c r="S79" s="6"/>
      <c r="T79" s="156"/>
      <c r="U79" s="6"/>
    </row>
    <row r="80" spans="1:21" customFormat="1">
      <c r="A80" s="163" t="s">
        <v>1463</v>
      </c>
      <c r="B80" s="100">
        <v>3.8</v>
      </c>
      <c r="C80" s="100">
        <v>7.3</v>
      </c>
      <c r="D80" s="100">
        <v>3.5</v>
      </c>
      <c r="E80" s="100">
        <v>2.4900000000000002</v>
      </c>
      <c r="F80" s="100">
        <v>28.53</v>
      </c>
      <c r="G80" s="100">
        <v>54.14</v>
      </c>
      <c r="H80" s="100">
        <v>13.77</v>
      </c>
      <c r="I80" s="100">
        <v>3.91</v>
      </c>
      <c r="J80" s="100">
        <v>0.28000000000000003</v>
      </c>
      <c r="K80" s="100">
        <v>236.35</v>
      </c>
      <c r="L80" s="100">
        <v>34.49</v>
      </c>
      <c r="M80" s="100">
        <v>51.19</v>
      </c>
      <c r="N80" s="100">
        <v>48</v>
      </c>
      <c r="O80" s="100">
        <v>0</v>
      </c>
      <c r="P80" s="100">
        <v>0.28999999999999998</v>
      </c>
      <c r="Q80" s="100">
        <v>9.92</v>
      </c>
      <c r="R80" s="6"/>
      <c r="S80" s="6"/>
      <c r="T80" s="156"/>
      <c r="U80" s="6"/>
    </row>
    <row r="81" spans="1:21" customFormat="1">
      <c r="A81" s="163" t="s">
        <v>1464</v>
      </c>
      <c r="B81" s="100">
        <v>3.76</v>
      </c>
      <c r="C81" s="100">
        <v>8.02</v>
      </c>
      <c r="D81" s="100">
        <v>4.26</v>
      </c>
      <c r="E81" s="100">
        <v>2.86</v>
      </c>
      <c r="F81" s="100">
        <v>16.649999999999999</v>
      </c>
      <c r="G81" s="100">
        <v>55.67</v>
      </c>
      <c r="H81" s="100">
        <v>14.79</v>
      </c>
      <c r="I81" s="100">
        <v>3.34</v>
      </c>
      <c r="J81" s="100">
        <v>0.44</v>
      </c>
      <c r="K81" s="100">
        <v>254.3</v>
      </c>
      <c r="L81" s="100">
        <v>34.53</v>
      </c>
      <c r="M81" s="100">
        <v>50.88</v>
      </c>
      <c r="N81" s="100">
        <v>26.2</v>
      </c>
      <c r="O81" s="100">
        <v>0</v>
      </c>
      <c r="P81" s="100">
        <v>0.28999999999999998</v>
      </c>
      <c r="Q81" s="100">
        <v>9.91</v>
      </c>
      <c r="R81" s="6"/>
      <c r="S81" s="6"/>
      <c r="T81" s="156"/>
      <c r="U81" s="6"/>
    </row>
    <row r="82" spans="1:21" customFormat="1">
      <c r="A82" s="163" t="s">
        <v>1465</v>
      </c>
      <c r="B82" s="100">
        <v>3.76</v>
      </c>
      <c r="C82" s="100">
        <v>7.47</v>
      </c>
      <c r="D82" s="100">
        <v>3.72</v>
      </c>
      <c r="E82" s="100">
        <v>3.29</v>
      </c>
      <c r="F82" s="100">
        <v>12.65</v>
      </c>
      <c r="G82" s="100">
        <v>59.41</v>
      </c>
      <c r="H82" s="100">
        <v>16.48</v>
      </c>
      <c r="I82" s="100">
        <v>3.48</v>
      </c>
      <c r="J82" s="100">
        <v>0.28999999999999998</v>
      </c>
      <c r="K82" s="100">
        <v>253.98</v>
      </c>
      <c r="L82" s="100">
        <v>34.19</v>
      </c>
      <c r="M82" s="100">
        <v>51.78</v>
      </c>
      <c r="N82" s="100">
        <v>12.2</v>
      </c>
      <c r="O82" s="100">
        <v>0</v>
      </c>
      <c r="P82" s="100">
        <v>0.25</v>
      </c>
      <c r="Q82" s="100">
        <v>9.91</v>
      </c>
      <c r="R82" s="6"/>
      <c r="S82" s="6"/>
      <c r="T82" s="156"/>
      <c r="U82" s="6"/>
    </row>
    <row r="83" spans="1:21" customFormat="1">
      <c r="A83" s="163" t="s">
        <v>1466</v>
      </c>
      <c r="B83" s="100">
        <v>3.75</v>
      </c>
      <c r="C83" s="100">
        <v>7.88</v>
      </c>
      <c r="D83" s="100">
        <v>4.12</v>
      </c>
      <c r="E83" s="100">
        <v>3.75</v>
      </c>
      <c r="F83" s="100">
        <v>10.69</v>
      </c>
      <c r="G83" s="100">
        <v>59.41</v>
      </c>
      <c r="H83" s="100">
        <v>16.48</v>
      </c>
      <c r="I83" s="100">
        <v>2.62</v>
      </c>
      <c r="J83" s="100">
        <v>0.4</v>
      </c>
      <c r="K83" s="100">
        <v>251.59</v>
      </c>
      <c r="L83" s="100">
        <v>33.36</v>
      </c>
      <c r="M83" s="100">
        <v>55.55</v>
      </c>
      <c r="N83" s="100">
        <v>6</v>
      </c>
      <c r="O83" s="100">
        <v>0</v>
      </c>
      <c r="P83" s="100">
        <v>0.26</v>
      </c>
      <c r="Q83" s="100">
        <v>9.92</v>
      </c>
      <c r="R83" s="6"/>
      <c r="S83" s="6"/>
      <c r="T83" s="156"/>
      <c r="U83" s="6"/>
    </row>
    <row r="84" spans="1:21" customFormat="1">
      <c r="A84" s="163" t="s">
        <v>1467</v>
      </c>
      <c r="B84" s="100">
        <v>3.77</v>
      </c>
      <c r="C84" s="100">
        <v>7.46</v>
      </c>
      <c r="D84" s="100">
        <v>3.69</v>
      </c>
      <c r="E84" s="100">
        <v>4.08</v>
      </c>
      <c r="F84" s="100">
        <v>8.49</v>
      </c>
      <c r="G84" s="100">
        <v>59.41</v>
      </c>
      <c r="H84" s="100">
        <v>16.48</v>
      </c>
      <c r="I84" s="100">
        <v>3.55</v>
      </c>
      <c r="J84" s="100">
        <v>0.26</v>
      </c>
      <c r="K84" s="100">
        <v>246.34</v>
      </c>
      <c r="L84" s="100">
        <v>32.81</v>
      </c>
      <c r="M84" s="100">
        <v>58.17</v>
      </c>
      <c r="N84" s="100">
        <v>3</v>
      </c>
      <c r="O84" s="100">
        <v>0</v>
      </c>
      <c r="P84" s="100">
        <v>0.26</v>
      </c>
      <c r="Q84" s="100">
        <v>9.91</v>
      </c>
      <c r="R84" s="6"/>
      <c r="S84" s="6"/>
      <c r="T84" s="156"/>
      <c r="U84" s="6"/>
    </row>
    <row r="85" spans="1:21" customFormat="1">
      <c r="A85" s="163" t="s">
        <v>1468</v>
      </c>
      <c r="B85" s="100">
        <v>3.78</v>
      </c>
      <c r="C85" s="100">
        <v>7.56</v>
      </c>
      <c r="D85" s="100">
        <v>3.78</v>
      </c>
      <c r="E85" s="100">
        <v>4.2</v>
      </c>
      <c r="F85" s="100">
        <v>11</v>
      </c>
      <c r="G85" s="100">
        <v>57</v>
      </c>
      <c r="H85" s="100">
        <v>16.809999999999999</v>
      </c>
      <c r="I85" s="100">
        <v>3.53</v>
      </c>
      <c r="J85" s="100">
        <v>0.22</v>
      </c>
      <c r="K85" s="100">
        <v>188.9</v>
      </c>
      <c r="L85" s="100">
        <v>32.659999999999997</v>
      </c>
      <c r="M85" s="100">
        <v>58.65</v>
      </c>
      <c r="N85" s="100">
        <v>2.1</v>
      </c>
      <c r="O85" s="100">
        <v>0</v>
      </c>
      <c r="P85" s="100">
        <v>0.26</v>
      </c>
      <c r="Q85" s="100">
        <v>9.92</v>
      </c>
      <c r="R85" s="6"/>
      <c r="S85" s="6"/>
      <c r="T85" s="156"/>
      <c r="U85" s="6"/>
    </row>
    <row r="86" spans="1:21" customFormat="1">
      <c r="A86" s="163" t="s">
        <v>1469</v>
      </c>
      <c r="B86" s="100">
        <v>3.79</v>
      </c>
      <c r="C86" s="100">
        <v>7.64</v>
      </c>
      <c r="D86" s="100">
        <v>3.85</v>
      </c>
      <c r="E86" s="100">
        <v>4.24</v>
      </c>
      <c r="F86" s="100">
        <v>11.47</v>
      </c>
      <c r="G86" s="100">
        <v>51.06</v>
      </c>
      <c r="H86" s="100">
        <v>17.38</v>
      </c>
      <c r="I86" s="100">
        <v>3.55</v>
      </c>
      <c r="J86" s="100">
        <v>0.21</v>
      </c>
      <c r="K86" s="100">
        <v>173.17</v>
      </c>
      <c r="L86" s="100">
        <v>32.69</v>
      </c>
      <c r="M86" s="100">
        <v>59.35</v>
      </c>
      <c r="N86" s="100">
        <v>2</v>
      </c>
      <c r="O86" s="100">
        <v>0</v>
      </c>
      <c r="P86" s="100">
        <v>0.28000000000000003</v>
      </c>
      <c r="Q86" s="100">
        <v>9.91</v>
      </c>
      <c r="R86" s="6"/>
      <c r="S86" s="6"/>
      <c r="T86" s="156"/>
      <c r="U86" s="6"/>
    </row>
    <row r="87" spans="1:21" customFormat="1">
      <c r="A87" s="163" t="s">
        <v>1470</v>
      </c>
      <c r="B87" s="100">
        <v>3.84</v>
      </c>
      <c r="C87" s="100">
        <v>7.45</v>
      </c>
      <c r="D87" s="100">
        <v>3.61</v>
      </c>
      <c r="E87" s="100">
        <v>4.24</v>
      </c>
      <c r="F87" s="100">
        <v>7.78</v>
      </c>
      <c r="G87" s="100">
        <v>51.06</v>
      </c>
      <c r="H87" s="100">
        <v>17.38</v>
      </c>
      <c r="I87" s="100">
        <v>3.48</v>
      </c>
      <c r="J87" s="100">
        <v>0.24</v>
      </c>
      <c r="K87" s="100">
        <v>223.18</v>
      </c>
      <c r="L87" s="100">
        <v>31.96</v>
      </c>
      <c r="M87" s="100">
        <v>63.31</v>
      </c>
      <c r="N87" s="100">
        <v>1.9</v>
      </c>
      <c r="O87" s="100">
        <v>0</v>
      </c>
      <c r="P87" s="100">
        <v>0.27</v>
      </c>
      <c r="Q87" s="100">
        <v>9.91</v>
      </c>
      <c r="R87" s="6"/>
      <c r="S87" s="6"/>
      <c r="T87" s="156"/>
      <c r="U87" s="6"/>
    </row>
    <row r="88" spans="1:21" customFormat="1">
      <c r="A88" s="163" t="s">
        <v>1471</v>
      </c>
      <c r="B88" s="100">
        <v>3.87</v>
      </c>
      <c r="C88" s="100">
        <v>7.84</v>
      </c>
      <c r="D88" s="100">
        <v>3.97</v>
      </c>
      <c r="E88" s="100">
        <v>4.58</v>
      </c>
      <c r="F88" s="100">
        <v>9.27</v>
      </c>
      <c r="G88" s="100">
        <v>51.06</v>
      </c>
      <c r="H88" s="100">
        <v>17.38</v>
      </c>
      <c r="I88" s="100">
        <v>3.53</v>
      </c>
      <c r="J88" s="100">
        <v>0.19</v>
      </c>
      <c r="K88" s="100">
        <v>235.99</v>
      </c>
      <c r="L88" s="100">
        <v>31.82</v>
      </c>
      <c r="M88" s="100">
        <v>63.31</v>
      </c>
      <c r="N88" s="100">
        <v>1.7</v>
      </c>
      <c r="O88" s="100">
        <v>0</v>
      </c>
      <c r="P88" s="100">
        <v>0.27</v>
      </c>
      <c r="Q88" s="100">
        <v>9.9</v>
      </c>
      <c r="R88" s="6"/>
      <c r="S88" s="6"/>
      <c r="T88" s="156"/>
      <c r="U88" s="6"/>
    </row>
    <row r="89" spans="1:21" customFormat="1">
      <c r="A89" s="163" t="s">
        <v>1472</v>
      </c>
      <c r="B89" s="100">
        <v>3.91</v>
      </c>
      <c r="C89" s="100">
        <v>7.6</v>
      </c>
      <c r="D89" s="100">
        <v>3.69</v>
      </c>
      <c r="E89" s="100">
        <v>4.24</v>
      </c>
      <c r="F89" s="100">
        <v>7.87</v>
      </c>
      <c r="G89" s="100">
        <v>51.17</v>
      </c>
      <c r="H89" s="100">
        <v>15.43</v>
      </c>
      <c r="I89" s="100">
        <v>3.62</v>
      </c>
      <c r="J89" s="100">
        <v>0.16</v>
      </c>
      <c r="K89" s="100">
        <v>187.2</v>
      </c>
      <c r="L89" s="100">
        <v>31.59</v>
      </c>
      <c r="M89" s="100">
        <v>63</v>
      </c>
      <c r="N89" s="100">
        <v>1.8</v>
      </c>
      <c r="O89" s="100">
        <v>0</v>
      </c>
      <c r="P89" s="100">
        <v>0.28000000000000003</v>
      </c>
      <c r="Q89" s="100">
        <v>9.91</v>
      </c>
      <c r="R89" s="6"/>
      <c r="S89" s="6"/>
      <c r="T89" s="156"/>
      <c r="U89" s="6"/>
    </row>
    <row r="90" spans="1:21" customFormat="1">
      <c r="A90" s="163" t="s">
        <v>1473</v>
      </c>
      <c r="B90" s="100">
        <v>3.93</v>
      </c>
      <c r="C90" s="100">
        <v>7.7</v>
      </c>
      <c r="D90" s="100">
        <v>3.77</v>
      </c>
      <c r="E90" s="100">
        <v>4.59</v>
      </c>
      <c r="F90" s="100">
        <v>8.19</v>
      </c>
      <c r="G90" s="100">
        <v>51.44</v>
      </c>
      <c r="H90" s="100">
        <v>12.24</v>
      </c>
      <c r="I90" s="100">
        <v>3.64</v>
      </c>
      <c r="J90" s="100">
        <v>0.2</v>
      </c>
      <c r="K90" s="100">
        <v>181.2</v>
      </c>
      <c r="L90" s="100">
        <v>31.39</v>
      </c>
      <c r="M90" s="100">
        <v>63.12</v>
      </c>
      <c r="N90" s="100">
        <v>1.9</v>
      </c>
      <c r="O90" s="100">
        <v>0</v>
      </c>
      <c r="P90" s="100">
        <v>0.27</v>
      </c>
      <c r="Q90" s="100">
        <v>9.92</v>
      </c>
      <c r="R90" s="6"/>
      <c r="S90" s="6"/>
      <c r="T90" s="156"/>
      <c r="U90" s="6"/>
    </row>
    <row r="91" spans="1:21" customFormat="1">
      <c r="A91" s="163" t="s">
        <v>1474</v>
      </c>
      <c r="B91" s="100">
        <v>3.97</v>
      </c>
      <c r="C91" s="100">
        <v>7.73</v>
      </c>
      <c r="D91" s="100">
        <v>3.76</v>
      </c>
      <c r="E91" s="100">
        <v>4.74</v>
      </c>
      <c r="F91" s="100">
        <v>5.62</v>
      </c>
      <c r="G91" s="100">
        <v>51.44</v>
      </c>
      <c r="H91" s="100">
        <v>12.24</v>
      </c>
      <c r="I91" s="100">
        <v>3.72</v>
      </c>
      <c r="J91" s="100">
        <v>0.18</v>
      </c>
      <c r="K91" s="100">
        <v>203.33</v>
      </c>
      <c r="L91" s="100">
        <v>31.08</v>
      </c>
      <c r="M91" s="100">
        <v>63.9</v>
      </c>
      <c r="N91" s="100">
        <v>1.7</v>
      </c>
      <c r="O91" s="100">
        <v>0</v>
      </c>
      <c r="P91" s="100">
        <v>0.28999999999999998</v>
      </c>
      <c r="Q91" s="100">
        <v>9.92</v>
      </c>
      <c r="R91" s="6"/>
      <c r="S91" s="6"/>
      <c r="T91" s="156"/>
      <c r="U91" s="6"/>
    </row>
    <row r="92" spans="1:21" customFormat="1">
      <c r="A92" s="163" t="s">
        <v>1475</v>
      </c>
      <c r="B92" s="100">
        <v>4</v>
      </c>
      <c r="C92" s="100">
        <v>7.56</v>
      </c>
      <c r="D92" s="100">
        <v>3.56</v>
      </c>
      <c r="E92" s="100">
        <v>4.6399999999999997</v>
      </c>
      <c r="F92" s="100">
        <v>6.14</v>
      </c>
      <c r="G92" s="100">
        <v>51.44</v>
      </c>
      <c r="H92" s="100">
        <v>12.24</v>
      </c>
      <c r="I92" s="100">
        <v>3.71</v>
      </c>
      <c r="J92" s="100">
        <v>0.16</v>
      </c>
      <c r="K92" s="100">
        <v>182.37</v>
      </c>
      <c r="L92" s="100">
        <v>31.07</v>
      </c>
      <c r="M92" s="100">
        <v>63.61</v>
      </c>
      <c r="N92" s="100">
        <v>1.7</v>
      </c>
      <c r="O92" s="100">
        <v>0</v>
      </c>
      <c r="P92" s="100">
        <v>0.28000000000000003</v>
      </c>
      <c r="Q92" s="100">
        <v>9.92</v>
      </c>
      <c r="R92" s="6"/>
      <c r="S92" s="6"/>
      <c r="T92" s="156"/>
      <c r="U92" s="6"/>
    </row>
    <row r="93" spans="1:21" customFormat="1">
      <c r="A93" s="163" t="s">
        <v>1476</v>
      </c>
      <c r="B93" s="100">
        <v>4.01</v>
      </c>
      <c r="C93" s="100">
        <v>7.75</v>
      </c>
      <c r="D93" s="100">
        <v>3.73</v>
      </c>
      <c r="E93" s="100">
        <v>4.71</v>
      </c>
      <c r="F93" s="100">
        <v>6.53</v>
      </c>
      <c r="G93" s="100">
        <v>51.03</v>
      </c>
      <c r="H93" s="100">
        <v>14.27</v>
      </c>
      <c r="I93" s="100">
        <v>3.85</v>
      </c>
      <c r="J93" s="100">
        <v>0.17</v>
      </c>
      <c r="K93" s="100">
        <v>202.46</v>
      </c>
      <c r="L93" s="100">
        <v>30.97</v>
      </c>
      <c r="M93" s="100">
        <v>64.22</v>
      </c>
      <c r="N93" s="100">
        <v>1.7</v>
      </c>
      <c r="O93" s="100">
        <v>0</v>
      </c>
      <c r="P93" s="100">
        <v>0.28000000000000003</v>
      </c>
      <c r="Q93" s="100">
        <v>9.92</v>
      </c>
      <c r="R93" s="6"/>
      <c r="S93" s="6"/>
      <c r="T93" s="156"/>
      <c r="U93" s="6"/>
    </row>
    <row r="94" spans="1:21" customFormat="1">
      <c r="A94" s="163" t="s">
        <v>1477</v>
      </c>
      <c r="B94" s="100">
        <v>4.07</v>
      </c>
      <c r="C94" s="100">
        <v>7.79</v>
      </c>
      <c r="D94" s="100">
        <v>3.72</v>
      </c>
      <c r="E94" s="100">
        <v>4.87</v>
      </c>
      <c r="F94" s="100">
        <v>3.8</v>
      </c>
      <c r="G94" s="100">
        <v>50.04</v>
      </c>
      <c r="H94" s="100">
        <v>17.59</v>
      </c>
      <c r="I94" s="100">
        <v>3.82</v>
      </c>
      <c r="J94" s="100">
        <v>0.28000000000000003</v>
      </c>
      <c r="K94" s="100">
        <v>224.85</v>
      </c>
      <c r="L94" s="100">
        <v>30.85</v>
      </c>
      <c r="M94" s="100">
        <v>65.23</v>
      </c>
      <c r="N94" s="100">
        <v>1.5</v>
      </c>
      <c r="O94" s="100">
        <v>0</v>
      </c>
      <c r="P94" s="100">
        <v>0.3</v>
      </c>
      <c r="Q94" s="100">
        <v>9.93</v>
      </c>
      <c r="R94" s="6"/>
      <c r="S94" s="6"/>
      <c r="T94" s="156"/>
      <c r="U94" s="6"/>
    </row>
    <row r="95" spans="1:21" customFormat="1">
      <c r="A95" s="163" t="s">
        <v>1478</v>
      </c>
      <c r="B95" s="100">
        <v>4.12</v>
      </c>
      <c r="C95" s="100">
        <v>7.7</v>
      </c>
      <c r="D95" s="100">
        <v>3.59</v>
      </c>
      <c r="E95" s="100">
        <v>5</v>
      </c>
      <c r="F95" s="100">
        <v>5.28</v>
      </c>
      <c r="G95" s="100">
        <v>50.04</v>
      </c>
      <c r="H95" s="100">
        <v>17.59</v>
      </c>
      <c r="I95" s="100">
        <v>3.82</v>
      </c>
      <c r="J95" s="100">
        <v>0.23</v>
      </c>
      <c r="K95" s="100">
        <v>229.96</v>
      </c>
      <c r="L95" s="100">
        <v>30.72</v>
      </c>
      <c r="M95" s="100">
        <v>65.61</v>
      </c>
      <c r="N95" s="100">
        <v>1.7</v>
      </c>
      <c r="O95" s="100">
        <v>0</v>
      </c>
      <c r="P95" s="100">
        <v>0.28999999999999998</v>
      </c>
      <c r="Q95" s="100">
        <v>9.92</v>
      </c>
      <c r="R95" s="6"/>
      <c r="S95" s="6"/>
      <c r="T95" s="156"/>
      <c r="U95" s="6"/>
    </row>
    <row r="96" spans="1:21" customFormat="1">
      <c r="A96" s="163" t="s">
        <v>1479</v>
      </c>
      <c r="B96" s="100">
        <v>4.1500000000000004</v>
      </c>
      <c r="C96" s="100">
        <v>7.87</v>
      </c>
      <c r="D96" s="100">
        <v>3.72</v>
      </c>
      <c r="E96" s="100">
        <v>4.88</v>
      </c>
      <c r="F96" s="100">
        <v>5.2</v>
      </c>
      <c r="G96" s="100">
        <v>50.04</v>
      </c>
      <c r="H96" s="100">
        <v>17.59</v>
      </c>
      <c r="I96" s="100">
        <v>3.96</v>
      </c>
      <c r="J96" s="100">
        <v>0.14000000000000001</v>
      </c>
      <c r="K96" s="100">
        <v>188.92</v>
      </c>
      <c r="L96" s="100">
        <v>30.59</v>
      </c>
      <c r="M96" s="100">
        <v>66.66</v>
      </c>
      <c r="N96" s="100">
        <v>1.8</v>
      </c>
      <c r="O96" s="100">
        <v>0</v>
      </c>
      <c r="P96" s="100">
        <v>0.28999999999999998</v>
      </c>
      <c r="Q96" s="100">
        <v>9.91</v>
      </c>
      <c r="R96" s="6"/>
      <c r="S96" s="6"/>
      <c r="T96" s="156"/>
      <c r="U96" s="6"/>
    </row>
    <row r="97" spans="1:28" customFormat="1">
      <c r="A97" s="163" t="s">
        <v>1480</v>
      </c>
      <c r="B97" s="100">
        <v>4.16</v>
      </c>
      <c r="C97" s="100">
        <v>7.81</v>
      </c>
      <c r="D97" s="100">
        <v>3.64</v>
      </c>
      <c r="E97" s="100">
        <v>5.22</v>
      </c>
      <c r="F97" s="100">
        <v>6.63</v>
      </c>
      <c r="G97" s="100">
        <v>52.34</v>
      </c>
      <c r="H97" s="100">
        <v>16.96</v>
      </c>
      <c r="I97" s="100">
        <v>3.94</v>
      </c>
      <c r="J97" s="100">
        <v>0.16</v>
      </c>
      <c r="K97" s="100">
        <v>203.58</v>
      </c>
      <c r="L97" s="100">
        <v>30.19</v>
      </c>
      <c r="M97" s="100">
        <v>68.7</v>
      </c>
      <c r="N97" s="100">
        <v>1.8</v>
      </c>
      <c r="O97" s="100">
        <v>0</v>
      </c>
      <c r="P97" s="100">
        <v>0.31</v>
      </c>
      <c r="Q97" s="100">
        <v>9.92</v>
      </c>
      <c r="R97" s="6"/>
      <c r="S97" s="6"/>
      <c r="T97" s="156"/>
      <c r="U97" s="6"/>
    </row>
    <row r="98" spans="1:28" customFormat="1">
      <c r="A98" s="163" t="s">
        <v>1481</v>
      </c>
      <c r="B98" s="100">
        <v>4.2</v>
      </c>
      <c r="C98" s="100">
        <v>7.85</v>
      </c>
      <c r="D98" s="100">
        <v>3.65</v>
      </c>
      <c r="E98" s="100">
        <v>5.16</v>
      </c>
      <c r="F98" s="100">
        <v>4.54</v>
      </c>
      <c r="G98" s="100">
        <v>58.02</v>
      </c>
      <c r="H98" s="100">
        <v>14.38</v>
      </c>
      <c r="I98" s="100">
        <v>3.98</v>
      </c>
      <c r="J98" s="100">
        <v>0.17</v>
      </c>
      <c r="K98" s="100">
        <v>154.54</v>
      </c>
      <c r="L98" s="100">
        <v>30.29</v>
      </c>
      <c r="M98" s="100">
        <v>67.709999999999994</v>
      </c>
      <c r="N98" s="100">
        <v>1.6</v>
      </c>
      <c r="O98" s="100">
        <v>0</v>
      </c>
      <c r="P98" s="100">
        <v>0.31</v>
      </c>
      <c r="Q98" s="100">
        <v>9.9</v>
      </c>
      <c r="R98" s="6"/>
      <c r="S98" s="6"/>
      <c r="T98" s="156"/>
      <c r="U98" s="6"/>
    </row>
    <row r="99" spans="1:28" customFormat="1">
      <c r="A99" s="163" t="s">
        <v>1482</v>
      </c>
      <c r="B99" s="100">
        <v>4.21</v>
      </c>
      <c r="C99" s="100">
        <v>7.86</v>
      </c>
      <c r="D99" s="100">
        <v>3.65</v>
      </c>
      <c r="E99" s="100">
        <v>5.28</v>
      </c>
      <c r="F99" s="100">
        <v>5.65</v>
      </c>
      <c r="G99" s="100">
        <v>58.02</v>
      </c>
      <c r="H99" s="100">
        <v>14.38</v>
      </c>
      <c r="I99" s="100">
        <v>4.1100000000000003</v>
      </c>
      <c r="J99" s="100">
        <v>0.12</v>
      </c>
      <c r="K99" s="100">
        <v>183.39</v>
      </c>
      <c r="L99" s="100">
        <v>30.18</v>
      </c>
      <c r="M99" s="100">
        <v>68.540000000000006</v>
      </c>
      <c r="N99" s="100">
        <v>1.8</v>
      </c>
      <c r="O99" s="100">
        <v>0</v>
      </c>
      <c r="P99" s="100">
        <v>0.3</v>
      </c>
      <c r="Q99" s="100">
        <v>9.91</v>
      </c>
      <c r="R99" s="6"/>
      <c r="S99" s="6"/>
      <c r="T99" s="156"/>
      <c r="U99" s="6"/>
    </row>
    <row r="100" spans="1:28" customFormat="1">
      <c r="A100" s="163" t="s">
        <v>1483</v>
      </c>
      <c r="B100" s="100">
        <v>4.2699999999999996</v>
      </c>
      <c r="C100" s="100">
        <v>7.83</v>
      </c>
      <c r="D100" s="100">
        <v>3.57</v>
      </c>
      <c r="E100" s="100">
        <v>5.0599999999999996</v>
      </c>
      <c r="F100" s="100">
        <v>3.83</v>
      </c>
      <c r="G100" s="100">
        <v>58.02</v>
      </c>
      <c r="H100" s="100">
        <v>14.38</v>
      </c>
      <c r="I100" s="100">
        <v>4.08</v>
      </c>
      <c r="J100" s="100">
        <v>0.13</v>
      </c>
      <c r="K100" s="100">
        <v>191.1</v>
      </c>
      <c r="L100" s="100">
        <v>29.79</v>
      </c>
      <c r="M100" s="100">
        <v>69.61</v>
      </c>
      <c r="N100" s="100">
        <v>1.7</v>
      </c>
      <c r="O100" s="100">
        <v>0</v>
      </c>
      <c r="P100" s="100">
        <v>0.31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1484</v>
      </c>
      <c r="B101" s="100">
        <v>4.25</v>
      </c>
      <c r="C101" s="100">
        <v>7.85</v>
      </c>
      <c r="D101" s="100">
        <v>3.61</v>
      </c>
      <c r="E101" s="100">
        <v>4.9400000000000004</v>
      </c>
      <c r="F101" s="100">
        <v>9.8000000000000007</v>
      </c>
      <c r="G101" s="100">
        <v>54.51</v>
      </c>
      <c r="H101" s="100">
        <v>14.26</v>
      </c>
      <c r="I101" s="100">
        <v>4.09</v>
      </c>
      <c r="J101" s="100">
        <v>0.13</v>
      </c>
      <c r="K101" s="100">
        <v>178.24</v>
      </c>
      <c r="L101" s="100">
        <v>29.66</v>
      </c>
      <c r="M101" s="100">
        <v>70.66</v>
      </c>
      <c r="N101" s="100">
        <v>1.8</v>
      </c>
      <c r="O101" s="100">
        <v>0</v>
      </c>
      <c r="P101" s="100">
        <v>0.34</v>
      </c>
      <c r="Q101" s="100">
        <v>9.93</v>
      </c>
      <c r="R101" s="6"/>
      <c r="S101" s="6"/>
      <c r="T101" s="156"/>
      <c r="U101" s="6"/>
    </row>
    <row r="102" spans="1:28" customFormat="1">
      <c r="A102" s="163" t="s">
        <v>1485</v>
      </c>
      <c r="B102" s="100">
        <v>4.1900000000000004</v>
      </c>
      <c r="C102" s="100">
        <v>8.15</v>
      </c>
      <c r="D102" s="100">
        <v>3.96</v>
      </c>
      <c r="E102" s="100">
        <v>4.46</v>
      </c>
      <c r="F102" s="100">
        <v>10.64</v>
      </c>
      <c r="G102" s="100">
        <v>45.88</v>
      </c>
      <c r="H102" s="100">
        <v>14.05</v>
      </c>
      <c r="I102" s="100">
        <v>4.1399999999999997</v>
      </c>
      <c r="J102" s="100">
        <v>0.1</v>
      </c>
      <c r="K102" s="100">
        <v>212.13</v>
      </c>
      <c r="L102" s="100">
        <v>29.43</v>
      </c>
      <c r="M102" s="100">
        <v>71.78</v>
      </c>
      <c r="N102" s="100">
        <v>1.7</v>
      </c>
      <c r="O102" s="100">
        <v>0</v>
      </c>
      <c r="P102" s="100">
        <v>0.37</v>
      </c>
      <c r="Q102" s="100">
        <v>9.93</v>
      </c>
      <c r="R102" s="6"/>
      <c r="S102" s="6"/>
      <c r="T102" s="156"/>
      <c r="U102" s="6"/>
    </row>
    <row r="103" spans="1:28" customFormat="1">
      <c r="A103" s="163" t="s">
        <v>1486</v>
      </c>
      <c r="B103" s="100">
        <v>4.22</v>
      </c>
      <c r="C103" s="100">
        <v>8.15</v>
      </c>
      <c r="D103" s="100">
        <v>3.93</v>
      </c>
      <c r="E103" s="100">
        <v>4.53</v>
      </c>
      <c r="F103" s="100">
        <v>13.14</v>
      </c>
      <c r="G103" s="100">
        <v>45.88</v>
      </c>
      <c r="H103" s="100">
        <v>14.05</v>
      </c>
      <c r="I103" s="100">
        <v>4.1500000000000004</v>
      </c>
      <c r="J103" s="100">
        <v>0.11</v>
      </c>
      <c r="K103" s="100">
        <v>191.99</v>
      </c>
      <c r="L103" s="100">
        <v>29.33</v>
      </c>
      <c r="M103" s="100">
        <v>72.19</v>
      </c>
      <c r="N103" s="100">
        <v>1.7</v>
      </c>
      <c r="O103" s="100">
        <v>0</v>
      </c>
      <c r="P103" s="100">
        <v>0.35</v>
      </c>
      <c r="Q103" s="100">
        <v>9.93</v>
      </c>
      <c r="R103" s="6"/>
      <c r="S103" s="6"/>
      <c r="T103" s="156"/>
      <c r="U103" s="6"/>
    </row>
    <row r="104" spans="1:28" customFormat="1">
      <c r="A104" s="163" t="s">
        <v>1487</v>
      </c>
      <c r="B104" s="100">
        <v>4.24</v>
      </c>
      <c r="C104" s="100">
        <v>8.42</v>
      </c>
      <c r="D104" s="100">
        <v>4.18</v>
      </c>
      <c r="E104" s="100">
        <v>3.98</v>
      </c>
      <c r="F104" s="100">
        <v>13.29</v>
      </c>
      <c r="G104" s="100">
        <v>45.88</v>
      </c>
      <c r="H104" s="100">
        <v>14.05</v>
      </c>
      <c r="I104" s="100">
        <v>4.1399999999999997</v>
      </c>
      <c r="J104" s="100">
        <v>0.14000000000000001</v>
      </c>
      <c r="K104" s="100">
        <v>175.83</v>
      </c>
      <c r="L104" s="100">
        <v>29.22</v>
      </c>
      <c r="M104" s="100">
        <v>72.92</v>
      </c>
      <c r="N104" s="100">
        <v>1.7</v>
      </c>
      <c r="O104" s="100">
        <v>0</v>
      </c>
      <c r="P104" s="100">
        <v>0.34</v>
      </c>
      <c r="Q104" s="100">
        <v>9.93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3.75</v>
      </c>
      <c r="C106" s="158">
        <f>MIN(C9:C104)</f>
        <v>6.57</v>
      </c>
      <c r="D106" s="158">
        <f t="shared" ref="D106:Q106" si="0">MIN(D9:D104)</f>
        <v>2.16</v>
      </c>
      <c r="E106" s="158">
        <f t="shared" si="0"/>
        <v>2.11</v>
      </c>
      <c r="F106" s="158">
        <f t="shared" si="0"/>
        <v>2.39</v>
      </c>
      <c r="G106" s="158">
        <f t="shared" si="0"/>
        <v>9.32</v>
      </c>
      <c r="H106" s="158">
        <f t="shared" si="0"/>
        <v>3.84</v>
      </c>
      <c r="I106" s="158">
        <f t="shared" si="0"/>
        <v>2.62</v>
      </c>
      <c r="J106" s="158">
        <f t="shared" si="0"/>
        <v>0.03</v>
      </c>
      <c r="K106" s="158">
        <f t="shared" si="0"/>
        <v>-0.38</v>
      </c>
      <c r="L106" s="158">
        <f t="shared" si="0"/>
        <v>27.03</v>
      </c>
      <c r="M106" s="158">
        <f t="shared" si="0"/>
        <v>34.81</v>
      </c>
      <c r="N106" s="158">
        <f t="shared" si="0"/>
        <v>1.5</v>
      </c>
      <c r="O106" s="158">
        <f t="shared" si="0"/>
        <v>0</v>
      </c>
      <c r="P106" s="158">
        <f t="shared" si="0"/>
        <v>0.25</v>
      </c>
      <c r="Q106" s="158">
        <f t="shared" si="0"/>
        <v>9.9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6.64</v>
      </c>
      <c r="C107" s="157">
        <f t="shared" ref="C107:Q107" si="1">MAX(C9:C104)</f>
        <v>17.600000000000001</v>
      </c>
      <c r="D107" s="157">
        <f t="shared" si="1"/>
        <v>11.07</v>
      </c>
      <c r="E107" s="157">
        <f t="shared" si="1"/>
        <v>5.88</v>
      </c>
      <c r="F107" s="157">
        <f t="shared" si="1"/>
        <v>57.29</v>
      </c>
      <c r="G107" s="157">
        <f t="shared" si="1"/>
        <v>59.41</v>
      </c>
      <c r="H107" s="157">
        <f t="shared" si="1"/>
        <v>19.399999999999999</v>
      </c>
      <c r="I107" s="157">
        <f t="shared" si="1"/>
        <v>4.7300000000000004</v>
      </c>
      <c r="J107" s="157">
        <f t="shared" si="1"/>
        <v>1.0900000000000001</v>
      </c>
      <c r="K107" s="157">
        <f t="shared" si="1"/>
        <v>356.48</v>
      </c>
      <c r="L107" s="157">
        <f t="shared" si="1"/>
        <v>39.14</v>
      </c>
      <c r="M107" s="157">
        <f t="shared" si="1"/>
        <v>84.38</v>
      </c>
      <c r="N107" s="157">
        <f t="shared" si="1"/>
        <v>837.6</v>
      </c>
      <c r="O107" s="157">
        <f t="shared" si="1"/>
        <v>0</v>
      </c>
      <c r="P107" s="157">
        <f t="shared" si="1"/>
        <v>0.41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4.5176041666666666</v>
      </c>
      <c r="C108" s="158">
        <f t="shared" ref="C108:Q108" si="2">AVERAGE(C9:C104)</f>
        <v>8.8828124999999982</v>
      </c>
      <c r="D108" s="158">
        <f t="shared" si="2"/>
        <v>4.3648958333333328</v>
      </c>
      <c r="E108" s="158">
        <f t="shared" si="2"/>
        <v>4.25875</v>
      </c>
      <c r="F108" s="158">
        <f t="shared" si="2"/>
        <v>16.63208333333333</v>
      </c>
      <c r="G108" s="158">
        <f t="shared" si="2"/>
        <v>29.835208333333345</v>
      </c>
      <c r="H108" s="158">
        <f t="shared" si="2"/>
        <v>10.892291666666665</v>
      </c>
      <c r="I108" s="158">
        <f t="shared" si="2"/>
        <v>3.643854166666666</v>
      </c>
      <c r="J108" s="158">
        <f t="shared" si="2"/>
        <v>0.28729166666666678</v>
      </c>
      <c r="K108" s="158">
        <f t="shared" si="2"/>
        <v>142.22979166666664</v>
      </c>
      <c r="L108" s="158">
        <f t="shared" si="2"/>
        <v>32.348958333333336</v>
      </c>
      <c r="M108" s="158">
        <f t="shared" si="2"/>
        <v>61.198645833333295</v>
      </c>
      <c r="N108" s="158">
        <f t="shared" si="2"/>
        <v>130.25937500000001</v>
      </c>
      <c r="O108" s="158">
        <f t="shared" si="2"/>
        <v>0</v>
      </c>
      <c r="P108" s="158">
        <f t="shared" si="2"/>
        <v>0.3075</v>
      </c>
      <c r="Q108" s="158">
        <f t="shared" si="2"/>
        <v>9.9205208333333186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0.69277435346911476</v>
      </c>
      <c r="C109" s="158">
        <f t="shared" ref="C109:Q109" si="3">STDEV(C9:C104)</f>
        <v>2.5646982804487735</v>
      </c>
      <c r="D109" s="158">
        <f t="shared" si="3"/>
        <v>2.1440905297028414</v>
      </c>
      <c r="E109" s="158">
        <f t="shared" si="3"/>
        <v>0.85321219671988768</v>
      </c>
      <c r="F109" s="158">
        <f t="shared" si="3"/>
        <v>16.991021772606643</v>
      </c>
      <c r="G109" s="158">
        <f t="shared" si="3"/>
        <v>18.608617300887165</v>
      </c>
      <c r="H109" s="158">
        <f t="shared" si="3"/>
        <v>4.5247395921967746</v>
      </c>
      <c r="I109" s="158">
        <f t="shared" si="3"/>
        <v>0.4000246565865701</v>
      </c>
      <c r="J109" s="158">
        <f t="shared" si="3"/>
        <v>0.19864530233647829</v>
      </c>
      <c r="K109" s="158">
        <f t="shared" si="3"/>
        <v>79.102310884857019</v>
      </c>
      <c r="L109" s="158">
        <f t="shared" si="3"/>
        <v>3.5156694291539963</v>
      </c>
      <c r="M109" s="158">
        <f t="shared" si="3"/>
        <v>13.655258683960653</v>
      </c>
      <c r="N109" s="158">
        <f t="shared" si="3"/>
        <v>202.03725429165408</v>
      </c>
      <c r="O109" s="158">
        <f t="shared" si="3"/>
        <v>0</v>
      </c>
      <c r="P109" s="158">
        <f t="shared" si="3"/>
        <v>3.0296777664334286E-2</v>
      </c>
      <c r="Q109" s="158">
        <f t="shared" si="3"/>
        <v>1.0796665339637766E-2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85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85" t="s">
        <v>2</v>
      </c>
      <c r="B2" s="129" t="str">
        <f>$A$9</f>
        <v>14/06/2025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85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85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85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85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85" t="s">
        <v>22</v>
      </c>
      <c r="B7" s="164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85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63" t="s">
        <v>1488</v>
      </c>
      <c r="B9" s="100">
        <v>4.1900000000000004</v>
      </c>
      <c r="C9" s="100">
        <v>9.59</v>
      </c>
      <c r="D9" s="100">
        <v>5.4</v>
      </c>
      <c r="E9" s="100">
        <v>3.54</v>
      </c>
      <c r="F9" s="100">
        <v>12.3</v>
      </c>
      <c r="G9" s="100">
        <v>44.51</v>
      </c>
      <c r="H9" s="100">
        <v>13.23</v>
      </c>
      <c r="I9" s="100">
        <v>4.17</v>
      </c>
      <c r="J9" s="100">
        <v>0.16</v>
      </c>
      <c r="K9" s="100">
        <v>193.78</v>
      </c>
      <c r="L9" s="100">
        <v>29.22</v>
      </c>
      <c r="M9" s="100">
        <v>73.81</v>
      </c>
      <c r="N9" s="100">
        <v>1.7</v>
      </c>
      <c r="O9" s="100">
        <v>0</v>
      </c>
      <c r="P9" s="100">
        <v>0.34</v>
      </c>
      <c r="Q9" s="100">
        <v>9.94</v>
      </c>
      <c r="R9" s="6"/>
      <c r="S9" s="6"/>
      <c r="T9" s="156"/>
      <c r="U9" s="6"/>
    </row>
    <row r="10" spans="1:21" customFormat="1">
      <c r="A10" s="163" t="s">
        <v>1489</v>
      </c>
      <c r="B10" s="100">
        <v>4.2699999999999996</v>
      </c>
      <c r="C10" s="100">
        <v>9.58</v>
      </c>
      <c r="D10" s="100">
        <v>5.3</v>
      </c>
      <c r="E10" s="100">
        <v>3.57</v>
      </c>
      <c r="F10" s="100">
        <v>7.07</v>
      </c>
      <c r="G10" s="100">
        <v>41.17</v>
      </c>
      <c r="H10" s="100">
        <v>11.88</v>
      </c>
      <c r="I10" s="100">
        <v>4.16</v>
      </c>
      <c r="J10" s="100">
        <v>0.15</v>
      </c>
      <c r="K10" s="100">
        <v>167.91</v>
      </c>
      <c r="L10" s="100">
        <v>29.14</v>
      </c>
      <c r="M10" s="100">
        <v>74.86</v>
      </c>
      <c r="N10" s="100">
        <v>1.7</v>
      </c>
      <c r="O10" s="100">
        <v>0</v>
      </c>
      <c r="P10" s="100">
        <v>0.34</v>
      </c>
      <c r="Q10" s="100">
        <v>9.93</v>
      </c>
      <c r="R10" s="6"/>
      <c r="S10" s="6"/>
      <c r="T10" s="156"/>
      <c r="U10" s="6"/>
    </row>
    <row r="11" spans="1:21" customFormat="1">
      <c r="A11" s="163" t="s">
        <v>1490</v>
      </c>
      <c r="B11" s="100">
        <v>4.3899999999999997</v>
      </c>
      <c r="C11" s="100">
        <v>9.3800000000000008</v>
      </c>
      <c r="D11" s="100">
        <v>4.99</v>
      </c>
      <c r="E11" s="100">
        <v>3.92</v>
      </c>
      <c r="F11" s="100">
        <v>5.98</v>
      </c>
      <c r="G11" s="100">
        <v>41.17</v>
      </c>
      <c r="H11" s="100">
        <v>11.88</v>
      </c>
      <c r="I11" s="100">
        <v>4.2</v>
      </c>
      <c r="J11" s="100">
        <v>0.12</v>
      </c>
      <c r="K11" s="100">
        <v>193.12</v>
      </c>
      <c r="L11" s="100">
        <v>29.11</v>
      </c>
      <c r="M11" s="100">
        <v>75.81</v>
      </c>
      <c r="N11" s="100">
        <v>1.9</v>
      </c>
      <c r="O11" s="100">
        <v>0</v>
      </c>
      <c r="P11" s="100">
        <v>0.36</v>
      </c>
      <c r="Q11" s="100">
        <v>9.94</v>
      </c>
      <c r="R11" s="6"/>
      <c r="S11" s="6"/>
      <c r="T11" s="156"/>
      <c r="U11" s="6"/>
    </row>
    <row r="12" spans="1:21" customFormat="1">
      <c r="A12" s="163" t="s">
        <v>1491</v>
      </c>
      <c r="B12" s="100">
        <v>4.4000000000000004</v>
      </c>
      <c r="C12" s="100">
        <v>10.08</v>
      </c>
      <c r="D12" s="100">
        <v>5.68</v>
      </c>
      <c r="E12" s="100">
        <v>4.03</v>
      </c>
      <c r="F12" s="100">
        <v>7.56</v>
      </c>
      <c r="G12" s="100">
        <v>41.17</v>
      </c>
      <c r="H12" s="100">
        <v>11.88</v>
      </c>
      <c r="I12" s="100">
        <v>4.4000000000000004</v>
      </c>
      <c r="J12" s="100">
        <v>0.13</v>
      </c>
      <c r="K12" s="100">
        <v>193.43</v>
      </c>
      <c r="L12" s="100">
        <v>29.12</v>
      </c>
      <c r="M12" s="100">
        <v>74.8</v>
      </c>
      <c r="N12" s="100">
        <v>1.9</v>
      </c>
      <c r="O12" s="100">
        <v>0</v>
      </c>
      <c r="P12" s="100">
        <v>0.35</v>
      </c>
      <c r="Q12" s="100">
        <v>9.93</v>
      </c>
      <c r="R12" s="6"/>
      <c r="S12" s="6"/>
      <c r="T12" s="156"/>
      <c r="U12" s="6"/>
    </row>
    <row r="13" spans="1:21" customFormat="1">
      <c r="A13" s="163" t="s">
        <v>1492</v>
      </c>
      <c r="B13" s="100">
        <v>4.43</v>
      </c>
      <c r="C13" s="100">
        <v>10.18</v>
      </c>
      <c r="D13" s="100">
        <v>5.75</v>
      </c>
      <c r="E13" s="100">
        <v>3.53</v>
      </c>
      <c r="F13" s="100">
        <v>8.91</v>
      </c>
      <c r="G13" s="100">
        <v>43.54</v>
      </c>
      <c r="H13" s="100">
        <v>13.18</v>
      </c>
      <c r="I13" s="100">
        <v>4.41</v>
      </c>
      <c r="J13" s="100">
        <v>0.18</v>
      </c>
      <c r="K13" s="100">
        <v>159.6</v>
      </c>
      <c r="L13" s="100">
        <v>29.14</v>
      </c>
      <c r="M13" s="100">
        <v>75.260000000000005</v>
      </c>
      <c r="N13" s="100">
        <v>1.7</v>
      </c>
      <c r="O13" s="100">
        <v>0</v>
      </c>
      <c r="P13" s="100">
        <v>0.34</v>
      </c>
      <c r="Q13" s="100">
        <v>9.93</v>
      </c>
      <c r="R13" s="6"/>
      <c r="S13" s="6"/>
      <c r="T13" s="156"/>
      <c r="U13" s="6"/>
    </row>
    <row r="14" spans="1:21" customFormat="1">
      <c r="A14" s="163" t="s">
        <v>1493</v>
      </c>
      <c r="B14" s="100">
        <v>4.6100000000000003</v>
      </c>
      <c r="C14" s="100">
        <v>9.1999999999999993</v>
      </c>
      <c r="D14" s="100">
        <v>4.5999999999999996</v>
      </c>
      <c r="E14" s="100">
        <v>3.86</v>
      </c>
      <c r="F14" s="100">
        <v>6.7</v>
      </c>
      <c r="G14" s="100">
        <v>49.7</v>
      </c>
      <c r="H14" s="100">
        <v>15.37</v>
      </c>
      <c r="I14" s="100">
        <v>4.37</v>
      </c>
      <c r="J14" s="100">
        <v>0.15</v>
      </c>
      <c r="K14" s="100">
        <v>182.92</v>
      </c>
      <c r="L14" s="100">
        <v>29.13</v>
      </c>
      <c r="M14" s="100">
        <v>75.52</v>
      </c>
      <c r="N14" s="100">
        <v>2</v>
      </c>
      <c r="O14" s="100">
        <v>0</v>
      </c>
      <c r="P14" s="100">
        <v>0.36</v>
      </c>
      <c r="Q14" s="100">
        <v>9.92</v>
      </c>
      <c r="R14" s="6"/>
      <c r="S14" s="6"/>
      <c r="T14" s="156"/>
      <c r="U14" s="6"/>
    </row>
    <row r="15" spans="1:21" customFormat="1">
      <c r="A15" s="163" t="s">
        <v>1494</v>
      </c>
      <c r="B15" s="100">
        <v>4.58</v>
      </c>
      <c r="C15" s="100">
        <v>9.02</v>
      </c>
      <c r="D15" s="100">
        <v>4.4400000000000004</v>
      </c>
      <c r="E15" s="100">
        <v>3.95</v>
      </c>
      <c r="F15" s="100">
        <v>7.62</v>
      </c>
      <c r="G15" s="100">
        <v>49.7</v>
      </c>
      <c r="H15" s="100">
        <v>15.37</v>
      </c>
      <c r="I15" s="100">
        <v>4.3600000000000003</v>
      </c>
      <c r="J15" s="100">
        <v>0.13</v>
      </c>
      <c r="K15" s="100">
        <v>218.35</v>
      </c>
      <c r="L15" s="100">
        <v>29.2</v>
      </c>
      <c r="M15" s="100">
        <v>75.16</v>
      </c>
      <c r="N15" s="100">
        <v>1.8</v>
      </c>
      <c r="O15" s="100">
        <v>0</v>
      </c>
      <c r="P15" s="100">
        <v>0.38</v>
      </c>
      <c r="Q15" s="100">
        <v>9.93</v>
      </c>
      <c r="R15" s="6"/>
      <c r="S15" s="6"/>
      <c r="T15" s="156"/>
      <c r="U15" s="6"/>
    </row>
    <row r="16" spans="1:21" customFormat="1">
      <c r="A16" s="163" t="s">
        <v>1495</v>
      </c>
      <c r="B16" s="100">
        <v>4.59</v>
      </c>
      <c r="C16" s="100">
        <v>8.7799999999999994</v>
      </c>
      <c r="D16" s="100">
        <v>4.1900000000000004</v>
      </c>
      <c r="E16" s="100">
        <v>3.67</v>
      </c>
      <c r="F16" s="100">
        <v>9.44</v>
      </c>
      <c r="G16" s="100">
        <v>49.7</v>
      </c>
      <c r="H16" s="100">
        <v>15.37</v>
      </c>
      <c r="I16" s="100">
        <v>4.6100000000000003</v>
      </c>
      <c r="J16" s="100">
        <v>0.15</v>
      </c>
      <c r="K16" s="100">
        <v>213.88</v>
      </c>
      <c r="L16" s="100">
        <v>29.24</v>
      </c>
      <c r="M16" s="100">
        <v>74.819999999999993</v>
      </c>
      <c r="N16" s="100">
        <v>1.9</v>
      </c>
      <c r="O16" s="100">
        <v>0</v>
      </c>
      <c r="P16" s="100">
        <v>0.37</v>
      </c>
      <c r="Q16" s="100">
        <v>9.93</v>
      </c>
      <c r="R16" s="6"/>
      <c r="S16" s="6"/>
      <c r="T16" s="156"/>
      <c r="U16" s="6"/>
    </row>
    <row r="17" spans="1:21" customFormat="1">
      <c r="A17" s="163" t="s">
        <v>1496</v>
      </c>
      <c r="B17" s="100">
        <v>4.55</v>
      </c>
      <c r="C17" s="100">
        <v>8.76</v>
      </c>
      <c r="D17" s="100">
        <v>4.2</v>
      </c>
      <c r="E17" s="100">
        <v>3.25</v>
      </c>
      <c r="F17" s="100">
        <v>10.28</v>
      </c>
      <c r="G17" s="100">
        <v>46.86</v>
      </c>
      <c r="H17" s="100">
        <v>16.82</v>
      </c>
      <c r="I17" s="100">
        <v>4.6100000000000003</v>
      </c>
      <c r="J17" s="100">
        <v>0.19</v>
      </c>
      <c r="K17" s="100">
        <v>170.96</v>
      </c>
      <c r="L17" s="100">
        <v>29.16</v>
      </c>
      <c r="M17" s="100">
        <v>75.28</v>
      </c>
      <c r="N17" s="100">
        <v>2</v>
      </c>
      <c r="O17" s="100">
        <v>0</v>
      </c>
      <c r="P17" s="100">
        <v>0.34</v>
      </c>
      <c r="Q17" s="100">
        <v>9.94</v>
      </c>
      <c r="R17" s="6"/>
      <c r="S17" s="6"/>
      <c r="T17" s="156"/>
      <c r="U17" s="6"/>
    </row>
    <row r="18" spans="1:21" customFormat="1">
      <c r="A18" s="163" t="s">
        <v>1497</v>
      </c>
      <c r="B18" s="100">
        <v>4.74</v>
      </c>
      <c r="C18" s="100">
        <v>8.44</v>
      </c>
      <c r="D18" s="100">
        <v>3.7</v>
      </c>
      <c r="E18" s="100">
        <v>4.43</v>
      </c>
      <c r="F18" s="100">
        <v>5.63</v>
      </c>
      <c r="G18" s="100">
        <v>39.89</v>
      </c>
      <c r="H18" s="100">
        <v>19.260000000000002</v>
      </c>
      <c r="I18" s="100">
        <v>4.53</v>
      </c>
      <c r="J18" s="100">
        <v>0.12</v>
      </c>
      <c r="K18" s="100">
        <v>206.14</v>
      </c>
      <c r="L18" s="100">
        <v>29.02</v>
      </c>
      <c r="M18" s="100">
        <v>76.25</v>
      </c>
      <c r="N18" s="100">
        <v>1.9</v>
      </c>
      <c r="O18" s="100">
        <v>0</v>
      </c>
      <c r="P18" s="100">
        <v>0.36</v>
      </c>
      <c r="Q18" s="100">
        <v>9.94</v>
      </c>
      <c r="R18" s="6"/>
      <c r="S18" s="6"/>
      <c r="T18" s="156"/>
      <c r="U18" s="6"/>
    </row>
    <row r="19" spans="1:21" customFormat="1">
      <c r="A19" s="163" t="s">
        <v>1498</v>
      </c>
      <c r="B19" s="100">
        <v>4.6900000000000004</v>
      </c>
      <c r="C19" s="100">
        <v>8.8699999999999992</v>
      </c>
      <c r="D19" s="100">
        <v>4.18</v>
      </c>
      <c r="E19" s="100">
        <v>4.2300000000000004</v>
      </c>
      <c r="F19" s="100">
        <v>7.02</v>
      </c>
      <c r="G19" s="100">
        <v>39.89</v>
      </c>
      <c r="H19" s="100">
        <v>19.260000000000002</v>
      </c>
      <c r="I19" s="100">
        <v>4.46</v>
      </c>
      <c r="J19" s="100">
        <v>0.19</v>
      </c>
      <c r="K19" s="100">
        <v>180.13</v>
      </c>
      <c r="L19" s="100">
        <v>28.85</v>
      </c>
      <c r="M19" s="100">
        <v>77.209999999999994</v>
      </c>
      <c r="N19" s="100">
        <v>2</v>
      </c>
      <c r="O19" s="100">
        <v>0</v>
      </c>
      <c r="P19" s="100">
        <v>0.37</v>
      </c>
      <c r="Q19" s="100">
        <v>9.92</v>
      </c>
      <c r="R19" s="6"/>
      <c r="S19" s="6"/>
      <c r="T19" s="156"/>
      <c r="U19" s="6"/>
    </row>
    <row r="20" spans="1:21" customFormat="1">
      <c r="A20" s="163" t="s">
        <v>1499</v>
      </c>
      <c r="B20" s="100">
        <v>4.6500000000000004</v>
      </c>
      <c r="C20" s="100">
        <v>9.14</v>
      </c>
      <c r="D20" s="100">
        <v>4.5</v>
      </c>
      <c r="E20" s="100">
        <v>4.28</v>
      </c>
      <c r="F20" s="100">
        <v>7.67</v>
      </c>
      <c r="G20" s="100">
        <v>39.89</v>
      </c>
      <c r="H20" s="100">
        <v>19.260000000000002</v>
      </c>
      <c r="I20" s="100">
        <v>4.68</v>
      </c>
      <c r="J20" s="100">
        <v>0.16</v>
      </c>
      <c r="K20" s="100">
        <v>172.45</v>
      </c>
      <c r="L20" s="100">
        <v>28.61</v>
      </c>
      <c r="M20" s="100">
        <v>78.86</v>
      </c>
      <c r="N20" s="100">
        <v>1.9</v>
      </c>
      <c r="O20" s="100">
        <v>0</v>
      </c>
      <c r="P20" s="100">
        <v>0.36</v>
      </c>
      <c r="Q20" s="100">
        <v>9.93</v>
      </c>
      <c r="R20" s="6"/>
      <c r="S20" s="6"/>
      <c r="T20" s="156"/>
      <c r="U20" s="6"/>
    </row>
    <row r="21" spans="1:21" customFormat="1">
      <c r="A21" s="163" t="s">
        <v>1500</v>
      </c>
      <c r="B21" s="100">
        <v>4.63</v>
      </c>
      <c r="C21" s="100">
        <v>9.41</v>
      </c>
      <c r="D21" s="100">
        <v>4.78</v>
      </c>
      <c r="E21" s="100">
        <v>4.12</v>
      </c>
      <c r="F21" s="100">
        <v>7.29</v>
      </c>
      <c r="G21" s="100">
        <v>41.99</v>
      </c>
      <c r="H21" s="100">
        <v>17.690000000000001</v>
      </c>
      <c r="I21" s="100">
        <v>4.58</v>
      </c>
      <c r="J21" s="100">
        <v>0.13</v>
      </c>
      <c r="K21" s="100">
        <v>173.61</v>
      </c>
      <c r="L21" s="100">
        <v>28.51</v>
      </c>
      <c r="M21" s="100">
        <v>79.36</v>
      </c>
      <c r="N21" s="100">
        <v>1.9</v>
      </c>
      <c r="O21" s="100">
        <v>0</v>
      </c>
      <c r="P21" s="100">
        <v>0.35</v>
      </c>
      <c r="Q21" s="100">
        <v>9.94</v>
      </c>
      <c r="R21" s="6"/>
      <c r="S21" s="6"/>
      <c r="T21" s="156"/>
      <c r="U21" s="6"/>
    </row>
    <row r="22" spans="1:21" customFormat="1">
      <c r="A22" s="163" t="s">
        <v>1501</v>
      </c>
      <c r="B22" s="100">
        <v>4.9000000000000004</v>
      </c>
      <c r="C22" s="100">
        <v>8.93</v>
      </c>
      <c r="D22" s="100">
        <v>4.04</v>
      </c>
      <c r="E22" s="100">
        <v>4.51</v>
      </c>
      <c r="F22" s="100">
        <v>5.38</v>
      </c>
      <c r="G22" s="100">
        <v>47.16</v>
      </c>
      <c r="H22" s="100">
        <v>15.06</v>
      </c>
      <c r="I22" s="100">
        <v>4.57</v>
      </c>
      <c r="J22" s="100">
        <v>0.19</v>
      </c>
      <c r="K22" s="100">
        <v>180.68</v>
      </c>
      <c r="L22" s="100">
        <v>28.43</v>
      </c>
      <c r="M22" s="100">
        <v>79.849999999999994</v>
      </c>
      <c r="N22" s="100">
        <v>1.8</v>
      </c>
      <c r="O22" s="100">
        <v>0</v>
      </c>
      <c r="P22" s="100">
        <v>0.38</v>
      </c>
      <c r="Q22" s="100">
        <v>9.93</v>
      </c>
      <c r="R22" s="6"/>
      <c r="S22" s="6"/>
      <c r="T22" s="156"/>
      <c r="U22" s="6"/>
    </row>
    <row r="23" spans="1:21" customFormat="1">
      <c r="A23" s="163" t="s">
        <v>1502</v>
      </c>
      <c r="B23" s="100">
        <v>4.87</v>
      </c>
      <c r="C23" s="100">
        <v>9.35</v>
      </c>
      <c r="D23" s="100">
        <v>4.47</v>
      </c>
      <c r="E23" s="100">
        <v>4.46</v>
      </c>
      <c r="F23" s="100">
        <v>5</v>
      </c>
      <c r="G23" s="100">
        <v>47.16</v>
      </c>
      <c r="H23" s="100">
        <v>15.06</v>
      </c>
      <c r="I23" s="100">
        <v>4.62</v>
      </c>
      <c r="J23" s="100">
        <v>0.1</v>
      </c>
      <c r="K23" s="100">
        <v>185.23</v>
      </c>
      <c r="L23" s="100">
        <v>28.31</v>
      </c>
      <c r="M23" s="100">
        <v>81.010000000000005</v>
      </c>
      <c r="N23" s="100">
        <v>1.8</v>
      </c>
      <c r="O23" s="100">
        <v>0</v>
      </c>
      <c r="P23" s="100">
        <v>0.38</v>
      </c>
      <c r="Q23" s="100">
        <v>9.93</v>
      </c>
      <c r="R23" s="6"/>
      <c r="S23" s="6"/>
      <c r="T23" s="156"/>
      <c r="U23" s="6"/>
    </row>
    <row r="24" spans="1:21" customFormat="1">
      <c r="A24" s="163" t="s">
        <v>1503</v>
      </c>
      <c r="B24" s="100">
        <v>5.14</v>
      </c>
      <c r="C24" s="100">
        <v>9.6999999999999993</v>
      </c>
      <c r="D24" s="100">
        <v>4.57</v>
      </c>
      <c r="E24" s="100">
        <v>4.75</v>
      </c>
      <c r="F24" s="100">
        <v>3.61</v>
      </c>
      <c r="G24" s="100">
        <v>47.16</v>
      </c>
      <c r="H24" s="100">
        <v>15.06</v>
      </c>
      <c r="I24" s="100">
        <v>4.87</v>
      </c>
      <c r="J24" s="100">
        <v>0.16</v>
      </c>
      <c r="K24" s="100">
        <v>186.56</v>
      </c>
      <c r="L24" s="100">
        <v>28.23</v>
      </c>
      <c r="M24" s="100">
        <v>81.459999999999994</v>
      </c>
      <c r="N24" s="100">
        <v>1.8</v>
      </c>
      <c r="O24" s="100">
        <v>0</v>
      </c>
      <c r="P24" s="100">
        <v>0.35</v>
      </c>
      <c r="Q24" s="100">
        <v>9.92</v>
      </c>
      <c r="R24" s="6"/>
      <c r="S24" s="6"/>
      <c r="T24" s="156"/>
      <c r="U24" s="6"/>
    </row>
    <row r="25" spans="1:21" customFormat="1">
      <c r="A25" s="163" t="s">
        <v>1504</v>
      </c>
      <c r="B25" s="100">
        <v>5.27</v>
      </c>
      <c r="C25" s="100">
        <v>9.94</v>
      </c>
      <c r="D25" s="100">
        <v>4.67</v>
      </c>
      <c r="E25" s="100">
        <v>5.18</v>
      </c>
      <c r="F25" s="100">
        <v>2.37</v>
      </c>
      <c r="G25" s="100">
        <v>46.56</v>
      </c>
      <c r="H25" s="100">
        <v>15.22</v>
      </c>
      <c r="I25" s="100">
        <v>4.75</v>
      </c>
      <c r="J25" s="100">
        <v>0.11</v>
      </c>
      <c r="K25" s="100">
        <v>169.11</v>
      </c>
      <c r="L25" s="100">
        <v>28.27</v>
      </c>
      <c r="M25" s="100">
        <v>81.09</v>
      </c>
      <c r="N25" s="100">
        <v>1.7</v>
      </c>
      <c r="O25" s="100">
        <v>0</v>
      </c>
      <c r="P25" s="100">
        <v>0.33</v>
      </c>
      <c r="Q25" s="100">
        <v>9.92</v>
      </c>
      <c r="R25" s="6"/>
      <c r="S25" s="6"/>
      <c r="T25" s="156"/>
      <c r="U25" s="6"/>
    </row>
    <row r="26" spans="1:21" customFormat="1">
      <c r="A26" s="163" t="s">
        <v>1505</v>
      </c>
      <c r="B26" s="100">
        <v>5.28</v>
      </c>
      <c r="C26" s="100">
        <v>10.210000000000001</v>
      </c>
      <c r="D26" s="100">
        <v>4.93</v>
      </c>
      <c r="E26" s="100">
        <v>5.33</v>
      </c>
      <c r="F26" s="100">
        <v>2.42</v>
      </c>
      <c r="G26" s="100">
        <v>45.08</v>
      </c>
      <c r="H26" s="100">
        <v>15.9</v>
      </c>
      <c r="I26" s="100">
        <v>4.93</v>
      </c>
      <c r="J26" s="100">
        <v>0.22</v>
      </c>
      <c r="K26" s="100">
        <v>166.84</v>
      </c>
      <c r="L26" s="100">
        <v>28.38</v>
      </c>
      <c r="M26" s="100">
        <v>81.11</v>
      </c>
      <c r="N26" s="100">
        <v>1.6</v>
      </c>
      <c r="O26" s="100">
        <v>0</v>
      </c>
      <c r="P26" s="100">
        <v>0.34</v>
      </c>
      <c r="Q26" s="100">
        <v>9.93</v>
      </c>
      <c r="R26" s="6"/>
      <c r="S26" s="6"/>
      <c r="T26" s="156"/>
      <c r="U26" s="6"/>
    </row>
    <row r="27" spans="1:21" customFormat="1">
      <c r="A27" s="163" t="s">
        <v>1506</v>
      </c>
      <c r="B27" s="100">
        <v>5.31</v>
      </c>
      <c r="C27" s="100">
        <v>10</v>
      </c>
      <c r="D27" s="100">
        <v>4.6900000000000004</v>
      </c>
      <c r="E27" s="100">
        <v>5.37</v>
      </c>
      <c r="F27" s="100">
        <v>2.46</v>
      </c>
      <c r="G27" s="100">
        <v>45.08</v>
      </c>
      <c r="H27" s="100">
        <v>15.9</v>
      </c>
      <c r="I27" s="100">
        <v>4.8899999999999997</v>
      </c>
      <c r="J27" s="100">
        <v>0.21</v>
      </c>
      <c r="K27" s="100">
        <v>175.46</v>
      </c>
      <c r="L27" s="100">
        <v>28.35</v>
      </c>
      <c r="M27" s="100">
        <v>81.790000000000006</v>
      </c>
      <c r="N27" s="100">
        <v>1.8</v>
      </c>
      <c r="O27" s="100">
        <v>0</v>
      </c>
      <c r="P27" s="100">
        <v>0.34</v>
      </c>
      <c r="Q27" s="100">
        <v>9.93</v>
      </c>
      <c r="R27" s="6"/>
      <c r="S27" s="6"/>
      <c r="T27" s="156"/>
      <c r="U27" s="6"/>
    </row>
    <row r="28" spans="1:21" customFormat="1">
      <c r="A28" s="163" t="s">
        <v>1507</v>
      </c>
      <c r="B28" s="100">
        <v>5.31</v>
      </c>
      <c r="C28" s="100">
        <v>9.7100000000000009</v>
      </c>
      <c r="D28" s="100">
        <v>4.4000000000000004</v>
      </c>
      <c r="E28" s="100">
        <v>5.48</v>
      </c>
      <c r="F28" s="100">
        <v>2.72</v>
      </c>
      <c r="G28" s="100">
        <v>45.08</v>
      </c>
      <c r="H28" s="100">
        <v>15.9</v>
      </c>
      <c r="I28" s="100">
        <v>4.9000000000000004</v>
      </c>
      <c r="J28" s="100">
        <v>0.18</v>
      </c>
      <c r="K28" s="100">
        <v>166.29</v>
      </c>
      <c r="L28" s="100">
        <v>28.44</v>
      </c>
      <c r="M28" s="100">
        <v>80.8</v>
      </c>
      <c r="N28" s="100">
        <v>1.9</v>
      </c>
      <c r="O28" s="100">
        <v>0</v>
      </c>
      <c r="P28" s="100">
        <v>0.34</v>
      </c>
      <c r="Q28" s="100">
        <v>9.93</v>
      </c>
      <c r="R28" s="6"/>
      <c r="S28" s="6"/>
      <c r="T28" s="156"/>
      <c r="U28" s="6"/>
    </row>
    <row r="29" spans="1:21" customFormat="1">
      <c r="A29" s="163" t="s">
        <v>1508</v>
      </c>
      <c r="B29" s="100">
        <v>5.31</v>
      </c>
      <c r="C29" s="100">
        <v>9.5399999999999991</v>
      </c>
      <c r="D29" s="100">
        <v>4.2300000000000004</v>
      </c>
      <c r="E29" s="100">
        <v>5.81</v>
      </c>
      <c r="F29" s="100">
        <v>2.67</v>
      </c>
      <c r="G29" s="100">
        <v>43.75</v>
      </c>
      <c r="H29" s="100">
        <v>14.36</v>
      </c>
      <c r="I29" s="100">
        <v>4.9000000000000004</v>
      </c>
      <c r="J29" s="100">
        <v>0.16</v>
      </c>
      <c r="K29" s="100">
        <v>181.76</v>
      </c>
      <c r="L29" s="100">
        <v>28.37</v>
      </c>
      <c r="M29" s="100">
        <v>81.09</v>
      </c>
      <c r="N29" s="100">
        <v>2.1</v>
      </c>
      <c r="O29" s="100">
        <v>0</v>
      </c>
      <c r="P29" s="100">
        <v>0.33</v>
      </c>
      <c r="Q29" s="100">
        <v>9.92</v>
      </c>
      <c r="R29" s="6"/>
      <c r="S29" s="6"/>
      <c r="T29" s="156"/>
      <c r="U29" s="6"/>
    </row>
    <row r="30" spans="1:21" customFormat="1">
      <c r="A30" s="163" t="s">
        <v>1509</v>
      </c>
      <c r="B30" s="100">
        <v>5.3</v>
      </c>
      <c r="C30" s="100">
        <v>9.6300000000000008</v>
      </c>
      <c r="D30" s="100">
        <v>4.33</v>
      </c>
      <c r="E30" s="100">
        <v>5.82</v>
      </c>
      <c r="F30" s="100">
        <v>2.27</v>
      </c>
      <c r="G30" s="100">
        <v>40.479999999999997</v>
      </c>
      <c r="H30" s="100">
        <v>11.82</v>
      </c>
      <c r="I30" s="100">
        <v>4.91</v>
      </c>
      <c r="J30" s="100">
        <v>0.19</v>
      </c>
      <c r="K30" s="100">
        <v>209.47</v>
      </c>
      <c r="L30" s="100">
        <v>28.3</v>
      </c>
      <c r="M30" s="100">
        <v>80.790000000000006</v>
      </c>
      <c r="N30" s="100">
        <v>3.7</v>
      </c>
      <c r="O30" s="100">
        <v>0</v>
      </c>
      <c r="P30" s="100">
        <v>0.34</v>
      </c>
      <c r="Q30" s="100">
        <v>9.93</v>
      </c>
      <c r="R30" s="6"/>
      <c r="S30" s="6"/>
      <c r="T30" s="156"/>
      <c r="U30" s="6"/>
    </row>
    <row r="31" spans="1:21" customFormat="1">
      <c r="A31" s="163" t="s">
        <v>1510</v>
      </c>
      <c r="B31" s="100">
        <v>5.25</v>
      </c>
      <c r="C31" s="100">
        <v>9.48</v>
      </c>
      <c r="D31" s="100">
        <v>4.2300000000000004</v>
      </c>
      <c r="E31" s="100">
        <v>5.78</v>
      </c>
      <c r="F31" s="100">
        <v>2.4300000000000002</v>
      </c>
      <c r="G31" s="100">
        <v>40.479999999999997</v>
      </c>
      <c r="H31" s="100">
        <v>11.82</v>
      </c>
      <c r="I31" s="100">
        <v>4.79</v>
      </c>
      <c r="J31" s="100">
        <v>0.16</v>
      </c>
      <c r="K31" s="100">
        <v>186.07</v>
      </c>
      <c r="L31" s="100">
        <v>28.3</v>
      </c>
      <c r="M31" s="100">
        <v>80.760000000000005</v>
      </c>
      <c r="N31" s="100">
        <v>8.6999999999999993</v>
      </c>
      <c r="O31" s="100">
        <v>0</v>
      </c>
      <c r="P31" s="100">
        <v>0.35</v>
      </c>
      <c r="Q31" s="100">
        <v>9.93</v>
      </c>
      <c r="R31" s="6"/>
      <c r="S31" s="6"/>
      <c r="T31" s="156"/>
      <c r="U31" s="6"/>
    </row>
    <row r="32" spans="1:21" customFormat="1">
      <c r="A32" s="163" t="s">
        <v>1511</v>
      </c>
      <c r="B32" s="100">
        <v>5.23</v>
      </c>
      <c r="C32" s="100">
        <v>9.1300000000000008</v>
      </c>
      <c r="D32" s="100">
        <v>3.89</v>
      </c>
      <c r="E32" s="100">
        <v>6.08</v>
      </c>
      <c r="F32" s="100">
        <v>3.05</v>
      </c>
      <c r="G32" s="100">
        <v>40.479999999999997</v>
      </c>
      <c r="H32" s="100">
        <v>11.82</v>
      </c>
      <c r="I32" s="100">
        <v>4.79</v>
      </c>
      <c r="J32" s="100">
        <v>0.15</v>
      </c>
      <c r="K32" s="100">
        <v>216.31</v>
      </c>
      <c r="L32" s="100">
        <v>28.31</v>
      </c>
      <c r="M32" s="100">
        <v>81.33</v>
      </c>
      <c r="N32" s="100">
        <v>22</v>
      </c>
      <c r="O32" s="100">
        <v>0</v>
      </c>
      <c r="P32" s="100">
        <v>0.34</v>
      </c>
      <c r="Q32" s="100">
        <v>9.94</v>
      </c>
      <c r="R32" s="6"/>
      <c r="S32" s="6"/>
      <c r="T32" s="156"/>
      <c r="U32" s="6"/>
    </row>
    <row r="33" spans="1:21" customFormat="1">
      <c r="A33" s="163" t="s">
        <v>1512</v>
      </c>
      <c r="B33" s="100">
        <v>5.2</v>
      </c>
      <c r="C33" s="100">
        <v>9.1199999999999992</v>
      </c>
      <c r="D33" s="100">
        <v>3.92</v>
      </c>
      <c r="E33" s="100">
        <v>6.1</v>
      </c>
      <c r="F33" s="100">
        <v>3.1</v>
      </c>
      <c r="G33" s="100">
        <v>40.619999999999997</v>
      </c>
      <c r="H33" s="100">
        <v>12.91</v>
      </c>
      <c r="I33" s="100">
        <v>4.82</v>
      </c>
      <c r="J33" s="100">
        <v>0.22</v>
      </c>
      <c r="K33" s="100">
        <v>244.39</v>
      </c>
      <c r="L33" s="100">
        <v>28.67</v>
      </c>
      <c r="M33" s="100">
        <v>78.95</v>
      </c>
      <c r="N33" s="100">
        <v>35.200000000000003</v>
      </c>
      <c r="O33" s="100">
        <v>0</v>
      </c>
      <c r="P33" s="100">
        <v>0.33</v>
      </c>
      <c r="Q33" s="100">
        <v>9.92</v>
      </c>
      <c r="R33" s="6"/>
      <c r="S33" s="6"/>
      <c r="T33" s="156"/>
      <c r="U33" s="6"/>
    </row>
    <row r="34" spans="1:21" customFormat="1">
      <c r="A34" s="163" t="s">
        <v>1513</v>
      </c>
      <c r="B34" s="100">
        <v>5.14</v>
      </c>
      <c r="C34" s="100">
        <v>9.15</v>
      </c>
      <c r="D34" s="100">
        <v>4.01</v>
      </c>
      <c r="E34" s="100">
        <v>6.19</v>
      </c>
      <c r="F34" s="100">
        <v>2.64</v>
      </c>
      <c r="G34" s="100">
        <v>40.97</v>
      </c>
      <c r="H34" s="100">
        <v>14.69</v>
      </c>
      <c r="I34" s="100">
        <v>4.76</v>
      </c>
      <c r="J34" s="100">
        <v>0.24</v>
      </c>
      <c r="K34" s="100">
        <v>243.97</v>
      </c>
      <c r="L34" s="100">
        <v>28.96</v>
      </c>
      <c r="M34" s="100">
        <v>78.12</v>
      </c>
      <c r="N34" s="100">
        <v>43.6</v>
      </c>
      <c r="O34" s="100">
        <v>0</v>
      </c>
      <c r="P34" s="100">
        <v>0.34</v>
      </c>
      <c r="Q34" s="100">
        <v>9.91</v>
      </c>
      <c r="R34" s="6"/>
      <c r="S34" s="6"/>
      <c r="T34" s="156"/>
      <c r="U34" s="6"/>
    </row>
    <row r="35" spans="1:21" customFormat="1">
      <c r="A35" s="163" t="s">
        <v>1514</v>
      </c>
      <c r="B35" s="100">
        <v>5.09</v>
      </c>
      <c r="C35" s="100">
        <v>8.83</v>
      </c>
      <c r="D35" s="100">
        <v>3.74</v>
      </c>
      <c r="E35" s="100">
        <v>6.06</v>
      </c>
      <c r="F35" s="100">
        <v>3.11</v>
      </c>
      <c r="G35" s="100">
        <v>40.97</v>
      </c>
      <c r="H35" s="100">
        <v>14.69</v>
      </c>
      <c r="I35" s="100">
        <v>4.74</v>
      </c>
      <c r="J35" s="100">
        <v>0.36</v>
      </c>
      <c r="K35" s="100">
        <v>250.66</v>
      </c>
      <c r="L35" s="100">
        <v>29.13</v>
      </c>
      <c r="M35" s="100">
        <v>77.37</v>
      </c>
      <c r="N35" s="100">
        <v>56.3</v>
      </c>
      <c r="O35" s="100">
        <v>0</v>
      </c>
      <c r="P35" s="100">
        <v>0.34</v>
      </c>
      <c r="Q35" s="100">
        <v>9.92</v>
      </c>
      <c r="R35" s="6"/>
      <c r="S35" s="6"/>
      <c r="T35" s="156"/>
      <c r="U35" s="6"/>
    </row>
    <row r="36" spans="1:21" customFormat="1">
      <c r="A36" s="163" t="s">
        <v>1515</v>
      </c>
      <c r="B36" s="100">
        <v>5</v>
      </c>
      <c r="C36" s="100">
        <v>8.73</v>
      </c>
      <c r="D36" s="100">
        <v>3.73</v>
      </c>
      <c r="E36" s="100">
        <v>6.01</v>
      </c>
      <c r="F36" s="100">
        <v>2.87</v>
      </c>
      <c r="G36" s="100">
        <v>40.97</v>
      </c>
      <c r="H36" s="100">
        <v>14.69</v>
      </c>
      <c r="I36" s="100">
        <v>4.8</v>
      </c>
      <c r="J36" s="100">
        <v>0.38</v>
      </c>
      <c r="K36" s="100">
        <v>244.22</v>
      </c>
      <c r="L36" s="100">
        <v>29.51</v>
      </c>
      <c r="M36" s="100">
        <v>76.040000000000006</v>
      </c>
      <c r="N36" s="100">
        <v>79.099999999999994</v>
      </c>
      <c r="O36" s="100">
        <v>0</v>
      </c>
      <c r="P36" s="100">
        <v>0.33</v>
      </c>
      <c r="Q36" s="100">
        <v>9.92</v>
      </c>
      <c r="R36" s="6"/>
      <c r="S36" s="6"/>
      <c r="T36" s="156"/>
      <c r="U36" s="6"/>
    </row>
    <row r="37" spans="1:21" customFormat="1">
      <c r="A37" s="163" t="s">
        <v>1516</v>
      </c>
      <c r="B37" s="100">
        <v>4.8499999999999996</v>
      </c>
      <c r="C37" s="100">
        <v>8.61</v>
      </c>
      <c r="D37" s="100">
        <v>3.77</v>
      </c>
      <c r="E37" s="100">
        <v>5.97</v>
      </c>
      <c r="F37" s="100">
        <v>4.37</v>
      </c>
      <c r="G37" s="100">
        <v>41.55</v>
      </c>
      <c r="H37" s="100">
        <v>13.71</v>
      </c>
      <c r="I37" s="100">
        <v>4.8099999999999996</v>
      </c>
      <c r="J37" s="100">
        <v>0.6</v>
      </c>
      <c r="K37" s="100">
        <v>263.27</v>
      </c>
      <c r="L37" s="100">
        <v>29.9</v>
      </c>
      <c r="M37" s="100">
        <v>74.17</v>
      </c>
      <c r="N37" s="100">
        <v>98.1</v>
      </c>
      <c r="O37" s="100">
        <v>0</v>
      </c>
      <c r="P37" s="100">
        <v>0.33</v>
      </c>
      <c r="Q37" s="100">
        <v>9.93</v>
      </c>
      <c r="R37" s="6"/>
      <c r="S37" s="6"/>
      <c r="T37" s="156"/>
      <c r="U37" s="6"/>
    </row>
    <row r="38" spans="1:21" customFormat="1">
      <c r="A38" s="163" t="s">
        <v>1517</v>
      </c>
      <c r="B38" s="100">
        <v>4.7</v>
      </c>
      <c r="C38" s="100">
        <v>8.48</v>
      </c>
      <c r="D38" s="100">
        <v>3.78</v>
      </c>
      <c r="E38" s="100">
        <v>5.89</v>
      </c>
      <c r="F38" s="100">
        <v>3.15</v>
      </c>
      <c r="G38" s="100">
        <v>42.96</v>
      </c>
      <c r="H38" s="100">
        <v>12.06</v>
      </c>
      <c r="I38" s="100">
        <v>4.72</v>
      </c>
      <c r="J38" s="100">
        <v>0.6</v>
      </c>
      <c r="K38" s="100">
        <v>250.2</v>
      </c>
      <c r="L38" s="100">
        <v>30.46</v>
      </c>
      <c r="M38" s="100">
        <v>71.63</v>
      </c>
      <c r="N38" s="100">
        <v>112.8</v>
      </c>
      <c r="O38" s="100">
        <v>0</v>
      </c>
      <c r="P38" s="100">
        <v>0.34</v>
      </c>
      <c r="Q38" s="100">
        <v>9.92</v>
      </c>
      <c r="R38" s="6"/>
      <c r="S38" s="6"/>
      <c r="T38" s="156"/>
      <c r="U38" s="6"/>
    </row>
    <row r="39" spans="1:21" customFormat="1">
      <c r="A39" s="163" t="s">
        <v>1518</v>
      </c>
      <c r="B39" s="100">
        <v>4.53</v>
      </c>
      <c r="C39" s="100">
        <v>8.11</v>
      </c>
      <c r="D39" s="100">
        <v>3.58</v>
      </c>
      <c r="E39" s="100">
        <v>6.24</v>
      </c>
      <c r="F39" s="100">
        <v>3.92</v>
      </c>
      <c r="G39" s="100">
        <v>42.96</v>
      </c>
      <c r="H39" s="100">
        <v>12.06</v>
      </c>
      <c r="I39" s="100">
        <v>4.6900000000000004</v>
      </c>
      <c r="J39" s="100">
        <v>0.59</v>
      </c>
      <c r="K39" s="100">
        <v>255.92</v>
      </c>
      <c r="L39" s="100">
        <v>30.84</v>
      </c>
      <c r="M39" s="100">
        <v>70.05</v>
      </c>
      <c r="N39" s="100">
        <v>125</v>
      </c>
      <c r="O39" s="100">
        <v>0</v>
      </c>
      <c r="P39" s="100">
        <v>0.32</v>
      </c>
      <c r="Q39" s="100">
        <v>9.93</v>
      </c>
      <c r="R39" s="6"/>
      <c r="S39" s="6"/>
      <c r="T39" s="156"/>
      <c r="U39" s="6"/>
    </row>
    <row r="40" spans="1:21" customFormat="1">
      <c r="A40" s="163" t="s">
        <v>1519</v>
      </c>
      <c r="B40" s="100">
        <v>4.37</v>
      </c>
      <c r="C40" s="100">
        <v>8.11</v>
      </c>
      <c r="D40" s="100">
        <v>3.74</v>
      </c>
      <c r="E40" s="100">
        <v>6.37</v>
      </c>
      <c r="F40" s="100">
        <v>2.6</v>
      </c>
      <c r="G40" s="100">
        <v>42.96</v>
      </c>
      <c r="H40" s="100">
        <v>12.06</v>
      </c>
      <c r="I40" s="100">
        <v>4.74</v>
      </c>
      <c r="J40" s="100">
        <v>0.74</v>
      </c>
      <c r="K40" s="100">
        <v>267.26</v>
      </c>
      <c r="L40" s="100">
        <v>31.29</v>
      </c>
      <c r="M40" s="100">
        <v>68.67</v>
      </c>
      <c r="N40" s="100">
        <v>188.1</v>
      </c>
      <c r="O40" s="100">
        <v>0</v>
      </c>
      <c r="P40" s="100">
        <v>0.31</v>
      </c>
      <c r="Q40" s="100">
        <v>9.91</v>
      </c>
      <c r="R40" s="6"/>
      <c r="S40" s="6"/>
      <c r="T40" s="156"/>
      <c r="U40" s="6"/>
    </row>
    <row r="41" spans="1:21" customFormat="1">
      <c r="A41" s="163" t="s">
        <v>1520</v>
      </c>
      <c r="B41" s="100">
        <v>4.22</v>
      </c>
      <c r="C41" s="100">
        <v>7.91</v>
      </c>
      <c r="D41" s="100">
        <v>3.69</v>
      </c>
      <c r="E41" s="100">
        <v>6.07</v>
      </c>
      <c r="F41" s="100">
        <v>3.55</v>
      </c>
      <c r="G41" s="100">
        <v>43</v>
      </c>
      <c r="H41" s="100">
        <v>15.04</v>
      </c>
      <c r="I41" s="100">
        <v>4.67</v>
      </c>
      <c r="J41" s="100">
        <v>0.99</v>
      </c>
      <c r="K41" s="100">
        <v>255.08</v>
      </c>
      <c r="L41" s="100">
        <v>31.3</v>
      </c>
      <c r="M41" s="100">
        <v>68.11</v>
      </c>
      <c r="N41" s="100">
        <v>202.8</v>
      </c>
      <c r="O41" s="100">
        <v>0</v>
      </c>
      <c r="P41" s="100">
        <v>0.32</v>
      </c>
      <c r="Q41" s="100">
        <v>9.92</v>
      </c>
      <c r="R41" s="6"/>
      <c r="S41" s="6"/>
      <c r="T41" s="156"/>
      <c r="U41" s="6"/>
    </row>
    <row r="42" spans="1:21" customFormat="1">
      <c r="A42" s="163" t="s">
        <v>1521</v>
      </c>
      <c r="B42" s="100">
        <v>4.08</v>
      </c>
      <c r="C42" s="100">
        <v>7.67</v>
      </c>
      <c r="D42" s="100">
        <v>3.59</v>
      </c>
      <c r="E42" s="100">
        <v>5.82</v>
      </c>
      <c r="F42" s="100">
        <v>4.41</v>
      </c>
      <c r="G42" s="100">
        <v>43.09</v>
      </c>
      <c r="H42" s="100">
        <v>19.93</v>
      </c>
      <c r="I42" s="100">
        <v>4.59</v>
      </c>
      <c r="J42" s="100">
        <v>0.94</v>
      </c>
      <c r="K42" s="100">
        <v>268.85000000000002</v>
      </c>
      <c r="L42" s="100">
        <v>31.53</v>
      </c>
      <c r="M42" s="100">
        <v>67.239999999999995</v>
      </c>
      <c r="N42" s="100">
        <v>189.3</v>
      </c>
      <c r="O42" s="100">
        <v>0</v>
      </c>
      <c r="P42" s="100">
        <v>0.3</v>
      </c>
      <c r="Q42" s="100">
        <v>9.91</v>
      </c>
      <c r="R42" s="6"/>
      <c r="S42" s="6"/>
      <c r="T42" s="156"/>
      <c r="U42" s="6"/>
    </row>
    <row r="43" spans="1:21" customFormat="1">
      <c r="A43" s="163" t="s">
        <v>1522</v>
      </c>
      <c r="B43" s="100">
        <v>3.97</v>
      </c>
      <c r="C43" s="100">
        <v>7.69</v>
      </c>
      <c r="D43" s="100">
        <v>3.71</v>
      </c>
      <c r="E43" s="100">
        <v>5.9</v>
      </c>
      <c r="F43" s="100">
        <v>3.06</v>
      </c>
      <c r="G43" s="100">
        <v>43.09</v>
      </c>
      <c r="H43" s="100">
        <v>19.93</v>
      </c>
      <c r="I43" s="100">
        <v>4.5599999999999996</v>
      </c>
      <c r="J43" s="100">
        <v>0.84</v>
      </c>
      <c r="K43" s="100">
        <v>269.47000000000003</v>
      </c>
      <c r="L43" s="100">
        <v>32.04</v>
      </c>
      <c r="M43" s="100">
        <v>65.92</v>
      </c>
      <c r="N43" s="100">
        <v>224.8</v>
      </c>
      <c r="O43" s="100">
        <v>0</v>
      </c>
      <c r="P43" s="100">
        <v>0.28999999999999998</v>
      </c>
      <c r="Q43" s="100">
        <v>9.91</v>
      </c>
      <c r="R43" s="6"/>
      <c r="S43" s="6"/>
      <c r="T43" s="156"/>
      <c r="U43" s="6"/>
    </row>
    <row r="44" spans="1:21" customFormat="1">
      <c r="A44" s="163" t="s">
        <v>1523</v>
      </c>
      <c r="B44" s="100">
        <v>3.93</v>
      </c>
      <c r="C44" s="100">
        <v>7.4</v>
      </c>
      <c r="D44" s="100">
        <v>3.47</v>
      </c>
      <c r="E44" s="100">
        <v>5.69</v>
      </c>
      <c r="F44" s="100">
        <v>4.5599999999999996</v>
      </c>
      <c r="G44" s="100">
        <v>43.09</v>
      </c>
      <c r="H44" s="100">
        <v>19.93</v>
      </c>
      <c r="I44" s="100">
        <v>4.45</v>
      </c>
      <c r="J44" s="100">
        <v>0.67</v>
      </c>
      <c r="K44" s="100">
        <v>261.87</v>
      </c>
      <c r="L44" s="100">
        <v>31.99</v>
      </c>
      <c r="M44" s="100">
        <v>66.45</v>
      </c>
      <c r="N44" s="100">
        <v>229.6</v>
      </c>
      <c r="O44" s="100">
        <v>0</v>
      </c>
      <c r="P44" s="100">
        <v>0.32</v>
      </c>
      <c r="Q44" s="100">
        <v>9.93</v>
      </c>
      <c r="R44" s="6"/>
      <c r="S44" s="6"/>
      <c r="T44" s="156"/>
      <c r="U44" s="6"/>
    </row>
    <row r="45" spans="1:21" customFormat="1">
      <c r="A45" s="163" t="s">
        <v>1524</v>
      </c>
      <c r="B45" s="100">
        <v>4.04</v>
      </c>
      <c r="C45" s="100">
        <v>7.62</v>
      </c>
      <c r="D45" s="100">
        <v>3.58</v>
      </c>
      <c r="E45" s="100">
        <v>5.98</v>
      </c>
      <c r="F45" s="100">
        <v>9.1999999999999993</v>
      </c>
      <c r="G45" s="100">
        <v>43.98</v>
      </c>
      <c r="H45" s="100">
        <v>19.46</v>
      </c>
      <c r="I45" s="100">
        <v>4.38</v>
      </c>
      <c r="J45" s="100">
        <v>0.89</v>
      </c>
      <c r="K45" s="100">
        <v>256.76</v>
      </c>
      <c r="L45" s="100">
        <v>32.42</v>
      </c>
      <c r="M45" s="100">
        <v>64.44</v>
      </c>
      <c r="N45" s="100">
        <v>226.3</v>
      </c>
      <c r="O45" s="100">
        <v>0</v>
      </c>
      <c r="P45" s="100">
        <v>0.38</v>
      </c>
      <c r="Q45" s="100">
        <v>9.92</v>
      </c>
      <c r="R45" s="6"/>
      <c r="S45" s="6"/>
      <c r="T45" s="156"/>
      <c r="U45" s="6"/>
    </row>
    <row r="46" spans="1:21" customFormat="1">
      <c r="A46" s="163" t="s">
        <v>1525</v>
      </c>
      <c r="B46" s="100">
        <v>4.08</v>
      </c>
      <c r="C46" s="100">
        <v>7.77</v>
      </c>
      <c r="D46" s="100">
        <v>3.68</v>
      </c>
      <c r="E46" s="100">
        <v>6.77</v>
      </c>
      <c r="F46" s="100">
        <v>7.4</v>
      </c>
      <c r="G46" s="100">
        <v>46.17</v>
      </c>
      <c r="H46" s="100">
        <v>18.68</v>
      </c>
      <c r="I46" s="100">
        <v>4.5599999999999996</v>
      </c>
      <c r="J46" s="100">
        <v>0.83</v>
      </c>
      <c r="K46" s="100">
        <v>255.05</v>
      </c>
      <c r="L46" s="100">
        <v>32.97</v>
      </c>
      <c r="M46" s="100">
        <v>63.69</v>
      </c>
      <c r="N46" s="100">
        <v>217.9</v>
      </c>
      <c r="O46" s="100">
        <v>0</v>
      </c>
      <c r="P46" s="100">
        <v>0.41</v>
      </c>
      <c r="Q46" s="100">
        <v>9.93</v>
      </c>
      <c r="R46" s="6"/>
      <c r="S46" s="6"/>
      <c r="T46" s="156"/>
      <c r="U46" s="6"/>
    </row>
    <row r="47" spans="1:21" customFormat="1">
      <c r="A47" s="163" t="s">
        <v>1526</v>
      </c>
      <c r="B47" s="100">
        <v>4.07</v>
      </c>
      <c r="C47" s="100">
        <v>7.8</v>
      </c>
      <c r="D47" s="100">
        <v>3.73</v>
      </c>
      <c r="E47" s="100">
        <v>6.9</v>
      </c>
      <c r="F47" s="100">
        <v>10.8</v>
      </c>
      <c r="G47" s="100">
        <v>46.17</v>
      </c>
      <c r="H47" s="100">
        <v>18.68</v>
      </c>
      <c r="I47" s="100">
        <v>5.5</v>
      </c>
      <c r="J47" s="100">
        <v>0.74</v>
      </c>
      <c r="K47" s="100">
        <v>262.14</v>
      </c>
      <c r="L47" s="100">
        <v>33.35</v>
      </c>
      <c r="M47" s="100">
        <v>62.54</v>
      </c>
      <c r="N47" s="100">
        <v>234</v>
      </c>
      <c r="O47" s="100">
        <v>0</v>
      </c>
      <c r="P47" s="100">
        <v>0.43</v>
      </c>
      <c r="Q47" s="100">
        <v>9.92</v>
      </c>
      <c r="R47" s="6"/>
      <c r="S47" s="6"/>
      <c r="T47" s="156"/>
      <c r="U47" s="6"/>
    </row>
    <row r="48" spans="1:21" customFormat="1">
      <c r="A48" s="163" t="s">
        <v>1527</v>
      </c>
      <c r="B48" s="100">
        <v>4.07</v>
      </c>
      <c r="C48" s="100">
        <v>7.92</v>
      </c>
      <c r="D48" s="100">
        <v>3.85</v>
      </c>
      <c r="E48" s="100">
        <v>7.23</v>
      </c>
      <c r="F48" s="100">
        <v>11.06</v>
      </c>
      <c r="G48" s="100">
        <v>46.17</v>
      </c>
      <c r="H48" s="100">
        <v>18.68</v>
      </c>
      <c r="I48" s="100">
        <v>5.97</v>
      </c>
      <c r="J48" s="100">
        <v>0.82</v>
      </c>
      <c r="K48" s="100">
        <v>280.89</v>
      </c>
      <c r="L48" s="100">
        <v>33.74</v>
      </c>
      <c r="M48" s="100">
        <v>61.07</v>
      </c>
      <c r="N48" s="100">
        <v>242.1</v>
      </c>
      <c r="O48" s="100">
        <v>0</v>
      </c>
      <c r="P48" s="100">
        <v>0.46</v>
      </c>
      <c r="Q48" s="100">
        <v>9.91</v>
      </c>
      <c r="R48" s="6"/>
      <c r="S48" s="6"/>
      <c r="T48" s="156"/>
      <c r="U48" s="6"/>
    </row>
    <row r="49" spans="1:21" customFormat="1">
      <c r="A49" s="163" t="s">
        <v>1528</v>
      </c>
      <c r="B49" s="100">
        <v>4.0599999999999996</v>
      </c>
      <c r="C49" s="100">
        <v>8.02</v>
      </c>
      <c r="D49" s="100">
        <v>3.96</v>
      </c>
      <c r="E49" s="100">
        <v>5.93</v>
      </c>
      <c r="F49" s="100">
        <v>14.81</v>
      </c>
      <c r="G49" s="100">
        <v>50.33</v>
      </c>
      <c r="H49" s="100">
        <v>19.73</v>
      </c>
      <c r="I49" s="100">
        <v>6.4</v>
      </c>
      <c r="J49" s="100">
        <v>0.68</v>
      </c>
      <c r="K49" s="100">
        <v>249.32</v>
      </c>
      <c r="L49" s="100">
        <v>34.090000000000003</v>
      </c>
      <c r="M49" s="100">
        <v>60.41</v>
      </c>
      <c r="N49" s="100">
        <v>266.60000000000002</v>
      </c>
      <c r="O49" s="100">
        <v>0</v>
      </c>
      <c r="P49" s="100">
        <v>0.49</v>
      </c>
      <c r="Q49" s="100">
        <v>9.91</v>
      </c>
      <c r="R49" s="6"/>
      <c r="S49" s="6"/>
      <c r="T49" s="156"/>
      <c r="U49" s="6"/>
    </row>
    <row r="50" spans="1:21" customFormat="1">
      <c r="A50" s="163" t="s">
        <v>1529</v>
      </c>
      <c r="B50" s="100">
        <v>4.0199999999999996</v>
      </c>
      <c r="C50" s="100">
        <v>7.98</v>
      </c>
      <c r="D50" s="100">
        <v>3.96</v>
      </c>
      <c r="E50" s="100">
        <v>7.63</v>
      </c>
      <c r="F50" s="100">
        <v>12.26</v>
      </c>
      <c r="G50" s="100">
        <v>60.57</v>
      </c>
      <c r="H50" s="100">
        <v>24.06</v>
      </c>
      <c r="I50" s="100">
        <v>6.52</v>
      </c>
      <c r="J50" s="100">
        <v>0.47</v>
      </c>
      <c r="K50" s="100">
        <v>263.5</v>
      </c>
      <c r="L50" s="100">
        <v>34.479999999999997</v>
      </c>
      <c r="M50" s="100">
        <v>58.5</v>
      </c>
      <c r="N50" s="100">
        <v>258.5</v>
      </c>
      <c r="O50" s="100">
        <v>0</v>
      </c>
      <c r="P50" s="100">
        <v>0.5</v>
      </c>
      <c r="Q50" s="100">
        <v>9.91</v>
      </c>
      <c r="R50" s="6"/>
      <c r="S50" s="6"/>
      <c r="T50" s="156"/>
      <c r="U50" s="6"/>
    </row>
    <row r="51" spans="1:21" customFormat="1">
      <c r="A51" s="163" t="s">
        <v>1530</v>
      </c>
      <c r="B51" s="100">
        <v>4.03</v>
      </c>
      <c r="C51" s="100">
        <v>8.1999999999999993</v>
      </c>
      <c r="D51" s="100">
        <v>4.17</v>
      </c>
      <c r="E51" s="100">
        <v>8.07</v>
      </c>
      <c r="F51" s="100">
        <v>10.97</v>
      </c>
      <c r="G51" s="100">
        <v>60.57</v>
      </c>
      <c r="H51" s="100">
        <v>24.06</v>
      </c>
      <c r="I51" s="100">
        <v>6.77</v>
      </c>
      <c r="J51" s="100">
        <v>0.73</v>
      </c>
      <c r="K51" s="100">
        <v>265.11</v>
      </c>
      <c r="L51" s="100">
        <v>34.85</v>
      </c>
      <c r="M51" s="100">
        <v>58.01</v>
      </c>
      <c r="N51" s="100">
        <v>272.8</v>
      </c>
      <c r="O51" s="100">
        <v>0</v>
      </c>
      <c r="P51" s="100">
        <v>0.53</v>
      </c>
      <c r="Q51" s="100">
        <v>9.92</v>
      </c>
      <c r="R51" s="6"/>
      <c r="S51" s="6"/>
      <c r="T51" s="156"/>
      <c r="U51" s="6"/>
    </row>
    <row r="52" spans="1:21" customFormat="1">
      <c r="A52" s="163" t="s">
        <v>1531</v>
      </c>
      <c r="B52" s="100">
        <v>3.99</v>
      </c>
      <c r="C52" s="100">
        <v>8.09</v>
      </c>
      <c r="D52" s="100">
        <v>4.0999999999999996</v>
      </c>
      <c r="E52" s="100">
        <v>7.28</v>
      </c>
      <c r="F52" s="100">
        <v>15.83</v>
      </c>
      <c r="G52" s="100">
        <v>60.57</v>
      </c>
      <c r="H52" s="100">
        <v>24.06</v>
      </c>
      <c r="I52" s="100">
        <v>6.97</v>
      </c>
      <c r="J52" s="100">
        <v>0.75</v>
      </c>
      <c r="K52" s="100">
        <v>265.25</v>
      </c>
      <c r="L52" s="100">
        <v>34.83</v>
      </c>
      <c r="M52" s="100">
        <v>56.79</v>
      </c>
      <c r="N52" s="100">
        <v>291</v>
      </c>
      <c r="O52" s="100">
        <v>0</v>
      </c>
      <c r="P52" s="100">
        <v>0.56999999999999995</v>
      </c>
      <c r="Q52" s="100">
        <v>9.92</v>
      </c>
      <c r="R52" s="6"/>
      <c r="S52" s="6"/>
      <c r="T52" s="156"/>
      <c r="U52" s="6"/>
    </row>
    <row r="53" spans="1:21" customFormat="1">
      <c r="A53" s="163" t="s">
        <v>1532</v>
      </c>
      <c r="B53" s="100">
        <v>3.94</v>
      </c>
      <c r="C53" s="100">
        <v>8.4499999999999993</v>
      </c>
      <c r="D53" s="100">
        <v>4.5</v>
      </c>
      <c r="E53" s="100">
        <v>7.86</v>
      </c>
      <c r="F53" s="100">
        <v>23.24</v>
      </c>
      <c r="G53" s="100">
        <v>63.51</v>
      </c>
      <c r="H53" s="100">
        <v>26.17</v>
      </c>
      <c r="I53" s="100">
        <v>7.36</v>
      </c>
      <c r="J53" s="100">
        <v>0.47</v>
      </c>
      <c r="K53" s="100">
        <v>290.67</v>
      </c>
      <c r="L53" s="100">
        <v>34.630000000000003</v>
      </c>
      <c r="M53" s="100">
        <v>57.5</v>
      </c>
      <c r="N53" s="100">
        <v>277.8</v>
      </c>
      <c r="O53" s="100">
        <v>0</v>
      </c>
      <c r="P53" s="100">
        <v>0.63</v>
      </c>
      <c r="Q53" s="100">
        <v>9.92</v>
      </c>
      <c r="R53" s="6"/>
      <c r="S53" s="6"/>
      <c r="T53" s="156"/>
      <c r="U53" s="6"/>
    </row>
    <row r="54" spans="1:21" customFormat="1">
      <c r="A54" s="163" t="s">
        <v>1533</v>
      </c>
      <c r="B54" s="100">
        <v>3.94</v>
      </c>
      <c r="C54" s="100">
        <v>8.9</v>
      </c>
      <c r="D54" s="100">
        <v>4.96</v>
      </c>
      <c r="E54" s="100">
        <v>8.84</v>
      </c>
      <c r="F54" s="100">
        <v>24.34</v>
      </c>
      <c r="G54" s="100">
        <v>70.73</v>
      </c>
      <c r="H54" s="100">
        <v>29.64</v>
      </c>
      <c r="I54" s="100">
        <v>7.68</v>
      </c>
      <c r="J54" s="100">
        <v>0.76</v>
      </c>
      <c r="K54" s="100">
        <v>282.22000000000003</v>
      </c>
      <c r="L54" s="100">
        <v>35.26</v>
      </c>
      <c r="M54" s="100">
        <v>55.03</v>
      </c>
      <c r="N54" s="100">
        <v>291.8</v>
      </c>
      <c r="O54" s="100">
        <v>0</v>
      </c>
      <c r="P54" s="100">
        <v>0.64</v>
      </c>
      <c r="Q54" s="100">
        <v>9.92</v>
      </c>
      <c r="R54" s="6"/>
      <c r="S54" s="6"/>
      <c r="T54" s="156"/>
      <c r="U54" s="6"/>
    </row>
    <row r="55" spans="1:21" customFormat="1">
      <c r="A55" s="163" t="s">
        <v>1534</v>
      </c>
      <c r="B55" s="100">
        <v>4</v>
      </c>
      <c r="C55" s="100">
        <v>9.49</v>
      </c>
      <c r="D55" s="100">
        <v>5.48</v>
      </c>
      <c r="E55" s="100">
        <v>8.85</v>
      </c>
      <c r="F55" s="100">
        <v>25.06</v>
      </c>
      <c r="G55" s="100">
        <v>70.73</v>
      </c>
      <c r="H55" s="100">
        <v>29.64</v>
      </c>
      <c r="I55" s="100">
        <v>8.35</v>
      </c>
      <c r="J55" s="100">
        <v>0.43</v>
      </c>
      <c r="K55" s="100">
        <v>281.91000000000003</v>
      </c>
      <c r="L55" s="100">
        <v>36.049999999999997</v>
      </c>
      <c r="M55" s="100">
        <v>52.66</v>
      </c>
      <c r="N55" s="100">
        <v>310.3</v>
      </c>
      <c r="O55" s="100">
        <v>0</v>
      </c>
      <c r="P55" s="100">
        <v>0.69</v>
      </c>
      <c r="Q55" s="100">
        <v>9.92</v>
      </c>
      <c r="R55" s="6"/>
      <c r="S55" s="6"/>
      <c r="T55" s="156"/>
      <c r="U55" s="6"/>
    </row>
    <row r="56" spans="1:21" customFormat="1">
      <c r="A56" s="163" t="s">
        <v>1535</v>
      </c>
      <c r="B56" s="100">
        <v>3.97</v>
      </c>
      <c r="C56" s="100">
        <v>9.27</v>
      </c>
      <c r="D56" s="100">
        <v>5.3</v>
      </c>
      <c r="E56" s="100">
        <v>7.88</v>
      </c>
      <c r="F56" s="100">
        <v>23.23</v>
      </c>
      <c r="G56" s="100">
        <v>70.73</v>
      </c>
      <c r="H56" s="100">
        <v>29.64</v>
      </c>
      <c r="I56" s="100">
        <v>8.33</v>
      </c>
      <c r="J56" s="100">
        <v>0.87</v>
      </c>
      <c r="K56" s="100">
        <v>286.70999999999998</v>
      </c>
      <c r="L56" s="100">
        <v>35.78</v>
      </c>
      <c r="M56" s="100">
        <v>52.1</v>
      </c>
      <c r="N56" s="100">
        <v>477.5</v>
      </c>
      <c r="O56" s="100">
        <v>0</v>
      </c>
      <c r="P56" s="100">
        <v>0.64</v>
      </c>
      <c r="Q56" s="100">
        <v>9.91</v>
      </c>
      <c r="R56" s="6"/>
      <c r="S56" s="6"/>
      <c r="T56" s="156"/>
      <c r="U56" s="6"/>
    </row>
    <row r="57" spans="1:21" customFormat="1">
      <c r="A57" s="163" t="s">
        <v>1536</v>
      </c>
      <c r="B57" s="100">
        <v>3.89</v>
      </c>
      <c r="C57" s="100">
        <v>8.3800000000000008</v>
      </c>
      <c r="D57" s="100">
        <v>4.5</v>
      </c>
      <c r="E57" s="100">
        <v>6.07</v>
      </c>
      <c r="F57" s="100">
        <v>22.68</v>
      </c>
      <c r="G57" s="100">
        <v>73.489999999999995</v>
      </c>
      <c r="H57" s="100">
        <v>29.39</v>
      </c>
      <c r="I57" s="100">
        <v>8.27</v>
      </c>
      <c r="J57" s="100">
        <v>0.4</v>
      </c>
      <c r="K57" s="100">
        <v>260.22000000000003</v>
      </c>
      <c r="L57" s="100">
        <v>36.24</v>
      </c>
      <c r="M57" s="100">
        <v>50.12</v>
      </c>
      <c r="N57" s="100">
        <v>776.5</v>
      </c>
      <c r="O57" s="100">
        <v>0</v>
      </c>
      <c r="P57" s="100">
        <v>0.6</v>
      </c>
      <c r="Q57" s="100">
        <v>9.91</v>
      </c>
      <c r="R57" s="6"/>
      <c r="S57" s="6"/>
      <c r="T57" s="156"/>
      <c r="U57" s="6"/>
    </row>
    <row r="58" spans="1:21" customFormat="1">
      <c r="A58" s="163" t="s">
        <v>1537</v>
      </c>
      <c r="B58" s="100">
        <v>3.8</v>
      </c>
      <c r="C58" s="100">
        <v>7.99</v>
      </c>
      <c r="D58" s="100">
        <v>4.18</v>
      </c>
      <c r="E58" s="100">
        <v>6.17</v>
      </c>
      <c r="F58" s="100">
        <v>28.21</v>
      </c>
      <c r="G58" s="100">
        <v>80.27</v>
      </c>
      <c r="H58" s="100">
        <v>28.98</v>
      </c>
      <c r="I58" s="100">
        <v>8.06</v>
      </c>
      <c r="J58" s="100">
        <v>0.6</v>
      </c>
      <c r="K58" s="100">
        <v>265.81</v>
      </c>
      <c r="L58" s="100">
        <v>37.01</v>
      </c>
      <c r="M58" s="100">
        <v>48.08</v>
      </c>
      <c r="N58" s="100">
        <v>785</v>
      </c>
      <c r="O58" s="100">
        <v>0</v>
      </c>
      <c r="P58" s="100">
        <v>0.59</v>
      </c>
      <c r="Q58" s="100">
        <v>9.91</v>
      </c>
      <c r="R58" s="6"/>
      <c r="S58" s="6"/>
      <c r="T58" s="156"/>
      <c r="U58" s="6"/>
    </row>
    <row r="59" spans="1:21" customFormat="1">
      <c r="A59" s="163" t="s">
        <v>1538</v>
      </c>
      <c r="B59" s="100">
        <v>3.76</v>
      </c>
      <c r="C59" s="100">
        <v>7.62</v>
      </c>
      <c r="D59" s="100">
        <v>3.86</v>
      </c>
      <c r="E59" s="100">
        <v>6.24</v>
      </c>
      <c r="F59" s="100">
        <v>22.5</v>
      </c>
      <c r="G59" s="100">
        <v>80.27</v>
      </c>
      <c r="H59" s="100">
        <v>28.98</v>
      </c>
      <c r="I59" s="100">
        <v>7.69</v>
      </c>
      <c r="J59" s="100">
        <v>0.43</v>
      </c>
      <c r="K59" s="100">
        <v>230.17</v>
      </c>
      <c r="L59" s="100">
        <v>37.42</v>
      </c>
      <c r="M59" s="100">
        <v>47.35</v>
      </c>
      <c r="N59" s="100">
        <v>686.7</v>
      </c>
      <c r="O59" s="100">
        <v>0</v>
      </c>
      <c r="P59" s="100">
        <v>0.6</v>
      </c>
      <c r="Q59" s="100">
        <v>9.9</v>
      </c>
      <c r="R59" s="6"/>
      <c r="S59" s="6"/>
      <c r="T59" s="156"/>
      <c r="U59" s="6"/>
    </row>
    <row r="60" spans="1:21" customFormat="1">
      <c r="A60" s="163" t="s">
        <v>1539</v>
      </c>
      <c r="B60" s="100">
        <v>3.82</v>
      </c>
      <c r="C60" s="100">
        <v>8.0399999999999991</v>
      </c>
      <c r="D60" s="100">
        <v>4.2300000000000004</v>
      </c>
      <c r="E60" s="100">
        <v>6.17</v>
      </c>
      <c r="F60" s="100">
        <v>27.95</v>
      </c>
      <c r="G60" s="100">
        <v>80.27</v>
      </c>
      <c r="H60" s="100">
        <v>28.98</v>
      </c>
      <c r="I60" s="100">
        <v>7.55</v>
      </c>
      <c r="J60" s="100">
        <v>0.33</v>
      </c>
      <c r="K60" s="100">
        <v>286.60000000000002</v>
      </c>
      <c r="L60" s="100">
        <v>37.450000000000003</v>
      </c>
      <c r="M60" s="100">
        <v>46.27</v>
      </c>
      <c r="N60" s="100">
        <v>617.20000000000005</v>
      </c>
      <c r="O60" s="100">
        <v>0</v>
      </c>
      <c r="P60" s="100">
        <v>0.61</v>
      </c>
      <c r="Q60" s="100">
        <v>9.91</v>
      </c>
      <c r="R60" s="6"/>
      <c r="S60" s="6"/>
      <c r="T60" s="156"/>
      <c r="U60" s="6"/>
    </row>
    <row r="61" spans="1:21" customFormat="1">
      <c r="A61" s="163" t="s">
        <v>1540</v>
      </c>
      <c r="B61" s="100">
        <v>3.8</v>
      </c>
      <c r="C61" s="100">
        <v>8.4499999999999993</v>
      </c>
      <c r="D61" s="100">
        <v>4.66</v>
      </c>
      <c r="E61" s="100">
        <v>6.39</v>
      </c>
      <c r="F61" s="100">
        <v>22.36</v>
      </c>
      <c r="G61" s="100">
        <v>79.680000000000007</v>
      </c>
      <c r="H61" s="100">
        <v>29.96</v>
      </c>
      <c r="I61" s="100">
        <v>7.74</v>
      </c>
      <c r="J61" s="100">
        <v>0.59</v>
      </c>
      <c r="K61" s="100">
        <v>41</v>
      </c>
      <c r="L61" s="100">
        <v>36.020000000000003</v>
      </c>
      <c r="M61" s="100">
        <v>48.18</v>
      </c>
      <c r="N61" s="100">
        <v>209</v>
      </c>
      <c r="O61" s="100">
        <v>0</v>
      </c>
      <c r="P61" s="100">
        <v>0.61</v>
      </c>
      <c r="Q61" s="100">
        <v>9.93</v>
      </c>
      <c r="R61" s="6"/>
      <c r="S61" s="6"/>
      <c r="T61" s="156"/>
      <c r="U61" s="6"/>
    </row>
    <row r="62" spans="1:21" customFormat="1">
      <c r="A62" s="163" t="s">
        <v>1541</v>
      </c>
      <c r="B62" s="100">
        <v>3.81</v>
      </c>
      <c r="C62" s="100">
        <v>7.76</v>
      </c>
      <c r="D62" s="100">
        <v>3.95</v>
      </c>
      <c r="E62" s="100">
        <v>5.05</v>
      </c>
      <c r="F62" s="100">
        <v>7.74</v>
      </c>
      <c r="G62" s="100">
        <v>78.23</v>
      </c>
      <c r="H62" s="100">
        <v>31.58</v>
      </c>
      <c r="I62" s="100">
        <v>7.7</v>
      </c>
      <c r="J62" s="100">
        <v>2.04</v>
      </c>
      <c r="K62" s="100">
        <v>54.44</v>
      </c>
      <c r="L62" s="100">
        <v>31.48</v>
      </c>
      <c r="M62" s="100">
        <v>55.58</v>
      </c>
      <c r="N62" s="100">
        <v>74</v>
      </c>
      <c r="O62" s="100">
        <v>0</v>
      </c>
      <c r="P62" s="100">
        <v>0.57999999999999996</v>
      </c>
      <c r="Q62" s="100">
        <v>9.91</v>
      </c>
      <c r="R62" s="6"/>
      <c r="S62" s="6"/>
      <c r="T62" s="156"/>
      <c r="U62" s="6"/>
    </row>
    <row r="63" spans="1:21" customFormat="1">
      <c r="A63" s="163" t="s">
        <v>1542</v>
      </c>
      <c r="B63" s="100">
        <v>3.75</v>
      </c>
      <c r="C63" s="100">
        <v>8.27</v>
      </c>
      <c r="D63" s="100">
        <v>4.5199999999999996</v>
      </c>
      <c r="E63" s="100">
        <v>4.29</v>
      </c>
      <c r="F63" s="100">
        <v>5.52</v>
      </c>
      <c r="G63" s="100">
        <v>78.23</v>
      </c>
      <c r="H63" s="100">
        <v>31.58</v>
      </c>
      <c r="I63" s="100">
        <v>7.75</v>
      </c>
      <c r="J63" s="100">
        <v>0.47</v>
      </c>
      <c r="K63" s="100">
        <v>84.46</v>
      </c>
      <c r="L63" s="100">
        <v>30.26</v>
      </c>
      <c r="M63" s="100">
        <v>58.83</v>
      </c>
      <c r="N63" s="100">
        <v>58.1</v>
      </c>
      <c r="O63" s="100">
        <v>0</v>
      </c>
      <c r="P63" s="100">
        <v>0.54</v>
      </c>
      <c r="Q63" s="100">
        <v>9.9</v>
      </c>
      <c r="R63" s="6"/>
      <c r="S63" s="6"/>
      <c r="T63" s="156"/>
      <c r="U63" s="6"/>
    </row>
    <row r="64" spans="1:21" customFormat="1">
      <c r="A64" s="163" t="s">
        <v>1543</v>
      </c>
      <c r="B64" s="100">
        <v>3.67</v>
      </c>
      <c r="C64" s="100">
        <v>8.6999999999999993</v>
      </c>
      <c r="D64" s="100">
        <v>5.04</v>
      </c>
      <c r="E64" s="100">
        <v>4.21</v>
      </c>
      <c r="F64" s="100">
        <v>5.33</v>
      </c>
      <c r="G64" s="100">
        <v>78.23</v>
      </c>
      <c r="H64" s="100">
        <v>31.58</v>
      </c>
      <c r="I64" s="100">
        <v>7.69</v>
      </c>
      <c r="J64" s="100">
        <v>0.41</v>
      </c>
      <c r="K64" s="100">
        <v>91</v>
      </c>
      <c r="L64" s="100">
        <v>30.73</v>
      </c>
      <c r="M64" s="100">
        <v>58.8</v>
      </c>
      <c r="N64" s="100">
        <v>68.099999999999994</v>
      </c>
      <c r="O64" s="100">
        <v>0</v>
      </c>
      <c r="P64" s="100">
        <v>0.46</v>
      </c>
      <c r="Q64" s="100">
        <v>9.89</v>
      </c>
      <c r="R64" s="6"/>
      <c r="S64" s="6"/>
      <c r="T64" s="156"/>
      <c r="U64" s="6"/>
    </row>
    <row r="65" spans="1:21" customFormat="1">
      <c r="A65" s="163" t="s">
        <v>1544</v>
      </c>
      <c r="B65" s="100">
        <v>3.62</v>
      </c>
      <c r="C65" s="100">
        <v>9.35</v>
      </c>
      <c r="D65" s="100">
        <v>5.74</v>
      </c>
      <c r="E65" s="100">
        <v>4.76</v>
      </c>
      <c r="F65" s="100">
        <v>6.44</v>
      </c>
      <c r="G65" s="100">
        <v>86.88</v>
      </c>
      <c r="H65" s="100">
        <v>30.92</v>
      </c>
      <c r="I65" s="100">
        <v>7.35</v>
      </c>
      <c r="J65" s="100">
        <v>0.28999999999999998</v>
      </c>
      <c r="K65" s="100">
        <v>153.63999999999999</v>
      </c>
      <c r="L65" s="100">
        <v>31.58</v>
      </c>
      <c r="M65" s="100">
        <v>57.49</v>
      </c>
      <c r="N65" s="100">
        <v>84.3</v>
      </c>
      <c r="O65" s="100">
        <v>0</v>
      </c>
      <c r="P65" s="100">
        <v>0.52</v>
      </c>
      <c r="Q65" s="100">
        <v>9.91</v>
      </c>
      <c r="R65" s="6"/>
      <c r="S65" s="6"/>
      <c r="T65" s="156"/>
      <c r="U65" s="6"/>
    </row>
    <row r="66" spans="1:21" customFormat="1">
      <c r="A66" s="163" t="s">
        <v>1545</v>
      </c>
      <c r="B66" s="100">
        <v>3.62</v>
      </c>
      <c r="C66" s="100">
        <v>9.2100000000000009</v>
      </c>
      <c r="D66" s="100">
        <v>5.59</v>
      </c>
      <c r="E66" s="100">
        <v>4.71</v>
      </c>
      <c r="F66" s="100">
        <v>6.65</v>
      </c>
      <c r="G66" s="100">
        <v>108.17</v>
      </c>
      <c r="H66" s="100">
        <v>29.85</v>
      </c>
      <c r="I66" s="100">
        <v>7.06</v>
      </c>
      <c r="J66" s="100">
        <v>0.21</v>
      </c>
      <c r="K66" s="100">
        <v>174.27</v>
      </c>
      <c r="L66" s="100">
        <v>31.79</v>
      </c>
      <c r="M66" s="100">
        <v>60.41</v>
      </c>
      <c r="N66" s="100">
        <v>156.6</v>
      </c>
      <c r="O66" s="100">
        <v>0</v>
      </c>
      <c r="P66" s="100">
        <v>0.54</v>
      </c>
      <c r="Q66" s="100">
        <v>9.92</v>
      </c>
      <c r="R66" s="6"/>
      <c r="S66" s="6"/>
      <c r="T66" s="156"/>
      <c r="U66" s="6"/>
    </row>
    <row r="67" spans="1:21" customFormat="1">
      <c r="A67" s="163" t="s">
        <v>1546</v>
      </c>
      <c r="B67" s="100">
        <v>3.62</v>
      </c>
      <c r="C67" s="100">
        <v>9.09</v>
      </c>
      <c r="D67" s="100">
        <v>5.47</v>
      </c>
      <c r="E67" s="100">
        <v>5.04</v>
      </c>
      <c r="F67" s="100">
        <v>8.58</v>
      </c>
      <c r="G67" s="100">
        <v>108.17</v>
      </c>
      <c r="H67" s="100">
        <v>29.85</v>
      </c>
      <c r="I67" s="100">
        <v>6.8</v>
      </c>
      <c r="J67" s="100">
        <v>0.27</v>
      </c>
      <c r="K67" s="100">
        <v>211.53</v>
      </c>
      <c r="L67" s="100">
        <v>33.56</v>
      </c>
      <c r="M67" s="100">
        <v>55.68</v>
      </c>
      <c r="N67" s="100">
        <v>414.4</v>
      </c>
      <c r="O67" s="100">
        <v>0</v>
      </c>
      <c r="P67" s="100">
        <v>0.53</v>
      </c>
      <c r="Q67" s="100">
        <v>9.91</v>
      </c>
      <c r="R67" s="6"/>
      <c r="S67" s="6"/>
      <c r="T67" s="156"/>
      <c r="U67" s="6"/>
    </row>
    <row r="68" spans="1:21" customFormat="1">
      <c r="A68" s="163" t="s">
        <v>1547</v>
      </c>
      <c r="B68" s="100">
        <v>3.63</v>
      </c>
      <c r="C68" s="100">
        <v>8.44</v>
      </c>
      <c r="D68" s="100">
        <v>4.82</v>
      </c>
      <c r="E68" s="100">
        <v>5.38</v>
      </c>
      <c r="F68" s="100">
        <v>7.8</v>
      </c>
      <c r="G68" s="100">
        <v>108.17</v>
      </c>
      <c r="H68" s="100">
        <v>29.85</v>
      </c>
      <c r="I68" s="100">
        <v>6.54</v>
      </c>
      <c r="J68" s="100">
        <v>0.33</v>
      </c>
      <c r="K68" s="100">
        <v>163.1</v>
      </c>
      <c r="L68" s="100">
        <v>36.25</v>
      </c>
      <c r="M68" s="100">
        <v>47.71</v>
      </c>
      <c r="N68" s="100">
        <v>407.5</v>
      </c>
      <c r="O68" s="100">
        <v>0</v>
      </c>
      <c r="P68" s="100">
        <v>0.52</v>
      </c>
      <c r="Q68" s="100">
        <v>9.9</v>
      </c>
      <c r="R68" s="6"/>
      <c r="S68" s="6"/>
      <c r="T68" s="156"/>
      <c r="U68" s="6"/>
    </row>
    <row r="69" spans="1:21" customFormat="1">
      <c r="A69" s="163" t="s">
        <v>1548</v>
      </c>
      <c r="B69" s="100">
        <v>3.61</v>
      </c>
      <c r="C69" s="100">
        <v>8.43</v>
      </c>
      <c r="D69" s="100">
        <v>4.82</v>
      </c>
      <c r="E69" s="100">
        <v>5.31</v>
      </c>
      <c r="F69" s="100">
        <v>8.7899999999999991</v>
      </c>
      <c r="G69" s="100">
        <v>102.02</v>
      </c>
      <c r="H69" s="100">
        <v>27.66</v>
      </c>
      <c r="I69" s="100">
        <v>6.38</v>
      </c>
      <c r="J69" s="100">
        <v>0.3</v>
      </c>
      <c r="K69" s="100">
        <v>162.13</v>
      </c>
      <c r="L69" s="100">
        <v>37.4</v>
      </c>
      <c r="M69" s="100">
        <v>42.93</v>
      </c>
      <c r="N69" s="100">
        <v>374.4</v>
      </c>
      <c r="O69" s="100">
        <v>0</v>
      </c>
      <c r="P69" s="100">
        <v>0.52</v>
      </c>
      <c r="Q69" s="100">
        <v>9.91</v>
      </c>
      <c r="R69" s="6"/>
      <c r="S69" s="6"/>
      <c r="T69" s="156"/>
      <c r="U69" s="6"/>
    </row>
    <row r="70" spans="1:21" customFormat="1">
      <c r="A70" s="163" t="s">
        <v>1549</v>
      </c>
      <c r="B70" s="100">
        <v>3.62</v>
      </c>
      <c r="C70" s="100">
        <v>8.59</v>
      </c>
      <c r="D70" s="100">
        <v>4.97</v>
      </c>
      <c r="E70" s="100">
        <v>5.22</v>
      </c>
      <c r="F70" s="100">
        <v>10.24</v>
      </c>
      <c r="G70" s="100">
        <v>86.88</v>
      </c>
      <c r="H70" s="100">
        <v>24.09</v>
      </c>
      <c r="I70" s="100">
        <v>6.26</v>
      </c>
      <c r="J70" s="100">
        <v>0.3</v>
      </c>
      <c r="K70" s="100">
        <v>265.77</v>
      </c>
      <c r="L70" s="100">
        <v>36.11</v>
      </c>
      <c r="M70" s="100">
        <v>46.31</v>
      </c>
      <c r="N70" s="100">
        <v>227.3</v>
      </c>
      <c r="O70" s="100">
        <v>0</v>
      </c>
      <c r="P70" s="100">
        <v>0.52</v>
      </c>
      <c r="Q70" s="100">
        <v>9.9</v>
      </c>
      <c r="R70" s="6"/>
      <c r="S70" s="6"/>
      <c r="T70" s="156"/>
      <c r="U70" s="6"/>
    </row>
    <row r="71" spans="1:21" customFormat="1">
      <c r="A71" s="163" t="s">
        <v>1550</v>
      </c>
      <c r="B71" s="100">
        <v>3.61</v>
      </c>
      <c r="C71" s="100">
        <v>7.55</v>
      </c>
      <c r="D71" s="100">
        <v>3.94</v>
      </c>
      <c r="E71" s="100">
        <v>5.37</v>
      </c>
      <c r="F71" s="100">
        <v>10.66</v>
      </c>
      <c r="G71" s="100">
        <v>86.88</v>
      </c>
      <c r="H71" s="100">
        <v>24.09</v>
      </c>
      <c r="I71" s="100">
        <v>5.95</v>
      </c>
      <c r="J71" s="100">
        <v>0.37</v>
      </c>
      <c r="K71" s="100">
        <v>165.37</v>
      </c>
      <c r="L71" s="100">
        <v>36.1</v>
      </c>
      <c r="M71" s="100">
        <v>49.43</v>
      </c>
      <c r="N71" s="100">
        <v>193.6</v>
      </c>
      <c r="O71" s="100">
        <v>0</v>
      </c>
      <c r="P71" s="100">
        <v>0.5</v>
      </c>
      <c r="Q71" s="100">
        <v>9.91</v>
      </c>
      <c r="R71" s="6"/>
      <c r="S71" s="6"/>
      <c r="T71" s="156"/>
      <c r="U71" s="6"/>
    </row>
    <row r="72" spans="1:21" customFormat="1">
      <c r="A72" s="163" t="s">
        <v>1551</v>
      </c>
      <c r="B72" s="100">
        <v>3.56</v>
      </c>
      <c r="C72" s="100">
        <v>7.95</v>
      </c>
      <c r="D72" s="100">
        <v>4.3899999999999997</v>
      </c>
      <c r="E72" s="100">
        <v>5.36</v>
      </c>
      <c r="F72" s="100">
        <v>15.8</v>
      </c>
      <c r="G72" s="100">
        <v>86.88</v>
      </c>
      <c r="H72" s="100">
        <v>24.09</v>
      </c>
      <c r="I72" s="100">
        <v>5.89</v>
      </c>
      <c r="J72" s="100">
        <v>0.38</v>
      </c>
      <c r="K72" s="100">
        <v>174.8</v>
      </c>
      <c r="L72" s="100">
        <v>36.25</v>
      </c>
      <c r="M72" s="100">
        <v>49.61</v>
      </c>
      <c r="N72" s="100">
        <v>186.8</v>
      </c>
      <c r="O72" s="100">
        <v>0</v>
      </c>
      <c r="P72" s="100">
        <v>0.49</v>
      </c>
      <c r="Q72" s="100">
        <v>9.9</v>
      </c>
      <c r="R72" s="6"/>
      <c r="S72" s="6"/>
      <c r="T72" s="156"/>
      <c r="U72" s="6"/>
    </row>
    <row r="73" spans="1:21" customFormat="1">
      <c r="A73" s="163" t="s">
        <v>1552</v>
      </c>
      <c r="B73" s="100">
        <v>3.56</v>
      </c>
      <c r="C73" s="100">
        <v>7.18</v>
      </c>
      <c r="D73" s="100">
        <v>3.62</v>
      </c>
      <c r="E73" s="100">
        <v>5.3</v>
      </c>
      <c r="F73" s="100">
        <v>15.85</v>
      </c>
      <c r="G73" s="100">
        <v>84.58</v>
      </c>
      <c r="H73" s="100">
        <v>24.53</v>
      </c>
      <c r="I73" s="100">
        <v>5.78</v>
      </c>
      <c r="J73" s="100">
        <v>0.16</v>
      </c>
      <c r="K73" s="100">
        <v>171.52</v>
      </c>
      <c r="L73" s="100">
        <v>35.619999999999997</v>
      </c>
      <c r="M73" s="100">
        <v>48.16</v>
      </c>
      <c r="N73" s="100">
        <v>147</v>
      </c>
      <c r="O73" s="100">
        <v>0</v>
      </c>
      <c r="P73" s="100">
        <v>0.47</v>
      </c>
      <c r="Q73" s="100">
        <v>9.9</v>
      </c>
      <c r="R73" s="6"/>
      <c r="S73" s="6"/>
      <c r="T73" s="156"/>
      <c r="U73" s="6"/>
    </row>
    <row r="74" spans="1:21" customFormat="1">
      <c r="A74" s="163" t="s">
        <v>1553</v>
      </c>
      <c r="B74" s="100">
        <v>3.56</v>
      </c>
      <c r="C74" s="100">
        <v>7.59</v>
      </c>
      <c r="D74" s="100">
        <v>4.03</v>
      </c>
      <c r="E74" s="100">
        <v>5.31</v>
      </c>
      <c r="F74" s="100">
        <v>21.24</v>
      </c>
      <c r="G74" s="100">
        <v>78.930000000000007</v>
      </c>
      <c r="H74" s="100">
        <v>26.33</v>
      </c>
      <c r="I74" s="100">
        <v>5.56</v>
      </c>
      <c r="J74" s="100">
        <v>0.4</v>
      </c>
      <c r="K74" s="100">
        <v>166.01</v>
      </c>
      <c r="L74" s="100">
        <v>35.78</v>
      </c>
      <c r="M74" s="100">
        <v>47.36</v>
      </c>
      <c r="N74" s="100">
        <v>118.9</v>
      </c>
      <c r="O74" s="100">
        <v>0</v>
      </c>
      <c r="P74" s="100">
        <v>0.47</v>
      </c>
      <c r="Q74" s="100">
        <v>9.9</v>
      </c>
      <c r="R74" s="6"/>
      <c r="S74" s="6"/>
      <c r="T74" s="156"/>
      <c r="U74" s="6"/>
    </row>
    <row r="75" spans="1:21" customFormat="1">
      <c r="A75" s="163" t="s">
        <v>1554</v>
      </c>
      <c r="B75" s="100">
        <v>3.58</v>
      </c>
      <c r="C75" s="100">
        <v>7.17</v>
      </c>
      <c r="D75" s="100">
        <v>3.59</v>
      </c>
      <c r="E75" s="100">
        <v>5.67</v>
      </c>
      <c r="F75" s="100">
        <v>10.99</v>
      </c>
      <c r="G75" s="100">
        <v>78.930000000000007</v>
      </c>
      <c r="H75" s="100">
        <v>26.33</v>
      </c>
      <c r="I75" s="100">
        <v>5.42</v>
      </c>
      <c r="J75" s="100">
        <v>0.27</v>
      </c>
      <c r="K75" s="100">
        <v>168.16</v>
      </c>
      <c r="L75" s="100">
        <v>35.07</v>
      </c>
      <c r="M75" s="100">
        <v>52.39</v>
      </c>
      <c r="N75" s="100">
        <v>89.2</v>
      </c>
      <c r="O75" s="100">
        <v>0</v>
      </c>
      <c r="P75" s="100">
        <v>0.47</v>
      </c>
      <c r="Q75" s="100">
        <v>9.91</v>
      </c>
      <c r="R75" s="6"/>
      <c r="S75" s="6"/>
      <c r="T75" s="156"/>
      <c r="U75" s="6"/>
    </row>
    <row r="76" spans="1:21" customFormat="1">
      <c r="A76" s="163" t="s">
        <v>1555</v>
      </c>
      <c r="B76" s="100">
        <v>3.55</v>
      </c>
      <c r="C76" s="100">
        <v>7.16</v>
      </c>
      <c r="D76" s="100">
        <v>3.61</v>
      </c>
      <c r="E76" s="100">
        <v>5.39</v>
      </c>
      <c r="F76" s="100">
        <v>21.79</v>
      </c>
      <c r="G76" s="100">
        <v>78.930000000000007</v>
      </c>
      <c r="H76" s="100">
        <v>26.33</v>
      </c>
      <c r="I76" s="100">
        <v>5.16</v>
      </c>
      <c r="J76" s="100">
        <v>0.19</v>
      </c>
      <c r="K76" s="100">
        <v>173.56</v>
      </c>
      <c r="L76" s="100">
        <v>34.82</v>
      </c>
      <c r="M76" s="100">
        <v>52.28</v>
      </c>
      <c r="N76" s="100">
        <v>62.9</v>
      </c>
      <c r="O76" s="100">
        <v>0</v>
      </c>
      <c r="P76" s="100">
        <v>0.45</v>
      </c>
      <c r="Q76" s="100">
        <v>9.9</v>
      </c>
      <c r="R76" s="6"/>
      <c r="S76" s="6"/>
      <c r="T76" s="156"/>
      <c r="U76" s="6"/>
    </row>
    <row r="77" spans="1:21" customFormat="1">
      <c r="A77" s="163" t="s">
        <v>1556</v>
      </c>
      <c r="B77" s="100">
        <v>4.03</v>
      </c>
      <c r="C77" s="100">
        <v>9.07</v>
      </c>
      <c r="D77" s="100">
        <v>5.03</v>
      </c>
      <c r="E77" s="100">
        <v>5.32</v>
      </c>
      <c r="F77" s="100">
        <v>12.63</v>
      </c>
      <c r="G77" s="100">
        <v>74</v>
      </c>
      <c r="H77" s="100">
        <v>25.72</v>
      </c>
      <c r="I77" s="100">
        <v>5.27</v>
      </c>
      <c r="J77" s="100">
        <v>0.27</v>
      </c>
      <c r="K77" s="100">
        <v>33.19</v>
      </c>
      <c r="L77" s="100">
        <v>34.54</v>
      </c>
      <c r="M77" s="100">
        <v>52.41</v>
      </c>
      <c r="N77" s="100">
        <v>33.6</v>
      </c>
      <c r="O77" s="100">
        <v>0</v>
      </c>
      <c r="P77" s="100">
        <v>0.47</v>
      </c>
      <c r="Q77" s="100">
        <v>9.91</v>
      </c>
      <c r="R77" s="6"/>
      <c r="S77" s="6"/>
      <c r="T77" s="156"/>
      <c r="U77" s="6"/>
    </row>
    <row r="78" spans="1:21" customFormat="1">
      <c r="A78" s="163" t="s">
        <v>1557</v>
      </c>
      <c r="B78" s="100">
        <v>4.0599999999999996</v>
      </c>
      <c r="C78" s="100">
        <v>9.82</v>
      </c>
      <c r="D78" s="100">
        <v>5.75</v>
      </c>
      <c r="E78" s="100">
        <v>5.96</v>
      </c>
      <c r="F78" s="100">
        <v>6.72</v>
      </c>
      <c r="G78" s="100">
        <v>61.87</v>
      </c>
      <c r="H78" s="100">
        <v>24.71</v>
      </c>
      <c r="I78" s="100">
        <v>4.87</v>
      </c>
      <c r="J78" s="100">
        <v>0.73</v>
      </c>
      <c r="K78" s="100">
        <v>62.89</v>
      </c>
      <c r="L78" s="100">
        <v>33.18</v>
      </c>
      <c r="M78" s="100">
        <v>53.84</v>
      </c>
      <c r="N78" s="100">
        <v>15.8</v>
      </c>
      <c r="O78" s="100">
        <v>0</v>
      </c>
      <c r="P78" s="100">
        <v>0.47</v>
      </c>
      <c r="Q78" s="100">
        <v>9.9</v>
      </c>
      <c r="R78" s="6"/>
      <c r="S78" s="6"/>
      <c r="T78" s="156"/>
      <c r="U78" s="6"/>
    </row>
    <row r="79" spans="1:21" customFormat="1">
      <c r="A79" s="163" t="s">
        <v>1558</v>
      </c>
      <c r="B79" s="100">
        <v>4.16</v>
      </c>
      <c r="C79" s="100">
        <v>9.5500000000000007</v>
      </c>
      <c r="D79" s="100">
        <v>5.39</v>
      </c>
      <c r="E79" s="100">
        <v>5.71</v>
      </c>
      <c r="F79" s="100">
        <v>6.12</v>
      </c>
      <c r="G79" s="100">
        <v>61.87</v>
      </c>
      <c r="H79" s="100">
        <v>24.71</v>
      </c>
      <c r="I79" s="100">
        <v>5.26</v>
      </c>
      <c r="J79" s="100">
        <v>0.5</v>
      </c>
      <c r="K79" s="100">
        <v>6.3</v>
      </c>
      <c r="L79" s="100">
        <v>32.31</v>
      </c>
      <c r="M79" s="100">
        <v>54.57</v>
      </c>
      <c r="N79" s="100">
        <v>24.8</v>
      </c>
      <c r="O79" s="100">
        <v>0</v>
      </c>
      <c r="P79" s="100">
        <v>0.48</v>
      </c>
      <c r="Q79" s="100">
        <v>9.91</v>
      </c>
      <c r="R79" s="6"/>
      <c r="S79" s="6"/>
      <c r="T79" s="156"/>
      <c r="U79" s="6"/>
    </row>
    <row r="80" spans="1:21" customFormat="1">
      <c r="A80" s="163" t="s">
        <v>1559</v>
      </c>
      <c r="B80" s="100">
        <v>4.3</v>
      </c>
      <c r="C80" s="100">
        <v>10.19</v>
      </c>
      <c r="D80" s="100">
        <v>5.89</v>
      </c>
      <c r="E80" s="100">
        <v>5.58</v>
      </c>
      <c r="F80" s="100">
        <v>6.53</v>
      </c>
      <c r="G80" s="100">
        <v>61.87</v>
      </c>
      <c r="H80" s="100">
        <v>24.71</v>
      </c>
      <c r="I80" s="100">
        <v>5.21</v>
      </c>
      <c r="J80" s="100">
        <v>0.65</v>
      </c>
      <c r="K80" s="100">
        <v>28.8</v>
      </c>
      <c r="L80" s="100">
        <v>32.04</v>
      </c>
      <c r="M80" s="100">
        <v>54.6</v>
      </c>
      <c r="N80" s="100">
        <v>21.8</v>
      </c>
      <c r="O80" s="100">
        <v>0</v>
      </c>
      <c r="P80" s="100">
        <v>0.49</v>
      </c>
      <c r="Q80" s="100">
        <v>9.91</v>
      </c>
      <c r="R80" s="6"/>
      <c r="S80" s="6"/>
      <c r="T80" s="156"/>
      <c r="U80" s="6"/>
    </row>
    <row r="81" spans="1:21" customFormat="1">
      <c r="A81" s="163" t="s">
        <v>1560</v>
      </c>
      <c r="B81" s="100">
        <v>4.21</v>
      </c>
      <c r="C81" s="100">
        <v>10.06</v>
      </c>
      <c r="D81" s="100">
        <v>5.85</v>
      </c>
      <c r="E81" s="100">
        <v>3.43</v>
      </c>
      <c r="F81" s="100">
        <v>7.45</v>
      </c>
      <c r="G81" s="100">
        <v>63.04</v>
      </c>
      <c r="H81" s="100">
        <v>24.07</v>
      </c>
      <c r="I81" s="100">
        <v>5.18</v>
      </c>
      <c r="J81" s="100">
        <v>0.26</v>
      </c>
      <c r="K81" s="100">
        <v>182.65</v>
      </c>
      <c r="L81" s="100">
        <v>32.24</v>
      </c>
      <c r="M81" s="100">
        <v>55.81</v>
      </c>
      <c r="N81" s="100">
        <v>13.8</v>
      </c>
      <c r="O81" s="100">
        <v>0</v>
      </c>
      <c r="P81" s="100">
        <v>0.48</v>
      </c>
      <c r="Q81" s="100">
        <v>9.92</v>
      </c>
      <c r="R81" s="6"/>
      <c r="S81" s="6"/>
      <c r="T81" s="156"/>
      <c r="U81" s="6"/>
    </row>
    <row r="82" spans="1:21" customFormat="1">
      <c r="A82" s="163" t="s">
        <v>1561</v>
      </c>
      <c r="B82" s="100">
        <v>4.03</v>
      </c>
      <c r="C82" s="100">
        <v>9.33</v>
      </c>
      <c r="D82" s="100">
        <v>5.3</v>
      </c>
      <c r="E82" s="100">
        <v>3.92</v>
      </c>
      <c r="F82" s="100">
        <v>7.72</v>
      </c>
      <c r="G82" s="100">
        <v>65.94</v>
      </c>
      <c r="H82" s="100">
        <v>23.03</v>
      </c>
      <c r="I82" s="100">
        <v>5.12</v>
      </c>
      <c r="J82" s="100">
        <v>0.26</v>
      </c>
      <c r="K82" s="100">
        <v>181.2</v>
      </c>
      <c r="L82" s="100">
        <v>31.86</v>
      </c>
      <c r="M82" s="100">
        <v>58.03</v>
      </c>
      <c r="N82" s="100">
        <v>7.2</v>
      </c>
      <c r="O82" s="100">
        <v>0</v>
      </c>
      <c r="P82" s="100">
        <v>0.47</v>
      </c>
      <c r="Q82" s="100">
        <v>9.93</v>
      </c>
      <c r="R82" s="6"/>
      <c r="S82" s="6"/>
      <c r="T82" s="156"/>
      <c r="U82" s="6"/>
    </row>
    <row r="83" spans="1:21" customFormat="1">
      <c r="A83" s="163" t="s">
        <v>1562</v>
      </c>
      <c r="B83" s="100">
        <v>3.95</v>
      </c>
      <c r="C83" s="100">
        <v>8.7100000000000009</v>
      </c>
      <c r="D83" s="100">
        <v>4.76</v>
      </c>
      <c r="E83" s="100">
        <v>3.89</v>
      </c>
      <c r="F83" s="100">
        <v>8.42</v>
      </c>
      <c r="G83" s="100">
        <v>65.94</v>
      </c>
      <c r="H83" s="100">
        <v>23.03</v>
      </c>
      <c r="I83" s="100">
        <v>4.9000000000000004</v>
      </c>
      <c r="J83" s="100">
        <v>0.14000000000000001</v>
      </c>
      <c r="K83" s="100">
        <v>191.25</v>
      </c>
      <c r="L83" s="100">
        <v>31.37</v>
      </c>
      <c r="M83" s="100">
        <v>60.58</v>
      </c>
      <c r="N83" s="100">
        <v>3.4</v>
      </c>
      <c r="O83" s="100">
        <v>0</v>
      </c>
      <c r="P83" s="100">
        <v>0.48</v>
      </c>
      <c r="Q83" s="100">
        <v>9.91</v>
      </c>
      <c r="R83" s="6"/>
      <c r="S83" s="6"/>
      <c r="T83" s="156"/>
      <c r="U83" s="6"/>
    </row>
    <row r="84" spans="1:21" customFormat="1">
      <c r="A84" s="163" t="s">
        <v>1563</v>
      </c>
      <c r="B84" s="100">
        <v>3.85</v>
      </c>
      <c r="C84" s="100">
        <v>8.7100000000000009</v>
      </c>
      <c r="D84" s="100">
        <v>4.8600000000000003</v>
      </c>
      <c r="E84" s="100">
        <v>3.59</v>
      </c>
      <c r="F84" s="100">
        <v>13.61</v>
      </c>
      <c r="G84" s="100">
        <v>65.94</v>
      </c>
      <c r="H84" s="100">
        <v>23.03</v>
      </c>
      <c r="I84" s="100">
        <v>4.9000000000000004</v>
      </c>
      <c r="J84" s="100">
        <v>0.27</v>
      </c>
      <c r="K84" s="100">
        <v>250.24</v>
      </c>
      <c r="L84" s="100">
        <v>31.1</v>
      </c>
      <c r="M84" s="100">
        <v>61.26</v>
      </c>
      <c r="N84" s="100">
        <v>2.1</v>
      </c>
      <c r="O84" s="100">
        <v>0</v>
      </c>
      <c r="P84" s="100">
        <v>0.52</v>
      </c>
      <c r="Q84" s="100">
        <v>9.9</v>
      </c>
      <c r="R84" s="6"/>
      <c r="S84" s="6"/>
      <c r="T84" s="156"/>
      <c r="U84" s="6"/>
    </row>
    <row r="85" spans="1:21" customFormat="1">
      <c r="A85" s="163" t="s">
        <v>1564</v>
      </c>
      <c r="B85" s="100">
        <v>3.85</v>
      </c>
      <c r="C85" s="100">
        <v>8.51</v>
      </c>
      <c r="D85" s="100">
        <v>4.66</v>
      </c>
      <c r="E85" s="100">
        <v>3.53</v>
      </c>
      <c r="F85" s="100">
        <v>18.29</v>
      </c>
      <c r="G85" s="100">
        <v>67.209999999999994</v>
      </c>
      <c r="H85" s="100">
        <v>21.55</v>
      </c>
      <c r="I85" s="100">
        <v>4.97</v>
      </c>
      <c r="J85" s="100">
        <v>0.18</v>
      </c>
      <c r="K85" s="100">
        <v>235.25</v>
      </c>
      <c r="L85" s="100">
        <v>30.76</v>
      </c>
      <c r="M85" s="100">
        <v>60.66</v>
      </c>
      <c r="N85" s="100">
        <v>2.1</v>
      </c>
      <c r="O85" s="100">
        <v>0</v>
      </c>
      <c r="P85" s="100">
        <v>0.51</v>
      </c>
      <c r="Q85" s="100">
        <v>9.91</v>
      </c>
      <c r="R85" s="6"/>
      <c r="S85" s="6"/>
      <c r="T85" s="156"/>
      <c r="U85" s="6"/>
    </row>
    <row r="86" spans="1:21" customFormat="1">
      <c r="A86" s="163" t="s">
        <v>1565</v>
      </c>
      <c r="B86" s="100">
        <v>3.86</v>
      </c>
      <c r="C86" s="100">
        <v>8.35</v>
      </c>
      <c r="D86" s="100">
        <v>4.49</v>
      </c>
      <c r="E86" s="100">
        <v>2.91</v>
      </c>
      <c r="F86" s="100">
        <v>18.239999999999998</v>
      </c>
      <c r="G86" s="100">
        <v>70.349999999999994</v>
      </c>
      <c r="H86" s="100">
        <v>19.11</v>
      </c>
      <c r="I86" s="100">
        <v>5.12</v>
      </c>
      <c r="J86" s="100">
        <v>7.0000000000000007E-2</v>
      </c>
      <c r="K86" s="100">
        <v>204.46</v>
      </c>
      <c r="L86" s="100">
        <v>30.63</v>
      </c>
      <c r="M86" s="100">
        <v>61.68</v>
      </c>
      <c r="N86" s="100">
        <v>1.8</v>
      </c>
      <c r="O86" s="100">
        <v>0</v>
      </c>
      <c r="P86" s="100">
        <v>0.5</v>
      </c>
      <c r="Q86" s="100">
        <v>9.92</v>
      </c>
      <c r="R86" s="6"/>
      <c r="S86" s="6"/>
      <c r="T86" s="156"/>
      <c r="U86" s="6"/>
    </row>
    <row r="87" spans="1:21" customFormat="1">
      <c r="A87" s="163" t="s">
        <v>1566</v>
      </c>
      <c r="B87" s="100">
        <v>3.92</v>
      </c>
      <c r="C87" s="100">
        <v>8.32</v>
      </c>
      <c r="D87" s="100">
        <v>4.4000000000000004</v>
      </c>
      <c r="E87" s="100">
        <v>2.69</v>
      </c>
      <c r="F87" s="100">
        <v>17.920000000000002</v>
      </c>
      <c r="G87" s="100">
        <v>70.349999999999994</v>
      </c>
      <c r="H87" s="100">
        <v>19.11</v>
      </c>
      <c r="I87" s="100">
        <v>5.46</v>
      </c>
      <c r="J87" s="100">
        <v>0.18</v>
      </c>
      <c r="K87" s="100">
        <v>188.53</v>
      </c>
      <c r="L87" s="100">
        <v>30.42</v>
      </c>
      <c r="M87" s="100">
        <v>64.28</v>
      </c>
      <c r="N87" s="100">
        <v>2</v>
      </c>
      <c r="O87" s="100">
        <v>0</v>
      </c>
      <c r="P87" s="100">
        <v>0.5</v>
      </c>
      <c r="Q87" s="100">
        <v>9.94</v>
      </c>
      <c r="R87" s="6"/>
      <c r="S87" s="6"/>
      <c r="T87" s="156"/>
      <c r="U87" s="6"/>
    </row>
    <row r="88" spans="1:21" customFormat="1">
      <c r="A88" s="163" t="s">
        <v>1567</v>
      </c>
      <c r="B88" s="100">
        <v>3.9</v>
      </c>
      <c r="C88" s="100">
        <v>8.25</v>
      </c>
      <c r="D88" s="100">
        <v>4.3600000000000003</v>
      </c>
      <c r="E88" s="100">
        <v>2.56</v>
      </c>
      <c r="F88" s="100">
        <v>17.52</v>
      </c>
      <c r="G88" s="100">
        <v>70.349999999999994</v>
      </c>
      <c r="H88" s="100">
        <v>19.11</v>
      </c>
      <c r="I88" s="100">
        <v>5.0999999999999996</v>
      </c>
      <c r="J88" s="100">
        <v>0.13</v>
      </c>
      <c r="K88" s="100">
        <v>218.31</v>
      </c>
      <c r="L88" s="100">
        <v>30.08</v>
      </c>
      <c r="M88" s="100">
        <v>65.819999999999993</v>
      </c>
      <c r="N88" s="100">
        <v>2</v>
      </c>
      <c r="O88" s="100">
        <v>0</v>
      </c>
      <c r="P88" s="100">
        <v>0.5</v>
      </c>
      <c r="Q88" s="100">
        <v>9.94</v>
      </c>
      <c r="R88" s="6"/>
      <c r="S88" s="6"/>
      <c r="T88" s="156"/>
      <c r="U88" s="6"/>
    </row>
    <row r="89" spans="1:21" customFormat="1">
      <c r="A89" s="163" t="s">
        <v>1568</v>
      </c>
      <c r="B89" s="100">
        <v>3.93</v>
      </c>
      <c r="C89" s="100">
        <v>8.5399999999999991</v>
      </c>
      <c r="D89" s="100">
        <v>4.62</v>
      </c>
      <c r="E89" s="100">
        <v>2.15</v>
      </c>
      <c r="F89" s="100">
        <v>19.64</v>
      </c>
      <c r="G89" s="100">
        <v>67.72</v>
      </c>
      <c r="H89" s="100">
        <v>20.02</v>
      </c>
      <c r="I89" s="100">
        <v>5.23</v>
      </c>
      <c r="J89" s="100">
        <v>0.16</v>
      </c>
      <c r="K89" s="100">
        <v>217.19</v>
      </c>
      <c r="L89" s="100">
        <v>29.88</v>
      </c>
      <c r="M89" s="100">
        <v>68.540000000000006</v>
      </c>
      <c r="N89" s="100">
        <v>1.7</v>
      </c>
      <c r="O89" s="100">
        <v>0</v>
      </c>
      <c r="P89" s="100">
        <v>0.51</v>
      </c>
      <c r="Q89" s="100">
        <v>9.92</v>
      </c>
      <c r="R89" s="6"/>
      <c r="S89" s="6"/>
      <c r="T89" s="156"/>
      <c r="U89" s="6"/>
    </row>
    <row r="90" spans="1:21" customFormat="1">
      <c r="A90" s="163" t="s">
        <v>1569</v>
      </c>
      <c r="B90" s="100">
        <v>3.94</v>
      </c>
      <c r="C90" s="100">
        <v>8.65</v>
      </c>
      <c r="D90" s="100">
        <v>4.71</v>
      </c>
      <c r="E90" s="100">
        <v>2.13</v>
      </c>
      <c r="F90" s="100">
        <v>18.149999999999999</v>
      </c>
      <c r="G90" s="100">
        <v>61.25</v>
      </c>
      <c r="H90" s="100">
        <v>21.5</v>
      </c>
      <c r="I90" s="100">
        <v>5.5</v>
      </c>
      <c r="J90" s="100">
        <v>0.15</v>
      </c>
      <c r="K90" s="100">
        <v>168.18</v>
      </c>
      <c r="L90" s="100">
        <v>30.08</v>
      </c>
      <c r="M90" s="100">
        <v>68.930000000000007</v>
      </c>
      <c r="N90" s="100">
        <v>1.6</v>
      </c>
      <c r="O90" s="100">
        <v>0</v>
      </c>
      <c r="P90" s="100">
        <v>0.51</v>
      </c>
      <c r="Q90" s="100">
        <v>9.92</v>
      </c>
      <c r="R90" s="6"/>
      <c r="S90" s="6"/>
      <c r="T90" s="156"/>
      <c r="U90" s="6"/>
    </row>
    <row r="91" spans="1:21" customFormat="1">
      <c r="A91" s="163" t="s">
        <v>1570</v>
      </c>
      <c r="B91" s="100">
        <v>3.83</v>
      </c>
      <c r="C91" s="100">
        <v>8.98</v>
      </c>
      <c r="D91" s="100">
        <v>5.15</v>
      </c>
      <c r="E91" s="100">
        <v>1.98</v>
      </c>
      <c r="F91" s="100">
        <v>17.760000000000002</v>
      </c>
      <c r="G91" s="100">
        <v>61.25</v>
      </c>
      <c r="H91" s="100">
        <v>21.5</v>
      </c>
      <c r="I91" s="100">
        <v>5.45</v>
      </c>
      <c r="J91" s="100">
        <v>0.15</v>
      </c>
      <c r="K91" s="100">
        <v>174.49</v>
      </c>
      <c r="L91" s="100">
        <v>29.93</v>
      </c>
      <c r="M91" s="100">
        <v>70.69</v>
      </c>
      <c r="N91" s="100">
        <v>1.7</v>
      </c>
      <c r="O91" s="100">
        <v>0</v>
      </c>
      <c r="P91" s="100">
        <v>0.51</v>
      </c>
      <c r="Q91" s="100">
        <v>9.92</v>
      </c>
      <c r="R91" s="6"/>
      <c r="S91" s="6"/>
      <c r="T91" s="156"/>
      <c r="U91" s="6"/>
    </row>
    <row r="92" spans="1:21" customFormat="1">
      <c r="A92" s="163" t="s">
        <v>1571</v>
      </c>
      <c r="B92" s="100">
        <v>3.85</v>
      </c>
      <c r="C92" s="100">
        <v>8.61</v>
      </c>
      <c r="D92" s="100">
        <v>4.76</v>
      </c>
      <c r="E92" s="100">
        <v>2.56</v>
      </c>
      <c r="F92" s="100">
        <v>14.42</v>
      </c>
      <c r="G92" s="100">
        <v>61.25</v>
      </c>
      <c r="H92" s="100">
        <v>21.5</v>
      </c>
      <c r="I92" s="100">
        <v>5.74</v>
      </c>
      <c r="J92" s="100">
        <v>0.14000000000000001</v>
      </c>
      <c r="K92" s="100">
        <v>169.2</v>
      </c>
      <c r="L92" s="100">
        <v>29.91</v>
      </c>
      <c r="M92" s="100">
        <v>71.12</v>
      </c>
      <c r="N92" s="100">
        <v>1.7</v>
      </c>
      <c r="O92" s="100">
        <v>0</v>
      </c>
      <c r="P92" s="100">
        <v>0.52</v>
      </c>
      <c r="Q92" s="100">
        <v>9.93</v>
      </c>
      <c r="R92" s="6"/>
      <c r="S92" s="6"/>
      <c r="T92" s="156"/>
      <c r="U92" s="6"/>
    </row>
    <row r="93" spans="1:21" customFormat="1">
      <c r="A93" s="163" t="s">
        <v>1572</v>
      </c>
      <c r="B93" s="100">
        <v>3.81</v>
      </c>
      <c r="C93" s="100">
        <v>8.41</v>
      </c>
      <c r="D93" s="100">
        <v>4.5999999999999996</v>
      </c>
      <c r="E93" s="100">
        <v>2.4</v>
      </c>
      <c r="F93" s="100">
        <v>16.78</v>
      </c>
      <c r="G93" s="100">
        <v>61.81</v>
      </c>
      <c r="H93" s="100">
        <v>22.21</v>
      </c>
      <c r="I93" s="100">
        <v>6.1</v>
      </c>
      <c r="J93" s="100">
        <v>0.15</v>
      </c>
      <c r="K93" s="100">
        <v>162.49</v>
      </c>
      <c r="L93" s="100">
        <v>29.91</v>
      </c>
      <c r="M93" s="100">
        <v>71.349999999999994</v>
      </c>
      <c r="N93" s="100">
        <v>1.6</v>
      </c>
      <c r="O93" s="100">
        <v>0</v>
      </c>
      <c r="P93" s="100">
        <v>0.54</v>
      </c>
      <c r="Q93" s="100">
        <v>9.93</v>
      </c>
      <c r="R93" s="6"/>
      <c r="S93" s="6"/>
      <c r="T93" s="156"/>
      <c r="U93" s="6"/>
    </row>
    <row r="94" spans="1:21" customFormat="1">
      <c r="A94" s="163" t="s">
        <v>1573</v>
      </c>
      <c r="B94" s="100">
        <v>3.85</v>
      </c>
      <c r="C94" s="100">
        <v>8.3000000000000007</v>
      </c>
      <c r="D94" s="100">
        <v>4.4400000000000004</v>
      </c>
      <c r="E94" s="100">
        <v>2.33</v>
      </c>
      <c r="F94" s="100">
        <v>16.32</v>
      </c>
      <c r="G94" s="100">
        <v>63.17</v>
      </c>
      <c r="H94" s="100">
        <v>23.39</v>
      </c>
      <c r="I94" s="100">
        <v>5.88</v>
      </c>
      <c r="J94" s="100">
        <v>0.12</v>
      </c>
      <c r="K94" s="100">
        <v>210.63</v>
      </c>
      <c r="L94" s="100">
        <v>29.78</v>
      </c>
      <c r="M94" s="100">
        <v>71.040000000000006</v>
      </c>
      <c r="N94" s="100">
        <v>1.8</v>
      </c>
      <c r="O94" s="100">
        <v>0</v>
      </c>
      <c r="P94" s="100">
        <v>0.52</v>
      </c>
      <c r="Q94" s="100">
        <v>9.91</v>
      </c>
      <c r="R94" s="6"/>
      <c r="S94" s="6"/>
      <c r="T94" s="156"/>
      <c r="U94" s="6"/>
    </row>
    <row r="95" spans="1:21" customFormat="1">
      <c r="A95" s="163" t="s">
        <v>1574</v>
      </c>
      <c r="B95" s="100">
        <v>3.83</v>
      </c>
      <c r="C95" s="100">
        <v>8.1999999999999993</v>
      </c>
      <c r="D95" s="100">
        <v>4.37</v>
      </c>
      <c r="E95" s="100">
        <v>2.2599999999999998</v>
      </c>
      <c r="F95" s="100">
        <v>17.72</v>
      </c>
      <c r="G95" s="100">
        <v>63.17</v>
      </c>
      <c r="H95" s="100">
        <v>23.39</v>
      </c>
      <c r="I95" s="100">
        <v>6.28</v>
      </c>
      <c r="J95" s="100">
        <v>0.15</v>
      </c>
      <c r="K95" s="100">
        <v>166.33</v>
      </c>
      <c r="L95" s="100">
        <v>29.73</v>
      </c>
      <c r="M95" s="100">
        <v>70.739999999999995</v>
      </c>
      <c r="N95" s="100">
        <v>1.7</v>
      </c>
      <c r="O95" s="100">
        <v>0</v>
      </c>
      <c r="P95" s="100">
        <v>0.51</v>
      </c>
      <c r="Q95" s="100">
        <v>9.91</v>
      </c>
      <c r="R95" s="6"/>
      <c r="S95" s="6"/>
      <c r="T95" s="156"/>
      <c r="U95" s="6"/>
    </row>
    <row r="96" spans="1:21" customFormat="1">
      <c r="A96" s="163" t="s">
        <v>1575</v>
      </c>
      <c r="B96" s="100">
        <v>3.82</v>
      </c>
      <c r="C96" s="100">
        <v>7.96</v>
      </c>
      <c r="D96" s="100">
        <v>4.1399999999999997</v>
      </c>
      <c r="E96" s="100">
        <v>2.15</v>
      </c>
      <c r="F96" s="100">
        <v>18.2</v>
      </c>
      <c r="G96" s="100">
        <v>63.17</v>
      </c>
      <c r="H96" s="100">
        <v>23.39</v>
      </c>
      <c r="I96" s="100">
        <v>6</v>
      </c>
      <c r="J96" s="100">
        <v>0.15</v>
      </c>
      <c r="K96" s="100">
        <v>181.32</v>
      </c>
      <c r="L96" s="100">
        <v>29.69</v>
      </c>
      <c r="M96" s="100">
        <v>70.349999999999994</v>
      </c>
      <c r="N96" s="100">
        <v>1.7</v>
      </c>
      <c r="O96" s="100">
        <v>0</v>
      </c>
      <c r="P96" s="100">
        <v>0.48</v>
      </c>
      <c r="Q96" s="100">
        <v>9.91</v>
      </c>
      <c r="R96" s="6"/>
      <c r="S96" s="6"/>
      <c r="T96" s="156"/>
      <c r="U96" s="6"/>
    </row>
    <row r="97" spans="1:28" customFormat="1">
      <c r="A97" s="163" t="s">
        <v>1576</v>
      </c>
      <c r="B97" s="100">
        <v>3.85</v>
      </c>
      <c r="C97" s="100">
        <v>7.59</v>
      </c>
      <c r="D97" s="100">
        <v>3.74</v>
      </c>
      <c r="E97" s="100">
        <v>2</v>
      </c>
      <c r="F97" s="100">
        <v>15.66</v>
      </c>
      <c r="G97" s="100">
        <v>62.68</v>
      </c>
      <c r="H97" s="100">
        <v>22.92</v>
      </c>
      <c r="I97" s="100">
        <v>5.61</v>
      </c>
      <c r="J97" s="100">
        <v>0.23</v>
      </c>
      <c r="K97" s="100">
        <v>238.66</v>
      </c>
      <c r="L97" s="100">
        <v>29.66</v>
      </c>
      <c r="M97" s="100">
        <v>69.97</v>
      </c>
      <c r="N97" s="100">
        <v>1.7</v>
      </c>
      <c r="O97" s="100">
        <v>0</v>
      </c>
      <c r="P97" s="100">
        <v>0.49</v>
      </c>
      <c r="Q97" s="100">
        <v>9.91</v>
      </c>
      <c r="R97" s="6"/>
      <c r="S97" s="6"/>
      <c r="T97" s="156"/>
      <c r="U97" s="6"/>
    </row>
    <row r="98" spans="1:28" customFormat="1">
      <c r="A98" s="163" t="s">
        <v>1577</v>
      </c>
      <c r="B98" s="100">
        <v>3.9</v>
      </c>
      <c r="C98" s="100">
        <v>7.69</v>
      </c>
      <c r="D98" s="100">
        <v>3.79</v>
      </c>
      <c r="E98" s="100">
        <v>2.46</v>
      </c>
      <c r="F98" s="100">
        <v>12.71</v>
      </c>
      <c r="G98" s="100">
        <v>61.46</v>
      </c>
      <c r="H98" s="100">
        <v>20.98</v>
      </c>
      <c r="I98" s="100">
        <v>5.22</v>
      </c>
      <c r="J98" s="100">
        <v>0.08</v>
      </c>
      <c r="K98" s="100">
        <v>206.96</v>
      </c>
      <c r="L98" s="100">
        <v>29.52</v>
      </c>
      <c r="M98" s="100">
        <v>70.819999999999993</v>
      </c>
      <c r="N98" s="100">
        <v>2</v>
      </c>
      <c r="O98" s="100">
        <v>0</v>
      </c>
      <c r="P98" s="100">
        <v>0.5</v>
      </c>
      <c r="Q98" s="100">
        <v>9.91</v>
      </c>
      <c r="R98" s="6"/>
      <c r="S98" s="6"/>
      <c r="T98" s="156"/>
      <c r="U98" s="6"/>
    </row>
    <row r="99" spans="1:28" customFormat="1">
      <c r="A99" s="163" t="s">
        <v>1578</v>
      </c>
      <c r="B99" s="100">
        <v>3.91</v>
      </c>
      <c r="C99" s="100">
        <v>7.9</v>
      </c>
      <c r="D99" s="100">
        <v>3.99</v>
      </c>
      <c r="E99" s="100">
        <v>2.61</v>
      </c>
      <c r="F99" s="100">
        <v>14.95</v>
      </c>
      <c r="G99" s="100">
        <v>61.46</v>
      </c>
      <c r="H99" s="100">
        <v>20.98</v>
      </c>
      <c r="I99" s="100">
        <v>5.21</v>
      </c>
      <c r="J99" s="100">
        <v>0.12</v>
      </c>
      <c r="K99" s="100">
        <v>180.55</v>
      </c>
      <c r="L99" s="100">
        <v>29.34</v>
      </c>
      <c r="M99" s="100">
        <v>71.75</v>
      </c>
      <c r="N99" s="100">
        <v>1.9</v>
      </c>
      <c r="O99" s="100">
        <v>0</v>
      </c>
      <c r="P99" s="100">
        <v>0.49</v>
      </c>
      <c r="Q99" s="100">
        <v>9.91</v>
      </c>
      <c r="R99" s="6"/>
      <c r="S99" s="6"/>
      <c r="T99" s="156"/>
      <c r="U99" s="6"/>
    </row>
    <row r="100" spans="1:28" customFormat="1">
      <c r="A100" s="163" t="s">
        <v>1579</v>
      </c>
      <c r="B100" s="100">
        <v>3.98</v>
      </c>
      <c r="C100" s="100">
        <v>7.92</v>
      </c>
      <c r="D100" s="100">
        <v>3.94</v>
      </c>
      <c r="E100" s="100">
        <v>2.34</v>
      </c>
      <c r="F100" s="100">
        <v>15.86</v>
      </c>
      <c r="G100" s="100">
        <v>61.46</v>
      </c>
      <c r="H100" s="100">
        <v>20.98</v>
      </c>
      <c r="I100" s="100">
        <v>5.38</v>
      </c>
      <c r="J100" s="100">
        <v>0.14000000000000001</v>
      </c>
      <c r="K100" s="100">
        <v>216.89</v>
      </c>
      <c r="L100" s="100">
        <v>29.13</v>
      </c>
      <c r="M100" s="100">
        <v>73.62</v>
      </c>
      <c r="N100" s="100">
        <v>1.8</v>
      </c>
      <c r="O100" s="100">
        <v>0</v>
      </c>
      <c r="P100" s="100">
        <v>0.48</v>
      </c>
      <c r="Q100" s="100">
        <v>9.92</v>
      </c>
      <c r="R100" s="6"/>
      <c r="S100" s="6"/>
      <c r="T100" s="156"/>
      <c r="U100" s="6"/>
      <c r="AB100" s="161"/>
    </row>
    <row r="101" spans="1:28" customFormat="1">
      <c r="A101" s="163" t="s">
        <v>1580</v>
      </c>
      <c r="B101" s="100">
        <v>4.0199999999999996</v>
      </c>
      <c r="C101" s="100">
        <v>7.96</v>
      </c>
      <c r="D101" s="100">
        <v>3.94</v>
      </c>
      <c r="E101" s="100">
        <v>2.09</v>
      </c>
      <c r="F101" s="100">
        <v>14.6</v>
      </c>
      <c r="G101" s="100">
        <v>58.91</v>
      </c>
      <c r="H101" s="100">
        <v>19.53</v>
      </c>
      <c r="I101" s="100">
        <v>5.05</v>
      </c>
      <c r="J101" s="100">
        <v>0.18</v>
      </c>
      <c r="K101" s="100">
        <v>169.1</v>
      </c>
      <c r="L101" s="100">
        <v>29.2</v>
      </c>
      <c r="M101" s="100">
        <v>73.569999999999993</v>
      </c>
      <c r="N101" s="100">
        <v>1.8</v>
      </c>
      <c r="O101" s="100">
        <v>0</v>
      </c>
      <c r="P101" s="100">
        <v>0.47</v>
      </c>
      <c r="Q101" s="100">
        <v>9.94</v>
      </c>
      <c r="R101" s="6"/>
      <c r="S101" s="6"/>
      <c r="T101" s="156"/>
      <c r="U101" s="6"/>
    </row>
    <row r="102" spans="1:28" customFormat="1">
      <c r="A102" s="163" t="s">
        <v>1581</v>
      </c>
      <c r="B102" s="100">
        <v>4.12</v>
      </c>
      <c r="C102" s="100">
        <v>7.84</v>
      </c>
      <c r="D102" s="100">
        <v>3.72</v>
      </c>
      <c r="E102" s="100">
        <v>2.5</v>
      </c>
      <c r="F102" s="100">
        <v>7.05</v>
      </c>
      <c r="G102" s="100">
        <v>52.63</v>
      </c>
      <c r="H102" s="100">
        <v>17.149999999999999</v>
      </c>
      <c r="I102" s="100">
        <v>4.91</v>
      </c>
      <c r="J102" s="100">
        <v>0.16</v>
      </c>
      <c r="K102" s="100">
        <v>177.39</v>
      </c>
      <c r="L102" s="100">
        <v>29.16</v>
      </c>
      <c r="M102" s="100">
        <v>74.13</v>
      </c>
      <c r="N102" s="100">
        <v>1.8</v>
      </c>
      <c r="O102" s="100">
        <v>0</v>
      </c>
      <c r="P102" s="100">
        <v>0.51</v>
      </c>
      <c r="Q102" s="100">
        <v>9.9</v>
      </c>
      <c r="R102" s="6"/>
      <c r="S102" s="6"/>
      <c r="T102" s="156"/>
      <c r="U102" s="6"/>
    </row>
    <row r="103" spans="1:28" customFormat="1">
      <c r="A103" s="163" t="s">
        <v>1582</v>
      </c>
      <c r="B103" s="100">
        <v>4.2</v>
      </c>
      <c r="C103" s="100">
        <v>8.32</v>
      </c>
      <c r="D103" s="100">
        <v>4.12</v>
      </c>
      <c r="E103" s="100">
        <v>3.11</v>
      </c>
      <c r="F103" s="100">
        <v>4.3600000000000003</v>
      </c>
      <c r="G103" s="100">
        <v>52.63</v>
      </c>
      <c r="H103" s="100">
        <v>17.149999999999999</v>
      </c>
      <c r="I103" s="100">
        <v>5.05</v>
      </c>
      <c r="J103" s="100">
        <v>0.19</v>
      </c>
      <c r="K103" s="100">
        <v>172.3</v>
      </c>
      <c r="L103" s="100">
        <v>29.33</v>
      </c>
      <c r="M103" s="100">
        <v>73.75</v>
      </c>
      <c r="N103" s="100">
        <v>1.7</v>
      </c>
      <c r="O103" s="100">
        <v>0</v>
      </c>
      <c r="P103" s="100">
        <v>0.47</v>
      </c>
      <c r="Q103" s="100">
        <v>9.91</v>
      </c>
      <c r="R103" s="6"/>
      <c r="S103" s="6"/>
      <c r="T103" s="156"/>
      <c r="U103" s="6"/>
    </row>
    <row r="104" spans="1:28" customFormat="1">
      <c r="A104" s="163" t="s">
        <v>1583</v>
      </c>
      <c r="B104" s="100">
        <v>4.24</v>
      </c>
      <c r="C104" s="100">
        <v>8.56</v>
      </c>
      <c r="D104" s="100">
        <v>4.32</v>
      </c>
      <c r="E104" s="100">
        <v>3.27</v>
      </c>
      <c r="F104" s="100">
        <v>3.86</v>
      </c>
      <c r="G104" s="100">
        <v>52.63</v>
      </c>
      <c r="H104" s="100">
        <v>17.149999999999999</v>
      </c>
      <c r="I104" s="100">
        <v>5.61</v>
      </c>
      <c r="J104" s="100">
        <v>0.16</v>
      </c>
      <c r="K104" s="100">
        <v>177.46</v>
      </c>
      <c r="L104" s="100">
        <v>29.33</v>
      </c>
      <c r="M104" s="100">
        <v>73.98</v>
      </c>
      <c r="N104" s="100">
        <v>1.8</v>
      </c>
      <c r="O104" s="100">
        <v>0</v>
      </c>
      <c r="P104" s="100">
        <v>0.45</v>
      </c>
      <c r="Q104" s="100">
        <v>9.9</v>
      </c>
      <c r="R104" s="6"/>
      <c r="S104" s="6"/>
      <c r="T104" s="156"/>
      <c r="U104" s="6"/>
    </row>
    <row r="106" spans="1:28">
      <c r="A106" s="157" t="s">
        <v>48</v>
      </c>
      <c r="B106" s="158">
        <f t="shared" ref="B106:Q106" si="0">MIN(B9:B104)</f>
        <v>3.55</v>
      </c>
      <c r="C106" s="158">
        <f t="shared" si="0"/>
        <v>7.16</v>
      </c>
      <c r="D106" s="158">
        <f t="shared" si="0"/>
        <v>3.47</v>
      </c>
      <c r="E106" s="158">
        <f t="shared" si="0"/>
        <v>1.98</v>
      </c>
      <c r="F106" s="158">
        <f t="shared" si="0"/>
        <v>2.27</v>
      </c>
      <c r="G106" s="158">
        <f t="shared" si="0"/>
        <v>39.89</v>
      </c>
      <c r="H106" s="158">
        <f t="shared" si="0"/>
        <v>11.82</v>
      </c>
      <c r="I106" s="158">
        <f t="shared" si="0"/>
        <v>4.16</v>
      </c>
      <c r="J106" s="158">
        <f t="shared" si="0"/>
        <v>7.0000000000000007E-2</v>
      </c>
      <c r="K106" s="158">
        <f t="shared" si="0"/>
        <v>6.3</v>
      </c>
      <c r="L106" s="158">
        <f t="shared" si="0"/>
        <v>28.23</v>
      </c>
      <c r="M106" s="158">
        <f t="shared" si="0"/>
        <v>42.93</v>
      </c>
      <c r="N106" s="158">
        <f t="shared" si="0"/>
        <v>1.6</v>
      </c>
      <c r="O106" s="158">
        <f t="shared" si="0"/>
        <v>0</v>
      </c>
      <c r="P106" s="158">
        <f t="shared" si="0"/>
        <v>0.28999999999999998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 t="shared" ref="B107:Q107" si="1">MAX(B9:B104)</f>
        <v>5.31</v>
      </c>
      <c r="C107" s="157">
        <f t="shared" si="1"/>
        <v>10.210000000000001</v>
      </c>
      <c r="D107" s="157">
        <f t="shared" si="1"/>
        <v>5.89</v>
      </c>
      <c r="E107" s="157">
        <f t="shared" si="1"/>
        <v>8.85</v>
      </c>
      <c r="F107" s="157">
        <f t="shared" si="1"/>
        <v>28.21</v>
      </c>
      <c r="G107" s="157">
        <f t="shared" si="1"/>
        <v>108.17</v>
      </c>
      <c r="H107" s="157">
        <f t="shared" si="1"/>
        <v>31.58</v>
      </c>
      <c r="I107" s="157">
        <f t="shared" si="1"/>
        <v>8.35</v>
      </c>
      <c r="J107" s="157">
        <f t="shared" si="1"/>
        <v>2.04</v>
      </c>
      <c r="K107" s="157">
        <f t="shared" si="1"/>
        <v>290.67</v>
      </c>
      <c r="L107" s="157">
        <f t="shared" si="1"/>
        <v>37.450000000000003</v>
      </c>
      <c r="M107" s="157">
        <f t="shared" si="1"/>
        <v>81.790000000000006</v>
      </c>
      <c r="N107" s="157">
        <f t="shared" si="1"/>
        <v>785</v>
      </c>
      <c r="O107" s="157">
        <f t="shared" si="1"/>
        <v>0</v>
      </c>
      <c r="P107" s="157">
        <f t="shared" si="1"/>
        <v>0.69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 t="shared" ref="B108:Q108" si="2">AVERAGE(B9:B104)</f>
        <v>4.2064583333333339</v>
      </c>
      <c r="C108" s="158">
        <f t="shared" si="2"/>
        <v>8.6311458333333366</v>
      </c>
      <c r="D108" s="158">
        <f t="shared" si="2"/>
        <v>4.4247916666666676</v>
      </c>
      <c r="E108" s="158">
        <f t="shared" si="2"/>
        <v>4.8470833333333321</v>
      </c>
      <c r="F108" s="158">
        <f t="shared" si="2"/>
        <v>10.663749999999999</v>
      </c>
      <c r="G108" s="158">
        <f t="shared" si="2"/>
        <v>59.82895833333334</v>
      </c>
      <c r="H108" s="158">
        <f t="shared" si="2"/>
        <v>20.761979166666659</v>
      </c>
      <c r="I108" s="158">
        <f t="shared" si="2"/>
        <v>5.5393749999999997</v>
      </c>
      <c r="J108" s="158">
        <f t="shared" si="2"/>
        <v>0.35635416666666636</v>
      </c>
      <c r="K108" s="158">
        <f t="shared" si="2"/>
        <v>197.92208333333329</v>
      </c>
      <c r="L108" s="158">
        <f t="shared" si="2"/>
        <v>31.440208333333327</v>
      </c>
      <c r="M108" s="158">
        <f t="shared" si="2"/>
        <v>65.774999999999991</v>
      </c>
      <c r="N108" s="158">
        <f t="shared" si="2"/>
        <v>113.75416666666665</v>
      </c>
      <c r="O108" s="158">
        <f t="shared" si="2"/>
        <v>0</v>
      </c>
      <c r="P108" s="158">
        <f t="shared" si="2"/>
        <v>0.44895833333333318</v>
      </c>
      <c r="Q108" s="158">
        <f t="shared" si="2"/>
        <v>9.9182291666666575</v>
      </c>
      <c r="R108" s="158"/>
      <c r="S108" s="158"/>
      <c r="T108" s="158"/>
      <c r="U108" s="158"/>
    </row>
    <row r="109" spans="1:28">
      <c r="A109" s="157" t="s">
        <v>51</v>
      </c>
      <c r="B109" s="158">
        <f t="shared" ref="B109:Q109" si="3">STDEV(B9:B104)</f>
        <v>0.51653700976418693</v>
      </c>
      <c r="C109" s="158">
        <f t="shared" si="3"/>
        <v>0.77120393888444128</v>
      </c>
      <c r="D109" s="158">
        <f t="shared" si="3"/>
        <v>0.63012443076396074</v>
      </c>
      <c r="E109" s="158">
        <f t="shared" si="3"/>
        <v>1.6574316952928758</v>
      </c>
      <c r="F109" s="158">
        <f t="shared" si="3"/>
        <v>6.8635992169215694</v>
      </c>
      <c r="G109" s="158">
        <f t="shared" si="3"/>
        <v>17.326226696401296</v>
      </c>
      <c r="H109" s="158">
        <f t="shared" si="3"/>
        <v>5.7826099770717585</v>
      </c>
      <c r="I109" s="158">
        <f t="shared" si="3"/>
        <v>1.1186362115022952</v>
      </c>
      <c r="J109" s="158">
        <f t="shared" si="3"/>
        <v>0.29771805734061035</v>
      </c>
      <c r="K109" s="158">
        <f t="shared" si="3"/>
        <v>60.190307174156544</v>
      </c>
      <c r="L109" s="158">
        <f t="shared" si="3"/>
        <v>2.7905743529421043</v>
      </c>
      <c r="M109" s="158">
        <f t="shared" si="3"/>
        <v>11.044876020842977</v>
      </c>
      <c r="N109" s="158">
        <f t="shared" si="3"/>
        <v>172.6917228484067</v>
      </c>
      <c r="O109" s="158">
        <f t="shared" si="3"/>
        <v>0</v>
      </c>
      <c r="P109" s="158">
        <f t="shared" si="3"/>
        <v>9.5998675063957525E-2</v>
      </c>
      <c r="Q109" s="158">
        <f t="shared" si="3"/>
        <v>1.2139087945160646E-2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B117:U117"/>
    <mergeCell ref="C2:F2"/>
    <mergeCell ref="C3:F3"/>
    <mergeCell ref="C4:F4"/>
    <mergeCell ref="B115:D115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D13" sqref="D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1584</v>
      </c>
      <c r="B9" s="100">
        <v>4.1500000000000004</v>
      </c>
      <c r="C9" s="100">
        <v>9.4700000000000006</v>
      </c>
      <c r="D9" s="100">
        <v>5.32</v>
      </c>
      <c r="E9" s="100">
        <v>3.43</v>
      </c>
      <c r="F9" s="100">
        <v>5.05</v>
      </c>
      <c r="G9" s="100">
        <v>51.96</v>
      </c>
      <c r="H9" s="100">
        <v>16.13</v>
      </c>
      <c r="I9" s="100">
        <v>5.51</v>
      </c>
      <c r="J9" s="100">
        <v>0.23</v>
      </c>
      <c r="K9" s="100">
        <v>161.31</v>
      </c>
      <c r="L9" s="100">
        <v>29.45</v>
      </c>
      <c r="M9" s="100">
        <v>73.900000000000006</v>
      </c>
      <c r="N9" s="100">
        <v>1.9</v>
      </c>
      <c r="O9" s="100">
        <v>0</v>
      </c>
      <c r="P9" s="100">
        <v>0.45</v>
      </c>
      <c r="Q9" s="100">
        <v>9.9</v>
      </c>
      <c r="R9" s="6"/>
      <c r="S9" s="6"/>
      <c r="T9" s="156"/>
      <c r="U9" s="6"/>
    </row>
    <row r="10" spans="1:21" customFormat="1">
      <c r="A10" s="163" t="s">
        <v>1585</v>
      </c>
      <c r="B10" s="100">
        <v>4.22</v>
      </c>
      <c r="C10" s="100">
        <v>9.09</v>
      </c>
      <c r="D10" s="100">
        <v>4.87</v>
      </c>
      <c r="E10" s="100">
        <v>3.73</v>
      </c>
      <c r="F10" s="100">
        <v>4.34</v>
      </c>
      <c r="G10" s="100">
        <v>50.31</v>
      </c>
      <c r="H10" s="100">
        <v>14.46</v>
      </c>
      <c r="I10" s="100">
        <v>5.41</v>
      </c>
      <c r="J10" s="100">
        <v>0.2</v>
      </c>
      <c r="K10" s="100">
        <v>157.01</v>
      </c>
      <c r="L10" s="100">
        <v>29.26</v>
      </c>
      <c r="M10" s="100">
        <v>74.87</v>
      </c>
      <c r="N10" s="100">
        <v>2</v>
      </c>
      <c r="O10" s="100">
        <v>0</v>
      </c>
      <c r="P10" s="100">
        <v>0.44</v>
      </c>
      <c r="Q10" s="100">
        <v>9.91</v>
      </c>
      <c r="R10" s="6"/>
      <c r="S10" s="6"/>
      <c r="T10" s="156"/>
      <c r="U10" s="6"/>
    </row>
    <row r="11" spans="1:21" customFormat="1">
      <c r="A11" s="163" t="s">
        <v>1586</v>
      </c>
      <c r="B11" s="100">
        <v>4.26</v>
      </c>
      <c r="C11" s="100">
        <v>8.85</v>
      </c>
      <c r="D11" s="100">
        <v>4.59</v>
      </c>
      <c r="E11" s="100">
        <v>3.93</v>
      </c>
      <c r="F11" s="100">
        <v>3.48</v>
      </c>
      <c r="G11" s="100">
        <v>50.31</v>
      </c>
      <c r="H11" s="100">
        <v>14.46</v>
      </c>
      <c r="I11" s="100">
        <v>5.28</v>
      </c>
      <c r="J11" s="100">
        <v>0.17</v>
      </c>
      <c r="K11" s="100">
        <v>167.03</v>
      </c>
      <c r="L11" s="100">
        <v>29.06</v>
      </c>
      <c r="M11" s="100">
        <v>75.95</v>
      </c>
      <c r="N11" s="100">
        <v>2</v>
      </c>
      <c r="O11" s="100">
        <v>0</v>
      </c>
      <c r="P11" s="100">
        <v>0.45</v>
      </c>
      <c r="Q11" s="100">
        <v>9.92</v>
      </c>
      <c r="R11" s="6"/>
      <c r="S11" s="6"/>
      <c r="T11" s="156"/>
      <c r="U11" s="6"/>
    </row>
    <row r="12" spans="1:21" customFormat="1">
      <c r="A12" s="163" t="s">
        <v>1587</v>
      </c>
      <c r="B12" s="100">
        <v>4.28</v>
      </c>
      <c r="C12" s="100">
        <v>8.5500000000000007</v>
      </c>
      <c r="D12" s="100">
        <v>4.2699999999999996</v>
      </c>
      <c r="E12" s="100">
        <v>3.87</v>
      </c>
      <c r="F12" s="100">
        <v>3.33</v>
      </c>
      <c r="G12" s="100">
        <v>50.31</v>
      </c>
      <c r="H12" s="100">
        <v>14.46</v>
      </c>
      <c r="I12" s="100">
        <v>5.25</v>
      </c>
      <c r="J12" s="100">
        <v>0.17</v>
      </c>
      <c r="K12" s="100">
        <v>168.19</v>
      </c>
      <c r="L12" s="100">
        <v>28.98</v>
      </c>
      <c r="M12" s="100">
        <v>76.77</v>
      </c>
      <c r="N12" s="100">
        <v>2</v>
      </c>
      <c r="O12" s="100">
        <v>0</v>
      </c>
      <c r="P12" s="100">
        <v>0.45</v>
      </c>
      <c r="Q12" s="100">
        <v>9.92</v>
      </c>
      <c r="R12" s="6"/>
      <c r="S12" s="6"/>
      <c r="T12" s="156"/>
      <c r="U12" s="6"/>
    </row>
    <row r="13" spans="1:21" customFormat="1">
      <c r="A13" s="163" t="s">
        <v>1588</v>
      </c>
      <c r="B13" s="100">
        <v>4.29</v>
      </c>
      <c r="C13" s="100">
        <v>8.65</v>
      </c>
      <c r="D13" s="100">
        <v>4.3600000000000003</v>
      </c>
      <c r="E13" s="100">
        <v>3.88</v>
      </c>
      <c r="F13" s="100">
        <v>2.82</v>
      </c>
      <c r="G13" s="100">
        <v>50.84</v>
      </c>
      <c r="H13" s="100">
        <v>14.84</v>
      </c>
      <c r="I13" s="100">
        <v>5.21</v>
      </c>
      <c r="J13" s="100">
        <v>0.22</v>
      </c>
      <c r="K13" s="100">
        <v>163.18</v>
      </c>
      <c r="L13" s="100">
        <v>28.86</v>
      </c>
      <c r="M13" s="100">
        <v>76.989999999999995</v>
      </c>
      <c r="N13" s="100">
        <v>1.9</v>
      </c>
      <c r="O13" s="100">
        <v>0</v>
      </c>
      <c r="P13" s="100">
        <v>0.43</v>
      </c>
      <c r="Q13" s="100">
        <v>9.91</v>
      </c>
      <c r="R13" s="6"/>
      <c r="S13" s="6"/>
      <c r="T13" s="156"/>
      <c r="U13" s="6"/>
    </row>
    <row r="14" spans="1:21" customFormat="1">
      <c r="A14" s="163" t="s">
        <v>1589</v>
      </c>
      <c r="B14" s="100">
        <v>4.3099999999999996</v>
      </c>
      <c r="C14" s="100">
        <v>8.76</v>
      </c>
      <c r="D14" s="100">
        <v>4.46</v>
      </c>
      <c r="E14" s="100">
        <v>3.89</v>
      </c>
      <c r="F14" s="100">
        <v>2.66</v>
      </c>
      <c r="G14" s="100">
        <v>52.23</v>
      </c>
      <c r="H14" s="100">
        <v>15.49</v>
      </c>
      <c r="I14" s="100">
        <v>5.1100000000000003</v>
      </c>
      <c r="J14" s="100">
        <v>0.18</v>
      </c>
      <c r="K14" s="100">
        <v>166.28</v>
      </c>
      <c r="L14" s="100">
        <v>28.7</v>
      </c>
      <c r="M14" s="100">
        <v>78.78</v>
      </c>
      <c r="N14" s="100">
        <v>1.9</v>
      </c>
      <c r="O14" s="100">
        <v>0</v>
      </c>
      <c r="P14" s="100">
        <v>0.44</v>
      </c>
      <c r="Q14" s="100">
        <v>9.91</v>
      </c>
      <c r="R14" s="6"/>
      <c r="S14" s="6"/>
      <c r="T14" s="156"/>
      <c r="U14" s="6"/>
    </row>
    <row r="15" spans="1:21" customFormat="1">
      <c r="A15" s="163" t="s">
        <v>1590</v>
      </c>
      <c r="B15" s="100">
        <v>4.3499999999999996</v>
      </c>
      <c r="C15" s="100">
        <v>8.57</v>
      </c>
      <c r="D15" s="100">
        <v>4.2300000000000004</v>
      </c>
      <c r="E15" s="100">
        <v>4</v>
      </c>
      <c r="F15" s="100">
        <v>3.23</v>
      </c>
      <c r="G15" s="100">
        <v>52.23</v>
      </c>
      <c r="H15" s="100">
        <v>15.49</v>
      </c>
      <c r="I15" s="100">
        <v>4.97</v>
      </c>
      <c r="J15" s="100">
        <v>0.15</v>
      </c>
      <c r="K15" s="100">
        <v>205.03</v>
      </c>
      <c r="L15" s="100">
        <v>28.51</v>
      </c>
      <c r="M15" s="100">
        <v>79.849999999999994</v>
      </c>
      <c r="N15" s="100">
        <v>2</v>
      </c>
      <c r="O15" s="100">
        <v>0</v>
      </c>
      <c r="P15" s="100">
        <v>0.44</v>
      </c>
      <c r="Q15" s="100">
        <v>9.92</v>
      </c>
      <c r="R15" s="6"/>
      <c r="S15" s="6"/>
      <c r="T15" s="156"/>
      <c r="U15" s="6"/>
    </row>
    <row r="16" spans="1:21" customFormat="1">
      <c r="A16" s="163" t="s">
        <v>1591</v>
      </c>
      <c r="B16" s="100">
        <v>4.41</v>
      </c>
      <c r="C16" s="100">
        <v>8.3800000000000008</v>
      </c>
      <c r="D16" s="100">
        <v>3.97</v>
      </c>
      <c r="E16" s="100">
        <v>4.3600000000000003</v>
      </c>
      <c r="F16" s="100">
        <v>3.06</v>
      </c>
      <c r="G16" s="100">
        <v>52.23</v>
      </c>
      <c r="H16" s="100">
        <v>15.49</v>
      </c>
      <c r="I16" s="100">
        <v>4.9400000000000004</v>
      </c>
      <c r="J16" s="100">
        <v>0.13</v>
      </c>
      <c r="K16" s="100">
        <v>194.12</v>
      </c>
      <c r="L16" s="100">
        <v>28.46</v>
      </c>
      <c r="M16" s="100">
        <v>79.650000000000006</v>
      </c>
      <c r="N16" s="100">
        <v>1.8</v>
      </c>
      <c r="O16" s="100">
        <v>0</v>
      </c>
      <c r="P16" s="100">
        <v>0.43</v>
      </c>
      <c r="Q16" s="100">
        <v>9.91</v>
      </c>
      <c r="R16" s="6"/>
      <c r="S16" s="6"/>
      <c r="T16" s="156"/>
      <c r="U16" s="6"/>
    </row>
    <row r="17" spans="1:21" customFormat="1">
      <c r="A17" s="163" t="s">
        <v>1592</v>
      </c>
      <c r="B17" s="100">
        <v>4.45</v>
      </c>
      <c r="C17" s="100">
        <v>8.5299999999999994</v>
      </c>
      <c r="D17" s="100">
        <v>4.08</v>
      </c>
      <c r="E17" s="100">
        <v>4.1100000000000003</v>
      </c>
      <c r="F17" s="100">
        <v>2.5299999999999998</v>
      </c>
      <c r="G17" s="100">
        <v>50.45</v>
      </c>
      <c r="H17" s="100">
        <v>16.440000000000001</v>
      </c>
      <c r="I17" s="100">
        <v>4.99</v>
      </c>
      <c r="J17" s="100">
        <v>0.14000000000000001</v>
      </c>
      <c r="K17" s="100">
        <v>210.09</v>
      </c>
      <c r="L17" s="100">
        <v>28.57</v>
      </c>
      <c r="M17" s="100">
        <v>78.64</v>
      </c>
      <c r="N17" s="100">
        <v>1.8</v>
      </c>
      <c r="O17" s="100">
        <v>0</v>
      </c>
      <c r="P17" s="100">
        <v>0.43</v>
      </c>
      <c r="Q17" s="100">
        <v>9.92</v>
      </c>
      <c r="R17" s="6"/>
      <c r="S17" s="6"/>
      <c r="T17" s="156"/>
      <c r="U17" s="6"/>
    </row>
    <row r="18" spans="1:21" customFormat="1">
      <c r="A18" s="163" t="s">
        <v>1593</v>
      </c>
      <c r="B18" s="100">
        <v>4.4800000000000004</v>
      </c>
      <c r="C18" s="100">
        <v>8.57</v>
      </c>
      <c r="D18" s="100">
        <v>4.09</v>
      </c>
      <c r="E18" s="100">
        <v>5.13</v>
      </c>
      <c r="F18" s="100">
        <v>2.58</v>
      </c>
      <c r="G18" s="100">
        <v>46.06</v>
      </c>
      <c r="H18" s="100">
        <v>18</v>
      </c>
      <c r="I18" s="100">
        <v>4.8099999999999996</v>
      </c>
      <c r="J18" s="100">
        <v>0.18</v>
      </c>
      <c r="K18" s="100">
        <v>204.56</v>
      </c>
      <c r="L18" s="100">
        <v>28.61</v>
      </c>
      <c r="M18" s="100">
        <v>77.63</v>
      </c>
      <c r="N18" s="100">
        <v>1.7</v>
      </c>
      <c r="O18" s="100">
        <v>0</v>
      </c>
      <c r="P18" s="100">
        <v>0.43</v>
      </c>
      <c r="Q18" s="100">
        <v>9.92</v>
      </c>
      <c r="R18" s="6"/>
      <c r="S18" s="6"/>
      <c r="T18" s="156"/>
      <c r="U18" s="6"/>
    </row>
    <row r="19" spans="1:21" customFormat="1">
      <c r="A19" s="163" t="s">
        <v>1594</v>
      </c>
      <c r="B19" s="100">
        <v>4.51</v>
      </c>
      <c r="C19" s="100">
        <v>8.3699999999999992</v>
      </c>
      <c r="D19" s="100">
        <v>3.86</v>
      </c>
      <c r="E19" s="100">
        <v>5</v>
      </c>
      <c r="F19" s="100">
        <v>3.06</v>
      </c>
      <c r="G19" s="100">
        <v>46.06</v>
      </c>
      <c r="H19" s="100">
        <v>18</v>
      </c>
      <c r="I19" s="100">
        <v>4.76</v>
      </c>
      <c r="J19" s="100">
        <v>0.18</v>
      </c>
      <c r="K19" s="100">
        <v>178.21</v>
      </c>
      <c r="L19" s="100">
        <v>28.58</v>
      </c>
      <c r="M19" s="100">
        <v>77.599999999999994</v>
      </c>
      <c r="N19" s="100">
        <v>1.8</v>
      </c>
      <c r="O19" s="100">
        <v>0</v>
      </c>
      <c r="P19" s="100">
        <v>0.43</v>
      </c>
      <c r="Q19" s="100">
        <v>9.91</v>
      </c>
      <c r="R19" s="6"/>
      <c r="S19" s="6"/>
      <c r="T19" s="156"/>
      <c r="U19" s="6"/>
    </row>
    <row r="20" spans="1:21" customFormat="1">
      <c r="A20" s="163" t="s">
        <v>1595</v>
      </c>
      <c r="B20" s="100">
        <v>4.51</v>
      </c>
      <c r="C20" s="100">
        <v>8.34</v>
      </c>
      <c r="D20" s="100">
        <v>3.83</v>
      </c>
      <c r="E20" s="100">
        <v>4.95</v>
      </c>
      <c r="F20" s="100">
        <v>3.68</v>
      </c>
      <c r="G20" s="100">
        <v>46.06</v>
      </c>
      <c r="H20" s="100">
        <v>18</v>
      </c>
      <c r="I20" s="100">
        <v>4.83</v>
      </c>
      <c r="J20" s="100">
        <v>0.2</v>
      </c>
      <c r="K20" s="100">
        <v>160.56</v>
      </c>
      <c r="L20" s="100">
        <v>28.56</v>
      </c>
      <c r="M20" s="100">
        <v>77.98</v>
      </c>
      <c r="N20" s="100">
        <v>1.9</v>
      </c>
      <c r="O20" s="100">
        <v>0</v>
      </c>
      <c r="P20" s="100">
        <v>0.42</v>
      </c>
      <c r="Q20" s="100">
        <v>9.91</v>
      </c>
      <c r="R20" s="6"/>
      <c r="S20" s="6"/>
      <c r="T20" s="156"/>
      <c r="U20" s="6"/>
    </row>
    <row r="21" spans="1:21" customFormat="1">
      <c r="A21" s="163" t="s">
        <v>1596</v>
      </c>
      <c r="B21" s="100">
        <v>4.5</v>
      </c>
      <c r="C21" s="100">
        <v>8.44</v>
      </c>
      <c r="D21" s="100">
        <v>3.94</v>
      </c>
      <c r="E21" s="100">
        <v>5.14</v>
      </c>
      <c r="F21" s="100">
        <v>3.56</v>
      </c>
      <c r="G21" s="100">
        <v>43.87</v>
      </c>
      <c r="H21" s="100">
        <v>16.690000000000001</v>
      </c>
      <c r="I21" s="100">
        <v>4.71</v>
      </c>
      <c r="J21" s="100">
        <v>0.14000000000000001</v>
      </c>
      <c r="K21" s="100">
        <v>173.09</v>
      </c>
      <c r="L21" s="100">
        <v>28.42</v>
      </c>
      <c r="M21" s="100">
        <v>79.150000000000006</v>
      </c>
      <c r="N21" s="100">
        <v>1.9</v>
      </c>
      <c r="O21" s="100">
        <v>0</v>
      </c>
      <c r="P21" s="100">
        <v>0.42</v>
      </c>
      <c r="Q21" s="100">
        <v>9.9</v>
      </c>
      <c r="R21" s="6"/>
      <c r="S21" s="6"/>
      <c r="T21" s="156"/>
      <c r="U21" s="6"/>
    </row>
    <row r="22" spans="1:21" customFormat="1">
      <c r="A22" s="163" t="s">
        <v>1597</v>
      </c>
      <c r="B22" s="100">
        <v>4.53</v>
      </c>
      <c r="C22" s="100">
        <v>8.4600000000000009</v>
      </c>
      <c r="D22" s="100">
        <v>3.93</v>
      </c>
      <c r="E22" s="100">
        <v>5.26</v>
      </c>
      <c r="F22" s="100">
        <v>3</v>
      </c>
      <c r="G22" s="100">
        <v>38.17</v>
      </c>
      <c r="H22" s="100">
        <v>14.53</v>
      </c>
      <c r="I22" s="100">
        <v>4.57</v>
      </c>
      <c r="J22" s="100">
        <v>0.13</v>
      </c>
      <c r="K22" s="100">
        <v>186.47</v>
      </c>
      <c r="L22" s="100">
        <v>28.38</v>
      </c>
      <c r="M22" s="100">
        <v>79.09</v>
      </c>
      <c r="N22" s="100">
        <v>2</v>
      </c>
      <c r="O22" s="100">
        <v>0</v>
      </c>
      <c r="P22" s="100">
        <v>0.42</v>
      </c>
      <c r="Q22" s="100">
        <v>9.92</v>
      </c>
      <c r="R22" s="6"/>
      <c r="S22" s="6"/>
      <c r="T22" s="156"/>
      <c r="U22" s="6"/>
    </row>
    <row r="23" spans="1:21" customFormat="1">
      <c r="A23" s="163" t="s">
        <v>1598</v>
      </c>
      <c r="B23" s="100">
        <v>4.59</v>
      </c>
      <c r="C23" s="100">
        <v>8.2799999999999994</v>
      </c>
      <c r="D23" s="100">
        <v>3.69</v>
      </c>
      <c r="E23" s="100">
        <v>5.19</v>
      </c>
      <c r="F23" s="100">
        <v>3.21</v>
      </c>
      <c r="G23" s="100">
        <v>38.17</v>
      </c>
      <c r="H23" s="100">
        <v>14.53</v>
      </c>
      <c r="I23" s="100">
        <v>4.5599999999999996</v>
      </c>
      <c r="J23" s="100">
        <v>0.25</v>
      </c>
      <c r="K23" s="100">
        <v>233.13</v>
      </c>
      <c r="L23" s="100">
        <v>28.33</v>
      </c>
      <c r="M23" s="100">
        <v>77.89</v>
      </c>
      <c r="N23" s="100">
        <v>1.7</v>
      </c>
      <c r="O23" s="100">
        <v>0</v>
      </c>
      <c r="P23" s="100">
        <v>0.42</v>
      </c>
      <c r="Q23" s="100">
        <v>9.92</v>
      </c>
      <c r="R23" s="6"/>
      <c r="S23" s="6"/>
      <c r="T23" s="156"/>
      <c r="U23" s="6"/>
    </row>
    <row r="24" spans="1:21" customFormat="1">
      <c r="A24" s="163" t="s">
        <v>1599</v>
      </c>
      <c r="B24" s="100">
        <v>4.5999999999999996</v>
      </c>
      <c r="C24" s="100">
        <v>8.17</v>
      </c>
      <c r="D24" s="100">
        <v>3.58</v>
      </c>
      <c r="E24" s="100">
        <v>5.0599999999999996</v>
      </c>
      <c r="F24" s="100">
        <v>3.71</v>
      </c>
      <c r="G24" s="100">
        <v>38.17</v>
      </c>
      <c r="H24" s="100">
        <v>14.53</v>
      </c>
      <c r="I24" s="100">
        <v>4.66</v>
      </c>
      <c r="J24" s="100">
        <v>0.28000000000000003</v>
      </c>
      <c r="K24" s="100">
        <v>240.83</v>
      </c>
      <c r="L24" s="100">
        <v>28.75</v>
      </c>
      <c r="M24" s="100">
        <v>74.06</v>
      </c>
      <c r="N24" s="100">
        <v>1.6</v>
      </c>
      <c r="O24" s="100">
        <v>0</v>
      </c>
      <c r="P24" s="100">
        <v>0.41</v>
      </c>
      <c r="Q24" s="100">
        <v>9.92</v>
      </c>
      <c r="R24" s="6"/>
      <c r="S24" s="6"/>
      <c r="T24" s="156"/>
      <c r="U24" s="6"/>
    </row>
    <row r="25" spans="1:21" customFormat="1">
      <c r="A25" s="163" t="s">
        <v>1600</v>
      </c>
      <c r="B25" s="100">
        <v>4.5199999999999996</v>
      </c>
      <c r="C25" s="100">
        <v>8.09</v>
      </c>
      <c r="D25" s="100">
        <v>3.57</v>
      </c>
      <c r="E25" s="100">
        <v>5.22</v>
      </c>
      <c r="F25" s="100">
        <v>2.76</v>
      </c>
      <c r="G25" s="100">
        <v>37.46</v>
      </c>
      <c r="H25" s="100">
        <v>14.15</v>
      </c>
      <c r="I25" s="100">
        <v>4.54</v>
      </c>
      <c r="J25" s="100">
        <v>0.26</v>
      </c>
      <c r="K25" s="100">
        <v>233.32</v>
      </c>
      <c r="L25" s="100">
        <v>28.85</v>
      </c>
      <c r="M25" s="100">
        <v>73.69</v>
      </c>
      <c r="N25" s="100">
        <v>2</v>
      </c>
      <c r="O25" s="100">
        <v>0</v>
      </c>
      <c r="P25" s="100">
        <v>0.4</v>
      </c>
      <c r="Q25" s="100">
        <v>9.9</v>
      </c>
      <c r="R25" s="6"/>
      <c r="S25" s="6"/>
      <c r="T25" s="156"/>
      <c r="U25" s="6"/>
    </row>
    <row r="26" spans="1:21" customFormat="1">
      <c r="A26" s="163" t="s">
        <v>1601</v>
      </c>
      <c r="B26" s="100">
        <v>4.5</v>
      </c>
      <c r="C26" s="100">
        <v>8.1</v>
      </c>
      <c r="D26" s="100">
        <v>3.6</v>
      </c>
      <c r="E26" s="100">
        <v>4.97</v>
      </c>
      <c r="F26" s="100">
        <v>2.76</v>
      </c>
      <c r="G26" s="100">
        <v>35.729999999999997</v>
      </c>
      <c r="H26" s="100">
        <v>12.55</v>
      </c>
      <c r="I26" s="100">
        <v>4.38</v>
      </c>
      <c r="J26" s="100">
        <v>0.27</v>
      </c>
      <c r="K26" s="100">
        <v>240.38</v>
      </c>
      <c r="L26" s="100">
        <v>28.76</v>
      </c>
      <c r="M26" s="100">
        <v>74.010000000000005</v>
      </c>
      <c r="N26" s="100">
        <v>2.1</v>
      </c>
      <c r="O26" s="100">
        <v>0</v>
      </c>
      <c r="P26" s="100">
        <v>0.41</v>
      </c>
      <c r="Q26" s="100">
        <v>9.9</v>
      </c>
      <c r="R26" s="6"/>
      <c r="S26" s="6"/>
      <c r="T26" s="156"/>
      <c r="U26" s="6"/>
    </row>
    <row r="27" spans="1:21" customFormat="1">
      <c r="A27" s="163" t="s">
        <v>1602</v>
      </c>
      <c r="B27" s="100">
        <v>4.4400000000000004</v>
      </c>
      <c r="C27" s="100">
        <v>7.95</v>
      </c>
      <c r="D27" s="100">
        <v>3.51</v>
      </c>
      <c r="E27" s="100">
        <v>4.8099999999999996</v>
      </c>
      <c r="F27" s="100">
        <v>7.29</v>
      </c>
      <c r="G27" s="100">
        <v>35.729999999999997</v>
      </c>
      <c r="H27" s="100">
        <v>12.55</v>
      </c>
      <c r="I27" s="100">
        <v>4.28</v>
      </c>
      <c r="J27" s="100">
        <v>0.15</v>
      </c>
      <c r="K27" s="100">
        <v>197.96</v>
      </c>
      <c r="L27" s="100">
        <v>28.63</v>
      </c>
      <c r="M27" s="100">
        <v>75.319999999999993</v>
      </c>
      <c r="N27" s="100">
        <v>2.1</v>
      </c>
      <c r="O27" s="100">
        <v>0</v>
      </c>
      <c r="P27" s="100">
        <v>0.41</v>
      </c>
      <c r="Q27" s="100">
        <v>9.91</v>
      </c>
      <c r="R27" s="6"/>
      <c r="S27" s="6"/>
      <c r="T27" s="156"/>
      <c r="U27" s="6"/>
    </row>
    <row r="28" spans="1:21" customFormat="1">
      <c r="A28" s="163" t="s">
        <v>1603</v>
      </c>
      <c r="B28" s="100">
        <v>4.3899999999999997</v>
      </c>
      <c r="C28" s="100">
        <v>7.65</v>
      </c>
      <c r="D28" s="100">
        <v>3.25</v>
      </c>
      <c r="E28" s="100">
        <v>4.1100000000000003</v>
      </c>
      <c r="F28" s="100">
        <v>8.9600000000000009</v>
      </c>
      <c r="G28" s="100">
        <v>35.729999999999997</v>
      </c>
      <c r="H28" s="100">
        <v>12.55</v>
      </c>
      <c r="I28" s="100">
        <v>4.34</v>
      </c>
      <c r="J28" s="100">
        <v>0.11</v>
      </c>
      <c r="K28" s="100">
        <v>197.74</v>
      </c>
      <c r="L28" s="100">
        <v>28.37</v>
      </c>
      <c r="M28" s="100">
        <v>77.14</v>
      </c>
      <c r="N28" s="100">
        <v>2.1</v>
      </c>
      <c r="O28" s="100">
        <v>0</v>
      </c>
      <c r="P28" s="100">
        <v>0.41</v>
      </c>
      <c r="Q28" s="100">
        <v>9.93</v>
      </c>
      <c r="R28" s="6"/>
      <c r="S28" s="6"/>
      <c r="T28" s="156"/>
      <c r="U28" s="6"/>
    </row>
    <row r="29" spans="1:21" customFormat="1">
      <c r="A29" s="163" t="s">
        <v>1604</v>
      </c>
      <c r="B29" s="100">
        <v>4.41</v>
      </c>
      <c r="C29" s="100">
        <v>7.4</v>
      </c>
      <c r="D29" s="100">
        <v>2.99</v>
      </c>
      <c r="E29" s="100">
        <v>3.54</v>
      </c>
      <c r="F29" s="100">
        <v>9.41</v>
      </c>
      <c r="G29" s="100">
        <v>33.76</v>
      </c>
      <c r="H29" s="100">
        <v>12.96</v>
      </c>
      <c r="I29" s="100">
        <v>3.88</v>
      </c>
      <c r="J29" s="100">
        <v>0.11</v>
      </c>
      <c r="K29" s="100">
        <v>226.89</v>
      </c>
      <c r="L29" s="100">
        <v>28.35</v>
      </c>
      <c r="M29" s="100">
        <v>76.849999999999994</v>
      </c>
      <c r="N29" s="100">
        <v>2.1</v>
      </c>
      <c r="O29" s="100">
        <v>0</v>
      </c>
      <c r="P29" s="100">
        <v>0.39</v>
      </c>
      <c r="Q29" s="100">
        <v>9.93</v>
      </c>
      <c r="R29" s="6"/>
      <c r="S29" s="6"/>
      <c r="T29" s="156"/>
      <c r="U29" s="6"/>
    </row>
    <row r="30" spans="1:21" customFormat="1">
      <c r="A30" s="163" t="s">
        <v>1605</v>
      </c>
      <c r="B30" s="100">
        <v>4.57</v>
      </c>
      <c r="C30" s="100">
        <v>7.52</v>
      </c>
      <c r="D30" s="100">
        <v>2.95</v>
      </c>
      <c r="E30" s="100">
        <v>4.1900000000000004</v>
      </c>
      <c r="F30" s="100">
        <v>4.57</v>
      </c>
      <c r="G30" s="100">
        <v>28.92</v>
      </c>
      <c r="H30" s="100">
        <v>13.64</v>
      </c>
      <c r="I30" s="100">
        <v>3.8</v>
      </c>
      <c r="J30" s="100">
        <v>0.1</v>
      </c>
      <c r="K30" s="100">
        <v>148.56</v>
      </c>
      <c r="L30" s="100">
        <v>28.31</v>
      </c>
      <c r="M30" s="100">
        <v>76.86</v>
      </c>
      <c r="N30" s="100">
        <v>3.1</v>
      </c>
      <c r="O30" s="100">
        <v>0</v>
      </c>
      <c r="P30" s="100">
        <v>0.42</v>
      </c>
      <c r="Q30" s="100">
        <v>9.92</v>
      </c>
      <c r="R30" s="6"/>
      <c r="S30" s="6"/>
      <c r="T30" s="156"/>
      <c r="U30" s="6"/>
    </row>
    <row r="31" spans="1:21" customFormat="1">
      <c r="A31" s="163" t="s">
        <v>1606</v>
      </c>
      <c r="B31" s="100">
        <v>4.5599999999999996</v>
      </c>
      <c r="C31" s="100">
        <v>7.64</v>
      </c>
      <c r="D31" s="100">
        <v>3.08</v>
      </c>
      <c r="E31" s="100">
        <v>3.73</v>
      </c>
      <c r="F31" s="100">
        <v>7.73</v>
      </c>
      <c r="G31" s="100">
        <v>28.92</v>
      </c>
      <c r="H31" s="100">
        <v>13.64</v>
      </c>
      <c r="I31" s="100">
        <v>3.78</v>
      </c>
      <c r="J31" s="100">
        <v>0.16</v>
      </c>
      <c r="K31" s="100">
        <v>149.38</v>
      </c>
      <c r="L31" s="100">
        <v>28.17</v>
      </c>
      <c r="M31" s="100">
        <v>77.650000000000006</v>
      </c>
      <c r="N31" s="100">
        <v>7.9</v>
      </c>
      <c r="O31" s="100">
        <v>0</v>
      </c>
      <c r="P31" s="100">
        <v>0.42</v>
      </c>
      <c r="Q31" s="100">
        <v>9.91</v>
      </c>
      <c r="R31" s="6"/>
      <c r="S31" s="6"/>
      <c r="T31" s="156"/>
      <c r="U31" s="6"/>
    </row>
    <row r="32" spans="1:21" customFormat="1">
      <c r="A32" s="163" t="s">
        <v>1607</v>
      </c>
      <c r="B32" s="100">
        <v>4.5599999999999996</v>
      </c>
      <c r="C32" s="100">
        <v>7.47</v>
      </c>
      <c r="D32" s="100">
        <v>2.91</v>
      </c>
      <c r="E32" s="100">
        <v>3.29</v>
      </c>
      <c r="F32" s="100">
        <v>8.7200000000000006</v>
      </c>
      <c r="G32" s="100">
        <v>28.92</v>
      </c>
      <c r="H32" s="100">
        <v>13.64</v>
      </c>
      <c r="I32" s="100">
        <v>4.1500000000000004</v>
      </c>
      <c r="J32" s="100">
        <v>0.13</v>
      </c>
      <c r="K32" s="100">
        <v>114.05</v>
      </c>
      <c r="L32" s="100">
        <v>28.12</v>
      </c>
      <c r="M32" s="100">
        <v>78.86</v>
      </c>
      <c r="N32" s="100">
        <v>15.9</v>
      </c>
      <c r="O32" s="100">
        <v>0</v>
      </c>
      <c r="P32" s="100">
        <v>0.4</v>
      </c>
      <c r="Q32" s="100">
        <v>9.92</v>
      </c>
      <c r="R32" s="6"/>
      <c r="S32" s="6"/>
      <c r="T32" s="156"/>
      <c r="U32" s="6"/>
    </row>
    <row r="33" spans="1:21" customFormat="1">
      <c r="A33" s="163" t="s">
        <v>1608</v>
      </c>
      <c r="B33" s="100">
        <v>4.57</v>
      </c>
      <c r="C33" s="100">
        <v>7.33</v>
      </c>
      <c r="D33" s="100">
        <v>2.76</v>
      </c>
      <c r="E33" s="100">
        <v>3.35</v>
      </c>
      <c r="F33" s="100">
        <v>7.95</v>
      </c>
      <c r="G33" s="100">
        <v>27.35</v>
      </c>
      <c r="H33" s="100">
        <v>12.24</v>
      </c>
      <c r="I33" s="100">
        <v>3.88</v>
      </c>
      <c r="J33" s="100">
        <v>0.11</v>
      </c>
      <c r="K33" s="100">
        <v>150.46</v>
      </c>
      <c r="L33" s="100">
        <v>28.22</v>
      </c>
      <c r="M33" s="100">
        <v>79</v>
      </c>
      <c r="N33" s="100">
        <v>26.8</v>
      </c>
      <c r="O33" s="100">
        <v>0</v>
      </c>
      <c r="P33" s="100">
        <v>0.39</v>
      </c>
      <c r="Q33" s="100">
        <v>9.92</v>
      </c>
      <c r="R33" s="6"/>
      <c r="S33" s="6"/>
      <c r="T33" s="156"/>
      <c r="U33" s="6"/>
    </row>
    <row r="34" spans="1:21" customFormat="1">
      <c r="A34" s="163" t="s">
        <v>1609</v>
      </c>
      <c r="B34" s="100">
        <v>4.7699999999999996</v>
      </c>
      <c r="C34" s="100">
        <v>7.6</v>
      </c>
      <c r="D34" s="100">
        <v>2.83</v>
      </c>
      <c r="E34" s="100">
        <v>3.76</v>
      </c>
      <c r="F34" s="100">
        <v>4.09</v>
      </c>
      <c r="G34" s="100">
        <v>23.47</v>
      </c>
      <c r="H34" s="100">
        <v>9.89</v>
      </c>
      <c r="I34" s="100">
        <v>3.79</v>
      </c>
      <c r="J34" s="100">
        <v>0.21</v>
      </c>
      <c r="K34" s="100">
        <v>176.8</v>
      </c>
      <c r="L34" s="100">
        <v>28.35</v>
      </c>
      <c r="M34" s="100">
        <v>78.52</v>
      </c>
      <c r="N34" s="100">
        <v>37.5</v>
      </c>
      <c r="O34" s="100">
        <v>0</v>
      </c>
      <c r="P34" s="100">
        <v>0.42</v>
      </c>
      <c r="Q34" s="100">
        <v>9.91</v>
      </c>
      <c r="R34" s="6"/>
      <c r="S34" s="6"/>
      <c r="T34" s="156"/>
      <c r="U34" s="6"/>
    </row>
    <row r="35" spans="1:21" customFormat="1">
      <c r="A35" s="163" t="s">
        <v>1610</v>
      </c>
      <c r="B35" s="100">
        <v>4.74</v>
      </c>
      <c r="C35" s="100">
        <v>7.87</v>
      </c>
      <c r="D35" s="100">
        <v>3.13</v>
      </c>
      <c r="E35" s="100">
        <v>3.55</v>
      </c>
      <c r="F35" s="100">
        <v>5.43</v>
      </c>
      <c r="G35" s="100">
        <v>23.47</v>
      </c>
      <c r="H35" s="100">
        <v>9.89</v>
      </c>
      <c r="I35" s="100">
        <v>3.82</v>
      </c>
      <c r="J35" s="100">
        <v>0.16</v>
      </c>
      <c r="K35" s="100">
        <v>228.97</v>
      </c>
      <c r="L35" s="100">
        <v>28.5</v>
      </c>
      <c r="M35" s="100">
        <v>79.3</v>
      </c>
      <c r="N35" s="100">
        <v>50</v>
      </c>
      <c r="O35" s="100">
        <v>0</v>
      </c>
      <c r="P35" s="100">
        <v>0.42</v>
      </c>
      <c r="Q35" s="100">
        <v>9.92</v>
      </c>
      <c r="R35" s="6"/>
      <c r="S35" s="6"/>
      <c r="T35" s="156"/>
      <c r="U35" s="6"/>
    </row>
    <row r="36" spans="1:21" customFormat="1">
      <c r="A36" s="163" t="s">
        <v>1611</v>
      </c>
      <c r="B36" s="100">
        <v>4.75</v>
      </c>
      <c r="C36" s="100">
        <v>7.71</v>
      </c>
      <c r="D36" s="100">
        <v>2.95</v>
      </c>
      <c r="E36" s="100">
        <v>3.19</v>
      </c>
      <c r="F36" s="100">
        <v>8.73</v>
      </c>
      <c r="G36" s="100">
        <v>23.47</v>
      </c>
      <c r="H36" s="100">
        <v>9.89</v>
      </c>
      <c r="I36" s="100">
        <v>4.37</v>
      </c>
      <c r="J36" s="100">
        <v>0.21</v>
      </c>
      <c r="K36" s="100">
        <v>266.58999999999997</v>
      </c>
      <c r="L36" s="100">
        <v>28.88</v>
      </c>
      <c r="M36" s="100">
        <v>76.89</v>
      </c>
      <c r="N36" s="100">
        <v>64.2</v>
      </c>
      <c r="O36" s="100">
        <v>0</v>
      </c>
      <c r="P36" s="100">
        <v>0.4</v>
      </c>
      <c r="Q36" s="100">
        <v>9.94</v>
      </c>
      <c r="R36" s="6"/>
      <c r="S36" s="6"/>
      <c r="T36" s="156"/>
      <c r="U36" s="6"/>
    </row>
    <row r="37" spans="1:21" customFormat="1">
      <c r="A37" s="163" t="s">
        <v>1612</v>
      </c>
      <c r="B37" s="100">
        <v>4.78</v>
      </c>
      <c r="C37" s="100">
        <v>7.56</v>
      </c>
      <c r="D37" s="100">
        <v>2.77</v>
      </c>
      <c r="E37" s="100">
        <v>3.16</v>
      </c>
      <c r="F37" s="100">
        <v>9.18</v>
      </c>
      <c r="G37" s="100">
        <v>25.38</v>
      </c>
      <c r="H37" s="100">
        <v>9.9</v>
      </c>
      <c r="I37" s="100">
        <v>4.1399999999999997</v>
      </c>
      <c r="J37" s="100">
        <v>0.13</v>
      </c>
      <c r="K37" s="100">
        <v>198.89</v>
      </c>
      <c r="L37" s="100">
        <v>29.36</v>
      </c>
      <c r="M37" s="100">
        <v>74.760000000000005</v>
      </c>
      <c r="N37" s="100">
        <v>76.3</v>
      </c>
      <c r="O37" s="100">
        <v>0</v>
      </c>
      <c r="P37" s="100">
        <v>0.39</v>
      </c>
      <c r="Q37" s="100">
        <v>9.93</v>
      </c>
      <c r="R37" s="6"/>
      <c r="S37" s="6"/>
      <c r="T37" s="156"/>
      <c r="U37" s="6"/>
    </row>
    <row r="38" spans="1:21" customFormat="1">
      <c r="A38" s="163" t="s">
        <v>1613</v>
      </c>
      <c r="B38" s="100">
        <v>4.9400000000000004</v>
      </c>
      <c r="C38" s="100">
        <v>7.77</v>
      </c>
      <c r="D38" s="100">
        <v>2.83</v>
      </c>
      <c r="E38" s="100">
        <v>3.9</v>
      </c>
      <c r="F38" s="100">
        <v>4.53</v>
      </c>
      <c r="G38" s="100">
        <v>30.36</v>
      </c>
      <c r="H38" s="100">
        <v>9.91</v>
      </c>
      <c r="I38" s="100">
        <v>4.08</v>
      </c>
      <c r="J38" s="100">
        <v>0.11</v>
      </c>
      <c r="K38" s="100">
        <v>223.12</v>
      </c>
      <c r="L38" s="100">
        <v>29.76</v>
      </c>
      <c r="M38" s="100">
        <v>73.010000000000005</v>
      </c>
      <c r="N38" s="100">
        <v>93.5</v>
      </c>
      <c r="O38" s="100">
        <v>0</v>
      </c>
      <c r="P38" s="100">
        <v>0.42</v>
      </c>
      <c r="Q38" s="100">
        <v>9.92</v>
      </c>
      <c r="R38" s="6"/>
      <c r="S38" s="6"/>
      <c r="T38" s="156"/>
      <c r="U38" s="6"/>
    </row>
    <row r="39" spans="1:21" customFormat="1">
      <c r="A39" s="163" t="s">
        <v>1614</v>
      </c>
      <c r="B39" s="100">
        <v>4.9400000000000004</v>
      </c>
      <c r="C39" s="100">
        <v>7.88</v>
      </c>
      <c r="D39" s="100">
        <v>2.94</v>
      </c>
      <c r="E39" s="100">
        <v>3.79</v>
      </c>
      <c r="F39" s="100">
        <v>5.5</v>
      </c>
      <c r="G39" s="100">
        <v>30.36</v>
      </c>
      <c r="H39" s="100">
        <v>9.91</v>
      </c>
      <c r="I39" s="100">
        <v>4.07</v>
      </c>
      <c r="J39" s="100">
        <v>0.23</v>
      </c>
      <c r="K39" s="100">
        <v>195.06</v>
      </c>
      <c r="L39" s="100">
        <v>30.05</v>
      </c>
      <c r="M39" s="100">
        <v>71.78</v>
      </c>
      <c r="N39" s="100">
        <v>111.8</v>
      </c>
      <c r="O39" s="100">
        <v>0</v>
      </c>
      <c r="P39" s="100">
        <v>0.41</v>
      </c>
      <c r="Q39" s="100">
        <v>9.92</v>
      </c>
      <c r="R39" s="6"/>
      <c r="S39" s="6"/>
      <c r="T39" s="156"/>
      <c r="U39" s="6"/>
    </row>
    <row r="40" spans="1:21" customFormat="1">
      <c r="A40" s="163" t="s">
        <v>1615</v>
      </c>
      <c r="B40" s="100">
        <v>4.84</v>
      </c>
      <c r="C40" s="100">
        <v>7.7</v>
      </c>
      <c r="D40" s="100">
        <v>2.86</v>
      </c>
      <c r="E40" s="100">
        <v>3.38</v>
      </c>
      <c r="F40" s="100">
        <v>8.94</v>
      </c>
      <c r="G40" s="100">
        <v>30.36</v>
      </c>
      <c r="H40" s="100">
        <v>9.91</v>
      </c>
      <c r="I40" s="100">
        <v>4.38</v>
      </c>
      <c r="J40" s="100">
        <v>0.27</v>
      </c>
      <c r="K40" s="100">
        <v>263.19</v>
      </c>
      <c r="L40" s="100">
        <v>30.46</v>
      </c>
      <c r="M40" s="100">
        <v>70.12</v>
      </c>
      <c r="N40" s="100">
        <v>138.19999999999999</v>
      </c>
      <c r="O40" s="100">
        <v>0</v>
      </c>
      <c r="P40" s="100">
        <v>0.41</v>
      </c>
      <c r="Q40" s="100">
        <v>9.93</v>
      </c>
      <c r="R40" s="6"/>
      <c r="S40" s="6"/>
      <c r="T40" s="156"/>
      <c r="U40" s="6"/>
    </row>
    <row r="41" spans="1:21" customFormat="1">
      <c r="A41" s="163" t="s">
        <v>1616</v>
      </c>
      <c r="B41" s="100">
        <v>4.75</v>
      </c>
      <c r="C41" s="100">
        <v>7.54</v>
      </c>
      <c r="D41" s="100">
        <v>2.79</v>
      </c>
      <c r="E41" s="100">
        <v>3.42</v>
      </c>
      <c r="F41" s="100">
        <v>8.61</v>
      </c>
      <c r="G41" s="100">
        <v>31.69</v>
      </c>
      <c r="H41" s="100">
        <v>10.71</v>
      </c>
      <c r="I41" s="100">
        <v>4.26</v>
      </c>
      <c r="J41" s="100">
        <v>0.19</v>
      </c>
      <c r="K41" s="100">
        <v>236.86</v>
      </c>
      <c r="L41" s="100">
        <v>31.07</v>
      </c>
      <c r="M41" s="100">
        <v>67.87</v>
      </c>
      <c r="N41" s="100">
        <v>164.4</v>
      </c>
      <c r="O41" s="100">
        <v>0</v>
      </c>
      <c r="P41" s="100">
        <v>0.4</v>
      </c>
      <c r="Q41" s="100">
        <v>9.92</v>
      </c>
      <c r="R41" s="6"/>
      <c r="S41" s="6"/>
      <c r="T41" s="156"/>
      <c r="U41" s="6"/>
    </row>
    <row r="42" spans="1:21" customFormat="1">
      <c r="A42" s="163" t="s">
        <v>1617</v>
      </c>
      <c r="B42" s="100">
        <v>4.75</v>
      </c>
      <c r="C42" s="100">
        <v>7.76</v>
      </c>
      <c r="D42" s="100">
        <v>3.01</v>
      </c>
      <c r="E42" s="100">
        <v>3.66</v>
      </c>
      <c r="F42" s="100">
        <v>4.0199999999999996</v>
      </c>
      <c r="G42" s="100">
        <v>34.99</v>
      </c>
      <c r="H42" s="100">
        <v>12.01</v>
      </c>
      <c r="I42" s="100">
        <v>4.2300000000000004</v>
      </c>
      <c r="J42" s="100">
        <v>0.62</v>
      </c>
      <c r="K42" s="100">
        <v>278.49</v>
      </c>
      <c r="L42" s="100">
        <v>31.1</v>
      </c>
      <c r="M42" s="100">
        <v>67.53</v>
      </c>
      <c r="N42" s="100">
        <v>181.4</v>
      </c>
      <c r="O42" s="100">
        <v>0</v>
      </c>
      <c r="P42" s="100">
        <v>0.42</v>
      </c>
      <c r="Q42" s="100">
        <v>9.9</v>
      </c>
      <c r="R42" s="6"/>
      <c r="S42" s="6"/>
      <c r="T42" s="156"/>
      <c r="U42" s="6"/>
    </row>
    <row r="43" spans="1:21" customFormat="1">
      <c r="A43" s="163" t="s">
        <v>1618</v>
      </c>
      <c r="B43" s="100">
        <v>4.67</v>
      </c>
      <c r="C43" s="100">
        <v>7.77</v>
      </c>
      <c r="D43" s="100">
        <v>3.09</v>
      </c>
      <c r="E43" s="100">
        <v>3.9</v>
      </c>
      <c r="F43" s="100">
        <v>5.32</v>
      </c>
      <c r="G43" s="100">
        <v>34.99</v>
      </c>
      <c r="H43" s="100">
        <v>12.01</v>
      </c>
      <c r="I43" s="100">
        <v>4.26</v>
      </c>
      <c r="J43" s="100">
        <v>0.53</v>
      </c>
      <c r="K43" s="100">
        <v>258.81</v>
      </c>
      <c r="L43" s="100">
        <v>31.26</v>
      </c>
      <c r="M43" s="100">
        <v>66.77</v>
      </c>
      <c r="N43" s="100">
        <v>187.8</v>
      </c>
      <c r="O43" s="100">
        <v>0</v>
      </c>
      <c r="P43" s="100">
        <v>0.41</v>
      </c>
      <c r="Q43" s="100">
        <v>9.9</v>
      </c>
      <c r="R43" s="6"/>
      <c r="S43" s="6"/>
      <c r="T43" s="156"/>
      <c r="U43" s="6"/>
    </row>
    <row r="44" spans="1:21" customFormat="1">
      <c r="A44" s="163" t="s">
        <v>1619</v>
      </c>
      <c r="B44" s="100">
        <v>4.58</v>
      </c>
      <c r="C44" s="100">
        <v>7.44</v>
      </c>
      <c r="D44" s="100">
        <v>2.86</v>
      </c>
      <c r="E44" s="100">
        <v>3.53</v>
      </c>
      <c r="F44" s="100">
        <v>6.89</v>
      </c>
      <c r="G44" s="100">
        <v>34.99</v>
      </c>
      <c r="H44" s="100">
        <v>12.01</v>
      </c>
      <c r="I44" s="100">
        <v>4.55</v>
      </c>
      <c r="J44" s="100">
        <v>0.49</v>
      </c>
      <c r="K44" s="100">
        <v>246.06</v>
      </c>
      <c r="L44" s="100">
        <v>31.66</v>
      </c>
      <c r="M44" s="100">
        <v>65.72</v>
      </c>
      <c r="N44" s="100">
        <v>191</v>
      </c>
      <c r="O44" s="100">
        <v>0</v>
      </c>
      <c r="P44" s="100">
        <v>0.41</v>
      </c>
      <c r="Q44" s="100">
        <v>9.91</v>
      </c>
      <c r="R44" s="6"/>
      <c r="S44" s="6"/>
      <c r="T44" s="156"/>
      <c r="U44" s="6"/>
    </row>
    <row r="45" spans="1:21" customFormat="1">
      <c r="A45" s="163" t="s">
        <v>1620</v>
      </c>
      <c r="B45" s="100">
        <v>4.43</v>
      </c>
      <c r="C45" s="100">
        <v>7.3</v>
      </c>
      <c r="D45" s="100">
        <v>2.87</v>
      </c>
      <c r="E45" s="100">
        <v>3.63</v>
      </c>
      <c r="F45" s="100">
        <v>9.4499999999999993</v>
      </c>
      <c r="G45" s="100">
        <v>32.08</v>
      </c>
      <c r="H45" s="100">
        <v>12.52</v>
      </c>
      <c r="I45" s="100">
        <v>4.3600000000000003</v>
      </c>
      <c r="J45" s="100">
        <v>0.5</v>
      </c>
      <c r="K45" s="100">
        <v>253.36</v>
      </c>
      <c r="L45" s="100">
        <v>32.119999999999997</v>
      </c>
      <c r="M45" s="100">
        <v>64.58</v>
      </c>
      <c r="N45" s="100">
        <v>207</v>
      </c>
      <c r="O45" s="100">
        <v>0</v>
      </c>
      <c r="P45" s="100">
        <v>0.41</v>
      </c>
      <c r="Q45" s="100">
        <v>9.91</v>
      </c>
      <c r="R45" s="6"/>
      <c r="S45" s="6"/>
      <c r="T45" s="156"/>
      <c r="U45" s="6"/>
    </row>
    <row r="46" spans="1:21" customFormat="1">
      <c r="A46" s="163" t="s">
        <v>1621</v>
      </c>
      <c r="B46" s="100">
        <v>4.3</v>
      </c>
      <c r="C46" s="100">
        <v>8.44</v>
      </c>
      <c r="D46" s="100">
        <v>4.1500000000000004</v>
      </c>
      <c r="E46" s="100">
        <v>3.63</v>
      </c>
      <c r="F46" s="100">
        <v>3.74</v>
      </c>
      <c r="G46" s="100">
        <v>24.91</v>
      </c>
      <c r="H46" s="100">
        <v>13.37</v>
      </c>
      <c r="I46" s="100">
        <v>4.2</v>
      </c>
      <c r="J46" s="100">
        <v>0.78</v>
      </c>
      <c r="K46" s="100">
        <v>271.38</v>
      </c>
      <c r="L46" s="100">
        <v>32.450000000000003</v>
      </c>
      <c r="M46" s="100">
        <v>62.56</v>
      </c>
      <c r="N46" s="100">
        <v>209.5</v>
      </c>
      <c r="O46" s="100">
        <v>0</v>
      </c>
      <c r="P46" s="100">
        <v>0.39</v>
      </c>
      <c r="Q46" s="100">
        <v>9.9</v>
      </c>
      <c r="R46" s="6"/>
      <c r="S46" s="6"/>
      <c r="T46" s="156"/>
      <c r="U46" s="6"/>
    </row>
    <row r="47" spans="1:21" customFormat="1">
      <c r="A47" s="163" t="s">
        <v>1622</v>
      </c>
      <c r="B47" s="100">
        <v>4.09</v>
      </c>
      <c r="C47" s="100">
        <v>8.66</v>
      </c>
      <c r="D47" s="100">
        <v>4.57</v>
      </c>
      <c r="E47" s="100">
        <v>3.84</v>
      </c>
      <c r="F47" s="100">
        <v>4.38</v>
      </c>
      <c r="G47" s="100">
        <v>24.91</v>
      </c>
      <c r="H47" s="100">
        <v>13.37</v>
      </c>
      <c r="I47" s="100">
        <v>4.22</v>
      </c>
      <c r="J47" s="100">
        <v>0.72</v>
      </c>
      <c r="K47" s="100">
        <v>261.54000000000002</v>
      </c>
      <c r="L47" s="100">
        <v>33.22</v>
      </c>
      <c r="M47" s="100">
        <v>61.21</v>
      </c>
      <c r="N47" s="100">
        <v>211.2</v>
      </c>
      <c r="O47" s="100">
        <v>0</v>
      </c>
      <c r="P47" s="100">
        <v>0.36</v>
      </c>
      <c r="Q47" s="100">
        <v>9.89</v>
      </c>
      <c r="R47" s="6"/>
      <c r="S47" s="6"/>
      <c r="T47" s="156"/>
      <c r="U47" s="6"/>
    </row>
    <row r="48" spans="1:21" customFormat="1">
      <c r="A48" s="163" t="s">
        <v>1623</v>
      </c>
      <c r="B48" s="100">
        <v>3.89</v>
      </c>
      <c r="C48" s="100">
        <v>8.25</v>
      </c>
      <c r="D48" s="100">
        <v>4.3600000000000003</v>
      </c>
      <c r="E48" s="100">
        <v>4.21</v>
      </c>
      <c r="F48" s="100">
        <v>5.76</v>
      </c>
      <c r="G48" s="100">
        <v>24.91</v>
      </c>
      <c r="H48" s="100">
        <v>13.37</v>
      </c>
      <c r="I48" s="100">
        <v>4.49</v>
      </c>
      <c r="J48" s="100">
        <v>0.69</v>
      </c>
      <c r="K48" s="100">
        <v>263.01</v>
      </c>
      <c r="L48" s="100">
        <v>33.56</v>
      </c>
      <c r="M48" s="100">
        <v>59.7</v>
      </c>
      <c r="N48" s="100">
        <v>218.9</v>
      </c>
      <c r="O48" s="100">
        <v>0</v>
      </c>
      <c r="P48" s="100">
        <v>0.35</v>
      </c>
      <c r="Q48" s="100">
        <v>9.89</v>
      </c>
      <c r="R48" s="6"/>
      <c r="S48" s="6"/>
      <c r="T48" s="156"/>
      <c r="U48" s="6"/>
    </row>
    <row r="49" spans="1:21" customFormat="1">
      <c r="A49" s="163" t="s">
        <v>1624</v>
      </c>
      <c r="B49" s="100">
        <v>3.74</v>
      </c>
      <c r="C49" s="100">
        <v>8.39</v>
      </c>
      <c r="D49" s="100">
        <v>4.6500000000000004</v>
      </c>
      <c r="E49" s="100">
        <v>4.3600000000000003</v>
      </c>
      <c r="F49" s="100">
        <v>6.35</v>
      </c>
      <c r="G49" s="100">
        <v>30.09</v>
      </c>
      <c r="H49" s="100">
        <v>13.64</v>
      </c>
      <c r="I49" s="100">
        <v>4.33</v>
      </c>
      <c r="J49" s="100">
        <v>0.6</v>
      </c>
      <c r="K49" s="100">
        <v>261.76</v>
      </c>
      <c r="L49" s="100">
        <v>34</v>
      </c>
      <c r="M49" s="100">
        <v>58.27</v>
      </c>
      <c r="N49" s="100">
        <v>244.1</v>
      </c>
      <c r="O49" s="100">
        <v>0</v>
      </c>
      <c r="P49" s="100">
        <v>0.36</v>
      </c>
      <c r="Q49" s="100">
        <v>9.89</v>
      </c>
      <c r="R49" s="6"/>
      <c r="S49" s="6"/>
      <c r="T49" s="156"/>
      <c r="U49" s="6"/>
    </row>
    <row r="50" spans="1:21" customFormat="1">
      <c r="A50" s="163" t="s">
        <v>1625</v>
      </c>
      <c r="B50" s="100">
        <v>3.7</v>
      </c>
      <c r="C50" s="100">
        <v>8.49</v>
      </c>
      <c r="D50" s="100">
        <v>4.79</v>
      </c>
      <c r="E50" s="100">
        <v>5.36</v>
      </c>
      <c r="F50" s="100">
        <v>4.16</v>
      </c>
      <c r="G50" s="100">
        <v>42.86</v>
      </c>
      <c r="H50" s="100">
        <v>14.77</v>
      </c>
      <c r="I50" s="100">
        <v>4.1900000000000004</v>
      </c>
      <c r="J50" s="100">
        <v>0.85</v>
      </c>
      <c r="K50" s="100">
        <v>280.08999999999997</v>
      </c>
      <c r="L50" s="100">
        <v>33.659999999999997</v>
      </c>
      <c r="M50" s="100">
        <v>58.34</v>
      </c>
      <c r="N50" s="100">
        <v>248.7</v>
      </c>
      <c r="O50" s="100">
        <v>0</v>
      </c>
      <c r="P50" s="100">
        <v>0.37</v>
      </c>
      <c r="Q50" s="100">
        <v>9.9</v>
      </c>
      <c r="R50" s="6"/>
      <c r="S50" s="6"/>
      <c r="T50" s="156"/>
      <c r="U50" s="6"/>
    </row>
    <row r="51" spans="1:21" customFormat="1">
      <c r="A51" s="163" t="s">
        <v>1626</v>
      </c>
      <c r="B51" s="100">
        <v>3.66</v>
      </c>
      <c r="C51" s="100">
        <v>7.87</v>
      </c>
      <c r="D51" s="100">
        <v>4.21</v>
      </c>
      <c r="E51" s="100">
        <v>5.26</v>
      </c>
      <c r="F51" s="100">
        <v>6.94</v>
      </c>
      <c r="G51" s="100">
        <v>42.86</v>
      </c>
      <c r="H51" s="100">
        <v>14.77</v>
      </c>
      <c r="I51" s="100">
        <v>4.21</v>
      </c>
      <c r="J51" s="100">
        <v>0.74</v>
      </c>
      <c r="K51" s="100">
        <v>280.64</v>
      </c>
      <c r="L51" s="100">
        <v>34.22</v>
      </c>
      <c r="M51" s="100">
        <v>56.55</v>
      </c>
      <c r="N51" s="100">
        <v>274.3</v>
      </c>
      <c r="O51" s="100">
        <v>0</v>
      </c>
      <c r="P51" s="100">
        <v>0.36</v>
      </c>
      <c r="Q51" s="100">
        <v>9.91</v>
      </c>
      <c r="R51" s="6"/>
      <c r="S51" s="6"/>
      <c r="T51" s="156"/>
      <c r="U51" s="6"/>
    </row>
    <row r="52" spans="1:21" customFormat="1">
      <c r="A52" s="163" t="s">
        <v>1627</v>
      </c>
      <c r="B52" s="100">
        <v>3.66</v>
      </c>
      <c r="C52" s="100">
        <v>8.07</v>
      </c>
      <c r="D52" s="100">
        <v>4.41</v>
      </c>
      <c r="E52" s="100">
        <v>5.31</v>
      </c>
      <c r="F52" s="100">
        <v>5.43</v>
      </c>
      <c r="G52" s="100">
        <v>42.86</v>
      </c>
      <c r="H52" s="100">
        <v>14.77</v>
      </c>
      <c r="I52" s="100">
        <v>4.2300000000000004</v>
      </c>
      <c r="J52" s="100">
        <v>0.32</v>
      </c>
      <c r="K52" s="100">
        <v>258.23</v>
      </c>
      <c r="L52" s="100">
        <v>35.159999999999997</v>
      </c>
      <c r="M52" s="100">
        <v>54.5</v>
      </c>
      <c r="N52" s="100">
        <v>255.2</v>
      </c>
      <c r="O52" s="100">
        <v>0</v>
      </c>
      <c r="P52" s="100">
        <v>0.37</v>
      </c>
      <c r="Q52" s="100">
        <v>9.91</v>
      </c>
      <c r="R52" s="6"/>
      <c r="S52" s="6"/>
      <c r="T52" s="156"/>
      <c r="U52" s="6"/>
    </row>
    <row r="53" spans="1:21" customFormat="1">
      <c r="A53" s="163" t="s">
        <v>1628</v>
      </c>
      <c r="B53" s="100">
        <v>3.64</v>
      </c>
      <c r="C53" s="100">
        <v>7.36</v>
      </c>
      <c r="D53" s="100">
        <v>3.72</v>
      </c>
      <c r="E53" s="100">
        <v>5.25</v>
      </c>
      <c r="F53" s="100">
        <v>7.72</v>
      </c>
      <c r="G53" s="100">
        <v>41.39</v>
      </c>
      <c r="H53" s="100">
        <v>13.91</v>
      </c>
      <c r="I53" s="100">
        <v>4.13</v>
      </c>
      <c r="J53" s="100">
        <v>0.52</v>
      </c>
      <c r="K53" s="100">
        <v>274.8</v>
      </c>
      <c r="L53" s="100">
        <v>35.04</v>
      </c>
      <c r="M53" s="100">
        <v>54.33</v>
      </c>
      <c r="N53" s="100">
        <v>293.5</v>
      </c>
      <c r="O53" s="100">
        <v>0</v>
      </c>
      <c r="P53" s="100">
        <v>0.34</v>
      </c>
      <c r="Q53" s="100">
        <v>9.92</v>
      </c>
      <c r="R53" s="6"/>
      <c r="S53" s="6"/>
      <c r="T53" s="156"/>
      <c r="U53" s="6"/>
    </row>
    <row r="54" spans="1:21" customFormat="1">
      <c r="A54" s="163" t="s">
        <v>1629</v>
      </c>
      <c r="B54" s="100">
        <v>3.59</v>
      </c>
      <c r="C54" s="100">
        <v>7.66</v>
      </c>
      <c r="D54" s="100">
        <v>4.08</v>
      </c>
      <c r="E54" s="100">
        <v>5.09</v>
      </c>
      <c r="F54" s="100">
        <v>4.5</v>
      </c>
      <c r="G54" s="100">
        <v>37.56</v>
      </c>
      <c r="H54" s="100">
        <v>12.5</v>
      </c>
      <c r="I54" s="100">
        <v>4.0599999999999996</v>
      </c>
      <c r="J54" s="100">
        <v>0.56000000000000005</v>
      </c>
      <c r="K54" s="100">
        <v>264.44</v>
      </c>
      <c r="L54" s="100">
        <v>35.520000000000003</v>
      </c>
      <c r="M54" s="100">
        <v>52.92</v>
      </c>
      <c r="N54" s="100">
        <v>294.60000000000002</v>
      </c>
      <c r="O54" s="100">
        <v>0</v>
      </c>
      <c r="P54" s="100">
        <v>0.37</v>
      </c>
      <c r="Q54" s="100">
        <v>9.91</v>
      </c>
      <c r="R54" s="6"/>
      <c r="S54" s="6"/>
      <c r="T54" s="156"/>
      <c r="U54" s="6"/>
    </row>
    <row r="55" spans="1:21" customFormat="1">
      <c r="A55" s="163" t="s">
        <v>1630</v>
      </c>
      <c r="B55" s="100">
        <v>3.59</v>
      </c>
      <c r="C55" s="100">
        <v>7.01</v>
      </c>
      <c r="D55" s="100">
        <v>3.42</v>
      </c>
      <c r="E55" s="100">
        <v>5.26</v>
      </c>
      <c r="F55" s="100">
        <v>8.35</v>
      </c>
      <c r="G55" s="100">
        <v>37.56</v>
      </c>
      <c r="H55" s="100">
        <v>12.5</v>
      </c>
      <c r="I55" s="100">
        <v>4.05</v>
      </c>
      <c r="J55" s="100">
        <v>0.47</v>
      </c>
      <c r="K55" s="100">
        <v>268.74</v>
      </c>
      <c r="L55" s="100">
        <v>35.74</v>
      </c>
      <c r="M55" s="100">
        <v>51.97</v>
      </c>
      <c r="N55" s="100">
        <v>318.3</v>
      </c>
      <c r="O55" s="100">
        <v>0</v>
      </c>
      <c r="P55" s="100">
        <v>0.34</v>
      </c>
      <c r="Q55" s="100">
        <v>9.91</v>
      </c>
      <c r="R55" s="6"/>
      <c r="S55" s="6"/>
      <c r="T55" s="156"/>
      <c r="U55" s="6"/>
    </row>
    <row r="56" spans="1:21" customFormat="1">
      <c r="A56" s="163" t="s">
        <v>1631</v>
      </c>
      <c r="B56" s="100">
        <v>3.6</v>
      </c>
      <c r="C56" s="100">
        <v>6.83</v>
      </c>
      <c r="D56" s="100">
        <v>3.23</v>
      </c>
      <c r="E56" s="100">
        <v>5.23</v>
      </c>
      <c r="F56" s="100">
        <v>9.36</v>
      </c>
      <c r="G56" s="100">
        <v>37.56</v>
      </c>
      <c r="H56" s="100">
        <v>12.5</v>
      </c>
      <c r="I56" s="100">
        <v>4.0599999999999996</v>
      </c>
      <c r="J56" s="100">
        <v>0.26</v>
      </c>
      <c r="K56" s="100">
        <v>302.87</v>
      </c>
      <c r="L56" s="100">
        <v>35.96</v>
      </c>
      <c r="M56" s="100">
        <v>51.58</v>
      </c>
      <c r="N56" s="100">
        <v>396.7</v>
      </c>
      <c r="O56" s="100">
        <v>0</v>
      </c>
      <c r="P56" s="100">
        <v>0.34</v>
      </c>
      <c r="Q56" s="100">
        <v>9.9</v>
      </c>
      <c r="R56" s="6"/>
      <c r="S56" s="6"/>
      <c r="T56" s="156"/>
      <c r="U56" s="6"/>
    </row>
    <row r="57" spans="1:21" customFormat="1">
      <c r="A57" s="163" t="s">
        <v>1632</v>
      </c>
      <c r="B57" s="100">
        <v>3.69</v>
      </c>
      <c r="C57" s="100">
        <v>7.4</v>
      </c>
      <c r="D57" s="100">
        <v>3.71</v>
      </c>
      <c r="E57" s="100">
        <v>5.18</v>
      </c>
      <c r="F57" s="100">
        <v>10.15</v>
      </c>
      <c r="G57" s="100">
        <v>38.76</v>
      </c>
      <c r="H57" s="100">
        <v>13.82</v>
      </c>
      <c r="I57" s="100">
        <v>4.01</v>
      </c>
      <c r="J57" s="100">
        <v>0.56000000000000005</v>
      </c>
      <c r="K57" s="100">
        <v>285.25</v>
      </c>
      <c r="L57" s="100">
        <v>35.53</v>
      </c>
      <c r="M57" s="100">
        <v>52.02</v>
      </c>
      <c r="N57" s="100">
        <v>569</v>
      </c>
      <c r="O57" s="100">
        <v>0</v>
      </c>
      <c r="P57" s="100">
        <v>0.36</v>
      </c>
      <c r="Q57" s="100">
        <v>9.9</v>
      </c>
      <c r="R57" s="6"/>
      <c r="S57" s="6"/>
      <c r="T57" s="156"/>
      <c r="U57" s="6"/>
    </row>
    <row r="58" spans="1:21" customFormat="1">
      <c r="A58" s="163" t="s">
        <v>1633</v>
      </c>
      <c r="B58" s="100">
        <v>3.69</v>
      </c>
      <c r="C58" s="100">
        <v>6.84</v>
      </c>
      <c r="D58" s="100">
        <v>3.15</v>
      </c>
      <c r="E58" s="100">
        <v>5.21</v>
      </c>
      <c r="F58" s="100">
        <v>10.119999999999999</v>
      </c>
      <c r="G58" s="100">
        <v>41.7</v>
      </c>
      <c r="H58" s="100">
        <v>15.99</v>
      </c>
      <c r="I58" s="100">
        <v>3.92</v>
      </c>
      <c r="J58" s="100">
        <v>0.22</v>
      </c>
      <c r="K58" s="100">
        <v>156.11000000000001</v>
      </c>
      <c r="L58" s="100">
        <v>36.68</v>
      </c>
      <c r="M58" s="100">
        <v>48.38</v>
      </c>
      <c r="N58" s="100">
        <v>794.8</v>
      </c>
      <c r="O58" s="100">
        <v>0</v>
      </c>
      <c r="P58" s="100">
        <v>0.35</v>
      </c>
      <c r="Q58" s="100">
        <v>9.9</v>
      </c>
      <c r="R58" s="6"/>
      <c r="S58" s="6"/>
      <c r="T58" s="156"/>
      <c r="U58" s="6"/>
    </row>
    <row r="59" spans="1:21" customFormat="1">
      <c r="A59" s="163" t="s">
        <v>1634</v>
      </c>
      <c r="B59" s="100">
        <v>3.66</v>
      </c>
      <c r="C59" s="100">
        <v>7.11</v>
      </c>
      <c r="D59" s="100">
        <v>3.45</v>
      </c>
      <c r="E59" s="100">
        <v>5.56</v>
      </c>
      <c r="F59" s="100">
        <v>9.89</v>
      </c>
      <c r="G59" s="100">
        <v>41.7</v>
      </c>
      <c r="H59" s="100">
        <v>15.99</v>
      </c>
      <c r="I59" s="100">
        <v>3.89</v>
      </c>
      <c r="J59" s="100">
        <v>0.41</v>
      </c>
      <c r="K59" s="100">
        <v>342.12</v>
      </c>
      <c r="L59" s="100">
        <v>36.78</v>
      </c>
      <c r="M59" s="100">
        <v>48.4</v>
      </c>
      <c r="N59" s="100">
        <v>747.4</v>
      </c>
      <c r="O59" s="100">
        <v>0</v>
      </c>
      <c r="P59" s="100">
        <v>0.38</v>
      </c>
      <c r="Q59" s="100">
        <v>9.9</v>
      </c>
      <c r="R59" s="6"/>
      <c r="S59" s="6"/>
      <c r="T59" s="156"/>
      <c r="U59" s="6"/>
    </row>
    <row r="60" spans="1:21" customFormat="1">
      <c r="A60" s="163" t="s">
        <v>1635</v>
      </c>
      <c r="B60" s="100">
        <v>3.7</v>
      </c>
      <c r="C60" s="100">
        <v>7.12</v>
      </c>
      <c r="D60" s="100">
        <v>3.42</v>
      </c>
      <c r="E60" s="100">
        <v>5.6</v>
      </c>
      <c r="F60" s="100">
        <v>11.1</v>
      </c>
      <c r="G60" s="100">
        <v>41.7</v>
      </c>
      <c r="H60" s="100">
        <v>15.99</v>
      </c>
      <c r="I60" s="100">
        <v>3.89</v>
      </c>
      <c r="J60" s="100">
        <v>0.37</v>
      </c>
      <c r="K60" s="100">
        <v>253.75</v>
      </c>
      <c r="L60" s="100">
        <v>37.119999999999997</v>
      </c>
      <c r="M60" s="100">
        <v>48.11</v>
      </c>
      <c r="N60" s="100">
        <v>627</v>
      </c>
      <c r="O60" s="100">
        <v>0</v>
      </c>
      <c r="P60" s="100">
        <v>0.36</v>
      </c>
      <c r="Q60" s="100">
        <v>9.9</v>
      </c>
      <c r="R60" s="6"/>
      <c r="S60" s="6"/>
      <c r="T60" s="156"/>
      <c r="U60" s="6"/>
    </row>
    <row r="61" spans="1:21" customFormat="1">
      <c r="A61" s="163" t="s">
        <v>1636</v>
      </c>
      <c r="B61" s="100">
        <v>3.64</v>
      </c>
      <c r="C61" s="100">
        <v>6.82</v>
      </c>
      <c r="D61" s="100">
        <v>3.18</v>
      </c>
      <c r="E61" s="100">
        <v>5.41</v>
      </c>
      <c r="F61" s="100">
        <v>8.3000000000000007</v>
      </c>
      <c r="G61" s="100">
        <v>40.96</v>
      </c>
      <c r="H61" s="100">
        <v>16.07</v>
      </c>
      <c r="I61" s="100">
        <v>3.92</v>
      </c>
      <c r="J61" s="100">
        <v>0.41</v>
      </c>
      <c r="K61" s="100">
        <v>250.37</v>
      </c>
      <c r="L61" s="100">
        <v>37.54</v>
      </c>
      <c r="M61" s="100">
        <v>45.28</v>
      </c>
      <c r="N61" s="100">
        <v>774.1</v>
      </c>
      <c r="O61" s="100">
        <v>0</v>
      </c>
      <c r="P61" s="100">
        <v>0.37</v>
      </c>
      <c r="Q61" s="100">
        <v>9.9</v>
      </c>
      <c r="R61" s="6"/>
      <c r="S61" s="6"/>
      <c r="T61" s="156"/>
      <c r="U61" s="6"/>
    </row>
    <row r="62" spans="1:21" customFormat="1">
      <c r="A62" s="163" t="s">
        <v>1637</v>
      </c>
      <c r="B62" s="100">
        <v>3.67</v>
      </c>
      <c r="C62" s="100">
        <v>7.02</v>
      </c>
      <c r="D62" s="100">
        <v>3.34</v>
      </c>
      <c r="E62" s="100">
        <v>5.67</v>
      </c>
      <c r="F62" s="100">
        <v>7.39</v>
      </c>
      <c r="G62" s="100">
        <v>39.130000000000003</v>
      </c>
      <c r="H62" s="100">
        <v>16.22</v>
      </c>
      <c r="I62" s="100">
        <v>3.91</v>
      </c>
      <c r="J62" s="100">
        <v>0.38</v>
      </c>
      <c r="K62" s="100">
        <v>263</v>
      </c>
      <c r="L62" s="100">
        <v>37.409999999999997</v>
      </c>
      <c r="M62" s="100">
        <v>45.04</v>
      </c>
      <c r="N62" s="100">
        <v>764.3</v>
      </c>
      <c r="O62" s="100">
        <v>0</v>
      </c>
      <c r="P62" s="100">
        <v>0.38</v>
      </c>
      <c r="Q62" s="100">
        <v>9.9</v>
      </c>
      <c r="R62" s="6"/>
      <c r="S62" s="6"/>
      <c r="T62" s="156"/>
      <c r="U62" s="6"/>
    </row>
    <row r="63" spans="1:21" customFormat="1">
      <c r="A63" s="163" t="s">
        <v>1638</v>
      </c>
      <c r="B63" s="100">
        <v>3.65</v>
      </c>
      <c r="C63" s="100">
        <v>6.59</v>
      </c>
      <c r="D63" s="100">
        <v>2.94</v>
      </c>
      <c r="E63" s="100">
        <v>5.81</v>
      </c>
      <c r="F63" s="100">
        <v>9.58</v>
      </c>
      <c r="G63" s="100">
        <v>39.130000000000003</v>
      </c>
      <c r="H63" s="100">
        <v>16.22</v>
      </c>
      <c r="I63" s="100">
        <v>3.84</v>
      </c>
      <c r="J63" s="100">
        <v>0.59</v>
      </c>
      <c r="K63" s="100">
        <v>265.25</v>
      </c>
      <c r="L63" s="100">
        <v>37.29</v>
      </c>
      <c r="M63" s="100">
        <v>46.2</v>
      </c>
      <c r="N63" s="100">
        <v>548.79999999999995</v>
      </c>
      <c r="O63" s="100">
        <v>0</v>
      </c>
      <c r="P63" s="100">
        <v>0.37</v>
      </c>
      <c r="Q63" s="100">
        <v>9.91</v>
      </c>
      <c r="R63" s="6"/>
      <c r="S63" s="6"/>
      <c r="T63" s="156"/>
      <c r="U63" s="6"/>
    </row>
    <row r="64" spans="1:21" customFormat="1">
      <c r="A64" s="163" t="s">
        <v>1639</v>
      </c>
      <c r="B64" s="100">
        <v>3.62</v>
      </c>
      <c r="C64" s="100">
        <v>6.37</v>
      </c>
      <c r="D64" s="100">
        <v>2.75</v>
      </c>
      <c r="E64" s="100">
        <v>5.57</v>
      </c>
      <c r="F64" s="100">
        <v>9.0299999999999994</v>
      </c>
      <c r="G64" s="100">
        <v>39.130000000000003</v>
      </c>
      <c r="H64" s="100">
        <v>16.22</v>
      </c>
      <c r="I64" s="100">
        <v>3.83</v>
      </c>
      <c r="J64" s="100">
        <v>0.44</v>
      </c>
      <c r="K64" s="100">
        <v>248.01</v>
      </c>
      <c r="L64" s="100">
        <v>37.58</v>
      </c>
      <c r="M64" s="100">
        <v>45.16</v>
      </c>
      <c r="N64" s="100">
        <v>639</v>
      </c>
      <c r="O64" s="100">
        <v>0</v>
      </c>
      <c r="P64" s="100">
        <v>0.35</v>
      </c>
      <c r="Q64" s="100">
        <v>9.91</v>
      </c>
      <c r="R64" s="6"/>
      <c r="S64" s="6"/>
      <c r="T64" s="156"/>
      <c r="U64" s="6"/>
    </row>
    <row r="65" spans="1:21" customFormat="1">
      <c r="A65" s="163" t="s">
        <v>1640</v>
      </c>
      <c r="B65" s="100">
        <v>3.63</v>
      </c>
      <c r="C65" s="100">
        <v>6.35</v>
      </c>
      <c r="D65" s="100">
        <v>2.72</v>
      </c>
      <c r="E65" s="100">
        <v>5.37</v>
      </c>
      <c r="F65" s="100">
        <v>13.01</v>
      </c>
      <c r="G65" s="100">
        <v>38.5</v>
      </c>
      <c r="H65" s="100">
        <v>17.03</v>
      </c>
      <c r="I65" s="100">
        <v>3.81</v>
      </c>
      <c r="J65" s="100">
        <v>0.39</v>
      </c>
      <c r="K65" s="100">
        <v>216.77</v>
      </c>
      <c r="L65" s="100">
        <v>37.4</v>
      </c>
      <c r="M65" s="100">
        <v>45.71</v>
      </c>
      <c r="N65" s="100">
        <v>287.8</v>
      </c>
      <c r="O65" s="100">
        <v>0</v>
      </c>
      <c r="P65" s="100">
        <v>0.32</v>
      </c>
      <c r="Q65" s="100">
        <v>9.91</v>
      </c>
      <c r="R65" s="6"/>
      <c r="S65" s="6"/>
      <c r="T65" s="156"/>
      <c r="U65" s="6"/>
    </row>
    <row r="66" spans="1:21" customFormat="1">
      <c r="A66" s="163" t="s">
        <v>1641</v>
      </c>
      <c r="B66" s="100">
        <v>3.64</v>
      </c>
      <c r="C66" s="100">
        <v>6.46</v>
      </c>
      <c r="D66" s="100">
        <v>2.82</v>
      </c>
      <c r="E66" s="100">
        <v>5.5</v>
      </c>
      <c r="F66" s="100">
        <v>14.83</v>
      </c>
      <c r="G66" s="100">
        <v>36.86</v>
      </c>
      <c r="H66" s="100">
        <v>18.36</v>
      </c>
      <c r="I66" s="100">
        <v>3.75</v>
      </c>
      <c r="J66" s="100">
        <v>0.56000000000000005</v>
      </c>
      <c r="K66" s="100">
        <v>264.74</v>
      </c>
      <c r="L66" s="100">
        <v>37.71</v>
      </c>
      <c r="M66" s="100">
        <v>44.21</v>
      </c>
      <c r="N66" s="100">
        <v>380.5</v>
      </c>
      <c r="O66" s="100">
        <v>0</v>
      </c>
      <c r="P66" s="100">
        <v>0.38</v>
      </c>
      <c r="Q66" s="100">
        <v>9.9</v>
      </c>
      <c r="R66" s="6"/>
      <c r="S66" s="6"/>
      <c r="T66" s="156"/>
      <c r="U66" s="6"/>
    </row>
    <row r="67" spans="1:21" customFormat="1">
      <c r="A67" s="163" t="s">
        <v>1642</v>
      </c>
      <c r="B67" s="100">
        <v>3.89</v>
      </c>
      <c r="C67" s="100">
        <v>7.53</v>
      </c>
      <c r="D67" s="100">
        <v>3.63</v>
      </c>
      <c r="E67" s="100">
        <v>5.12</v>
      </c>
      <c r="F67" s="100">
        <v>16.03</v>
      </c>
      <c r="G67" s="100">
        <v>36.86</v>
      </c>
      <c r="H67" s="100">
        <v>18.36</v>
      </c>
      <c r="I67" s="100">
        <v>3.67</v>
      </c>
      <c r="J67" s="100">
        <v>0.37</v>
      </c>
      <c r="K67" s="100">
        <v>269.73</v>
      </c>
      <c r="L67" s="100">
        <v>37.6</v>
      </c>
      <c r="M67" s="100">
        <v>43.77</v>
      </c>
      <c r="N67" s="100">
        <v>427.8</v>
      </c>
      <c r="O67" s="100">
        <v>0</v>
      </c>
      <c r="P67" s="100">
        <v>0.44</v>
      </c>
      <c r="Q67" s="100">
        <v>9.89</v>
      </c>
      <c r="R67" s="6"/>
      <c r="S67" s="6"/>
      <c r="T67" s="156"/>
      <c r="U67" s="6"/>
    </row>
    <row r="68" spans="1:21" customFormat="1">
      <c r="A68" s="163" t="s">
        <v>1643</v>
      </c>
      <c r="B68" s="100">
        <v>3.77</v>
      </c>
      <c r="C68" s="100">
        <v>6.88</v>
      </c>
      <c r="D68" s="100">
        <v>3.1</v>
      </c>
      <c r="E68" s="100">
        <v>5.29</v>
      </c>
      <c r="F68" s="100">
        <v>17.28</v>
      </c>
      <c r="G68" s="100">
        <v>36.86</v>
      </c>
      <c r="H68" s="100">
        <v>18.36</v>
      </c>
      <c r="I68" s="100">
        <v>3.63</v>
      </c>
      <c r="J68" s="100">
        <v>0.59</v>
      </c>
      <c r="K68" s="100">
        <v>261.97000000000003</v>
      </c>
      <c r="L68" s="100">
        <v>37.270000000000003</v>
      </c>
      <c r="M68" s="100">
        <v>45.15</v>
      </c>
      <c r="N68" s="100">
        <v>269.60000000000002</v>
      </c>
      <c r="O68" s="100">
        <v>0</v>
      </c>
      <c r="P68" s="100">
        <v>0.44</v>
      </c>
      <c r="Q68" s="100">
        <v>9.89</v>
      </c>
      <c r="R68" s="6"/>
      <c r="S68" s="6"/>
      <c r="T68" s="156"/>
      <c r="U68" s="6"/>
    </row>
    <row r="69" spans="1:21" customFormat="1">
      <c r="A69" s="163" t="s">
        <v>1644</v>
      </c>
      <c r="B69" s="100">
        <v>3.76</v>
      </c>
      <c r="C69" s="100">
        <v>6.52</v>
      </c>
      <c r="D69" s="100">
        <v>2.76</v>
      </c>
      <c r="E69" s="100">
        <v>4.88</v>
      </c>
      <c r="F69" s="100">
        <v>18.11</v>
      </c>
      <c r="G69" s="100">
        <v>40.119999999999997</v>
      </c>
      <c r="H69" s="100">
        <v>18.29</v>
      </c>
      <c r="I69" s="100">
        <v>3.83</v>
      </c>
      <c r="J69" s="100">
        <v>0.46</v>
      </c>
      <c r="K69" s="100">
        <v>238.95</v>
      </c>
      <c r="L69" s="100">
        <v>37.58</v>
      </c>
      <c r="M69" s="100">
        <v>45.28</v>
      </c>
      <c r="N69" s="100">
        <v>487.4</v>
      </c>
      <c r="O69" s="100">
        <v>0</v>
      </c>
      <c r="P69" s="100">
        <v>0.45</v>
      </c>
      <c r="Q69" s="100">
        <v>9.89</v>
      </c>
      <c r="R69" s="6"/>
      <c r="S69" s="6"/>
      <c r="T69" s="156"/>
      <c r="U69" s="6"/>
    </row>
    <row r="70" spans="1:21" customFormat="1">
      <c r="A70" s="163" t="s">
        <v>1645</v>
      </c>
      <c r="B70" s="100">
        <v>3.81</v>
      </c>
      <c r="C70" s="100">
        <v>6.65</v>
      </c>
      <c r="D70" s="100">
        <v>2.84</v>
      </c>
      <c r="E70" s="100">
        <v>5.3</v>
      </c>
      <c r="F70" s="100">
        <v>15.59</v>
      </c>
      <c r="G70" s="100">
        <v>48.14</v>
      </c>
      <c r="H70" s="100">
        <v>18.18</v>
      </c>
      <c r="I70" s="100">
        <v>3.68</v>
      </c>
      <c r="J70" s="100">
        <v>0.81</v>
      </c>
      <c r="K70" s="100">
        <v>272.85000000000002</v>
      </c>
      <c r="L70" s="100">
        <v>37.409999999999997</v>
      </c>
      <c r="M70" s="100">
        <v>45.3</v>
      </c>
      <c r="N70" s="100">
        <v>491.9</v>
      </c>
      <c r="O70" s="100">
        <v>0</v>
      </c>
      <c r="P70" s="100">
        <v>0.45</v>
      </c>
      <c r="Q70" s="100">
        <v>9.9</v>
      </c>
      <c r="R70" s="6"/>
      <c r="S70" s="6"/>
      <c r="T70" s="156"/>
      <c r="U70" s="6"/>
    </row>
    <row r="71" spans="1:21" customFormat="1">
      <c r="A71" s="163" t="s">
        <v>1646</v>
      </c>
      <c r="B71" s="100">
        <v>3.78</v>
      </c>
      <c r="C71" s="100">
        <v>6.55</v>
      </c>
      <c r="D71" s="100">
        <v>2.77</v>
      </c>
      <c r="E71" s="100">
        <v>4.71</v>
      </c>
      <c r="F71" s="100">
        <v>18.98</v>
      </c>
      <c r="G71" s="100">
        <v>48.14</v>
      </c>
      <c r="H71" s="100">
        <v>18.18</v>
      </c>
      <c r="I71" s="100">
        <v>3.72</v>
      </c>
      <c r="J71" s="100">
        <v>0.6</v>
      </c>
      <c r="K71" s="100">
        <v>251.03</v>
      </c>
      <c r="L71" s="100">
        <v>37.340000000000003</v>
      </c>
      <c r="M71" s="100">
        <v>45.63</v>
      </c>
      <c r="N71" s="100">
        <v>337.2</v>
      </c>
      <c r="O71" s="100">
        <v>0</v>
      </c>
      <c r="P71" s="100">
        <v>0.45</v>
      </c>
      <c r="Q71" s="100">
        <v>9.91</v>
      </c>
      <c r="R71" s="6"/>
      <c r="S71" s="6"/>
      <c r="T71" s="156"/>
      <c r="U71" s="6"/>
    </row>
    <row r="72" spans="1:21" customFormat="1">
      <c r="A72" s="163" t="s">
        <v>1647</v>
      </c>
      <c r="B72" s="100">
        <v>3.78</v>
      </c>
      <c r="C72" s="100">
        <v>6.44</v>
      </c>
      <c r="D72" s="100">
        <v>2.66</v>
      </c>
      <c r="E72" s="100">
        <v>4.55</v>
      </c>
      <c r="F72" s="100">
        <v>21.06</v>
      </c>
      <c r="G72" s="100">
        <v>48.14</v>
      </c>
      <c r="H72" s="100">
        <v>18.18</v>
      </c>
      <c r="I72" s="100">
        <v>3.87</v>
      </c>
      <c r="J72" s="100">
        <v>0.67</v>
      </c>
      <c r="K72" s="100">
        <v>262.95</v>
      </c>
      <c r="L72" s="100">
        <v>37.049999999999997</v>
      </c>
      <c r="M72" s="100">
        <v>44.99</v>
      </c>
      <c r="N72" s="100">
        <v>286.7</v>
      </c>
      <c r="O72" s="100">
        <v>0</v>
      </c>
      <c r="P72" s="100">
        <v>0.44</v>
      </c>
      <c r="Q72" s="100">
        <v>9.9</v>
      </c>
      <c r="R72" s="6"/>
      <c r="S72" s="6"/>
      <c r="T72" s="156"/>
      <c r="U72" s="6"/>
    </row>
    <row r="73" spans="1:21" customFormat="1">
      <c r="A73" s="163" t="s">
        <v>1648</v>
      </c>
      <c r="B73" s="100">
        <v>3.67</v>
      </c>
      <c r="C73" s="100">
        <v>6.16</v>
      </c>
      <c r="D73" s="100">
        <v>2.4900000000000002</v>
      </c>
      <c r="E73" s="100">
        <v>4.0999999999999996</v>
      </c>
      <c r="F73" s="100">
        <v>27.72</v>
      </c>
      <c r="G73" s="100">
        <v>44.62</v>
      </c>
      <c r="H73" s="100">
        <v>18.04</v>
      </c>
      <c r="I73" s="100">
        <v>3.75</v>
      </c>
      <c r="J73" s="100">
        <v>0.44</v>
      </c>
      <c r="K73" s="100">
        <v>247.63</v>
      </c>
      <c r="L73" s="100">
        <v>37.159999999999997</v>
      </c>
      <c r="M73" s="100">
        <v>45.66</v>
      </c>
      <c r="N73" s="100">
        <v>237.6</v>
      </c>
      <c r="O73" s="100">
        <v>0</v>
      </c>
      <c r="P73" s="100">
        <v>0.43</v>
      </c>
      <c r="Q73" s="100">
        <v>9.9</v>
      </c>
      <c r="R73" s="6"/>
      <c r="S73" s="6"/>
      <c r="T73" s="156"/>
      <c r="U73" s="6"/>
    </row>
    <row r="74" spans="1:21" customFormat="1">
      <c r="A74" s="163" t="s">
        <v>1649</v>
      </c>
      <c r="B74" s="100">
        <v>3.61</v>
      </c>
      <c r="C74" s="100">
        <v>6.15</v>
      </c>
      <c r="D74" s="100">
        <v>2.5299999999999998</v>
      </c>
      <c r="E74" s="100">
        <v>4.57</v>
      </c>
      <c r="F74" s="100">
        <v>26.38</v>
      </c>
      <c r="G74" s="100">
        <v>35.96</v>
      </c>
      <c r="H74" s="100">
        <v>17.46</v>
      </c>
      <c r="I74" s="100">
        <v>3.63</v>
      </c>
      <c r="J74" s="100">
        <v>0.56999999999999995</v>
      </c>
      <c r="K74" s="100">
        <v>267.45999999999998</v>
      </c>
      <c r="L74" s="100">
        <v>36.79</v>
      </c>
      <c r="M74" s="100">
        <v>45.99</v>
      </c>
      <c r="N74" s="100">
        <v>253.7</v>
      </c>
      <c r="O74" s="100">
        <v>0</v>
      </c>
      <c r="P74" s="100">
        <v>0.44</v>
      </c>
      <c r="Q74" s="100">
        <v>9.92</v>
      </c>
      <c r="R74" s="6"/>
      <c r="S74" s="6"/>
      <c r="T74" s="156"/>
      <c r="U74" s="6"/>
    </row>
    <row r="75" spans="1:21" customFormat="1">
      <c r="A75" s="163" t="s">
        <v>1650</v>
      </c>
      <c r="B75" s="100">
        <v>3.94</v>
      </c>
      <c r="C75" s="100">
        <v>7.43</v>
      </c>
      <c r="D75" s="100">
        <v>3.49</v>
      </c>
      <c r="E75" s="100">
        <v>4.43</v>
      </c>
      <c r="F75" s="100">
        <v>22.89</v>
      </c>
      <c r="G75" s="100">
        <v>35.96</v>
      </c>
      <c r="H75" s="100">
        <v>17.46</v>
      </c>
      <c r="I75" s="100">
        <v>3.53</v>
      </c>
      <c r="J75" s="100">
        <v>0.56999999999999995</v>
      </c>
      <c r="K75" s="100">
        <v>262.89999999999998</v>
      </c>
      <c r="L75" s="100">
        <v>36.770000000000003</v>
      </c>
      <c r="M75" s="100">
        <v>45.63</v>
      </c>
      <c r="N75" s="100">
        <v>168.7</v>
      </c>
      <c r="O75" s="100">
        <v>0</v>
      </c>
      <c r="P75" s="100">
        <v>0.45</v>
      </c>
      <c r="Q75" s="100">
        <v>9.91</v>
      </c>
      <c r="R75" s="6"/>
      <c r="S75" s="6"/>
      <c r="T75" s="156"/>
      <c r="U75" s="6"/>
    </row>
    <row r="76" spans="1:21" customFormat="1">
      <c r="A76" s="163" t="s">
        <v>1651</v>
      </c>
      <c r="B76" s="100">
        <v>3.76</v>
      </c>
      <c r="C76" s="100">
        <v>6.56</v>
      </c>
      <c r="D76" s="100">
        <v>2.8</v>
      </c>
      <c r="E76" s="100">
        <v>4.26</v>
      </c>
      <c r="F76" s="100">
        <v>25.82</v>
      </c>
      <c r="G76" s="100">
        <v>35.96</v>
      </c>
      <c r="H76" s="100">
        <v>17.46</v>
      </c>
      <c r="I76" s="100">
        <v>3.77</v>
      </c>
      <c r="J76" s="100">
        <v>0.24</v>
      </c>
      <c r="K76" s="100">
        <v>248.54</v>
      </c>
      <c r="L76" s="100">
        <v>35.979999999999997</v>
      </c>
      <c r="M76" s="100">
        <v>48.97</v>
      </c>
      <c r="N76" s="100">
        <v>81.3</v>
      </c>
      <c r="O76" s="100">
        <v>0</v>
      </c>
      <c r="P76" s="100">
        <v>0.47</v>
      </c>
      <c r="Q76" s="100">
        <v>9.9</v>
      </c>
      <c r="R76" s="6"/>
      <c r="S76" s="6"/>
      <c r="T76" s="156"/>
      <c r="U76" s="6"/>
    </row>
    <row r="77" spans="1:21" customFormat="1">
      <c r="A77" s="163" t="s">
        <v>1652</v>
      </c>
      <c r="B77" s="100">
        <v>3.74</v>
      </c>
      <c r="C77" s="100">
        <v>6.49</v>
      </c>
      <c r="D77" s="100">
        <v>2.74</v>
      </c>
      <c r="E77" s="100">
        <v>4.05</v>
      </c>
      <c r="F77" s="100">
        <v>15.72</v>
      </c>
      <c r="G77" s="100">
        <v>36.19</v>
      </c>
      <c r="H77" s="100">
        <v>16.93</v>
      </c>
      <c r="I77" s="100">
        <v>4.05</v>
      </c>
      <c r="J77" s="100">
        <v>0.18</v>
      </c>
      <c r="K77" s="100">
        <v>301.67</v>
      </c>
      <c r="L77" s="100">
        <v>33.31</v>
      </c>
      <c r="M77" s="100">
        <v>55.56</v>
      </c>
      <c r="N77" s="100">
        <v>72.3</v>
      </c>
      <c r="O77" s="100">
        <v>0</v>
      </c>
      <c r="P77" s="100">
        <v>0.44</v>
      </c>
      <c r="Q77" s="100">
        <v>9.9</v>
      </c>
      <c r="R77" s="6"/>
      <c r="S77" s="6"/>
      <c r="T77" s="156"/>
      <c r="U77" s="6"/>
    </row>
    <row r="78" spans="1:21" customFormat="1">
      <c r="A78" s="163" t="s">
        <v>1653</v>
      </c>
      <c r="B78" s="100">
        <v>3.69</v>
      </c>
      <c r="C78" s="100">
        <v>6.32</v>
      </c>
      <c r="D78" s="100">
        <v>2.63</v>
      </c>
      <c r="E78" s="100">
        <v>4.12</v>
      </c>
      <c r="F78" s="100">
        <v>15.7</v>
      </c>
      <c r="G78" s="100">
        <v>36.75</v>
      </c>
      <c r="H78" s="100">
        <v>16.059999999999999</v>
      </c>
      <c r="I78" s="100">
        <v>4.09</v>
      </c>
      <c r="J78" s="100">
        <v>0.34</v>
      </c>
      <c r="K78" s="100">
        <v>266.49</v>
      </c>
      <c r="L78" s="100">
        <v>32.21</v>
      </c>
      <c r="M78" s="100">
        <v>57.86</v>
      </c>
      <c r="N78" s="100">
        <v>48</v>
      </c>
      <c r="O78" s="100">
        <v>0</v>
      </c>
      <c r="P78" s="100">
        <v>0.42</v>
      </c>
      <c r="Q78" s="100">
        <v>9.91</v>
      </c>
      <c r="R78" s="6"/>
      <c r="S78" s="6"/>
      <c r="T78" s="156"/>
      <c r="U78" s="6"/>
    </row>
    <row r="79" spans="1:21" customFormat="1">
      <c r="A79" s="163" t="s">
        <v>1654</v>
      </c>
      <c r="B79" s="100">
        <v>3.66</v>
      </c>
      <c r="C79" s="100">
        <v>6.08</v>
      </c>
      <c r="D79" s="100">
        <v>2.4300000000000002</v>
      </c>
      <c r="E79" s="100">
        <v>4.04</v>
      </c>
      <c r="F79" s="100">
        <v>15.53</v>
      </c>
      <c r="G79" s="100">
        <v>36.75</v>
      </c>
      <c r="H79" s="100">
        <v>16.059999999999999</v>
      </c>
      <c r="I79" s="100">
        <v>3.81</v>
      </c>
      <c r="J79" s="100">
        <v>0.21</v>
      </c>
      <c r="K79" s="100">
        <v>238.97</v>
      </c>
      <c r="L79" s="100">
        <v>31.3</v>
      </c>
      <c r="M79" s="100">
        <v>59.79</v>
      </c>
      <c r="N79" s="100">
        <v>26.4</v>
      </c>
      <c r="O79" s="100">
        <v>0</v>
      </c>
      <c r="P79" s="100">
        <v>0.42</v>
      </c>
      <c r="Q79" s="100">
        <v>9.91</v>
      </c>
      <c r="R79" s="6"/>
      <c r="S79" s="6"/>
      <c r="T79" s="156"/>
      <c r="U79" s="6"/>
    </row>
    <row r="80" spans="1:21" customFormat="1">
      <c r="A80" s="163" t="s">
        <v>1655</v>
      </c>
      <c r="B80" s="100">
        <v>3.69</v>
      </c>
      <c r="C80" s="100">
        <v>6.29</v>
      </c>
      <c r="D80" s="100">
        <v>2.61</v>
      </c>
      <c r="E80" s="100">
        <v>3.87</v>
      </c>
      <c r="F80" s="100">
        <v>15.11</v>
      </c>
      <c r="G80" s="100">
        <v>36.75</v>
      </c>
      <c r="H80" s="100">
        <v>16.059999999999999</v>
      </c>
      <c r="I80" s="100">
        <v>3.8</v>
      </c>
      <c r="J80" s="100">
        <v>0.68</v>
      </c>
      <c r="K80" s="100">
        <v>56.01</v>
      </c>
      <c r="L80" s="100">
        <v>31.17</v>
      </c>
      <c r="M80" s="100">
        <v>59.13</v>
      </c>
      <c r="N80" s="100">
        <v>14.1</v>
      </c>
      <c r="O80" s="100">
        <v>0</v>
      </c>
      <c r="P80" s="100">
        <v>0.42</v>
      </c>
      <c r="Q80" s="100">
        <v>9.9</v>
      </c>
      <c r="R80" s="6"/>
      <c r="S80" s="6"/>
      <c r="T80" s="156"/>
      <c r="U80" s="6"/>
    </row>
    <row r="81" spans="1:21" customFormat="1">
      <c r="A81" s="163" t="s">
        <v>1656</v>
      </c>
      <c r="B81" s="100">
        <v>3.8</v>
      </c>
      <c r="C81" s="100">
        <v>6.88</v>
      </c>
      <c r="D81" s="100">
        <v>3.08</v>
      </c>
      <c r="E81" s="100">
        <v>3.78</v>
      </c>
      <c r="F81" s="100">
        <v>7.84</v>
      </c>
      <c r="G81" s="100">
        <v>35.6</v>
      </c>
      <c r="H81" s="100">
        <v>14.24</v>
      </c>
      <c r="I81" s="100">
        <v>3.68</v>
      </c>
      <c r="J81" s="100">
        <v>1.17</v>
      </c>
      <c r="K81" s="100">
        <v>56.63</v>
      </c>
      <c r="L81" s="100">
        <v>30.07</v>
      </c>
      <c r="M81" s="100">
        <v>68.11</v>
      </c>
      <c r="N81" s="100">
        <v>13.9</v>
      </c>
      <c r="O81" s="100">
        <v>0</v>
      </c>
      <c r="P81" s="100">
        <v>0.42</v>
      </c>
      <c r="Q81" s="100">
        <v>9.9</v>
      </c>
      <c r="R81" s="6"/>
      <c r="S81" s="6"/>
      <c r="T81" s="156"/>
      <c r="U81" s="6"/>
    </row>
    <row r="82" spans="1:21" customFormat="1">
      <c r="A82" s="163" t="s">
        <v>1657</v>
      </c>
      <c r="B82" s="100">
        <v>3.93</v>
      </c>
      <c r="C82" s="100">
        <v>7.28</v>
      </c>
      <c r="D82" s="100">
        <v>3.35</v>
      </c>
      <c r="E82" s="100">
        <v>4.08</v>
      </c>
      <c r="F82" s="100">
        <v>10.32</v>
      </c>
      <c r="G82" s="100">
        <v>32.76</v>
      </c>
      <c r="H82" s="100">
        <v>11.24</v>
      </c>
      <c r="I82" s="100">
        <v>3.73</v>
      </c>
      <c r="J82" s="100">
        <v>1.19</v>
      </c>
      <c r="K82" s="100">
        <v>46.79</v>
      </c>
      <c r="L82" s="100">
        <v>29.24</v>
      </c>
      <c r="M82" s="100">
        <v>68.83</v>
      </c>
      <c r="N82" s="100">
        <v>6.5</v>
      </c>
      <c r="O82" s="100">
        <v>0</v>
      </c>
      <c r="P82" s="100">
        <v>0.43</v>
      </c>
      <c r="Q82" s="100">
        <v>9.9</v>
      </c>
      <c r="R82" s="6"/>
      <c r="S82" s="6"/>
      <c r="T82" s="156"/>
      <c r="U82" s="6"/>
    </row>
    <row r="83" spans="1:21" customFormat="1">
      <c r="A83" s="163" t="s">
        <v>1658</v>
      </c>
      <c r="B83" s="100">
        <v>4.2</v>
      </c>
      <c r="C83" s="100">
        <v>8.6199999999999992</v>
      </c>
      <c r="D83" s="100">
        <v>4.43</v>
      </c>
      <c r="E83" s="100">
        <v>3.6</v>
      </c>
      <c r="F83" s="100">
        <v>8.9499999999999993</v>
      </c>
      <c r="G83" s="100">
        <v>32.76</v>
      </c>
      <c r="H83" s="100">
        <v>11.24</v>
      </c>
      <c r="I83" s="100">
        <v>4</v>
      </c>
      <c r="J83" s="100">
        <v>1.77</v>
      </c>
      <c r="K83" s="100">
        <v>43.12</v>
      </c>
      <c r="L83" s="100">
        <v>29.4</v>
      </c>
      <c r="M83" s="100">
        <v>64.44</v>
      </c>
      <c r="N83" s="100">
        <v>3.5</v>
      </c>
      <c r="O83" s="100">
        <v>0</v>
      </c>
      <c r="P83" s="100">
        <v>0.43</v>
      </c>
      <c r="Q83" s="100">
        <v>9.9</v>
      </c>
      <c r="R83" s="6"/>
      <c r="S83" s="6"/>
      <c r="T83" s="156"/>
      <c r="U83" s="6"/>
    </row>
    <row r="84" spans="1:21" customFormat="1">
      <c r="A84" s="163" t="s">
        <v>1659</v>
      </c>
      <c r="B84" s="100">
        <v>4.37</v>
      </c>
      <c r="C84" s="100">
        <v>8.76</v>
      </c>
      <c r="D84" s="100">
        <v>4.3899999999999997</v>
      </c>
      <c r="E84" s="100">
        <v>4.1399999999999997</v>
      </c>
      <c r="F84" s="100">
        <v>11.25</v>
      </c>
      <c r="G84" s="100">
        <v>32.76</v>
      </c>
      <c r="H84" s="100">
        <v>11.24</v>
      </c>
      <c r="I84" s="100">
        <v>4.04</v>
      </c>
      <c r="J84" s="100">
        <v>1.45</v>
      </c>
      <c r="K84" s="100">
        <v>47.81</v>
      </c>
      <c r="L84" s="100">
        <v>29.47</v>
      </c>
      <c r="M84" s="100">
        <v>65.03</v>
      </c>
      <c r="N84" s="100">
        <v>1.4</v>
      </c>
      <c r="O84" s="100">
        <v>0</v>
      </c>
      <c r="P84" s="100">
        <v>0.44</v>
      </c>
      <c r="Q84" s="100">
        <v>9.91</v>
      </c>
      <c r="R84" s="6"/>
      <c r="S84" s="6"/>
      <c r="T84" s="156"/>
      <c r="U84" s="6"/>
    </row>
    <row r="85" spans="1:21" customFormat="1">
      <c r="A85" s="163" t="s">
        <v>1660</v>
      </c>
      <c r="B85" s="100">
        <v>4.29</v>
      </c>
      <c r="C85" s="100">
        <v>9.82</v>
      </c>
      <c r="D85" s="100">
        <v>5.53</v>
      </c>
      <c r="E85" s="100">
        <v>4.2699999999999996</v>
      </c>
      <c r="F85" s="100">
        <v>5.35</v>
      </c>
      <c r="G85" s="100">
        <v>37.11</v>
      </c>
      <c r="H85" s="100">
        <v>10.44</v>
      </c>
      <c r="I85" s="100">
        <v>4.0999999999999996</v>
      </c>
      <c r="J85" s="100">
        <v>1.53</v>
      </c>
      <c r="K85" s="100">
        <v>43.21</v>
      </c>
      <c r="L85" s="100">
        <v>30.64</v>
      </c>
      <c r="M85" s="100">
        <v>58.72</v>
      </c>
      <c r="N85" s="100">
        <v>0.7</v>
      </c>
      <c r="O85" s="100">
        <v>0</v>
      </c>
      <c r="P85" s="100">
        <v>0.43</v>
      </c>
      <c r="Q85" s="100">
        <v>9.9</v>
      </c>
      <c r="R85" s="6"/>
      <c r="S85" s="6"/>
      <c r="T85" s="156"/>
      <c r="U85" s="6"/>
    </row>
    <row r="86" spans="1:21" customFormat="1">
      <c r="A86" s="163" t="s">
        <v>1661</v>
      </c>
      <c r="B86" s="100">
        <v>4.25</v>
      </c>
      <c r="C86" s="100">
        <v>11.09</v>
      </c>
      <c r="D86" s="100">
        <v>6.84</v>
      </c>
      <c r="E86" s="100">
        <v>4.7</v>
      </c>
      <c r="F86" s="100">
        <v>4.95</v>
      </c>
      <c r="G86" s="100">
        <v>47.82</v>
      </c>
      <c r="H86" s="100">
        <v>9.1199999999999992</v>
      </c>
      <c r="I86" s="100">
        <v>4.0999999999999996</v>
      </c>
      <c r="J86" s="100">
        <v>0.81</v>
      </c>
      <c r="K86" s="100">
        <v>56.27</v>
      </c>
      <c r="L86" s="100">
        <v>30.53</v>
      </c>
      <c r="M86" s="100">
        <v>64.150000000000006</v>
      </c>
      <c r="N86" s="100">
        <v>2.1</v>
      </c>
      <c r="O86" s="100">
        <v>0</v>
      </c>
      <c r="P86" s="100">
        <v>0.43</v>
      </c>
      <c r="Q86" s="100">
        <v>9.89</v>
      </c>
      <c r="R86" s="6"/>
      <c r="S86" s="6"/>
      <c r="T86" s="156"/>
      <c r="U86" s="6"/>
    </row>
    <row r="87" spans="1:21" customFormat="1">
      <c r="A87" s="163" t="s">
        <v>1662</v>
      </c>
      <c r="B87" s="100">
        <v>4.0599999999999996</v>
      </c>
      <c r="C87" s="100">
        <v>10.6</v>
      </c>
      <c r="D87" s="100">
        <v>6.54</v>
      </c>
      <c r="E87" s="100">
        <v>4.93</v>
      </c>
      <c r="F87" s="100">
        <v>4.24</v>
      </c>
      <c r="G87" s="100">
        <v>47.82</v>
      </c>
      <c r="H87" s="100">
        <v>9.1199999999999992</v>
      </c>
      <c r="I87" s="100">
        <v>4.18</v>
      </c>
      <c r="J87" s="100">
        <v>1.24</v>
      </c>
      <c r="K87" s="100">
        <v>57.79</v>
      </c>
      <c r="L87" s="100">
        <v>28.43</v>
      </c>
      <c r="M87" s="100">
        <v>76.72</v>
      </c>
      <c r="N87" s="100">
        <v>3.5</v>
      </c>
      <c r="O87" s="100">
        <v>0</v>
      </c>
      <c r="P87" s="100">
        <v>0.4</v>
      </c>
      <c r="Q87" s="100">
        <v>9.91</v>
      </c>
      <c r="R87" s="6"/>
      <c r="S87" s="6"/>
      <c r="T87" s="156"/>
      <c r="U87" s="6"/>
    </row>
    <row r="88" spans="1:21" customFormat="1">
      <c r="A88" s="163" t="s">
        <v>1663</v>
      </c>
      <c r="B88" s="100">
        <v>3.87</v>
      </c>
      <c r="C88" s="100">
        <v>10.26</v>
      </c>
      <c r="D88" s="100">
        <v>6.39</v>
      </c>
      <c r="E88" s="100">
        <v>5.24</v>
      </c>
      <c r="F88" s="100">
        <v>4.0999999999999996</v>
      </c>
      <c r="G88" s="100">
        <v>47.82</v>
      </c>
      <c r="H88" s="100">
        <v>9.1199999999999992</v>
      </c>
      <c r="I88" s="100">
        <v>4.25</v>
      </c>
      <c r="J88" s="100">
        <v>0.74</v>
      </c>
      <c r="K88" s="100">
        <v>63.63</v>
      </c>
      <c r="L88" s="100">
        <v>27.91</v>
      </c>
      <c r="M88" s="100">
        <v>80.59</v>
      </c>
      <c r="N88" s="100">
        <v>1.4</v>
      </c>
      <c r="O88" s="100">
        <v>0</v>
      </c>
      <c r="P88" s="100">
        <v>0.41</v>
      </c>
      <c r="Q88" s="100">
        <v>9.92</v>
      </c>
      <c r="R88" s="6"/>
      <c r="S88" s="6"/>
      <c r="T88" s="156"/>
      <c r="U88" s="6"/>
    </row>
    <row r="89" spans="1:21" customFormat="1">
      <c r="A89" s="163" t="s">
        <v>1664</v>
      </c>
      <c r="B89" s="100">
        <v>3.75</v>
      </c>
      <c r="C89" s="100">
        <v>9.91</v>
      </c>
      <c r="D89" s="100">
        <v>6.16</v>
      </c>
      <c r="E89" s="100">
        <v>5.42</v>
      </c>
      <c r="F89" s="100">
        <v>4.6900000000000004</v>
      </c>
      <c r="G89" s="100">
        <v>49.41</v>
      </c>
      <c r="H89" s="100">
        <v>13.68</v>
      </c>
      <c r="I89" s="100">
        <v>4.1900000000000004</v>
      </c>
      <c r="J89" s="100">
        <v>0.63</v>
      </c>
      <c r="K89" s="100">
        <v>68.760000000000005</v>
      </c>
      <c r="L89" s="100">
        <v>27.98</v>
      </c>
      <c r="M89" s="100">
        <v>80.75</v>
      </c>
      <c r="N89" s="100">
        <v>1.7</v>
      </c>
      <c r="O89" s="100">
        <v>0</v>
      </c>
      <c r="P89" s="100">
        <v>0.41</v>
      </c>
      <c r="Q89" s="100">
        <v>9.9</v>
      </c>
      <c r="R89" s="6"/>
      <c r="S89" s="6"/>
      <c r="T89" s="156"/>
      <c r="U89" s="6"/>
    </row>
    <row r="90" spans="1:21" customFormat="1">
      <c r="A90" s="163" t="s">
        <v>1665</v>
      </c>
      <c r="B90" s="100">
        <v>3.69</v>
      </c>
      <c r="C90" s="100">
        <v>9.66</v>
      </c>
      <c r="D90" s="100">
        <v>5.96</v>
      </c>
      <c r="E90" s="100">
        <v>5.21</v>
      </c>
      <c r="F90" s="100">
        <v>4.42</v>
      </c>
      <c r="G90" s="100">
        <v>53.3</v>
      </c>
      <c r="H90" s="100">
        <v>21.15</v>
      </c>
      <c r="I90" s="100">
        <v>4.16</v>
      </c>
      <c r="J90" s="100">
        <v>0.28000000000000003</v>
      </c>
      <c r="K90" s="100">
        <v>118.7</v>
      </c>
      <c r="L90" s="100">
        <v>28.22</v>
      </c>
      <c r="M90" s="100">
        <v>79.77</v>
      </c>
      <c r="N90" s="100">
        <v>1.3</v>
      </c>
      <c r="O90" s="100">
        <v>0</v>
      </c>
      <c r="P90" s="100">
        <v>0.41</v>
      </c>
      <c r="Q90" s="100">
        <v>9.91</v>
      </c>
      <c r="R90" s="6"/>
      <c r="S90" s="6"/>
      <c r="T90" s="156"/>
      <c r="U90" s="6"/>
    </row>
    <row r="91" spans="1:21" customFormat="1">
      <c r="A91" s="163" t="s">
        <v>1666</v>
      </c>
      <c r="B91" s="100">
        <v>3.66</v>
      </c>
      <c r="C91" s="100">
        <v>9.4499999999999993</v>
      </c>
      <c r="D91" s="100">
        <v>5.79</v>
      </c>
      <c r="E91" s="100">
        <v>5.6</v>
      </c>
      <c r="F91" s="100">
        <v>4.09</v>
      </c>
      <c r="G91" s="100">
        <v>53.3</v>
      </c>
      <c r="H91" s="100">
        <v>21.15</v>
      </c>
      <c r="I91" s="100">
        <v>4.1399999999999997</v>
      </c>
      <c r="J91" s="100">
        <v>0.19</v>
      </c>
      <c r="K91" s="100">
        <v>184.91</v>
      </c>
      <c r="L91" s="100">
        <v>28.45</v>
      </c>
      <c r="M91" s="100">
        <v>78.48</v>
      </c>
      <c r="N91" s="100">
        <v>1.5</v>
      </c>
      <c r="O91" s="100">
        <v>0</v>
      </c>
      <c r="P91" s="100">
        <v>0.42</v>
      </c>
      <c r="Q91" s="100">
        <v>9.91</v>
      </c>
      <c r="R91" s="6"/>
      <c r="S91" s="6"/>
      <c r="T91" s="156"/>
      <c r="U91" s="6"/>
    </row>
    <row r="92" spans="1:21" customFormat="1">
      <c r="A92" s="163" t="s">
        <v>1667</v>
      </c>
      <c r="B92" s="100">
        <v>3.64</v>
      </c>
      <c r="C92" s="100">
        <v>8.9600000000000009</v>
      </c>
      <c r="D92" s="100">
        <v>5.32</v>
      </c>
      <c r="E92" s="100">
        <v>5.73</v>
      </c>
      <c r="F92" s="100">
        <v>4.09</v>
      </c>
      <c r="G92" s="100">
        <v>53.3</v>
      </c>
      <c r="H92" s="100">
        <v>21.15</v>
      </c>
      <c r="I92" s="100">
        <v>4.1900000000000004</v>
      </c>
      <c r="J92" s="100">
        <v>0.3</v>
      </c>
      <c r="K92" s="100">
        <v>256.13</v>
      </c>
      <c r="L92" s="100">
        <v>28.68</v>
      </c>
      <c r="M92" s="100">
        <v>76.92</v>
      </c>
      <c r="N92" s="100">
        <v>1.5</v>
      </c>
      <c r="O92" s="100">
        <v>0</v>
      </c>
      <c r="P92" s="100">
        <v>0.42</v>
      </c>
      <c r="Q92" s="100">
        <v>9.9</v>
      </c>
      <c r="R92" s="6"/>
      <c r="S92" s="6"/>
      <c r="T92" s="156"/>
      <c r="U92" s="6"/>
    </row>
    <row r="93" spans="1:21" customFormat="1">
      <c r="A93" s="163" t="s">
        <v>1668</v>
      </c>
      <c r="B93" s="100">
        <v>3.66</v>
      </c>
      <c r="C93" s="100">
        <v>8.42</v>
      </c>
      <c r="D93" s="100">
        <v>4.76</v>
      </c>
      <c r="E93" s="100">
        <v>5.52</v>
      </c>
      <c r="F93" s="100">
        <v>4.87</v>
      </c>
      <c r="G93" s="100">
        <v>52.08</v>
      </c>
      <c r="H93" s="100">
        <v>20.81</v>
      </c>
      <c r="I93" s="100">
        <v>4.4800000000000004</v>
      </c>
      <c r="J93" s="100">
        <v>0.21</v>
      </c>
      <c r="K93" s="100">
        <v>245.08</v>
      </c>
      <c r="L93" s="100">
        <v>28.73</v>
      </c>
      <c r="M93" s="100">
        <v>76.94</v>
      </c>
      <c r="N93" s="100">
        <v>1.8</v>
      </c>
      <c r="O93" s="100">
        <v>0</v>
      </c>
      <c r="P93" s="100">
        <v>0.41</v>
      </c>
      <c r="Q93" s="100">
        <v>9.9</v>
      </c>
      <c r="R93" s="6"/>
      <c r="S93" s="6"/>
      <c r="T93" s="156"/>
      <c r="U93" s="6"/>
    </row>
    <row r="94" spans="1:21" customFormat="1">
      <c r="A94" s="163" t="s">
        <v>1669</v>
      </c>
      <c r="B94" s="100">
        <v>3.69</v>
      </c>
      <c r="C94" s="100">
        <v>8.44</v>
      </c>
      <c r="D94" s="100">
        <v>4.75</v>
      </c>
      <c r="E94" s="100">
        <v>5.79</v>
      </c>
      <c r="F94" s="100">
        <v>3.62</v>
      </c>
      <c r="G94" s="100">
        <v>49.06</v>
      </c>
      <c r="H94" s="100">
        <v>20.25</v>
      </c>
      <c r="I94" s="100">
        <v>4.41</v>
      </c>
      <c r="J94" s="100">
        <v>0.5</v>
      </c>
      <c r="K94" s="100">
        <v>254.89</v>
      </c>
      <c r="L94" s="100">
        <v>28.91</v>
      </c>
      <c r="M94" s="100">
        <v>75.77</v>
      </c>
      <c r="N94" s="100">
        <v>1.6</v>
      </c>
      <c r="O94" s="100">
        <v>0</v>
      </c>
      <c r="P94" s="100">
        <v>0.41</v>
      </c>
      <c r="Q94" s="100">
        <v>9.91</v>
      </c>
      <c r="R94" s="6"/>
      <c r="S94" s="6"/>
      <c r="T94" s="156"/>
      <c r="U94" s="6"/>
    </row>
    <row r="95" spans="1:21" customFormat="1">
      <c r="A95" s="163" t="s">
        <v>1670</v>
      </c>
      <c r="B95" s="100">
        <v>3.69</v>
      </c>
      <c r="C95" s="100">
        <v>8.23</v>
      </c>
      <c r="D95" s="100">
        <v>4.54</v>
      </c>
      <c r="E95" s="100">
        <v>5.67</v>
      </c>
      <c r="F95" s="100">
        <v>4.5999999999999996</v>
      </c>
      <c r="G95" s="100">
        <v>49.06</v>
      </c>
      <c r="H95" s="100">
        <v>20.25</v>
      </c>
      <c r="I95" s="100">
        <v>4.28</v>
      </c>
      <c r="J95" s="100">
        <v>0.43</v>
      </c>
      <c r="K95" s="100">
        <v>250.26</v>
      </c>
      <c r="L95" s="100">
        <v>29.06</v>
      </c>
      <c r="M95" s="100">
        <v>73.91</v>
      </c>
      <c r="N95" s="100">
        <v>1.7</v>
      </c>
      <c r="O95" s="100">
        <v>0</v>
      </c>
      <c r="P95" s="100">
        <v>0.4</v>
      </c>
      <c r="Q95" s="100">
        <v>9.89</v>
      </c>
      <c r="R95" s="6"/>
      <c r="S95" s="6"/>
      <c r="T95" s="156"/>
      <c r="U95" s="6"/>
    </row>
    <row r="96" spans="1:21" customFormat="1">
      <c r="A96" s="163" t="s">
        <v>1671</v>
      </c>
      <c r="B96" s="100">
        <v>3.68</v>
      </c>
      <c r="C96" s="100">
        <v>7.85</v>
      </c>
      <c r="D96" s="100">
        <v>4.17</v>
      </c>
      <c r="E96" s="100">
        <v>5.8</v>
      </c>
      <c r="F96" s="100">
        <v>4.6399999999999997</v>
      </c>
      <c r="G96" s="100">
        <v>49.06</v>
      </c>
      <c r="H96" s="100">
        <v>20.25</v>
      </c>
      <c r="I96" s="100">
        <v>4.18</v>
      </c>
      <c r="J96" s="100">
        <v>0.98</v>
      </c>
      <c r="K96" s="100">
        <v>249.88</v>
      </c>
      <c r="L96" s="100">
        <v>28.86</v>
      </c>
      <c r="M96" s="100">
        <v>73.98</v>
      </c>
      <c r="N96" s="100">
        <v>2.5</v>
      </c>
      <c r="O96" s="100">
        <v>0</v>
      </c>
      <c r="P96" s="100">
        <v>0.41</v>
      </c>
      <c r="Q96" s="100">
        <v>9.89</v>
      </c>
      <c r="R96" s="6"/>
      <c r="S96" s="6"/>
      <c r="T96" s="156"/>
      <c r="U96" s="6"/>
    </row>
    <row r="97" spans="1:28" customFormat="1">
      <c r="A97" s="163" t="s">
        <v>1672</v>
      </c>
      <c r="B97" s="100">
        <v>3.66</v>
      </c>
      <c r="C97" s="100">
        <v>7.74</v>
      </c>
      <c r="D97" s="100">
        <v>4.08</v>
      </c>
      <c r="E97" s="100">
        <v>6.03</v>
      </c>
      <c r="F97" s="100">
        <v>3.94</v>
      </c>
      <c r="G97" s="100">
        <v>47.92</v>
      </c>
      <c r="H97" s="100">
        <v>19.02</v>
      </c>
      <c r="I97" s="100">
        <v>4.1500000000000004</v>
      </c>
      <c r="J97" s="100">
        <v>0.92</v>
      </c>
      <c r="K97" s="100">
        <v>246.28</v>
      </c>
      <c r="L97" s="100">
        <v>28.17</v>
      </c>
      <c r="M97" s="100">
        <v>75.790000000000006</v>
      </c>
      <c r="N97" s="100">
        <v>2.2999999999999998</v>
      </c>
      <c r="O97" s="100">
        <v>0</v>
      </c>
      <c r="P97" s="100">
        <v>0.39</v>
      </c>
      <c r="Q97" s="100">
        <v>9.91</v>
      </c>
      <c r="R97" s="6"/>
      <c r="S97" s="6"/>
      <c r="T97" s="156"/>
      <c r="U97" s="6"/>
    </row>
    <row r="98" spans="1:28" customFormat="1">
      <c r="A98" s="163" t="s">
        <v>1673</v>
      </c>
      <c r="B98" s="100">
        <v>3.65</v>
      </c>
      <c r="C98" s="100">
        <v>7.95</v>
      </c>
      <c r="D98" s="100">
        <v>4.3</v>
      </c>
      <c r="E98" s="100">
        <v>6.06</v>
      </c>
      <c r="F98" s="100">
        <v>3.08</v>
      </c>
      <c r="G98" s="100">
        <v>45.11</v>
      </c>
      <c r="H98" s="100">
        <v>13.97</v>
      </c>
      <c r="I98" s="100">
        <v>4.0999999999999996</v>
      </c>
      <c r="J98" s="100">
        <v>0.66</v>
      </c>
      <c r="K98" s="100">
        <v>253.43</v>
      </c>
      <c r="L98" s="100">
        <v>27.84</v>
      </c>
      <c r="M98" s="100">
        <v>78.56</v>
      </c>
      <c r="N98" s="100">
        <v>2.1</v>
      </c>
      <c r="O98" s="100">
        <v>0</v>
      </c>
      <c r="P98" s="100">
        <v>0.39</v>
      </c>
      <c r="Q98" s="100">
        <v>9.91</v>
      </c>
      <c r="R98" s="6"/>
      <c r="S98" s="6"/>
      <c r="T98" s="156"/>
      <c r="U98" s="6"/>
    </row>
    <row r="99" spans="1:28" customFormat="1">
      <c r="A99" s="163" t="s">
        <v>1674</v>
      </c>
      <c r="B99" s="100">
        <v>3.68</v>
      </c>
      <c r="C99" s="100">
        <v>7.6</v>
      </c>
      <c r="D99" s="100">
        <v>3.93</v>
      </c>
      <c r="E99" s="100">
        <v>6.24</v>
      </c>
      <c r="F99" s="100">
        <v>4.29</v>
      </c>
      <c r="G99" s="100">
        <v>45.11</v>
      </c>
      <c r="H99" s="100">
        <v>13.97</v>
      </c>
      <c r="I99" s="100">
        <v>3.97</v>
      </c>
      <c r="J99" s="100">
        <v>0.38</v>
      </c>
      <c r="K99" s="100">
        <v>257.7</v>
      </c>
      <c r="L99" s="100">
        <v>27.84</v>
      </c>
      <c r="M99" s="100">
        <v>80</v>
      </c>
      <c r="N99" s="100">
        <v>2.1</v>
      </c>
      <c r="O99" s="100">
        <v>0</v>
      </c>
      <c r="P99" s="100">
        <v>0.39</v>
      </c>
      <c r="Q99" s="100">
        <v>9.9</v>
      </c>
      <c r="R99" s="6"/>
      <c r="S99" s="6"/>
      <c r="T99" s="156"/>
      <c r="U99" s="6"/>
    </row>
    <row r="100" spans="1:28" customFormat="1">
      <c r="A100" s="163" t="s">
        <v>1675</v>
      </c>
      <c r="B100" s="100">
        <v>3.7</v>
      </c>
      <c r="C100" s="100">
        <v>7.67</v>
      </c>
      <c r="D100" s="100">
        <v>3.96</v>
      </c>
      <c r="E100" s="100">
        <v>6.37</v>
      </c>
      <c r="F100" s="100">
        <v>3.43</v>
      </c>
      <c r="G100" s="100">
        <v>45.11</v>
      </c>
      <c r="H100" s="100">
        <v>13.97</v>
      </c>
      <c r="I100" s="100">
        <v>4.01</v>
      </c>
      <c r="J100" s="100">
        <v>0.6</v>
      </c>
      <c r="K100" s="100">
        <v>257.57</v>
      </c>
      <c r="L100" s="100">
        <v>27.9</v>
      </c>
      <c r="M100" s="100">
        <v>80.39</v>
      </c>
      <c r="N100" s="100">
        <v>1.9</v>
      </c>
      <c r="O100" s="100">
        <v>0</v>
      </c>
      <c r="P100" s="100">
        <v>0.42</v>
      </c>
      <c r="Q100" s="100">
        <v>9.92</v>
      </c>
      <c r="R100" s="6"/>
      <c r="S100" s="6"/>
      <c r="T100" s="156"/>
      <c r="U100" s="6"/>
      <c r="AB100" s="161"/>
    </row>
    <row r="101" spans="1:28" customFormat="1">
      <c r="A101" s="163" t="s">
        <v>1676</v>
      </c>
      <c r="B101" s="100">
        <v>3.78</v>
      </c>
      <c r="C101" s="100">
        <v>8.35</v>
      </c>
      <c r="D101" s="100">
        <v>4.58</v>
      </c>
      <c r="E101" s="100">
        <v>5.92</v>
      </c>
      <c r="F101" s="100">
        <v>2.62</v>
      </c>
      <c r="G101" s="100">
        <v>44.4</v>
      </c>
      <c r="H101" s="100">
        <v>14.39</v>
      </c>
      <c r="I101" s="100">
        <v>4.05</v>
      </c>
      <c r="J101" s="100">
        <v>0.7</v>
      </c>
      <c r="K101" s="100">
        <v>279.95</v>
      </c>
      <c r="L101" s="100">
        <v>27.83</v>
      </c>
      <c r="M101" s="100">
        <v>80.95</v>
      </c>
      <c r="N101" s="100">
        <v>2</v>
      </c>
      <c r="O101" s="100">
        <v>0</v>
      </c>
      <c r="P101" s="100">
        <v>0.48</v>
      </c>
      <c r="Q101" s="100">
        <v>9.91</v>
      </c>
      <c r="R101" s="6"/>
      <c r="S101" s="6"/>
      <c r="T101" s="156"/>
      <c r="U101" s="6"/>
    </row>
    <row r="102" spans="1:28" customFormat="1">
      <c r="A102" s="163" t="s">
        <v>1677</v>
      </c>
      <c r="B102" s="100">
        <v>3.88</v>
      </c>
      <c r="C102" s="100">
        <v>8.77</v>
      </c>
      <c r="D102" s="100">
        <v>4.8899999999999997</v>
      </c>
      <c r="E102" s="100">
        <v>6.28</v>
      </c>
      <c r="F102" s="100">
        <v>2.7</v>
      </c>
      <c r="G102" s="100">
        <v>42.66</v>
      </c>
      <c r="H102" s="100">
        <v>15.09</v>
      </c>
      <c r="I102" s="100">
        <v>4.33</v>
      </c>
      <c r="J102" s="100">
        <v>0.34</v>
      </c>
      <c r="K102" s="100">
        <v>255.58</v>
      </c>
      <c r="L102" s="100">
        <v>27.59</v>
      </c>
      <c r="M102" s="100">
        <v>82.48</v>
      </c>
      <c r="N102" s="100">
        <v>2.1</v>
      </c>
      <c r="O102" s="100">
        <v>0</v>
      </c>
      <c r="P102" s="100">
        <v>0.49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1678</v>
      </c>
      <c r="B103" s="100">
        <v>3.95</v>
      </c>
      <c r="C103" s="100">
        <v>8.83</v>
      </c>
      <c r="D103" s="100">
        <v>4.8899999999999997</v>
      </c>
      <c r="E103" s="100">
        <v>6.25</v>
      </c>
      <c r="F103" s="100">
        <v>3.8</v>
      </c>
      <c r="G103" s="100">
        <v>42.66</v>
      </c>
      <c r="H103" s="100">
        <v>15.09</v>
      </c>
      <c r="I103" s="100">
        <v>5.0999999999999996</v>
      </c>
      <c r="J103" s="100">
        <v>0.34</v>
      </c>
      <c r="K103" s="100">
        <v>243.08</v>
      </c>
      <c r="L103" s="100">
        <v>27.53</v>
      </c>
      <c r="M103" s="100">
        <v>83.1</v>
      </c>
      <c r="N103" s="100">
        <v>2</v>
      </c>
      <c r="O103" s="100">
        <v>0</v>
      </c>
      <c r="P103" s="100">
        <v>0.49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1679</v>
      </c>
      <c r="B104" s="100">
        <v>4.0599999999999996</v>
      </c>
      <c r="C104" s="100">
        <v>9.08</v>
      </c>
      <c r="D104" s="100">
        <v>5.0199999999999996</v>
      </c>
      <c r="E104" s="100">
        <v>6.22</v>
      </c>
      <c r="F104" s="100">
        <v>3.41</v>
      </c>
      <c r="G104" s="100">
        <v>42.66</v>
      </c>
      <c r="H104" s="100">
        <v>15.09</v>
      </c>
      <c r="I104" s="100">
        <v>5.45</v>
      </c>
      <c r="J104" s="100">
        <v>0.17</v>
      </c>
      <c r="K104" s="100">
        <v>217.45</v>
      </c>
      <c r="L104" s="100">
        <v>27.61</v>
      </c>
      <c r="M104" s="100">
        <v>82.81</v>
      </c>
      <c r="N104" s="100">
        <v>1.8</v>
      </c>
      <c r="O104" s="100">
        <v>0</v>
      </c>
      <c r="P104" s="100">
        <v>0.5</v>
      </c>
      <c r="Q104" s="100">
        <v>9.89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3.59</v>
      </c>
      <c r="C106" s="158">
        <f>MIN(C9:C104)</f>
        <v>6.08</v>
      </c>
      <c r="D106" s="158">
        <f t="shared" ref="D106:Q106" si="0">MIN(D9:D104)</f>
        <v>2.4300000000000002</v>
      </c>
      <c r="E106" s="158">
        <f t="shared" si="0"/>
        <v>3.16</v>
      </c>
      <c r="F106" s="158">
        <f t="shared" si="0"/>
        <v>2.5299999999999998</v>
      </c>
      <c r="G106" s="158">
        <f t="shared" si="0"/>
        <v>23.47</v>
      </c>
      <c r="H106" s="158">
        <f t="shared" si="0"/>
        <v>9.1199999999999992</v>
      </c>
      <c r="I106" s="158">
        <f t="shared" si="0"/>
        <v>3.53</v>
      </c>
      <c r="J106" s="158">
        <f t="shared" si="0"/>
        <v>0.1</v>
      </c>
      <c r="K106" s="158">
        <f t="shared" si="0"/>
        <v>43.12</v>
      </c>
      <c r="L106" s="158">
        <f t="shared" si="0"/>
        <v>27.53</v>
      </c>
      <c r="M106" s="158">
        <f t="shared" si="0"/>
        <v>43.77</v>
      </c>
      <c r="N106" s="158">
        <f t="shared" si="0"/>
        <v>0.7</v>
      </c>
      <c r="O106" s="158">
        <f t="shared" si="0"/>
        <v>0</v>
      </c>
      <c r="P106" s="158">
        <f t="shared" si="0"/>
        <v>0.32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4.9400000000000004</v>
      </c>
      <c r="C107" s="157">
        <f t="shared" ref="C107:Q107" si="1">MAX(C9:C104)</f>
        <v>11.09</v>
      </c>
      <c r="D107" s="157">
        <f t="shared" si="1"/>
        <v>6.84</v>
      </c>
      <c r="E107" s="157">
        <f t="shared" si="1"/>
        <v>6.37</v>
      </c>
      <c r="F107" s="157">
        <f t="shared" si="1"/>
        <v>27.72</v>
      </c>
      <c r="G107" s="157">
        <f t="shared" si="1"/>
        <v>53.3</v>
      </c>
      <c r="H107" s="157">
        <f t="shared" si="1"/>
        <v>21.15</v>
      </c>
      <c r="I107" s="157">
        <f t="shared" si="1"/>
        <v>5.51</v>
      </c>
      <c r="J107" s="157">
        <f t="shared" si="1"/>
        <v>1.77</v>
      </c>
      <c r="K107" s="157">
        <f t="shared" si="1"/>
        <v>342.12</v>
      </c>
      <c r="L107" s="157">
        <f t="shared" si="1"/>
        <v>37.71</v>
      </c>
      <c r="M107" s="157">
        <f t="shared" si="1"/>
        <v>83.1</v>
      </c>
      <c r="N107" s="157">
        <f t="shared" si="1"/>
        <v>794.8</v>
      </c>
      <c r="O107" s="157">
        <f t="shared" si="1"/>
        <v>0</v>
      </c>
      <c r="P107" s="157">
        <f t="shared" si="1"/>
        <v>0.5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4.0738541666666661</v>
      </c>
      <c r="C108" s="158">
        <f t="shared" ref="C108:Q108" si="2">AVERAGE(C9:C104)</f>
        <v>7.8740625000000017</v>
      </c>
      <c r="D108" s="158">
        <f t="shared" si="2"/>
        <v>3.8002083333333325</v>
      </c>
      <c r="E108" s="158">
        <f t="shared" si="2"/>
        <v>4.6961458333333344</v>
      </c>
      <c r="F108" s="158">
        <f t="shared" si="2"/>
        <v>7.8691666666666693</v>
      </c>
      <c r="G108" s="158">
        <f t="shared" si="2"/>
        <v>39.858854166666681</v>
      </c>
      <c r="H108" s="158">
        <f t="shared" si="2"/>
        <v>14.786666666666664</v>
      </c>
      <c r="I108" s="158">
        <f t="shared" si="2"/>
        <v>4.2286458333333341</v>
      </c>
      <c r="J108" s="158">
        <f t="shared" si="2"/>
        <v>0.44895833333333351</v>
      </c>
      <c r="K108" s="158">
        <f t="shared" si="2"/>
        <v>213.42656250000013</v>
      </c>
      <c r="L108" s="158">
        <f t="shared" si="2"/>
        <v>31.387812499999999</v>
      </c>
      <c r="M108" s="158">
        <f t="shared" si="2"/>
        <v>66.368437499999999</v>
      </c>
      <c r="N108" s="158">
        <f t="shared" si="2"/>
        <v>145.42083333333332</v>
      </c>
      <c r="O108" s="158">
        <f t="shared" si="2"/>
        <v>0</v>
      </c>
      <c r="P108" s="158">
        <f t="shared" si="2"/>
        <v>0.41083333333333338</v>
      </c>
      <c r="Q108" s="158">
        <f t="shared" si="2"/>
        <v>9.9078124999999879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0.41671237030044211</v>
      </c>
      <c r="C109" s="158">
        <f t="shared" ref="C109:Q109" si="3">STDEV(C9:C104)</f>
        <v>1.0236966842359982</v>
      </c>
      <c r="D109" s="158">
        <f t="shared" si="3"/>
        <v>1.0019317963621144</v>
      </c>
      <c r="E109" s="158">
        <f t="shared" si="3"/>
        <v>0.87174763343728223</v>
      </c>
      <c r="F109" s="158">
        <f t="shared" si="3"/>
        <v>5.7136279684105693</v>
      </c>
      <c r="G109" s="158">
        <f t="shared" si="3"/>
        <v>8.0564146223975364</v>
      </c>
      <c r="H109" s="158">
        <f t="shared" si="3"/>
        <v>3.0314622723649283</v>
      </c>
      <c r="I109" s="158">
        <f t="shared" si="3"/>
        <v>0.45229384903754105</v>
      </c>
      <c r="J109" s="158">
        <f t="shared" si="3"/>
        <v>0.33287101711486927</v>
      </c>
      <c r="K109" s="158">
        <f t="shared" si="3"/>
        <v>69.422669963789673</v>
      </c>
      <c r="L109" s="158">
        <f t="shared" si="3"/>
        <v>3.5669970277605767</v>
      </c>
      <c r="M109" s="158">
        <f t="shared" si="3"/>
        <v>13.067938936925433</v>
      </c>
      <c r="N109" s="158">
        <f t="shared" si="3"/>
        <v>209.08339304118354</v>
      </c>
      <c r="O109" s="158">
        <f t="shared" si="3"/>
        <v>0</v>
      </c>
      <c r="P109" s="158">
        <f t="shared" si="3"/>
        <v>3.472195321533221E-2</v>
      </c>
      <c r="Q109" s="158">
        <f t="shared" si="3"/>
        <v>1.0780403761601555E-2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4" sqref="H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1680</v>
      </c>
      <c r="B9" s="100">
        <v>4.24</v>
      </c>
      <c r="C9" s="100">
        <v>9.67</v>
      </c>
      <c r="D9" s="100">
        <v>5.42</v>
      </c>
      <c r="E9" s="100">
        <v>5.9</v>
      </c>
      <c r="F9" s="100">
        <v>3.29</v>
      </c>
      <c r="G9" s="100">
        <v>41.58</v>
      </c>
      <c r="H9" s="100">
        <v>15.09</v>
      </c>
      <c r="I9" s="100">
        <v>5.63</v>
      </c>
      <c r="J9" s="100">
        <v>0.16</v>
      </c>
      <c r="K9" s="100">
        <v>182.39</v>
      </c>
      <c r="L9" s="100">
        <v>27.42</v>
      </c>
      <c r="M9" s="100">
        <v>84.28</v>
      </c>
      <c r="N9" s="100">
        <v>2</v>
      </c>
      <c r="O9" s="100">
        <v>0</v>
      </c>
      <c r="P9" s="100">
        <v>0.54</v>
      </c>
      <c r="Q9" s="100">
        <v>9.91</v>
      </c>
      <c r="R9" s="6"/>
      <c r="S9" s="6"/>
      <c r="T9" s="156"/>
      <c r="U9" s="6"/>
    </row>
    <row r="10" spans="1:21" customFormat="1">
      <c r="A10" s="163" t="s">
        <v>1681</v>
      </c>
      <c r="B10" s="100">
        <v>4.3600000000000003</v>
      </c>
      <c r="C10" s="100">
        <v>9.5500000000000007</v>
      </c>
      <c r="D10" s="100">
        <v>5.18</v>
      </c>
      <c r="E10" s="100">
        <v>6.35</v>
      </c>
      <c r="F10" s="100">
        <v>3.19</v>
      </c>
      <c r="G10" s="100">
        <v>38.92</v>
      </c>
      <c r="H10" s="100">
        <v>15.1</v>
      </c>
      <c r="I10" s="100">
        <v>5.84</v>
      </c>
      <c r="J10" s="100">
        <v>0.16</v>
      </c>
      <c r="K10" s="100">
        <v>200.32</v>
      </c>
      <c r="L10" s="100">
        <v>27.32</v>
      </c>
      <c r="M10" s="100">
        <v>85.32</v>
      </c>
      <c r="N10" s="100">
        <v>1.7</v>
      </c>
      <c r="O10" s="100">
        <v>0</v>
      </c>
      <c r="P10" s="100">
        <v>0.59</v>
      </c>
      <c r="Q10" s="100">
        <v>9.92</v>
      </c>
      <c r="R10" s="6"/>
      <c r="S10" s="6"/>
      <c r="T10" s="156"/>
      <c r="U10" s="6"/>
    </row>
    <row r="11" spans="1:21" customFormat="1">
      <c r="A11" s="163" t="s">
        <v>1682</v>
      </c>
      <c r="B11" s="100">
        <v>4.4400000000000004</v>
      </c>
      <c r="C11" s="100">
        <v>9.2899999999999991</v>
      </c>
      <c r="D11" s="100">
        <v>4.8499999999999996</v>
      </c>
      <c r="E11" s="100">
        <v>5.71</v>
      </c>
      <c r="F11" s="100">
        <v>6.59</v>
      </c>
      <c r="G11" s="100">
        <v>38.92</v>
      </c>
      <c r="H11" s="100">
        <v>15.1</v>
      </c>
      <c r="I11" s="100">
        <v>6.34</v>
      </c>
      <c r="J11" s="100">
        <v>0.19</v>
      </c>
      <c r="K11" s="100">
        <v>177.31</v>
      </c>
      <c r="L11" s="100">
        <v>27.23</v>
      </c>
      <c r="M11" s="100">
        <v>85.37</v>
      </c>
      <c r="N11" s="100">
        <v>1.9</v>
      </c>
      <c r="O11" s="100">
        <v>0</v>
      </c>
      <c r="P11" s="100">
        <v>0.61</v>
      </c>
      <c r="Q11" s="100">
        <v>9.91</v>
      </c>
      <c r="R11" s="6"/>
      <c r="S11" s="6"/>
      <c r="T11" s="156"/>
      <c r="U11" s="6"/>
    </row>
    <row r="12" spans="1:21" customFormat="1">
      <c r="A12" s="163" t="s">
        <v>1683</v>
      </c>
      <c r="B12" s="100">
        <v>4.4800000000000004</v>
      </c>
      <c r="C12" s="100">
        <v>8.99</v>
      </c>
      <c r="D12" s="100">
        <v>4.51</v>
      </c>
      <c r="E12" s="100">
        <v>5.26</v>
      </c>
      <c r="F12" s="100">
        <v>6.3</v>
      </c>
      <c r="G12" s="100">
        <v>38.92</v>
      </c>
      <c r="H12" s="100">
        <v>15.1</v>
      </c>
      <c r="I12" s="100">
        <v>7.17</v>
      </c>
      <c r="J12" s="100">
        <v>0.11</v>
      </c>
      <c r="K12" s="100">
        <v>157.27000000000001</v>
      </c>
      <c r="L12" s="100">
        <v>27.11</v>
      </c>
      <c r="M12" s="100">
        <v>85.6</v>
      </c>
      <c r="N12" s="100">
        <v>1.9</v>
      </c>
      <c r="O12" s="100">
        <v>0</v>
      </c>
      <c r="P12" s="100">
        <v>0.6</v>
      </c>
      <c r="Q12" s="100">
        <v>9.93</v>
      </c>
      <c r="R12" s="6"/>
      <c r="S12" s="6"/>
      <c r="T12" s="156"/>
      <c r="U12" s="6"/>
    </row>
    <row r="13" spans="1:21" customFormat="1">
      <c r="A13" s="163" t="s">
        <v>1684</v>
      </c>
      <c r="B13" s="100">
        <v>4.4800000000000004</v>
      </c>
      <c r="C13" s="100">
        <v>8.91</v>
      </c>
      <c r="D13" s="100">
        <v>4.42</v>
      </c>
      <c r="E13" s="100">
        <v>5.31</v>
      </c>
      <c r="F13" s="100">
        <v>6.31</v>
      </c>
      <c r="G13" s="100">
        <v>40.81</v>
      </c>
      <c r="H13" s="100">
        <v>15.85</v>
      </c>
      <c r="I13" s="100">
        <v>7.77</v>
      </c>
      <c r="J13" s="100">
        <v>0.14000000000000001</v>
      </c>
      <c r="K13" s="100">
        <v>182.27</v>
      </c>
      <c r="L13" s="100">
        <v>27.15</v>
      </c>
      <c r="M13" s="100">
        <v>86.02</v>
      </c>
      <c r="N13" s="100">
        <v>1.8</v>
      </c>
      <c r="O13" s="100">
        <v>0</v>
      </c>
      <c r="P13" s="100">
        <v>0.62</v>
      </c>
      <c r="Q13" s="100">
        <v>9.93</v>
      </c>
      <c r="R13" s="6"/>
      <c r="S13" s="6"/>
      <c r="T13" s="156"/>
      <c r="U13" s="6"/>
    </row>
    <row r="14" spans="1:21" customFormat="1">
      <c r="A14" s="163" t="s">
        <v>1685</v>
      </c>
      <c r="B14" s="100">
        <v>4.68</v>
      </c>
      <c r="C14" s="100">
        <v>8.5500000000000007</v>
      </c>
      <c r="D14" s="100">
        <v>3.87</v>
      </c>
      <c r="E14" s="100">
        <v>5.51</v>
      </c>
      <c r="F14" s="100">
        <v>3.25</v>
      </c>
      <c r="G14" s="100">
        <v>45.72</v>
      </c>
      <c r="H14" s="100">
        <v>17.12</v>
      </c>
      <c r="I14" s="100">
        <v>8.0299999999999994</v>
      </c>
      <c r="J14" s="100">
        <v>0.09</v>
      </c>
      <c r="K14" s="100">
        <v>204.64</v>
      </c>
      <c r="L14" s="100">
        <v>27.05</v>
      </c>
      <c r="M14" s="100">
        <v>86.71</v>
      </c>
      <c r="N14" s="100">
        <v>1.8</v>
      </c>
      <c r="O14" s="100">
        <v>0</v>
      </c>
      <c r="P14" s="100">
        <v>0.62</v>
      </c>
      <c r="Q14" s="100">
        <v>9.93</v>
      </c>
      <c r="R14" s="6"/>
      <c r="S14" s="6"/>
      <c r="T14" s="156"/>
      <c r="U14" s="6"/>
    </row>
    <row r="15" spans="1:21" customFormat="1">
      <c r="A15" s="163" t="s">
        <v>1686</v>
      </c>
      <c r="B15" s="100">
        <v>4.7300000000000004</v>
      </c>
      <c r="C15" s="100">
        <v>8.6300000000000008</v>
      </c>
      <c r="D15" s="100">
        <v>3.91</v>
      </c>
      <c r="E15" s="100">
        <v>5.51</v>
      </c>
      <c r="F15" s="100">
        <v>4.29</v>
      </c>
      <c r="G15" s="100">
        <v>45.72</v>
      </c>
      <c r="H15" s="100">
        <v>17.12</v>
      </c>
      <c r="I15" s="100">
        <v>8.3800000000000008</v>
      </c>
      <c r="J15" s="100">
        <v>0.19</v>
      </c>
      <c r="K15" s="100">
        <v>207.3</v>
      </c>
      <c r="L15" s="100">
        <v>26.96</v>
      </c>
      <c r="M15" s="100">
        <v>86.62</v>
      </c>
      <c r="N15" s="100">
        <v>1.8</v>
      </c>
      <c r="O15" s="100">
        <v>0</v>
      </c>
      <c r="P15" s="100">
        <v>0.63</v>
      </c>
      <c r="Q15" s="100">
        <v>9.92</v>
      </c>
      <c r="R15" s="6"/>
      <c r="S15" s="6"/>
      <c r="T15" s="156"/>
      <c r="U15" s="6"/>
    </row>
    <row r="16" spans="1:21" customFormat="1">
      <c r="A16" s="163" t="s">
        <v>1687</v>
      </c>
      <c r="B16" s="100">
        <v>4.75</v>
      </c>
      <c r="C16" s="100">
        <v>8.32</v>
      </c>
      <c r="D16" s="100">
        <v>3.57</v>
      </c>
      <c r="E16" s="100">
        <v>5.07</v>
      </c>
      <c r="F16" s="100">
        <v>6.56</v>
      </c>
      <c r="G16" s="100">
        <v>45.72</v>
      </c>
      <c r="H16" s="100">
        <v>17.12</v>
      </c>
      <c r="I16" s="100">
        <v>7.82</v>
      </c>
      <c r="J16" s="100">
        <v>0.2</v>
      </c>
      <c r="K16" s="100">
        <v>201.82</v>
      </c>
      <c r="L16" s="100">
        <v>26.79</v>
      </c>
      <c r="M16" s="100">
        <v>86.3</v>
      </c>
      <c r="N16" s="100">
        <v>2</v>
      </c>
      <c r="O16" s="100">
        <v>0</v>
      </c>
      <c r="P16" s="100">
        <v>0.59</v>
      </c>
      <c r="Q16" s="100">
        <v>9.94</v>
      </c>
      <c r="R16" s="6"/>
      <c r="S16" s="6"/>
      <c r="T16" s="156"/>
      <c r="U16" s="6"/>
    </row>
    <row r="17" spans="1:21" customFormat="1">
      <c r="A17" s="163" t="s">
        <v>1688</v>
      </c>
      <c r="B17" s="100">
        <v>4.84</v>
      </c>
      <c r="C17" s="100">
        <v>8.01</v>
      </c>
      <c r="D17" s="100">
        <v>3.17</v>
      </c>
      <c r="E17" s="100">
        <v>4.2</v>
      </c>
      <c r="F17" s="100">
        <v>2.69</v>
      </c>
      <c r="G17" s="100">
        <v>44.57</v>
      </c>
      <c r="H17" s="100">
        <v>15.86</v>
      </c>
      <c r="I17" s="100">
        <v>8.1</v>
      </c>
      <c r="J17" s="100">
        <v>0.17</v>
      </c>
      <c r="K17" s="100">
        <v>204.3</v>
      </c>
      <c r="L17" s="100">
        <v>26.77</v>
      </c>
      <c r="M17" s="100">
        <v>85.84</v>
      </c>
      <c r="N17" s="100">
        <v>1.8</v>
      </c>
      <c r="O17" s="100">
        <v>0</v>
      </c>
      <c r="P17" s="100">
        <v>0.62</v>
      </c>
      <c r="Q17" s="100">
        <v>9.93</v>
      </c>
      <c r="R17" s="6"/>
      <c r="S17" s="6"/>
      <c r="T17" s="156"/>
      <c r="U17" s="6"/>
    </row>
    <row r="18" spans="1:21" customFormat="1">
      <c r="A18" s="163" t="s">
        <v>1689</v>
      </c>
      <c r="B18" s="100">
        <v>4.8</v>
      </c>
      <c r="C18" s="100">
        <v>8.09</v>
      </c>
      <c r="D18" s="100">
        <v>3.29</v>
      </c>
      <c r="E18" s="100">
        <v>4.8499999999999996</v>
      </c>
      <c r="F18" s="100">
        <v>6.96</v>
      </c>
      <c r="G18" s="100">
        <v>41.59</v>
      </c>
      <c r="H18" s="100">
        <v>13.74</v>
      </c>
      <c r="I18" s="100">
        <v>7.63</v>
      </c>
      <c r="J18" s="100">
        <v>0.26</v>
      </c>
      <c r="K18" s="100">
        <v>188.42</v>
      </c>
      <c r="L18" s="100">
        <v>26.78</v>
      </c>
      <c r="M18" s="100">
        <v>84.67</v>
      </c>
      <c r="N18" s="100">
        <v>2</v>
      </c>
      <c r="O18" s="100">
        <v>0</v>
      </c>
      <c r="P18" s="100">
        <v>0.59</v>
      </c>
      <c r="Q18" s="100">
        <v>9.93</v>
      </c>
      <c r="R18" s="6"/>
      <c r="S18" s="6"/>
      <c r="T18" s="156"/>
      <c r="U18" s="6"/>
    </row>
    <row r="19" spans="1:21" customFormat="1">
      <c r="A19" s="163" t="s">
        <v>1690</v>
      </c>
      <c r="B19" s="100">
        <v>4.76</v>
      </c>
      <c r="C19" s="100">
        <v>7.76</v>
      </c>
      <c r="D19" s="100">
        <v>3</v>
      </c>
      <c r="E19" s="100">
        <v>4.59</v>
      </c>
      <c r="F19" s="100">
        <v>7.48</v>
      </c>
      <c r="G19" s="100">
        <v>41.59</v>
      </c>
      <c r="H19" s="100">
        <v>13.74</v>
      </c>
      <c r="I19" s="100">
        <v>7.77</v>
      </c>
      <c r="J19" s="100">
        <v>0.18</v>
      </c>
      <c r="K19" s="100">
        <v>197.91</v>
      </c>
      <c r="L19" s="100">
        <v>26.87</v>
      </c>
      <c r="M19" s="100">
        <v>84.93</v>
      </c>
      <c r="N19" s="100">
        <v>1.9</v>
      </c>
      <c r="O19" s="100">
        <v>0</v>
      </c>
      <c r="P19" s="100">
        <v>0.56000000000000005</v>
      </c>
      <c r="Q19" s="100">
        <v>9.92</v>
      </c>
      <c r="R19" s="6"/>
      <c r="S19" s="6"/>
      <c r="T19" s="156"/>
      <c r="U19" s="6"/>
    </row>
    <row r="20" spans="1:21" customFormat="1">
      <c r="A20" s="163" t="s">
        <v>1691</v>
      </c>
      <c r="B20" s="100">
        <v>4.83</v>
      </c>
      <c r="C20" s="100">
        <v>7.6</v>
      </c>
      <c r="D20" s="100">
        <v>2.77</v>
      </c>
      <c r="E20" s="100">
        <v>4.83</v>
      </c>
      <c r="F20" s="100">
        <v>2.58</v>
      </c>
      <c r="G20" s="100">
        <v>41.59</v>
      </c>
      <c r="H20" s="100">
        <v>13.74</v>
      </c>
      <c r="I20" s="100">
        <v>7.07</v>
      </c>
      <c r="J20" s="100">
        <v>0.25</v>
      </c>
      <c r="K20" s="100">
        <v>176.35</v>
      </c>
      <c r="L20" s="100">
        <v>26.8</v>
      </c>
      <c r="M20" s="100">
        <v>85.17</v>
      </c>
      <c r="N20" s="100">
        <v>1.9</v>
      </c>
      <c r="O20" s="100">
        <v>0</v>
      </c>
      <c r="P20" s="100">
        <v>0.59</v>
      </c>
      <c r="Q20" s="100">
        <v>9.91</v>
      </c>
      <c r="R20" s="6"/>
      <c r="S20" s="6"/>
      <c r="T20" s="156"/>
      <c r="U20" s="6"/>
    </row>
    <row r="21" spans="1:21" customFormat="1">
      <c r="A21" s="163" t="s">
        <v>1692</v>
      </c>
      <c r="B21" s="100">
        <v>4.8099999999999996</v>
      </c>
      <c r="C21" s="100">
        <v>7.76</v>
      </c>
      <c r="D21" s="100">
        <v>2.95</v>
      </c>
      <c r="E21" s="100">
        <v>4.6900000000000004</v>
      </c>
      <c r="F21" s="100">
        <v>5.55</v>
      </c>
      <c r="G21" s="100">
        <v>39.200000000000003</v>
      </c>
      <c r="H21" s="100">
        <v>14.17</v>
      </c>
      <c r="I21" s="100">
        <v>6.92</v>
      </c>
      <c r="J21" s="100">
        <v>0.22</v>
      </c>
      <c r="K21" s="100">
        <v>192.83</v>
      </c>
      <c r="L21" s="100">
        <v>26.66</v>
      </c>
      <c r="M21" s="100">
        <v>85.76</v>
      </c>
      <c r="N21" s="100">
        <v>1.9</v>
      </c>
      <c r="O21" s="100">
        <v>0</v>
      </c>
      <c r="P21" s="100">
        <v>0.56000000000000005</v>
      </c>
      <c r="Q21" s="100">
        <v>9.92</v>
      </c>
      <c r="R21" s="6"/>
      <c r="S21" s="6"/>
      <c r="T21" s="156"/>
      <c r="U21" s="6"/>
    </row>
    <row r="22" spans="1:21" customFormat="1">
      <c r="A22" s="163" t="s">
        <v>1693</v>
      </c>
      <c r="B22" s="100">
        <v>4.82</v>
      </c>
      <c r="C22" s="100">
        <v>7.51</v>
      </c>
      <c r="D22" s="100">
        <v>2.69</v>
      </c>
      <c r="E22" s="100">
        <v>4.5599999999999996</v>
      </c>
      <c r="F22" s="100">
        <v>6.78</v>
      </c>
      <c r="G22" s="100">
        <v>33.33</v>
      </c>
      <c r="H22" s="100">
        <v>14.89</v>
      </c>
      <c r="I22" s="100">
        <v>7.34</v>
      </c>
      <c r="J22" s="100">
        <v>0.23</v>
      </c>
      <c r="K22" s="100">
        <v>187.93</v>
      </c>
      <c r="L22" s="100">
        <v>26.65</v>
      </c>
      <c r="M22" s="100">
        <v>86</v>
      </c>
      <c r="N22" s="100">
        <v>1.9</v>
      </c>
      <c r="O22" s="100">
        <v>0</v>
      </c>
      <c r="P22" s="100">
        <v>0.54</v>
      </c>
      <c r="Q22" s="100">
        <v>9.94</v>
      </c>
      <c r="R22" s="6"/>
      <c r="S22" s="6"/>
      <c r="T22" s="156"/>
      <c r="U22" s="6"/>
    </row>
    <row r="23" spans="1:21" customFormat="1">
      <c r="A23" s="163" t="s">
        <v>1694</v>
      </c>
      <c r="B23" s="100">
        <v>4.8600000000000003</v>
      </c>
      <c r="C23" s="100">
        <v>7.43</v>
      </c>
      <c r="D23" s="100">
        <v>2.57</v>
      </c>
      <c r="E23" s="100">
        <v>4.5199999999999996</v>
      </c>
      <c r="F23" s="100">
        <v>2.5499999999999998</v>
      </c>
      <c r="G23" s="100">
        <v>33.33</v>
      </c>
      <c r="H23" s="100">
        <v>14.89</v>
      </c>
      <c r="I23" s="100">
        <v>6.67</v>
      </c>
      <c r="J23" s="100">
        <v>0.16</v>
      </c>
      <c r="K23" s="100">
        <v>187.24</v>
      </c>
      <c r="L23" s="100">
        <v>26.56</v>
      </c>
      <c r="M23" s="100">
        <v>86.8</v>
      </c>
      <c r="N23" s="100">
        <v>1.8</v>
      </c>
      <c r="O23" s="100">
        <v>0</v>
      </c>
      <c r="P23" s="100">
        <v>0.55000000000000004</v>
      </c>
      <c r="Q23" s="100">
        <v>9.92</v>
      </c>
      <c r="R23" s="6"/>
      <c r="S23" s="6"/>
      <c r="T23" s="156"/>
      <c r="U23" s="6"/>
    </row>
    <row r="24" spans="1:21" customFormat="1">
      <c r="A24" s="163" t="s">
        <v>1695</v>
      </c>
      <c r="B24" s="100">
        <v>4.8600000000000003</v>
      </c>
      <c r="C24" s="100">
        <v>7.71</v>
      </c>
      <c r="D24" s="100">
        <v>2.85</v>
      </c>
      <c r="E24" s="100">
        <v>4.63</v>
      </c>
      <c r="F24" s="100">
        <v>2.89</v>
      </c>
      <c r="G24" s="100">
        <v>33.33</v>
      </c>
      <c r="H24" s="100">
        <v>14.89</v>
      </c>
      <c r="I24" s="100">
        <v>6.64</v>
      </c>
      <c r="J24" s="100">
        <v>0.23</v>
      </c>
      <c r="K24" s="100">
        <v>189.6</v>
      </c>
      <c r="L24" s="100">
        <v>26.57</v>
      </c>
      <c r="M24" s="100">
        <v>86.64</v>
      </c>
      <c r="N24" s="100">
        <v>1.8</v>
      </c>
      <c r="O24" s="100">
        <v>0</v>
      </c>
      <c r="P24" s="100">
        <v>0.55000000000000004</v>
      </c>
      <c r="Q24" s="100">
        <v>9.9</v>
      </c>
      <c r="R24" s="6"/>
      <c r="S24" s="6"/>
      <c r="T24" s="156"/>
      <c r="U24" s="6"/>
    </row>
    <row r="25" spans="1:21" customFormat="1">
      <c r="A25" s="163" t="s">
        <v>1696</v>
      </c>
      <c r="B25" s="100">
        <v>4.82</v>
      </c>
      <c r="C25" s="100">
        <v>7.43</v>
      </c>
      <c r="D25" s="100">
        <v>2.61</v>
      </c>
      <c r="E25" s="100">
        <v>4.45</v>
      </c>
      <c r="F25" s="100">
        <v>6.87</v>
      </c>
      <c r="G25" s="100">
        <v>31.42</v>
      </c>
      <c r="H25" s="100">
        <v>14.54</v>
      </c>
      <c r="I25" s="100">
        <v>6.83</v>
      </c>
      <c r="J25" s="100">
        <v>0.17</v>
      </c>
      <c r="K25" s="100">
        <v>223.68</v>
      </c>
      <c r="L25" s="100">
        <v>26.37</v>
      </c>
      <c r="M25" s="100">
        <v>87.19</v>
      </c>
      <c r="N25" s="100">
        <v>2</v>
      </c>
      <c r="O25" s="100">
        <v>0</v>
      </c>
      <c r="P25" s="100">
        <v>0.51</v>
      </c>
      <c r="Q25" s="100">
        <v>9.92</v>
      </c>
      <c r="R25" s="6"/>
      <c r="S25" s="6"/>
      <c r="T25" s="156"/>
      <c r="U25" s="6"/>
    </row>
    <row r="26" spans="1:21" customFormat="1">
      <c r="A26" s="163" t="s">
        <v>1697</v>
      </c>
      <c r="B26" s="100">
        <v>4.8899999999999997</v>
      </c>
      <c r="C26" s="100">
        <v>7.5</v>
      </c>
      <c r="D26" s="100">
        <v>2.61</v>
      </c>
      <c r="E26" s="100">
        <v>4.75</v>
      </c>
      <c r="F26" s="100">
        <v>3.54</v>
      </c>
      <c r="G26" s="100">
        <v>26.72</v>
      </c>
      <c r="H26" s="100">
        <v>13.08</v>
      </c>
      <c r="I26" s="100">
        <v>6.53</v>
      </c>
      <c r="J26" s="100">
        <v>0.08</v>
      </c>
      <c r="K26" s="100">
        <v>172.33</v>
      </c>
      <c r="L26" s="100">
        <v>26.44</v>
      </c>
      <c r="M26" s="100">
        <v>87.09</v>
      </c>
      <c r="N26" s="100">
        <v>1.7</v>
      </c>
      <c r="O26" s="100">
        <v>0</v>
      </c>
      <c r="P26" s="100">
        <v>0.55000000000000004</v>
      </c>
      <c r="Q26" s="100">
        <v>9.91</v>
      </c>
      <c r="R26" s="6"/>
      <c r="S26" s="6"/>
      <c r="T26" s="156"/>
      <c r="U26" s="6"/>
    </row>
    <row r="27" spans="1:21" customFormat="1">
      <c r="A27" s="163" t="s">
        <v>1698</v>
      </c>
      <c r="B27" s="100">
        <v>4.95</v>
      </c>
      <c r="C27" s="100">
        <v>7.83</v>
      </c>
      <c r="D27" s="100">
        <v>2.89</v>
      </c>
      <c r="E27" s="100">
        <v>4.84</v>
      </c>
      <c r="F27" s="100">
        <v>3.26</v>
      </c>
      <c r="G27" s="100">
        <v>26.72</v>
      </c>
      <c r="H27" s="100">
        <v>13.08</v>
      </c>
      <c r="I27" s="100">
        <v>6.02</v>
      </c>
      <c r="J27" s="100">
        <v>0.15</v>
      </c>
      <c r="K27" s="100">
        <v>164.63</v>
      </c>
      <c r="L27" s="100">
        <v>26.5</v>
      </c>
      <c r="M27" s="100">
        <v>86.66</v>
      </c>
      <c r="N27" s="100">
        <v>1.8</v>
      </c>
      <c r="O27" s="100">
        <v>0</v>
      </c>
      <c r="P27" s="100">
        <v>0.53</v>
      </c>
      <c r="Q27" s="100">
        <v>9.91</v>
      </c>
      <c r="R27" s="6"/>
      <c r="S27" s="6"/>
      <c r="T27" s="156"/>
      <c r="U27" s="6"/>
    </row>
    <row r="28" spans="1:21" customFormat="1">
      <c r="A28" s="163" t="s">
        <v>1699</v>
      </c>
      <c r="B28" s="100">
        <v>4.99</v>
      </c>
      <c r="C28" s="100">
        <v>8.1199999999999992</v>
      </c>
      <c r="D28" s="100">
        <v>3.13</v>
      </c>
      <c r="E28" s="100">
        <v>4.97</v>
      </c>
      <c r="F28" s="100">
        <v>3.74</v>
      </c>
      <c r="G28" s="100">
        <v>26.72</v>
      </c>
      <c r="H28" s="100">
        <v>13.08</v>
      </c>
      <c r="I28" s="100">
        <v>6.61</v>
      </c>
      <c r="J28" s="100">
        <v>0.21</v>
      </c>
      <c r="K28" s="100">
        <v>191.2</v>
      </c>
      <c r="L28" s="100">
        <v>26.37</v>
      </c>
      <c r="M28" s="100">
        <v>87.33</v>
      </c>
      <c r="N28" s="100">
        <v>1.9</v>
      </c>
      <c r="O28" s="100">
        <v>0</v>
      </c>
      <c r="P28" s="100">
        <v>0.5</v>
      </c>
      <c r="Q28" s="100">
        <v>9.91</v>
      </c>
      <c r="R28" s="6"/>
      <c r="S28" s="6"/>
      <c r="T28" s="156"/>
      <c r="U28" s="6"/>
    </row>
    <row r="29" spans="1:21" customFormat="1">
      <c r="A29" s="163" t="s">
        <v>1700</v>
      </c>
      <c r="B29" s="100">
        <v>4.9800000000000004</v>
      </c>
      <c r="C29" s="100">
        <v>9.75</v>
      </c>
      <c r="D29" s="100">
        <v>4.76</v>
      </c>
      <c r="E29" s="100">
        <v>4.79</v>
      </c>
      <c r="F29" s="100">
        <v>2.48</v>
      </c>
      <c r="G29" s="100">
        <v>24.52</v>
      </c>
      <c r="H29" s="100">
        <v>11.65</v>
      </c>
      <c r="I29" s="100">
        <v>6.2</v>
      </c>
      <c r="J29" s="100">
        <v>0.2</v>
      </c>
      <c r="K29" s="100">
        <v>187.54</v>
      </c>
      <c r="L29" s="100">
        <v>26.48</v>
      </c>
      <c r="M29" s="100">
        <v>86.81</v>
      </c>
      <c r="N29" s="100">
        <v>2</v>
      </c>
      <c r="O29" s="100">
        <v>0</v>
      </c>
      <c r="P29" s="100">
        <v>0.49</v>
      </c>
      <c r="Q29" s="100">
        <v>9.9</v>
      </c>
      <c r="R29" s="6"/>
      <c r="S29" s="6"/>
      <c r="T29" s="156"/>
      <c r="U29" s="6"/>
    </row>
    <row r="30" spans="1:21" customFormat="1">
      <c r="A30" s="163" t="s">
        <v>1701</v>
      </c>
      <c r="B30" s="100">
        <v>4.9000000000000004</v>
      </c>
      <c r="C30" s="100">
        <v>10.01</v>
      </c>
      <c r="D30" s="100">
        <v>5.1100000000000003</v>
      </c>
      <c r="E30" s="100">
        <v>5.04</v>
      </c>
      <c r="F30" s="100">
        <v>2.35</v>
      </c>
      <c r="G30" s="100">
        <v>18.809999999999999</v>
      </c>
      <c r="H30" s="100">
        <v>9.24</v>
      </c>
      <c r="I30" s="100">
        <v>6.18</v>
      </c>
      <c r="J30" s="100">
        <v>0.12</v>
      </c>
      <c r="K30" s="100">
        <v>193.89</v>
      </c>
      <c r="L30" s="100">
        <v>26.4</v>
      </c>
      <c r="M30" s="100">
        <v>87.88</v>
      </c>
      <c r="N30" s="100">
        <v>4.2</v>
      </c>
      <c r="O30" s="100">
        <v>0</v>
      </c>
      <c r="P30" s="100">
        <v>0.47</v>
      </c>
      <c r="Q30" s="100">
        <v>9.92</v>
      </c>
      <c r="R30" s="6"/>
      <c r="S30" s="6"/>
      <c r="T30" s="156"/>
      <c r="U30" s="6"/>
    </row>
    <row r="31" spans="1:21" customFormat="1">
      <c r="A31" s="163" t="s">
        <v>1702</v>
      </c>
      <c r="B31" s="100">
        <v>4.84</v>
      </c>
      <c r="C31" s="100">
        <v>9.7799999999999994</v>
      </c>
      <c r="D31" s="100">
        <v>4.93</v>
      </c>
      <c r="E31" s="100">
        <v>5.34</v>
      </c>
      <c r="F31" s="100">
        <v>2.2999999999999998</v>
      </c>
      <c r="G31" s="100">
        <v>18.809999999999999</v>
      </c>
      <c r="H31" s="100">
        <v>9.24</v>
      </c>
      <c r="I31" s="100">
        <v>6.15</v>
      </c>
      <c r="J31" s="100">
        <v>0.22</v>
      </c>
      <c r="K31" s="100">
        <v>190.03</v>
      </c>
      <c r="L31" s="100">
        <v>26.43</v>
      </c>
      <c r="M31" s="100">
        <v>87.52</v>
      </c>
      <c r="N31" s="100">
        <v>14</v>
      </c>
      <c r="O31" s="100">
        <v>0</v>
      </c>
      <c r="P31" s="100">
        <v>0.45</v>
      </c>
      <c r="Q31" s="100">
        <v>9.92</v>
      </c>
      <c r="R31" s="6"/>
      <c r="S31" s="6"/>
      <c r="T31" s="156"/>
      <c r="U31" s="6"/>
    </row>
    <row r="32" spans="1:21" customFormat="1">
      <c r="A32" s="163" t="s">
        <v>1703</v>
      </c>
      <c r="B32" s="100">
        <v>4.78</v>
      </c>
      <c r="C32" s="100">
        <v>9.5</v>
      </c>
      <c r="D32" s="100">
        <v>4.7300000000000004</v>
      </c>
      <c r="E32" s="100">
        <v>5.27</v>
      </c>
      <c r="F32" s="100">
        <v>2.33</v>
      </c>
      <c r="G32" s="100">
        <v>18.809999999999999</v>
      </c>
      <c r="H32" s="100">
        <v>9.24</v>
      </c>
      <c r="I32" s="100">
        <v>5.88</v>
      </c>
      <c r="J32" s="100">
        <v>0.12</v>
      </c>
      <c r="K32" s="100">
        <v>175.36</v>
      </c>
      <c r="L32" s="100">
        <v>26.68</v>
      </c>
      <c r="M32" s="100">
        <v>86.93</v>
      </c>
      <c r="N32" s="100">
        <v>24.2</v>
      </c>
      <c r="O32" s="100">
        <v>0</v>
      </c>
      <c r="P32" s="100">
        <v>0.44</v>
      </c>
      <c r="Q32" s="100">
        <v>9.92</v>
      </c>
      <c r="R32" s="6"/>
      <c r="S32" s="6"/>
      <c r="T32" s="156"/>
      <c r="U32" s="6"/>
    </row>
    <row r="33" spans="1:21" customFormat="1">
      <c r="A33" s="163" t="s">
        <v>1704</v>
      </c>
      <c r="B33" s="100">
        <v>4.74</v>
      </c>
      <c r="C33" s="100">
        <v>9.3699999999999992</v>
      </c>
      <c r="D33" s="100">
        <v>4.63</v>
      </c>
      <c r="E33" s="100">
        <v>5.35</v>
      </c>
      <c r="F33" s="100">
        <v>2.48</v>
      </c>
      <c r="G33" s="100">
        <v>17.36</v>
      </c>
      <c r="H33" s="100">
        <v>9.26</v>
      </c>
      <c r="I33" s="100">
        <v>5.69</v>
      </c>
      <c r="J33" s="100">
        <v>0.17</v>
      </c>
      <c r="K33" s="100">
        <v>83.34</v>
      </c>
      <c r="L33" s="100">
        <v>26.99</v>
      </c>
      <c r="M33" s="100">
        <v>86.08</v>
      </c>
      <c r="N33" s="100">
        <v>36.700000000000003</v>
      </c>
      <c r="O33" s="100">
        <v>0</v>
      </c>
      <c r="P33" s="100">
        <v>0.43</v>
      </c>
      <c r="Q33" s="100">
        <v>9.92</v>
      </c>
      <c r="R33" s="6"/>
      <c r="S33" s="6"/>
      <c r="T33" s="156"/>
      <c r="U33" s="6"/>
    </row>
    <row r="34" spans="1:21" customFormat="1">
      <c r="A34" s="163" t="s">
        <v>1705</v>
      </c>
      <c r="B34" s="100">
        <v>4.74</v>
      </c>
      <c r="C34" s="100">
        <v>9.25</v>
      </c>
      <c r="D34" s="100">
        <v>4.51</v>
      </c>
      <c r="E34" s="100">
        <v>5.31</v>
      </c>
      <c r="F34" s="100">
        <v>2.84</v>
      </c>
      <c r="G34" s="100">
        <v>13.61</v>
      </c>
      <c r="H34" s="100">
        <v>9.2799999999999994</v>
      </c>
      <c r="I34" s="100">
        <v>5.5</v>
      </c>
      <c r="J34" s="100">
        <v>0.42</v>
      </c>
      <c r="K34" s="100">
        <v>60.14</v>
      </c>
      <c r="L34" s="100">
        <v>27.31</v>
      </c>
      <c r="M34" s="100">
        <v>84.15</v>
      </c>
      <c r="N34" s="100">
        <v>46.5</v>
      </c>
      <c r="O34" s="100">
        <v>0</v>
      </c>
      <c r="P34" s="100">
        <v>0.43</v>
      </c>
      <c r="Q34" s="100">
        <v>9.92</v>
      </c>
      <c r="R34" s="6"/>
      <c r="S34" s="6"/>
      <c r="T34" s="156"/>
      <c r="U34" s="6"/>
    </row>
    <row r="35" spans="1:21" customFormat="1">
      <c r="A35" s="163" t="s">
        <v>1706</v>
      </c>
      <c r="B35" s="100">
        <v>4.84</v>
      </c>
      <c r="C35" s="100">
        <v>9.42</v>
      </c>
      <c r="D35" s="100">
        <v>4.58</v>
      </c>
      <c r="E35" s="100">
        <v>5.28</v>
      </c>
      <c r="F35" s="100">
        <v>2.42</v>
      </c>
      <c r="G35" s="100">
        <v>13.61</v>
      </c>
      <c r="H35" s="100">
        <v>9.2799999999999994</v>
      </c>
      <c r="I35" s="100">
        <v>5.27</v>
      </c>
      <c r="J35" s="100">
        <v>0.55000000000000004</v>
      </c>
      <c r="K35" s="100">
        <v>54.13</v>
      </c>
      <c r="L35" s="100">
        <v>27.25</v>
      </c>
      <c r="M35" s="100">
        <v>85.36</v>
      </c>
      <c r="N35" s="100">
        <v>59.2</v>
      </c>
      <c r="O35" s="100">
        <v>0</v>
      </c>
      <c r="P35" s="100">
        <v>0.41</v>
      </c>
      <c r="Q35" s="100">
        <v>9.92</v>
      </c>
      <c r="R35" s="6"/>
      <c r="S35" s="6"/>
      <c r="T35" s="156"/>
      <c r="U35" s="6"/>
    </row>
    <row r="36" spans="1:21" customFormat="1">
      <c r="A36" s="163" t="s">
        <v>1707</v>
      </c>
      <c r="B36" s="100">
        <v>5.0599999999999996</v>
      </c>
      <c r="C36" s="100">
        <v>9.8699999999999992</v>
      </c>
      <c r="D36" s="100">
        <v>4.82</v>
      </c>
      <c r="E36" s="100">
        <v>5.51</v>
      </c>
      <c r="F36" s="100">
        <v>2.65</v>
      </c>
      <c r="G36" s="100">
        <v>13.61</v>
      </c>
      <c r="H36" s="100">
        <v>9.2799999999999994</v>
      </c>
      <c r="I36" s="100">
        <v>5.17</v>
      </c>
      <c r="J36" s="100">
        <v>0.5</v>
      </c>
      <c r="K36" s="100">
        <v>46.04</v>
      </c>
      <c r="L36" s="100">
        <v>27.63</v>
      </c>
      <c r="M36" s="100">
        <v>83.3</v>
      </c>
      <c r="N36" s="100">
        <v>73.8</v>
      </c>
      <c r="O36" s="100">
        <v>0</v>
      </c>
      <c r="P36" s="100">
        <v>0.42</v>
      </c>
      <c r="Q36" s="100">
        <v>9.92</v>
      </c>
      <c r="R36" s="6"/>
      <c r="S36" s="6"/>
      <c r="T36" s="156"/>
      <c r="U36" s="6"/>
    </row>
    <row r="37" spans="1:21" customFormat="1">
      <c r="A37" s="163" t="s">
        <v>1708</v>
      </c>
      <c r="B37" s="100">
        <v>5.13</v>
      </c>
      <c r="C37" s="100">
        <v>10.08</v>
      </c>
      <c r="D37" s="100">
        <v>4.95</v>
      </c>
      <c r="E37" s="100">
        <v>5.61</v>
      </c>
      <c r="F37" s="100">
        <v>3.07</v>
      </c>
      <c r="G37" s="100">
        <v>16.02</v>
      </c>
      <c r="H37" s="100">
        <v>8.9499999999999993</v>
      </c>
      <c r="I37" s="100">
        <v>5.04</v>
      </c>
      <c r="J37" s="100">
        <v>0.19</v>
      </c>
      <c r="K37" s="100">
        <v>81.680000000000007</v>
      </c>
      <c r="L37" s="100">
        <v>28.45</v>
      </c>
      <c r="M37" s="100">
        <v>80.25</v>
      </c>
      <c r="N37" s="100">
        <v>101.6</v>
      </c>
      <c r="O37" s="100">
        <v>0</v>
      </c>
      <c r="P37" s="100">
        <v>0.42</v>
      </c>
      <c r="Q37" s="100">
        <v>9.9</v>
      </c>
      <c r="R37" s="6"/>
      <c r="S37" s="6"/>
      <c r="T37" s="156"/>
      <c r="U37" s="6"/>
    </row>
    <row r="38" spans="1:21" customFormat="1">
      <c r="A38" s="163" t="s">
        <v>1709</v>
      </c>
      <c r="B38" s="100">
        <v>5.12</v>
      </c>
      <c r="C38" s="100">
        <v>10.07</v>
      </c>
      <c r="D38" s="100">
        <v>4.95</v>
      </c>
      <c r="E38" s="100">
        <v>5.29</v>
      </c>
      <c r="F38" s="100">
        <v>2.89</v>
      </c>
      <c r="G38" s="100">
        <v>22.29</v>
      </c>
      <c r="H38" s="100">
        <v>8.39</v>
      </c>
      <c r="I38" s="100">
        <v>5.0199999999999996</v>
      </c>
      <c r="J38" s="100">
        <v>0.27</v>
      </c>
      <c r="K38" s="100">
        <v>136.88</v>
      </c>
      <c r="L38" s="100">
        <v>28.95</v>
      </c>
      <c r="M38" s="100">
        <v>78.3</v>
      </c>
      <c r="N38" s="100">
        <v>115.1</v>
      </c>
      <c r="O38" s="100">
        <v>0</v>
      </c>
      <c r="P38" s="100">
        <v>0.43</v>
      </c>
      <c r="Q38" s="100">
        <v>9.91</v>
      </c>
      <c r="R38" s="6"/>
      <c r="S38" s="6"/>
      <c r="T38" s="156"/>
      <c r="U38" s="6"/>
    </row>
    <row r="39" spans="1:21" customFormat="1">
      <c r="A39" s="163" t="s">
        <v>1710</v>
      </c>
      <c r="B39" s="100">
        <v>5.01</v>
      </c>
      <c r="C39" s="100">
        <v>9.6999999999999993</v>
      </c>
      <c r="D39" s="100">
        <v>4.7</v>
      </c>
      <c r="E39" s="100">
        <v>5.83</v>
      </c>
      <c r="F39" s="100">
        <v>3.08</v>
      </c>
      <c r="G39" s="100">
        <v>22.29</v>
      </c>
      <c r="H39" s="100">
        <v>8.39</v>
      </c>
      <c r="I39" s="100">
        <v>5.03</v>
      </c>
      <c r="J39" s="100">
        <v>0.31</v>
      </c>
      <c r="K39" s="100">
        <v>78.930000000000007</v>
      </c>
      <c r="L39" s="100">
        <v>29.68</v>
      </c>
      <c r="M39" s="100">
        <v>75.45</v>
      </c>
      <c r="N39" s="100">
        <v>136.9</v>
      </c>
      <c r="O39" s="100">
        <v>0</v>
      </c>
      <c r="P39" s="100">
        <v>0.41</v>
      </c>
      <c r="Q39" s="100">
        <v>9.93</v>
      </c>
      <c r="R39" s="6"/>
      <c r="S39" s="6"/>
      <c r="T39" s="156"/>
      <c r="U39" s="6"/>
    </row>
    <row r="40" spans="1:21" customFormat="1">
      <c r="A40" s="163" t="s">
        <v>1711</v>
      </c>
      <c r="B40" s="100">
        <v>4.8899999999999997</v>
      </c>
      <c r="C40" s="100">
        <v>9.42</v>
      </c>
      <c r="D40" s="100">
        <v>4.53</v>
      </c>
      <c r="E40" s="100">
        <v>5.7</v>
      </c>
      <c r="F40" s="100">
        <v>3.04</v>
      </c>
      <c r="G40" s="100">
        <v>22.29</v>
      </c>
      <c r="H40" s="100">
        <v>8.39</v>
      </c>
      <c r="I40" s="100">
        <v>4.95</v>
      </c>
      <c r="J40" s="100">
        <v>0.38</v>
      </c>
      <c r="K40" s="100">
        <v>106.62</v>
      </c>
      <c r="L40" s="100">
        <v>30.09</v>
      </c>
      <c r="M40" s="100">
        <v>73.97</v>
      </c>
      <c r="N40" s="100">
        <v>145.80000000000001</v>
      </c>
      <c r="O40" s="100">
        <v>0</v>
      </c>
      <c r="P40" s="100">
        <v>0.41</v>
      </c>
      <c r="Q40" s="100">
        <v>9.92</v>
      </c>
      <c r="R40" s="6"/>
      <c r="S40" s="6"/>
      <c r="T40" s="156"/>
      <c r="U40" s="6"/>
    </row>
    <row r="41" spans="1:21" customFormat="1">
      <c r="A41" s="163" t="s">
        <v>1712</v>
      </c>
      <c r="B41" s="100">
        <v>4.7300000000000004</v>
      </c>
      <c r="C41" s="100">
        <v>9.2799999999999994</v>
      </c>
      <c r="D41" s="100">
        <v>4.55</v>
      </c>
      <c r="E41" s="100">
        <v>6.03</v>
      </c>
      <c r="F41" s="100">
        <v>2.64</v>
      </c>
      <c r="G41" s="100">
        <v>24.03</v>
      </c>
      <c r="H41" s="100">
        <v>8.92</v>
      </c>
      <c r="I41" s="100">
        <v>4.87</v>
      </c>
      <c r="J41" s="100">
        <v>0.16</v>
      </c>
      <c r="K41" s="100">
        <v>191.92</v>
      </c>
      <c r="L41" s="100">
        <v>30.54</v>
      </c>
      <c r="M41" s="100">
        <v>72</v>
      </c>
      <c r="N41" s="100">
        <v>133.5</v>
      </c>
      <c r="O41" s="100">
        <v>0</v>
      </c>
      <c r="P41" s="100">
        <v>0.4</v>
      </c>
      <c r="Q41" s="100">
        <v>9.93</v>
      </c>
      <c r="R41" s="6"/>
      <c r="S41" s="6"/>
      <c r="T41" s="156"/>
      <c r="U41" s="6"/>
    </row>
    <row r="42" spans="1:21" customFormat="1">
      <c r="A42" s="163" t="s">
        <v>1713</v>
      </c>
      <c r="B42" s="100">
        <v>4.58</v>
      </c>
      <c r="C42" s="100">
        <v>9.02</v>
      </c>
      <c r="D42" s="100">
        <v>4.4400000000000004</v>
      </c>
      <c r="E42" s="100">
        <v>5.88</v>
      </c>
      <c r="F42" s="100">
        <v>2.59</v>
      </c>
      <c r="G42" s="100">
        <v>28.57</v>
      </c>
      <c r="H42" s="100">
        <v>9.8000000000000007</v>
      </c>
      <c r="I42" s="100">
        <v>4.91</v>
      </c>
      <c r="J42" s="100">
        <v>0.19</v>
      </c>
      <c r="K42" s="100">
        <v>239.07</v>
      </c>
      <c r="L42" s="100">
        <v>30.78</v>
      </c>
      <c r="M42" s="100">
        <v>71.290000000000006</v>
      </c>
      <c r="N42" s="100">
        <v>132.5</v>
      </c>
      <c r="O42" s="100">
        <v>0</v>
      </c>
      <c r="P42" s="100">
        <v>0.4</v>
      </c>
      <c r="Q42" s="100">
        <v>9.93</v>
      </c>
      <c r="R42" s="6"/>
      <c r="S42" s="6"/>
      <c r="T42" s="156"/>
      <c r="U42" s="6"/>
    </row>
    <row r="43" spans="1:21" customFormat="1">
      <c r="A43" s="163" t="s">
        <v>1714</v>
      </c>
      <c r="B43" s="100">
        <v>4.4400000000000004</v>
      </c>
      <c r="C43" s="100">
        <v>8.49</v>
      </c>
      <c r="D43" s="100">
        <v>4.05</v>
      </c>
      <c r="E43" s="100">
        <v>5.61</v>
      </c>
      <c r="F43" s="100">
        <v>3.64</v>
      </c>
      <c r="G43" s="100">
        <v>28.57</v>
      </c>
      <c r="H43" s="100">
        <v>9.8000000000000007</v>
      </c>
      <c r="I43" s="100">
        <v>4.8499999999999996</v>
      </c>
      <c r="J43" s="100">
        <v>0.41</v>
      </c>
      <c r="K43" s="100">
        <v>253.94</v>
      </c>
      <c r="L43" s="100">
        <v>31.26</v>
      </c>
      <c r="M43" s="100">
        <v>69.010000000000005</v>
      </c>
      <c r="N43" s="100">
        <v>143.69999999999999</v>
      </c>
      <c r="O43" s="100">
        <v>0</v>
      </c>
      <c r="P43" s="100">
        <v>0.39</v>
      </c>
      <c r="Q43" s="100">
        <v>9.91</v>
      </c>
      <c r="R43" s="6"/>
      <c r="S43" s="6"/>
      <c r="T43" s="156"/>
      <c r="U43" s="6"/>
    </row>
    <row r="44" spans="1:21" customFormat="1">
      <c r="A44" s="163" t="s">
        <v>1715</v>
      </c>
      <c r="B44" s="100">
        <v>4.3</v>
      </c>
      <c r="C44" s="100">
        <v>8.3000000000000007</v>
      </c>
      <c r="D44" s="100">
        <v>4</v>
      </c>
      <c r="E44" s="100">
        <v>5.82</v>
      </c>
      <c r="F44" s="100">
        <v>3.22</v>
      </c>
      <c r="G44" s="100">
        <v>28.57</v>
      </c>
      <c r="H44" s="100">
        <v>9.8000000000000007</v>
      </c>
      <c r="I44" s="100">
        <v>4.7699999999999996</v>
      </c>
      <c r="J44" s="100">
        <v>0.5</v>
      </c>
      <c r="K44" s="100">
        <v>252.04</v>
      </c>
      <c r="L44" s="100">
        <v>31.25</v>
      </c>
      <c r="M44" s="100">
        <v>67.14</v>
      </c>
      <c r="N44" s="100">
        <v>149.19999999999999</v>
      </c>
      <c r="O44" s="100">
        <v>0</v>
      </c>
      <c r="P44" s="100">
        <v>0.37</v>
      </c>
      <c r="Q44" s="100">
        <v>9.91</v>
      </c>
      <c r="R44" s="6"/>
      <c r="S44" s="6"/>
      <c r="T44" s="156"/>
      <c r="U44" s="6"/>
    </row>
    <row r="45" spans="1:21" customFormat="1">
      <c r="A45" s="163" t="s">
        <v>1716</v>
      </c>
      <c r="B45" s="100">
        <v>4.16</v>
      </c>
      <c r="C45" s="100">
        <v>8.09</v>
      </c>
      <c r="D45" s="100">
        <v>3.93</v>
      </c>
      <c r="E45" s="100">
        <v>5.36</v>
      </c>
      <c r="F45" s="100">
        <v>3.33</v>
      </c>
      <c r="G45" s="100">
        <v>27.09</v>
      </c>
      <c r="H45" s="100">
        <v>9.7899999999999991</v>
      </c>
      <c r="I45" s="100">
        <v>4.7</v>
      </c>
      <c r="J45" s="100">
        <v>0.6</v>
      </c>
      <c r="K45" s="100">
        <v>266.77</v>
      </c>
      <c r="L45" s="100">
        <v>31.8</v>
      </c>
      <c r="M45" s="100">
        <v>65.010000000000005</v>
      </c>
      <c r="N45" s="100">
        <v>191.7</v>
      </c>
      <c r="O45" s="100">
        <v>0</v>
      </c>
      <c r="P45" s="100">
        <v>0.37</v>
      </c>
      <c r="Q45" s="100">
        <v>9.89</v>
      </c>
      <c r="R45" s="6"/>
      <c r="S45" s="6"/>
      <c r="T45" s="156"/>
      <c r="U45" s="6"/>
    </row>
    <row r="46" spans="1:21" customFormat="1">
      <c r="A46" s="163" t="s">
        <v>1717</v>
      </c>
      <c r="B46" s="100">
        <v>4.04</v>
      </c>
      <c r="C46" s="100">
        <v>7.73</v>
      </c>
      <c r="D46" s="100">
        <v>3.69</v>
      </c>
      <c r="E46" s="100">
        <v>5.97</v>
      </c>
      <c r="F46" s="100">
        <v>4.54</v>
      </c>
      <c r="G46" s="100">
        <v>23.45</v>
      </c>
      <c r="H46" s="100">
        <v>9.7899999999999991</v>
      </c>
      <c r="I46" s="100">
        <v>4.54</v>
      </c>
      <c r="J46" s="100">
        <v>0.47</v>
      </c>
      <c r="K46" s="100">
        <v>268.22000000000003</v>
      </c>
      <c r="L46" s="100">
        <v>32.22</v>
      </c>
      <c r="M46" s="100">
        <v>64.08</v>
      </c>
      <c r="N46" s="100">
        <v>234.2</v>
      </c>
      <c r="O46" s="100">
        <v>0</v>
      </c>
      <c r="P46" s="100">
        <v>0.37</v>
      </c>
      <c r="Q46" s="100">
        <v>9.89</v>
      </c>
      <c r="R46" s="6"/>
      <c r="S46" s="6"/>
      <c r="T46" s="156"/>
      <c r="U46" s="6"/>
    </row>
    <row r="47" spans="1:21" customFormat="1">
      <c r="A47" s="163" t="s">
        <v>1718</v>
      </c>
      <c r="B47" s="100">
        <v>3.94</v>
      </c>
      <c r="C47" s="100">
        <v>7.64</v>
      </c>
      <c r="D47" s="100">
        <v>3.7</v>
      </c>
      <c r="E47" s="100">
        <v>5.76</v>
      </c>
      <c r="F47" s="100">
        <v>3.15</v>
      </c>
      <c r="G47" s="100">
        <v>23.45</v>
      </c>
      <c r="H47" s="100">
        <v>9.7899999999999991</v>
      </c>
      <c r="I47" s="100">
        <v>4.5199999999999996</v>
      </c>
      <c r="J47" s="100">
        <v>0.63</v>
      </c>
      <c r="K47" s="100">
        <v>254.94</v>
      </c>
      <c r="L47" s="100">
        <v>31.73</v>
      </c>
      <c r="M47" s="100">
        <v>65.7</v>
      </c>
      <c r="N47" s="100">
        <v>288.39999999999998</v>
      </c>
      <c r="O47" s="100">
        <v>0</v>
      </c>
      <c r="P47" s="100">
        <v>0.35</v>
      </c>
      <c r="Q47" s="100">
        <v>9.91</v>
      </c>
      <c r="R47" s="6"/>
      <c r="S47" s="6"/>
      <c r="T47" s="156"/>
      <c r="U47" s="6"/>
    </row>
    <row r="48" spans="1:21" customFormat="1">
      <c r="A48" s="163" t="s">
        <v>1719</v>
      </c>
      <c r="B48" s="100">
        <v>3.84</v>
      </c>
      <c r="C48" s="100">
        <v>7.4</v>
      </c>
      <c r="D48" s="100">
        <v>3.56</v>
      </c>
      <c r="E48" s="100">
        <v>5.71</v>
      </c>
      <c r="F48" s="100">
        <v>5.48</v>
      </c>
      <c r="G48" s="100">
        <v>23.45</v>
      </c>
      <c r="H48" s="100">
        <v>9.7899999999999991</v>
      </c>
      <c r="I48" s="100">
        <v>4.4400000000000004</v>
      </c>
      <c r="J48" s="100">
        <v>0.19</v>
      </c>
      <c r="K48" s="100">
        <v>252.78</v>
      </c>
      <c r="L48" s="100">
        <v>32.57</v>
      </c>
      <c r="M48" s="100">
        <v>63.93</v>
      </c>
      <c r="N48" s="100">
        <v>322.2</v>
      </c>
      <c r="O48" s="100">
        <v>0</v>
      </c>
      <c r="P48" s="100">
        <v>0.37</v>
      </c>
      <c r="Q48" s="100">
        <v>9.91</v>
      </c>
      <c r="R48" s="6"/>
      <c r="S48" s="6"/>
      <c r="T48" s="156"/>
      <c r="U48" s="6"/>
    </row>
    <row r="49" spans="1:21" customFormat="1">
      <c r="A49" s="163" t="s">
        <v>1720</v>
      </c>
      <c r="B49" s="100">
        <v>3.85</v>
      </c>
      <c r="C49" s="100">
        <v>7.4</v>
      </c>
      <c r="D49" s="100">
        <v>3.55</v>
      </c>
      <c r="E49" s="100">
        <v>3.53</v>
      </c>
      <c r="F49" s="100">
        <v>7.56</v>
      </c>
      <c r="G49" s="100">
        <v>26.02</v>
      </c>
      <c r="H49" s="100">
        <v>10.07</v>
      </c>
      <c r="I49" s="100">
        <v>4.33</v>
      </c>
      <c r="J49" s="100">
        <v>0.49</v>
      </c>
      <c r="K49" s="100">
        <v>270.75</v>
      </c>
      <c r="L49" s="100">
        <v>32.6</v>
      </c>
      <c r="M49" s="100">
        <v>63.72</v>
      </c>
      <c r="N49" s="100">
        <v>267</v>
      </c>
      <c r="O49" s="100">
        <v>0</v>
      </c>
      <c r="P49" s="100">
        <v>0.41</v>
      </c>
      <c r="Q49" s="100">
        <v>9.9</v>
      </c>
      <c r="R49" s="6"/>
      <c r="S49" s="6"/>
      <c r="T49" s="156"/>
      <c r="U49" s="6"/>
    </row>
    <row r="50" spans="1:21" customFormat="1">
      <c r="A50" s="163" t="s">
        <v>1721</v>
      </c>
      <c r="B50" s="100">
        <v>3.9</v>
      </c>
      <c r="C50" s="100">
        <v>7.02</v>
      </c>
      <c r="D50" s="100">
        <v>3.12</v>
      </c>
      <c r="E50" s="100">
        <v>4.28</v>
      </c>
      <c r="F50" s="100">
        <v>7.52</v>
      </c>
      <c r="G50" s="100">
        <v>32.35</v>
      </c>
      <c r="H50" s="100">
        <v>11.25</v>
      </c>
      <c r="I50" s="100">
        <v>4.3600000000000003</v>
      </c>
      <c r="J50" s="100">
        <v>0.61</v>
      </c>
      <c r="K50" s="100">
        <v>250.11</v>
      </c>
      <c r="L50" s="100">
        <v>32.270000000000003</v>
      </c>
      <c r="M50" s="100">
        <v>63.8</v>
      </c>
      <c r="N50" s="100">
        <v>265.8</v>
      </c>
      <c r="O50" s="100">
        <v>0</v>
      </c>
      <c r="P50" s="100">
        <v>0.41</v>
      </c>
      <c r="Q50" s="100">
        <v>9.93</v>
      </c>
      <c r="R50" s="6"/>
      <c r="S50" s="6"/>
      <c r="T50" s="156"/>
      <c r="U50" s="6"/>
    </row>
    <row r="51" spans="1:21" customFormat="1">
      <c r="A51" s="163" t="s">
        <v>1722</v>
      </c>
      <c r="B51" s="100">
        <v>3.97</v>
      </c>
      <c r="C51" s="100">
        <v>6.84</v>
      </c>
      <c r="D51" s="100">
        <v>2.86</v>
      </c>
      <c r="E51" s="100">
        <v>4.1500000000000004</v>
      </c>
      <c r="F51" s="100">
        <v>7.4</v>
      </c>
      <c r="G51" s="100">
        <v>32.35</v>
      </c>
      <c r="H51" s="100">
        <v>11.25</v>
      </c>
      <c r="I51" s="100">
        <v>4.0999999999999996</v>
      </c>
      <c r="J51" s="100">
        <v>0.87</v>
      </c>
      <c r="K51" s="100">
        <v>273.24</v>
      </c>
      <c r="L51" s="100">
        <v>32.880000000000003</v>
      </c>
      <c r="M51" s="100">
        <v>60.09</v>
      </c>
      <c r="N51" s="100">
        <v>317</v>
      </c>
      <c r="O51" s="100">
        <v>0</v>
      </c>
      <c r="P51" s="100">
        <v>0.41</v>
      </c>
      <c r="Q51" s="100">
        <v>9.91</v>
      </c>
      <c r="R51" s="6"/>
      <c r="S51" s="6"/>
      <c r="T51" s="156"/>
      <c r="U51" s="6"/>
    </row>
    <row r="52" spans="1:21" customFormat="1">
      <c r="A52" s="163" t="s">
        <v>1723</v>
      </c>
      <c r="B52" s="100">
        <v>4</v>
      </c>
      <c r="C52" s="100">
        <v>6.8</v>
      </c>
      <c r="D52" s="100">
        <v>2.8</v>
      </c>
      <c r="E52" s="100">
        <v>3.56</v>
      </c>
      <c r="F52" s="100">
        <v>7.33</v>
      </c>
      <c r="G52" s="100">
        <v>32.35</v>
      </c>
      <c r="H52" s="100">
        <v>11.25</v>
      </c>
      <c r="I52" s="100">
        <v>4.1900000000000004</v>
      </c>
      <c r="J52" s="100">
        <v>0.7</v>
      </c>
      <c r="K52" s="100">
        <v>253.48</v>
      </c>
      <c r="L52" s="100">
        <v>33.08</v>
      </c>
      <c r="M52" s="100">
        <v>60.42</v>
      </c>
      <c r="N52" s="100">
        <v>231.4</v>
      </c>
      <c r="O52" s="100">
        <v>0</v>
      </c>
      <c r="P52" s="100">
        <v>0.41</v>
      </c>
      <c r="Q52" s="100">
        <v>9.91</v>
      </c>
      <c r="R52" s="6"/>
      <c r="S52" s="6"/>
      <c r="T52" s="156"/>
      <c r="U52" s="6"/>
    </row>
    <row r="53" spans="1:21" customFormat="1">
      <c r="A53" s="163" t="s">
        <v>1724</v>
      </c>
      <c r="B53" s="100">
        <v>4.01</v>
      </c>
      <c r="C53" s="100">
        <v>6.77</v>
      </c>
      <c r="D53" s="100">
        <v>2.76</v>
      </c>
      <c r="E53" s="100">
        <v>3.36</v>
      </c>
      <c r="F53" s="100">
        <v>10.92</v>
      </c>
      <c r="G53" s="100">
        <v>34.28</v>
      </c>
      <c r="H53" s="100">
        <v>11.07</v>
      </c>
      <c r="I53" s="100">
        <v>4.2699999999999996</v>
      </c>
      <c r="J53" s="100">
        <v>0.84</v>
      </c>
      <c r="K53" s="100">
        <v>281.63</v>
      </c>
      <c r="L53" s="100">
        <v>33.71</v>
      </c>
      <c r="M53" s="100">
        <v>58.33</v>
      </c>
      <c r="N53" s="100">
        <v>287.8</v>
      </c>
      <c r="O53" s="100">
        <v>0</v>
      </c>
      <c r="P53" s="100">
        <v>0.4</v>
      </c>
      <c r="Q53" s="100">
        <v>9.89</v>
      </c>
      <c r="R53" s="6"/>
      <c r="S53" s="6"/>
      <c r="T53" s="156"/>
      <c r="U53" s="6"/>
    </row>
    <row r="54" spans="1:21" customFormat="1">
      <c r="A54" s="163" t="s">
        <v>1725</v>
      </c>
      <c r="B54" s="100">
        <v>4.04</v>
      </c>
      <c r="C54" s="100">
        <v>6.81</v>
      </c>
      <c r="D54" s="100">
        <v>2.77</v>
      </c>
      <c r="E54" s="100">
        <v>3.08</v>
      </c>
      <c r="F54" s="100">
        <v>6.96</v>
      </c>
      <c r="G54" s="100">
        <v>39.29</v>
      </c>
      <c r="H54" s="100">
        <v>10.78</v>
      </c>
      <c r="I54" s="100">
        <v>4.2699999999999996</v>
      </c>
      <c r="J54" s="100">
        <v>0.91</v>
      </c>
      <c r="K54" s="100">
        <v>273.75</v>
      </c>
      <c r="L54" s="100">
        <v>34</v>
      </c>
      <c r="M54" s="100">
        <v>57.45</v>
      </c>
      <c r="N54" s="100">
        <v>292.5</v>
      </c>
      <c r="O54" s="100">
        <v>0</v>
      </c>
      <c r="P54" s="100">
        <v>0.4</v>
      </c>
      <c r="Q54" s="100">
        <v>9.9</v>
      </c>
      <c r="R54" s="6"/>
      <c r="S54" s="6"/>
      <c r="T54" s="156"/>
      <c r="U54" s="6"/>
    </row>
    <row r="55" spans="1:21" customFormat="1">
      <c r="A55" s="163" t="s">
        <v>1726</v>
      </c>
      <c r="B55" s="100">
        <v>3.99</v>
      </c>
      <c r="C55" s="100">
        <v>6.68</v>
      </c>
      <c r="D55" s="100">
        <v>2.69</v>
      </c>
      <c r="E55" s="100">
        <v>3.2</v>
      </c>
      <c r="F55" s="100">
        <v>7.49</v>
      </c>
      <c r="G55" s="100">
        <v>39.29</v>
      </c>
      <c r="H55" s="100">
        <v>10.78</v>
      </c>
      <c r="I55" s="100">
        <v>4.12</v>
      </c>
      <c r="J55" s="100">
        <v>0.51</v>
      </c>
      <c r="K55" s="100">
        <v>245.62</v>
      </c>
      <c r="L55" s="100">
        <v>34.020000000000003</v>
      </c>
      <c r="M55" s="100">
        <v>57.71</v>
      </c>
      <c r="N55" s="100">
        <v>285.3</v>
      </c>
      <c r="O55" s="100">
        <v>0</v>
      </c>
      <c r="P55" s="100">
        <v>0.4</v>
      </c>
      <c r="Q55" s="100">
        <v>9.9</v>
      </c>
      <c r="R55" s="6"/>
      <c r="S55" s="6"/>
      <c r="T55" s="156"/>
      <c r="U55" s="6"/>
    </row>
    <row r="56" spans="1:21" customFormat="1">
      <c r="A56" s="163" t="s">
        <v>1727</v>
      </c>
      <c r="B56" s="100">
        <v>3.9</v>
      </c>
      <c r="C56" s="100">
        <v>6.58</v>
      </c>
      <c r="D56" s="100">
        <v>2.68</v>
      </c>
      <c r="E56" s="100">
        <v>3.11</v>
      </c>
      <c r="F56" s="100">
        <v>8.58</v>
      </c>
      <c r="G56" s="100">
        <v>39.29</v>
      </c>
      <c r="H56" s="100">
        <v>10.78</v>
      </c>
      <c r="I56" s="100">
        <v>4.22</v>
      </c>
      <c r="J56" s="100">
        <v>0.52</v>
      </c>
      <c r="K56" s="100">
        <v>245.05</v>
      </c>
      <c r="L56" s="100">
        <v>33.64</v>
      </c>
      <c r="M56" s="100">
        <v>58.1</v>
      </c>
      <c r="N56" s="100">
        <v>440.9</v>
      </c>
      <c r="O56" s="100">
        <v>0</v>
      </c>
      <c r="P56" s="100">
        <v>0.4</v>
      </c>
      <c r="Q56" s="100">
        <v>9.9</v>
      </c>
      <c r="R56" s="6"/>
      <c r="S56" s="6"/>
      <c r="T56" s="156"/>
      <c r="U56" s="6"/>
    </row>
    <row r="57" spans="1:21" customFormat="1">
      <c r="A57" s="163" t="s">
        <v>1728</v>
      </c>
      <c r="B57" s="100">
        <v>3.89</v>
      </c>
      <c r="C57" s="100">
        <v>6.57</v>
      </c>
      <c r="D57" s="100">
        <v>2.68</v>
      </c>
      <c r="E57" s="100">
        <v>3.09</v>
      </c>
      <c r="F57" s="100">
        <v>10.83</v>
      </c>
      <c r="G57" s="100">
        <v>38.159999999999997</v>
      </c>
      <c r="H57" s="100">
        <v>11.6</v>
      </c>
      <c r="I57" s="100">
        <v>4.2300000000000004</v>
      </c>
      <c r="J57" s="100">
        <v>0.56999999999999995</v>
      </c>
      <c r="K57" s="100">
        <v>276.14999999999998</v>
      </c>
      <c r="L57" s="100">
        <v>34.28</v>
      </c>
      <c r="M57" s="100">
        <v>55.61</v>
      </c>
      <c r="N57" s="100">
        <v>460.7</v>
      </c>
      <c r="O57" s="100">
        <v>0</v>
      </c>
      <c r="P57" s="100">
        <v>0.41</v>
      </c>
      <c r="Q57" s="100">
        <v>9.91</v>
      </c>
      <c r="R57" s="6"/>
      <c r="S57" s="6"/>
      <c r="T57" s="156"/>
      <c r="U57" s="6"/>
    </row>
    <row r="58" spans="1:21" customFormat="1">
      <c r="A58" s="163" t="s">
        <v>1729</v>
      </c>
      <c r="B58" s="100">
        <v>4.01</v>
      </c>
      <c r="C58" s="100">
        <v>6.85</v>
      </c>
      <c r="D58" s="100">
        <v>2.83</v>
      </c>
      <c r="E58" s="100">
        <v>2.99</v>
      </c>
      <c r="F58" s="100">
        <v>6.62</v>
      </c>
      <c r="G58" s="100">
        <v>35.22</v>
      </c>
      <c r="H58" s="100">
        <v>12.95</v>
      </c>
      <c r="I58" s="100">
        <v>4.17</v>
      </c>
      <c r="J58" s="100">
        <v>0.59</v>
      </c>
      <c r="K58" s="100">
        <v>267.18</v>
      </c>
      <c r="L58" s="100">
        <v>34.15</v>
      </c>
      <c r="M58" s="100">
        <v>55.32</v>
      </c>
      <c r="N58" s="100">
        <v>480.9</v>
      </c>
      <c r="O58" s="100">
        <v>0</v>
      </c>
      <c r="P58" s="100">
        <v>0.41</v>
      </c>
      <c r="Q58" s="100">
        <v>9.92</v>
      </c>
      <c r="R58" s="6"/>
      <c r="S58" s="6"/>
      <c r="T58" s="156"/>
      <c r="U58" s="6"/>
    </row>
    <row r="59" spans="1:21" customFormat="1">
      <c r="A59" s="163" t="s">
        <v>1730</v>
      </c>
      <c r="B59" s="100">
        <v>3.96</v>
      </c>
      <c r="C59" s="100">
        <v>6.68</v>
      </c>
      <c r="D59" s="100">
        <v>2.71</v>
      </c>
      <c r="E59" s="100">
        <v>3.16</v>
      </c>
      <c r="F59" s="100">
        <v>10.87</v>
      </c>
      <c r="G59" s="100">
        <v>35.22</v>
      </c>
      <c r="H59" s="100">
        <v>12.95</v>
      </c>
      <c r="I59" s="100">
        <v>4.1100000000000003</v>
      </c>
      <c r="J59" s="100">
        <v>0.72</v>
      </c>
      <c r="K59" s="100">
        <v>283.11</v>
      </c>
      <c r="L59" s="100">
        <v>34.51</v>
      </c>
      <c r="M59" s="100">
        <v>55.18</v>
      </c>
      <c r="N59" s="100">
        <v>653</v>
      </c>
      <c r="O59" s="100">
        <v>0</v>
      </c>
      <c r="P59" s="100">
        <v>0.4</v>
      </c>
      <c r="Q59" s="100">
        <v>9.9</v>
      </c>
      <c r="R59" s="6"/>
      <c r="S59" s="6"/>
      <c r="T59" s="156"/>
      <c r="U59" s="6"/>
    </row>
    <row r="60" spans="1:21" customFormat="1">
      <c r="A60" s="163" t="s">
        <v>1731</v>
      </c>
      <c r="B60" s="100">
        <v>3.93</v>
      </c>
      <c r="C60" s="100">
        <v>6.62</v>
      </c>
      <c r="D60" s="100">
        <v>2.69</v>
      </c>
      <c r="E60" s="100">
        <v>2.86</v>
      </c>
      <c r="F60" s="100">
        <v>9.4700000000000006</v>
      </c>
      <c r="G60" s="100">
        <v>35.22</v>
      </c>
      <c r="H60" s="100">
        <v>12.95</v>
      </c>
      <c r="I60" s="100">
        <v>4.26</v>
      </c>
      <c r="J60" s="100">
        <v>0.7</v>
      </c>
      <c r="K60" s="100">
        <v>262.02999999999997</v>
      </c>
      <c r="L60" s="100">
        <v>35.299999999999997</v>
      </c>
      <c r="M60" s="100">
        <v>52.4</v>
      </c>
      <c r="N60" s="100">
        <v>797.9</v>
      </c>
      <c r="O60" s="100">
        <v>0</v>
      </c>
      <c r="P60" s="100">
        <v>0.4</v>
      </c>
      <c r="Q60" s="100">
        <v>9.9</v>
      </c>
      <c r="R60" s="6"/>
      <c r="S60" s="6"/>
      <c r="T60" s="156"/>
      <c r="U60" s="6"/>
    </row>
    <row r="61" spans="1:21" customFormat="1">
      <c r="A61" s="163" t="s">
        <v>1732</v>
      </c>
      <c r="B61" s="100">
        <v>4</v>
      </c>
      <c r="C61" s="100">
        <v>6.79</v>
      </c>
      <c r="D61" s="100">
        <v>2.8</v>
      </c>
      <c r="E61" s="100">
        <v>2.4900000000000002</v>
      </c>
      <c r="F61" s="100">
        <v>10.99</v>
      </c>
      <c r="G61" s="100">
        <v>34.44</v>
      </c>
      <c r="H61" s="100">
        <v>11.71</v>
      </c>
      <c r="I61" s="100">
        <v>4.1399999999999997</v>
      </c>
      <c r="J61" s="100">
        <v>0.82</v>
      </c>
      <c r="K61" s="100">
        <v>282.08</v>
      </c>
      <c r="L61" s="100">
        <v>35.549999999999997</v>
      </c>
      <c r="M61" s="100">
        <v>49.85</v>
      </c>
      <c r="N61" s="100">
        <v>690.8</v>
      </c>
      <c r="O61" s="100">
        <v>0</v>
      </c>
      <c r="P61" s="100">
        <v>0.4</v>
      </c>
      <c r="Q61" s="100">
        <v>9.8800000000000008</v>
      </c>
      <c r="R61" s="6"/>
      <c r="S61" s="6"/>
      <c r="T61" s="156"/>
      <c r="U61" s="6"/>
    </row>
    <row r="62" spans="1:21" customFormat="1">
      <c r="A62" s="163" t="s">
        <v>1733</v>
      </c>
      <c r="B62" s="100">
        <v>4</v>
      </c>
      <c r="C62" s="100">
        <v>6.87</v>
      </c>
      <c r="D62" s="100">
        <v>2.88</v>
      </c>
      <c r="E62" s="100">
        <v>2.75</v>
      </c>
      <c r="F62" s="100">
        <v>8.39</v>
      </c>
      <c r="G62" s="100">
        <v>32.520000000000003</v>
      </c>
      <c r="H62" s="100">
        <v>9.67</v>
      </c>
      <c r="I62" s="100">
        <v>4.16</v>
      </c>
      <c r="J62" s="100">
        <v>0.89</v>
      </c>
      <c r="K62" s="100">
        <v>268.97000000000003</v>
      </c>
      <c r="L62" s="100">
        <v>34.840000000000003</v>
      </c>
      <c r="M62" s="100">
        <v>52.39</v>
      </c>
      <c r="N62" s="100">
        <v>386.7</v>
      </c>
      <c r="O62" s="100">
        <v>0</v>
      </c>
      <c r="P62" s="100">
        <v>0.4</v>
      </c>
      <c r="Q62" s="100">
        <v>9.9</v>
      </c>
      <c r="R62" s="6"/>
      <c r="S62" s="6"/>
      <c r="T62" s="156"/>
      <c r="U62" s="6"/>
    </row>
    <row r="63" spans="1:21" customFormat="1">
      <c r="A63" s="163" t="s">
        <v>1734</v>
      </c>
      <c r="B63" s="100">
        <v>3.94</v>
      </c>
      <c r="C63" s="100">
        <v>6.68</v>
      </c>
      <c r="D63" s="100">
        <v>2.75</v>
      </c>
      <c r="E63" s="100">
        <v>2.41</v>
      </c>
      <c r="F63" s="100">
        <v>6.77</v>
      </c>
      <c r="G63" s="100">
        <v>32.520000000000003</v>
      </c>
      <c r="H63" s="100">
        <v>9.67</v>
      </c>
      <c r="I63" s="100">
        <v>4.16</v>
      </c>
      <c r="J63" s="100">
        <v>0.97</v>
      </c>
      <c r="K63" s="100">
        <v>256.22000000000003</v>
      </c>
      <c r="L63" s="100">
        <v>33.950000000000003</v>
      </c>
      <c r="M63" s="100">
        <v>57.14</v>
      </c>
      <c r="N63" s="100">
        <v>413.4</v>
      </c>
      <c r="O63" s="100">
        <v>0</v>
      </c>
      <c r="P63" s="100">
        <v>0.41</v>
      </c>
      <c r="Q63" s="100">
        <v>9.9</v>
      </c>
      <c r="R63" s="6"/>
      <c r="S63" s="6"/>
      <c r="T63" s="156"/>
      <c r="U63" s="6"/>
    </row>
    <row r="64" spans="1:21" customFormat="1">
      <c r="A64" s="163" t="s">
        <v>1735</v>
      </c>
      <c r="B64" s="100">
        <v>3.91</v>
      </c>
      <c r="C64" s="100">
        <v>6.55</v>
      </c>
      <c r="D64" s="100">
        <v>2.64</v>
      </c>
      <c r="E64" s="100">
        <v>2.57</v>
      </c>
      <c r="F64" s="100">
        <v>7.08</v>
      </c>
      <c r="G64" s="100">
        <v>32.520000000000003</v>
      </c>
      <c r="H64" s="100">
        <v>9.67</v>
      </c>
      <c r="I64" s="100">
        <v>4.22</v>
      </c>
      <c r="J64" s="100">
        <v>1.3</v>
      </c>
      <c r="K64" s="100">
        <v>255.46</v>
      </c>
      <c r="L64" s="100">
        <v>33.369999999999997</v>
      </c>
      <c r="M64" s="100">
        <v>54.77</v>
      </c>
      <c r="N64" s="100">
        <v>549.6</v>
      </c>
      <c r="O64" s="100">
        <v>0</v>
      </c>
      <c r="P64" s="100">
        <v>0.41</v>
      </c>
      <c r="Q64" s="100">
        <v>9.92</v>
      </c>
      <c r="R64" s="6"/>
      <c r="S64" s="6"/>
      <c r="T64" s="156"/>
      <c r="U64" s="6"/>
    </row>
    <row r="65" spans="1:21" customFormat="1">
      <c r="A65" s="163" t="s">
        <v>1736</v>
      </c>
      <c r="B65" s="100">
        <v>3.93</v>
      </c>
      <c r="C65" s="100">
        <v>6.44</v>
      </c>
      <c r="D65" s="100">
        <v>2.5099999999999998</v>
      </c>
      <c r="E65" s="100">
        <v>2.78</v>
      </c>
      <c r="F65" s="100">
        <v>7.9</v>
      </c>
      <c r="G65" s="100">
        <v>31.34</v>
      </c>
      <c r="H65" s="100">
        <v>9.6199999999999992</v>
      </c>
      <c r="I65" s="100">
        <v>4.22</v>
      </c>
      <c r="J65" s="100">
        <v>1.25</v>
      </c>
      <c r="K65" s="100">
        <v>252.58</v>
      </c>
      <c r="L65" s="100">
        <v>33.909999999999997</v>
      </c>
      <c r="M65" s="100">
        <v>53.89</v>
      </c>
      <c r="N65" s="100">
        <v>352.8</v>
      </c>
      <c r="O65" s="100">
        <v>0</v>
      </c>
      <c r="P65" s="100">
        <v>0.26</v>
      </c>
      <c r="Q65" s="100">
        <v>9.9</v>
      </c>
      <c r="R65" s="6"/>
      <c r="S65" s="6"/>
      <c r="T65" s="156"/>
      <c r="U65" s="6"/>
    </row>
    <row r="66" spans="1:21" customFormat="1">
      <c r="A66" s="163" t="s">
        <v>1737</v>
      </c>
      <c r="B66" s="100">
        <v>3.86</v>
      </c>
      <c r="C66" s="100">
        <v>6.45</v>
      </c>
      <c r="D66" s="100">
        <v>2.59</v>
      </c>
      <c r="E66" s="100">
        <v>2.33</v>
      </c>
      <c r="F66" s="100">
        <v>6.4</v>
      </c>
      <c r="G66" s="100">
        <v>28.43</v>
      </c>
      <c r="H66" s="100">
        <v>9.5500000000000007</v>
      </c>
      <c r="I66" s="100">
        <v>4.21</v>
      </c>
      <c r="J66" s="100">
        <v>0.9</v>
      </c>
      <c r="K66" s="100">
        <v>255.1</v>
      </c>
      <c r="L66" s="100">
        <v>34.28</v>
      </c>
      <c r="M66" s="100">
        <v>52.42</v>
      </c>
      <c r="N66" s="100">
        <v>445.7</v>
      </c>
      <c r="O66" s="100">
        <v>0</v>
      </c>
      <c r="P66" s="100">
        <v>0.27</v>
      </c>
      <c r="Q66" s="100">
        <v>9.91</v>
      </c>
      <c r="R66" s="6"/>
      <c r="S66" s="6"/>
      <c r="T66" s="156"/>
      <c r="U66" s="6"/>
    </row>
    <row r="67" spans="1:21" customFormat="1">
      <c r="A67" s="163" t="s">
        <v>1738</v>
      </c>
      <c r="B67" s="100">
        <v>3.86</v>
      </c>
      <c r="C67" s="100">
        <v>6.63</v>
      </c>
      <c r="D67" s="100">
        <v>2.77</v>
      </c>
      <c r="E67" s="100">
        <v>2.4500000000000002</v>
      </c>
      <c r="F67" s="100">
        <v>5.61</v>
      </c>
      <c r="G67" s="100">
        <v>28.43</v>
      </c>
      <c r="H67" s="100">
        <v>9.5500000000000007</v>
      </c>
      <c r="I67" s="100">
        <v>4.0999999999999996</v>
      </c>
      <c r="J67" s="100">
        <v>0.89</v>
      </c>
      <c r="K67" s="100">
        <v>259.08</v>
      </c>
      <c r="L67" s="100">
        <v>33.94</v>
      </c>
      <c r="M67" s="100">
        <v>51.68</v>
      </c>
      <c r="N67" s="100">
        <v>358.6</v>
      </c>
      <c r="O67" s="100">
        <v>0</v>
      </c>
      <c r="P67" s="100">
        <v>0.27</v>
      </c>
      <c r="Q67" s="100">
        <v>9.9</v>
      </c>
      <c r="R67" s="6"/>
      <c r="S67" s="6"/>
      <c r="T67" s="156"/>
      <c r="U67" s="6"/>
    </row>
    <row r="68" spans="1:21" customFormat="1">
      <c r="A68" s="163" t="s">
        <v>1739</v>
      </c>
      <c r="B68" s="100">
        <v>3.83</v>
      </c>
      <c r="C68" s="100">
        <v>7.46</v>
      </c>
      <c r="D68" s="100">
        <v>3.62</v>
      </c>
      <c r="E68" s="100">
        <v>2.39</v>
      </c>
      <c r="F68" s="100">
        <v>4.71</v>
      </c>
      <c r="G68" s="100">
        <v>28.43</v>
      </c>
      <c r="H68" s="100">
        <v>9.5500000000000007</v>
      </c>
      <c r="I68" s="100">
        <v>4.13</v>
      </c>
      <c r="J68" s="100">
        <v>0.71</v>
      </c>
      <c r="K68" s="100">
        <v>248.34</v>
      </c>
      <c r="L68" s="100">
        <v>33.83</v>
      </c>
      <c r="M68" s="100">
        <v>53.42</v>
      </c>
      <c r="N68" s="100">
        <v>292.39999999999998</v>
      </c>
      <c r="O68" s="100">
        <v>0</v>
      </c>
      <c r="P68" s="100">
        <v>0.23</v>
      </c>
      <c r="Q68" s="100">
        <v>9.9</v>
      </c>
      <c r="R68" s="6"/>
      <c r="S68" s="6"/>
      <c r="T68" s="156"/>
      <c r="U68" s="6"/>
    </row>
    <row r="69" spans="1:21" customFormat="1">
      <c r="A69" s="163" t="s">
        <v>1740</v>
      </c>
      <c r="B69" s="100">
        <v>3.78</v>
      </c>
      <c r="C69" s="100">
        <v>7.17</v>
      </c>
      <c r="D69" s="100">
        <v>3.38</v>
      </c>
      <c r="E69" s="100">
        <v>2.8</v>
      </c>
      <c r="F69" s="100">
        <v>6.89</v>
      </c>
      <c r="G69" s="100">
        <v>29.03</v>
      </c>
      <c r="H69" s="100">
        <v>8.92</v>
      </c>
      <c r="I69" s="100">
        <v>4.1500000000000004</v>
      </c>
      <c r="J69" s="100">
        <v>0.42</v>
      </c>
      <c r="K69" s="100">
        <v>262.70999999999998</v>
      </c>
      <c r="L69" s="100">
        <v>33.81</v>
      </c>
      <c r="M69" s="100">
        <v>56.96</v>
      </c>
      <c r="N69" s="100">
        <v>255.3</v>
      </c>
      <c r="O69" s="100">
        <v>0</v>
      </c>
      <c r="P69" s="100">
        <v>0.19</v>
      </c>
      <c r="Q69" s="100">
        <v>9.9</v>
      </c>
      <c r="R69" s="6"/>
      <c r="S69" s="6"/>
      <c r="T69" s="156"/>
      <c r="U69" s="6"/>
    </row>
    <row r="70" spans="1:21" customFormat="1">
      <c r="A70" s="163" t="s">
        <v>1741</v>
      </c>
      <c r="B70" s="100">
        <v>3.78</v>
      </c>
      <c r="C70" s="100">
        <v>7.61</v>
      </c>
      <c r="D70" s="100">
        <v>3.83</v>
      </c>
      <c r="E70" s="100">
        <v>3.15</v>
      </c>
      <c r="F70" s="100">
        <v>4.83</v>
      </c>
      <c r="G70" s="100">
        <v>30.51</v>
      </c>
      <c r="H70" s="100">
        <v>7.89</v>
      </c>
      <c r="I70" s="100">
        <v>4.07</v>
      </c>
      <c r="J70" s="100">
        <v>0.14000000000000001</v>
      </c>
      <c r="K70" s="100">
        <v>282.42</v>
      </c>
      <c r="L70" s="100">
        <v>33.76</v>
      </c>
      <c r="M70" s="100">
        <v>53.56</v>
      </c>
      <c r="N70" s="100">
        <v>469.3</v>
      </c>
      <c r="O70" s="100">
        <v>0</v>
      </c>
      <c r="P70" s="100">
        <v>0.18</v>
      </c>
      <c r="Q70" s="100">
        <v>9.91</v>
      </c>
      <c r="R70" s="6"/>
      <c r="S70" s="6"/>
      <c r="T70" s="156"/>
      <c r="U70" s="6"/>
    </row>
    <row r="71" spans="1:21" customFormat="1">
      <c r="A71" s="163" t="s">
        <v>1742</v>
      </c>
      <c r="B71" s="100">
        <v>3.78</v>
      </c>
      <c r="C71" s="100">
        <v>7.47</v>
      </c>
      <c r="D71" s="100">
        <v>3.68</v>
      </c>
      <c r="E71" s="100">
        <v>3.28</v>
      </c>
      <c r="F71" s="100">
        <v>4.1399999999999997</v>
      </c>
      <c r="G71" s="100">
        <v>30.51</v>
      </c>
      <c r="H71" s="100">
        <v>7.89</v>
      </c>
      <c r="I71" s="100">
        <v>3.89</v>
      </c>
      <c r="J71" s="100">
        <v>0.48</v>
      </c>
      <c r="K71" s="100">
        <v>251.19</v>
      </c>
      <c r="L71" s="100">
        <v>33.06</v>
      </c>
      <c r="M71" s="100">
        <v>58.06</v>
      </c>
      <c r="N71" s="100">
        <v>238.5</v>
      </c>
      <c r="O71" s="100">
        <v>0</v>
      </c>
      <c r="P71" s="100">
        <v>0.18</v>
      </c>
      <c r="Q71" s="100">
        <v>9.9</v>
      </c>
      <c r="R71" s="6"/>
      <c r="S71" s="6"/>
      <c r="T71" s="156"/>
      <c r="U71" s="6"/>
    </row>
    <row r="72" spans="1:21" customFormat="1">
      <c r="A72" s="163" t="s">
        <v>1743</v>
      </c>
      <c r="B72" s="100">
        <v>3.78</v>
      </c>
      <c r="C72" s="100">
        <v>7.27</v>
      </c>
      <c r="D72" s="100">
        <v>3.49</v>
      </c>
      <c r="E72" s="100">
        <v>3.39</v>
      </c>
      <c r="F72" s="100">
        <v>5.4</v>
      </c>
      <c r="G72" s="100">
        <v>30.51</v>
      </c>
      <c r="H72" s="100">
        <v>7.89</v>
      </c>
      <c r="I72" s="100">
        <v>3.84</v>
      </c>
      <c r="J72" s="100">
        <v>0.24</v>
      </c>
      <c r="K72" s="100">
        <v>219.8</v>
      </c>
      <c r="L72" s="100">
        <v>34.07</v>
      </c>
      <c r="M72" s="100">
        <v>56.51</v>
      </c>
      <c r="N72" s="100">
        <v>270</v>
      </c>
      <c r="O72" s="100">
        <v>0</v>
      </c>
      <c r="P72" s="100">
        <v>0.17</v>
      </c>
      <c r="Q72" s="100">
        <v>9.89</v>
      </c>
      <c r="R72" s="6"/>
      <c r="S72" s="6"/>
      <c r="T72" s="156"/>
      <c r="U72" s="6"/>
    </row>
    <row r="73" spans="1:21" customFormat="1">
      <c r="A73" s="163" t="s">
        <v>1744</v>
      </c>
      <c r="B73" s="100">
        <v>3.79</v>
      </c>
      <c r="C73" s="100">
        <v>7.34</v>
      </c>
      <c r="D73" s="100">
        <v>3.55</v>
      </c>
      <c r="E73" s="100">
        <v>3.44</v>
      </c>
      <c r="F73" s="100">
        <v>5.69</v>
      </c>
      <c r="G73" s="100">
        <v>31.04</v>
      </c>
      <c r="H73" s="100">
        <v>8.4</v>
      </c>
      <c r="I73" s="100">
        <v>3.76</v>
      </c>
      <c r="J73" s="100">
        <v>0.2</v>
      </c>
      <c r="K73" s="100">
        <v>246.21</v>
      </c>
      <c r="L73" s="100">
        <v>32.909999999999997</v>
      </c>
      <c r="M73" s="100">
        <v>58.8</v>
      </c>
      <c r="N73" s="100">
        <v>98.3</v>
      </c>
      <c r="O73" s="100">
        <v>0</v>
      </c>
      <c r="P73" s="100">
        <v>0.17</v>
      </c>
      <c r="Q73" s="100">
        <v>9.9</v>
      </c>
      <c r="R73" s="6"/>
      <c r="S73" s="6"/>
      <c r="T73" s="156"/>
      <c r="U73" s="6"/>
    </row>
    <row r="74" spans="1:21" customFormat="1">
      <c r="A74" s="163" t="s">
        <v>1745</v>
      </c>
      <c r="B74" s="100">
        <v>3.79</v>
      </c>
      <c r="C74" s="100">
        <v>7.51</v>
      </c>
      <c r="D74" s="100">
        <v>3.71</v>
      </c>
      <c r="E74" s="100">
        <v>3.28</v>
      </c>
      <c r="F74" s="100">
        <v>5.52</v>
      </c>
      <c r="G74" s="100">
        <v>32.33</v>
      </c>
      <c r="H74" s="100">
        <v>10.52</v>
      </c>
      <c r="I74" s="100">
        <v>3.63</v>
      </c>
      <c r="J74" s="100">
        <v>7.0000000000000007E-2</v>
      </c>
      <c r="K74" s="100">
        <v>185.33</v>
      </c>
      <c r="L74" s="100">
        <v>32.15</v>
      </c>
      <c r="M74" s="100">
        <v>61.41</v>
      </c>
      <c r="N74" s="100">
        <v>45.9</v>
      </c>
      <c r="O74" s="100">
        <v>0</v>
      </c>
      <c r="P74" s="100">
        <v>0.18</v>
      </c>
      <c r="Q74" s="100">
        <v>9.89</v>
      </c>
      <c r="R74" s="6"/>
      <c r="S74" s="6"/>
      <c r="T74" s="156"/>
      <c r="U74" s="6"/>
    </row>
    <row r="75" spans="1:21" customFormat="1">
      <c r="A75" s="163" t="s">
        <v>1746</v>
      </c>
      <c r="B75" s="100">
        <v>3.85</v>
      </c>
      <c r="C75" s="100">
        <v>7.58</v>
      </c>
      <c r="D75" s="100">
        <v>3.73</v>
      </c>
      <c r="E75" s="100">
        <v>3.53</v>
      </c>
      <c r="F75" s="100">
        <v>4.21</v>
      </c>
      <c r="G75" s="100">
        <v>32.33</v>
      </c>
      <c r="H75" s="100">
        <v>10.52</v>
      </c>
      <c r="I75" s="100">
        <v>3.58</v>
      </c>
      <c r="J75" s="100">
        <v>0.2</v>
      </c>
      <c r="K75" s="100">
        <v>236.25</v>
      </c>
      <c r="L75" s="100">
        <v>31.96</v>
      </c>
      <c r="M75" s="100">
        <v>60.64</v>
      </c>
      <c r="N75" s="100">
        <v>35.299999999999997</v>
      </c>
      <c r="O75" s="100">
        <v>0</v>
      </c>
      <c r="P75" s="100">
        <v>0.18</v>
      </c>
      <c r="Q75" s="100">
        <v>9.9</v>
      </c>
      <c r="R75" s="6"/>
      <c r="S75" s="6"/>
      <c r="T75" s="156"/>
      <c r="U75" s="6"/>
    </row>
    <row r="76" spans="1:21" customFormat="1">
      <c r="A76" s="163" t="s">
        <v>1747</v>
      </c>
      <c r="B76" s="100">
        <v>3.85</v>
      </c>
      <c r="C76" s="100">
        <v>7.59</v>
      </c>
      <c r="D76" s="100">
        <v>3.74</v>
      </c>
      <c r="E76" s="100">
        <v>3.83</v>
      </c>
      <c r="F76" s="100">
        <v>3.88</v>
      </c>
      <c r="G76" s="100">
        <v>32.33</v>
      </c>
      <c r="H76" s="100">
        <v>10.52</v>
      </c>
      <c r="I76" s="100">
        <v>3.45</v>
      </c>
      <c r="J76" s="100">
        <v>0.16</v>
      </c>
      <c r="K76" s="100">
        <v>244.66</v>
      </c>
      <c r="L76" s="100">
        <v>31.76</v>
      </c>
      <c r="M76" s="100">
        <v>62.22</v>
      </c>
      <c r="N76" s="100">
        <v>31.6</v>
      </c>
      <c r="O76" s="100">
        <v>0</v>
      </c>
      <c r="P76" s="100">
        <v>0.19</v>
      </c>
      <c r="Q76" s="100">
        <v>9.9</v>
      </c>
      <c r="R76" s="6"/>
      <c r="S76" s="6"/>
      <c r="T76" s="156"/>
      <c r="U76" s="6"/>
    </row>
    <row r="77" spans="1:21" customFormat="1">
      <c r="A77" s="163" t="s">
        <v>1748</v>
      </c>
      <c r="B77" s="100">
        <v>3.86</v>
      </c>
      <c r="C77" s="100">
        <v>7.26</v>
      </c>
      <c r="D77" s="100">
        <v>3.4</v>
      </c>
      <c r="E77" s="100">
        <v>3.61</v>
      </c>
      <c r="F77" s="100">
        <v>6.05</v>
      </c>
      <c r="G77" s="100">
        <v>31.09</v>
      </c>
      <c r="H77" s="100">
        <v>9.39</v>
      </c>
      <c r="I77" s="100">
        <v>3.39</v>
      </c>
      <c r="J77" s="100">
        <v>0.2</v>
      </c>
      <c r="K77" s="100">
        <v>249.83</v>
      </c>
      <c r="L77" s="100">
        <v>31.6</v>
      </c>
      <c r="M77" s="100">
        <v>62.5</v>
      </c>
      <c r="N77" s="100">
        <v>27.9</v>
      </c>
      <c r="O77" s="100">
        <v>0</v>
      </c>
      <c r="P77" s="100">
        <v>0.17</v>
      </c>
      <c r="Q77" s="100">
        <v>9.91</v>
      </c>
      <c r="R77" s="6"/>
      <c r="S77" s="6"/>
      <c r="T77" s="156"/>
      <c r="U77" s="6"/>
    </row>
    <row r="78" spans="1:21" customFormat="1">
      <c r="A78" s="163" t="s">
        <v>1749</v>
      </c>
      <c r="B78" s="100">
        <v>3.87</v>
      </c>
      <c r="C78" s="100">
        <v>7.51</v>
      </c>
      <c r="D78" s="100">
        <v>3.64</v>
      </c>
      <c r="E78" s="100">
        <v>3.33</v>
      </c>
      <c r="F78" s="100">
        <v>5.16</v>
      </c>
      <c r="G78" s="100">
        <v>27.88</v>
      </c>
      <c r="H78" s="100">
        <v>7.53</v>
      </c>
      <c r="I78" s="100">
        <v>3.44</v>
      </c>
      <c r="J78" s="100">
        <v>0.13</v>
      </c>
      <c r="K78" s="100">
        <v>193.38</v>
      </c>
      <c r="L78" s="100">
        <v>31.55</v>
      </c>
      <c r="M78" s="100">
        <v>62.47</v>
      </c>
      <c r="N78" s="100">
        <v>22.1</v>
      </c>
      <c r="O78" s="100">
        <v>0</v>
      </c>
      <c r="P78" s="100">
        <v>0.18</v>
      </c>
      <c r="Q78" s="100">
        <v>9.91</v>
      </c>
      <c r="R78" s="6"/>
      <c r="S78" s="6"/>
      <c r="T78" s="156"/>
      <c r="U78" s="6"/>
    </row>
    <row r="79" spans="1:21" customFormat="1">
      <c r="A79" s="163" t="s">
        <v>1750</v>
      </c>
      <c r="B79" s="100">
        <v>3.89</v>
      </c>
      <c r="C79" s="100">
        <v>7.44</v>
      </c>
      <c r="D79" s="100">
        <v>3.54</v>
      </c>
      <c r="E79" s="100">
        <v>3.68</v>
      </c>
      <c r="F79" s="100">
        <v>4.1399999999999997</v>
      </c>
      <c r="G79" s="100">
        <v>27.88</v>
      </c>
      <c r="H79" s="100">
        <v>7.53</v>
      </c>
      <c r="I79" s="100">
        <v>3.36</v>
      </c>
      <c r="J79" s="100">
        <v>0.19</v>
      </c>
      <c r="K79" s="100">
        <v>224.35</v>
      </c>
      <c r="L79" s="100">
        <v>31.43</v>
      </c>
      <c r="M79" s="100">
        <v>63.37</v>
      </c>
      <c r="N79" s="100">
        <v>27.8</v>
      </c>
      <c r="O79" s="100">
        <v>0</v>
      </c>
      <c r="P79" s="100">
        <v>0.19</v>
      </c>
      <c r="Q79" s="100">
        <v>9.9</v>
      </c>
      <c r="R79" s="6"/>
      <c r="S79" s="6"/>
      <c r="T79" s="156"/>
      <c r="U79" s="6"/>
    </row>
    <row r="80" spans="1:21" customFormat="1">
      <c r="A80" s="163" t="s">
        <v>1751</v>
      </c>
      <c r="B80" s="100">
        <v>3.91</v>
      </c>
      <c r="C80" s="100">
        <v>7.27</v>
      </c>
      <c r="D80" s="100">
        <v>3.36</v>
      </c>
      <c r="E80" s="100">
        <v>3.8</v>
      </c>
      <c r="F80" s="100">
        <v>4.33</v>
      </c>
      <c r="G80" s="100">
        <v>27.88</v>
      </c>
      <c r="H80" s="100">
        <v>7.53</v>
      </c>
      <c r="I80" s="100">
        <v>3.25</v>
      </c>
      <c r="J80" s="100">
        <v>0.14000000000000001</v>
      </c>
      <c r="K80" s="100">
        <v>182.56</v>
      </c>
      <c r="L80" s="100">
        <v>31.34</v>
      </c>
      <c r="M80" s="100">
        <v>64.25</v>
      </c>
      <c r="N80" s="100">
        <v>26.1</v>
      </c>
      <c r="O80" s="100">
        <v>0</v>
      </c>
      <c r="P80" s="100">
        <v>0.18</v>
      </c>
      <c r="Q80" s="100">
        <v>9.9</v>
      </c>
      <c r="R80" s="6"/>
      <c r="S80" s="6"/>
      <c r="T80" s="156"/>
      <c r="U80" s="6"/>
    </row>
    <row r="81" spans="1:21" customFormat="1">
      <c r="A81" s="163" t="s">
        <v>1752</v>
      </c>
      <c r="B81" s="100">
        <v>3.91</v>
      </c>
      <c r="C81" s="100">
        <v>7.52</v>
      </c>
      <c r="D81" s="100">
        <v>3.61</v>
      </c>
      <c r="E81" s="100">
        <v>3.71</v>
      </c>
      <c r="F81" s="100">
        <v>5.16</v>
      </c>
      <c r="G81" s="100">
        <v>29.15</v>
      </c>
      <c r="H81" s="100">
        <v>8.73</v>
      </c>
      <c r="I81" s="100">
        <v>3.35</v>
      </c>
      <c r="J81" s="100">
        <v>0.11</v>
      </c>
      <c r="K81" s="100">
        <v>198.65</v>
      </c>
      <c r="L81" s="100">
        <v>31.08</v>
      </c>
      <c r="M81" s="100">
        <v>65.56</v>
      </c>
      <c r="N81" s="100">
        <v>16.7</v>
      </c>
      <c r="O81" s="100">
        <v>0</v>
      </c>
      <c r="P81" s="100">
        <v>0.18</v>
      </c>
      <c r="Q81" s="100">
        <v>9.9</v>
      </c>
      <c r="R81" s="6"/>
      <c r="S81" s="6"/>
      <c r="T81" s="156"/>
      <c r="U81" s="6"/>
    </row>
    <row r="82" spans="1:21" customFormat="1">
      <c r="A82" s="163" t="s">
        <v>1753</v>
      </c>
      <c r="B82" s="100">
        <v>3.93</v>
      </c>
      <c r="C82" s="100">
        <v>7.56</v>
      </c>
      <c r="D82" s="100">
        <v>3.63</v>
      </c>
      <c r="E82" s="100">
        <v>4.46</v>
      </c>
      <c r="F82" s="100">
        <v>4.28</v>
      </c>
      <c r="G82" s="100">
        <v>32.28</v>
      </c>
      <c r="H82" s="100">
        <v>10.7</v>
      </c>
      <c r="I82" s="100">
        <v>3.25</v>
      </c>
      <c r="J82" s="100">
        <v>0.1</v>
      </c>
      <c r="K82" s="100">
        <v>200.33</v>
      </c>
      <c r="L82" s="100">
        <v>30.97</v>
      </c>
      <c r="M82" s="100">
        <v>65.94</v>
      </c>
      <c r="N82" s="100">
        <v>11.6</v>
      </c>
      <c r="O82" s="100">
        <v>0</v>
      </c>
      <c r="P82" s="100">
        <v>0.19</v>
      </c>
      <c r="Q82" s="100">
        <v>9.91</v>
      </c>
      <c r="R82" s="6"/>
      <c r="S82" s="6"/>
      <c r="T82" s="156"/>
      <c r="U82" s="6"/>
    </row>
    <row r="83" spans="1:21" customFormat="1">
      <c r="A83" s="163" t="s">
        <v>1754</v>
      </c>
      <c r="B83" s="100">
        <v>3.95</v>
      </c>
      <c r="C83" s="100">
        <v>7.35</v>
      </c>
      <c r="D83" s="100">
        <v>3.4</v>
      </c>
      <c r="E83" s="100">
        <v>4.47</v>
      </c>
      <c r="F83" s="100">
        <v>5.07</v>
      </c>
      <c r="G83" s="100">
        <v>32.28</v>
      </c>
      <c r="H83" s="100">
        <v>10.7</v>
      </c>
      <c r="I83" s="100">
        <v>3.23</v>
      </c>
      <c r="J83" s="100">
        <v>0.11</v>
      </c>
      <c r="K83" s="100">
        <v>208.73</v>
      </c>
      <c r="L83" s="100">
        <v>30.69</v>
      </c>
      <c r="M83" s="100">
        <v>66.45</v>
      </c>
      <c r="N83" s="100">
        <v>5.3</v>
      </c>
      <c r="O83" s="100">
        <v>0</v>
      </c>
      <c r="P83" s="100">
        <v>0.18</v>
      </c>
      <c r="Q83" s="100">
        <v>9.89</v>
      </c>
      <c r="R83" s="6"/>
      <c r="S83" s="6"/>
      <c r="T83" s="156"/>
      <c r="U83" s="6"/>
    </row>
    <row r="84" spans="1:21" customFormat="1">
      <c r="A84" s="163" t="s">
        <v>1755</v>
      </c>
      <c r="B84" s="100">
        <v>3.98</v>
      </c>
      <c r="C84" s="100">
        <v>7.36</v>
      </c>
      <c r="D84" s="100">
        <v>3.38</v>
      </c>
      <c r="E84" s="100">
        <v>4.58</v>
      </c>
      <c r="F84" s="100">
        <v>4.3099999999999996</v>
      </c>
      <c r="G84" s="100">
        <v>32.28</v>
      </c>
      <c r="H84" s="100">
        <v>10.7</v>
      </c>
      <c r="I84" s="100">
        <v>3.26</v>
      </c>
      <c r="J84" s="100">
        <v>0.21</v>
      </c>
      <c r="K84" s="100">
        <v>125.75</v>
      </c>
      <c r="L84" s="100">
        <v>30.7</v>
      </c>
      <c r="M84" s="100">
        <v>67.150000000000006</v>
      </c>
      <c r="N84" s="100">
        <v>2.2000000000000002</v>
      </c>
      <c r="O84" s="100">
        <v>0</v>
      </c>
      <c r="P84" s="100">
        <v>0.19</v>
      </c>
      <c r="Q84" s="100">
        <v>9.89</v>
      </c>
      <c r="R84" s="6"/>
      <c r="S84" s="6"/>
      <c r="T84" s="156"/>
      <c r="U84" s="6"/>
    </row>
    <row r="85" spans="1:21" customFormat="1">
      <c r="A85" s="163" t="s">
        <v>1756</v>
      </c>
      <c r="B85" s="100">
        <v>3.97</v>
      </c>
      <c r="C85" s="100">
        <v>7.49</v>
      </c>
      <c r="D85" s="100">
        <v>3.52</v>
      </c>
      <c r="E85" s="100">
        <v>4.6500000000000004</v>
      </c>
      <c r="F85" s="100">
        <v>5</v>
      </c>
      <c r="G85" s="100">
        <v>31.93</v>
      </c>
      <c r="H85" s="100">
        <v>10.18</v>
      </c>
      <c r="I85" s="100">
        <v>3.24</v>
      </c>
      <c r="J85" s="100">
        <v>0.21</v>
      </c>
      <c r="K85" s="100">
        <v>154.15</v>
      </c>
      <c r="L85" s="100">
        <v>30.35</v>
      </c>
      <c r="M85" s="100">
        <v>69.11</v>
      </c>
      <c r="N85" s="100">
        <v>1.9</v>
      </c>
      <c r="O85" s="100">
        <v>0</v>
      </c>
      <c r="P85" s="100">
        <v>0.19</v>
      </c>
      <c r="Q85" s="100">
        <v>9.89</v>
      </c>
      <c r="R85" s="6"/>
      <c r="S85" s="6"/>
      <c r="T85" s="156"/>
      <c r="U85" s="6"/>
    </row>
    <row r="86" spans="1:21" customFormat="1">
      <c r="A86" s="163" t="s">
        <v>1757</v>
      </c>
      <c r="B86" s="100">
        <v>3.99</v>
      </c>
      <c r="C86" s="100">
        <v>7.52</v>
      </c>
      <c r="D86" s="100">
        <v>3.53</v>
      </c>
      <c r="E86" s="100">
        <v>4.8600000000000003</v>
      </c>
      <c r="F86" s="100">
        <v>4.03</v>
      </c>
      <c r="G86" s="100">
        <v>31.08</v>
      </c>
      <c r="H86" s="100">
        <v>9.32</v>
      </c>
      <c r="I86" s="100">
        <v>3.23</v>
      </c>
      <c r="J86" s="100">
        <v>0.2</v>
      </c>
      <c r="K86" s="100">
        <v>169.01</v>
      </c>
      <c r="L86" s="100">
        <v>30.09</v>
      </c>
      <c r="M86" s="100">
        <v>70.98</v>
      </c>
      <c r="N86" s="100">
        <v>1.9</v>
      </c>
      <c r="O86" s="100">
        <v>0</v>
      </c>
      <c r="P86" s="100">
        <v>0.19</v>
      </c>
      <c r="Q86" s="100">
        <v>9.9</v>
      </c>
      <c r="R86" s="6"/>
      <c r="S86" s="6"/>
      <c r="T86" s="156"/>
      <c r="U86" s="6"/>
    </row>
    <row r="87" spans="1:21" customFormat="1">
      <c r="A87" s="163" t="s">
        <v>1758</v>
      </c>
      <c r="B87" s="100">
        <v>4.03</v>
      </c>
      <c r="C87" s="100">
        <v>7.47</v>
      </c>
      <c r="D87" s="100">
        <v>3.43</v>
      </c>
      <c r="E87" s="100">
        <v>4.78</v>
      </c>
      <c r="F87" s="100">
        <v>3.91</v>
      </c>
      <c r="G87" s="100">
        <v>31.08</v>
      </c>
      <c r="H87" s="100">
        <v>9.32</v>
      </c>
      <c r="I87" s="100">
        <v>3.31</v>
      </c>
      <c r="J87" s="100">
        <v>0.17</v>
      </c>
      <c r="K87" s="100">
        <v>177.71</v>
      </c>
      <c r="L87" s="100">
        <v>29.8</v>
      </c>
      <c r="M87" s="100">
        <v>73.23</v>
      </c>
      <c r="N87" s="100">
        <v>1.9</v>
      </c>
      <c r="O87" s="100">
        <v>0</v>
      </c>
      <c r="P87" s="100">
        <v>0.2</v>
      </c>
      <c r="Q87" s="100">
        <v>9.91</v>
      </c>
      <c r="R87" s="6"/>
      <c r="S87" s="6"/>
      <c r="T87" s="156"/>
      <c r="U87" s="6"/>
    </row>
    <row r="88" spans="1:21" customFormat="1">
      <c r="A88" s="163" t="s">
        <v>1759</v>
      </c>
      <c r="B88" s="100">
        <v>4.07</v>
      </c>
      <c r="C88" s="100">
        <v>7.84</v>
      </c>
      <c r="D88" s="100">
        <v>3.77</v>
      </c>
      <c r="E88" s="100">
        <v>4.71</v>
      </c>
      <c r="F88" s="100">
        <v>4.93</v>
      </c>
      <c r="G88" s="100">
        <v>31.08</v>
      </c>
      <c r="H88" s="100">
        <v>9.32</v>
      </c>
      <c r="I88" s="100">
        <v>3.37</v>
      </c>
      <c r="J88" s="100">
        <v>0.21</v>
      </c>
      <c r="K88" s="100">
        <v>135.66</v>
      </c>
      <c r="L88" s="100">
        <v>29.53</v>
      </c>
      <c r="M88" s="100">
        <v>74.180000000000007</v>
      </c>
      <c r="N88" s="100">
        <v>1.9</v>
      </c>
      <c r="O88" s="100">
        <v>0</v>
      </c>
      <c r="P88" s="100">
        <v>0.24</v>
      </c>
      <c r="Q88" s="100">
        <v>9.92</v>
      </c>
      <c r="R88" s="6"/>
      <c r="S88" s="6"/>
      <c r="T88" s="156"/>
      <c r="U88" s="6"/>
    </row>
    <row r="89" spans="1:21" customFormat="1">
      <c r="A89" s="163" t="s">
        <v>1760</v>
      </c>
      <c r="B89" s="100">
        <v>4.0999999999999996</v>
      </c>
      <c r="C89" s="100">
        <v>7.67</v>
      </c>
      <c r="D89" s="100">
        <v>3.57</v>
      </c>
      <c r="E89" s="100">
        <v>3.96</v>
      </c>
      <c r="F89" s="100">
        <v>10.72</v>
      </c>
      <c r="G89" s="100">
        <v>31.53</v>
      </c>
      <c r="H89" s="100">
        <v>8.67</v>
      </c>
      <c r="I89" s="100">
        <v>3.4</v>
      </c>
      <c r="J89" s="100">
        <v>0.14000000000000001</v>
      </c>
      <c r="K89" s="100">
        <v>212.36</v>
      </c>
      <c r="L89" s="100">
        <v>29.15</v>
      </c>
      <c r="M89" s="100">
        <v>75.959999999999994</v>
      </c>
      <c r="N89" s="100">
        <v>2</v>
      </c>
      <c r="O89" s="100">
        <v>0</v>
      </c>
      <c r="P89" s="100">
        <v>0.24</v>
      </c>
      <c r="Q89" s="100">
        <v>9.92</v>
      </c>
      <c r="R89" s="6"/>
      <c r="S89" s="6"/>
      <c r="T89" s="156"/>
      <c r="U89" s="6"/>
    </row>
    <row r="90" spans="1:21" customFormat="1">
      <c r="A90" s="163" t="s">
        <v>1761</v>
      </c>
      <c r="B90" s="100">
        <v>4.1500000000000004</v>
      </c>
      <c r="C90" s="100">
        <v>7.62</v>
      </c>
      <c r="D90" s="100">
        <v>3.47</v>
      </c>
      <c r="E90" s="100">
        <v>3.66</v>
      </c>
      <c r="F90" s="100">
        <v>12.17</v>
      </c>
      <c r="G90" s="100">
        <v>32.630000000000003</v>
      </c>
      <c r="H90" s="100">
        <v>7.6</v>
      </c>
      <c r="I90" s="100">
        <v>3.27</v>
      </c>
      <c r="J90" s="100">
        <v>0.13</v>
      </c>
      <c r="K90" s="100">
        <v>158.71</v>
      </c>
      <c r="L90" s="100">
        <v>29.01</v>
      </c>
      <c r="M90" s="100">
        <v>76.97</v>
      </c>
      <c r="N90" s="100">
        <v>1.8</v>
      </c>
      <c r="O90" s="100">
        <v>0</v>
      </c>
      <c r="P90" s="100">
        <v>0.23</v>
      </c>
      <c r="Q90" s="100">
        <v>9.92</v>
      </c>
      <c r="R90" s="6"/>
      <c r="S90" s="6"/>
      <c r="T90" s="156"/>
      <c r="U90" s="6"/>
    </row>
    <row r="91" spans="1:21" customFormat="1">
      <c r="A91" s="163" t="s">
        <v>1762</v>
      </c>
      <c r="B91" s="100">
        <v>4.1900000000000004</v>
      </c>
      <c r="C91" s="100">
        <v>7.67</v>
      </c>
      <c r="D91" s="100">
        <v>3.48</v>
      </c>
      <c r="E91" s="100">
        <v>3.51</v>
      </c>
      <c r="F91" s="100">
        <v>10.64</v>
      </c>
      <c r="G91" s="100">
        <v>32.630000000000003</v>
      </c>
      <c r="H91" s="100">
        <v>7.6</v>
      </c>
      <c r="I91" s="100">
        <v>3.19</v>
      </c>
      <c r="J91" s="100">
        <v>0.12</v>
      </c>
      <c r="K91" s="100">
        <v>184.7</v>
      </c>
      <c r="L91" s="100">
        <v>28.81</v>
      </c>
      <c r="M91" s="100">
        <v>78.45</v>
      </c>
      <c r="N91" s="100">
        <v>1.8</v>
      </c>
      <c r="O91" s="100">
        <v>0</v>
      </c>
      <c r="P91" s="100">
        <v>0.23</v>
      </c>
      <c r="Q91" s="100">
        <v>9.91</v>
      </c>
      <c r="R91" s="6"/>
      <c r="S91" s="6"/>
      <c r="T91" s="156"/>
      <c r="U91" s="6"/>
    </row>
    <row r="92" spans="1:21" customFormat="1">
      <c r="A92" s="163" t="s">
        <v>1763</v>
      </c>
      <c r="B92" s="100">
        <v>4.21</v>
      </c>
      <c r="C92" s="100">
        <v>7.76</v>
      </c>
      <c r="D92" s="100">
        <v>3.55</v>
      </c>
      <c r="E92" s="100">
        <v>3.26</v>
      </c>
      <c r="F92" s="100">
        <v>11.14</v>
      </c>
      <c r="G92" s="100">
        <v>32.630000000000003</v>
      </c>
      <c r="H92" s="100">
        <v>7.6</v>
      </c>
      <c r="I92" s="100">
        <v>3.21</v>
      </c>
      <c r="J92" s="100">
        <v>0.21</v>
      </c>
      <c r="K92" s="100">
        <v>158.37</v>
      </c>
      <c r="L92" s="100">
        <v>28.82</v>
      </c>
      <c r="M92" s="100">
        <v>78.900000000000006</v>
      </c>
      <c r="N92" s="100">
        <v>1.7</v>
      </c>
      <c r="O92" s="100">
        <v>0</v>
      </c>
      <c r="P92" s="100">
        <v>0.23</v>
      </c>
      <c r="Q92" s="100">
        <v>9.92</v>
      </c>
      <c r="R92" s="6"/>
      <c r="S92" s="6"/>
      <c r="T92" s="156"/>
      <c r="U92" s="6"/>
    </row>
    <row r="93" spans="1:21" customFormat="1">
      <c r="A93" s="163" t="s">
        <v>1764</v>
      </c>
      <c r="B93" s="100">
        <v>4.2699999999999996</v>
      </c>
      <c r="C93" s="100">
        <v>7.66</v>
      </c>
      <c r="D93" s="100">
        <v>3.38</v>
      </c>
      <c r="E93" s="100">
        <v>3.13</v>
      </c>
      <c r="F93" s="100">
        <v>9.51</v>
      </c>
      <c r="G93" s="100">
        <v>32.22</v>
      </c>
      <c r="H93" s="100">
        <v>9.3800000000000008</v>
      </c>
      <c r="I93" s="100">
        <v>3.32</v>
      </c>
      <c r="J93" s="100">
        <v>0.1</v>
      </c>
      <c r="K93" s="100">
        <v>162.75</v>
      </c>
      <c r="L93" s="100">
        <v>28.79</v>
      </c>
      <c r="M93" s="100">
        <v>79.459999999999994</v>
      </c>
      <c r="N93" s="100">
        <v>1.7</v>
      </c>
      <c r="O93" s="100">
        <v>0</v>
      </c>
      <c r="P93" s="100">
        <v>0.22</v>
      </c>
      <c r="Q93" s="100">
        <v>9.91</v>
      </c>
      <c r="R93" s="6"/>
      <c r="S93" s="6"/>
      <c r="T93" s="156"/>
      <c r="U93" s="6"/>
    </row>
    <row r="94" spans="1:21" customFormat="1">
      <c r="A94" s="163" t="s">
        <v>1765</v>
      </c>
      <c r="B94" s="100">
        <v>4.3600000000000003</v>
      </c>
      <c r="C94" s="100">
        <v>7.62</v>
      </c>
      <c r="D94" s="100">
        <v>3.27</v>
      </c>
      <c r="E94" s="100">
        <v>3.66</v>
      </c>
      <c r="F94" s="100">
        <v>5.69</v>
      </c>
      <c r="G94" s="100">
        <v>31.21</v>
      </c>
      <c r="H94" s="100">
        <v>12.29</v>
      </c>
      <c r="I94" s="100">
        <v>3.43</v>
      </c>
      <c r="J94" s="100">
        <v>0.21</v>
      </c>
      <c r="K94" s="100">
        <v>173.61</v>
      </c>
      <c r="L94" s="100">
        <v>28.67</v>
      </c>
      <c r="M94" s="100">
        <v>80.52</v>
      </c>
      <c r="N94" s="100">
        <v>1.7</v>
      </c>
      <c r="O94" s="100">
        <v>0</v>
      </c>
      <c r="P94" s="100">
        <v>0.24</v>
      </c>
      <c r="Q94" s="100">
        <v>9.91</v>
      </c>
      <c r="R94" s="6"/>
      <c r="S94" s="6"/>
      <c r="T94" s="156"/>
      <c r="U94" s="6"/>
    </row>
    <row r="95" spans="1:21" customFormat="1">
      <c r="A95" s="163" t="s">
        <v>1766</v>
      </c>
      <c r="B95" s="100">
        <v>4.34</v>
      </c>
      <c r="C95" s="100">
        <v>7.79</v>
      </c>
      <c r="D95" s="100">
        <v>3.45</v>
      </c>
      <c r="E95" s="100">
        <v>3.54</v>
      </c>
      <c r="F95" s="100">
        <v>8.41</v>
      </c>
      <c r="G95" s="100">
        <v>31.21</v>
      </c>
      <c r="H95" s="100">
        <v>12.29</v>
      </c>
      <c r="I95" s="100">
        <v>3.41</v>
      </c>
      <c r="J95" s="100">
        <v>0.2</v>
      </c>
      <c r="K95" s="100">
        <v>157.61000000000001</v>
      </c>
      <c r="L95" s="100">
        <v>28.63</v>
      </c>
      <c r="M95" s="100">
        <v>80.88</v>
      </c>
      <c r="N95" s="100">
        <v>1.8</v>
      </c>
      <c r="O95" s="100">
        <v>0</v>
      </c>
      <c r="P95" s="100">
        <v>0.24</v>
      </c>
      <c r="Q95" s="100">
        <v>9.92</v>
      </c>
      <c r="R95" s="6"/>
      <c r="S95" s="6"/>
      <c r="T95" s="156"/>
      <c r="U95" s="6"/>
    </row>
    <row r="96" spans="1:21" customFormat="1">
      <c r="A96" s="163" t="s">
        <v>1767</v>
      </c>
      <c r="B96" s="100">
        <v>4.37</v>
      </c>
      <c r="C96" s="100">
        <v>7.7</v>
      </c>
      <c r="D96" s="100">
        <v>3.34</v>
      </c>
      <c r="E96" s="100">
        <v>2.97</v>
      </c>
      <c r="F96" s="100">
        <v>9.68</v>
      </c>
      <c r="G96" s="100">
        <v>31.21</v>
      </c>
      <c r="H96" s="100">
        <v>12.29</v>
      </c>
      <c r="I96" s="100">
        <v>3.6</v>
      </c>
      <c r="J96" s="100">
        <v>0.08</v>
      </c>
      <c r="K96" s="100">
        <v>228.24</v>
      </c>
      <c r="L96" s="100">
        <v>28.54</v>
      </c>
      <c r="M96" s="100">
        <v>81.92</v>
      </c>
      <c r="N96" s="100">
        <v>1.7</v>
      </c>
      <c r="O96" s="100">
        <v>0</v>
      </c>
      <c r="P96" s="100">
        <v>0.24</v>
      </c>
      <c r="Q96" s="100">
        <v>9.92</v>
      </c>
      <c r="R96" s="6"/>
      <c r="S96" s="6"/>
      <c r="T96" s="156"/>
      <c r="U96" s="6"/>
    </row>
    <row r="97" spans="1:28" customFormat="1">
      <c r="A97" s="163" t="s">
        <v>1768</v>
      </c>
      <c r="B97" s="100">
        <v>4.34</v>
      </c>
      <c r="C97" s="100">
        <v>7.81</v>
      </c>
      <c r="D97" s="100">
        <v>3.47</v>
      </c>
      <c r="E97" s="100">
        <v>2.76</v>
      </c>
      <c r="F97" s="100">
        <v>9.14</v>
      </c>
      <c r="G97" s="100">
        <v>30.65</v>
      </c>
      <c r="H97" s="100">
        <v>11.6</v>
      </c>
      <c r="I97" s="100">
        <v>3.42</v>
      </c>
      <c r="J97" s="100">
        <v>7.0000000000000007E-2</v>
      </c>
      <c r="K97" s="100">
        <v>213.51</v>
      </c>
      <c r="L97" s="100">
        <v>28.48</v>
      </c>
      <c r="M97" s="100">
        <v>82.62</v>
      </c>
      <c r="N97" s="100">
        <v>1.7</v>
      </c>
      <c r="O97" s="100">
        <v>0</v>
      </c>
      <c r="P97" s="100">
        <v>0.23</v>
      </c>
      <c r="Q97" s="100">
        <v>9.92</v>
      </c>
      <c r="R97" s="6"/>
      <c r="S97" s="6"/>
      <c r="T97" s="156"/>
      <c r="U97" s="6"/>
    </row>
    <row r="98" spans="1:28" customFormat="1">
      <c r="A98" s="163" t="s">
        <v>1769</v>
      </c>
      <c r="B98" s="100">
        <v>4.51</v>
      </c>
      <c r="C98" s="100">
        <v>7.76</v>
      </c>
      <c r="D98" s="100">
        <v>3.25</v>
      </c>
      <c r="E98" s="100">
        <v>3.59</v>
      </c>
      <c r="F98" s="100">
        <v>5.35</v>
      </c>
      <c r="G98" s="100">
        <v>29.28</v>
      </c>
      <c r="H98" s="100">
        <v>8.75</v>
      </c>
      <c r="I98" s="100">
        <v>3.35</v>
      </c>
      <c r="J98" s="100">
        <v>0.13</v>
      </c>
      <c r="K98" s="100">
        <v>194.51</v>
      </c>
      <c r="L98" s="100">
        <v>28.38</v>
      </c>
      <c r="M98" s="100">
        <v>83.05</v>
      </c>
      <c r="N98" s="100">
        <v>1.7</v>
      </c>
      <c r="O98" s="100">
        <v>0</v>
      </c>
      <c r="P98" s="100">
        <v>0.25</v>
      </c>
      <c r="Q98" s="100">
        <v>9.92</v>
      </c>
      <c r="R98" s="6"/>
      <c r="S98" s="6"/>
      <c r="T98" s="156"/>
      <c r="U98" s="6"/>
    </row>
    <row r="99" spans="1:28" customFormat="1">
      <c r="A99" s="163" t="s">
        <v>1770</v>
      </c>
      <c r="B99" s="100">
        <v>4.55</v>
      </c>
      <c r="C99" s="100">
        <v>8.1300000000000008</v>
      </c>
      <c r="D99" s="100">
        <v>3.58</v>
      </c>
      <c r="E99" s="100">
        <v>3.58</v>
      </c>
      <c r="F99" s="100">
        <v>7.52</v>
      </c>
      <c r="G99" s="100">
        <v>29.28</v>
      </c>
      <c r="H99" s="100">
        <v>8.75</v>
      </c>
      <c r="I99" s="100">
        <v>3.37</v>
      </c>
      <c r="J99" s="100">
        <v>0.11</v>
      </c>
      <c r="K99" s="100">
        <v>204.57</v>
      </c>
      <c r="L99" s="100">
        <v>28.37</v>
      </c>
      <c r="M99" s="100">
        <v>83.15</v>
      </c>
      <c r="N99" s="100">
        <v>1.7</v>
      </c>
      <c r="O99" s="100">
        <v>0</v>
      </c>
      <c r="P99" s="100">
        <v>0.25</v>
      </c>
      <c r="Q99" s="100">
        <v>9.91</v>
      </c>
      <c r="R99" s="6"/>
      <c r="S99" s="6"/>
      <c r="T99" s="156"/>
      <c r="U99" s="6"/>
    </row>
    <row r="100" spans="1:28" customFormat="1">
      <c r="A100" s="163" t="s">
        <v>1771</v>
      </c>
      <c r="B100" s="100">
        <v>4.49</v>
      </c>
      <c r="C100" s="100">
        <v>8.33</v>
      </c>
      <c r="D100" s="100">
        <v>3.84</v>
      </c>
      <c r="E100" s="100">
        <v>3.22</v>
      </c>
      <c r="F100" s="100">
        <v>7.66</v>
      </c>
      <c r="G100" s="100">
        <v>29.28</v>
      </c>
      <c r="H100" s="100">
        <v>8.75</v>
      </c>
      <c r="I100" s="100">
        <v>3.69</v>
      </c>
      <c r="J100" s="100">
        <v>0.15</v>
      </c>
      <c r="K100" s="100">
        <v>205.8</v>
      </c>
      <c r="L100" s="100">
        <v>28.36</v>
      </c>
      <c r="M100" s="100">
        <v>83.18</v>
      </c>
      <c r="N100" s="100">
        <v>1.8</v>
      </c>
      <c r="O100" s="100">
        <v>0</v>
      </c>
      <c r="P100" s="100">
        <v>0.24</v>
      </c>
      <c r="Q100" s="100">
        <v>9.92</v>
      </c>
      <c r="R100" s="6"/>
      <c r="S100" s="6"/>
      <c r="T100" s="156"/>
      <c r="U100" s="6"/>
      <c r="AB100" s="161"/>
    </row>
    <row r="101" spans="1:28" customFormat="1">
      <c r="A101" s="163" t="s">
        <v>1772</v>
      </c>
      <c r="B101" s="100">
        <v>4.51</v>
      </c>
      <c r="C101" s="100">
        <v>8.43</v>
      </c>
      <c r="D101" s="100">
        <v>3.92</v>
      </c>
      <c r="E101" s="100">
        <v>2.74</v>
      </c>
      <c r="F101" s="100">
        <v>6.99</v>
      </c>
      <c r="G101" s="100">
        <v>26.79</v>
      </c>
      <c r="H101" s="100">
        <v>7.92</v>
      </c>
      <c r="I101" s="100">
        <v>3.57</v>
      </c>
      <c r="J101" s="100">
        <v>0.14000000000000001</v>
      </c>
      <c r="K101" s="100">
        <v>213.35</v>
      </c>
      <c r="L101" s="100">
        <v>28.32</v>
      </c>
      <c r="M101" s="100">
        <v>83.83</v>
      </c>
      <c r="N101" s="100">
        <v>1.7</v>
      </c>
      <c r="O101" s="100">
        <v>0</v>
      </c>
      <c r="P101" s="100">
        <v>0.23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1773</v>
      </c>
      <c r="B102" s="100">
        <v>4.74</v>
      </c>
      <c r="C102" s="100">
        <v>8.08</v>
      </c>
      <c r="D102" s="100">
        <v>3.34</v>
      </c>
      <c r="E102" s="100">
        <v>3.35</v>
      </c>
      <c r="F102" s="100">
        <v>4.4000000000000004</v>
      </c>
      <c r="G102" s="100">
        <v>20.65</v>
      </c>
      <c r="H102" s="100">
        <v>6.56</v>
      </c>
      <c r="I102" s="100">
        <v>3.48</v>
      </c>
      <c r="J102" s="100">
        <v>0.15</v>
      </c>
      <c r="K102" s="100">
        <v>228.35</v>
      </c>
      <c r="L102" s="100">
        <v>28.29</v>
      </c>
      <c r="M102" s="100">
        <v>84.02</v>
      </c>
      <c r="N102" s="100">
        <v>1.7</v>
      </c>
      <c r="O102" s="100">
        <v>0</v>
      </c>
      <c r="P102" s="100">
        <v>0.26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1774</v>
      </c>
      <c r="B103" s="100">
        <v>4.72</v>
      </c>
      <c r="C103" s="100">
        <v>8.43</v>
      </c>
      <c r="D103" s="100">
        <v>3.72</v>
      </c>
      <c r="E103" s="100">
        <v>3.59</v>
      </c>
      <c r="F103" s="100">
        <v>5.15</v>
      </c>
      <c r="G103" s="100">
        <v>20.65</v>
      </c>
      <c r="H103" s="100">
        <v>6.56</v>
      </c>
      <c r="I103" s="100">
        <v>3.55</v>
      </c>
      <c r="J103" s="100">
        <v>0.13</v>
      </c>
      <c r="K103" s="100">
        <v>222.6</v>
      </c>
      <c r="L103" s="100">
        <v>28.29</v>
      </c>
      <c r="M103" s="100">
        <v>83.85</v>
      </c>
      <c r="N103" s="100">
        <v>1.7</v>
      </c>
      <c r="O103" s="100">
        <v>0</v>
      </c>
      <c r="P103" s="100">
        <v>0.26</v>
      </c>
      <c r="Q103" s="100">
        <v>9.93</v>
      </c>
      <c r="R103" s="6"/>
      <c r="S103" s="6"/>
      <c r="T103" s="156"/>
      <c r="U103" s="6"/>
    </row>
    <row r="104" spans="1:28" customFormat="1">
      <c r="A104" s="163" t="s">
        <v>1775</v>
      </c>
      <c r="B104" s="100">
        <v>4.72</v>
      </c>
      <c r="C104" s="100">
        <v>8.56</v>
      </c>
      <c r="D104" s="100">
        <v>3.84</v>
      </c>
      <c r="E104" s="100">
        <v>2.95</v>
      </c>
      <c r="F104" s="100">
        <v>6.63</v>
      </c>
      <c r="G104" s="100">
        <v>20.65</v>
      </c>
      <c r="H104" s="100">
        <v>6.56</v>
      </c>
      <c r="I104" s="100">
        <v>3.79</v>
      </c>
      <c r="J104" s="100">
        <v>0.13</v>
      </c>
      <c r="K104" s="100">
        <v>220.97</v>
      </c>
      <c r="L104" s="100">
        <v>28.25</v>
      </c>
      <c r="M104" s="100">
        <v>83.47</v>
      </c>
      <c r="N104" s="100">
        <v>1.8</v>
      </c>
      <c r="O104" s="100">
        <v>0</v>
      </c>
      <c r="P104" s="100">
        <v>0.25</v>
      </c>
      <c r="Q104" s="100">
        <v>9.94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3.78</v>
      </c>
      <c r="C106" s="158">
        <f>MIN(C9:C104)</f>
        <v>6.44</v>
      </c>
      <c r="D106" s="158">
        <f t="shared" ref="D106:Q106" si="0">MIN(D9:D104)</f>
        <v>2.5099999999999998</v>
      </c>
      <c r="E106" s="158">
        <f t="shared" si="0"/>
        <v>2.33</v>
      </c>
      <c r="F106" s="158">
        <f t="shared" si="0"/>
        <v>2.2999999999999998</v>
      </c>
      <c r="G106" s="158">
        <f t="shared" si="0"/>
        <v>13.61</v>
      </c>
      <c r="H106" s="158">
        <f t="shared" si="0"/>
        <v>6.56</v>
      </c>
      <c r="I106" s="158">
        <f t="shared" si="0"/>
        <v>3.19</v>
      </c>
      <c r="J106" s="158">
        <f t="shared" si="0"/>
        <v>7.0000000000000007E-2</v>
      </c>
      <c r="K106" s="158">
        <f t="shared" si="0"/>
        <v>46.04</v>
      </c>
      <c r="L106" s="158">
        <f t="shared" si="0"/>
        <v>26.37</v>
      </c>
      <c r="M106" s="158">
        <f t="shared" si="0"/>
        <v>49.85</v>
      </c>
      <c r="N106" s="158">
        <f t="shared" si="0"/>
        <v>1.7</v>
      </c>
      <c r="O106" s="158">
        <f t="shared" si="0"/>
        <v>0</v>
      </c>
      <c r="P106" s="158">
        <f t="shared" si="0"/>
        <v>0.17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5.13</v>
      </c>
      <c r="C107" s="157">
        <f t="shared" ref="C107:Q107" si="1">MAX(C9:C104)</f>
        <v>10.08</v>
      </c>
      <c r="D107" s="157">
        <f t="shared" si="1"/>
        <v>5.42</v>
      </c>
      <c r="E107" s="157">
        <f t="shared" si="1"/>
        <v>6.35</v>
      </c>
      <c r="F107" s="157">
        <f t="shared" si="1"/>
        <v>12.17</v>
      </c>
      <c r="G107" s="157">
        <f t="shared" si="1"/>
        <v>45.72</v>
      </c>
      <c r="H107" s="157">
        <f t="shared" si="1"/>
        <v>17.12</v>
      </c>
      <c r="I107" s="157">
        <f t="shared" si="1"/>
        <v>8.3800000000000008</v>
      </c>
      <c r="J107" s="157">
        <f t="shared" si="1"/>
        <v>1.3</v>
      </c>
      <c r="K107" s="157">
        <f t="shared" si="1"/>
        <v>283.11</v>
      </c>
      <c r="L107" s="157">
        <f t="shared" si="1"/>
        <v>35.549999999999997</v>
      </c>
      <c r="M107" s="157">
        <f t="shared" si="1"/>
        <v>87.88</v>
      </c>
      <c r="N107" s="157">
        <f t="shared" si="1"/>
        <v>797.9</v>
      </c>
      <c r="O107" s="157">
        <f t="shared" si="1"/>
        <v>0</v>
      </c>
      <c r="P107" s="157">
        <f t="shared" si="1"/>
        <v>0.63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4.3183333333333334</v>
      </c>
      <c r="C108" s="158">
        <f t="shared" ref="C108:Q108" si="2">AVERAGE(C9:C104)</f>
        <v>7.9007291666666646</v>
      </c>
      <c r="D108" s="158">
        <f t="shared" si="2"/>
        <v>3.5819791666666667</v>
      </c>
      <c r="E108" s="158">
        <f t="shared" si="2"/>
        <v>4.1907291666666646</v>
      </c>
      <c r="F108" s="158">
        <f t="shared" si="2"/>
        <v>5.6491666666666651</v>
      </c>
      <c r="G108" s="158">
        <f t="shared" si="2"/>
        <v>30.523750000000017</v>
      </c>
      <c r="H108" s="158">
        <f t="shared" si="2"/>
        <v>10.715729166666662</v>
      </c>
      <c r="I108" s="158">
        <f t="shared" si="2"/>
        <v>4.727708333333335</v>
      </c>
      <c r="J108" s="158">
        <f t="shared" si="2"/>
        <v>0.33333333333333331</v>
      </c>
      <c r="K108" s="158">
        <f t="shared" si="2"/>
        <v>205.33979166666654</v>
      </c>
      <c r="L108" s="158">
        <f t="shared" si="2"/>
        <v>30.091041666666673</v>
      </c>
      <c r="M108" s="158">
        <f t="shared" si="2"/>
        <v>72.413854166666695</v>
      </c>
      <c r="N108" s="158">
        <f t="shared" si="2"/>
        <v>127.94166666666666</v>
      </c>
      <c r="O108" s="158">
        <f t="shared" si="2"/>
        <v>0</v>
      </c>
      <c r="P108" s="158">
        <f t="shared" si="2"/>
        <v>0.36197916666666669</v>
      </c>
      <c r="Q108" s="158">
        <f t="shared" si="2"/>
        <v>9.9113541666666549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0.42158764255001263</v>
      </c>
      <c r="C109" s="158">
        <f t="shared" ref="C109:Q109" si="3">STDEV(C9:C104)</f>
        <v>0.96313659171392441</v>
      </c>
      <c r="D109" s="158">
        <f t="shared" si="3"/>
        <v>0.71914220801652162</v>
      </c>
      <c r="E109" s="158">
        <f t="shared" si="3"/>
        <v>1.0915505579743192</v>
      </c>
      <c r="F109" s="158">
        <f t="shared" si="3"/>
        <v>2.5334626467457868</v>
      </c>
      <c r="G109" s="158">
        <f t="shared" si="3"/>
        <v>7.0832622947933555</v>
      </c>
      <c r="H109" s="158">
        <f t="shared" si="3"/>
        <v>2.5876393406841389</v>
      </c>
      <c r="I109" s="158">
        <f t="shared" si="3"/>
        <v>1.4312927385789143</v>
      </c>
      <c r="J109" s="158">
        <f t="shared" si="3"/>
        <v>0.27847202133547766</v>
      </c>
      <c r="K109" s="158">
        <f t="shared" si="3"/>
        <v>53.888518393930774</v>
      </c>
      <c r="L109" s="158">
        <f t="shared" si="3"/>
        <v>2.8023078756311848</v>
      </c>
      <c r="M109" s="158">
        <f t="shared" si="3"/>
        <v>12.406225548387116</v>
      </c>
      <c r="N109" s="158">
        <f t="shared" si="3"/>
        <v>182.91253743490947</v>
      </c>
      <c r="O109" s="158">
        <f t="shared" si="3"/>
        <v>0</v>
      </c>
      <c r="P109" s="158">
        <f t="shared" si="3"/>
        <v>0.14241244617153942</v>
      </c>
      <c r="Q109" s="158">
        <f t="shared" si="3"/>
        <v>1.278319552065489E-2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3" sqref="D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1776</v>
      </c>
      <c r="B9" s="100">
        <v>4.68</v>
      </c>
      <c r="C9" s="100">
        <v>8.56</v>
      </c>
      <c r="D9" s="100">
        <v>3.88</v>
      </c>
      <c r="E9" s="100">
        <v>2.62</v>
      </c>
      <c r="F9" s="100">
        <v>6.53</v>
      </c>
      <c r="G9" s="100">
        <v>20.8</v>
      </c>
      <c r="H9" s="100">
        <v>6.9</v>
      </c>
      <c r="I9" s="100">
        <v>3.72</v>
      </c>
      <c r="J9" s="100">
        <v>0.11</v>
      </c>
      <c r="K9" s="100">
        <v>207.84</v>
      </c>
      <c r="L9" s="100">
        <v>28.24</v>
      </c>
      <c r="M9" s="100">
        <v>82.67</v>
      </c>
      <c r="N9" s="100">
        <v>1.7</v>
      </c>
      <c r="O9" s="100">
        <v>0</v>
      </c>
      <c r="P9" s="100">
        <v>0.24</v>
      </c>
      <c r="Q9" s="100">
        <v>9.9499999999999993</v>
      </c>
      <c r="R9" s="6"/>
      <c r="S9" s="6"/>
      <c r="T9" s="156"/>
      <c r="U9" s="6"/>
    </row>
    <row r="10" spans="1:21" customFormat="1">
      <c r="A10" s="163" t="s">
        <v>1777</v>
      </c>
      <c r="B10" s="100">
        <v>4.95</v>
      </c>
      <c r="C10" s="100">
        <v>8.2200000000000006</v>
      </c>
      <c r="D10" s="100">
        <v>3.27</v>
      </c>
      <c r="E10" s="100">
        <v>3.41</v>
      </c>
      <c r="F10" s="100">
        <v>5.27</v>
      </c>
      <c r="G10" s="100">
        <v>21.19</v>
      </c>
      <c r="H10" s="100">
        <v>7.45</v>
      </c>
      <c r="I10" s="100">
        <v>3.65</v>
      </c>
      <c r="J10" s="100">
        <v>0.19</v>
      </c>
      <c r="K10" s="100">
        <v>228.71</v>
      </c>
      <c r="L10" s="100">
        <v>28.33</v>
      </c>
      <c r="M10" s="100">
        <v>80.89</v>
      </c>
      <c r="N10" s="100">
        <v>1.7</v>
      </c>
      <c r="O10" s="100">
        <v>0</v>
      </c>
      <c r="P10" s="100">
        <v>0.26</v>
      </c>
      <c r="Q10" s="100">
        <v>9.93</v>
      </c>
      <c r="R10" s="6"/>
      <c r="S10" s="6"/>
      <c r="T10" s="156"/>
      <c r="U10" s="6"/>
    </row>
    <row r="11" spans="1:21" customFormat="1">
      <c r="A11" s="163" t="s">
        <v>1778</v>
      </c>
      <c r="B11" s="100">
        <v>5.13</v>
      </c>
      <c r="C11" s="100">
        <v>8.76</v>
      </c>
      <c r="D11" s="100">
        <v>3.62</v>
      </c>
      <c r="E11" s="100">
        <v>3.8</v>
      </c>
      <c r="F11" s="100">
        <v>2.8</v>
      </c>
      <c r="G11" s="100">
        <v>21.19</v>
      </c>
      <c r="H11" s="100">
        <v>7.45</v>
      </c>
      <c r="I11" s="100">
        <v>3.64</v>
      </c>
      <c r="J11" s="100">
        <v>0.21</v>
      </c>
      <c r="K11" s="100">
        <v>242.14</v>
      </c>
      <c r="L11" s="100">
        <v>28.43</v>
      </c>
      <c r="M11" s="100">
        <v>79.89</v>
      </c>
      <c r="N11" s="100">
        <v>1.7</v>
      </c>
      <c r="O11" s="100">
        <v>0</v>
      </c>
      <c r="P11" s="100">
        <v>0.23</v>
      </c>
      <c r="Q11" s="100">
        <v>9.92</v>
      </c>
      <c r="R11" s="6"/>
      <c r="S11" s="6"/>
      <c r="T11" s="156"/>
      <c r="U11" s="6"/>
    </row>
    <row r="12" spans="1:21" customFormat="1">
      <c r="A12" s="163" t="s">
        <v>1779</v>
      </c>
      <c r="B12" s="100">
        <v>5.19</v>
      </c>
      <c r="C12" s="100">
        <v>9.1999999999999993</v>
      </c>
      <c r="D12" s="100">
        <v>4.01</v>
      </c>
      <c r="E12" s="100">
        <v>4.1500000000000004</v>
      </c>
      <c r="F12" s="100">
        <v>2.66</v>
      </c>
      <c r="G12" s="100">
        <v>21.19</v>
      </c>
      <c r="H12" s="100">
        <v>7.45</v>
      </c>
      <c r="I12" s="100">
        <v>3.89</v>
      </c>
      <c r="J12" s="100">
        <v>0.27</v>
      </c>
      <c r="K12" s="100">
        <v>241.35</v>
      </c>
      <c r="L12" s="100">
        <v>28.51</v>
      </c>
      <c r="M12" s="100">
        <v>78.3</v>
      </c>
      <c r="N12" s="100">
        <v>1.7</v>
      </c>
      <c r="O12" s="100">
        <v>0</v>
      </c>
      <c r="P12" s="100">
        <v>0.21</v>
      </c>
      <c r="Q12" s="100">
        <v>9.91</v>
      </c>
      <c r="R12" s="6"/>
      <c r="S12" s="6"/>
      <c r="T12" s="156"/>
      <c r="U12" s="6"/>
    </row>
    <row r="13" spans="1:21" customFormat="1">
      <c r="A13" s="163" t="s">
        <v>1780</v>
      </c>
      <c r="B13" s="100">
        <v>5.12</v>
      </c>
      <c r="C13" s="100">
        <v>9.24</v>
      </c>
      <c r="D13" s="100">
        <v>4.12</v>
      </c>
      <c r="E13" s="100">
        <v>4.3600000000000003</v>
      </c>
      <c r="F13" s="100">
        <v>2.68</v>
      </c>
      <c r="G13" s="100">
        <v>22.05</v>
      </c>
      <c r="H13" s="100">
        <v>6.65</v>
      </c>
      <c r="I13" s="100">
        <v>3.95</v>
      </c>
      <c r="J13" s="100">
        <v>0.42</v>
      </c>
      <c r="K13" s="100">
        <v>249.17</v>
      </c>
      <c r="L13" s="100">
        <v>28.57</v>
      </c>
      <c r="M13" s="100">
        <v>76.56</v>
      </c>
      <c r="N13" s="100">
        <v>1.7</v>
      </c>
      <c r="O13" s="100">
        <v>0</v>
      </c>
      <c r="P13" s="100">
        <v>0.2</v>
      </c>
      <c r="Q13" s="100">
        <v>9.91</v>
      </c>
      <c r="R13" s="6"/>
      <c r="S13" s="6"/>
      <c r="T13" s="156"/>
      <c r="U13" s="6"/>
    </row>
    <row r="14" spans="1:21" customFormat="1">
      <c r="A14" s="163" t="s">
        <v>1781</v>
      </c>
      <c r="B14" s="100">
        <v>5.04</v>
      </c>
      <c r="C14" s="100">
        <v>9.2200000000000006</v>
      </c>
      <c r="D14" s="100">
        <v>4.17</v>
      </c>
      <c r="E14" s="100">
        <v>4.29</v>
      </c>
      <c r="F14" s="100">
        <v>2.38</v>
      </c>
      <c r="G14" s="100">
        <v>24.18</v>
      </c>
      <c r="H14" s="100">
        <v>5.34</v>
      </c>
      <c r="I14" s="100">
        <v>3.88</v>
      </c>
      <c r="J14" s="100">
        <v>0.41</v>
      </c>
      <c r="K14" s="100">
        <v>249.81</v>
      </c>
      <c r="L14" s="100">
        <v>28.62</v>
      </c>
      <c r="M14" s="100">
        <v>75.11</v>
      </c>
      <c r="N14" s="100">
        <v>1.8</v>
      </c>
      <c r="O14" s="100">
        <v>0</v>
      </c>
      <c r="P14" s="100">
        <v>0.21</v>
      </c>
      <c r="Q14" s="100">
        <v>9.92</v>
      </c>
      <c r="R14" s="6"/>
      <c r="S14" s="6"/>
      <c r="T14" s="156"/>
      <c r="U14" s="6"/>
    </row>
    <row r="15" spans="1:21" customFormat="1">
      <c r="A15" s="163" t="s">
        <v>1782</v>
      </c>
      <c r="B15" s="100">
        <v>4.9400000000000004</v>
      </c>
      <c r="C15" s="100">
        <v>9.0500000000000007</v>
      </c>
      <c r="D15" s="100">
        <v>4.1100000000000003</v>
      </c>
      <c r="E15" s="100">
        <v>4.3499999999999996</v>
      </c>
      <c r="F15" s="100">
        <v>2.65</v>
      </c>
      <c r="G15" s="100">
        <v>24.18</v>
      </c>
      <c r="H15" s="100">
        <v>5.34</v>
      </c>
      <c r="I15" s="100">
        <v>3.87</v>
      </c>
      <c r="J15" s="100">
        <v>0.35</v>
      </c>
      <c r="K15" s="100">
        <v>240.1</v>
      </c>
      <c r="L15" s="100">
        <v>28.6</v>
      </c>
      <c r="M15" s="100">
        <v>74.53</v>
      </c>
      <c r="N15" s="100">
        <v>1.8</v>
      </c>
      <c r="O15" s="100">
        <v>0</v>
      </c>
      <c r="P15" s="100">
        <v>0.2</v>
      </c>
      <c r="Q15" s="100">
        <v>9.91</v>
      </c>
      <c r="R15" s="6"/>
      <c r="S15" s="6"/>
      <c r="T15" s="156"/>
      <c r="U15" s="6"/>
    </row>
    <row r="16" spans="1:21" customFormat="1">
      <c r="A16" s="163" t="s">
        <v>1783</v>
      </c>
      <c r="B16" s="100">
        <v>4.83</v>
      </c>
      <c r="C16" s="100">
        <v>8.9499999999999993</v>
      </c>
      <c r="D16" s="100">
        <v>4.12</v>
      </c>
      <c r="E16" s="100">
        <v>4.45</v>
      </c>
      <c r="F16" s="100">
        <v>2.31</v>
      </c>
      <c r="G16" s="100">
        <v>24.18</v>
      </c>
      <c r="H16" s="100">
        <v>5.34</v>
      </c>
      <c r="I16" s="100">
        <v>3.75</v>
      </c>
      <c r="J16" s="100">
        <v>0.31</v>
      </c>
      <c r="K16" s="100">
        <v>228.69</v>
      </c>
      <c r="L16" s="100">
        <v>28.44</v>
      </c>
      <c r="M16" s="100">
        <v>75.319999999999993</v>
      </c>
      <c r="N16" s="100">
        <v>1.9</v>
      </c>
      <c r="O16" s="100">
        <v>0</v>
      </c>
      <c r="P16" s="100">
        <v>0.2</v>
      </c>
      <c r="Q16" s="100">
        <v>9.91</v>
      </c>
      <c r="R16" s="6"/>
      <c r="S16" s="6"/>
      <c r="T16" s="156"/>
      <c r="U16" s="6"/>
    </row>
    <row r="17" spans="1:21" customFormat="1">
      <c r="A17" s="163" t="s">
        <v>1784</v>
      </c>
      <c r="B17" s="100">
        <v>4.76</v>
      </c>
      <c r="C17" s="100">
        <v>8.85</v>
      </c>
      <c r="D17" s="100">
        <v>4.0999999999999996</v>
      </c>
      <c r="E17" s="100">
        <v>4.5199999999999996</v>
      </c>
      <c r="F17" s="100">
        <v>2.57</v>
      </c>
      <c r="G17" s="100">
        <v>22.99</v>
      </c>
      <c r="H17" s="100">
        <v>5.82</v>
      </c>
      <c r="I17" s="100">
        <v>3.68</v>
      </c>
      <c r="J17" s="100">
        <v>0.33</v>
      </c>
      <c r="K17" s="100">
        <v>244.89</v>
      </c>
      <c r="L17" s="100">
        <v>28.21</v>
      </c>
      <c r="M17" s="100">
        <v>76.45</v>
      </c>
      <c r="N17" s="100">
        <v>1.9</v>
      </c>
      <c r="O17" s="100">
        <v>0</v>
      </c>
      <c r="P17" s="100">
        <v>0.2</v>
      </c>
      <c r="Q17" s="100">
        <v>9.93</v>
      </c>
      <c r="R17" s="6"/>
      <c r="S17" s="6"/>
      <c r="T17" s="156"/>
      <c r="U17" s="6"/>
    </row>
    <row r="18" spans="1:21" customFormat="1">
      <c r="A18" s="163" t="s">
        <v>1785</v>
      </c>
      <c r="B18" s="100">
        <v>4.7300000000000004</v>
      </c>
      <c r="C18" s="100">
        <v>8.7799999999999994</v>
      </c>
      <c r="D18" s="100">
        <v>4.05</v>
      </c>
      <c r="E18" s="100">
        <v>5.32</v>
      </c>
      <c r="F18" s="100">
        <v>2.48</v>
      </c>
      <c r="G18" s="100">
        <v>20.04</v>
      </c>
      <c r="H18" s="100">
        <v>6.59</v>
      </c>
      <c r="I18" s="100">
        <v>3.68</v>
      </c>
      <c r="J18" s="100">
        <v>0.49</v>
      </c>
      <c r="K18" s="100">
        <v>251.03</v>
      </c>
      <c r="L18" s="100">
        <v>28.08</v>
      </c>
      <c r="M18" s="100">
        <v>76.47</v>
      </c>
      <c r="N18" s="100">
        <v>1.8</v>
      </c>
      <c r="O18" s="100">
        <v>0</v>
      </c>
      <c r="P18" s="100">
        <v>0.19</v>
      </c>
      <c r="Q18" s="100">
        <v>9.92</v>
      </c>
      <c r="R18" s="6"/>
      <c r="S18" s="6"/>
      <c r="T18" s="156"/>
      <c r="U18" s="6"/>
    </row>
    <row r="19" spans="1:21" customFormat="1">
      <c r="A19" s="163" t="s">
        <v>1786</v>
      </c>
      <c r="B19" s="100">
        <v>4.68</v>
      </c>
      <c r="C19" s="100">
        <v>8.6199999999999992</v>
      </c>
      <c r="D19" s="100">
        <v>3.95</v>
      </c>
      <c r="E19" s="100">
        <v>5.44</v>
      </c>
      <c r="F19" s="100">
        <v>2.58</v>
      </c>
      <c r="G19" s="100">
        <v>20.04</v>
      </c>
      <c r="H19" s="100">
        <v>6.59</v>
      </c>
      <c r="I19" s="100">
        <v>3.67</v>
      </c>
      <c r="J19" s="100">
        <v>0.64</v>
      </c>
      <c r="K19" s="100">
        <v>254.36</v>
      </c>
      <c r="L19" s="100">
        <v>28.1</v>
      </c>
      <c r="M19" s="100">
        <v>75.95</v>
      </c>
      <c r="N19" s="100">
        <v>1.7</v>
      </c>
      <c r="O19" s="100">
        <v>0</v>
      </c>
      <c r="P19" s="100">
        <v>0.19</v>
      </c>
      <c r="Q19" s="100">
        <v>9.91</v>
      </c>
      <c r="R19" s="6"/>
      <c r="S19" s="6"/>
      <c r="T19" s="156"/>
      <c r="U19" s="6"/>
    </row>
    <row r="20" spans="1:21" customFormat="1">
      <c r="A20" s="163" t="s">
        <v>1787</v>
      </c>
      <c r="B20" s="100">
        <v>4.62</v>
      </c>
      <c r="C20" s="100">
        <v>8.39</v>
      </c>
      <c r="D20" s="100">
        <v>3.77</v>
      </c>
      <c r="E20" s="100">
        <v>5.41</v>
      </c>
      <c r="F20" s="100">
        <v>2.8</v>
      </c>
      <c r="G20" s="100">
        <v>20.04</v>
      </c>
      <c r="H20" s="100">
        <v>6.59</v>
      </c>
      <c r="I20" s="100">
        <v>3.69</v>
      </c>
      <c r="J20" s="100">
        <v>0.61</v>
      </c>
      <c r="K20" s="100">
        <v>251.7</v>
      </c>
      <c r="L20" s="100">
        <v>28.06</v>
      </c>
      <c r="M20" s="100">
        <v>76.069999999999993</v>
      </c>
      <c r="N20" s="100">
        <v>1.8</v>
      </c>
      <c r="O20" s="100">
        <v>0</v>
      </c>
      <c r="P20" s="100">
        <v>0.19</v>
      </c>
      <c r="Q20" s="100">
        <v>9.91</v>
      </c>
      <c r="R20" s="6"/>
      <c r="S20" s="6"/>
      <c r="T20" s="156"/>
      <c r="U20" s="6"/>
    </row>
    <row r="21" spans="1:21" customFormat="1">
      <c r="A21" s="163" t="s">
        <v>1788</v>
      </c>
      <c r="B21" s="100">
        <v>4.54</v>
      </c>
      <c r="C21" s="100">
        <v>8.1199999999999992</v>
      </c>
      <c r="D21" s="100">
        <v>3.58</v>
      </c>
      <c r="E21" s="100">
        <v>5.37</v>
      </c>
      <c r="F21" s="100">
        <v>3.48</v>
      </c>
      <c r="G21" s="100">
        <v>19.34</v>
      </c>
      <c r="H21" s="100">
        <v>6.68</v>
      </c>
      <c r="I21" s="100">
        <v>3.74</v>
      </c>
      <c r="J21" s="100">
        <v>0.6</v>
      </c>
      <c r="K21" s="100">
        <v>250.81</v>
      </c>
      <c r="L21" s="100">
        <v>28.07</v>
      </c>
      <c r="M21" s="100">
        <v>75.989999999999995</v>
      </c>
      <c r="N21" s="100">
        <v>1.9</v>
      </c>
      <c r="O21" s="100">
        <v>0</v>
      </c>
      <c r="P21" s="100">
        <v>0.19</v>
      </c>
      <c r="Q21" s="100">
        <v>9.92</v>
      </c>
      <c r="R21" s="6"/>
      <c r="S21" s="6"/>
      <c r="T21" s="156"/>
      <c r="U21" s="6"/>
    </row>
    <row r="22" spans="1:21" customFormat="1">
      <c r="A22" s="163" t="s">
        <v>1789</v>
      </c>
      <c r="B22" s="100">
        <v>4.45</v>
      </c>
      <c r="C22" s="100">
        <v>8.18</v>
      </c>
      <c r="D22" s="100">
        <v>3.73</v>
      </c>
      <c r="E22" s="100">
        <v>5.56</v>
      </c>
      <c r="F22" s="100">
        <v>3.12</v>
      </c>
      <c r="G22" s="100">
        <v>17.510000000000002</v>
      </c>
      <c r="H22" s="100">
        <v>6.84</v>
      </c>
      <c r="I22" s="100">
        <v>3.65</v>
      </c>
      <c r="J22" s="100">
        <v>0.7</v>
      </c>
      <c r="K22" s="100">
        <v>246.07</v>
      </c>
      <c r="L22" s="100">
        <v>27.99</v>
      </c>
      <c r="M22" s="100">
        <v>76.16</v>
      </c>
      <c r="N22" s="100">
        <v>1.8</v>
      </c>
      <c r="O22" s="100">
        <v>0</v>
      </c>
      <c r="P22" s="100">
        <v>0.18</v>
      </c>
      <c r="Q22" s="100">
        <v>9.91</v>
      </c>
      <c r="R22" s="6"/>
      <c r="S22" s="6"/>
      <c r="T22" s="156"/>
      <c r="U22" s="6"/>
    </row>
    <row r="23" spans="1:21" customFormat="1">
      <c r="A23" s="163" t="s">
        <v>1790</v>
      </c>
      <c r="B23" s="100">
        <v>4.4000000000000004</v>
      </c>
      <c r="C23" s="100">
        <v>8.08</v>
      </c>
      <c r="D23" s="100">
        <v>3.68</v>
      </c>
      <c r="E23" s="100">
        <v>5.72</v>
      </c>
      <c r="F23" s="100">
        <v>2.68</v>
      </c>
      <c r="G23" s="100">
        <v>17.510000000000002</v>
      </c>
      <c r="H23" s="100">
        <v>6.84</v>
      </c>
      <c r="I23" s="100">
        <v>3.46</v>
      </c>
      <c r="J23" s="100">
        <v>0.81</v>
      </c>
      <c r="K23" s="100">
        <v>250.57</v>
      </c>
      <c r="L23" s="100">
        <v>27.97</v>
      </c>
      <c r="M23" s="100">
        <v>75.33</v>
      </c>
      <c r="N23" s="100">
        <v>1.7</v>
      </c>
      <c r="O23" s="100">
        <v>0</v>
      </c>
      <c r="P23" s="100">
        <v>0.19</v>
      </c>
      <c r="Q23" s="100">
        <v>9.92</v>
      </c>
      <c r="R23" s="6"/>
      <c r="S23" s="6"/>
      <c r="T23" s="156"/>
      <c r="U23" s="6"/>
    </row>
    <row r="24" spans="1:21" customFormat="1">
      <c r="A24" s="163" t="s">
        <v>1791</v>
      </c>
      <c r="B24" s="100">
        <v>4.32</v>
      </c>
      <c r="C24" s="100">
        <v>7.85</v>
      </c>
      <c r="D24" s="100">
        <v>3.53</v>
      </c>
      <c r="E24" s="100">
        <v>5.66</v>
      </c>
      <c r="F24" s="100">
        <v>3.14</v>
      </c>
      <c r="G24" s="100">
        <v>17.510000000000002</v>
      </c>
      <c r="H24" s="100">
        <v>6.84</v>
      </c>
      <c r="I24" s="100">
        <v>3.49</v>
      </c>
      <c r="J24" s="100">
        <v>0.81</v>
      </c>
      <c r="K24" s="100">
        <v>253.84</v>
      </c>
      <c r="L24" s="100">
        <v>27.89</v>
      </c>
      <c r="M24" s="100">
        <v>75.48</v>
      </c>
      <c r="N24" s="100">
        <v>1.9</v>
      </c>
      <c r="O24" s="100">
        <v>0</v>
      </c>
      <c r="P24" s="100">
        <v>0.19</v>
      </c>
      <c r="Q24" s="100">
        <v>9.91</v>
      </c>
      <c r="R24" s="6"/>
      <c r="S24" s="6"/>
      <c r="T24" s="156"/>
      <c r="U24" s="6"/>
    </row>
    <row r="25" spans="1:21" customFormat="1">
      <c r="A25" s="163" t="s">
        <v>1792</v>
      </c>
      <c r="B25" s="100">
        <v>4.2699999999999996</v>
      </c>
      <c r="C25" s="100">
        <v>7.63</v>
      </c>
      <c r="D25" s="100">
        <v>3.37</v>
      </c>
      <c r="E25" s="100">
        <v>5.59</v>
      </c>
      <c r="F25" s="100">
        <v>3.8</v>
      </c>
      <c r="G25" s="100">
        <v>19.46</v>
      </c>
      <c r="H25" s="100">
        <v>6.49</v>
      </c>
      <c r="I25" s="100">
        <v>3.44</v>
      </c>
      <c r="J25" s="100">
        <v>0.75</v>
      </c>
      <c r="K25" s="100">
        <v>255.21</v>
      </c>
      <c r="L25" s="100">
        <v>27.74</v>
      </c>
      <c r="M25" s="100">
        <v>75.92</v>
      </c>
      <c r="N25" s="100">
        <v>2</v>
      </c>
      <c r="O25" s="100">
        <v>0</v>
      </c>
      <c r="P25" s="100">
        <v>0.18</v>
      </c>
      <c r="Q25" s="100">
        <v>9.9</v>
      </c>
      <c r="R25" s="6"/>
      <c r="S25" s="6"/>
      <c r="T25" s="156"/>
      <c r="U25" s="6"/>
    </row>
    <row r="26" spans="1:21" customFormat="1">
      <c r="A26" s="163" t="s">
        <v>1793</v>
      </c>
      <c r="B26" s="100">
        <v>4.24</v>
      </c>
      <c r="C26" s="100">
        <v>7.7</v>
      </c>
      <c r="D26" s="100">
        <v>3.46</v>
      </c>
      <c r="E26" s="100">
        <v>5.49</v>
      </c>
      <c r="F26" s="100">
        <v>3.57</v>
      </c>
      <c r="G26" s="100">
        <v>24.54</v>
      </c>
      <c r="H26" s="100">
        <v>5.05</v>
      </c>
      <c r="I26" s="100">
        <v>3.42</v>
      </c>
      <c r="J26" s="100">
        <v>0.84</v>
      </c>
      <c r="K26" s="100">
        <v>258.02</v>
      </c>
      <c r="L26" s="100">
        <v>27.65</v>
      </c>
      <c r="M26" s="100">
        <v>76.33</v>
      </c>
      <c r="N26" s="100">
        <v>1.9</v>
      </c>
      <c r="O26" s="100">
        <v>0</v>
      </c>
      <c r="P26" s="100">
        <v>0.17</v>
      </c>
      <c r="Q26" s="100">
        <v>9.91</v>
      </c>
      <c r="R26" s="6"/>
      <c r="S26" s="6"/>
      <c r="T26" s="156"/>
      <c r="U26" s="6"/>
    </row>
    <row r="27" spans="1:21" customFormat="1">
      <c r="A27" s="163" t="s">
        <v>1794</v>
      </c>
      <c r="B27" s="100">
        <v>4.2</v>
      </c>
      <c r="C27" s="100">
        <v>7.66</v>
      </c>
      <c r="D27" s="100">
        <v>3.46</v>
      </c>
      <c r="E27" s="100">
        <v>5.56</v>
      </c>
      <c r="F27" s="100">
        <v>2.99</v>
      </c>
      <c r="G27" s="100">
        <v>24.54</v>
      </c>
      <c r="H27" s="100">
        <v>5.05</v>
      </c>
      <c r="I27" s="100">
        <v>3.31</v>
      </c>
      <c r="J27" s="100">
        <v>0.91</v>
      </c>
      <c r="K27" s="100">
        <v>256.42</v>
      </c>
      <c r="L27" s="100">
        <v>27.6</v>
      </c>
      <c r="M27" s="100">
        <v>76.55</v>
      </c>
      <c r="N27" s="100">
        <v>1.9</v>
      </c>
      <c r="O27" s="100">
        <v>0</v>
      </c>
      <c r="P27" s="100">
        <v>0.17</v>
      </c>
      <c r="Q27" s="100">
        <v>9.9</v>
      </c>
      <c r="R27" s="6"/>
      <c r="S27" s="6"/>
      <c r="T27" s="156"/>
      <c r="U27" s="6"/>
    </row>
    <row r="28" spans="1:21" customFormat="1">
      <c r="A28" s="163" t="s">
        <v>1795</v>
      </c>
      <c r="B28" s="100">
        <v>4.16</v>
      </c>
      <c r="C28" s="100">
        <v>7.51</v>
      </c>
      <c r="D28" s="100">
        <v>3.34</v>
      </c>
      <c r="E28" s="100">
        <v>5.6</v>
      </c>
      <c r="F28" s="100">
        <v>3.39</v>
      </c>
      <c r="G28" s="100">
        <v>24.54</v>
      </c>
      <c r="H28" s="100">
        <v>5.05</v>
      </c>
      <c r="I28" s="100">
        <v>3.22</v>
      </c>
      <c r="J28" s="100">
        <v>0.98</v>
      </c>
      <c r="K28" s="100">
        <v>253.07</v>
      </c>
      <c r="L28" s="100">
        <v>27.56</v>
      </c>
      <c r="M28" s="100">
        <v>76.930000000000007</v>
      </c>
      <c r="N28" s="100">
        <v>2</v>
      </c>
      <c r="O28" s="100">
        <v>0</v>
      </c>
      <c r="P28" s="100">
        <v>0.17</v>
      </c>
      <c r="Q28" s="100">
        <v>9.91</v>
      </c>
      <c r="R28" s="6"/>
      <c r="S28" s="6"/>
      <c r="T28" s="156"/>
      <c r="U28" s="6"/>
    </row>
    <row r="29" spans="1:21" customFormat="1">
      <c r="A29" s="163" t="s">
        <v>1796</v>
      </c>
      <c r="B29" s="100">
        <v>4.1100000000000003</v>
      </c>
      <c r="C29" s="100">
        <v>7.37</v>
      </c>
      <c r="D29" s="100">
        <v>3.25</v>
      </c>
      <c r="E29" s="100">
        <v>5.72</v>
      </c>
      <c r="F29" s="100">
        <v>4.37</v>
      </c>
      <c r="G29" s="100">
        <v>22.98</v>
      </c>
      <c r="H29" s="100">
        <v>4.59</v>
      </c>
      <c r="I29" s="100">
        <v>3.19</v>
      </c>
      <c r="J29" s="100">
        <v>0.92</v>
      </c>
      <c r="K29" s="100">
        <v>252.01</v>
      </c>
      <c r="L29" s="100">
        <v>27.5</v>
      </c>
      <c r="M29" s="100">
        <v>77.52</v>
      </c>
      <c r="N29" s="100">
        <v>2.1</v>
      </c>
      <c r="O29" s="100">
        <v>0</v>
      </c>
      <c r="P29" s="100">
        <v>0.16</v>
      </c>
      <c r="Q29" s="100">
        <v>9.9</v>
      </c>
      <c r="R29" s="6"/>
      <c r="S29" s="6"/>
      <c r="T29" s="156"/>
      <c r="U29" s="6"/>
    </row>
    <row r="30" spans="1:21" customFormat="1">
      <c r="A30" s="163" t="s">
        <v>1797</v>
      </c>
      <c r="B30" s="100">
        <v>4.0999999999999996</v>
      </c>
      <c r="C30" s="100">
        <v>7.45</v>
      </c>
      <c r="D30" s="100">
        <v>3.35</v>
      </c>
      <c r="E30" s="100">
        <v>5.84</v>
      </c>
      <c r="F30" s="100">
        <v>3.06</v>
      </c>
      <c r="G30" s="100">
        <v>18.940000000000001</v>
      </c>
      <c r="H30" s="100">
        <v>3.83</v>
      </c>
      <c r="I30" s="100">
        <v>3.19</v>
      </c>
      <c r="J30" s="100">
        <v>0.77</v>
      </c>
      <c r="K30" s="100">
        <v>257.14999999999998</v>
      </c>
      <c r="L30" s="100">
        <v>27.44</v>
      </c>
      <c r="M30" s="100">
        <v>78.069999999999993</v>
      </c>
      <c r="N30" s="100">
        <v>3.5</v>
      </c>
      <c r="O30" s="100">
        <v>0</v>
      </c>
      <c r="P30" s="100">
        <v>0.16</v>
      </c>
      <c r="Q30" s="100">
        <v>9.9</v>
      </c>
      <c r="R30" s="6"/>
      <c r="S30" s="6"/>
      <c r="T30" s="156"/>
      <c r="U30" s="6"/>
    </row>
    <row r="31" spans="1:21" customFormat="1">
      <c r="A31" s="163" t="s">
        <v>1798</v>
      </c>
      <c r="B31" s="100">
        <v>4.1100000000000003</v>
      </c>
      <c r="C31" s="100">
        <v>7.44</v>
      </c>
      <c r="D31" s="100">
        <v>3.34</v>
      </c>
      <c r="E31" s="100">
        <v>5.77</v>
      </c>
      <c r="F31" s="100">
        <v>3.03</v>
      </c>
      <c r="G31" s="100">
        <v>18.940000000000001</v>
      </c>
      <c r="H31" s="100">
        <v>3.83</v>
      </c>
      <c r="I31" s="100">
        <v>3</v>
      </c>
      <c r="J31" s="100">
        <v>0.63</v>
      </c>
      <c r="K31" s="100">
        <v>257.17</v>
      </c>
      <c r="L31" s="100">
        <v>27.35</v>
      </c>
      <c r="M31" s="100">
        <v>78.819999999999993</v>
      </c>
      <c r="N31" s="100">
        <v>9.5</v>
      </c>
      <c r="O31" s="100">
        <v>0</v>
      </c>
      <c r="P31" s="100">
        <v>0.2</v>
      </c>
      <c r="Q31" s="100">
        <v>9.92</v>
      </c>
      <c r="R31" s="6"/>
      <c r="S31" s="6"/>
      <c r="T31" s="156"/>
      <c r="U31" s="6"/>
    </row>
    <row r="32" spans="1:21" customFormat="1">
      <c r="A32" s="163" t="s">
        <v>1799</v>
      </c>
      <c r="B32" s="100">
        <v>4.24</v>
      </c>
      <c r="C32" s="100">
        <v>7.3</v>
      </c>
      <c r="D32" s="100">
        <v>3.06</v>
      </c>
      <c r="E32" s="100">
        <v>5.71</v>
      </c>
      <c r="F32" s="100">
        <v>2.2599999999999998</v>
      </c>
      <c r="G32" s="100">
        <v>18.940000000000001</v>
      </c>
      <c r="H32" s="100">
        <v>3.83</v>
      </c>
      <c r="I32" s="100">
        <v>2.99</v>
      </c>
      <c r="J32" s="100">
        <v>0.6</v>
      </c>
      <c r="K32" s="100">
        <v>259.67</v>
      </c>
      <c r="L32" s="100">
        <v>27.35</v>
      </c>
      <c r="M32" s="100">
        <v>79.349999999999994</v>
      </c>
      <c r="N32" s="100">
        <v>18.3</v>
      </c>
      <c r="O32" s="100">
        <v>0</v>
      </c>
      <c r="P32" s="100">
        <v>0.2</v>
      </c>
      <c r="Q32" s="100">
        <v>9.92</v>
      </c>
      <c r="R32" s="6"/>
      <c r="S32" s="6"/>
      <c r="T32" s="156"/>
      <c r="U32" s="6"/>
    </row>
    <row r="33" spans="1:21" customFormat="1">
      <c r="A33" s="163" t="s">
        <v>1800</v>
      </c>
      <c r="B33" s="100">
        <v>4.3</v>
      </c>
      <c r="C33" s="100">
        <v>6.92</v>
      </c>
      <c r="D33" s="100">
        <v>2.61</v>
      </c>
      <c r="E33" s="100">
        <v>4.92</v>
      </c>
      <c r="F33" s="100">
        <v>4.5999999999999996</v>
      </c>
      <c r="G33" s="100">
        <v>18.45</v>
      </c>
      <c r="H33" s="100">
        <v>3.41</v>
      </c>
      <c r="I33" s="100">
        <v>3.04</v>
      </c>
      <c r="J33" s="100">
        <v>0.59</v>
      </c>
      <c r="K33" s="100">
        <v>258.93</v>
      </c>
      <c r="L33" s="100">
        <v>27.33</v>
      </c>
      <c r="M33" s="100">
        <v>79.760000000000005</v>
      </c>
      <c r="N33" s="100">
        <v>22.3</v>
      </c>
      <c r="O33" s="100">
        <v>0</v>
      </c>
      <c r="P33" s="100">
        <v>0.19</v>
      </c>
      <c r="Q33" s="100">
        <v>9.92</v>
      </c>
      <c r="R33" s="6"/>
      <c r="S33" s="6"/>
      <c r="T33" s="156"/>
      <c r="U33" s="6"/>
    </row>
    <row r="34" spans="1:21" customFormat="1">
      <c r="A34" s="163" t="s">
        <v>1801</v>
      </c>
      <c r="B34" s="100">
        <v>4.3899999999999997</v>
      </c>
      <c r="C34" s="100">
        <v>6.64</v>
      </c>
      <c r="D34" s="100">
        <v>2.2599999999999998</v>
      </c>
      <c r="E34" s="100">
        <v>4.6399999999999997</v>
      </c>
      <c r="F34" s="100">
        <v>4.5999999999999996</v>
      </c>
      <c r="G34" s="100">
        <v>17.25</v>
      </c>
      <c r="H34" s="100">
        <v>2.72</v>
      </c>
      <c r="I34" s="100">
        <v>2.89</v>
      </c>
      <c r="J34" s="100">
        <v>0.66</v>
      </c>
      <c r="K34" s="100">
        <v>252.19</v>
      </c>
      <c r="L34" s="100">
        <v>27.36</v>
      </c>
      <c r="M34" s="100">
        <v>80.27</v>
      </c>
      <c r="N34" s="100">
        <v>26.8</v>
      </c>
      <c r="O34" s="100">
        <v>0</v>
      </c>
      <c r="P34" s="100">
        <v>0.17</v>
      </c>
      <c r="Q34" s="100">
        <v>9.91</v>
      </c>
      <c r="R34" s="6"/>
      <c r="S34" s="6"/>
      <c r="T34" s="156"/>
      <c r="U34" s="6"/>
    </row>
    <row r="35" spans="1:21" customFormat="1">
      <c r="A35" s="163" t="s">
        <v>1802</v>
      </c>
      <c r="B35" s="100">
        <v>4.47</v>
      </c>
      <c r="C35" s="100">
        <v>6.56</v>
      </c>
      <c r="D35" s="100">
        <v>2.09</v>
      </c>
      <c r="E35" s="100">
        <v>4.45</v>
      </c>
      <c r="F35" s="100">
        <v>4.1399999999999997</v>
      </c>
      <c r="G35" s="100">
        <v>17.25</v>
      </c>
      <c r="H35" s="100">
        <v>2.72</v>
      </c>
      <c r="I35" s="100">
        <v>2.88</v>
      </c>
      <c r="J35" s="100">
        <v>0.47</v>
      </c>
      <c r="K35" s="100">
        <v>253.06</v>
      </c>
      <c r="L35" s="100">
        <v>27.41</v>
      </c>
      <c r="M35" s="100">
        <v>80.59</v>
      </c>
      <c r="N35" s="100">
        <v>48.5</v>
      </c>
      <c r="O35" s="100">
        <v>0</v>
      </c>
      <c r="P35" s="100">
        <v>0.17</v>
      </c>
      <c r="Q35" s="100">
        <v>9.92</v>
      </c>
      <c r="R35" s="6"/>
      <c r="S35" s="6"/>
      <c r="T35" s="156"/>
      <c r="U35" s="6"/>
    </row>
    <row r="36" spans="1:21" customFormat="1">
      <c r="A36" s="163" t="s">
        <v>1803</v>
      </c>
      <c r="B36" s="100">
        <v>4.4800000000000004</v>
      </c>
      <c r="C36" s="100">
        <v>6.91</v>
      </c>
      <c r="D36" s="100">
        <v>2.42</v>
      </c>
      <c r="E36" s="100">
        <v>4.5599999999999996</v>
      </c>
      <c r="F36" s="100">
        <v>2.8</v>
      </c>
      <c r="G36" s="100">
        <v>17.25</v>
      </c>
      <c r="H36" s="100">
        <v>2.72</v>
      </c>
      <c r="I36" s="100">
        <v>2.91</v>
      </c>
      <c r="J36" s="100">
        <v>0.62</v>
      </c>
      <c r="K36" s="100">
        <v>249.64</v>
      </c>
      <c r="L36" s="100">
        <v>27.47</v>
      </c>
      <c r="M36" s="100">
        <v>80.17</v>
      </c>
      <c r="N36" s="100">
        <v>56.1</v>
      </c>
      <c r="O36" s="100">
        <v>0</v>
      </c>
      <c r="P36" s="100">
        <v>0.2</v>
      </c>
      <c r="Q36" s="100">
        <v>9.91</v>
      </c>
      <c r="R36" s="6"/>
      <c r="S36" s="6"/>
      <c r="T36" s="156"/>
      <c r="U36" s="6"/>
    </row>
    <row r="37" spans="1:21" customFormat="1">
      <c r="A37" s="163" t="s">
        <v>1804</v>
      </c>
      <c r="B37" s="100">
        <v>4.53</v>
      </c>
      <c r="C37" s="100">
        <v>6.98</v>
      </c>
      <c r="D37" s="100">
        <v>2.44</v>
      </c>
      <c r="E37" s="100">
        <v>4.3600000000000003</v>
      </c>
      <c r="F37" s="100">
        <v>3.24</v>
      </c>
      <c r="G37" s="100">
        <v>16.12</v>
      </c>
      <c r="H37" s="100">
        <v>3.09</v>
      </c>
      <c r="I37" s="100">
        <v>2.93</v>
      </c>
      <c r="J37" s="100">
        <v>0.64</v>
      </c>
      <c r="K37" s="100">
        <v>252.97</v>
      </c>
      <c r="L37" s="100">
        <v>27.52</v>
      </c>
      <c r="M37" s="100">
        <v>79.83</v>
      </c>
      <c r="N37" s="100">
        <v>73.8</v>
      </c>
      <c r="O37" s="100">
        <v>0</v>
      </c>
      <c r="P37" s="100">
        <v>0.19</v>
      </c>
      <c r="Q37" s="100">
        <v>9.92</v>
      </c>
      <c r="R37" s="6"/>
      <c r="S37" s="6"/>
      <c r="T37" s="156"/>
      <c r="U37" s="6"/>
    </row>
    <row r="38" spans="1:21" customFormat="1">
      <c r="A38" s="163" t="s">
        <v>1805</v>
      </c>
      <c r="B38" s="100">
        <v>4.6100000000000003</v>
      </c>
      <c r="C38" s="100">
        <v>6.78</v>
      </c>
      <c r="D38" s="100">
        <v>2.1800000000000002</v>
      </c>
      <c r="E38" s="100">
        <v>4.54</v>
      </c>
      <c r="F38" s="100">
        <v>3.11</v>
      </c>
      <c r="G38" s="100">
        <v>13.34</v>
      </c>
      <c r="H38" s="100">
        <v>3.7</v>
      </c>
      <c r="I38" s="100">
        <v>3.12</v>
      </c>
      <c r="J38" s="100">
        <v>0.81</v>
      </c>
      <c r="K38" s="100">
        <v>252.12</v>
      </c>
      <c r="L38" s="100">
        <v>27.5</v>
      </c>
      <c r="M38" s="100">
        <v>79.319999999999993</v>
      </c>
      <c r="N38" s="100">
        <v>81.8</v>
      </c>
      <c r="O38" s="100">
        <v>0</v>
      </c>
      <c r="P38" s="100">
        <v>0.18</v>
      </c>
      <c r="Q38" s="100">
        <v>9.91</v>
      </c>
      <c r="R38" s="6"/>
      <c r="S38" s="6"/>
      <c r="T38" s="156"/>
      <c r="U38" s="6"/>
    </row>
    <row r="39" spans="1:21" customFormat="1">
      <c r="A39" s="163" t="s">
        <v>1806</v>
      </c>
      <c r="B39" s="100">
        <v>4.5999999999999996</v>
      </c>
      <c r="C39" s="100">
        <v>6.93</v>
      </c>
      <c r="D39" s="100">
        <v>2.33</v>
      </c>
      <c r="E39" s="100">
        <v>4.4800000000000004</v>
      </c>
      <c r="F39" s="100">
        <v>2.5</v>
      </c>
      <c r="G39" s="100">
        <v>13.34</v>
      </c>
      <c r="H39" s="100">
        <v>3.7</v>
      </c>
      <c r="I39" s="100">
        <v>3.06</v>
      </c>
      <c r="J39" s="100">
        <v>0.78</v>
      </c>
      <c r="K39" s="100">
        <v>251.23</v>
      </c>
      <c r="L39" s="100">
        <v>27.62</v>
      </c>
      <c r="M39" s="100">
        <v>79.19</v>
      </c>
      <c r="N39" s="100">
        <v>83.5</v>
      </c>
      <c r="O39" s="100">
        <v>0</v>
      </c>
      <c r="P39" s="100">
        <v>0.2</v>
      </c>
      <c r="Q39" s="100">
        <v>9.9</v>
      </c>
      <c r="R39" s="6"/>
      <c r="S39" s="6"/>
      <c r="T39" s="156"/>
      <c r="U39" s="6"/>
    </row>
    <row r="40" spans="1:21" customFormat="1">
      <c r="A40" s="163" t="s">
        <v>1807</v>
      </c>
      <c r="B40" s="100">
        <v>4.59</v>
      </c>
      <c r="C40" s="100">
        <v>7</v>
      </c>
      <c r="D40" s="100">
        <v>2.41</v>
      </c>
      <c r="E40" s="100">
        <v>4.4800000000000004</v>
      </c>
      <c r="F40" s="100">
        <v>2.2799999999999998</v>
      </c>
      <c r="G40" s="100">
        <v>13.34</v>
      </c>
      <c r="H40" s="100">
        <v>3.7</v>
      </c>
      <c r="I40" s="100">
        <v>3.12</v>
      </c>
      <c r="J40" s="100">
        <v>0.66</v>
      </c>
      <c r="K40" s="100">
        <v>261.89999999999998</v>
      </c>
      <c r="L40" s="100">
        <v>27.78</v>
      </c>
      <c r="M40" s="100">
        <v>78.489999999999995</v>
      </c>
      <c r="N40" s="100">
        <v>92.2</v>
      </c>
      <c r="O40" s="100">
        <v>0</v>
      </c>
      <c r="P40" s="100">
        <v>0.2</v>
      </c>
      <c r="Q40" s="100">
        <v>9.92</v>
      </c>
      <c r="R40" s="6"/>
      <c r="S40" s="6"/>
      <c r="T40" s="156"/>
      <c r="U40" s="6"/>
    </row>
    <row r="41" spans="1:21" customFormat="1">
      <c r="A41" s="163" t="s">
        <v>1808</v>
      </c>
      <c r="B41" s="100">
        <v>4.58</v>
      </c>
      <c r="C41" s="100">
        <v>6.83</v>
      </c>
      <c r="D41" s="100">
        <v>2.25</v>
      </c>
      <c r="E41" s="100">
        <v>4.4400000000000004</v>
      </c>
      <c r="F41" s="100">
        <v>3.38</v>
      </c>
      <c r="G41" s="100">
        <v>16.72</v>
      </c>
      <c r="H41" s="100">
        <v>4.7699999999999996</v>
      </c>
      <c r="I41" s="100">
        <v>3.23</v>
      </c>
      <c r="J41" s="100">
        <v>0.66</v>
      </c>
      <c r="K41" s="100">
        <v>245.52</v>
      </c>
      <c r="L41" s="100">
        <v>28.04</v>
      </c>
      <c r="M41" s="100">
        <v>77.75</v>
      </c>
      <c r="N41" s="100">
        <v>111.8</v>
      </c>
      <c r="O41" s="100">
        <v>0</v>
      </c>
      <c r="P41" s="100">
        <v>0.19</v>
      </c>
      <c r="Q41" s="100">
        <v>9.92</v>
      </c>
      <c r="R41" s="6"/>
      <c r="S41" s="6"/>
      <c r="T41" s="156"/>
      <c r="U41" s="6"/>
    </row>
    <row r="42" spans="1:21" customFormat="1">
      <c r="A42" s="163" t="s">
        <v>1809</v>
      </c>
      <c r="B42" s="100">
        <v>4.55</v>
      </c>
      <c r="C42" s="100">
        <v>6.97</v>
      </c>
      <c r="D42" s="100">
        <v>2.42</v>
      </c>
      <c r="E42" s="100">
        <v>4.21</v>
      </c>
      <c r="F42" s="100">
        <v>2.69</v>
      </c>
      <c r="G42" s="100">
        <v>25.06</v>
      </c>
      <c r="H42" s="100">
        <v>6.46</v>
      </c>
      <c r="I42" s="100">
        <v>3.18</v>
      </c>
      <c r="J42" s="100">
        <v>0.65</v>
      </c>
      <c r="K42" s="100">
        <v>254.47</v>
      </c>
      <c r="L42" s="100">
        <v>28.13</v>
      </c>
      <c r="M42" s="100">
        <v>77.72</v>
      </c>
      <c r="N42" s="100">
        <v>105.1</v>
      </c>
      <c r="O42" s="100">
        <v>0</v>
      </c>
      <c r="P42" s="100">
        <v>0.21</v>
      </c>
      <c r="Q42" s="100">
        <v>9.9</v>
      </c>
      <c r="R42" s="6"/>
      <c r="S42" s="6"/>
      <c r="T42" s="156"/>
      <c r="U42" s="6"/>
    </row>
    <row r="43" spans="1:21" customFormat="1">
      <c r="A43" s="163" t="s">
        <v>1810</v>
      </c>
      <c r="B43" s="100">
        <v>4.54</v>
      </c>
      <c r="C43" s="100">
        <v>7.11</v>
      </c>
      <c r="D43" s="100">
        <v>2.57</v>
      </c>
      <c r="E43" s="100">
        <v>3.82</v>
      </c>
      <c r="F43" s="100">
        <v>2.66</v>
      </c>
      <c r="G43" s="100">
        <v>25.06</v>
      </c>
      <c r="H43" s="100">
        <v>6.46</v>
      </c>
      <c r="I43" s="100">
        <v>3.11</v>
      </c>
      <c r="J43" s="100">
        <v>0.83</v>
      </c>
      <c r="K43" s="100">
        <v>256.38</v>
      </c>
      <c r="L43" s="100">
        <v>28.35</v>
      </c>
      <c r="M43" s="100">
        <v>76.63</v>
      </c>
      <c r="N43" s="100">
        <v>141.5</v>
      </c>
      <c r="O43" s="100">
        <v>0</v>
      </c>
      <c r="P43" s="100">
        <v>0.2</v>
      </c>
      <c r="Q43" s="100">
        <v>9.9</v>
      </c>
      <c r="R43" s="6"/>
      <c r="S43" s="6"/>
      <c r="T43" s="156"/>
      <c r="U43" s="6"/>
    </row>
    <row r="44" spans="1:21" customFormat="1">
      <c r="A44" s="163" t="s">
        <v>1811</v>
      </c>
      <c r="B44" s="100">
        <v>4.53</v>
      </c>
      <c r="C44" s="100">
        <v>6.88</v>
      </c>
      <c r="D44" s="100">
        <v>2.35</v>
      </c>
      <c r="E44" s="100">
        <v>4.5</v>
      </c>
      <c r="F44" s="100">
        <v>3.63</v>
      </c>
      <c r="G44" s="100">
        <v>25.06</v>
      </c>
      <c r="H44" s="100">
        <v>6.46</v>
      </c>
      <c r="I44" s="100">
        <v>3.28</v>
      </c>
      <c r="J44" s="100">
        <v>0.98</v>
      </c>
      <c r="K44" s="100">
        <v>252.15</v>
      </c>
      <c r="L44" s="100">
        <v>28.37</v>
      </c>
      <c r="M44" s="100">
        <v>75.97</v>
      </c>
      <c r="N44" s="100">
        <v>140.19999999999999</v>
      </c>
      <c r="O44" s="100">
        <v>0</v>
      </c>
      <c r="P44" s="100">
        <v>0.19</v>
      </c>
      <c r="Q44" s="100">
        <v>9.91</v>
      </c>
      <c r="R44" s="6"/>
      <c r="S44" s="6"/>
      <c r="T44" s="156"/>
      <c r="U44" s="6"/>
    </row>
    <row r="45" spans="1:21" customFormat="1">
      <c r="A45" s="163" t="s">
        <v>1812</v>
      </c>
      <c r="B45" s="100">
        <v>4.53</v>
      </c>
      <c r="C45" s="100">
        <v>6.72</v>
      </c>
      <c r="D45" s="100">
        <v>2.19</v>
      </c>
      <c r="E45" s="100">
        <v>4.1100000000000003</v>
      </c>
      <c r="F45" s="100">
        <v>3.74</v>
      </c>
      <c r="G45" s="100">
        <v>23.54</v>
      </c>
      <c r="H45" s="100">
        <v>5.94</v>
      </c>
      <c r="I45" s="100">
        <v>3.21</v>
      </c>
      <c r="J45" s="100">
        <v>0.96</v>
      </c>
      <c r="K45" s="100">
        <v>252.39</v>
      </c>
      <c r="L45" s="100">
        <v>28.55</v>
      </c>
      <c r="M45" s="100">
        <v>75.16</v>
      </c>
      <c r="N45" s="100">
        <v>147.30000000000001</v>
      </c>
      <c r="O45" s="100">
        <v>0</v>
      </c>
      <c r="P45" s="100">
        <v>0.19</v>
      </c>
      <c r="Q45" s="100">
        <v>9.93</v>
      </c>
      <c r="R45" s="6"/>
      <c r="S45" s="6"/>
      <c r="T45" s="156"/>
      <c r="U45" s="6"/>
    </row>
    <row r="46" spans="1:21" customFormat="1">
      <c r="A46" s="163" t="s">
        <v>1813</v>
      </c>
      <c r="B46" s="100">
        <v>4.3899999999999997</v>
      </c>
      <c r="C46" s="100">
        <v>6.97</v>
      </c>
      <c r="D46" s="100">
        <v>2.58</v>
      </c>
      <c r="E46" s="100">
        <v>4.29</v>
      </c>
      <c r="F46" s="100">
        <v>2.62</v>
      </c>
      <c r="G46" s="100">
        <v>19.809999999999999</v>
      </c>
      <c r="H46" s="100">
        <v>5.12</v>
      </c>
      <c r="I46" s="100">
        <v>3.23</v>
      </c>
      <c r="J46" s="100">
        <v>0.72</v>
      </c>
      <c r="K46" s="100">
        <v>254.37</v>
      </c>
      <c r="L46" s="100">
        <v>28.73</v>
      </c>
      <c r="M46" s="100">
        <v>74.650000000000006</v>
      </c>
      <c r="N46" s="100">
        <v>147.9</v>
      </c>
      <c r="O46" s="100">
        <v>0</v>
      </c>
      <c r="P46" s="100">
        <v>0.21</v>
      </c>
      <c r="Q46" s="100">
        <v>9.93</v>
      </c>
      <c r="R46" s="6"/>
      <c r="S46" s="6"/>
      <c r="T46" s="156"/>
      <c r="U46" s="6"/>
    </row>
    <row r="47" spans="1:21" customFormat="1">
      <c r="A47" s="163" t="s">
        <v>1814</v>
      </c>
      <c r="B47" s="100">
        <v>4.3499999999999996</v>
      </c>
      <c r="C47" s="100">
        <v>7.09</v>
      </c>
      <c r="D47" s="100">
        <v>2.74</v>
      </c>
      <c r="E47" s="100">
        <v>4.6500000000000004</v>
      </c>
      <c r="F47" s="100">
        <v>2.83</v>
      </c>
      <c r="G47" s="100">
        <v>19.809999999999999</v>
      </c>
      <c r="H47" s="100">
        <v>5.12</v>
      </c>
      <c r="I47" s="100">
        <v>3.13</v>
      </c>
      <c r="J47" s="100">
        <v>0.82</v>
      </c>
      <c r="K47" s="100">
        <v>256.89999999999998</v>
      </c>
      <c r="L47" s="100">
        <v>28.94</v>
      </c>
      <c r="M47" s="100">
        <v>73.25</v>
      </c>
      <c r="N47" s="100">
        <v>144.69999999999999</v>
      </c>
      <c r="O47" s="100">
        <v>0</v>
      </c>
      <c r="P47" s="100">
        <v>0.2</v>
      </c>
      <c r="Q47" s="100">
        <v>9.93</v>
      </c>
      <c r="R47" s="6"/>
      <c r="S47" s="6"/>
      <c r="T47" s="156"/>
      <c r="U47" s="6"/>
    </row>
    <row r="48" spans="1:21" customFormat="1">
      <c r="A48" s="163" t="s">
        <v>1815</v>
      </c>
      <c r="B48" s="100">
        <v>4.3499999999999996</v>
      </c>
      <c r="C48" s="100">
        <v>6.82</v>
      </c>
      <c r="D48" s="100">
        <v>2.4700000000000002</v>
      </c>
      <c r="E48" s="100">
        <v>4.4400000000000004</v>
      </c>
      <c r="F48" s="100">
        <v>3.82</v>
      </c>
      <c r="G48" s="100">
        <v>19.809999999999999</v>
      </c>
      <c r="H48" s="100">
        <v>5.12</v>
      </c>
      <c r="I48" s="100">
        <v>3.34</v>
      </c>
      <c r="J48" s="100">
        <v>1.04</v>
      </c>
      <c r="K48" s="100">
        <v>253.93</v>
      </c>
      <c r="L48" s="100">
        <v>28.89</v>
      </c>
      <c r="M48" s="100">
        <v>72.239999999999995</v>
      </c>
      <c r="N48" s="100">
        <v>126.5</v>
      </c>
      <c r="O48" s="100">
        <v>0</v>
      </c>
      <c r="P48" s="100">
        <v>0.19</v>
      </c>
      <c r="Q48" s="100">
        <v>9.92</v>
      </c>
      <c r="R48" s="6"/>
      <c r="S48" s="6"/>
      <c r="T48" s="156"/>
      <c r="U48" s="6"/>
    </row>
    <row r="49" spans="1:21" customFormat="1">
      <c r="A49" s="163" t="s">
        <v>1816</v>
      </c>
      <c r="B49" s="100">
        <v>4.34</v>
      </c>
      <c r="C49" s="100">
        <v>6.69</v>
      </c>
      <c r="D49" s="100">
        <v>2.35</v>
      </c>
      <c r="E49" s="100">
        <v>4.12</v>
      </c>
      <c r="F49" s="100">
        <v>5.17</v>
      </c>
      <c r="G49" s="100">
        <v>21.51</v>
      </c>
      <c r="H49" s="100">
        <v>5.05</v>
      </c>
      <c r="I49" s="100">
        <v>3.27</v>
      </c>
      <c r="J49" s="100">
        <v>0.94</v>
      </c>
      <c r="K49" s="100">
        <v>254.37</v>
      </c>
      <c r="L49" s="100">
        <v>29.05</v>
      </c>
      <c r="M49" s="100">
        <v>71.31</v>
      </c>
      <c r="N49" s="100">
        <v>144.69999999999999</v>
      </c>
      <c r="O49" s="100">
        <v>0</v>
      </c>
      <c r="P49" s="100">
        <v>0.18</v>
      </c>
      <c r="Q49" s="100">
        <v>9.92</v>
      </c>
      <c r="R49" s="6"/>
      <c r="S49" s="6"/>
      <c r="T49" s="156"/>
      <c r="U49" s="6"/>
    </row>
    <row r="50" spans="1:21" customFormat="1">
      <c r="A50" s="163" t="s">
        <v>1817</v>
      </c>
      <c r="B50" s="100">
        <v>4.4000000000000004</v>
      </c>
      <c r="C50" s="100">
        <v>7.29</v>
      </c>
      <c r="D50" s="100">
        <v>2.88</v>
      </c>
      <c r="E50" s="100">
        <v>5.08</v>
      </c>
      <c r="F50" s="100">
        <v>4.38</v>
      </c>
      <c r="G50" s="100">
        <v>25.68</v>
      </c>
      <c r="H50" s="100">
        <v>4.8099999999999996</v>
      </c>
      <c r="I50" s="100">
        <v>3.26</v>
      </c>
      <c r="J50" s="100">
        <v>1.18</v>
      </c>
      <c r="K50" s="100">
        <v>256.68</v>
      </c>
      <c r="L50" s="100">
        <v>29.24</v>
      </c>
      <c r="M50" s="100">
        <v>70.150000000000006</v>
      </c>
      <c r="N50" s="100">
        <v>190.7</v>
      </c>
      <c r="O50" s="100">
        <v>0</v>
      </c>
      <c r="P50" s="100">
        <v>0.17</v>
      </c>
      <c r="Q50" s="100">
        <v>9.92</v>
      </c>
      <c r="R50" s="6"/>
      <c r="S50" s="6"/>
      <c r="T50" s="156"/>
      <c r="U50" s="6"/>
    </row>
    <row r="51" spans="1:21" customFormat="1">
      <c r="A51" s="163" t="s">
        <v>1818</v>
      </c>
      <c r="B51" s="100">
        <v>4.37</v>
      </c>
      <c r="C51" s="100">
        <v>8.31</v>
      </c>
      <c r="D51" s="100">
        <v>3.94</v>
      </c>
      <c r="E51" s="100">
        <v>5.14</v>
      </c>
      <c r="F51" s="100">
        <v>3.56</v>
      </c>
      <c r="G51" s="100">
        <v>25.68</v>
      </c>
      <c r="H51" s="100">
        <v>4.8099999999999996</v>
      </c>
      <c r="I51" s="100">
        <v>3.23</v>
      </c>
      <c r="J51" s="100">
        <v>1.1299999999999999</v>
      </c>
      <c r="K51" s="100">
        <v>259.72000000000003</v>
      </c>
      <c r="L51" s="100">
        <v>29.46</v>
      </c>
      <c r="M51" s="100">
        <v>69.319999999999993</v>
      </c>
      <c r="N51" s="100">
        <v>201.6</v>
      </c>
      <c r="O51" s="100">
        <v>0</v>
      </c>
      <c r="P51" s="100">
        <v>0.16</v>
      </c>
      <c r="Q51" s="100">
        <v>9.9</v>
      </c>
      <c r="R51" s="6"/>
      <c r="S51" s="6"/>
      <c r="T51" s="156"/>
      <c r="U51" s="6"/>
    </row>
    <row r="52" spans="1:21" customFormat="1">
      <c r="A52" s="163" t="s">
        <v>1819</v>
      </c>
      <c r="B52" s="100">
        <v>4.33</v>
      </c>
      <c r="C52" s="100">
        <v>8.44</v>
      </c>
      <c r="D52" s="100">
        <v>4.0999999999999996</v>
      </c>
      <c r="E52" s="100">
        <v>5.08</v>
      </c>
      <c r="F52" s="100">
        <v>3.99</v>
      </c>
      <c r="G52" s="100">
        <v>25.68</v>
      </c>
      <c r="H52" s="100">
        <v>4.8099999999999996</v>
      </c>
      <c r="I52" s="100">
        <v>3.27</v>
      </c>
      <c r="J52" s="100">
        <v>0.97</v>
      </c>
      <c r="K52" s="100">
        <v>259.77999999999997</v>
      </c>
      <c r="L52" s="100">
        <v>30.03</v>
      </c>
      <c r="M52" s="100">
        <v>67.42</v>
      </c>
      <c r="N52" s="100">
        <v>241.1</v>
      </c>
      <c r="O52" s="100">
        <v>0</v>
      </c>
      <c r="P52" s="100">
        <v>0.16</v>
      </c>
      <c r="Q52" s="100">
        <v>9.91</v>
      </c>
      <c r="R52" s="6"/>
      <c r="S52" s="6"/>
      <c r="T52" s="156"/>
      <c r="U52" s="6"/>
    </row>
    <row r="53" spans="1:21" customFormat="1">
      <c r="A53" s="163" t="s">
        <v>1820</v>
      </c>
      <c r="B53" s="100">
        <v>4.3899999999999997</v>
      </c>
      <c r="C53" s="100">
        <v>8.77</v>
      </c>
      <c r="D53" s="100">
        <v>4.38</v>
      </c>
      <c r="E53" s="100">
        <v>5.25</v>
      </c>
      <c r="F53" s="100">
        <v>3.84</v>
      </c>
      <c r="G53" s="100">
        <v>26.12</v>
      </c>
      <c r="H53" s="100">
        <v>5.52</v>
      </c>
      <c r="I53" s="100">
        <v>3.28</v>
      </c>
      <c r="J53" s="100">
        <v>1.1200000000000001</v>
      </c>
      <c r="K53" s="100">
        <v>269.13</v>
      </c>
      <c r="L53" s="100">
        <v>30.56</v>
      </c>
      <c r="M53" s="100">
        <v>65.72</v>
      </c>
      <c r="N53" s="100">
        <v>315</v>
      </c>
      <c r="O53" s="100">
        <v>0</v>
      </c>
      <c r="P53" s="100">
        <v>0.19</v>
      </c>
      <c r="Q53" s="100">
        <v>9.9</v>
      </c>
      <c r="R53" s="6"/>
      <c r="S53" s="6"/>
      <c r="T53" s="156"/>
      <c r="U53" s="6"/>
    </row>
    <row r="54" spans="1:21" customFormat="1">
      <c r="A54" s="163" t="s">
        <v>1821</v>
      </c>
      <c r="B54" s="100">
        <v>4.45</v>
      </c>
      <c r="C54" s="100">
        <v>9.3000000000000007</v>
      </c>
      <c r="D54" s="100">
        <v>4.8499999999999996</v>
      </c>
      <c r="E54" s="100">
        <v>5.62</v>
      </c>
      <c r="F54" s="100">
        <v>3.22</v>
      </c>
      <c r="G54" s="100">
        <v>27.18</v>
      </c>
      <c r="H54" s="100">
        <v>6.69</v>
      </c>
      <c r="I54" s="100">
        <v>3.35</v>
      </c>
      <c r="J54" s="100">
        <v>1.17</v>
      </c>
      <c r="K54" s="100">
        <v>260.20999999999998</v>
      </c>
      <c r="L54" s="100">
        <v>30.63</v>
      </c>
      <c r="M54" s="100">
        <v>65.42</v>
      </c>
      <c r="N54" s="100">
        <v>342.4</v>
      </c>
      <c r="O54" s="100">
        <v>0</v>
      </c>
      <c r="P54" s="100">
        <v>0.23</v>
      </c>
      <c r="Q54" s="100">
        <v>9.89</v>
      </c>
      <c r="R54" s="6"/>
      <c r="S54" s="6"/>
      <c r="T54" s="156"/>
      <c r="U54" s="6"/>
    </row>
    <row r="55" spans="1:21" customFormat="1">
      <c r="A55" s="163" t="s">
        <v>1822</v>
      </c>
      <c r="B55" s="100">
        <v>4.4800000000000004</v>
      </c>
      <c r="C55" s="100">
        <v>9.49</v>
      </c>
      <c r="D55" s="100">
        <v>5.01</v>
      </c>
      <c r="E55" s="100">
        <v>5.92</v>
      </c>
      <c r="F55" s="100">
        <v>3.47</v>
      </c>
      <c r="G55" s="100">
        <v>27.18</v>
      </c>
      <c r="H55" s="100">
        <v>6.69</v>
      </c>
      <c r="I55" s="100">
        <v>3.72</v>
      </c>
      <c r="J55" s="100">
        <v>0.98</v>
      </c>
      <c r="K55" s="100">
        <v>264.83999999999997</v>
      </c>
      <c r="L55" s="100">
        <v>31.29</v>
      </c>
      <c r="M55" s="100">
        <v>63.36</v>
      </c>
      <c r="N55" s="100">
        <v>334.8</v>
      </c>
      <c r="O55" s="100">
        <v>0</v>
      </c>
      <c r="P55" s="100">
        <v>0.26</v>
      </c>
      <c r="Q55" s="100">
        <v>9.92</v>
      </c>
      <c r="R55" s="6"/>
      <c r="S55" s="6"/>
      <c r="T55" s="156"/>
      <c r="U55" s="6"/>
    </row>
    <row r="56" spans="1:21" customFormat="1">
      <c r="A56" s="163" t="s">
        <v>1823</v>
      </c>
      <c r="B56" s="100">
        <v>4.3499999999999996</v>
      </c>
      <c r="C56" s="100">
        <v>9.2200000000000006</v>
      </c>
      <c r="D56" s="100">
        <v>4.87</v>
      </c>
      <c r="E56" s="100">
        <v>5.83</v>
      </c>
      <c r="F56" s="100">
        <v>4.0999999999999996</v>
      </c>
      <c r="G56" s="100">
        <v>27.18</v>
      </c>
      <c r="H56" s="100">
        <v>6.69</v>
      </c>
      <c r="I56" s="100">
        <v>4.04</v>
      </c>
      <c r="J56" s="100">
        <v>1.24</v>
      </c>
      <c r="K56" s="100">
        <v>251.55</v>
      </c>
      <c r="L56" s="100">
        <v>31.3</v>
      </c>
      <c r="M56" s="100">
        <v>62.26</v>
      </c>
      <c r="N56" s="100">
        <v>366.5</v>
      </c>
      <c r="O56" s="100">
        <v>0</v>
      </c>
      <c r="P56" s="100">
        <v>0.24</v>
      </c>
      <c r="Q56" s="100">
        <v>9.92</v>
      </c>
      <c r="R56" s="6"/>
      <c r="S56" s="6"/>
      <c r="T56" s="156"/>
      <c r="U56" s="6"/>
    </row>
    <row r="57" spans="1:21" customFormat="1">
      <c r="A57" s="163" t="s">
        <v>1824</v>
      </c>
      <c r="B57" s="100">
        <v>4.3600000000000003</v>
      </c>
      <c r="C57" s="100">
        <v>9.23</v>
      </c>
      <c r="D57" s="100">
        <v>4.87</v>
      </c>
      <c r="E57" s="100">
        <v>5.58</v>
      </c>
      <c r="F57" s="100">
        <v>3.15</v>
      </c>
      <c r="G57" s="100">
        <v>33.17</v>
      </c>
      <c r="H57" s="100">
        <v>7.87</v>
      </c>
      <c r="I57" s="100">
        <v>4.25</v>
      </c>
      <c r="J57" s="100">
        <v>1.17</v>
      </c>
      <c r="K57" s="100">
        <v>277.68</v>
      </c>
      <c r="L57" s="100">
        <v>31.51</v>
      </c>
      <c r="M57" s="100">
        <v>61.83</v>
      </c>
      <c r="N57" s="100">
        <v>362.2</v>
      </c>
      <c r="O57" s="100">
        <v>0</v>
      </c>
      <c r="P57" s="100">
        <v>0.27</v>
      </c>
      <c r="Q57" s="100">
        <v>9.9</v>
      </c>
      <c r="R57" s="6"/>
      <c r="S57" s="6"/>
      <c r="T57" s="156"/>
      <c r="U57" s="6"/>
    </row>
    <row r="58" spans="1:21" customFormat="1">
      <c r="A58" s="163" t="s">
        <v>1825</v>
      </c>
      <c r="B58" s="100">
        <v>4.34</v>
      </c>
      <c r="C58" s="100">
        <v>9.1</v>
      </c>
      <c r="D58" s="100">
        <v>4.76</v>
      </c>
      <c r="E58" s="100">
        <v>5.83</v>
      </c>
      <c r="F58" s="100">
        <v>3</v>
      </c>
      <c r="G58" s="100">
        <v>47.89</v>
      </c>
      <c r="H58" s="100">
        <v>9.8000000000000007</v>
      </c>
      <c r="I58" s="100">
        <v>4.1900000000000004</v>
      </c>
      <c r="J58" s="100">
        <v>1.01</v>
      </c>
      <c r="K58" s="100">
        <v>254.94</v>
      </c>
      <c r="L58" s="100">
        <v>31.77</v>
      </c>
      <c r="M58" s="100">
        <v>60.85</v>
      </c>
      <c r="N58" s="100">
        <v>383.4</v>
      </c>
      <c r="O58" s="100">
        <v>0</v>
      </c>
      <c r="P58" s="100">
        <v>0.26</v>
      </c>
      <c r="Q58" s="100">
        <v>9.9</v>
      </c>
      <c r="R58" s="6"/>
      <c r="S58" s="6"/>
      <c r="T58" s="156"/>
      <c r="U58" s="6"/>
    </row>
    <row r="59" spans="1:21" customFormat="1">
      <c r="A59" s="163" t="s">
        <v>1826</v>
      </c>
      <c r="B59" s="100">
        <v>4.2699999999999996</v>
      </c>
      <c r="C59" s="100">
        <v>8.89</v>
      </c>
      <c r="D59" s="100">
        <v>4.62</v>
      </c>
      <c r="E59" s="100">
        <v>5.58</v>
      </c>
      <c r="F59" s="100">
        <v>3.3</v>
      </c>
      <c r="G59" s="100">
        <v>47.89</v>
      </c>
      <c r="H59" s="100">
        <v>9.8000000000000007</v>
      </c>
      <c r="I59" s="100">
        <v>4.25</v>
      </c>
      <c r="J59" s="100">
        <v>0.95</v>
      </c>
      <c r="K59" s="100">
        <v>251.21</v>
      </c>
      <c r="L59" s="100">
        <v>32.07</v>
      </c>
      <c r="M59" s="100">
        <v>61.05</v>
      </c>
      <c r="N59" s="100">
        <v>368.6</v>
      </c>
      <c r="O59" s="100">
        <v>0</v>
      </c>
      <c r="P59" s="100">
        <v>0.27</v>
      </c>
      <c r="Q59" s="100">
        <v>9.91</v>
      </c>
      <c r="R59" s="6"/>
      <c r="S59" s="6"/>
      <c r="T59" s="156"/>
      <c r="U59" s="6"/>
    </row>
    <row r="60" spans="1:21" customFormat="1">
      <c r="A60" s="163" t="s">
        <v>1827</v>
      </c>
      <c r="B60" s="100">
        <v>4.16</v>
      </c>
      <c r="C60" s="100">
        <v>8.39</v>
      </c>
      <c r="D60" s="100">
        <v>4.2300000000000004</v>
      </c>
      <c r="E60" s="100">
        <v>5.68</v>
      </c>
      <c r="F60" s="100">
        <v>4.08</v>
      </c>
      <c r="G60" s="100">
        <v>47.89</v>
      </c>
      <c r="H60" s="100">
        <v>9.8000000000000007</v>
      </c>
      <c r="I60" s="100">
        <v>4.4800000000000004</v>
      </c>
      <c r="J60" s="100">
        <v>0.96</v>
      </c>
      <c r="K60" s="100">
        <v>254.22</v>
      </c>
      <c r="L60" s="100">
        <v>31.79</v>
      </c>
      <c r="M60" s="100">
        <v>61.47</v>
      </c>
      <c r="N60" s="100">
        <v>222.7</v>
      </c>
      <c r="O60" s="100">
        <v>0</v>
      </c>
      <c r="P60" s="100">
        <v>0.26</v>
      </c>
      <c r="Q60" s="100">
        <v>9.89</v>
      </c>
      <c r="R60" s="6"/>
      <c r="S60" s="6"/>
      <c r="T60" s="156"/>
      <c r="U60" s="6"/>
    </row>
    <row r="61" spans="1:21" customFormat="1">
      <c r="A61" s="163" t="s">
        <v>1828</v>
      </c>
      <c r="B61" s="100">
        <v>4.09</v>
      </c>
      <c r="C61" s="100">
        <v>8.0299999999999994</v>
      </c>
      <c r="D61" s="100">
        <v>3.95</v>
      </c>
      <c r="E61" s="100">
        <v>5.71</v>
      </c>
      <c r="F61" s="100">
        <v>4.26</v>
      </c>
      <c r="G61" s="100">
        <v>48.13</v>
      </c>
      <c r="H61" s="100">
        <v>10.29</v>
      </c>
      <c r="I61" s="100">
        <v>4.4400000000000004</v>
      </c>
      <c r="J61" s="100">
        <v>1.0900000000000001</v>
      </c>
      <c r="K61" s="100">
        <v>253.99</v>
      </c>
      <c r="L61" s="100">
        <v>31.56</v>
      </c>
      <c r="M61" s="100">
        <v>61.29</v>
      </c>
      <c r="N61" s="100">
        <v>318</v>
      </c>
      <c r="O61" s="100">
        <v>0</v>
      </c>
      <c r="P61" s="100">
        <v>0.23</v>
      </c>
      <c r="Q61" s="100">
        <v>9.89</v>
      </c>
      <c r="R61" s="6"/>
      <c r="S61" s="6"/>
      <c r="T61" s="156"/>
      <c r="U61" s="6"/>
    </row>
    <row r="62" spans="1:21" customFormat="1">
      <c r="A62" s="163" t="s">
        <v>1829</v>
      </c>
      <c r="B62" s="100">
        <v>4.0599999999999996</v>
      </c>
      <c r="C62" s="100">
        <v>8.0299999999999994</v>
      </c>
      <c r="D62" s="100">
        <v>3.97</v>
      </c>
      <c r="E62" s="100">
        <v>5.64</v>
      </c>
      <c r="F62" s="100">
        <v>3.04</v>
      </c>
      <c r="G62" s="100">
        <v>48.71</v>
      </c>
      <c r="H62" s="100">
        <v>11.11</v>
      </c>
      <c r="I62" s="100">
        <v>4.4000000000000004</v>
      </c>
      <c r="J62" s="100">
        <v>1.1399999999999999</v>
      </c>
      <c r="K62" s="100">
        <v>254.98</v>
      </c>
      <c r="L62" s="100">
        <v>32.020000000000003</v>
      </c>
      <c r="M62" s="100">
        <v>59.98</v>
      </c>
      <c r="N62" s="100">
        <v>325.7</v>
      </c>
      <c r="O62" s="100">
        <v>0</v>
      </c>
      <c r="P62" s="100">
        <v>0.24</v>
      </c>
      <c r="Q62" s="100">
        <v>9.9</v>
      </c>
      <c r="R62" s="6"/>
      <c r="S62" s="6"/>
      <c r="T62" s="156"/>
      <c r="U62" s="6"/>
    </row>
    <row r="63" spans="1:21" customFormat="1">
      <c r="A63" s="163" t="s">
        <v>1830</v>
      </c>
      <c r="B63" s="100">
        <v>4.04</v>
      </c>
      <c r="C63" s="100">
        <v>7.55</v>
      </c>
      <c r="D63" s="100">
        <v>3.51</v>
      </c>
      <c r="E63" s="100">
        <v>5.56</v>
      </c>
      <c r="F63" s="100">
        <v>4.83</v>
      </c>
      <c r="G63" s="100">
        <v>48.71</v>
      </c>
      <c r="H63" s="100">
        <v>11.11</v>
      </c>
      <c r="I63" s="100">
        <v>4.16</v>
      </c>
      <c r="J63" s="100">
        <v>0.88</v>
      </c>
      <c r="K63" s="100">
        <v>261.55</v>
      </c>
      <c r="L63" s="100">
        <v>31.95</v>
      </c>
      <c r="M63" s="100">
        <v>60.6</v>
      </c>
      <c r="N63" s="100">
        <v>291.3</v>
      </c>
      <c r="O63" s="100">
        <v>0</v>
      </c>
      <c r="P63" s="100">
        <v>0.24</v>
      </c>
      <c r="Q63" s="100">
        <v>9.91</v>
      </c>
      <c r="R63" s="6"/>
      <c r="S63" s="6"/>
      <c r="T63" s="156"/>
      <c r="U63" s="6"/>
    </row>
    <row r="64" spans="1:21" customFormat="1">
      <c r="A64" s="163" t="s">
        <v>1831</v>
      </c>
      <c r="B64" s="100">
        <v>4.03</v>
      </c>
      <c r="C64" s="100">
        <v>7.52</v>
      </c>
      <c r="D64" s="100">
        <v>3.49</v>
      </c>
      <c r="E64" s="100">
        <v>5.81</v>
      </c>
      <c r="F64" s="100">
        <v>4.5199999999999996</v>
      </c>
      <c r="G64" s="100">
        <v>48.71</v>
      </c>
      <c r="H64" s="100">
        <v>11.11</v>
      </c>
      <c r="I64" s="100">
        <v>4.16</v>
      </c>
      <c r="J64" s="100">
        <v>0.98</v>
      </c>
      <c r="K64" s="100">
        <v>254.29</v>
      </c>
      <c r="L64" s="100">
        <v>32.04</v>
      </c>
      <c r="M64" s="100">
        <v>60.4</v>
      </c>
      <c r="N64" s="100">
        <v>304.5</v>
      </c>
      <c r="O64" s="100">
        <v>0</v>
      </c>
      <c r="P64" s="100">
        <v>0.22</v>
      </c>
      <c r="Q64" s="100">
        <v>9.91</v>
      </c>
      <c r="R64" s="6"/>
      <c r="S64" s="6"/>
      <c r="T64" s="156"/>
      <c r="U64" s="6"/>
    </row>
    <row r="65" spans="1:21" customFormat="1">
      <c r="A65" s="163" t="s">
        <v>1832</v>
      </c>
      <c r="B65" s="100">
        <v>4.0199999999999996</v>
      </c>
      <c r="C65" s="100">
        <v>7.46</v>
      </c>
      <c r="D65" s="100">
        <v>3.44</v>
      </c>
      <c r="E65" s="100">
        <v>5.78</v>
      </c>
      <c r="F65" s="100">
        <v>4.5599999999999996</v>
      </c>
      <c r="G65" s="100">
        <v>47.18</v>
      </c>
      <c r="H65" s="100">
        <v>12.35</v>
      </c>
      <c r="I65" s="100">
        <v>4</v>
      </c>
      <c r="J65" s="100">
        <v>0.88</v>
      </c>
      <c r="K65" s="100">
        <v>245.48</v>
      </c>
      <c r="L65" s="100">
        <v>32.200000000000003</v>
      </c>
      <c r="M65" s="100">
        <v>60.76</v>
      </c>
      <c r="N65" s="100">
        <v>287.89999999999998</v>
      </c>
      <c r="O65" s="100">
        <v>0</v>
      </c>
      <c r="P65" s="100">
        <v>0.28999999999999998</v>
      </c>
      <c r="Q65" s="100">
        <v>9.91</v>
      </c>
      <c r="R65" s="6"/>
      <c r="S65" s="6"/>
      <c r="T65" s="156"/>
      <c r="U65" s="6"/>
    </row>
    <row r="66" spans="1:21" customFormat="1">
      <c r="A66" s="163" t="s">
        <v>1833</v>
      </c>
      <c r="B66" s="100">
        <v>4.0199999999999996</v>
      </c>
      <c r="C66" s="100">
        <v>7.2</v>
      </c>
      <c r="D66" s="100">
        <v>3.18</v>
      </c>
      <c r="E66" s="100">
        <v>5.87</v>
      </c>
      <c r="F66" s="100">
        <v>5.53</v>
      </c>
      <c r="G66" s="100">
        <v>43.41</v>
      </c>
      <c r="H66" s="100">
        <v>14.31</v>
      </c>
      <c r="I66" s="100">
        <v>3.85</v>
      </c>
      <c r="J66" s="100">
        <v>0.98</v>
      </c>
      <c r="K66" s="100">
        <v>249.69</v>
      </c>
      <c r="L66" s="100">
        <v>32.24</v>
      </c>
      <c r="M66" s="100">
        <v>59.93</v>
      </c>
      <c r="N66" s="100">
        <v>296.89999999999998</v>
      </c>
      <c r="O66" s="100">
        <v>0</v>
      </c>
      <c r="P66" s="100">
        <v>0.28999999999999998</v>
      </c>
      <c r="Q66" s="100">
        <v>9.91</v>
      </c>
      <c r="R66" s="6"/>
      <c r="S66" s="6"/>
      <c r="T66" s="156"/>
      <c r="U66" s="6"/>
    </row>
    <row r="67" spans="1:21" customFormat="1">
      <c r="A67" s="163" t="s">
        <v>1834</v>
      </c>
      <c r="B67" s="100">
        <v>4.01</v>
      </c>
      <c r="C67" s="100">
        <v>7.26</v>
      </c>
      <c r="D67" s="100">
        <v>3.25</v>
      </c>
      <c r="E67" s="100">
        <v>6.09</v>
      </c>
      <c r="F67" s="100">
        <v>3.08</v>
      </c>
      <c r="G67" s="100">
        <v>43.41</v>
      </c>
      <c r="H67" s="100">
        <v>14.31</v>
      </c>
      <c r="I67" s="100">
        <v>3.85</v>
      </c>
      <c r="J67" s="100">
        <v>1.07</v>
      </c>
      <c r="K67" s="100">
        <v>250.94</v>
      </c>
      <c r="L67" s="100">
        <v>32.130000000000003</v>
      </c>
      <c r="M67" s="100">
        <v>59.14</v>
      </c>
      <c r="N67" s="100">
        <v>240.5</v>
      </c>
      <c r="O67" s="100">
        <v>0</v>
      </c>
      <c r="P67" s="100">
        <v>0.28000000000000003</v>
      </c>
      <c r="Q67" s="100">
        <v>9.91</v>
      </c>
      <c r="R67" s="6"/>
      <c r="S67" s="6"/>
      <c r="T67" s="156"/>
      <c r="U67" s="6"/>
    </row>
    <row r="68" spans="1:21" customFormat="1">
      <c r="A68" s="163" t="s">
        <v>1835</v>
      </c>
      <c r="B68" s="100">
        <v>4</v>
      </c>
      <c r="C68" s="100">
        <v>7.06</v>
      </c>
      <c r="D68" s="100">
        <v>3.06</v>
      </c>
      <c r="E68" s="100">
        <v>5.66</v>
      </c>
      <c r="F68" s="100">
        <v>4.8499999999999996</v>
      </c>
      <c r="G68" s="100">
        <v>43.41</v>
      </c>
      <c r="H68" s="100">
        <v>14.31</v>
      </c>
      <c r="I68" s="100">
        <v>3.79</v>
      </c>
      <c r="J68" s="100">
        <v>0.86</v>
      </c>
      <c r="K68" s="100">
        <v>246.03</v>
      </c>
      <c r="L68" s="100">
        <v>31.74</v>
      </c>
      <c r="M68" s="100">
        <v>60.85</v>
      </c>
      <c r="N68" s="100">
        <v>174</v>
      </c>
      <c r="O68" s="100">
        <v>0</v>
      </c>
      <c r="P68" s="100">
        <v>0.28999999999999998</v>
      </c>
      <c r="Q68" s="100">
        <v>9.89</v>
      </c>
      <c r="R68" s="6"/>
      <c r="S68" s="6"/>
      <c r="T68" s="156"/>
      <c r="U68" s="6"/>
    </row>
    <row r="69" spans="1:21" customFormat="1">
      <c r="A69" s="163" t="s">
        <v>1836</v>
      </c>
      <c r="B69" s="100">
        <v>3.99</v>
      </c>
      <c r="C69" s="100">
        <v>6.95</v>
      </c>
      <c r="D69" s="100">
        <v>2.96</v>
      </c>
      <c r="E69" s="100">
        <v>5.91</v>
      </c>
      <c r="F69" s="100">
        <v>5.1100000000000003</v>
      </c>
      <c r="G69" s="100">
        <v>43.96</v>
      </c>
      <c r="H69" s="100">
        <v>14.42</v>
      </c>
      <c r="I69" s="100">
        <v>3.76</v>
      </c>
      <c r="J69" s="100">
        <v>0.91</v>
      </c>
      <c r="K69" s="100">
        <v>250.84</v>
      </c>
      <c r="L69" s="100">
        <v>31.99</v>
      </c>
      <c r="M69" s="100">
        <v>59.05</v>
      </c>
      <c r="N69" s="100">
        <v>204.5</v>
      </c>
      <c r="O69" s="100">
        <v>0</v>
      </c>
      <c r="P69" s="100">
        <v>0.27</v>
      </c>
      <c r="Q69" s="100">
        <v>9.9</v>
      </c>
      <c r="R69" s="6"/>
      <c r="S69" s="6"/>
      <c r="T69" s="156"/>
      <c r="U69" s="6"/>
    </row>
    <row r="70" spans="1:21" customFormat="1">
      <c r="A70" s="163" t="s">
        <v>1837</v>
      </c>
      <c r="B70" s="100">
        <v>4.0199999999999996</v>
      </c>
      <c r="C70" s="100">
        <v>7.2</v>
      </c>
      <c r="D70" s="100">
        <v>3.18</v>
      </c>
      <c r="E70" s="100">
        <v>5.94</v>
      </c>
      <c r="F70" s="100">
        <v>4.4000000000000004</v>
      </c>
      <c r="G70" s="100">
        <v>45.3</v>
      </c>
      <c r="H70" s="100">
        <v>14.61</v>
      </c>
      <c r="I70" s="100">
        <v>3.68</v>
      </c>
      <c r="J70" s="100">
        <v>0.85</v>
      </c>
      <c r="K70" s="100">
        <v>258.58999999999997</v>
      </c>
      <c r="L70" s="100">
        <v>32.39</v>
      </c>
      <c r="M70" s="100">
        <v>56.84</v>
      </c>
      <c r="N70" s="100">
        <v>238.5</v>
      </c>
      <c r="O70" s="100">
        <v>0</v>
      </c>
      <c r="P70" s="100">
        <v>0.28999999999999998</v>
      </c>
      <c r="Q70" s="100">
        <v>9.89</v>
      </c>
      <c r="R70" s="6"/>
      <c r="S70" s="6"/>
      <c r="T70" s="156"/>
      <c r="U70" s="6"/>
    </row>
    <row r="71" spans="1:21" customFormat="1">
      <c r="A71" s="163" t="s">
        <v>1838</v>
      </c>
      <c r="B71" s="100">
        <v>4.1100000000000003</v>
      </c>
      <c r="C71" s="100">
        <v>7.3</v>
      </c>
      <c r="D71" s="100">
        <v>3.18</v>
      </c>
      <c r="E71" s="100">
        <v>6</v>
      </c>
      <c r="F71" s="100">
        <v>5.77</v>
      </c>
      <c r="G71" s="100">
        <v>45.3</v>
      </c>
      <c r="H71" s="100">
        <v>14.61</v>
      </c>
      <c r="I71" s="100">
        <v>3.51</v>
      </c>
      <c r="J71" s="100">
        <v>1.1100000000000001</v>
      </c>
      <c r="K71" s="100">
        <v>253.86</v>
      </c>
      <c r="L71" s="100">
        <v>32.53</v>
      </c>
      <c r="M71" s="100">
        <v>56.94</v>
      </c>
      <c r="N71" s="100">
        <v>250.7</v>
      </c>
      <c r="O71" s="100">
        <v>0</v>
      </c>
      <c r="P71" s="100">
        <v>0.33</v>
      </c>
      <c r="Q71" s="100">
        <v>9.91</v>
      </c>
      <c r="R71" s="6"/>
      <c r="S71" s="6"/>
      <c r="T71" s="156"/>
      <c r="U71" s="6"/>
    </row>
    <row r="72" spans="1:21" customFormat="1">
      <c r="A72" s="163" t="s">
        <v>1839</v>
      </c>
      <c r="B72" s="100">
        <v>4.2</v>
      </c>
      <c r="C72" s="100">
        <v>6.98</v>
      </c>
      <c r="D72" s="100">
        <v>2.78</v>
      </c>
      <c r="E72" s="100">
        <v>5.65</v>
      </c>
      <c r="F72" s="100">
        <v>9.07</v>
      </c>
      <c r="G72" s="100">
        <v>45.3</v>
      </c>
      <c r="H72" s="100">
        <v>14.61</v>
      </c>
      <c r="I72" s="100">
        <v>3.61</v>
      </c>
      <c r="J72" s="100">
        <v>0.61</v>
      </c>
      <c r="K72" s="100">
        <v>265.05</v>
      </c>
      <c r="L72" s="100">
        <v>32.75</v>
      </c>
      <c r="M72" s="100">
        <v>58.6</v>
      </c>
      <c r="N72" s="100">
        <v>217</v>
      </c>
      <c r="O72" s="100">
        <v>0</v>
      </c>
      <c r="P72" s="100">
        <v>0.34</v>
      </c>
      <c r="Q72" s="100">
        <v>9.91</v>
      </c>
      <c r="R72" s="6"/>
      <c r="S72" s="6"/>
      <c r="T72" s="156"/>
      <c r="U72" s="6"/>
    </row>
    <row r="73" spans="1:21" customFormat="1">
      <c r="A73" s="163" t="s">
        <v>1840</v>
      </c>
      <c r="B73" s="100">
        <v>4.29</v>
      </c>
      <c r="C73" s="100">
        <v>6.92</v>
      </c>
      <c r="D73" s="100">
        <v>2.63</v>
      </c>
      <c r="E73" s="100">
        <v>5.36</v>
      </c>
      <c r="F73" s="100">
        <v>14.19</v>
      </c>
      <c r="G73" s="100">
        <v>44.53</v>
      </c>
      <c r="H73" s="100">
        <v>14.33</v>
      </c>
      <c r="I73" s="100">
        <v>3.48</v>
      </c>
      <c r="J73" s="100">
        <v>0.59</v>
      </c>
      <c r="K73" s="100">
        <v>249.61</v>
      </c>
      <c r="L73" s="100">
        <v>32.64</v>
      </c>
      <c r="M73" s="100">
        <v>59.52</v>
      </c>
      <c r="N73" s="100">
        <v>164.7</v>
      </c>
      <c r="O73" s="100">
        <v>0</v>
      </c>
      <c r="P73" s="100">
        <v>0.33</v>
      </c>
      <c r="Q73" s="100">
        <v>9.9</v>
      </c>
      <c r="R73" s="6"/>
      <c r="S73" s="6"/>
      <c r="T73" s="156"/>
      <c r="U73" s="6"/>
    </row>
    <row r="74" spans="1:21" customFormat="1">
      <c r="A74" s="163" t="s">
        <v>1841</v>
      </c>
      <c r="B74" s="100">
        <v>4.21</v>
      </c>
      <c r="C74" s="100">
        <v>6.98</v>
      </c>
      <c r="D74" s="100">
        <v>2.77</v>
      </c>
      <c r="E74" s="100">
        <v>5</v>
      </c>
      <c r="F74" s="100">
        <v>13.43</v>
      </c>
      <c r="G74" s="100">
        <v>42.65</v>
      </c>
      <c r="H74" s="100">
        <v>13.21</v>
      </c>
      <c r="I74" s="100">
        <v>3.45</v>
      </c>
      <c r="J74" s="100">
        <v>0.62</v>
      </c>
      <c r="K74" s="100">
        <v>258.48</v>
      </c>
      <c r="L74" s="100">
        <v>32.630000000000003</v>
      </c>
      <c r="M74" s="100">
        <v>58.86</v>
      </c>
      <c r="N74" s="100">
        <v>154.80000000000001</v>
      </c>
      <c r="O74" s="100">
        <v>0</v>
      </c>
      <c r="P74" s="100">
        <v>0.33</v>
      </c>
      <c r="Q74" s="100">
        <v>9.9</v>
      </c>
      <c r="R74" s="6"/>
      <c r="S74" s="6"/>
      <c r="T74" s="156"/>
      <c r="U74" s="6"/>
    </row>
    <row r="75" spans="1:21" customFormat="1">
      <c r="A75" s="163" t="s">
        <v>1842</v>
      </c>
      <c r="B75" s="100">
        <v>4.1100000000000003</v>
      </c>
      <c r="C75" s="100">
        <v>6.75</v>
      </c>
      <c r="D75" s="100">
        <v>2.63</v>
      </c>
      <c r="E75" s="100">
        <v>5.29</v>
      </c>
      <c r="F75" s="100">
        <v>10.27</v>
      </c>
      <c r="G75" s="100">
        <v>42.65</v>
      </c>
      <c r="H75" s="100">
        <v>13.21</v>
      </c>
      <c r="I75" s="100">
        <v>3.42</v>
      </c>
      <c r="J75" s="100">
        <v>0.86</v>
      </c>
      <c r="K75" s="100">
        <v>252.67</v>
      </c>
      <c r="L75" s="100">
        <v>32.630000000000003</v>
      </c>
      <c r="M75" s="100">
        <v>58.07</v>
      </c>
      <c r="N75" s="100">
        <v>163.5</v>
      </c>
      <c r="O75" s="100">
        <v>0</v>
      </c>
      <c r="P75" s="100">
        <v>0.31</v>
      </c>
      <c r="Q75" s="100">
        <v>9.91</v>
      </c>
      <c r="R75" s="6"/>
      <c r="S75" s="6"/>
      <c r="T75" s="156"/>
      <c r="U75" s="6"/>
    </row>
    <row r="76" spans="1:21" customFormat="1">
      <c r="A76" s="163" t="s">
        <v>1843</v>
      </c>
      <c r="B76" s="100">
        <v>4.16</v>
      </c>
      <c r="C76" s="100">
        <v>6.63</v>
      </c>
      <c r="D76" s="100">
        <v>2.4700000000000002</v>
      </c>
      <c r="E76" s="100">
        <v>5.03</v>
      </c>
      <c r="F76" s="100">
        <v>11.1</v>
      </c>
      <c r="G76" s="100">
        <v>42.65</v>
      </c>
      <c r="H76" s="100">
        <v>13.21</v>
      </c>
      <c r="I76" s="100">
        <v>3.43</v>
      </c>
      <c r="J76" s="100">
        <v>0.73</v>
      </c>
      <c r="K76" s="100">
        <v>251.61</v>
      </c>
      <c r="L76" s="100">
        <v>32.39</v>
      </c>
      <c r="M76" s="100">
        <v>59.12</v>
      </c>
      <c r="N76" s="100">
        <v>95.7</v>
      </c>
      <c r="O76" s="100">
        <v>0</v>
      </c>
      <c r="P76" s="100">
        <v>0.31</v>
      </c>
      <c r="Q76" s="100">
        <v>9.91</v>
      </c>
      <c r="R76" s="6"/>
      <c r="S76" s="6"/>
      <c r="T76" s="156"/>
      <c r="U76" s="6"/>
    </row>
    <row r="77" spans="1:21" customFormat="1">
      <c r="A77" s="163" t="s">
        <v>1844</v>
      </c>
      <c r="B77" s="100">
        <v>4.0999999999999996</v>
      </c>
      <c r="C77" s="100">
        <v>6.58</v>
      </c>
      <c r="D77" s="100">
        <v>2.48</v>
      </c>
      <c r="E77" s="100">
        <v>4.95</v>
      </c>
      <c r="F77" s="100">
        <v>15.08</v>
      </c>
      <c r="G77" s="100">
        <v>48.57</v>
      </c>
      <c r="H77" s="100">
        <v>11.87</v>
      </c>
      <c r="I77" s="100">
        <v>3.51</v>
      </c>
      <c r="J77" s="100">
        <v>0.8</v>
      </c>
      <c r="K77" s="100">
        <v>252.96</v>
      </c>
      <c r="L77" s="100">
        <v>32.1</v>
      </c>
      <c r="M77" s="100">
        <v>59.32</v>
      </c>
      <c r="N77" s="100">
        <v>66</v>
      </c>
      <c r="O77" s="100">
        <v>0</v>
      </c>
      <c r="P77" s="100">
        <v>0.31</v>
      </c>
      <c r="Q77" s="100">
        <v>9.92</v>
      </c>
      <c r="R77" s="6"/>
      <c r="S77" s="6"/>
      <c r="T77" s="156"/>
      <c r="U77" s="6"/>
    </row>
    <row r="78" spans="1:21" customFormat="1">
      <c r="A78" s="163" t="s">
        <v>1845</v>
      </c>
      <c r="B78" s="100">
        <v>4.18</v>
      </c>
      <c r="C78" s="100">
        <v>6.58</v>
      </c>
      <c r="D78" s="100">
        <v>2.4</v>
      </c>
      <c r="E78" s="100">
        <v>4.88</v>
      </c>
      <c r="F78" s="100">
        <v>13.6</v>
      </c>
      <c r="G78" s="100">
        <v>63.15</v>
      </c>
      <c r="H78" s="100">
        <v>9.76</v>
      </c>
      <c r="I78" s="100">
        <v>3.55</v>
      </c>
      <c r="J78" s="100">
        <v>0.8</v>
      </c>
      <c r="K78" s="100">
        <v>253.65</v>
      </c>
      <c r="L78" s="100">
        <v>31.92</v>
      </c>
      <c r="M78" s="100">
        <v>60.02</v>
      </c>
      <c r="N78" s="100">
        <v>52.1</v>
      </c>
      <c r="O78" s="100">
        <v>0</v>
      </c>
      <c r="P78" s="100">
        <v>0.3</v>
      </c>
      <c r="Q78" s="100">
        <v>9.92</v>
      </c>
      <c r="R78" s="6"/>
      <c r="S78" s="6"/>
      <c r="T78" s="156"/>
      <c r="U78" s="6"/>
    </row>
    <row r="79" spans="1:21" customFormat="1">
      <c r="A79" s="163" t="s">
        <v>1846</v>
      </c>
      <c r="B79" s="100">
        <v>4.21</v>
      </c>
      <c r="C79" s="100">
        <v>6.59</v>
      </c>
      <c r="D79" s="100">
        <v>2.38</v>
      </c>
      <c r="E79" s="100">
        <v>4.72</v>
      </c>
      <c r="F79" s="100">
        <v>11.98</v>
      </c>
      <c r="G79" s="100">
        <v>63.15</v>
      </c>
      <c r="H79" s="100">
        <v>9.76</v>
      </c>
      <c r="I79" s="100">
        <v>3.52</v>
      </c>
      <c r="J79" s="100">
        <v>0.88</v>
      </c>
      <c r="K79" s="100">
        <v>255.63</v>
      </c>
      <c r="L79" s="100">
        <v>31.65</v>
      </c>
      <c r="M79" s="100">
        <v>59.74</v>
      </c>
      <c r="N79" s="100">
        <v>46</v>
      </c>
      <c r="O79" s="100">
        <v>0</v>
      </c>
      <c r="P79" s="100">
        <v>0.32</v>
      </c>
      <c r="Q79" s="100">
        <v>9.9</v>
      </c>
      <c r="R79" s="6"/>
      <c r="S79" s="6"/>
      <c r="T79" s="156"/>
      <c r="U79" s="6"/>
    </row>
    <row r="80" spans="1:21" customFormat="1">
      <c r="A80" s="163" t="s">
        <v>1847</v>
      </c>
      <c r="B80" s="100">
        <v>4.24</v>
      </c>
      <c r="C80" s="100">
        <v>6.78</v>
      </c>
      <c r="D80" s="100">
        <v>2.54</v>
      </c>
      <c r="E80" s="100">
        <v>4.58</v>
      </c>
      <c r="F80" s="100">
        <v>11.08</v>
      </c>
      <c r="G80" s="100">
        <v>63.15</v>
      </c>
      <c r="H80" s="100">
        <v>9.76</v>
      </c>
      <c r="I80" s="100">
        <v>3.54</v>
      </c>
      <c r="J80" s="100">
        <v>0.81</v>
      </c>
      <c r="K80" s="100">
        <v>253.83</v>
      </c>
      <c r="L80" s="100">
        <v>31.51</v>
      </c>
      <c r="M80" s="100">
        <v>59.88</v>
      </c>
      <c r="N80" s="100">
        <v>31</v>
      </c>
      <c r="O80" s="100">
        <v>0</v>
      </c>
      <c r="P80" s="100">
        <v>0.32</v>
      </c>
      <c r="Q80" s="100">
        <v>9.9</v>
      </c>
      <c r="R80" s="6"/>
      <c r="S80" s="6"/>
      <c r="T80" s="156"/>
      <c r="U80" s="6"/>
    </row>
    <row r="81" spans="1:21" customFormat="1">
      <c r="A81" s="163" t="s">
        <v>1848</v>
      </c>
      <c r="B81" s="100">
        <v>4.1399999999999997</v>
      </c>
      <c r="C81" s="100">
        <v>6.76</v>
      </c>
      <c r="D81" s="100">
        <v>2.62</v>
      </c>
      <c r="E81" s="100">
        <v>4.1100000000000003</v>
      </c>
      <c r="F81" s="100">
        <v>17.18</v>
      </c>
      <c r="G81" s="100">
        <v>60.63</v>
      </c>
      <c r="H81" s="100">
        <v>10.119999999999999</v>
      </c>
      <c r="I81" s="100">
        <v>3.61</v>
      </c>
      <c r="J81" s="100">
        <v>0.68</v>
      </c>
      <c r="K81" s="100">
        <v>254.92</v>
      </c>
      <c r="L81" s="100">
        <v>31.29</v>
      </c>
      <c r="M81" s="100">
        <v>60.42</v>
      </c>
      <c r="N81" s="100">
        <v>19</v>
      </c>
      <c r="O81" s="100">
        <v>0</v>
      </c>
      <c r="P81" s="100">
        <v>0.31</v>
      </c>
      <c r="Q81" s="100">
        <v>9.91</v>
      </c>
      <c r="R81" s="6"/>
      <c r="S81" s="6"/>
      <c r="T81" s="156"/>
      <c r="U81" s="6"/>
    </row>
    <row r="82" spans="1:21" customFormat="1">
      <c r="A82" s="163" t="s">
        <v>1849</v>
      </c>
      <c r="B82" s="100">
        <v>4.04</v>
      </c>
      <c r="C82" s="100">
        <v>6.79</v>
      </c>
      <c r="D82" s="100">
        <v>2.75</v>
      </c>
      <c r="E82" s="100">
        <v>4.93</v>
      </c>
      <c r="F82" s="100">
        <v>16.760000000000002</v>
      </c>
      <c r="G82" s="100">
        <v>54.44</v>
      </c>
      <c r="H82" s="100">
        <v>10.68</v>
      </c>
      <c r="I82" s="100">
        <v>3.67</v>
      </c>
      <c r="J82" s="100">
        <v>0.6</v>
      </c>
      <c r="K82" s="100">
        <v>251.29</v>
      </c>
      <c r="L82" s="100">
        <v>31.14</v>
      </c>
      <c r="M82" s="100">
        <v>61.67</v>
      </c>
      <c r="N82" s="100">
        <v>13</v>
      </c>
      <c r="O82" s="100">
        <v>0</v>
      </c>
      <c r="P82" s="100">
        <v>0.3</v>
      </c>
      <c r="Q82" s="100">
        <v>9.9</v>
      </c>
      <c r="R82" s="6"/>
      <c r="S82" s="6"/>
      <c r="T82" s="156"/>
      <c r="U82" s="6"/>
    </row>
    <row r="83" spans="1:21" customFormat="1">
      <c r="A83" s="163" t="s">
        <v>1850</v>
      </c>
      <c r="B83" s="100">
        <v>4.05</v>
      </c>
      <c r="C83" s="100">
        <v>6.97</v>
      </c>
      <c r="D83" s="100">
        <v>2.92</v>
      </c>
      <c r="E83" s="100">
        <v>4.7300000000000004</v>
      </c>
      <c r="F83" s="100">
        <v>20.23</v>
      </c>
      <c r="G83" s="100">
        <v>54.44</v>
      </c>
      <c r="H83" s="100">
        <v>10.68</v>
      </c>
      <c r="I83" s="100">
        <v>3.55</v>
      </c>
      <c r="J83" s="100">
        <v>0.42</v>
      </c>
      <c r="K83" s="100">
        <v>246.09</v>
      </c>
      <c r="L83" s="100">
        <v>30.94</v>
      </c>
      <c r="M83" s="100">
        <v>62.77</v>
      </c>
      <c r="N83" s="100">
        <v>5.9</v>
      </c>
      <c r="O83" s="100">
        <v>0</v>
      </c>
      <c r="P83" s="100">
        <v>0.3</v>
      </c>
      <c r="Q83" s="100">
        <v>9.91</v>
      </c>
      <c r="R83" s="6"/>
      <c r="S83" s="6"/>
      <c r="T83" s="156"/>
      <c r="U83" s="6"/>
    </row>
    <row r="84" spans="1:21" customFormat="1">
      <c r="A84" s="163" t="s">
        <v>1851</v>
      </c>
      <c r="B84" s="100">
        <v>4.05</v>
      </c>
      <c r="C84" s="100">
        <v>7</v>
      </c>
      <c r="D84" s="100">
        <v>2.95</v>
      </c>
      <c r="E84" s="100">
        <v>4.99</v>
      </c>
      <c r="F84" s="100">
        <v>19.25</v>
      </c>
      <c r="G84" s="100">
        <v>54.44</v>
      </c>
      <c r="H84" s="100">
        <v>10.68</v>
      </c>
      <c r="I84" s="100">
        <v>3.54</v>
      </c>
      <c r="J84" s="100">
        <v>0.49</v>
      </c>
      <c r="K84" s="100">
        <v>247</v>
      </c>
      <c r="L84" s="100">
        <v>30.81</v>
      </c>
      <c r="M84" s="100">
        <v>63.4</v>
      </c>
      <c r="N84" s="100">
        <v>2.4</v>
      </c>
      <c r="O84" s="100">
        <v>0</v>
      </c>
      <c r="P84" s="100">
        <v>0.3</v>
      </c>
      <c r="Q84" s="100">
        <v>9.93</v>
      </c>
      <c r="R84" s="6"/>
      <c r="S84" s="6"/>
      <c r="T84" s="156"/>
      <c r="U84" s="6"/>
    </row>
    <row r="85" spans="1:21" customFormat="1">
      <c r="A85" s="163" t="s">
        <v>1852</v>
      </c>
      <c r="B85" s="100">
        <v>3.85</v>
      </c>
      <c r="C85" s="100">
        <v>6.59</v>
      </c>
      <c r="D85" s="100">
        <v>2.75</v>
      </c>
      <c r="E85" s="100">
        <v>5.03</v>
      </c>
      <c r="F85" s="100">
        <v>12.27</v>
      </c>
      <c r="G85" s="100">
        <v>53.76</v>
      </c>
      <c r="H85" s="100">
        <v>11.57</v>
      </c>
      <c r="I85" s="100">
        <v>3.52</v>
      </c>
      <c r="J85" s="100">
        <v>0.53</v>
      </c>
      <c r="K85" s="100">
        <v>246.02</v>
      </c>
      <c r="L85" s="100">
        <v>30.78</v>
      </c>
      <c r="M85" s="100">
        <v>63.56</v>
      </c>
      <c r="N85" s="100">
        <v>2</v>
      </c>
      <c r="O85" s="100">
        <v>0</v>
      </c>
      <c r="P85" s="100">
        <v>0.32</v>
      </c>
      <c r="Q85" s="100">
        <v>9.9</v>
      </c>
      <c r="R85" s="6"/>
      <c r="S85" s="6"/>
      <c r="T85" s="156"/>
      <c r="U85" s="6"/>
    </row>
    <row r="86" spans="1:21" customFormat="1">
      <c r="A86" s="163" t="s">
        <v>1853</v>
      </c>
      <c r="B86" s="100">
        <v>3.73</v>
      </c>
      <c r="C86" s="100">
        <v>6.79</v>
      </c>
      <c r="D86" s="100">
        <v>3.07</v>
      </c>
      <c r="E86" s="100">
        <v>5.08</v>
      </c>
      <c r="F86" s="100">
        <v>10.85</v>
      </c>
      <c r="G86" s="100">
        <v>52.09</v>
      </c>
      <c r="H86" s="100">
        <v>12.97</v>
      </c>
      <c r="I86" s="100">
        <v>3.55</v>
      </c>
      <c r="J86" s="100">
        <v>0.59</v>
      </c>
      <c r="K86" s="100">
        <v>251.75</v>
      </c>
      <c r="L86" s="100">
        <v>30.69</v>
      </c>
      <c r="M86" s="100">
        <v>63.99</v>
      </c>
      <c r="N86" s="100">
        <v>1.9</v>
      </c>
      <c r="O86" s="100">
        <v>0</v>
      </c>
      <c r="P86" s="100">
        <v>0.33</v>
      </c>
      <c r="Q86" s="100">
        <v>9.8800000000000008</v>
      </c>
      <c r="R86" s="6"/>
      <c r="S86" s="6"/>
      <c r="T86" s="156"/>
      <c r="U86" s="6"/>
    </row>
    <row r="87" spans="1:21" customFormat="1">
      <c r="A87" s="163" t="s">
        <v>1854</v>
      </c>
      <c r="B87" s="100">
        <v>3.69</v>
      </c>
      <c r="C87" s="100">
        <v>6.66</v>
      </c>
      <c r="D87" s="100">
        <v>2.97</v>
      </c>
      <c r="E87" s="100">
        <v>5.56</v>
      </c>
      <c r="F87" s="100">
        <v>8.58</v>
      </c>
      <c r="G87" s="100">
        <v>52.09</v>
      </c>
      <c r="H87" s="100">
        <v>12.97</v>
      </c>
      <c r="I87" s="100">
        <v>3.7</v>
      </c>
      <c r="J87" s="100">
        <v>0.82</v>
      </c>
      <c r="K87" s="100">
        <v>252.92</v>
      </c>
      <c r="L87" s="100">
        <v>30.69</v>
      </c>
      <c r="M87" s="100">
        <v>63.78</v>
      </c>
      <c r="N87" s="100">
        <v>1.9</v>
      </c>
      <c r="O87" s="100">
        <v>0</v>
      </c>
      <c r="P87" s="100">
        <v>0.33</v>
      </c>
      <c r="Q87" s="100">
        <v>9.9</v>
      </c>
      <c r="R87" s="6"/>
      <c r="S87" s="6"/>
      <c r="T87" s="156"/>
      <c r="U87" s="6"/>
    </row>
    <row r="88" spans="1:21" customFormat="1">
      <c r="A88" s="163" t="s">
        <v>1855</v>
      </c>
      <c r="B88" s="100">
        <v>3.68</v>
      </c>
      <c r="C88" s="100">
        <v>6.43</v>
      </c>
      <c r="D88" s="100">
        <v>2.76</v>
      </c>
      <c r="E88" s="100">
        <v>5</v>
      </c>
      <c r="F88" s="100">
        <v>12.82</v>
      </c>
      <c r="G88" s="100">
        <v>52.09</v>
      </c>
      <c r="H88" s="100">
        <v>12.97</v>
      </c>
      <c r="I88" s="100">
        <v>4.08</v>
      </c>
      <c r="J88" s="100">
        <v>0.74</v>
      </c>
      <c r="K88" s="100">
        <v>251.03</v>
      </c>
      <c r="L88" s="100">
        <v>30.65</v>
      </c>
      <c r="M88" s="100">
        <v>64.34</v>
      </c>
      <c r="N88" s="100">
        <v>2</v>
      </c>
      <c r="O88" s="100">
        <v>0</v>
      </c>
      <c r="P88" s="100">
        <v>0.32</v>
      </c>
      <c r="Q88" s="100">
        <v>9.91</v>
      </c>
      <c r="R88" s="6"/>
      <c r="S88" s="6"/>
      <c r="T88" s="156"/>
      <c r="U88" s="6"/>
    </row>
    <row r="89" spans="1:21" customFormat="1">
      <c r="A89" s="163" t="s">
        <v>1856</v>
      </c>
      <c r="B89" s="100">
        <v>3.78</v>
      </c>
      <c r="C89" s="100">
        <v>6.58</v>
      </c>
      <c r="D89" s="100">
        <v>2.8</v>
      </c>
      <c r="E89" s="100">
        <v>4.8</v>
      </c>
      <c r="F89" s="100">
        <v>6.1</v>
      </c>
      <c r="G89" s="100">
        <v>53.21</v>
      </c>
      <c r="H89" s="100">
        <v>13.66</v>
      </c>
      <c r="I89" s="100">
        <v>3.92</v>
      </c>
      <c r="J89" s="100">
        <v>0.91</v>
      </c>
      <c r="K89" s="100">
        <v>252.85</v>
      </c>
      <c r="L89" s="100">
        <v>30.45</v>
      </c>
      <c r="M89" s="100">
        <v>64.67</v>
      </c>
      <c r="N89" s="100">
        <v>2.1</v>
      </c>
      <c r="O89" s="100">
        <v>0</v>
      </c>
      <c r="P89" s="100">
        <v>0.31</v>
      </c>
      <c r="Q89" s="100">
        <v>9.9</v>
      </c>
      <c r="R89" s="6"/>
      <c r="S89" s="6"/>
      <c r="T89" s="156"/>
      <c r="U89" s="6"/>
    </row>
    <row r="90" spans="1:21" customFormat="1">
      <c r="A90" s="163" t="s">
        <v>1857</v>
      </c>
      <c r="B90" s="100">
        <v>3.74</v>
      </c>
      <c r="C90" s="100">
        <v>7.88</v>
      </c>
      <c r="D90" s="100">
        <v>4.1399999999999997</v>
      </c>
      <c r="E90" s="100">
        <v>5.31</v>
      </c>
      <c r="F90" s="100">
        <v>4.37</v>
      </c>
      <c r="G90" s="100">
        <v>55.96</v>
      </c>
      <c r="H90" s="100">
        <v>14.74</v>
      </c>
      <c r="I90" s="100">
        <v>3.83</v>
      </c>
      <c r="J90" s="100">
        <v>0.88</v>
      </c>
      <c r="K90" s="100">
        <v>251.25</v>
      </c>
      <c r="L90" s="100">
        <v>30.31</v>
      </c>
      <c r="M90" s="100">
        <v>65.069999999999993</v>
      </c>
      <c r="N90" s="100">
        <v>2.1</v>
      </c>
      <c r="O90" s="100">
        <v>0</v>
      </c>
      <c r="P90" s="100">
        <v>0.28000000000000003</v>
      </c>
      <c r="Q90" s="100">
        <v>9.89</v>
      </c>
      <c r="R90" s="6"/>
      <c r="S90" s="6"/>
      <c r="T90" s="156"/>
      <c r="U90" s="6"/>
    </row>
    <row r="91" spans="1:21" customFormat="1">
      <c r="A91" s="163" t="s">
        <v>1858</v>
      </c>
      <c r="B91" s="100">
        <v>3.74</v>
      </c>
      <c r="C91" s="100">
        <v>7.82</v>
      </c>
      <c r="D91" s="100">
        <v>4.07</v>
      </c>
      <c r="E91" s="100">
        <v>5.49</v>
      </c>
      <c r="F91" s="100">
        <v>4.41</v>
      </c>
      <c r="G91" s="100">
        <v>55.96</v>
      </c>
      <c r="H91" s="100">
        <v>14.74</v>
      </c>
      <c r="I91" s="100">
        <v>3.91</v>
      </c>
      <c r="J91" s="100">
        <v>1.06</v>
      </c>
      <c r="K91" s="100">
        <v>251.33</v>
      </c>
      <c r="L91" s="100">
        <v>30.09</v>
      </c>
      <c r="M91" s="100">
        <v>65.42</v>
      </c>
      <c r="N91" s="100">
        <v>2.4</v>
      </c>
      <c r="O91" s="100">
        <v>0</v>
      </c>
      <c r="P91" s="100">
        <v>0.27</v>
      </c>
      <c r="Q91" s="100">
        <v>9.89</v>
      </c>
      <c r="R91" s="6"/>
      <c r="S91" s="6"/>
      <c r="T91" s="156"/>
      <c r="U91" s="6"/>
    </row>
    <row r="92" spans="1:21" customFormat="1">
      <c r="A92" s="163" t="s">
        <v>1859</v>
      </c>
      <c r="B92" s="100">
        <v>3.72</v>
      </c>
      <c r="C92" s="100">
        <v>7.69</v>
      </c>
      <c r="D92" s="100">
        <v>3.98</v>
      </c>
      <c r="E92" s="100">
        <v>6.02</v>
      </c>
      <c r="F92" s="100">
        <v>4.33</v>
      </c>
      <c r="G92" s="100">
        <v>55.96</v>
      </c>
      <c r="H92" s="100">
        <v>14.74</v>
      </c>
      <c r="I92" s="100">
        <v>3.95</v>
      </c>
      <c r="J92" s="100">
        <v>0.84</v>
      </c>
      <c r="K92" s="100">
        <v>251.16</v>
      </c>
      <c r="L92" s="100">
        <v>29.3</v>
      </c>
      <c r="M92" s="100">
        <v>65.87</v>
      </c>
      <c r="N92" s="100">
        <v>3</v>
      </c>
      <c r="O92" s="100">
        <v>0</v>
      </c>
      <c r="P92" s="100">
        <v>0.27</v>
      </c>
      <c r="Q92" s="100">
        <v>9.89</v>
      </c>
      <c r="R92" s="6"/>
      <c r="S92" s="6"/>
      <c r="T92" s="156"/>
      <c r="U92" s="6"/>
    </row>
    <row r="93" spans="1:21" customFormat="1">
      <c r="A93" s="163" t="s">
        <v>1860</v>
      </c>
      <c r="B93" s="100">
        <v>3.69</v>
      </c>
      <c r="C93" s="100">
        <v>7.63</v>
      </c>
      <c r="D93" s="100">
        <v>3.94</v>
      </c>
      <c r="E93" s="100">
        <v>5.75</v>
      </c>
      <c r="F93" s="100">
        <v>4.18</v>
      </c>
      <c r="G93" s="100">
        <v>54.56</v>
      </c>
      <c r="H93" s="100">
        <v>13.8</v>
      </c>
      <c r="I93" s="100">
        <v>3.92</v>
      </c>
      <c r="J93" s="100">
        <v>0.85</v>
      </c>
      <c r="K93" s="100">
        <v>250.35</v>
      </c>
      <c r="L93" s="100">
        <v>28.86</v>
      </c>
      <c r="M93" s="100">
        <v>68.959999999999994</v>
      </c>
      <c r="N93" s="100">
        <v>2.4</v>
      </c>
      <c r="O93" s="100">
        <v>0</v>
      </c>
      <c r="P93" s="100">
        <v>0.28000000000000003</v>
      </c>
      <c r="Q93" s="100">
        <v>9.89</v>
      </c>
      <c r="R93" s="6"/>
      <c r="S93" s="6"/>
      <c r="T93" s="156"/>
      <c r="U93" s="6"/>
    </row>
    <row r="94" spans="1:21" customFormat="1">
      <c r="A94" s="163" t="s">
        <v>1861</v>
      </c>
      <c r="B94" s="100">
        <v>3.68</v>
      </c>
      <c r="C94" s="100">
        <v>7.6</v>
      </c>
      <c r="D94" s="100">
        <v>3.93</v>
      </c>
      <c r="E94" s="100">
        <v>5.8</v>
      </c>
      <c r="F94" s="100">
        <v>3.58</v>
      </c>
      <c r="G94" s="100">
        <v>51.12</v>
      </c>
      <c r="H94" s="100">
        <v>12.31</v>
      </c>
      <c r="I94" s="100">
        <v>3.76</v>
      </c>
      <c r="J94" s="100">
        <v>0.73</v>
      </c>
      <c r="K94" s="100">
        <v>256.33999999999997</v>
      </c>
      <c r="L94" s="100">
        <v>28.96</v>
      </c>
      <c r="M94" s="100">
        <v>70.2</v>
      </c>
      <c r="N94" s="100">
        <v>1.8</v>
      </c>
      <c r="O94" s="100">
        <v>0</v>
      </c>
      <c r="P94" s="100">
        <v>0.27</v>
      </c>
      <c r="Q94" s="100">
        <v>9.9</v>
      </c>
      <c r="R94" s="6"/>
      <c r="S94" s="6"/>
      <c r="T94" s="156"/>
      <c r="U94" s="6"/>
    </row>
    <row r="95" spans="1:21" customFormat="1">
      <c r="A95" s="163" t="s">
        <v>1862</v>
      </c>
      <c r="B95" s="100">
        <v>3.7</v>
      </c>
      <c r="C95" s="100">
        <v>7.46</v>
      </c>
      <c r="D95" s="100">
        <v>3.77</v>
      </c>
      <c r="E95" s="100">
        <v>6.15</v>
      </c>
      <c r="F95" s="100">
        <v>3.02</v>
      </c>
      <c r="G95" s="100">
        <v>51.12</v>
      </c>
      <c r="H95" s="100">
        <v>12.31</v>
      </c>
      <c r="I95" s="100">
        <v>3.72</v>
      </c>
      <c r="J95" s="100">
        <v>0.97</v>
      </c>
      <c r="K95" s="100">
        <v>254.95</v>
      </c>
      <c r="L95" s="100">
        <v>28.94</v>
      </c>
      <c r="M95" s="100">
        <v>68.75</v>
      </c>
      <c r="N95" s="100">
        <v>1.9</v>
      </c>
      <c r="O95" s="100">
        <v>0</v>
      </c>
      <c r="P95" s="100">
        <v>0.27</v>
      </c>
      <c r="Q95" s="100">
        <v>9.9</v>
      </c>
      <c r="R95" s="6"/>
      <c r="S95" s="6"/>
      <c r="T95" s="156"/>
      <c r="U95" s="6"/>
    </row>
    <row r="96" spans="1:21" customFormat="1">
      <c r="A96" s="163" t="s">
        <v>1863</v>
      </c>
      <c r="B96" s="100">
        <v>3.71</v>
      </c>
      <c r="C96" s="100">
        <v>7.36</v>
      </c>
      <c r="D96" s="100">
        <v>3.65</v>
      </c>
      <c r="E96" s="100">
        <v>6.18</v>
      </c>
      <c r="F96" s="100">
        <v>2.96</v>
      </c>
      <c r="G96" s="100">
        <v>51.12</v>
      </c>
      <c r="H96" s="100">
        <v>12.31</v>
      </c>
      <c r="I96" s="100">
        <v>3.63</v>
      </c>
      <c r="J96" s="100">
        <v>0.57999999999999996</v>
      </c>
      <c r="K96" s="100">
        <v>252.91</v>
      </c>
      <c r="L96" s="100">
        <v>28.81</v>
      </c>
      <c r="M96" s="100">
        <v>67.28</v>
      </c>
      <c r="N96" s="100">
        <v>2</v>
      </c>
      <c r="O96" s="100">
        <v>0</v>
      </c>
      <c r="P96" s="100">
        <v>0.26</v>
      </c>
      <c r="Q96" s="100">
        <v>9.91</v>
      </c>
      <c r="R96" s="6"/>
      <c r="S96" s="6"/>
      <c r="T96" s="156"/>
      <c r="U96" s="6"/>
    </row>
    <row r="97" spans="1:28" customFormat="1">
      <c r="A97" s="163" t="s">
        <v>1864</v>
      </c>
      <c r="B97" s="100">
        <v>3.68</v>
      </c>
      <c r="C97" s="100">
        <v>7.34</v>
      </c>
      <c r="D97" s="100">
        <v>3.66</v>
      </c>
      <c r="E97" s="100">
        <v>6</v>
      </c>
      <c r="F97" s="100">
        <v>3.21</v>
      </c>
      <c r="G97" s="100">
        <v>47.8</v>
      </c>
      <c r="H97" s="100">
        <v>12.02</v>
      </c>
      <c r="I97" s="100">
        <v>3.59</v>
      </c>
      <c r="J97" s="100">
        <v>0.48</v>
      </c>
      <c r="K97" s="100">
        <v>255.09</v>
      </c>
      <c r="L97" s="100">
        <v>28.72</v>
      </c>
      <c r="M97" s="100">
        <v>66.88</v>
      </c>
      <c r="N97" s="100">
        <v>2</v>
      </c>
      <c r="O97" s="100">
        <v>0</v>
      </c>
      <c r="P97" s="100">
        <v>0.26</v>
      </c>
      <c r="Q97" s="100">
        <v>9.9</v>
      </c>
      <c r="R97" s="6"/>
      <c r="S97" s="6"/>
      <c r="T97" s="156"/>
      <c r="U97" s="6"/>
    </row>
    <row r="98" spans="1:28" customFormat="1">
      <c r="A98" s="163" t="s">
        <v>1865</v>
      </c>
      <c r="B98" s="100">
        <v>3.69</v>
      </c>
      <c r="C98" s="100">
        <v>7.39</v>
      </c>
      <c r="D98" s="100">
        <v>3.7</v>
      </c>
      <c r="E98" s="100">
        <v>5.98</v>
      </c>
      <c r="F98" s="100">
        <v>3.46</v>
      </c>
      <c r="G98" s="100">
        <v>39.61</v>
      </c>
      <c r="H98" s="100">
        <v>10.84</v>
      </c>
      <c r="I98" s="100">
        <v>3.53</v>
      </c>
      <c r="J98" s="100">
        <v>0.54</v>
      </c>
      <c r="K98" s="100">
        <v>253.66</v>
      </c>
      <c r="L98" s="100">
        <v>28.63</v>
      </c>
      <c r="M98" s="100">
        <v>67.319999999999993</v>
      </c>
      <c r="N98" s="100">
        <v>2</v>
      </c>
      <c r="O98" s="100">
        <v>0</v>
      </c>
      <c r="P98" s="100">
        <v>0.27</v>
      </c>
      <c r="Q98" s="100">
        <v>9.92</v>
      </c>
      <c r="R98" s="6"/>
      <c r="S98" s="6"/>
      <c r="T98" s="156"/>
      <c r="U98" s="6"/>
    </row>
    <row r="99" spans="1:28" customFormat="1">
      <c r="A99" s="163" t="s">
        <v>1866</v>
      </c>
      <c r="B99" s="100">
        <v>3.71</v>
      </c>
      <c r="C99" s="100">
        <v>7.41</v>
      </c>
      <c r="D99" s="100">
        <v>3.69</v>
      </c>
      <c r="E99" s="100">
        <v>6.29</v>
      </c>
      <c r="F99" s="100">
        <v>3.13</v>
      </c>
      <c r="G99" s="100">
        <v>39.61</v>
      </c>
      <c r="H99" s="100">
        <v>10.84</v>
      </c>
      <c r="I99" s="100">
        <v>3.47</v>
      </c>
      <c r="J99" s="100">
        <v>0.83</v>
      </c>
      <c r="K99" s="100">
        <v>250.66</v>
      </c>
      <c r="L99" s="100">
        <v>28.56</v>
      </c>
      <c r="M99" s="100">
        <v>67.34</v>
      </c>
      <c r="N99" s="100">
        <v>2</v>
      </c>
      <c r="O99" s="100">
        <v>0</v>
      </c>
      <c r="P99" s="100">
        <v>0.25</v>
      </c>
      <c r="Q99" s="100">
        <v>9.9</v>
      </c>
      <c r="R99" s="6"/>
      <c r="S99" s="6"/>
      <c r="T99" s="156"/>
      <c r="U99" s="6"/>
    </row>
    <row r="100" spans="1:28" customFormat="1">
      <c r="A100" s="163" t="s">
        <v>1867</v>
      </c>
      <c r="B100" s="100">
        <v>3.73</v>
      </c>
      <c r="C100" s="100">
        <v>7.39</v>
      </c>
      <c r="D100" s="100">
        <v>3.66</v>
      </c>
      <c r="E100" s="100">
        <v>6.28</v>
      </c>
      <c r="F100" s="100">
        <v>3.05</v>
      </c>
      <c r="G100" s="100">
        <v>39.61</v>
      </c>
      <c r="H100" s="100">
        <v>10.84</v>
      </c>
      <c r="I100" s="100">
        <v>3.42</v>
      </c>
      <c r="J100" s="100">
        <v>0.47</v>
      </c>
      <c r="K100" s="100">
        <v>245.31</v>
      </c>
      <c r="L100" s="100">
        <v>28.45</v>
      </c>
      <c r="M100" s="100">
        <v>68.37</v>
      </c>
      <c r="N100" s="100">
        <v>2</v>
      </c>
      <c r="O100" s="100">
        <v>0</v>
      </c>
      <c r="P100" s="100">
        <v>0.26</v>
      </c>
      <c r="Q100" s="100">
        <v>9.9</v>
      </c>
      <c r="R100" s="6"/>
      <c r="S100" s="6"/>
      <c r="T100" s="156"/>
      <c r="U100" s="6"/>
      <c r="AB100" s="161"/>
    </row>
    <row r="101" spans="1:28" customFormat="1">
      <c r="A101" s="163" t="s">
        <v>1868</v>
      </c>
      <c r="B101" s="100">
        <v>3.73</v>
      </c>
      <c r="C101" s="100">
        <v>7.35</v>
      </c>
      <c r="D101" s="100">
        <v>3.62</v>
      </c>
      <c r="E101" s="100">
        <v>6.28</v>
      </c>
      <c r="F101" s="100">
        <v>3.42</v>
      </c>
      <c r="G101" s="100">
        <v>37.340000000000003</v>
      </c>
      <c r="H101" s="100">
        <v>9.67</v>
      </c>
      <c r="I101" s="100">
        <v>3.4</v>
      </c>
      <c r="J101" s="100">
        <v>0.31</v>
      </c>
      <c r="K101" s="100">
        <v>244.19</v>
      </c>
      <c r="L101" s="100">
        <v>28.32</v>
      </c>
      <c r="M101" s="100">
        <v>69.459999999999994</v>
      </c>
      <c r="N101" s="100">
        <v>2.1</v>
      </c>
      <c r="O101" s="100">
        <v>0</v>
      </c>
      <c r="P101" s="100">
        <v>0.26</v>
      </c>
      <c r="Q101" s="100">
        <v>9.89</v>
      </c>
      <c r="R101" s="6"/>
      <c r="S101" s="6"/>
      <c r="T101" s="156"/>
      <c r="U101" s="6"/>
    </row>
    <row r="102" spans="1:28" customFormat="1">
      <c r="A102" s="163" t="s">
        <v>1869</v>
      </c>
      <c r="B102" s="100">
        <v>3.73</v>
      </c>
      <c r="C102" s="100">
        <v>7.38</v>
      </c>
      <c r="D102" s="100">
        <v>3.65</v>
      </c>
      <c r="E102" s="100">
        <v>6.37</v>
      </c>
      <c r="F102" s="100">
        <v>3.19</v>
      </c>
      <c r="G102" s="100">
        <v>31.74</v>
      </c>
      <c r="H102" s="100">
        <v>7.84</v>
      </c>
      <c r="I102" s="100">
        <v>3.4</v>
      </c>
      <c r="J102" s="100">
        <v>0.32</v>
      </c>
      <c r="K102" s="100">
        <v>246.72</v>
      </c>
      <c r="L102" s="100">
        <v>28.21</v>
      </c>
      <c r="M102" s="100">
        <v>70.319999999999993</v>
      </c>
      <c r="N102" s="100">
        <v>2</v>
      </c>
      <c r="O102" s="100">
        <v>0</v>
      </c>
      <c r="P102" s="100">
        <v>0.26</v>
      </c>
      <c r="Q102" s="100">
        <v>9.89</v>
      </c>
      <c r="R102" s="6"/>
      <c r="S102" s="6"/>
      <c r="T102" s="156"/>
      <c r="U102" s="6"/>
    </row>
    <row r="103" spans="1:28" customFormat="1">
      <c r="A103" s="163" t="s">
        <v>1870</v>
      </c>
      <c r="B103" s="100">
        <v>3.79</v>
      </c>
      <c r="C103" s="100">
        <v>7.37</v>
      </c>
      <c r="D103" s="100">
        <v>3.57</v>
      </c>
      <c r="E103" s="100">
        <v>6.48</v>
      </c>
      <c r="F103" s="100">
        <v>2.99</v>
      </c>
      <c r="G103" s="100">
        <v>31.74</v>
      </c>
      <c r="H103" s="100">
        <v>7.84</v>
      </c>
      <c r="I103" s="100">
        <v>3.31</v>
      </c>
      <c r="J103" s="100">
        <v>0.38</v>
      </c>
      <c r="K103" s="100">
        <v>251.95</v>
      </c>
      <c r="L103" s="100">
        <v>28.16</v>
      </c>
      <c r="M103" s="100">
        <v>70.34</v>
      </c>
      <c r="N103" s="100">
        <v>2</v>
      </c>
      <c r="O103" s="100">
        <v>0</v>
      </c>
      <c r="P103" s="100">
        <v>0.25</v>
      </c>
      <c r="Q103" s="100">
        <v>9.91</v>
      </c>
      <c r="R103" s="6"/>
      <c r="S103" s="6"/>
      <c r="T103" s="156"/>
      <c r="U103" s="6"/>
    </row>
    <row r="104" spans="1:28" customFormat="1">
      <c r="A104" s="163" t="s">
        <v>1871</v>
      </c>
      <c r="B104" s="100">
        <v>3.8</v>
      </c>
      <c r="C104" s="100">
        <v>7.39</v>
      </c>
      <c r="D104" s="100">
        <v>3.59</v>
      </c>
      <c r="E104" s="100">
        <v>6.55</v>
      </c>
      <c r="F104" s="100">
        <v>3.14</v>
      </c>
      <c r="G104" s="100">
        <v>31.74</v>
      </c>
      <c r="H104" s="100">
        <v>7.84</v>
      </c>
      <c r="I104" s="100">
        <v>3.35</v>
      </c>
      <c r="J104" s="100">
        <v>0.45</v>
      </c>
      <c r="K104" s="100">
        <v>252.69</v>
      </c>
      <c r="L104" s="100">
        <v>28.2</v>
      </c>
      <c r="M104" s="100">
        <v>70.38</v>
      </c>
      <c r="N104" s="100">
        <v>1.9</v>
      </c>
      <c r="O104" s="100">
        <v>0</v>
      </c>
      <c r="P104" s="100">
        <v>0.25</v>
      </c>
      <c r="Q104" s="100">
        <v>9.89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3.68</v>
      </c>
      <c r="C106" s="158">
        <f>MIN(C9:C104)</f>
        <v>6.43</v>
      </c>
      <c r="D106" s="158">
        <f t="shared" ref="D106:Q106" si="0">MIN(D9:D104)</f>
        <v>2.09</v>
      </c>
      <c r="E106" s="158">
        <f t="shared" si="0"/>
        <v>2.62</v>
      </c>
      <c r="F106" s="158">
        <f t="shared" si="0"/>
        <v>2.2599999999999998</v>
      </c>
      <c r="G106" s="158">
        <f t="shared" si="0"/>
        <v>13.34</v>
      </c>
      <c r="H106" s="158">
        <f t="shared" si="0"/>
        <v>2.72</v>
      </c>
      <c r="I106" s="158">
        <f t="shared" si="0"/>
        <v>2.88</v>
      </c>
      <c r="J106" s="158">
        <f t="shared" si="0"/>
        <v>0.11</v>
      </c>
      <c r="K106" s="158">
        <f t="shared" si="0"/>
        <v>207.84</v>
      </c>
      <c r="L106" s="158">
        <f t="shared" si="0"/>
        <v>27.33</v>
      </c>
      <c r="M106" s="158">
        <f t="shared" si="0"/>
        <v>56.84</v>
      </c>
      <c r="N106" s="158">
        <f t="shared" si="0"/>
        <v>1.7</v>
      </c>
      <c r="O106" s="158">
        <f t="shared" si="0"/>
        <v>0</v>
      </c>
      <c r="P106" s="158">
        <f t="shared" si="0"/>
        <v>0.16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5.19</v>
      </c>
      <c r="C107" s="157">
        <f t="shared" ref="C107:Q107" si="1">MAX(C9:C104)</f>
        <v>9.49</v>
      </c>
      <c r="D107" s="157">
        <f t="shared" si="1"/>
        <v>5.01</v>
      </c>
      <c r="E107" s="157">
        <f t="shared" si="1"/>
        <v>6.55</v>
      </c>
      <c r="F107" s="157">
        <f t="shared" si="1"/>
        <v>20.23</v>
      </c>
      <c r="G107" s="157">
        <f t="shared" si="1"/>
        <v>63.15</v>
      </c>
      <c r="H107" s="157">
        <f t="shared" si="1"/>
        <v>14.74</v>
      </c>
      <c r="I107" s="157">
        <f t="shared" si="1"/>
        <v>4.4800000000000004</v>
      </c>
      <c r="J107" s="157">
        <f t="shared" si="1"/>
        <v>1.24</v>
      </c>
      <c r="K107" s="157">
        <f t="shared" si="1"/>
        <v>277.68</v>
      </c>
      <c r="L107" s="157">
        <f t="shared" si="1"/>
        <v>32.75</v>
      </c>
      <c r="M107" s="157">
        <f t="shared" si="1"/>
        <v>82.67</v>
      </c>
      <c r="N107" s="157">
        <f t="shared" si="1"/>
        <v>383.4</v>
      </c>
      <c r="O107" s="157">
        <f t="shared" si="1"/>
        <v>0</v>
      </c>
      <c r="P107" s="157">
        <f t="shared" si="1"/>
        <v>0.34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4.2372916666666685</v>
      </c>
      <c r="C108" s="158">
        <f t="shared" ref="C108:Q108" si="2">AVERAGE(C9:C104)</f>
        <v>7.5702083333333343</v>
      </c>
      <c r="D108" s="158">
        <f t="shared" si="2"/>
        <v>3.3328124999999988</v>
      </c>
      <c r="E108" s="158">
        <f t="shared" si="2"/>
        <v>5.2072916666666673</v>
      </c>
      <c r="F108" s="158">
        <f t="shared" si="2"/>
        <v>5.320104166666666</v>
      </c>
      <c r="G108" s="158">
        <f t="shared" si="2"/>
        <v>34.534270833333345</v>
      </c>
      <c r="H108" s="158">
        <f t="shared" si="2"/>
        <v>8.6168750000000003</v>
      </c>
      <c r="I108" s="158">
        <f t="shared" si="2"/>
        <v>3.5610416666666662</v>
      </c>
      <c r="J108" s="158">
        <f t="shared" si="2"/>
        <v>0.74260416666666673</v>
      </c>
      <c r="K108" s="158">
        <f t="shared" si="2"/>
        <v>252.17124999999996</v>
      </c>
      <c r="L108" s="158">
        <f t="shared" si="2"/>
        <v>29.603750000000009</v>
      </c>
      <c r="M108" s="158">
        <f t="shared" si="2"/>
        <v>69.284166666666664</v>
      </c>
      <c r="N108" s="158">
        <f t="shared" si="2"/>
        <v>94.776041666666643</v>
      </c>
      <c r="O108" s="158">
        <f t="shared" si="2"/>
        <v>0</v>
      </c>
      <c r="P108" s="158">
        <f t="shared" si="2"/>
        <v>0.23989583333333339</v>
      </c>
      <c r="Q108" s="158">
        <f t="shared" si="2"/>
        <v>9.908229166666656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0.36987758762131207</v>
      </c>
      <c r="C109" s="158">
        <f t="shared" ref="C109:Q109" si="3">STDEV(C9:C104)</f>
        <v>0.82388294923191352</v>
      </c>
      <c r="D109" s="158">
        <f t="shared" si="3"/>
        <v>0.72577755490958462</v>
      </c>
      <c r="E109" s="158">
        <f t="shared" si="3"/>
        <v>0.74451606206090326</v>
      </c>
      <c r="F109" s="158">
        <f t="shared" si="3"/>
        <v>4.1020763663480038</v>
      </c>
      <c r="G109" s="158">
        <f t="shared" si="3"/>
        <v>14.797185489480309</v>
      </c>
      <c r="H109" s="158">
        <f t="shared" si="3"/>
        <v>3.689286997867145</v>
      </c>
      <c r="I109" s="158">
        <f t="shared" si="3"/>
        <v>0.35918761895983425</v>
      </c>
      <c r="J109" s="158">
        <f t="shared" si="3"/>
        <v>0.25347373908061721</v>
      </c>
      <c r="K109" s="158">
        <f t="shared" si="3"/>
        <v>7.9790111839553264</v>
      </c>
      <c r="L109" s="158">
        <f t="shared" si="3"/>
        <v>1.7751567758785052</v>
      </c>
      <c r="M109" s="158">
        <f t="shared" si="3"/>
        <v>7.6217683632117241</v>
      </c>
      <c r="N109" s="158">
        <f t="shared" si="3"/>
        <v>119.17291439425023</v>
      </c>
      <c r="O109" s="158">
        <f t="shared" si="3"/>
        <v>0</v>
      </c>
      <c r="P109" s="158">
        <f t="shared" si="3"/>
        <v>5.2785460351893874E-2</v>
      </c>
      <c r="Q109" s="158">
        <f t="shared" si="3"/>
        <v>1.2139087945160649E-2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N12" sqref="N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1872</v>
      </c>
      <c r="B9" s="100">
        <v>3.72</v>
      </c>
      <c r="C9" s="100">
        <v>7.09</v>
      </c>
      <c r="D9" s="100">
        <v>3.37</v>
      </c>
      <c r="E9" s="100">
        <v>6.54</v>
      </c>
      <c r="F9" s="100">
        <v>3.43</v>
      </c>
      <c r="G9" s="100">
        <v>32.26</v>
      </c>
      <c r="H9" s="100">
        <v>8.14</v>
      </c>
      <c r="I9" s="100">
        <v>3.32</v>
      </c>
      <c r="J9" s="100">
        <v>0.33</v>
      </c>
      <c r="K9" s="100">
        <v>252.74</v>
      </c>
      <c r="L9" s="100">
        <v>28.27</v>
      </c>
      <c r="M9" s="100">
        <v>70.36</v>
      </c>
      <c r="N9" s="100">
        <v>2</v>
      </c>
      <c r="O9" s="100">
        <v>0</v>
      </c>
      <c r="P9" s="100">
        <v>0.25</v>
      </c>
      <c r="Q9" s="100">
        <v>9.89</v>
      </c>
      <c r="R9" s="6"/>
      <c r="S9" s="6"/>
      <c r="T9" s="156"/>
      <c r="U9" s="6"/>
    </row>
    <row r="10" spans="1:21" customFormat="1">
      <c r="A10" s="163" t="s">
        <v>1873</v>
      </c>
      <c r="B10" s="100">
        <v>3.77</v>
      </c>
      <c r="C10" s="100">
        <v>7.26</v>
      </c>
      <c r="D10" s="100">
        <v>3.49</v>
      </c>
      <c r="E10" s="100">
        <v>6.77</v>
      </c>
      <c r="F10" s="100">
        <v>3.4</v>
      </c>
      <c r="G10" s="100">
        <v>33.56</v>
      </c>
      <c r="H10" s="100">
        <v>8.6199999999999992</v>
      </c>
      <c r="I10" s="100">
        <v>3.35</v>
      </c>
      <c r="J10" s="100">
        <v>0.35</v>
      </c>
      <c r="K10" s="100">
        <v>247</v>
      </c>
      <c r="L10" s="100">
        <v>28.3</v>
      </c>
      <c r="M10" s="100">
        <v>69.45</v>
      </c>
      <c r="N10" s="100">
        <v>1.9</v>
      </c>
      <c r="O10" s="100">
        <v>0</v>
      </c>
      <c r="P10" s="100">
        <v>0.24</v>
      </c>
      <c r="Q10" s="100">
        <v>9.91</v>
      </c>
      <c r="R10" s="6"/>
      <c r="S10" s="6"/>
      <c r="T10" s="156"/>
      <c r="U10" s="6"/>
    </row>
    <row r="11" spans="1:21" customFormat="1">
      <c r="A11" s="163" t="s">
        <v>1874</v>
      </c>
      <c r="B11" s="100">
        <v>3.77</v>
      </c>
      <c r="C11" s="100">
        <v>7.44</v>
      </c>
      <c r="D11" s="100">
        <v>3.67</v>
      </c>
      <c r="E11" s="100">
        <v>6.77</v>
      </c>
      <c r="F11" s="100">
        <v>3</v>
      </c>
      <c r="G11" s="100">
        <v>33.56</v>
      </c>
      <c r="H11" s="100">
        <v>8.6199999999999992</v>
      </c>
      <c r="I11" s="100">
        <v>3.23</v>
      </c>
      <c r="J11" s="100">
        <v>0.15</v>
      </c>
      <c r="K11" s="100">
        <v>233.27</v>
      </c>
      <c r="L11" s="100">
        <v>28.29</v>
      </c>
      <c r="M11" s="100">
        <v>70.13</v>
      </c>
      <c r="N11" s="100">
        <v>2</v>
      </c>
      <c r="O11" s="100">
        <v>0</v>
      </c>
      <c r="P11" s="100">
        <v>0.25</v>
      </c>
      <c r="Q11" s="100">
        <v>9.9</v>
      </c>
      <c r="R11" s="6"/>
      <c r="S11" s="6"/>
      <c r="T11" s="156"/>
      <c r="U11" s="6"/>
    </row>
    <row r="12" spans="1:21" customFormat="1">
      <c r="A12" s="163" t="s">
        <v>1875</v>
      </c>
      <c r="B12" s="100">
        <v>3.81</v>
      </c>
      <c r="C12" s="100">
        <v>7.52</v>
      </c>
      <c r="D12" s="100">
        <v>3.71</v>
      </c>
      <c r="E12" s="100">
        <v>6.57</v>
      </c>
      <c r="F12" s="100">
        <v>2.87</v>
      </c>
      <c r="G12" s="100">
        <v>33.56</v>
      </c>
      <c r="H12" s="100">
        <v>8.6199999999999992</v>
      </c>
      <c r="I12" s="100">
        <v>3.13</v>
      </c>
      <c r="J12" s="100">
        <v>0.06</v>
      </c>
      <c r="K12" s="100">
        <v>174.09</v>
      </c>
      <c r="L12" s="100">
        <v>28.31</v>
      </c>
      <c r="M12" s="100">
        <v>71.2</v>
      </c>
      <c r="N12" s="100">
        <v>2</v>
      </c>
      <c r="O12" s="100">
        <v>0</v>
      </c>
      <c r="P12" s="100">
        <v>0.27</v>
      </c>
      <c r="Q12" s="100">
        <v>9.9</v>
      </c>
      <c r="R12" s="6"/>
      <c r="S12" s="6"/>
      <c r="T12" s="156"/>
      <c r="U12" s="6"/>
    </row>
    <row r="13" spans="1:21" customFormat="1">
      <c r="A13" s="163" t="s">
        <v>1876</v>
      </c>
      <c r="B13" s="100">
        <v>3.87</v>
      </c>
      <c r="C13" s="100">
        <v>7.61</v>
      </c>
      <c r="D13" s="100">
        <v>3.74</v>
      </c>
      <c r="E13" s="100">
        <v>6.99</v>
      </c>
      <c r="F13" s="100">
        <v>3.31</v>
      </c>
      <c r="G13" s="100">
        <v>33.58</v>
      </c>
      <c r="H13" s="100">
        <v>9.08</v>
      </c>
      <c r="I13" s="100">
        <v>3.21</v>
      </c>
      <c r="J13" s="100">
        <v>0.21</v>
      </c>
      <c r="K13" s="100">
        <v>191.22</v>
      </c>
      <c r="L13" s="100">
        <v>28.14</v>
      </c>
      <c r="M13" s="100">
        <v>72.5</v>
      </c>
      <c r="N13" s="100">
        <v>2</v>
      </c>
      <c r="O13" s="100">
        <v>0</v>
      </c>
      <c r="P13" s="100">
        <v>0.28000000000000003</v>
      </c>
      <c r="Q13" s="100">
        <v>9.9</v>
      </c>
      <c r="R13" s="6"/>
      <c r="S13" s="6"/>
      <c r="T13" s="156"/>
      <c r="U13" s="6"/>
    </row>
    <row r="14" spans="1:21" customFormat="1">
      <c r="A14" s="163" t="s">
        <v>1877</v>
      </c>
      <c r="B14" s="100">
        <v>3.93</v>
      </c>
      <c r="C14" s="100">
        <v>7.9</v>
      </c>
      <c r="D14" s="100">
        <v>3.97</v>
      </c>
      <c r="E14" s="100">
        <v>6.62</v>
      </c>
      <c r="F14" s="100">
        <v>2.98</v>
      </c>
      <c r="G14" s="100">
        <v>33.64</v>
      </c>
      <c r="H14" s="100">
        <v>9.85</v>
      </c>
      <c r="I14" s="100">
        <v>3.27</v>
      </c>
      <c r="J14" s="100">
        <v>0.16</v>
      </c>
      <c r="K14" s="100">
        <v>167.52</v>
      </c>
      <c r="L14" s="100">
        <v>27.88</v>
      </c>
      <c r="M14" s="100">
        <v>74.319999999999993</v>
      </c>
      <c r="N14" s="100">
        <v>2.1</v>
      </c>
      <c r="O14" s="100">
        <v>0</v>
      </c>
      <c r="P14" s="100">
        <v>0.32</v>
      </c>
      <c r="Q14" s="100">
        <v>9.9</v>
      </c>
      <c r="R14" s="6"/>
      <c r="S14" s="6"/>
      <c r="T14" s="156"/>
      <c r="U14" s="6"/>
    </row>
    <row r="15" spans="1:21" customFormat="1">
      <c r="A15" s="163" t="s">
        <v>1878</v>
      </c>
      <c r="B15" s="100">
        <v>4.04</v>
      </c>
      <c r="C15" s="100">
        <v>7.41</v>
      </c>
      <c r="D15" s="100">
        <v>3.37</v>
      </c>
      <c r="E15" s="100">
        <v>6.19</v>
      </c>
      <c r="F15" s="100">
        <v>5.43</v>
      </c>
      <c r="G15" s="100">
        <v>33.64</v>
      </c>
      <c r="H15" s="100">
        <v>9.85</v>
      </c>
      <c r="I15" s="100">
        <v>3.33</v>
      </c>
      <c r="J15" s="100">
        <v>0.13</v>
      </c>
      <c r="K15" s="100">
        <v>192.43</v>
      </c>
      <c r="L15" s="100">
        <v>27.72</v>
      </c>
      <c r="M15" s="100">
        <v>75.16</v>
      </c>
      <c r="N15" s="100">
        <v>2.1</v>
      </c>
      <c r="O15" s="100">
        <v>0</v>
      </c>
      <c r="P15" s="100">
        <v>0.3</v>
      </c>
      <c r="Q15" s="100">
        <v>9.91</v>
      </c>
      <c r="R15" s="6"/>
      <c r="S15" s="6"/>
      <c r="T15" s="156"/>
      <c r="U15" s="6"/>
    </row>
    <row r="16" spans="1:21" customFormat="1">
      <c r="A16" s="163" t="s">
        <v>1879</v>
      </c>
      <c r="B16" s="100">
        <v>4.12</v>
      </c>
      <c r="C16" s="100">
        <v>7.1</v>
      </c>
      <c r="D16" s="100">
        <v>2.98</v>
      </c>
      <c r="E16" s="100">
        <v>5.76</v>
      </c>
      <c r="F16" s="100">
        <v>6.46</v>
      </c>
      <c r="G16" s="100">
        <v>33.64</v>
      </c>
      <c r="H16" s="100">
        <v>9.85</v>
      </c>
      <c r="I16" s="100">
        <v>3.2</v>
      </c>
      <c r="J16" s="100">
        <v>0.15</v>
      </c>
      <c r="K16" s="100">
        <v>201.77</v>
      </c>
      <c r="L16" s="100">
        <v>27.52</v>
      </c>
      <c r="M16" s="100">
        <v>76.69</v>
      </c>
      <c r="N16" s="100">
        <v>2.1</v>
      </c>
      <c r="O16" s="100">
        <v>0</v>
      </c>
      <c r="P16" s="100">
        <v>0.28999999999999998</v>
      </c>
      <c r="Q16" s="100">
        <v>9.92</v>
      </c>
      <c r="R16" s="6"/>
      <c r="S16" s="6"/>
      <c r="T16" s="156"/>
      <c r="U16" s="6"/>
    </row>
    <row r="17" spans="1:21" customFormat="1">
      <c r="A17" s="163" t="s">
        <v>1880</v>
      </c>
      <c r="B17" s="100">
        <v>4.1900000000000004</v>
      </c>
      <c r="C17" s="100">
        <v>6.97</v>
      </c>
      <c r="D17" s="100">
        <v>2.78</v>
      </c>
      <c r="E17" s="100">
        <v>4.3</v>
      </c>
      <c r="F17" s="100">
        <v>6.79</v>
      </c>
      <c r="G17" s="100">
        <v>34.549999999999997</v>
      </c>
      <c r="H17" s="100">
        <v>9.85</v>
      </c>
      <c r="I17" s="100">
        <v>3.14</v>
      </c>
      <c r="J17" s="100">
        <v>0.18</v>
      </c>
      <c r="K17" s="100">
        <v>218.48</v>
      </c>
      <c r="L17" s="100">
        <v>27.53</v>
      </c>
      <c r="M17" s="100">
        <v>76.73</v>
      </c>
      <c r="N17" s="100">
        <v>1.9</v>
      </c>
      <c r="O17" s="100">
        <v>0</v>
      </c>
      <c r="P17" s="100">
        <v>0.28999999999999998</v>
      </c>
      <c r="Q17" s="100">
        <v>9.92</v>
      </c>
      <c r="R17" s="6"/>
      <c r="S17" s="6"/>
      <c r="T17" s="156"/>
      <c r="U17" s="6"/>
    </row>
    <row r="18" spans="1:21" customFormat="1">
      <c r="A18" s="163" t="s">
        <v>1881</v>
      </c>
      <c r="B18" s="100">
        <v>4.4000000000000004</v>
      </c>
      <c r="C18" s="100">
        <v>7.06</v>
      </c>
      <c r="D18" s="100">
        <v>2.66</v>
      </c>
      <c r="E18" s="100">
        <v>5.17</v>
      </c>
      <c r="F18" s="100">
        <v>3.54</v>
      </c>
      <c r="G18" s="100">
        <v>36.799999999999997</v>
      </c>
      <c r="H18" s="100">
        <v>9.85</v>
      </c>
      <c r="I18" s="100">
        <v>3.18</v>
      </c>
      <c r="J18" s="100">
        <v>0.19</v>
      </c>
      <c r="K18" s="100">
        <v>226.93</v>
      </c>
      <c r="L18" s="100">
        <v>27.63</v>
      </c>
      <c r="M18" s="100">
        <v>76.22</v>
      </c>
      <c r="N18" s="100">
        <v>1.9</v>
      </c>
      <c r="O18" s="100">
        <v>0</v>
      </c>
      <c r="P18" s="100">
        <v>0.3</v>
      </c>
      <c r="Q18" s="100">
        <v>9.91</v>
      </c>
      <c r="R18" s="6"/>
      <c r="S18" s="6"/>
      <c r="T18" s="156"/>
      <c r="U18" s="6"/>
    </row>
    <row r="19" spans="1:21" customFormat="1">
      <c r="A19" s="163" t="s">
        <v>1882</v>
      </c>
      <c r="B19" s="100">
        <v>4.46</v>
      </c>
      <c r="C19" s="100">
        <v>7.22</v>
      </c>
      <c r="D19" s="100">
        <v>2.76</v>
      </c>
      <c r="E19" s="100">
        <v>5.32</v>
      </c>
      <c r="F19" s="100">
        <v>4.2</v>
      </c>
      <c r="G19" s="100">
        <v>36.799999999999997</v>
      </c>
      <c r="H19" s="100">
        <v>9.85</v>
      </c>
      <c r="I19" s="100">
        <v>3.4</v>
      </c>
      <c r="J19" s="100">
        <v>0.18</v>
      </c>
      <c r="K19" s="100">
        <v>218.98</v>
      </c>
      <c r="L19" s="100">
        <v>27.58</v>
      </c>
      <c r="M19" s="100">
        <v>76.58</v>
      </c>
      <c r="N19" s="100">
        <v>2</v>
      </c>
      <c r="O19" s="100">
        <v>0</v>
      </c>
      <c r="P19" s="100">
        <v>0.31</v>
      </c>
      <c r="Q19" s="100">
        <v>9.92</v>
      </c>
      <c r="R19" s="6"/>
      <c r="S19" s="6"/>
      <c r="T19" s="156"/>
      <c r="U19" s="6"/>
    </row>
    <row r="20" spans="1:21" customFormat="1">
      <c r="A20" s="163" t="s">
        <v>1883</v>
      </c>
      <c r="B20" s="100">
        <v>4.45</v>
      </c>
      <c r="C20" s="100">
        <v>7.06</v>
      </c>
      <c r="D20" s="100">
        <v>2.61</v>
      </c>
      <c r="E20" s="100">
        <v>4.8099999999999996</v>
      </c>
      <c r="F20" s="100">
        <v>6.36</v>
      </c>
      <c r="G20" s="100">
        <v>36.799999999999997</v>
      </c>
      <c r="H20" s="100">
        <v>9.85</v>
      </c>
      <c r="I20" s="100">
        <v>3.61</v>
      </c>
      <c r="J20" s="100">
        <v>0.18</v>
      </c>
      <c r="K20" s="100">
        <v>204.37</v>
      </c>
      <c r="L20" s="100">
        <v>27.38</v>
      </c>
      <c r="M20" s="100">
        <v>77.94</v>
      </c>
      <c r="N20" s="100">
        <v>2.1</v>
      </c>
      <c r="O20" s="100">
        <v>0</v>
      </c>
      <c r="P20" s="100">
        <v>0.3</v>
      </c>
      <c r="Q20" s="100">
        <v>9.93</v>
      </c>
      <c r="R20" s="6"/>
      <c r="S20" s="6"/>
      <c r="T20" s="156"/>
      <c r="U20" s="6"/>
    </row>
    <row r="21" spans="1:21" customFormat="1">
      <c r="A21" s="163" t="s">
        <v>1884</v>
      </c>
      <c r="B21" s="100">
        <v>4.4800000000000004</v>
      </c>
      <c r="C21" s="100">
        <v>6.94</v>
      </c>
      <c r="D21" s="100">
        <v>2.46</v>
      </c>
      <c r="E21" s="100">
        <v>4.6100000000000003</v>
      </c>
      <c r="F21" s="100">
        <v>5.28</v>
      </c>
      <c r="G21" s="100">
        <v>37.049999999999997</v>
      </c>
      <c r="H21" s="100">
        <v>9.24</v>
      </c>
      <c r="I21" s="100">
        <v>3.44</v>
      </c>
      <c r="J21" s="100">
        <v>0.16</v>
      </c>
      <c r="K21" s="100">
        <v>195.01</v>
      </c>
      <c r="L21" s="100">
        <v>27.21</v>
      </c>
      <c r="M21" s="100">
        <v>79.069999999999993</v>
      </c>
      <c r="N21" s="100">
        <v>2.1</v>
      </c>
      <c r="O21" s="100">
        <v>0</v>
      </c>
      <c r="P21" s="100">
        <v>0.28000000000000003</v>
      </c>
      <c r="Q21" s="100">
        <v>9.94</v>
      </c>
      <c r="R21" s="6"/>
      <c r="S21" s="6"/>
      <c r="T21" s="156"/>
      <c r="U21" s="6"/>
    </row>
    <row r="22" spans="1:21" customFormat="1">
      <c r="A22" s="163" t="s">
        <v>1885</v>
      </c>
      <c r="B22" s="100">
        <v>4.5999999999999996</v>
      </c>
      <c r="C22" s="100">
        <v>7.2</v>
      </c>
      <c r="D22" s="100">
        <v>2.6</v>
      </c>
      <c r="E22" s="100">
        <v>5.09</v>
      </c>
      <c r="F22" s="100">
        <v>2.91</v>
      </c>
      <c r="G22" s="100">
        <v>37.700000000000003</v>
      </c>
      <c r="H22" s="100">
        <v>8.2200000000000006</v>
      </c>
      <c r="I22" s="100">
        <v>3.37</v>
      </c>
      <c r="J22" s="100">
        <v>0.19</v>
      </c>
      <c r="K22" s="100">
        <v>224.19</v>
      </c>
      <c r="L22" s="100">
        <v>27.06</v>
      </c>
      <c r="M22" s="100">
        <v>79.94</v>
      </c>
      <c r="N22" s="100">
        <v>2</v>
      </c>
      <c r="O22" s="100">
        <v>0</v>
      </c>
      <c r="P22" s="100">
        <v>0.31</v>
      </c>
      <c r="Q22" s="100">
        <v>9.92</v>
      </c>
      <c r="R22" s="6"/>
      <c r="S22" s="6"/>
      <c r="T22" s="156"/>
      <c r="U22" s="6"/>
    </row>
    <row r="23" spans="1:21" customFormat="1">
      <c r="A23" s="163" t="s">
        <v>1886</v>
      </c>
      <c r="B23" s="100">
        <v>4.6399999999999997</v>
      </c>
      <c r="C23" s="100">
        <v>7.23</v>
      </c>
      <c r="D23" s="100">
        <v>2.59</v>
      </c>
      <c r="E23" s="100">
        <v>4.71</v>
      </c>
      <c r="F23" s="100">
        <v>3.97</v>
      </c>
      <c r="G23" s="100">
        <v>37.700000000000003</v>
      </c>
      <c r="H23" s="100">
        <v>8.2200000000000006</v>
      </c>
      <c r="I23" s="100">
        <v>3.29</v>
      </c>
      <c r="J23" s="100">
        <v>0.17</v>
      </c>
      <c r="K23" s="100">
        <v>218.78</v>
      </c>
      <c r="L23" s="100">
        <v>27.04</v>
      </c>
      <c r="M23" s="100">
        <v>80.27</v>
      </c>
      <c r="N23" s="100">
        <v>2</v>
      </c>
      <c r="O23" s="100">
        <v>0</v>
      </c>
      <c r="P23" s="100">
        <v>0.28999999999999998</v>
      </c>
      <c r="Q23" s="100">
        <v>9.92</v>
      </c>
      <c r="R23" s="6"/>
      <c r="S23" s="6"/>
      <c r="T23" s="156"/>
      <c r="U23" s="6"/>
    </row>
    <row r="24" spans="1:21" customFormat="1">
      <c r="A24" s="163" t="s">
        <v>1887</v>
      </c>
      <c r="B24" s="100">
        <v>4.5999999999999996</v>
      </c>
      <c r="C24" s="100">
        <v>7.08</v>
      </c>
      <c r="D24" s="100">
        <v>2.48</v>
      </c>
      <c r="E24" s="100">
        <v>4.5599999999999996</v>
      </c>
      <c r="F24" s="100">
        <v>3.88</v>
      </c>
      <c r="G24" s="100">
        <v>37.700000000000003</v>
      </c>
      <c r="H24" s="100">
        <v>8.2200000000000006</v>
      </c>
      <c r="I24" s="100">
        <v>3.53</v>
      </c>
      <c r="J24" s="100">
        <v>0.31</v>
      </c>
      <c r="K24" s="100">
        <v>243.03</v>
      </c>
      <c r="L24" s="100">
        <v>27.05</v>
      </c>
      <c r="M24" s="100">
        <v>80.84</v>
      </c>
      <c r="N24" s="100">
        <v>2</v>
      </c>
      <c r="O24" s="100">
        <v>0</v>
      </c>
      <c r="P24" s="100">
        <v>0.28000000000000003</v>
      </c>
      <c r="Q24" s="100">
        <v>9.92</v>
      </c>
      <c r="R24" s="6"/>
      <c r="S24" s="6"/>
      <c r="T24" s="156"/>
      <c r="U24" s="6"/>
    </row>
    <row r="25" spans="1:21" customFormat="1">
      <c r="A25" s="163" t="s">
        <v>1888</v>
      </c>
      <c r="B25" s="100">
        <v>4.67</v>
      </c>
      <c r="C25" s="100">
        <v>7.23</v>
      </c>
      <c r="D25" s="100">
        <v>2.56</v>
      </c>
      <c r="E25" s="100">
        <v>5.0999999999999996</v>
      </c>
      <c r="F25" s="100">
        <v>3.83</v>
      </c>
      <c r="G25" s="100">
        <v>36.950000000000003</v>
      </c>
      <c r="H25" s="100">
        <v>8.49</v>
      </c>
      <c r="I25" s="100">
        <v>3.34</v>
      </c>
      <c r="J25" s="100">
        <v>0.28999999999999998</v>
      </c>
      <c r="K25" s="100">
        <v>239.02</v>
      </c>
      <c r="L25" s="100">
        <v>26.93</v>
      </c>
      <c r="M25" s="100">
        <v>83.43</v>
      </c>
      <c r="N25" s="100">
        <v>1.9</v>
      </c>
      <c r="O25" s="100">
        <v>0</v>
      </c>
      <c r="P25" s="100">
        <v>0.32</v>
      </c>
      <c r="Q25" s="100">
        <v>9.92</v>
      </c>
      <c r="R25" s="6"/>
      <c r="S25" s="6"/>
      <c r="T25" s="156"/>
      <c r="U25" s="6"/>
    </row>
    <row r="26" spans="1:21" customFormat="1">
      <c r="A26" s="163" t="s">
        <v>1889</v>
      </c>
      <c r="B26" s="100">
        <v>4.68</v>
      </c>
      <c r="C26" s="100">
        <v>7.3</v>
      </c>
      <c r="D26" s="100">
        <v>2.62</v>
      </c>
      <c r="E26" s="100">
        <v>4.5599999999999996</v>
      </c>
      <c r="F26" s="100">
        <v>5.86</v>
      </c>
      <c r="G26" s="100">
        <v>35.1</v>
      </c>
      <c r="H26" s="100">
        <v>9.64</v>
      </c>
      <c r="I26" s="100">
        <v>3.42</v>
      </c>
      <c r="J26" s="100">
        <v>0.2</v>
      </c>
      <c r="K26" s="100">
        <v>235.72</v>
      </c>
      <c r="L26" s="100">
        <v>26.73</v>
      </c>
      <c r="M26" s="100">
        <v>85.13</v>
      </c>
      <c r="N26" s="100">
        <v>0.8</v>
      </c>
      <c r="O26" s="100">
        <v>0</v>
      </c>
      <c r="P26" s="100">
        <v>0.28999999999999998</v>
      </c>
      <c r="Q26" s="100">
        <v>9.92</v>
      </c>
      <c r="R26" s="6"/>
      <c r="S26" s="6"/>
      <c r="T26" s="156"/>
      <c r="U26" s="6"/>
    </row>
    <row r="27" spans="1:21" customFormat="1">
      <c r="A27" s="163" t="s">
        <v>1890</v>
      </c>
      <c r="B27" s="100">
        <v>4.79</v>
      </c>
      <c r="C27" s="100">
        <v>7.11</v>
      </c>
      <c r="D27" s="100">
        <v>2.3199999999999998</v>
      </c>
      <c r="E27" s="100">
        <v>4.6399999999999997</v>
      </c>
      <c r="F27" s="100">
        <v>4.57</v>
      </c>
      <c r="G27" s="100">
        <v>35.1</v>
      </c>
      <c r="H27" s="100">
        <v>9.64</v>
      </c>
      <c r="I27" s="100">
        <v>3.57</v>
      </c>
      <c r="J27" s="100">
        <v>0.23</v>
      </c>
      <c r="K27" s="100">
        <v>242.29</v>
      </c>
      <c r="L27" s="100">
        <v>26.78</v>
      </c>
      <c r="M27" s="100">
        <v>84.67</v>
      </c>
      <c r="N27" s="100">
        <v>1.4</v>
      </c>
      <c r="O27" s="100">
        <v>0</v>
      </c>
      <c r="P27" s="100">
        <v>0.27</v>
      </c>
      <c r="Q27" s="100">
        <v>9.92</v>
      </c>
      <c r="R27" s="6"/>
      <c r="S27" s="6"/>
      <c r="T27" s="156"/>
      <c r="U27" s="6"/>
    </row>
    <row r="28" spans="1:21" customFormat="1">
      <c r="A28" s="163" t="s">
        <v>1891</v>
      </c>
      <c r="B28" s="100">
        <v>4.8600000000000003</v>
      </c>
      <c r="C28" s="100">
        <v>7.32</v>
      </c>
      <c r="D28" s="100">
        <v>2.46</v>
      </c>
      <c r="E28" s="100">
        <v>4.9400000000000004</v>
      </c>
      <c r="F28" s="100">
        <v>2.82</v>
      </c>
      <c r="G28" s="100">
        <v>35.1</v>
      </c>
      <c r="H28" s="100">
        <v>9.64</v>
      </c>
      <c r="I28" s="100">
        <v>3.35</v>
      </c>
      <c r="J28" s="100">
        <v>0.16</v>
      </c>
      <c r="K28" s="100">
        <v>248.31</v>
      </c>
      <c r="L28" s="100">
        <v>26.9</v>
      </c>
      <c r="M28" s="100">
        <v>83.83</v>
      </c>
      <c r="N28" s="100">
        <v>1.7</v>
      </c>
      <c r="O28" s="100">
        <v>0</v>
      </c>
      <c r="P28" s="100">
        <v>0.31</v>
      </c>
      <c r="Q28" s="100">
        <v>9.92</v>
      </c>
      <c r="R28" s="6"/>
      <c r="S28" s="6"/>
      <c r="T28" s="156"/>
      <c r="U28" s="6"/>
    </row>
    <row r="29" spans="1:21" customFormat="1">
      <c r="A29" s="163" t="s">
        <v>1892</v>
      </c>
      <c r="B29" s="100">
        <v>4.83</v>
      </c>
      <c r="C29" s="100">
        <v>7.5</v>
      </c>
      <c r="D29" s="100">
        <v>2.67</v>
      </c>
      <c r="E29" s="100">
        <v>4.9800000000000004</v>
      </c>
      <c r="F29" s="100">
        <v>4.5</v>
      </c>
      <c r="G29" s="100">
        <v>32.880000000000003</v>
      </c>
      <c r="H29" s="100">
        <v>9.43</v>
      </c>
      <c r="I29" s="100">
        <v>3.37</v>
      </c>
      <c r="J29" s="100">
        <v>0.35</v>
      </c>
      <c r="K29" s="100">
        <v>253.05</v>
      </c>
      <c r="L29" s="100">
        <v>26.99</v>
      </c>
      <c r="M29" s="100">
        <v>82.98</v>
      </c>
      <c r="N29" s="100">
        <v>1.8</v>
      </c>
      <c r="O29" s="100">
        <v>0</v>
      </c>
      <c r="P29" s="100">
        <v>0.3</v>
      </c>
      <c r="Q29" s="100">
        <v>9.93</v>
      </c>
      <c r="R29" s="6"/>
      <c r="S29" s="6"/>
      <c r="T29" s="156"/>
      <c r="U29" s="6"/>
    </row>
    <row r="30" spans="1:21" customFormat="1">
      <c r="A30" s="163" t="s">
        <v>1893</v>
      </c>
      <c r="B30" s="100">
        <v>4.8499999999999996</v>
      </c>
      <c r="C30" s="100">
        <v>7.33</v>
      </c>
      <c r="D30" s="100">
        <v>2.4700000000000002</v>
      </c>
      <c r="E30" s="100">
        <v>4.72</v>
      </c>
      <c r="F30" s="100">
        <v>3.78</v>
      </c>
      <c r="G30" s="100">
        <v>27.42</v>
      </c>
      <c r="H30" s="100">
        <v>9.08</v>
      </c>
      <c r="I30" s="100">
        <v>3.62</v>
      </c>
      <c r="J30" s="100">
        <v>0.51</v>
      </c>
      <c r="K30" s="100">
        <v>252.26</v>
      </c>
      <c r="L30" s="100">
        <v>27.07</v>
      </c>
      <c r="M30" s="100">
        <v>82.01</v>
      </c>
      <c r="N30" s="100">
        <v>3</v>
      </c>
      <c r="O30" s="100">
        <v>0</v>
      </c>
      <c r="P30" s="100">
        <v>0.28000000000000003</v>
      </c>
      <c r="Q30" s="100">
        <v>9.92</v>
      </c>
      <c r="R30" s="6"/>
      <c r="S30" s="6"/>
      <c r="T30" s="156"/>
      <c r="U30" s="6"/>
    </row>
    <row r="31" spans="1:21" customFormat="1">
      <c r="A31" s="163" t="s">
        <v>1894</v>
      </c>
      <c r="B31" s="100">
        <v>4.9800000000000004</v>
      </c>
      <c r="C31" s="100">
        <v>7.38</v>
      </c>
      <c r="D31" s="100">
        <v>2.39</v>
      </c>
      <c r="E31" s="100">
        <v>4.91</v>
      </c>
      <c r="F31" s="100">
        <v>2.52</v>
      </c>
      <c r="G31" s="100">
        <v>27.42</v>
      </c>
      <c r="H31" s="100">
        <v>9.08</v>
      </c>
      <c r="I31" s="100">
        <v>3.43</v>
      </c>
      <c r="J31" s="100">
        <v>0.48</v>
      </c>
      <c r="K31" s="100">
        <v>254.8</v>
      </c>
      <c r="L31" s="100">
        <v>27.05</v>
      </c>
      <c r="M31" s="100">
        <v>81.62</v>
      </c>
      <c r="N31" s="100">
        <v>6.3</v>
      </c>
      <c r="O31" s="100">
        <v>0</v>
      </c>
      <c r="P31" s="100">
        <v>0.31</v>
      </c>
      <c r="Q31" s="100">
        <v>9.93</v>
      </c>
      <c r="R31" s="6"/>
      <c r="S31" s="6"/>
      <c r="T31" s="156"/>
      <c r="U31" s="6"/>
    </row>
    <row r="32" spans="1:21" customFormat="1">
      <c r="A32" s="163" t="s">
        <v>1895</v>
      </c>
      <c r="B32" s="100">
        <v>5.0599999999999996</v>
      </c>
      <c r="C32" s="100">
        <v>7.7</v>
      </c>
      <c r="D32" s="100">
        <v>2.64</v>
      </c>
      <c r="E32" s="100">
        <v>5.01</v>
      </c>
      <c r="F32" s="100">
        <v>2.1</v>
      </c>
      <c r="G32" s="100">
        <v>27.42</v>
      </c>
      <c r="H32" s="100">
        <v>9.08</v>
      </c>
      <c r="I32" s="100">
        <v>3.5</v>
      </c>
      <c r="J32" s="100">
        <v>0.68</v>
      </c>
      <c r="K32" s="100">
        <v>252.57</v>
      </c>
      <c r="L32" s="100">
        <v>27.24</v>
      </c>
      <c r="M32" s="100">
        <v>79.540000000000006</v>
      </c>
      <c r="N32" s="100">
        <v>13.7</v>
      </c>
      <c r="O32" s="100">
        <v>0</v>
      </c>
      <c r="P32" s="100">
        <v>0.3</v>
      </c>
      <c r="Q32" s="100">
        <v>9.93</v>
      </c>
      <c r="R32" s="6"/>
      <c r="S32" s="6"/>
      <c r="T32" s="156"/>
      <c r="U32" s="6"/>
    </row>
    <row r="33" spans="1:21" customFormat="1">
      <c r="A33" s="163" t="s">
        <v>1896</v>
      </c>
      <c r="B33" s="100">
        <v>5.03</v>
      </c>
      <c r="C33" s="100">
        <v>7.94</v>
      </c>
      <c r="D33" s="100">
        <v>2.91</v>
      </c>
      <c r="E33" s="100">
        <v>4.95</v>
      </c>
      <c r="F33" s="100">
        <v>2.2599999999999998</v>
      </c>
      <c r="G33" s="100">
        <v>28.92</v>
      </c>
      <c r="H33" s="100">
        <v>8.6999999999999993</v>
      </c>
      <c r="I33" s="100">
        <v>3.7</v>
      </c>
      <c r="J33" s="100">
        <v>0.53</v>
      </c>
      <c r="K33" s="100">
        <v>251</v>
      </c>
      <c r="L33" s="100">
        <v>27.55</v>
      </c>
      <c r="M33" s="100">
        <v>78.27</v>
      </c>
      <c r="N33" s="100">
        <v>24.1</v>
      </c>
      <c r="O33" s="100">
        <v>0</v>
      </c>
      <c r="P33" s="100">
        <v>0.26</v>
      </c>
      <c r="Q33" s="100">
        <v>9.91</v>
      </c>
      <c r="R33" s="6"/>
      <c r="S33" s="6"/>
      <c r="T33" s="156"/>
      <c r="U33" s="6"/>
    </row>
    <row r="34" spans="1:21" customFormat="1">
      <c r="A34" s="163" t="s">
        <v>1897</v>
      </c>
      <c r="B34" s="100">
        <v>4.95</v>
      </c>
      <c r="C34" s="100">
        <v>8.1300000000000008</v>
      </c>
      <c r="D34" s="100">
        <v>3.18</v>
      </c>
      <c r="E34" s="100">
        <v>5.05</v>
      </c>
      <c r="F34" s="100">
        <v>2.4</v>
      </c>
      <c r="G34" s="100">
        <v>32.81</v>
      </c>
      <c r="H34" s="100">
        <v>8.08</v>
      </c>
      <c r="I34" s="100">
        <v>3.77</v>
      </c>
      <c r="J34" s="100">
        <v>0.66</v>
      </c>
      <c r="K34" s="100">
        <v>252.96</v>
      </c>
      <c r="L34" s="100">
        <v>27.71</v>
      </c>
      <c r="M34" s="100">
        <v>76.56</v>
      </c>
      <c r="N34" s="100">
        <v>35.5</v>
      </c>
      <c r="O34" s="100">
        <v>0</v>
      </c>
      <c r="P34" s="100">
        <v>0.26</v>
      </c>
      <c r="Q34" s="100">
        <v>9.92</v>
      </c>
      <c r="R34" s="6"/>
      <c r="S34" s="6"/>
      <c r="T34" s="156"/>
      <c r="U34" s="6"/>
    </row>
    <row r="35" spans="1:21" customFormat="1">
      <c r="A35" s="163" t="s">
        <v>1898</v>
      </c>
      <c r="B35" s="100">
        <v>4.8</v>
      </c>
      <c r="C35" s="100">
        <v>8.11</v>
      </c>
      <c r="D35" s="100">
        <v>3.3</v>
      </c>
      <c r="E35" s="100">
        <v>5.21</v>
      </c>
      <c r="F35" s="100">
        <v>2.23</v>
      </c>
      <c r="G35" s="100">
        <v>32.81</v>
      </c>
      <c r="H35" s="100">
        <v>8.08</v>
      </c>
      <c r="I35" s="100">
        <v>3.59</v>
      </c>
      <c r="J35" s="100">
        <v>0.8</v>
      </c>
      <c r="K35" s="100">
        <v>257.73</v>
      </c>
      <c r="L35" s="100">
        <v>27.94</v>
      </c>
      <c r="M35" s="100">
        <v>74.13</v>
      </c>
      <c r="N35" s="100">
        <v>44.5</v>
      </c>
      <c r="O35" s="100">
        <v>0</v>
      </c>
      <c r="P35" s="100">
        <v>0.24</v>
      </c>
      <c r="Q35" s="100">
        <v>9.92</v>
      </c>
      <c r="R35" s="6"/>
      <c r="S35" s="6"/>
      <c r="T35" s="156"/>
      <c r="U35" s="6"/>
    </row>
    <row r="36" spans="1:21" customFormat="1">
      <c r="A36" s="163" t="s">
        <v>1899</v>
      </c>
      <c r="B36" s="100">
        <v>4.67</v>
      </c>
      <c r="C36" s="100">
        <v>8.11</v>
      </c>
      <c r="D36" s="100">
        <v>3.44</v>
      </c>
      <c r="E36" s="100">
        <v>5.3</v>
      </c>
      <c r="F36" s="100">
        <v>2.48</v>
      </c>
      <c r="G36" s="100">
        <v>32.81</v>
      </c>
      <c r="H36" s="100">
        <v>8.08</v>
      </c>
      <c r="I36" s="100">
        <v>3.57</v>
      </c>
      <c r="J36" s="100">
        <v>0.74</v>
      </c>
      <c r="K36" s="100">
        <v>250.68</v>
      </c>
      <c r="L36" s="100">
        <v>28.18</v>
      </c>
      <c r="M36" s="100">
        <v>72.67</v>
      </c>
      <c r="N36" s="100">
        <v>52.9</v>
      </c>
      <c r="O36" s="100">
        <v>0</v>
      </c>
      <c r="P36" s="100">
        <v>0.24</v>
      </c>
      <c r="Q36" s="100">
        <v>9.91</v>
      </c>
      <c r="R36" s="6"/>
      <c r="S36" s="6"/>
      <c r="T36" s="156"/>
      <c r="U36" s="6"/>
    </row>
    <row r="37" spans="1:21" customFormat="1">
      <c r="A37" s="163" t="s">
        <v>1900</v>
      </c>
      <c r="B37" s="100">
        <v>4.55</v>
      </c>
      <c r="C37" s="100">
        <v>8.07</v>
      </c>
      <c r="D37" s="100">
        <v>3.52</v>
      </c>
      <c r="E37" s="100">
        <v>5.41</v>
      </c>
      <c r="F37" s="100">
        <v>2.5</v>
      </c>
      <c r="G37" s="100">
        <v>32.53</v>
      </c>
      <c r="H37" s="100">
        <v>7.88</v>
      </c>
      <c r="I37" s="100">
        <v>3.53</v>
      </c>
      <c r="J37" s="100">
        <v>0.83</v>
      </c>
      <c r="K37" s="100">
        <v>251.28</v>
      </c>
      <c r="L37" s="100">
        <v>28.31</v>
      </c>
      <c r="M37" s="100">
        <v>72.040000000000006</v>
      </c>
      <c r="N37" s="100">
        <v>70.5</v>
      </c>
      <c r="O37" s="100">
        <v>0</v>
      </c>
      <c r="P37" s="100">
        <v>0.25</v>
      </c>
      <c r="Q37" s="100">
        <v>9.91</v>
      </c>
      <c r="R37" s="6"/>
      <c r="S37" s="6"/>
      <c r="T37" s="156"/>
      <c r="U37" s="6"/>
    </row>
    <row r="38" spans="1:21" customFormat="1">
      <c r="A38" s="163" t="s">
        <v>1901</v>
      </c>
      <c r="B38" s="100">
        <v>4.42</v>
      </c>
      <c r="C38" s="100">
        <v>8.07</v>
      </c>
      <c r="D38" s="100">
        <v>3.65</v>
      </c>
      <c r="E38" s="100">
        <v>5.36</v>
      </c>
      <c r="F38" s="100">
        <v>2.2400000000000002</v>
      </c>
      <c r="G38" s="100">
        <v>31.84</v>
      </c>
      <c r="H38" s="100">
        <v>7.54</v>
      </c>
      <c r="I38" s="100">
        <v>3.53</v>
      </c>
      <c r="J38" s="100">
        <v>0.98</v>
      </c>
      <c r="K38" s="100">
        <v>252.43</v>
      </c>
      <c r="L38" s="100">
        <v>28.5</v>
      </c>
      <c r="M38" s="100">
        <v>70.989999999999995</v>
      </c>
      <c r="N38" s="100">
        <v>95.6</v>
      </c>
      <c r="O38" s="100">
        <v>0</v>
      </c>
      <c r="P38" s="100">
        <v>0.25</v>
      </c>
      <c r="Q38" s="100">
        <v>9.91</v>
      </c>
      <c r="R38" s="6"/>
      <c r="S38" s="6"/>
      <c r="T38" s="156"/>
      <c r="U38" s="6"/>
    </row>
    <row r="39" spans="1:21" customFormat="1">
      <c r="A39" s="163" t="s">
        <v>1902</v>
      </c>
      <c r="B39" s="100">
        <v>4.3499999999999996</v>
      </c>
      <c r="C39" s="100">
        <v>7.96</v>
      </c>
      <c r="D39" s="100">
        <v>3.61</v>
      </c>
      <c r="E39" s="100">
        <v>5.47</v>
      </c>
      <c r="F39" s="100">
        <v>2.78</v>
      </c>
      <c r="G39" s="100">
        <v>31.84</v>
      </c>
      <c r="H39" s="100">
        <v>7.54</v>
      </c>
      <c r="I39" s="100">
        <v>3.5</v>
      </c>
      <c r="J39" s="100">
        <v>0.85</v>
      </c>
      <c r="K39" s="100">
        <v>252.28</v>
      </c>
      <c r="L39" s="100">
        <v>28.71</v>
      </c>
      <c r="M39" s="100">
        <v>69.510000000000005</v>
      </c>
      <c r="N39" s="100">
        <v>96.1</v>
      </c>
      <c r="O39" s="100">
        <v>0</v>
      </c>
      <c r="P39" s="100">
        <v>0.24</v>
      </c>
      <c r="Q39" s="100">
        <v>9.9</v>
      </c>
      <c r="R39" s="6"/>
      <c r="S39" s="6"/>
      <c r="T39" s="156"/>
      <c r="U39" s="6"/>
    </row>
    <row r="40" spans="1:21" customFormat="1">
      <c r="A40" s="163" t="s">
        <v>1903</v>
      </c>
      <c r="B40" s="100">
        <v>4.2699999999999996</v>
      </c>
      <c r="C40" s="100">
        <v>7.92</v>
      </c>
      <c r="D40" s="100">
        <v>3.65</v>
      </c>
      <c r="E40" s="100">
        <v>5.45</v>
      </c>
      <c r="F40" s="100">
        <v>2.66</v>
      </c>
      <c r="G40" s="100">
        <v>31.84</v>
      </c>
      <c r="H40" s="100">
        <v>7.54</v>
      </c>
      <c r="I40" s="100">
        <v>3.45</v>
      </c>
      <c r="J40" s="100">
        <v>0.89</v>
      </c>
      <c r="K40" s="100">
        <v>249.14</v>
      </c>
      <c r="L40" s="100">
        <v>28.98</v>
      </c>
      <c r="M40" s="100">
        <v>68.42</v>
      </c>
      <c r="N40" s="100">
        <v>95.5</v>
      </c>
      <c r="O40" s="100">
        <v>0</v>
      </c>
      <c r="P40" s="100">
        <v>0.24</v>
      </c>
      <c r="Q40" s="100">
        <v>9.91</v>
      </c>
      <c r="R40" s="6"/>
      <c r="S40" s="6"/>
      <c r="T40" s="156"/>
      <c r="U40" s="6"/>
    </row>
    <row r="41" spans="1:21" customFormat="1">
      <c r="A41" s="163" t="s">
        <v>1904</v>
      </c>
      <c r="B41" s="100">
        <v>4.21</v>
      </c>
      <c r="C41" s="100">
        <v>7.87</v>
      </c>
      <c r="D41" s="100">
        <v>3.66</v>
      </c>
      <c r="E41" s="100">
        <v>5.61</v>
      </c>
      <c r="F41" s="100">
        <v>2.87</v>
      </c>
      <c r="G41" s="100">
        <v>32.119999999999997</v>
      </c>
      <c r="H41" s="100">
        <v>6.85</v>
      </c>
      <c r="I41" s="100">
        <v>3.45</v>
      </c>
      <c r="J41" s="100">
        <v>1.04</v>
      </c>
      <c r="K41" s="100">
        <v>252.4</v>
      </c>
      <c r="L41" s="100">
        <v>29.11</v>
      </c>
      <c r="M41" s="100">
        <v>66.73</v>
      </c>
      <c r="N41" s="100">
        <v>105.5</v>
      </c>
      <c r="O41" s="100">
        <v>0</v>
      </c>
      <c r="P41" s="100">
        <v>0.24</v>
      </c>
      <c r="Q41" s="100">
        <v>9.91</v>
      </c>
      <c r="R41" s="6"/>
      <c r="S41" s="6"/>
      <c r="T41" s="156"/>
      <c r="U41" s="6"/>
    </row>
    <row r="42" spans="1:21" customFormat="1">
      <c r="A42" s="163" t="s">
        <v>1905</v>
      </c>
      <c r="B42" s="100">
        <v>4.13</v>
      </c>
      <c r="C42" s="100">
        <v>7.9</v>
      </c>
      <c r="D42" s="100">
        <v>3.78</v>
      </c>
      <c r="E42" s="100">
        <v>5.63</v>
      </c>
      <c r="F42" s="100">
        <v>2.68</v>
      </c>
      <c r="G42" s="100">
        <v>32.81</v>
      </c>
      <c r="H42" s="100">
        <v>5.69</v>
      </c>
      <c r="I42" s="100">
        <v>3.44</v>
      </c>
      <c r="J42" s="100">
        <v>1.29</v>
      </c>
      <c r="K42" s="100">
        <v>257.31</v>
      </c>
      <c r="L42" s="100">
        <v>29.38</v>
      </c>
      <c r="M42" s="100">
        <v>64.69</v>
      </c>
      <c r="N42" s="100">
        <v>126.8</v>
      </c>
      <c r="O42" s="100">
        <v>0</v>
      </c>
      <c r="P42" s="100">
        <v>0.25</v>
      </c>
      <c r="Q42" s="100">
        <v>9.91</v>
      </c>
      <c r="R42" s="6"/>
      <c r="S42" s="6"/>
      <c r="T42" s="156"/>
      <c r="U42" s="6"/>
    </row>
    <row r="43" spans="1:21" customFormat="1">
      <c r="A43" s="163" t="s">
        <v>1906</v>
      </c>
      <c r="B43" s="100">
        <v>4.04</v>
      </c>
      <c r="C43" s="100">
        <v>7.79</v>
      </c>
      <c r="D43" s="100">
        <v>3.75</v>
      </c>
      <c r="E43" s="100">
        <v>5.6</v>
      </c>
      <c r="F43" s="100">
        <v>2.84</v>
      </c>
      <c r="G43" s="100">
        <v>32.81</v>
      </c>
      <c r="H43" s="100">
        <v>5.69</v>
      </c>
      <c r="I43" s="100">
        <v>3.41</v>
      </c>
      <c r="J43" s="100">
        <v>1.39</v>
      </c>
      <c r="K43" s="100">
        <v>254.78</v>
      </c>
      <c r="L43" s="100">
        <v>29.5</v>
      </c>
      <c r="M43" s="100">
        <v>63.66</v>
      </c>
      <c r="N43" s="100">
        <v>139.6</v>
      </c>
      <c r="O43" s="100">
        <v>0</v>
      </c>
      <c r="P43" s="100">
        <v>0.24</v>
      </c>
      <c r="Q43" s="100">
        <v>9.9</v>
      </c>
      <c r="R43" s="6"/>
      <c r="S43" s="6"/>
      <c r="T43" s="156"/>
      <c r="U43" s="6"/>
    </row>
    <row r="44" spans="1:21" customFormat="1">
      <c r="A44" s="163" t="s">
        <v>1907</v>
      </c>
      <c r="B44" s="100">
        <v>3.96</v>
      </c>
      <c r="C44" s="100">
        <v>7.73</v>
      </c>
      <c r="D44" s="100">
        <v>3.76</v>
      </c>
      <c r="E44" s="100">
        <v>5.56</v>
      </c>
      <c r="F44" s="100">
        <v>3.17</v>
      </c>
      <c r="G44" s="100">
        <v>32.81</v>
      </c>
      <c r="H44" s="100">
        <v>5.69</v>
      </c>
      <c r="I44" s="100">
        <v>3.42</v>
      </c>
      <c r="J44" s="100">
        <v>0.92</v>
      </c>
      <c r="K44" s="100">
        <v>255.03</v>
      </c>
      <c r="L44" s="100">
        <v>29.81</v>
      </c>
      <c r="M44" s="100">
        <v>63.6</v>
      </c>
      <c r="N44" s="100">
        <v>164.7</v>
      </c>
      <c r="O44" s="100">
        <v>0</v>
      </c>
      <c r="P44" s="100">
        <v>0.25</v>
      </c>
      <c r="Q44" s="100">
        <v>9.91</v>
      </c>
      <c r="R44" s="6"/>
      <c r="S44" s="6"/>
      <c r="T44" s="156"/>
      <c r="U44" s="6"/>
    </row>
    <row r="45" spans="1:21" customFormat="1">
      <c r="A45" s="163" t="s">
        <v>1908</v>
      </c>
      <c r="B45" s="100">
        <v>3.95</v>
      </c>
      <c r="C45" s="100">
        <v>7.67</v>
      </c>
      <c r="D45" s="100">
        <v>3.72</v>
      </c>
      <c r="E45" s="100">
        <v>5.57</v>
      </c>
      <c r="F45" s="100">
        <v>3.2</v>
      </c>
      <c r="G45" s="100">
        <v>39.22</v>
      </c>
      <c r="H45" s="100">
        <v>7.22</v>
      </c>
      <c r="I45" s="100">
        <v>3.41</v>
      </c>
      <c r="J45" s="100">
        <v>1.1399999999999999</v>
      </c>
      <c r="K45" s="100">
        <v>261.29000000000002</v>
      </c>
      <c r="L45" s="100">
        <v>29.97</v>
      </c>
      <c r="M45" s="100">
        <v>63.01</v>
      </c>
      <c r="N45" s="100">
        <v>185.6</v>
      </c>
      <c r="O45" s="100">
        <v>0</v>
      </c>
      <c r="P45" s="100">
        <v>0.25</v>
      </c>
      <c r="Q45" s="100">
        <v>9.9</v>
      </c>
      <c r="R45" s="6"/>
      <c r="S45" s="6"/>
      <c r="T45" s="156"/>
      <c r="U45" s="6"/>
    </row>
    <row r="46" spans="1:21" customFormat="1">
      <c r="A46" s="163" t="s">
        <v>1909</v>
      </c>
      <c r="B46" s="100">
        <v>3.95</v>
      </c>
      <c r="C46" s="100">
        <v>7.84</v>
      </c>
      <c r="D46" s="100">
        <v>3.9</v>
      </c>
      <c r="E46" s="100">
        <v>5.63</v>
      </c>
      <c r="F46" s="100">
        <v>2.95</v>
      </c>
      <c r="G46" s="100">
        <v>55.02</v>
      </c>
      <c r="H46" s="100">
        <v>9.74</v>
      </c>
      <c r="I46" s="100">
        <v>3.53</v>
      </c>
      <c r="J46" s="100">
        <v>1.08</v>
      </c>
      <c r="K46" s="100">
        <v>258.94</v>
      </c>
      <c r="L46" s="100">
        <v>30</v>
      </c>
      <c r="M46" s="100">
        <v>62.85</v>
      </c>
      <c r="N46" s="100">
        <v>169.1</v>
      </c>
      <c r="O46" s="100">
        <v>0</v>
      </c>
      <c r="P46" s="100">
        <v>0.25</v>
      </c>
      <c r="Q46" s="100">
        <v>9.9</v>
      </c>
      <c r="R46" s="6"/>
      <c r="S46" s="6"/>
      <c r="T46" s="156"/>
      <c r="U46" s="6"/>
    </row>
    <row r="47" spans="1:21" customFormat="1">
      <c r="A47" s="163" t="s">
        <v>1910</v>
      </c>
      <c r="B47" s="100">
        <v>3.95</v>
      </c>
      <c r="C47" s="100">
        <v>8.01</v>
      </c>
      <c r="D47" s="100">
        <v>4.05</v>
      </c>
      <c r="E47" s="100">
        <v>5.82</v>
      </c>
      <c r="F47" s="100">
        <v>2.73</v>
      </c>
      <c r="G47" s="100">
        <v>55.02</v>
      </c>
      <c r="H47" s="100">
        <v>9.74</v>
      </c>
      <c r="I47" s="100">
        <v>3.35</v>
      </c>
      <c r="J47" s="100">
        <v>1.01</v>
      </c>
      <c r="K47" s="100">
        <v>256.2</v>
      </c>
      <c r="L47" s="100">
        <v>30.03</v>
      </c>
      <c r="M47" s="100">
        <v>62.35</v>
      </c>
      <c r="N47" s="100">
        <v>124</v>
      </c>
      <c r="O47" s="100">
        <v>0</v>
      </c>
      <c r="P47" s="100">
        <v>0.26</v>
      </c>
      <c r="Q47" s="100">
        <v>9.9</v>
      </c>
      <c r="R47" s="6"/>
      <c r="S47" s="6"/>
      <c r="T47" s="156"/>
      <c r="U47" s="6"/>
    </row>
    <row r="48" spans="1:21" customFormat="1">
      <c r="A48" s="163" t="s">
        <v>1911</v>
      </c>
      <c r="B48" s="100">
        <v>3.93</v>
      </c>
      <c r="C48" s="100">
        <v>8.0500000000000007</v>
      </c>
      <c r="D48" s="100">
        <v>4.12</v>
      </c>
      <c r="E48" s="100">
        <v>6.12</v>
      </c>
      <c r="F48" s="100">
        <v>3.06</v>
      </c>
      <c r="G48" s="100">
        <v>55.02</v>
      </c>
      <c r="H48" s="100">
        <v>9.74</v>
      </c>
      <c r="I48" s="100">
        <v>3.53</v>
      </c>
      <c r="J48" s="100">
        <v>1.02</v>
      </c>
      <c r="K48" s="100">
        <v>255.06</v>
      </c>
      <c r="L48" s="100">
        <v>30.12</v>
      </c>
      <c r="M48" s="100">
        <v>62.22</v>
      </c>
      <c r="N48" s="100">
        <v>132</v>
      </c>
      <c r="O48" s="100">
        <v>0</v>
      </c>
      <c r="P48" s="100">
        <v>0.28000000000000003</v>
      </c>
      <c r="Q48" s="100">
        <v>9.89</v>
      </c>
      <c r="R48" s="6"/>
      <c r="S48" s="6"/>
      <c r="T48" s="156"/>
      <c r="U48" s="6"/>
    </row>
    <row r="49" spans="1:21" customFormat="1">
      <c r="A49" s="163" t="s">
        <v>1912</v>
      </c>
      <c r="B49" s="100">
        <v>3.91</v>
      </c>
      <c r="C49" s="100">
        <v>8.1300000000000008</v>
      </c>
      <c r="D49" s="100">
        <v>4.22</v>
      </c>
      <c r="E49" s="100">
        <v>3.92</v>
      </c>
      <c r="F49" s="100">
        <v>3.53</v>
      </c>
      <c r="G49" s="100">
        <v>54.29</v>
      </c>
      <c r="H49" s="100">
        <v>9.8000000000000007</v>
      </c>
      <c r="I49" s="100">
        <v>3.75</v>
      </c>
      <c r="J49" s="100">
        <v>1.02</v>
      </c>
      <c r="K49" s="100">
        <v>261.48</v>
      </c>
      <c r="L49" s="100">
        <v>30.02</v>
      </c>
      <c r="M49" s="100">
        <v>62.29</v>
      </c>
      <c r="N49" s="100">
        <v>131.30000000000001</v>
      </c>
      <c r="O49" s="100">
        <v>0</v>
      </c>
      <c r="P49" s="100">
        <v>0.3</v>
      </c>
      <c r="Q49" s="100">
        <v>9.89</v>
      </c>
      <c r="R49" s="6"/>
      <c r="S49" s="6"/>
      <c r="T49" s="156"/>
      <c r="U49" s="6"/>
    </row>
    <row r="50" spans="1:21" customFormat="1">
      <c r="A50" s="163" t="s">
        <v>1913</v>
      </c>
      <c r="B50" s="100">
        <v>3.95</v>
      </c>
      <c r="C50" s="100">
        <v>8.51</v>
      </c>
      <c r="D50" s="100">
        <v>4.5599999999999996</v>
      </c>
      <c r="E50" s="100">
        <v>4.93</v>
      </c>
      <c r="F50" s="100">
        <v>3.19</v>
      </c>
      <c r="G50" s="100">
        <v>52.47</v>
      </c>
      <c r="H50" s="100">
        <v>10.08</v>
      </c>
      <c r="I50" s="100">
        <v>3.82</v>
      </c>
      <c r="J50" s="100">
        <v>0.98</v>
      </c>
      <c r="K50" s="100">
        <v>259.82</v>
      </c>
      <c r="L50" s="100">
        <v>30.14</v>
      </c>
      <c r="M50" s="100">
        <v>62.39</v>
      </c>
      <c r="N50" s="100">
        <v>141.6</v>
      </c>
      <c r="O50" s="100">
        <v>0</v>
      </c>
      <c r="P50" s="100">
        <v>0.35</v>
      </c>
      <c r="Q50" s="100">
        <v>9.9</v>
      </c>
      <c r="R50" s="6"/>
      <c r="S50" s="6"/>
      <c r="T50" s="156"/>
      <c r="U50" s="6"/>
    </row>
    <row r="51" spans="1:21" customFormat="1">
      <c r="A51" s="163" t="s">
        <v>1914</v>
      </c>
      <c r="B51" s="100">
        <v>3.99</v>
      </c>
      <c r="C51" s="100">
        <v>8.69</v>
      </c>
      <c r="D51" s="100">
        <v>4.7</v>
      </c>
      <c r="E51" s="100">
        <v>4.57</v>
      </c>
      <c r="F51" s="100">
        <v>3.18</v>
      </c>
      <c r="G51" s="100">
        <v>52.47</v>
      </c>
      <c r="H51" s="100">
        <v>10.08</v>
      </c>
      <c r="I51" s="100">
        <v>4.01</v>
      </c>
      <c r="J51" s="100">
        <v>0.94</v>
      </c>
      <c r="K51" s="100">
        <v>254.5</v>
      </c>
      <c r="L51" s="100">
        <v>30.48</v>
      </c>
      <c r="M51" s="100">
        <v>61.46</v>
      </c>
      <c r="N51" s="100">
        <v>157.1</v>
      </c>
      <c r="O51" s="100">
        <v>0</v>
      </c>
      <c r="P51" s="100">
        <v>0.36</v>
      </c>
      <c r="Q51" s="100">
        <v>9.91</v>
      </c>
      <c r="R51" s="6"/>
      <c r="S51" s="6"/>
      <c r="T51" s="156"/>
      <c r="U51" s="6"/>
    </row>
    <row r="52" spans="1:21" customFormat="1">
      <c r="A52" s="163" t="s">
        <v>1915</v>
      </c>
      <c r="B52" s="100">
        <v>4.0199999999999996</v>
      </c>
      <c r="C52" s="100">
        <v>8.83</v>
      </c>
      <c r="D52" s="100">
        <v>4.8099999999999996</v>
      </c>
      <c r="E52" s="100">
        <v>4.78</v>
      </c>
      <c r="F52" s="100">
        <v>2.96</v>
      </c>
      <c r="G52" s="100">
        <v>52.47</v>
      </c>
      <c r="H52" s="100">
        <v>10.08</v>
      </c>
      <c r="I52" s="100">
        <v>4.4000000000000004</v>
      </c>
      <c r="J52" s="100">
        <v>0.89</v>
      </c>
      <c r="K52" s="100">
        <v>257.91000000000003</v>
      </c>
      <c r="L52" s="100">
        <v>30.73</v>
      </c>
      <c r="M52" s="100">
        <v>60.88</v>
      </c>
      <c r="N52" s="100">
        <v>173.9</v>
      </c>
      <c r="O52" s="100">
        <v>0</v>
      </c>
      <c r="P52" s="100">
        <v>0.39</v>
      </c>
      <c r="Q52" s="100">
        <v>9.91</v>
      </c>
      <c r="R52" s="6"/>
      <c r="S52" s="6"/>
      <c r="T52" s="156"/>
      <c r="U52" s="6"/>
    </row>
    <row r="53" spans="1:21" customFormat="1">
      <c r="A53" s="163" t="s">
        <v>1916</v>
      </c>
      <c r="B53" s="100">
        <v>4.09</v>
      </c>
      <c r="C53" s="100">
        <v>8.99</v>
      </c>
      <c r="D53" s="100">
        <v>4.9000000000000004</v>
      </c>
      <c r="E53" s="100">
        <v>4.8899999999999997</v>
      </c>
      <c r="F53" s="100">
        <v>5.94</v>
      </c>
      <c r="G53" s="100">
        <v>62.2</v>
      </c>
      <c r="H53" s="100">
        <v>16.920000000000002</v>
      </c>
      <c r="I53" s="100">
        <v>5</v>
      </c>
      <c r="J53" s="100">
        <v>0.86</v>
      </c>
      <c r="K53" s="100">
        <v>262.27999999999997</v>
      </c>
      <c r="L53" s="100">
        <v>30.86</v>
      </c>
      <c r="M53" s="100">
        <v>59.78</v>
      </c>
      <c r="N53" s="100">
        <v>177.1</v>
      </c>
      <c r="O53" s="100">
        <v>0</v>
      </c>
      <c r="P53" s="100">
        <v>0.48</v>
      </c>
      <c r="Q53" s="100">
        <v>9.91</v>
      </c>
      <c r="R53" s="6"/>
      <c r="S53" s="6"/>
      <c r="T53" s="156"/>
      <c r="U53" s="6"/>
    </row>
    <row r="54" spans="1:21" customFormat="1">
      <c r="A54" s="163" t="s">
        <v>1917</v>
      </c>
      <c r="B54" s="100">
        <v>4.1900000000000004</v>
      </c>
      <c r="C54" s="100">
        <v>9.14</v>
      </c>
      <c r="D54" s="100">
        <v>4.95</v>
      </c>
      <c r="E54" s="100">
        <v>6.11</v>
      </c>
      <c r="F54" s="100">
        <v>5.04</v>
      </c>
      <c r="G54" s="100">
        <v>86.14</v>
      </c>
      <c r="H54" s="100">
        <v>28.15</v>
      </c>
      <c r="I54" s="100">
        <v>5.53</v>
      </c>
      <c r="J54" s="100">
        <v>0.89</v>
      </c>
      <c r="K54" s="100">
        <v>258.45999999999998</v>
      </c>
      <c r="L54" s="100">
        <v>31</v>
      </c>
      <c r="M54" s="100">
        <v>58.44</v>
      </c>
      <c r="N54" s="100">
        <v>184.5</v>
      </c>
      <c r="O54" s="100">
        <v>0</v>
      </c>
      <c r="P54" s="100">
        <v>0.51</v>
      </c>
      <c r="Q54" s="100">
        <v>9.92</v>
      </c>
      <c r="R54" s="6"/>
      <c r="S54" s="6"/>
      <c r="T54" s="156"/>
      <c r="U54" s="6"/>
    </row>
    <row r="55" spans="1:21" customFormat="1">
      <c r="A55" s="163" t="s">
        <v>1918</v>
      </c>
      <c r="B55" s="100">
        <v>4.1399999999999997</v>
      </c>
      <c r="C55" s="100">
        <v>8.75</v>
      </c>
      <c r="D55" s="100">
        <v>4.6100000000000003</v>
      </c>
      <c r="E55" s="100">
        <v>5.77</v>
      </c>
      <c r="F55" s="100">
        <v>5.25</v>
      </c>
      <c r="G55" s="100">
        <v>86.14</v>
      </c>
      <c r="H55" s="100">
        <v>28.15</v>
      </c>
      <c r="I55" s="100">
        <v>6.95</v>
      </c>
      <c r="J55" s="100">
        <v>1.02</v>
      </c>
      <c r="K55" s="100">
        <v>256.01</v>
      </c>
      <c r="L55" s="100">
        <v>31.13</v>
      </c>
      <c r="M55" s="100">
        <v>57.67</v>
      </c>
      <c r="N55" s="100">
        <v>208.7</v>
      </c>
      <c r="O55" s="100">
        <v>0</v>
      </c>
      <c r="P55" s="100">
        <v>0.51</v>
      </c>
      <c r="Q55" s="100">
        <v>9.92</v>
      </c>
      <c r="R55" s="6"/>
      <c r="S55" s="6"/>
      <c r="T55" s="156"/>
      <c r="U55" s="6"/>
    </row>
    <row r="56" spans="1:21" customFormat="1">
      <c r="A56" s="163" t="s">
        <v>1919</v>
      </c>
      <c r="B56" s="100">
        <v>4.12</v>
      </c>
      <c r="C56" s="100">
        <v>8.51</v>
      </c>
      <c r="D56" s="100">
        <v>4.3899999999999997</v>
      </c>
      <c r="E56" s="100">
        <v>5.52</v>
      </c>
      <c r="F56" s="100">
        <v>6.92</v>
      </c>
      <c r="G56" s="100">
        <v>86.14</v>
      </c>
      <c r="H56" s="100">
        <v>28.15</v>
      </c>
      <c r="I56" s="100">
        <v>6.71</v>
      </c>
      <c r="J56" s="100">
        <v>0.79</v>
      </c>
      <c r="K56" s="100">
        <v>262.39</v>
      </c>
      <c r="L56" s="100">
        <v>31.43</v>
      </c>
      <c r="M56" s="100">
        <v>57.98</v>
      </c>
      <c r="N56" s="100">
        <v>240.6</v>
      </c>
      <c r="O56" s="100">
        <v>0</v>
      </c>
      <c r="P56" s="100">
        <v>0.51</v>
      </c>
      <c r="Q56" s="100">
        <v>9.92</v>
      </c>
      <c r="R56" s="6"/>
      <c r="S56" s="6"/>
      <c r="T56" s="156"/>
      <c r="U56" s="6"/>
    </row>
    <row r="57" spans="1:21" customFormat="1">
      <c r="A57" s="163" t="s">
        <v>1920</v>
      </c>
      <c r="B57" s="100">
        <v>4.08</v>
      </c>
      <c r="C57" s="100">
        <v>8.2799999999999994</v>
      </c>
      <c r="D57" s="100">
        <v>4.2</v>
      </c>
      <c r="E57" s="100">
        <v>5.86</v>
      </c>
      <c r="F57" s="100">
        <v>8.56</v>
      </c>
      <c r="G57" s="100">
        <v>87.9</v>
      </c>
      <c r="H57" s="100">
        <v>25.97</v>
      </c>
      <c r="I57" s="100">
        <v>6.65</v>
      </c>
      <c r="J57" s="100">
        <v>0.74</v>
      </c>
      <c r="K57" s="100">
        <v>252.44</v>
      </c>
      <c r="L57" s="100">
        <v>31.64</v>
      </c>
      <c r="M57" s="100">
        <v>56.8</v>
      </c>
      <c r="N57" s="100">
        <v>237.9</v>
      </c>
      <c r="O57" s="100">
        <v>0</v>
      </c>
      <c r="P57" s="100">
        <v>0.52</v>
      </c>
      <c r="Q57" s="100">
        <v>9.91</v>
      </c>
      <c r="R57" s="6"/>
      <c r="S57" s="6"/>
      <c r="T57" s="156"/>
      <c r="U57" s="6"/>
    </row>
    <row r="58" spans="1:21" customFormat="1">
      <c r="A58" s="163" t="s">
        <v>1921</v>
      </c>
      <c r="B58" s="100">
        <v>4.08</v>
      </c>
      <c r="C58" s="100">
        <v>8.1300000000000008</v>
      </c>
      <c r="D58" s="100">
        <v>4.0599999999999996</v>
      </c>
      <c r="E58" s="100">
        <v>5.99</v>
      </c>
      <c r="F58" s="100">
        <v>8.5399999999999991</v>
      </c>
      <c r="G58" s="100">
        <v>92.26</v>
      </c>
      <c r="H58" s="100">
        <v>22.39</v>
      </c>
      <c r="I58" s="100">
        <v>6.72</v>
      </c>
      <c r="J58" s="100">
        <v>0.86</v>
      </c>
      <c r="K58" s="100">
        <v>261</v>
      </c>
      <c r="L58" s="100">
        <v>31.6</v>
      </c>
      <c r="M58" s="100">
        <v>55.95</v>
      </c>
      <c r="N58" s="100">
        <v>212.4</v>
      </c>
      <c r="O58" s="100">
        <v>0</v>
      </c>
      <c r="P58" s="100">
        <v>0.51</v>
      </c>
      <c r="Q58" s="100">
        <v>9.92</v>
      </c>
      <c r="R58" s="6"/>
      <c r="S58" s="6"/>
      <c r="T58" s="156"/>
      <c r="U58" s="6"/>
    </row>
    <row r="59" spans="1:21" customFormat="1">
      <c r="A59" s="163" t="s">
        <v>1922</v>
      </c>
      <c r="B59" s="100">
        <v>3.96</v>
      </c>
      <c r="C59" s="100">
        <v>7.96</v>
      </c>
      <c r="D59" s="100">
        <v>4.01</v>
      </c>
      <c r="E59" s="100">
        <v>5.55</v>
      </c>
      <c r="F59" s="100">
        <v>9.4499999999999993</v>
      </c>
      <c r="G59" s="100">
        <v>92.26</v>
      </c>
      <c r="H59" s="100">
        <v>22.39</v>
      </c>
      <c r="I59" s="100">
        <v>6.97</v>
      </c>
      <c r="J59" s="100">
        <v>0.6</v>
      </c>
      <c r="K59" s="100">
        <v>255.02</v>
      </c>
      <c r="L59" s="100">
        <v>31.71</v>
      </c>
      <c r="M59" s="100">
        <v>56.07</v>
      </c>
      <c r="N59" s="100">
        <v>208.3</v>
      </c>
      <c r="O59" s="100">
        <v>0</v>
      </c>
      <c r="P59" s="100">
        <v>0.51</v>
      </c>
      <c r="Q59" s="100">
        <v>9.92</v>
      </c>
      <c r="R59" s="6"/>
      <c r="S59" s="6"/>
      <c r="T59" s="156"/>
      <c r="U59" s="6"/>
    </row>
    <row r="60" spans="1:21" customFormat="1">
      <c r="A60" s="163" t="s">
        <v>1923</v>
      </c>
      <c r="B60" s="100">
        <v>3.86</v>
      </c>
      <c r="C60" s="100">
        <v>7.54</v>
      </c>
      <c r="D60" s="100">
        <v>3.68</v>
      </c>
      <c r="E60" s="100">
        <v>4.79</v>
      </c>
      <c r="F60" s="100">
        <v>8.5</v>
      </c>
      <c r="G60" s="100">
        <v>92.26</v>
      </c>
      <c r="H60" s="100">
        <v>22.39</v>
      </c>
      <c r="I60" s="100">
        <v>7.03</v>
      </c>
      <c r="J60" s="100">
        <v>0.75</v>
      </c>
      <c r="K60" s="100">
        <v>253.38</v>
      </c>
      <c r="L60" s="100">
        <v>31.78</v>
      </c>
      <c r="M60" s="100">
        <v>55.12</v>
      </c>
      <c r="N60" s="100">
        <v>200.9</v>
      </c>
      <c r="O60" s="100">
        <v>0</v>
      </c>
      <c r="P60" s="100">
        <v>0.5</v>
      </c>
      <c r="Q60" s="100">
        <v>9.92</v>
      </c>
      <c r="R60" s="6"/>
      <c r="S60" s="6"/>
      <c r="T60" s="156"/>
      <c r="U60" s="6"/>
    </row>
    <row r="61" spans="1:21" customFormat="1">
      <c r="A61" s="163" t="s">
        <v>1924</v>
      </c>
      <c r="B61" s="100">
        <v>3.78</v>
      </c>
      <c r="C61" s="100">
        <v>7.15</v>
      </c>
      <c r="D61" s="100">
        <v>3.37</v>
      </c>
      <c r="E61" s="100">
        <v>3.75</v>
      </c>
      <c r="F61" s="100">
        <v>9.43</v>
      </c>
      <c r="G61" s="100">
        <v>94.39</v>
      </c>
      <c r="H61" s="100">
        <v>22.86</v>
      </c>
      <c r="I61" s="100">
        <v>6.93</v>
      </c>
      <c r="J61" s="100">
        <v>0.54</v>
      </c>
      <c r="K61" s="100">
        <v>248.33</v>
      </c>
      <c r="L61" s="100">
        <v>31.71</v>
      </c>
      <c r="M61" s="100">
        <v>56.8</v>
      </c>
      <c r="N61" s="100">
        <v>188.2</v>
      </c>
      <c r="O61" s="100">
        <v>0</v>
      </c>
      <c r="P61" s="100">
        <v>0.5</v>
      </c>
      <c r="Q61" s="100">
        <v>9.91</v>
      </c>
      <c r="R61" s="6"/>
      <c r="S61" s="6"/>
      <c r="T61" s="156"/>
      <c r="U61" s="6"/>
    </row>
    <row r="62" spans="1:21" customFormat="1">
      <c r="A62" s="163" t="s">
        <v>1925</v>
      </c>
      <c r="B62" s="100">
        <v>3.77</v>
      </c>
      <c r="C62" s="100">
        <v>7.12</v>
      </c>
      <c r="D62" s="100">
        <v>3.36</v>
      </c>
      <c r="E62" s="100">
        <v>3.71</v>
      </c>
      <c r="F62" s="100">
        <v>6.81</v>
      </c>
      <c r="G62" s="100">
        <v>99.65</v>
      </c>
      <c r="H62" s="100">
        <v>23.63</v>
      </c>
      <c r="I62" s="100">
        <v>6.8</v>
      </c>
      <c r="J62" s="100">
        <v>0.48</v>
      </c>
      <c r="K62" s="100">
        <v>242.26</v>
      </c>
      <c r="L62" s="100">
        <v>31.82</v>
      </c>
      <c r="M62" s="100">
        <v>57.09</v>
      </c>
      <c r="N62" s="100">
        <v>206.9</v>
      </c>
      <c r="O62" s="100">
        <v>0</v>
      </c>
      <c r="P62" s="100">
        <v>0.52</v>
      </c>
      <c r="Q62" s="100">
        <v>9.9</v>
      </c>
      <c r="R62" s="6"/>
      <c r="S62" s="6"/>
      <c r="T62" s="156"/>
      <c r="U62" s="6"/>
    </row>
    <row r="63" spans="1:21" customFormat="1">
      <c r="A63" s="163" t="s">
        <v>1926</v>
      </c>
      <c r="B63" s="100">
        <v>3.78</v>
      </c>
      <c r="C63" s="100">
        <v>6.91</v>
      </c>
      <c r="D63" s="100">
        <v>3.13</v>
      </c>
      <c r="E63" s="100">
        <v>3.55</v>
      </c>
      <c r="F63" s="100">
        <v>6.52</v>
      </c>
      <c r="G63" s="100">
        <v>99.65</v>
      </c>
      <c r="H63" s="100">
        <v>23.63</v>
      </c>
      <c r="I63" s="100">
        <v>6.8</v>
      </c>
      <c r="J63" s="100">
        <v>0.65</v>
      </c>
      <c r="K63" s="100">
        <v>250.35</v>
      </c>
      <c r="L63" s="100">
        <v>31.75</v>
      </c>
      <c r="M63" s="100">
        <v>56.02</v>
      </c>
      <c r="N63" s="100">
        <v>182.3</v>
      </c>
      <c r="O63" s="100">
        <v>0</v>
      </c>
      <c r="P63" s="100">
        <v>0.51</v>
      </c>
      <c r="Q63" s="100">
        <v>9.9</v>
      </c>
      <c r="R63" s="6"/>
      <c r="S63" s="6"/>
      <c r="T63" s="156"/>
      <c r="U63" s="6"/>
    </row>
    <row r="64" spans="1:21" customFormat="1">
      <c r="A64" s="163" t="s">
        <v>1927</v>
      </c>
      <c r="B64" s="100">
        <v>3.75</v>
      </c>
      <c r="C64" s="100">
        <v>6.53</v>
      </c>
      <c r="D64" s="100">
        <v>2.78</v>
      </c>
      <c r="E64" s="100">
        <v>3.22</v>
      </c>
      <c r="F64" s="100">
        <v>9.1</v>
      </c>
      <c r="G64" s="100">
        <v>99.65</v>
      </c>
      <c r="H64" s="100">
        <v>23.63</v>
      </c>
      <c r="I64" s="100">
        <v>6.85</v>
      </c>
      <c r="J64" s="100">
        <v>0.56000000000000005</v>
      </c>
      <c r="K64" s="100">
        <v>248.24</v>
      </c>
      <c r="L64" s="100">
        <v>31.62</v>
      </c>
      <c r="M64" s="100">
        <v>56.09</v>
      </c>
      <c r="N64" s="100">
        <v>160.4</v>
      </c>
      <c r="O64" s="100">
        <v>0</v>
      </c>
      <c r="P64" s="100">
        <v>0.49</v>
      </c>
      <c r="Q64" s="100">
        <v>9.89</v>
      </c>
      <c r="R64" s="6"/>
      <c r="S64" s="6"/>
      <c r="T64" s="156"/>
      <c r="U64" s="6"/>
    </row>
    <row r="65" spans="1:21" customFormat="1">
      <c r="A65" s="163" t="s">
        <v>1928</v>
      </c>
      <c r="B65" s="100">
        <v>3.69</v>
      </c>
      <c r="C65" s="100">
        <v>6.33</v>
      </c>
      <c r="D65" s="100">
        <v>2.64</v>
      </c>
      <c r="E65" s="100">
        <v>2.86</v>
      </c>
      <c r="F65" s="100">
        <v>11.25</v>
      </c>
      <c r="G65" s="100">
        <v>97.3</v>
      </c>
      <c r="H65" s="100">
        <v>22.09</v>
      </c>
      <c r="I65" s="100">
        <v>6.56</v>
      </c>
      <c r="J65" s="100">
        <v>0.53</v>
      </c>
      <c r="K65" s="100">
        <v>246.4</v>
      </c>
      <c r="L65" s="100">
        <v>31.64</v>
      </c>
      <c r="M65" s="100">
        <v>56.2</v>
      </c>
      <c r="N65" s="100">
        <v>148.9</v>
      </c>
      <c r="O65" s="100">
        <v>0</v>
      </c>
      <c r="P65" s="100">
        <v>0.38</v>
      </c>
      <c r="Q65" s="100">
        <v>9.92</v>
      </c>
      <c r="R65" s="6"/>
      <c r="S65" s="6"/>
      <c r="T65" s="156"/>
      <c r="U65" s="6"/>
    </row>
    <row r="66" spans="1:21" customFormat="1">
      <c r="A66" s="163" t="s">
        <v>1929</v>
      </c>
      <c r="B66" s="100">
        <v>3.68</v>
      </c>
      <c r="C66" s="100">
        <v>6.3</v>
      </c>
      <c r="D66" s="100">
        <v>2.62</v>
      </c>
      <c r="E66" s="100">
        <v>3.09</v>
      </c>
      <c r="F66" s="100">
        <v>10.11</v>
      </c>
      <c r="G66" s="100">
        <v>91.53</v>
      </c>
      <c r="H66" s="100">
        <v>19.579999999999998</v>
      </c>
      <c r="I66" s="100">
        <v>6.31</v>
      </c>
      <c r="J66" s="100">
        <v>0.57999999999999996</v>
      </c>
      <c r="K66" s="100">
        <v>250.08</v>
      </c>
      <c r="L66" s="100">
        <v>31.57</v>
      </c>
      <c r="M66" s="100">
        <v>56.04</v>
      </c>
      <c r="N66" s="100">
        <v>139.1</v>
      </c>
      <c r="O66" s="100">
        <v>0</v>
      </c>
      <c r="P66" s="100">
        <v>0.38</v>
      </c>
      <c r="Q66" s="100">
        <v>9.93</v>
      </c>
      <c r="R66" s="6"/>
      <c r="S66" s="6"/>
      <c r="T66" s="156"/>
      <c r="U66" s="6"/>
    </row>
    <row r="67" spans="1:21" customFormat="1">
      <c r="A67" s="163" t="s">
        <v>1930</v>
      </c>
      <c r="B67" s="100">
        <v>3.68</v>
      </c>
      <c r="C67" s="100">
        <v>6.26</v>
      </c>
      <c r="D67" s="100">
        <v>2.58</v>
      </c>
      <c r="E67" s="100">
        <v>2.74</v>
      </c>
      <c r="F67" s="100">
        <v>10.44</v>
      </c>
      <c r="G67" s="100">
        <v>91.53</v>
      </c>
      <c r="H67" s="100">
        <v>19.579999999999998</v>
      </c>
      <c r="I67" s="100">
        <v>6.08</v>
      </c>
      <c r="J67" s="100">
        <v>0.52</v>
      </c>
      <c r="K67" s="100">
        <v>250.59</v>
      </c>
      <c r="L67" s="100">
        <v>31.53</v>
      </c>
      <c r="M67" s="100">
        <v>56.93</v>
      </c>
      <c r="N67" s="100">
        <v>126.5</v>
      </c>
      <c r="O67" s="100">
        <v>0</v>
      </c>
      <c r="P67" s="100">
        <v>0.37</v>
      </c>
      <c r="Q67" s="100">
        <v>9.92</v>
      </c>
      <c r="R67" s="6"/>
      <c r="S67" s="6"/>
      <c r="T67" s="156"/>
      <c r="U67" s="6"/>
    </row>
    <row r="68" spans="1:21" customFormat="1">
      <c r="A68" s="163" t="s">
        <v>1931</v>
      </c>
      <c r="B68" s="100">
        <v>3.69</v>
      </c>
      <c r="C68" s="100">
        <v>6.24</v>
      </c>
      <c r="D68" s="100">
        <v>2.5499999999999998</v>
      </c>
      <c r="E68" s="100">
        <v>2.57</v>
      </c>
      <c r="F68" s="100">
        <v>11.78</v>
      </c>
      <c r="G68" s="100">
        <v>91.53</v>
      </c>
      <c r="H68" s="100">
        <v>19.579999999999998</v>
      </c>
      <c r="I68" s="100">
        <v>6</v>
      </c>
      <c r="J68" s="100">
        <v>0.68</v>
      </c>
      <c r="K68" s="100">
        <v>251.3</v>
      </c>
      <c r="L68" s="100">
        <v>31.48</v>
      </c>
      <c r="M68" s="100">
        <v>56.45</v>
      </c>
      <c r="N68" s="100">
        <v>128.1</v>
      </c>
      <c r="O68" s="100">
        <v>0</v>
      </c>
      <c r="P68" s="100">
        <v>0.36</v>
      </c>
      <c r="Q68" s="100">
        <v>9.92</v>
      </c>
      <c r="R68" s="6"/>
      <c r="S68" s="6"/>
      <c r="T68" s="156"/>
      <c r="U68" s="6"/>
    </row>
    <row r="69" spans="1:21" customFormat="1">
      <c r="A69" s="163" t="s">
        <v>1932</v>
      </c>
      <c r="B69" s="100">
        <v>3.68</v>
      </c>
      <c r="C69" s="100">
        <v>6.11</v>
      </c>
      <c r="D69" s="100">
        <v>2.4300000000000002</v>
      </c>
      <c r="E69" s="100">
        <v>2.58</v>
      </c>
      <c r="F69" s="100">
        <v>9.9</v>
      </c>
      <c r="G69" s="100">
        <v>90.62</v>
      </c>
      <c r="H69" s="100">
        <v>18.98</v>
      </c>
      <c r="I69" s="100">
        <v>5.81</v>
      </c>
      <c r="J69" s="100">
        <v>0.92</v>
      </c>
      <c r="K69" s="100">
        <v>253.93</v>
      </c>
      <c r="L69" s="100">
        <v>31.38</v>
      </c>
      <c r="M69" s="100">
        <v>55.84</v>
      </c>
      <c r="N69" s="100">
        <v>132.80000000000001</v>
      </c>
      <c r="O69" s="100">
        <v>0</v>
      </c>
      <c r="P69" s="100">
        <v>0.35</v>
      </c>
      <c r="Q69" s="100">
        <v>9.93</v>
      </c>
      <c r="R69" s="6"/>
      <c r="S69" s="6"/>
      <c r="T69" s="156"/>
      <c r="U69" s="6"/>
    </row>
    <row r="70" spans="1:21" customFormat="1">
      <c r="A70" s="163" t="s">
        <v>1933</v>
      </c>
      <c r="B70" s="100">
        <v>3.69</v>
      </c>
      <c r="C70" s="100">
        <v>6.36</v>
      </c>
      <c r="D70" s="100">
        <v>2.67</v>
      </c>
      <c r="E70" s="100">
        <v>2.99</v>
      </c>
      <c r="F70" s="100">
        <v>8.3699999999999992</v>
      </c>
      <c r="G70" s="100">
        <v>88.38</v>
      </c>
      <c r="H70" s="100">
        <v>17.989999999999998</v>
      </c>
      <c r="I70" s="100">
        <v>5.61</v>
      </c>
      <c r="J70" s="100">
        <v>0.54</v>
      </c>
      <c r="K70" s="100">
        <v>245.21</v>
      </c>
      <c r="L70" s="100">
        <v>31.42</v>
      </c>
      <c r="M70" s="100">
        <v>55.68</v>
      </c>
      <c r="N70" s="100">
        <v>129.6</v>
      </c>
      <c r="O70" s="100">
        <v>0</v>
      </c>
      <c r="P70" s="100">
        <v>0.38</v>
      </c>
      <c r="Q70" s="100">
        <v>9.9</v>
      </c>
      <c r="R70" s="6"/>
      <c r="S70" s="6"/>
      <c r="T70" s="156"/>
      <c r="U70" s="6"/>
    </row>
    <row r="71" spans="1:21" customFormat="1">
      <c r="A71" s="163" t="s">
        <v>1934</v>
      </c>
      <c r="B71" s="100">
        <v>3.68</v>
      </c>
      <c r="C71" s="100">
        <v>6.27</v>
      </c>
      <c r="D71" s="100">
        <v>2.59</v>
      </c>
      <c r="E71" s="100">
        <v>2.8</v>
      </c>
      <c r="F71" s="100">
        <v>8.89</v>
      </c>
      <c r="G71" s="100">
        <v>88.38</v>
      </c>
      <c r="H71" s="100">
        <v>17.989999999999998</v>
      </c>
      <c r="I71" s="100">
        <v>5.69</v>
      </c>
      <c r="J71" s="100">
        <v>0.56000000000000005</v>
      </c>
      <c r="K71" s="100">
        <v>251.97</v>
      </c>
      <c r="L71" s="100">
        <v>31.5</v>
      </c>
      <c r="M71" s="100">
        <v>54.89</v>
      </c>
      <c r="N71" s="100">
        <v>115.4</v>
      </c>
      <c r="O71" s="100">
        <v>0</v>
      </c>
      <c r="P71" s="100">
        <v>0.36</v>
      </c>
      <c r="Q71" s="100">
        <v>9.9</v>
      </c>
      <c r="R71" s="6"/>
      <c r="S71" s="6"/>
      <c r="T71" s="156"/>
      <c r="U71" s="6"/>
    </row>
    <row r="72" spans="1:21" customFormat="1">
      <c r="A72" s="163" t="s">
        <v>1935</v>
      </c>
      <c r="B72" s="100">
        <v>3.75</v>
      </c>
      <c r="C72" s="100">
        <v>7.12</v>
      </c>
      <c r="D72" s="100">
        <v>3.37</v>
      </c>
      <c r="E72" s="100">
        <v>3.1</v>
      </c>
      <c r="F72" s="100">
        <v>5.4</v>
      </c>
      <c r="G72" s="100">
        <v>88.38</v>
      </c>
      <c r="H72" s="100">
        <v>17.989999999999998</v>
      </c>
      <c r="I72" s="100">
        <v>5.73</v>
      </c>
      <c r="J72" s="100">
        <v>0.48</v>
      </c>
      <c r="K72" s="100">
        <v>247.76</v>
      </c>
      <c r="L72" s="100">
        <v>31.53</v>
      </c>
      <c r="M72" s="100">
        <v>54.92</v>
      </c>
      <c r="N72" s="100">
        <v>95.2</v>
      </c>
      <c r="O72" s="100">
        <v>0</v>
      </c>
      <c r="P72" s="100">
        <v>0.34</v>
      </c>
      <c r="Q72" s="100">
        <v>9.89</v>
      </c>
      <c r="R72" s="6"/>
      <c r="S72" s="6"/>
      <c r="T72" s="156"/>
      <c r="U72" s="6"/>
    </row>
    <row r="73" spans="1:21" customFormat="1">
      <c r="A73" s="163" t="s">
        <v>1936</v>
      </c>
      <c r="B73" s="100">
        <v>3.82</v>
      </c>
      <c r="C73" s="100">
        <v>7.63</v>
      </c>
      <c r="D73" s="100">
        <v>3.81</v>
      </c>
      <c r="E73" s="100">
        <v>2.95</v>
      </c>
      <c r="F73" s="100">
        <v>6.48</v>
      </c>
      <c r="G73" s="100">
        <v>85.87</v>
      </c>
      <c r="H73" s="100">
        <v>17.39</v>
      </c>
      <c r="I73" s="100">
        <v>5.55</v>
      </c>
      <c r="J73" s="100">
        <v>0.4</v>
      </c>
      <c r="K73" s="100">
        <v>243.97</v>
      </c>
      <c r="L73" s="100">
        <v>31.65</v>
      </c>
      <c r="M73" s="100">
        <v>54.32</v>
      </c>
      <c r="N73" s="100">
        <v>83.6</v>
      </c>
      <c r="O73" s="100">
        <v>0</v>
      </c>
      <c r="P73" s="100">
        <v>0.28999999999999998</v>
      </c>
      <c r="Q73" s="100">
        <v>9.91</v>
      </c>
      <c r="R73" s="6"/>
      <c r="S73" s="6"/>
      <c r="T73" s="156"/>
      <c r="U73" s="6"/>
    </row>
    <row r="74" spans="1:21" customFormat="1">
      <c r="A74" s="163" t="s">
        <v>1937</v>
      </c>
      <c r="B74" s="100">
        <v>3.79</v>
      </c>
      <c r="C74" s="100">
        <v>7.67</v>
      </c>
      <c r="D74" s="100">
        <v>3.88</v>
      </c>
      <c r="E74" s="100">
        <v>3.29</v>
      </c>
      <c r="F74" s="100">
        <v>6.94</v>
      </c>
      <c r="G74" s="100">
        <v>79.680000000000007</v>
      </c>
      <c r="H74" s="100">
        <v>14.92</v>
      </c>
      <c r="I74" s="100">
        <v>5.69</v>
      </c>
      <c r="J74" s="100">
        <v>0.43</v>
      </c>
      <c r="K74" s="100">
        <v>243.92</v>
      </c>
      <c r="L74" s="100">
        <v>31.6</v>
      </c>
      <c r="M74" s="100">
        <v>54.48</v>
      </c>
      <c r="N74" s="100">
        <v>72.599999999999994</v>
      </c>
      <c r="O74" s="100">
        <v>0</v>
      </c>
      <c r="P74" s="100">
        <v>0.28000000000000003</v>
      </c>
      <c r="Q74" s="100">
        <v>9.89</v>
      </c>
      <c r="R74" s="6"/>
      <c r="S74" s="6"/>
      <c r="T74" s="156"/>
      <c r="U74" s="6"/>
    </row>
    <row r="75" spans="1:21" customFormat="1">
      <c r="A75" s="163" t="s">
        <v>1938</v>
      </c>
      <c r="B75" s="100">
        <v>3.75</v>
      </c>
      <c r="C75" s="100">
        <v>7.46</v>
      </c>
      <c r="D75" s="100">
        <v>3.71</v>
      </c>
      <c r="E75" s="100">
        <v>3.33</v>
      </c>
      <c r="F75" s="100">
        <v>5.55</v>
      </c>
      <c r="G75" s="100">
        <v>79.680000000000007</v>
      </c>
      <c r="H75" s="100">
        <v>14.92</v>
      </c>
      <c r="I75" s="100">
        <v>5.47</v>
      </c>
      <c r="J75" s="100">
        <v>0.28999999999999998</v>
      </c>
      <c r="K75" s="100">
        <v>234.65</v>
      </c>
      <c r="L75" s="100">
        <v>31.62</v>
      </c>
      <c r="M75" s="100">
        <v>55.13</v>
      </c>
      <c r="N75" s="100">
        <v>63.5</v>
      </c>
      <c r="O75" s="100">
        <v>0</v>
      </c>
      <c r="P75" s="100">
        <v>0.28000000000000003</v>
      </c>
      <c r="Q75" s="100">
        <v>9.89</v>
      </c>
      <c r="R75" s="6"/>
      <c r="S75" s="6"/>
      <c r="T75" s="156"/>
      <c r="U75" s="6"/>
    </row>
    <row r="76" spans="1:21" customFormat="1">
      <c r="A76" s="163" t="s">
        <v>1939</v>
      </c>
      <c r="B76" s="100">
        <v>3.73</v>
      </c>
      <c r="C76" s="100">
        <v>7.51</v>
      </c>
      <c r="D76" s="100">
        <v>3.79</v>
      </c>
      <c r="E76" s="100">
        <v>3.78</v>
      </c>
      <c r="F76" s="100">
        <v>4.46</v>
      </c>
      <c r="G76" s="100">
        <v>79.680000000000007</v>
      </c>
      <c r="H76" s="100">
        <v>14.92</v>
      </c>
      <c r="I76" s="100">
        <v>5.27</v>
      </c>
      <c r="J76" s="100">
        <v>0.15</v>
      </c>
      <c r="K76" s="100">
        <v>222.41</v>
      </c>
      <c r="L76" s="100">
        <v>31.46</v>
      </c>
      <c r="M76" s="100">
        <v>57.28</v>
      </c>
      <c r="N76" s="100">
        <v>57.8</v>
      </c>
      <c r="O76" s="100">
        <v>0</v>
      </c>
      <c r="P76" s="100">
        <v>0.27</v>
      </c>
      <c r="Q76" s="100">
        <v>9.9</v>
      </c>
      <c r="R76" s="6"/>
      <c r="S76" s="6"/>
      <c r="T76" s="156"/>
      <c r="U76" s="6"/>
    </row>
    <row r="77" spans="1:21" customFormat="1">
      <c r="A77" s="163" t="s">
        <v>1940</v>
      </c>
      <c r="B77" s="100">
        <v>3.73</v>
      </c>
      <c r="C77" s="100">
        <v>7.58</v>
      </c>
      <c r="D77" s="100">
        <v>3.86</v>
      </c>
      <c r="E77" s="100">
        <v>3.8</v>
      </c>
      <c r="F77" s="100">
        <v>6.83</v>
      </c>
      <c r="G77" s="100">
        <v>78.78</v>
      </c>
      <c r="H77" s="100">
        <v>14.88</v>
      </c>
      <c r="I77" s="100">
        <v>5.26</v>
      </c>
      <c r="J77" s="100">
        <v>0.14000000000000001</v>
      </c>
      <c r="K77" s="100">
        <v>216.25</v>
      </c>
      <c r="L77" s="100">
        <v>31.35</v>
      </c>
      <c r="M77" s="100">
        <v>59.19</v>
      </c>
      <c r="N77" s="100">
        <v>51.3</v>
      </c>
      <c r="O77" s="100">
        <v>0</v>
      </c>
      <c r="P77" s="100">
        <v>0.27</v>
      </c>
      <c r="Q77" s="100">
        <v>9.89</v>
      </c>
      <c r="R77" s="6"/>
      <c r="S77" s="6"/>
      <c r="T77" s="156"/>
      <c r="U77" s="6"/>
    </row>
    <row r="78" spans="1:21" customFormat="1">
      <c r="A78" s="163" t="s">
        <v>1941</v>
      </c>
      <c r="B78" s="100">
        <v>3.87</v>
      </c>
      <c r="C78" s="100">
        <v>7.63</v>
      </c>
      <c r="D78" s="100">
        <v>3.76</v>
      </c>
      <c r="E78" s="100">
        <v>4.01</v>
      </c>
      <c r="F78" s="100">
        <v>6.51</v>
      </c>
      <c r="G78" s="100">
        <v>76.55</v>
      </c>
      <c r="H78" s="100">
        <v>14.8</v>
      </c>
      <c r="I78" s="100">
        <v>5.15</v>
      </c>
      <c r="J78" s="100">
        <v>0.23</v>
      </c>
      <c r="K78" s="100">
        <v>239.43</v>
      </c>
      <c r="L78" s="100">
        <v>31.2</v>
      </c>
      <c r="M78" s="100">
        <v>59.84</v>
      </c>
      <c r="N78" s="100">
        <v>42</v>
      </c>
      <c r="O78" s="100">
        <v>0</v>
      </c>
      <c r="P78" s="100">
        <v>0.27</v>
      </c>
      <c r="Q78" s="100">
        <v>9.89</v>
      </c>
      <c r="R78" s="6"/>
      <c r="S78" s="6"/>
      <c r="T78" s="156"/>
      <c r="U78" s="6"/>
    </row>
    <row r="79" spans="1:21" customFormat="1">
      <c r="A79" s="163" t="s">
        <v>1942</v>
      </c>
      <c r="B79" s="100">
        <v>3.91</v>
      </c>
      <c r="C79" s="100">
        <v>7.62</v>
      </c>
      <c r="D79" s="100">
        <v>3.72</v>
      </c>
      <c r="E79" s="100">
        <v>4.09</v>
      </c>
      <c r="F79" s="100">
        <v>5.9</v>
      </c>
      <c r="G79" s="100">
        <v>76.55</v>
      </c>
      <c r="H79" s="100">
        <v>14.8</v>
      </c>
      <c r="I79" s="100">
        <v>4.8099999999999996</v>
      </c>
      <c r="J79" s="100">
        <v>0.12</v>
      </c>
      <c r="K79" s="100">
        <v>226.91</v>
      </c>
      <c r="L79" s="100">
        <v>31.16</v>
      </c>
      <c r="M79" s="100">
        <v>60.37</v>
      </c>
      <c r="N79" s="100">
        <v>30.6</v>
      </c>
      <c r="O79" s="100">
        <v>0</v>
      </c>
      <c r="P79" s="100">
        <v>0.26</v>
      </c>
      <c r="Q79" s="100">
        <v>9.8800000000000008</v>
      </c>
      <c r="R79" s="6"/>
      <c r="S79" s="6"/>
      <c r="T79" s="156"/>
      <c r="U79" s="6"/>
    </row>
    <row r="80" spans="1:21" customFormat="1">
      <c r="A80" s="163" t="s">
        <v>1943</v>
      </c>
      <c r="B80" s="100">
        <v>3.85</v>
      </c>
      <c r="C80" s="100">
        <v>7.58</v>
      </c>
      <c r="D80" s="100">
        <v>3.72</v>
      </c>
      <c r="E80" s="100">
        <v>4.0199999999999996</v>
      </c>
      <c r="F80" s="100">
        <v>5.18</v>
      </c>
      <c r="G80" s="100">
        <v>76.55</v>
      </c>
      <c r="H80" s="100">
        <v>14.8</v>
      </c>
      <c r="I80" s="100">
        <v>4.8499999999999996</v>
      </c>
      <c r="J80" s="100">
        <v>0.19</v>
      </c>
      <c r="K80" s="100">
        <v>229.83</v>
      </c>
      <c r="L80" s="100">
        <v>30.95</v>
      </c>
      <c r="M80" s="100">
        <v>60.78</v>
      </c>
      <c r="N80" s="100">
        <v>20.2</v>
      </c>
      <c r="O80" s="100">
        <v>0</v>
      </c>
      <c r="P80" s="100">
        <v>0.26</v>
      </c>
      <c r="Q80" s="100">
        <v>9.89</v>
      </c>
      <c r="R80" s="6"/>
      <c r="S80" s="6"/>
      <c r="T80" s="156"/>
      <c r="U80" s="6"/>
    </row>
    <row r="81" spans="1:21" customFormat="1">
      <c r="A81" s="163" t="s">
        <v>1944</v>
      </c>
      <c r="B81" s="100">
        <v>3.86</v>
      </c>
      <c r="C81" s="100">
        <v>7.64</v>
      </c>
      <c r="D81" s="100">
        <v>3.79</v>
      </c>
      <c r="E81" s="100">
        <v>4.6500000000000004</v>
      </c>
      <c r="F81" s="100">
        <v>5.63</v>
      </c>
      <c r="G81" s="100">
        <v>75.67</v>
      </c>
      <c r="H81" s="100">
        <v>15.27</v>
      </c>
      <c r="I81" s="100">
        <v>4.7300000000000004</v>
      </c>
      <c r="J81" s="100">
        <v>0.22</v>
      </c>
      <c r="K81" s="100">
        <v>249.05</v>
      </c>
      <c r="L81" s="100">
        <v>30.72</v>
      </c>
      <c r="M81" s="100">
        <v>61.52</v>
      </c>
      <c r="N81" s="100">
        <v>13.4</v>
      </c>
      <c r="O81" s="100">
        <v>0</v>
      </c>
      <c r="P81" s="100">
        <v>0.26</v>
      </c>
      <c r="Q81" s="100">
        <v>9.91</v>
      </c>
      <c r="R81" s="6"/>
      <c r="S81" s="6"/>
      <c r="T81" s="156"/>
      <c r="U81" s="6"/>
    </row>
    <row r="82" spans="1:21" customFormat="1">
      <c r="A82" s="163" t="s">
        <v>1945</v>
      </c>
      <c r="B82" s="100">
        <v>3.88</v>
      </c>
      <c r="C82" s="100">
        <v>7.76</v>
      </c>
      <c r="D82" s="100">
        <v>3.87</v>
      </c>
      <c r="E82" s="100">
        <v>5.27</v>
      </c>
      <c r="F82" s="100">
        <v>5.58</v>
      </c>
      <c r="G82" s="100">
        <v>73.489999999999995</v>
      </c>
      <c r="H82" s="100">
        <v>16.05</v>
      </c>
      <c r="I82" s="100">
        <v>4.5999999999999996</v>
      </c>
      <c r="J82" s="100">
        <v>0.1</v>
      </c>
      <c r="K82" s="100">
        <v>204.92</v>
      </c>
      <c r="L82" s="100">
        <v>30.63</v>
      </c>
      <c r="M82" s="100">
        <v>61.26</v>
      </c>
      <c r="N82" s="100">
        <v>7.7</v>
      </c>
      <c r="O82" s="100">
        <v>0</v>
      </c>
      <c r="P82" s="100">
        <v>0.26</v>
      </c>
      <c r="Q82" s="100">
        <v>9.9</v>
      </c>
      <c r="R82" s="6"/>
      <c r="S82" s="6"/>
      <c r="T82" s="156"/>
      <c r="U82" s="6"/>
    </row>
    <row r="83" spans="1:21" customFormat="1">
      <c r="A83" s="163" t="s">
        <v>1946</v>
      </c>
      <c r="B83" s="100">
        <v>3.89</v>
      </c>
      <c r="C83" s="100">
        <v>7.81</v>
      </c>
      <c r="D83" s="100">
        <v>3.92</v>
      </c>
      <c r="E83" s="100">
        <v>5.28</v>
      </c>
      <c r="F83" s="100">
        <v>5.08</v>
      </c>
      <c r="G83" s="100">
        <v>73.489999999999995</v>
      </c>
      <c r="H83" s="100">
        <v>16.05</v>
      </c>
      <c r="I83" s="100">
        <v>4.66</v>
      </c>
      <c r="J83" s="100">
        <v>0.09</v>
      </c>
      <c r="K83" s="100">
        <v>242.65</v>
      </c>
      <c r="L83" s="100">
        <v>30.5</v>
      </c>
      <c r="M83" s="100">
        <v>61.83</v>
      </c>
      <c r="N83" s="100">
        <v>4</v>
      </c>
      <c r="O83" s="100">
        <v>0</v>
      </c>
      <c r="P83" s="100">
        <v>0.26</v>
      </c>
      <c r="Q83" s="100">
        <v>9.9</v>
      </c>
      <c r="R83" s="6"/>
      <c r="S83" s="6"/>
      <c r="T83" s="156"/>
      <c r="U83" s="6"/>
    </row>
    <row r="84" spans="1:21" customFormat="1">
      <c r="A84" s="163" t="s">
        <v>1947</v>
      </c>
      <c r="B84" s="100">
        <v>3.87</v>
      </c>
      <c r="C84" s="100">
        <v>7.84</v>
      </c>
      <c r="D84" s="100">
        <v>3.97</v>
      </c>
      <c r="E84" s="100">
        <v>5.4</v>
      </c>
      <c r="F84" s="100">
        <v>5.0599999999999996</v>
      </c>
      <c r="G84" s="100">
        <v>73.489999999999995</v>
      </c>
      <c r="H84" s="100">
        <v>16.05</v>
      </c>
      <c r="I84" s="100">
        <v>4.62</v>
      </c>
      <c r="J84" s="100">
        <v>0.22</v>
      </c>
      <c r="K84" s="100">
        <v>256.18</v>
      </c>
      <c r="L84" s="100">
        <v>30.31</v>
      </c>
      <c r="M84" s="100">
        <v>61.96</v>
      </c>
      <c r="N84" s="100">
        <v>2.4</v>
      </c>
      <c r="O84" s="100">
        <v>0</v>
      </c>
      <c r="P84" s="100">
        <v>0.26</v>
      </c>
      <c r="Q84" s="100">
        <v>9.9</v>
      </c>
      <c r="R84" s="6"/>
      <c r="S84" s="6"/>
      <c r="T84" s="156"/>
      <c r="U84" s="6"/>
    </row>
    <row r="85" spans="1:21" customFormat="1">
      <c r="A85" s="163" t="s">
        <v>1948</v>
      </c>
      <c r="B85" s="100">
        <v>3.86</v>
      </c>
      <c r="C85" s="100">
        <v>7.78</v>
      </c>
      <c r="D85" s="100">
        <v>3.92</v>
      </c>
      <c r="E85" s="100">
        <v>5.48</v>
      </c>
      <c r="F85" s="100">
        <v>4.82</v>
      </c>
      <c r="G85" s="100">
        <v>73.290000000000006</v>
      </c>
      <c r="H85" s="100">
        <v>15.18</v>
      </c>
      <c r="I85" s="100">
        <v>4.6100000000000003</v>
      </c>
      <c r="J85" s="100">
        <v>0.23</v>
      </c>
      <c r="K85" s="100">
        <v>251.81</v>
      </c>
      <c r="L85" s="100">
        <v>30.16</v>
      </c>
      <c r="M85" s="100">
        <v>62.44</v>
      </c>
      <c r="N85" s="100">
        <v>2.1</v>
      </c>
      <c r="O85" s="100">
        <v>0</v>
      </c>
      <c r="P85" s="100">
        <v>0.26</v>
      </c>
      <c r="Q85" s="100">
        <v>9.91</v>
      </c>
      <c r="R85" s="6"/>
      <c r="S85" s="6"/>
      <c r="T85" s="156"/>
      <c r="U85" s="6"/>
    </row>
    <row r="86" spans="1:21" customFormat="1">
      <c r="A86" s="163" t="s">
        <v>1949</v>
      </c>
      <c r="B86" s="100">
        <v>3.89</v>
      </c>
      <c r="C86" s="100">
        <v>7.77</v>
      </c>
      <c r="D86" s="100">
        <v>3.88</v>
      </c>
      <c r="E86" s="100">
        <v>5.59</v>
      </c>
      <c r="F86" s="100">
        <v>4.67</v>
      </c>
      <c r="G86" s="100">
        <v>72.8</v>
      </c>
      <c r="H86" s="100">
        <v>13.75</v>
      </c>
      <c r="I86" s="100">
        <v>4.6100000000000003</v>
      </c>
      <c r="J86" s="100">
        <v>0.38</v>
      </c>
      <c r="K86" s="100">
        <v>253.91</v>
      </c>
      <c r="L86" s="100">
        <v>30.2</v>
      </c>
      <c r="M86" s="100">
        <v>61.66</v>
      </c>
      <c r="N86" s="100">
        <v>2</v>
      </c>
      <c r="O86" s="100">
        <v>0</v>
      </c>
      <c r="P86" s="100">
        <v>0.26</v>
      </c>
      <c r="Q86" s="100">
        <v>9.92</v>
      </c>
      <c r="R86" s="6"/>
      <c r="S86" s="6"/>
      <c r="T86" s="156"/>
      <c r="U86" s="6"/>
    </row>
    <row r="87" spans="1:21" customFormat="1">
      <c r="A87" s="163" t="s">
        <v>1950</v>
      </c>
      <c r="B87" s="100">
        <v>3.91</v>
      </c>
      <c r="C87" s="100">
        <v>7.87</v>
      </c>
      <c r="D87" s="100">
        <v>3.96</v>
      </c>
      <c r="E87" s="100">
        <v>5.48</v>
      </c>
      <c r="F87" s="100">
        <v>2.83</v>
      </c>
      <c r="G87" s="100">
        <v>72.8</v>
      </c>
      <c r="H87" s="100">
        <v>13.75</v>
      </c>
      <c r="I87" s="100">
        <v>4.4800000000000004</v>
      </c>
      <c r="J87" s="100">
        <v>0.44</v>
      </c>
      <c r="K87" s="100">
        <v>251.52</v>
      </c>
      <c r="L87" s="100">
        <v>30.15</v>
      </c>
      <c r="M87" s="100">
        <v>61.75</v>
      </c>
      <c r="N87" s="100">
        <v>2</v>
      </c>
      <c r="O87" s="100">
        <v>0</v>
      </c>
      <c r="P87" s="100">
        <v>0.26</v>
      </c>
      <c r="Q87" s="100">
        <v>9.91</v>
      </c>
      <c r="R87" s="6"/>
      <c r="S87" s="6"/>
      <c r="T87" s="156"/>
      <c r="U87" s="6"/>
    </row>
    <row r="88" spans="1:21" customFormat="1">
      <c r="A88" s="163" t="s">
        <v>1951</v>
      </c>
      <c r="B88" s="100">
        <v>3.93</v>
      </c>
      <c r="C88" s="100">
        <v>7.88</v>
      </c>
      <c r="D88" s="100">
        <v>3.95</v>
      </c>
      <c r="E88" s="100">
        <v>5.47</v>
      </c>
      <c r="F88" s="100">
        <v>3.03</v>
      </c>
      <c r="G88" s="100">
        <v>72.8</v>
      </c>
      <c r="H88" s="100">
        <v>13.75</v>
      </c>
      <c r="I88" s="100">
        <v>4.4400000000000004</v>
      </c>
      <c r="J88" s="100">
        <v>0.32</v>
      </c>
      <c r="K88" s="100">
        <v>247.18</v>
      </c>
      <c r="L88" s="100">
        <v>30.01</v>
      </c>
      <c r="M88" s="100">
        <v>62.38</v>
      </c>
      <c r="N88" s="100">
        <v>2.1</v>
      </c>
      <c r="O88" s="100">
        <v>0</v>
      </c>
      <c r="P88" s="100">
        <v>0.26</v>
      </c>
      <c r="Q88" s="100">
        <v>9.9</v>
      </c>
      <c r="R88" s="6"/>
      <c r="S88" s="6"/>
      <c r="T88" s="156"/>
      <c r="U88" s="6"/>
    </row>
    <row r="89" spans="1:21" customFormat="1">
      <c r="A89" s="163" t="s">
        <v>1952</v>
      </c>
      <c r="B89" s="100">
        <v>3.92</v>
      </c>
      <c r="C89" s="100">
        <v>7.77</v>
      </c>
      <c r="D89" s="100">
        <v>3.85</v>
      </c>
      <c r="E89" s="100">
        <v>5.87</v>
      </c>
      <c r="F89" s="100">
        <v>3.72</v>
      </c>
      <c r="G89" s="100">
        <v>73.209999999999994</v>
      </c>
      <c r="H89" s="100">
        <v>16.28</v>
      </c>
      <c r="I89" s="100">
        <v>4.51</v>
      </c>
      <c r="J89" s="100">
        <v>0.37</v>
      </c>
      <c r="K89" s="100">
        <v>252.84</v>
      </c>
      <c r="L89" s="100">
        <v>29.87</v>
      </c>
      <c r="M89" s="100">
        <v>63.21</v>
      </c>
      <c r="N89" s="100">
        <v>2.1</v>
      </c>
      <c r="O89" s="100">
        <v>0</v>
      </c>
      <c r="P89" s="100">
        <v>0.27</v>
      </c>
      <c r="Q89" s="100">
        <v>9.89</v>
      </c>
      <c r="R89" s="6"/>
      <c r="S89" s="6"/>
      <c r="T89" s="156"/>
      <c r="U89" s="6"/>
    </row>
    <row r="90" spans="1:21" customFormat="1">
      <c r="A90" s="163" t="s">
        <v>1953</v>
      </c>
      <c r="B90" s="100">
        <v>3.96</v>
      </c>
      <c r="C90" s="100">
        <v>7.78</v>
      </c>
      <c r="D90" s="100">
        <v>3.82</v>
      </c>
      <c r="E90" s="100">
        <v>5.73</v>
      </c>
      <c r="F90" s="100">
        <v>3.16</v>
      </c>
      <c r="G90" s="100">
        <v>74.23</v>
      </c>
      <c r="H90" s="100">
        <v>20.420000000000002</v>
      </c>
      <c r="I90" s="100">
        <v>4.5</v>
      </c>
      <c r="J90" s="100">
        <v>0.37</v>
      </c>
      <c r="K90" s="100">
        <v>252.39</v>
      </c>
      <c r="L90" s="100">
        <v>29.89</v>
      </c>
      <c r="M90" s="100">
        <v>63.34</v>
      </c>
      <c r="N90" s="100">
        <v>2</v>
      </c>
      <c r="O90" s="100">
        <v>0</v>
      </c>
      <c r="P90" s="100">
        <v>0.26</v>
      </c>
      <c r="Q90" s="100">
        <v>9.89</v>
      </c>
      <c r="R90" s="6"/>
      <c r="S90" s="6"/>
      <c r="T90" s="156"/>
      <c r="U90" s="6"/>
    </row>
    <row r="91" spans="1:21" customFormat="1">
      <c r="A91" s="163" t="s">
        <v>1954</v>
      </c>
      <c r="B91" s="100">
        <v>3.99</v>
      </c>
      <c r="C91" s="100">
        <v>7.85</v>
      </c>
      <c r="D91" s="100">
        <v>3.86</v>
      </c>
      <c r="E91" s="100">
        <v>5.94</v>
      </c>
      <c r="F91" s="100">
        <v>2.92</v>
      </c>
      <c r="G91" s="100">
        <v>74.23</v>
      </c>
      <c r="H91" s="100">
        <v>20.420000000000002</v>
      </c>
      <c r="I91" s="100">
        <v>4.4400000000000004</v>
      </c>
      <c r="J91" s="100">
        <v>0.39</v>
      </c>
      <c r="K91" s="100">
        <v>257.85000000000002</v>
      </c>
      <c r="L91" s="100">
        <v>29.86</v>
      </c>
      <c r="M91" s="100">
        <v>63.94</v>
      </c>
      <c r="N91" s="100">
        <v>2</v>
      </c>
      <c r="O91" s="100">
        <v>0</v>
      </c>
      <c r="P91" s="100">
        <v>0.25</v>
      </c>
      <c r="Q91" s="100">
        <v>9.9</v>
      </c>
      <c r="R91" s="6"/>
      <c r="S91" s="6"/>
      <c r="T91" s="156"/>
      <c r="U91" s="6"/>
    </row>
    <row r="92" spans="1:21" customFormat="1">
      <c r="A92" s="163" t="s">
        <v>1955</v>
      </c>
      <c r="B92" s="100">
        <v>3.99</v>
      </c>
      <c r="C92" s="100">
        <v>7.64</v>
      </c>
      <c r="D92" s="100">
        <v>3.65</v>
      </c>
      <c r="E92" s="100">
        <v>5.86</v>
      </c>
      <c r="F92" s="100">
        <v>4.78</v>
      </c>
      <c r="G92" s="100">
        <v>74.23</v>
      </c>
      <c r="H92" s="100">
        <v>20.420000000000002</v>
      </c>
      <c r="I92" s="100">
        <v>4.32</v>
      </c>
      <c r="J92" s="100">
        <v>0.31</v>
      </c>
      <c r="K92" s="100">
        <v>256.61</v>
      </c>
      <c r="L92" s="100">
        <v>29.71</v>
      </c>
      <c r="M92" s="100">
        <v>65.11</v>
      </c>
      <c r="N92" s="100">
        <v>2.1</v>
      </c>
      <c r="O92" s="100">
        <v>0</v>
      </c>
      <c r="P92" s="100">
        <v>0.28000000000000003</v>
      </c>
      <c r="Q92" s="100">
        <v>9.9</v>
      </c>
      <c r="R92" s="6"/>
      <c r="S92" s="6"/>
      <c r="T92" s="156"/>
      <c r="U92" s="6"/>
    </row>
    <row r="93" spans="1:21" customFormat="1">
      <c r="A93" s="163" t="s">
        <v>1956</v>
      </c>
      <c r="B93" s="100">
        <v>4.04</v>
      </c>
      <c r="C93" s="100">
        <v>7.45</v>
      </c>
      <c r="D93" s="100">
        <v>3.41</v>
      </c>
      <c r="E93" s="100">
        <v>5.52</v>
      </c>
      <c r="F93" s="100">
        <v>8</v>
      </c>
      <c r="G93" s="100">
        <v>72.77</v>
      </c>
      <c r="H93" s="100">
        <v>18.39</v>
      </c>
      <c r="I93" s="100">
        <v>4.3</v>
      </c>
      <c r="J93" s="100">
        <v>0.42</v>
      </c>
      <c r="K93" s="100">
        <v>253.09</v>
      </c>
      <c r="L93" s="100">
        <v>29.63</v>
      </c>
      <c r="M93" s="100">
        <v>65.8</v>
      </c>
      <c r="N93" s="100">
        <v>2.1</v>
      </c>
      <c r="O93" s="100">
        <v>0</v>
      </c>
      <c r="P93" s="100">
        <v>0.28999999999999998</v>
      </c>
      <c r="Q93" s="100">
        <v>9.92</v>
      </c>
      <c r="R93" s="6"/>
      <c r="S93" s="6"/>
      <c r="T93" s="156"/>
      <c r="U93" s="6"/>
    </row>
    <row r="94" spans="1:21" customFormat="1">
      <c r="A94" s="163" t="s">
        <v>1957</v>
      </c>
      <c r="B94" s="100">
        <v>4.1399999999999997</v>
      </c>
      <c r="C94" s="100">
        <v>7.05</v>
      </c>
      <c r="D94" s="100">
        <v>2.91</v>
      </c>
      <c r="E94" s="100">
        <v>4.99</v>
      </c>
      <c r="F94" s="100">
        <v>7.55</v>
      </c>
      <c r="G94" s="100">
        <v>69.2</v>
      </c>
      <c r="H94" s="100">
        <v>15.06</v>
      </c>
      <c r="I94" s="100">
        <v>4.1900000000000004</v>
      </c>
      <c r="J94" s="100">
        <v>0.55000000000000004</v>
      </c>
      <c r="K94" s="100">
        <v>258</v>
      </c>
      <c r="L94" s="100">
        <v>29.57</v>
      </c>
      <c r="M94" s="100">
        <v>65.989999999999995</v>
      </c>
      <c r="N94" s="100">
        <v>2.1</v>
      </c>
      <c r="O94" s="100">
        <v>0</v>
      </c>
      <c r="P94" s="100">
        <v>0.27</v>
      </c>
      <c r="Q94" s="100">
        <v>9.91</v>
      </c>
      <c r="R94" s="6"/>
      <c r="S94" s="6"/>
      <c r="T94" s="156"/>
      <c r="U94" s="6"/>
    </row>
    <row r="95" spans="1:21" customFormat="1">
      <c r="A95" s="163" t="s">
        <v>1958</v>
      </c>
      <c r="B95" s="100">
        <v>4.2</v>
      </c>
      <c r="C95" s="100">
        <v>6.91</v>
      </c>
      <c r="D95" s="100">
        <v>2.71</v>
      </c>
      <c r="E95" s="100">
        <v>4.67</v>
      </c>
      <c r="F95" s="100">
        <v>8.6199999999999992</v>
      </c>
      <c r="G95" s="100">
        <v>69.2</v>
      </c>
      <c r="H95" s="100">
        <v>15.06</v>
      </c>
      <c r="I95" s="100">
        <v>3.86</v>
      </c>
      <c r="J95" s="100">
        <v>0.56999999999999995</v>
      </c>
      <c r="K95" s="100">
        <v>255.9</v>
      </c>
      <c r="L95" s="100">
        <v>29.5</v>
      </c>
      <c r="M95" s="100">
        <v>66.25</v>
      </c>
      <c r="N95" s="100">
        <v>2.1</v>
      </c>
      <c r="O95" s="100">
        <v>0</v>
      </c>
      <c r="P95" s="100">
        <v>0.26</v>
      </c>
      <c r="Q95" s="100">
        <v>9.91</v>
      </c>
      <c r="R95" s="6"/>
      <c r="S95" s="6"/>
      <c r="T95" s="156"/>
      <c r="U95" s="6"/>
    </row>
    <row r="96" spans="1:21" customFormat="1">
      <c r="A96" s="163" t="s">
        <v>1959</v>
      </c>
      <c r="B96" s="100">
        <v>4.2699999999999996</v>
      </c>
      <c r="C96" s="100">
        <v>6.71</v>
      </c>
      <c r="D96" s="100">
        <v>2.44</v>
      </c>
      <c r="E96" s="100">
        <v>4.26</v>
      </c>
      <c r="F96" s="100">
        <v>8.36</v>
      </c>
      <c r="G96" s="100">
        <v>69.2</v>
      </c>
      <c r="H96" s="100">
        <v>15.06</v>
      </c>
      <c r="I96" s="100">
        <v>3.94</v>
      </c>
      <c r="J96" s="100">
        <v>0.63</v>
      </c>
      <c r="K96" s="100">
        <v>251.33</v>
      </c>
      <c r="L96" s="100">
        <v>29.5</v>
      </c>
      <c r="M96" s="100">
        <v>65.930000000000007</v>
      </c>
      <c r="N96" s="100">
        <v>2</v>
      </c>
      <c r="O96" s="100">
        <v>0</v>
      </c>
      <c r="P96" s="100">
        <v>0.25</v>
      </c>
      <c r="Q96" s="100">
        <v>9.92</v>
      </c>
      <c r="R96" s="6"/>
      <c r="S96" s="6"/>
      <c r="T96" s="156"/>
      <c r="U96" s="6"/>
    </row>
    <row r="97" spans="1:28" customFormat="1">
      <c r="A97" s="163" t="s">
        <v>1960</v>
      </c>
      <c r="B97" s="100">
        <v>4.37</v>
      </c>
      <c r="C97" s="100">
        <v>6.72</v>
      </c>
      <c r="D97" s="100">
        <v>2.35</v>
      </c>
      <c r="E97" s="100">
        <v>4.72</v>
      </c>
      <c r="F97" s="100">
        <v>5.56</v>
      </c>
      <c r="G97" s="100">
        <v>67.95</v>
      </c>
      <c r="H97" s="100">
        <v>14.72</v>
      </c>
      <c r="I97" s="100">
        <v>3.91</v>
      </c>
      <c r="J97" s="100">
        <v>0.63</v>
      </c>
      <c r="K97" s="100">
        <v>253.52</v>
      </c>
      <c r="L97" s="100">
        <v>29.48</v>
      </c>
      <c r="M97" s="100">
        <v>65.98</v>
      </c>
      <c r="N97" s="100">
        <v>2</v>
      </c>
      <c r="O97" s="100">
        <v>0</v>
      </c>
      <c r="P97" s="100">
        <v>0.28000000000000003</v>
      </c>
      <c r="Q97" s="100">
        <v>9.92</v>
      </c>
      <c r="R97" s="6"/>
      <c r="S97" s="6"/>
      <c r="T97" s="156"/>
      <c r="U97" s="6"/>
    </row>
    <row r="98" spans="1:28" customFormat="1">
      <c r="A98" s="163" t="s">
        <v>1961</v>
      </c>
      <c r="B98" s="100">
        <v>4.34</v>
      </c>
      <c r="C98" s="100">
        <v>7.08</v>
      </c>
      <c r="D98" s="100">
        <v>2.74</v>
      </c>
      <c r="E98" s="100">
        <v>4.38</v>
      </c>
      <c r="F98" s="100">
        <v>5.66</v>
      </c>
      <c r="G98" s="100">
        <v>64.900000000000006</v>
      </c>
      <c r="H98" s="100">
        <v>13.34</v>
      </c>
      <c r="I98" s="100">
        <v>3.89</v>
      </c>
      <c r="J98" s="100">
        <v>0.74</v>
      </c>
      <c r="K98" s="100">
        <v>255.37</v>
      </c>
      <c r="L98" s="100">
        <v>29.42</v>
      </c>
      <c r="M98" s="100">
        <v>66.34</v>
      </c>
      <c r="N98" s="100">
        <v>2.1</v>
      </c>
      <c r="O98" s="100">
        <v>0</v>
      </c>
      <c r="P98" s="100">
        <v>0.28000000000000003</v>
      </c>
      <c r="Q98" s="100">
        <v>9.91</v>
      </c>
      <c r="R98" s="6"/>
      <c r="S98" s="6"/>
      <c r="T98" s="156"/>
      <c r="U98" s="6"/>
    </row>
    <row r="99" spans="1:28" customFormat="1">
      <c r="A99" s="163" t="s">
        <v>1962</v>
      </c>
      <c r="B99" s="100">
        <v>4.38</v>
      </c>
      <c r="C99" s="100">
        <v>6.92</v>
      </c>
      <c r="D99" s="100">
        <v>2.54</v>
      </c>
      <c r="E99" s="100">
        <v>3.9</v>
      </c>
      <c r="F99" s="100">
        <v>7.32</v>
      </c>
      <c r="G99" s="100">
        <v>64.900000000000006</v>
      </c>
      <c r="H99" s="100">
        <v>13.34</v>
      </c>
      <c r="I99" s="100">
        <v>4.1399999999999997</v>
      </c>
      <c r="J99" s="100">
        <v>0.75</v>
      </c>
      <c r="K99" s="100">
        <v>258.61</v>
      </c>
      <c r="L99" s="100">
        <v>29.35</v>
      </c>
      <c r="M99" s="100">
        <v>66.790000000000006</v>
      </c>
      <c r="N99" s="100">
        <v>2.1</v>
      </c>
      <c r="O99" s="100">
        <v>0</v>
      </c>
      <c r="P99" s="100">
        <v>0.26</v>
      </c>
      <c r="Q99" s="100">
        <v>9.92</v>
      </c>
      <c r="R99" s="6"/>
      <c r="S99" s="6"/>
      <c r="T99" s="156"/>
      <c r="U99" s="6"/>
    </row>
    <row r="100" spans="1:28" customFormat="1">
      <c r="A100" s="163" t="s">
        <v>1963</v>
      </c>
      <c r="B100" s="100">
        <v>4.3899999999999997</v>
      </c>
      <c r="C100" s="100">
        <v>6.73</v>
      </c>
      <c r="D100" s="100">
        <v>2.34</v>
      </c>
      <c r="E100" s="100">
        <v>4.26</v>
      </c>
      <c r="F100" s="100">
        <v>6.62</v>
      </c>
      <c r="G100" s="100">
        <v>64.900000000000006</v>
      </c>
      <c r="H100" s="100">
        <v>13.34</v>
      </c>
      <c r="I100" s="100">
        <v>4.05</v>
      </c>
      <c r="J100" s="100">
        <v>0.81</v>
      </c>
      <c r="K100" s="100">
        <v>255.67</v>
      </c>
      <c r="L100" s="100">
        <v>29.3</v>
      </c>
      <c r="M100" s="100">
        <v>67.069999999999993</v>
      </c>
      <c r="N100" s="100">
        <v>2.1</v>
      </c>
      <c r="O100" s="100">
        <v>0</v>
      </c>
      <c r="P100" s="100">
        <v>0.24</v>
      </c>
      <c r="Q100" s="100">
        <v>9.91</v>
      </c>
      <c r="R100" s="6"/>
      <c r="S100" s="6"/>
      <c r="T100" s="156"/>
      <c r="U100" s="6"/>
      <c r="AB100" s="161"/>
    </row>
    <row r="101" spans="1:28" customFormat="1">
      <c r="A101" s="163" t="s">
        <v>1964</v>
      </c>
      <c r="B101" s="100">
        <v>4.37</v>
      </c>
      <c r="C101" s="100">
        <v>6.64</v>
      </c>
      <c r="D101" s="100">
        <v>2.27</v>
      </c>
      <c r="E101" s="100">
        <v>4.1399999999999997</v>
      </c>
      <c r="F101" s="100">
        <v>7.45</v>
      </c>
      <c r="G101" s="100">
        <v>62.47</v>
      </c>
      <c r="H101" s="100">
        <v>12.6</v>
      </c>
      <c r="I101" s="100">
        <v>3.98</v>
      </c>
      <c r="J101" s="100">
        <v>0.71</v>
      </c>
      <c r="K101" s="100">
        <v>256.87</v>
      </c>
      <c r="L101" s="100">
        <v>29.23</v>
      </c>
      <c r="M101" s="100">
        <v>67.5</v>
      </c>
      <c r="N101" s="100">
        <v>2.1</v>
      </c>
      <c r="O101" s="100">
        <v>0</v>
      </c>
      <c r="P101" s="100">
        <v>0.24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1965</v>
      </c>
      <c r="B102" s="100">
        <v>4.42</v>
      </c>
      <c r="C102" s="100">
        <v>7.01</v>
      </c>
      <c r="D102" s="100">
        <v>2.58</v>
      </c>
      <c r="E102" s="100">
        <v>4.6900000000000004</v>
      </c>
      <c r="F102" s="100">
        <v>4.1399999999999997</v>
      </c>
      <c r="G102" s="100">
        <v>56.5</v>
      </c>
      <c r="H102" s="100">
        <v>11.38</v>
      </c>
      <c r="I102" s="100">
        <v>3.92</v>
      </c>
      <c r="J102" s="100">
        <v>0.65</v>
      </c>
      <c r="K102" s="100">
        <v>253.56</v>
      </c>
      <c r="L102" s="100">
        <v>29.14</v>
      </c>
      <c r="M102" s="100">
        <v>68.12</v>
      </c>
      <c r="N102" s="100">
        <v>2.1</v>
      </c>
      <c r="O102" s="100">
        <v>0</v>
      </c>
      <c r="P102" s="100">
        <v>0.27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1966</v>
      </c>
      <c r="B103" s="100">
        <v>4.43</v>
      </c>
      <c r="C103" s="100">
        <v>7.05</v>
      </c>
      <c r="D103" s="100">
        <v>2.63</v>
      </c>
      <c r="E103" s="100">
        <v>4.28</v>
      </c>
      <c r="F103" s="100">
        <v>5.8</v>
      </c>
      <c r="G103" s="100">
        <v>56.5</v>
      </c>
      <c r="H103" s="100">
        <v>11.38</v>
      </c>
      <c r="I103" s="100">
        <v>3.84</v>
      </c>
      <c r="J103" s="100">
        <v>0.4</v>
      </c>
      <c r="K103" s="100">
        <v>252.5</v>
      </c>
      <c r="L103" s="100">
        <v>29.05</v>
      </c>
      <c r="M103" s="100">
        <v>68.87</v>
      </c>
      <c r="N103" s="100">
        <v>2.1</v>
      </c>
      <c r="O103" s="100">
        <v>0</v>
      </c>
      <c r="P103" s="100">
        <v>0.25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1967</v>
      </c>
      <c r="B104" s="100">
        <v>4.3600000000000003</v>
      </c>
      <c r="C104" s="100">
        <v>6.84</v>
      </c>
      <c r="D104" s="100">
        <v>2.48</v>
      </c>
      <c r="E104" s="100">
        <v>3.96</v>
      </c>
      <c r="F104" s="100">
        <v>7.47</v>
      </c>
      <c r="G104" s="100">
        <v>56.5</v>
      </c>
      <c r="H104" s="100">
        <v>11.38</v>
      </c>
      <c r="I104" s="100">
        <v>4.1500000000000004</v>
      </c>
      <c r="J104" s="100">
        <v>0.42</v>
      </c>
      <c r="K104" s="100">
        <v>246.49</v>
      </c>
      <c r="L104" s="100">
        <v>28.94</v>
      </c>
      <c r="M104" s="100">
        <v>69.66</v>
      </c>
      <c r="N104" s="100">
        <v>2.1</v>
      </c>
      <c r="O104" s="100">
        <v>0</v>
      </c>
      <c r="P104" s="100">
        <v>0.24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3.68</v>
      </c>
      <c r="C106" s="158">
        <f>MIN(C9:C104)</f>
        <v>6.11</v>
      </c>
      <c r="D106" s="158">
        <f t="shared" ref="D106:Q106" si="0">MIN(D9:D104)</f>
        <v>2.27</v>
      </c>
      <c r="E106" s="158">
        <f t="shared" si="0"/>
        <v>2.57</v>
      </c>
      <c r="F106" s="158">
        <f t="shared" si="0"/>
        <v>2.1</v>
      </c>
      <c r="G106" s="158">
        <f t="shared" si="0"/>
        <v>27.42</v>
      </c>
      <c r="H106" s="158">
        <f t="shared" si="0"/>
        <v>5.69</v>
      </c>
      <c r="I106" s="158">
        <f t="shared" si="0"/>
        <v>3.13</v>
      </c>
      <c r="J106" s="158">
        <f t="shared" si="0"/>
        <v>0.06</v>
      </c>
      <c r="K106" s="158">
        <f t="shared" si="0"/>
        <v>167.52</v>
      </c>
      <c r="L106" s="158">
        <f t="shared" si="0"/>
        <v>26.73</v>
      </c>
      <c r="M106" s="158">
        <f t="shared" si="0"/>
        <v>54.32</v>
      </c>
      <c r="N106" s="158">
        <f t="shared" si="0"/>
        <v>0.8</v>
      </c>
      <c r="O106" s="158">
        <f t="shared" si="0"/>
        <v>0</v>
      </c>
      <c r="P106" s="158">
        <f t="shared" si="0"/>
        <v>0.24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5.0599999999999996</v>
      </c>
      <c r="C107" s="157">
        <f t="shared" ref="C107:Q107" si="1">MAX(C9:C104)</f>
        <v>9.14</v>
      </c>
      <c r="D107" s="157">
        <f t="shared" si="1"/>
        <v>4.95</v>
      </c>
      <c r="E107" s="157">
        <f t="shared" si="1"/>
        <v>6.99</v>
      </c>
      <c r="F107" s="157">
        <f t="shared" si="1"/>
        <v>11.78</v>
      </c>
      <c r="G107" s="157">
        <f t="shared" si="1"/>
        <v>99.65</v>
      </c>
      <c r="H107" s="157">
        <f t="shared" si="1"/>
        <v>28.15</v>
      </c>
      <c r="I107" s="157">
        <f t="shared" si="1"/>
        <v>7.03</v>
      </c>
      <c r="J107" s="157">
        <f t="shared" si="1"/>
        <v>1.39</v>
      </c>
      <c r="K107" s="157">
        <f t="shared" si="1"/>
        <v>262.39</v>
      </c>
      <c r="L107" s="157">
        <f t="shared" si="1"/>
        <v>31.82</v>
      </c>
      <c r="M107" s="157">
        <f t="shared" si="1"/>
        <v>85.13</v>
      </c>
      <c r="N107" s="157">
        <f t="shared" si="1"/>
        <v>240.6</v>
      </c>
      <c r="O107" s="157">
        <f t="shared" si="1"/>
        <v>0</v>
      </c>
      <c r="P107" s="157">
        <f t="shared" si="1"/>
        <v>0.52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4.1338541666666684</v>
      </c>
      <c r="C108" s="158">
        <f t="shared" ref="C108:Q108" si="2">AVERAGE(C9:C104)</f>
        <v>7.4944791666666655</v>
      </c>
      <c r="D108" s="158">
        <f t="shared" si="2"/>
        <v>3.3608333333333342</v>
      </c>
      <c r="E108" s="158">
        <f t="shared" si="2"/>
        <v>4.8549999999999995</v>
      </c>
      <c r="F108" s="158">
        <f t="shared" si="2"/>
        <v>5.2247916666666656</v>
      </c>
      <c r="G108" s="158">
        <f t="shared" si="2"/>
        <v>59.585520833333327</v>
      </c>
      <c r="H108" s="158">
        <f t="shared" si="2"/>
        <v>13.643333333333333</v>
      </c>
      <c r="I108" s="158">
        <f t="shared" si="2"/>
        <v>4.4190625000000017</v>
      </c>
      <c r="J108" s="158">
        <f t="shared" si="2"/>
        <v>0.53354166666666669</v>
      </c>
      <c r="K108" s="158">
        <f t="shared" si="2"/>
        <v>243.98583333333337</v>
      </c>
      <c r="L108" s="158">
        <f t="shared" si="2"/>
        <v>29.572708333333335</v>
      </c>
      <c r="M108" s="158">
        <f t="shared" si="2"/>
        <v>66.210208333333313</v>
      </c>
      <c r="N108" s="158">
        <f t="shared" si="2"/>
        <v>65.031250000000057</v>
      </c>
      <c r="O108" s="158">
        <f t="shared" si="2"/>
        <v>0</v>
      </c>
      <c r="P108" s="158">
        <f t="shared" si="2"/>
        <v>0.31020833333333347</v>
      </c>
      <c r="Q108" s="158">
        <f t="shared" si="2"/>
        <v>9.9093749999999883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0.36902252047000483</v>
      </c>
      <c r="C109" s="158">
        <f t="shared" ref="C109:Q109" si="3">STDEV(C9:C104)</f>
        <v>0.62557740871793444</v>
      </c>
      <c r="D109" s="158">
        <f t="shared" si="3"/>
        <v>0.69653226270033775</v>
      </c>
      <c r="E109" s="158">
        <f t="shared" si="3"/>
        <v>1.0329691491801198</v>
      </c>
      <c r="F109" s="158">
        <f t="shared" si="3"/>
        <v>2.3951679335329619</v>
      </c>
      <c r="G109" s="158">
        <f t="shared" si="3"/>
        <v>23.321694886038149</v>
      </c>
      <c r="H109" s="158">
        <f t="shared" si="3"/>
        <v>5.653125947867804</v>
      </c>
      <c r="I109" s="158">
        <f t="shared" si="3"/>
        <v>1.1748272689387527</v>
      </c>
      <c r="J109" s="158">
        <f t="shared" si="3"/>
        <v>0.31555124420496017</v>
      </c>
      <c r="K109" s="158">
        <f t="shared" si="3"/>
        <v>19.343543553159606</v>
      </c>
      <c r="L109" s="158">
        <f t="shared" si="3"/>
        <v>1.6025009921446429</v>
      </c>
      <c r="M109" s="158">
        <f t="shared" si="3"/>
        <v>8.6766025341195157</v>
      </c>
      <c r="N109" s="158">
        <f t="shared" si="3"/>
        <v>75.480585600746224</v>
      </c>
      <c r="O109" s="158">
        <f t="shared" si="3"/>
        <v>0</v>
      </c>
      <c r="P109" s="158">
        <f t="shared" si="3"/>
        <v>8.2818497382963721E-2</v>
      </c>
      <c r="Q109" s="158">
        <f t="shared" si="3"/>
        <v>1.2123270359540783E-2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5" sqref="J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1968</v>
      </c>
      <c r="B9" s="100">
        <v>4.29</v>
      </c>
      <c r="C9" s="100">
        <v>6.28</v>
      </c>
      <c r="D9" s="100">
        <v>1.99</v>
      </c>
      <c r="E9" s="100">
        <v>3.6</v>
      </c>
      <c r="F9" s="100">
        <v>6.77</v>
      </c>
      <c r="G9" s="100">
        <v>54.68</v>
      </c>
      <c r="H9" s="100">
        <v>10.64</v>
      </c>
      <c r="I9" s="100">
        <v>3.8</v>
      </c>
      <c r="J9" s="100">
        <v>0.38</v>
      </c>
      <c r="K9" s="100">
        <v>251.84</v>
      </c>
      <c r="L9" s="100">
        <v>28.85</v>
      </c>
      <c r="M9" s="100">
        <v>70.22</v>
      </c>
      <c r="N9" s="100">
        <v>2.1</v>
      </c>
      <c r="O9" s="100">
        <v>0</v>
      </c>
      <c r="P9" s="100">
        <v>0.23</v>
      </c>
      <c r="Q9" s="100">
        <v>9.91</v>
      </c>
      <c r="R9" s="6"/>
      <c r="S9" s="6"/>
      <c r="T9" s="156"/>
      <c r="U9" s="6"/>
    </row>
    <row r="10" spans="1:21" customFormat="1">
      <c r="A10" s="163" t="s">
        <v>1969</v>
      </c>
      <c r="B10" s="100">
        <v>4.33</v>
      </c>
      <c r="C10" s="100">
        <v>6.89</v>
      </c>
      <c r="D10" s="100">
        <v>2.56</v>
      </c>
      <c r="E10" s="100">
        <v>4.09</v>
      </c>
      <c r="F10" s="100">
        <v>4.63</v>
      </c>
      <c r="G10" s="100">
        <v>50.19</v>
      </c>
      <c r="H10" s="100">
        <v>9.42</v>
      </c>
      <c r="I10" s="100">
        <v>3.62</v>
      </c>
      <c r="J10" s="100">
        <v>0.28000000000000003</v>
      </c>
      <c r="K10" s="100">
        <v>247.63</v>
      </c>
      <c r="L10" s="100">
        <v>28.79</v>
      </c>
      <c r="M10" s="100">
        <v>70.680000000000007</v>
      </c>
      <c r="N10" s="100">
        <v>2.1</v>
      </c>
      <c r="O10" s="100">
        <v>0</v>
      </c>
      <c r="P10" s="100">
        <v>0.26</v>
      </c>
      <c r="Q10" s="100">
        <v>9.91</v>
      </c>
      <c r="R10" s="6"/>
      <c r="S10" s="6"/>
      <c r="T10" s="156"/>
      <c r="U10" s="6"/>
    </row>
    <row r="11" spans="1:21" customFormat="1">
      <c r="A11" s="163" t="s">
        <v>1970</v>
      </c>
      <c r="B11" s="100">
        <v>4.3499999999999996</v>
      </c>
      <c r="C11" s="100">
        <v>7.1</v>
      </c>
      <c r="D11" s="100">
        <v>2.75</v>
      </c>
      <c r="E11" s="100">
        <v>4.1900000000000004</v>
      </c>
      <c r="F11" s="100">
        <v>5.45</v>
      </c>
      <c r="G11" s="100">
        <v>50.19</v>
      </c>
      <c r="H11" s="100">
        <v>9.42</v>
      </c>
      <c r="I11" s="100">
        <v>3.55</v>
      </c>
      <c r="J11" s="100">
        <v>0.52</v>
      </c>
      <c r="K11" s="100">
        <v>254.27</v>
      </c>
      <c r="L11" s="100">
        <v>28.71</v>
      </c>
      <c r="M11" s="100">
        <v>71.05</v>
      </c>
      <c r="N11" s="100">
        <v>2.1</v>
      </c>
      <c r="O11" s="100">
        <v>0</v>
      </c>
      <c r="P11" s="100">
        <v>0.25</v>
      </c>
      <c r="Q11" s="100">
        <v>9.92</v>
      </c>
      <c r="R11" s="6"/>
      <c r="S11" s="6"/>
      <c r="T11" s="156"/>
      <c r="U11" s="6"/>
    </row>
    <row r="12" spans="1:21" customFormat="1">
      <c r="A12" s="163" t="s">
        <v>1971</v>
      </c>
      <c r="B12" s="100">
        <v>4.33</v>
      </c>
      <c r="C12" s="100">
        <v>6.88</v>
      </c>
      <c r="D12" s="100">
        <v>2.56</v>
      </c>
      <c r="E12" s="100">
        <v>3.95</v>
      </c>
      <c r="F12" s="100">
        <v>7.78</v>
      </c>
      <c r="G12" s="100">
        <v>50.19</v>
      </c>
      <c r="H12" s="100">
        <v>9.42</v>
      </c>
      <c r="I12" s="100">
        <v>4.0199999999999996</v>
      </c>
      <c r="J12" s="100">
        <v>0.51</v>
      </c>
      <c r="K12" s="100">
        <v>253.99</v>
      </c>
      <c r="L12" s="100">
        <v>28.66</v>
      </c>
      <c r="M12" s="100">
        <v>71.349999999999994</v>
      </c>
      <c r="N12" s="100">
        <v>2.1</v>
      </c>
      <c r="O12" s="100">
        <v>0</v>
      </c>
      <c r="P12" s="100">
        <v>0.24</v>
      </c>
      <c r="Q12" s="100">
        <v>9.93</v>
      </c>
      <c r="R12" s="6"/>
      <c r="S12" s="6"/>
      <c r="T12" s="156"/>
      <c r="U12" s="6"/>
    </row>
    <row r="13" spans="1:21" customFormat="1">
      <c r="A13" s="163" t="s">
        <v>1972</v>
      </c>
      <c r="B13" s="100">
        <v>4.49</v>
      </c>
      <c r="C13" s="100">
        <v>6.8</v>
      </c>
      <c r="D13" s="100">
        <v>2.3199999999999998</v>
      </c>
      <c r="E13" s="100">
        <v>3.79</v>
      </c>
      <c r="F13" s="100">
        <v>5.93</v>
      </c>
      <c r="G13" s="100">
        <v>48.5</v>
      </c>
      <c r="H13" s="100">
        <v>9.31</v>
      </c>
      <c r="I13" s="100">
        <v>3.77</v>
      </c>
      <c r="J13" s="100">
        <v>0.61</v>
      </c>
      <c r="K13" s="100">
        <v>254.34</v>
      </c>
      <c r="L13" s="100">
        <v>28.64</v>
      </c>
      <c r="M13" s="100">
        <v>71.38</v>
      </c>
      <c r="N13" s="100">
        <v>2</v>
      </c>
      <c r="O13" s="100">
        <v>0</v>
      </c>
      <c r="P13" s="100">
        <v>0.22</v>
      </c>
      <c r="Q13" s="100">
        <v>9.93</v>
      </c>
      <c r="R13" s="6"/>
      <c r="S13" s="6"/>
      <c r="T13" s="156"/>
      <c r="U13" s="6"/>
    </row>
    <row r="14" spans="1:21" customFormat="1">
      <c r="A14" s="163" t="s">
        <v>1973</v>
      </c>
      <c r="B14" s="100">
        <v>4.54</v>
      </c>
      <c r="C14" s="100">
        <v>7.1</v>
      </c>
      <c r="D14" s="100">
        <v>2.5499999999999998</v>
      </c>
      <c r="E14" s="100">
        <v>4.2300000000000004</v>
      </c>
      <c r="F14" s="100">
        <v>3.26</v>
      </c>
      <c r="G14" s="100">
        <v>44.33</v>
      </c>
      <c r="H14" s="100">
        <v>9.1300000000000008</v>
      </c>
      <c r="I14" s="100">
        <v>3.6</v>
      </c>
      <c r="J14" s="100">
        <v>0.44</v>
      </c>
      <c r="K14" s="100">
        <v>247.54</v>
      </c>
      <c r="L14" s="100">
        <v>28.65</v>
      </c>
      <c r="M14" s="100">
        <v>71.510000000000005</v>
      </c>
      <c r="N14" s="100">
        <v>2.1</v>
      </c>
      <c r="O14" s="100">
        <v>0</v>
      </c>
      <c r="P14" s="100">
        <v>0.26</v>
      </c>
      <c r="Q14" s="100">
        <v>9.92</v>
      </c>
      <c r="R14" s="6"/>
      <c r="S14" s="6"/>
      <c r="T14" s="156"/>
      <c r="U14" s="6"/>
    </row>
    <row r="15" spans="1:21" customFormat="1">
      <c r="A15" s="163" t="s">
        <v>1974</v>
      </c>
      <c r="B15" s="100">
        <v>4.54</v>
      </c>
      <c r="C15" s="100">
        <v>7.3</v>
      </c>
      <c r="D15" s="100">
        <v>2.76</v>
      </c>
      <c r="E15" s="100">
        <v>4.26</v>
      </c>
      <c r="F15" s="100">
        <v>3.18</v>
      </c>
      <c r="G15" s="100">
        <v>44.33</v>
      </c>
      <c r="H15" s="100">
        <v>9.1300000000000008</v>
      </c>
      <c r="I15" s="100">
        <v>3.72</v>
      </c>
      <c r="J15" s="100">
        <v>0.48</v>
      </c>
      <c r="K15" s="100">
        <v>252.46</v>
      </c>
      <c r="L15" s="100">
        <v>28.66</v>
      </c>
      <c r="M15" s="100">
        <v>71.66</v>
      </c>
      <c r="N15" s="100">
        <v>2</v>
      </c>
      <c r="O15" s="100">
        <v>0</v>
      </c>
      <c r="P15" s="100">
        <v>0.23</v>
      </c>
      <c r="Q15" s="100">
        <v>9.92</v>
      </c>
      <c r="R15" s="6"/>
      <c r="S15" s="6"/>
      <c r="T15" s="156"/>
      <c r="U15" s="6"/>
    </row>
    <row r="16" spans="1:21" customFormat="1">
      <c r="A16" s="163" t="s">
        <v>1975</v>
      </c>
      <c r="B16" s="100">
        <v>4.4800000000000004</v>
      </c>
      <c r="C16" s="100">
        <v>7.59</v>
      </c>
      <c r="D16" s="100">
        <v>3.11</v>
      </c>
      <c r="E16" s="100">
        <v>4.49</v>
      </c>
      <c r="F16" s="100">
        <v>2.61</v>
      </c>
      <c r="G16" s="100">
        <v>44.33</v>
      </c>
      <c r="H16" s="100">
        <v>9.1300000000000008</v>
      </c>
      <c r="I16" s="100">
        <v>3.99</v>
      </c>
      <c r="J16" s="100">
        <v>0.49</v>
      </c>
      <c r="K16" s="100">
        <v>253.15</v>
      </c>
      <c r="L16" s="100">
        <v>28.68</v>
      </c>
      <c r="M16" s="100">
        <v>71.84</v>
      </c>
      <c r="N16" s="100">
        <v>2</v>
      </c>
      <c r="O16" s="100">
        <v>0</v>
      </c>
      <c r="P16" s="100">
        <v>0.2</v>
      </c>
      <c r="Q16" s="100">
        <v>9.91</v>
      </c>
      <c r="R16" s="6"/>
      <c r="S16" s="6"/>
      <c r="T16" s="156"/>
      <c r="U16" s="6"/>
    </row>
    <row r="17" spans="1:21" customFormat="1">
      <c r="A17" s="163" t="s">
        <v>1976</v>
      </c>
      <c r="B17" s="100">
        <v>4.43</v>
      </c>
      <c r="C17" s="100">
        <v>7.61</v>
      </c>
      <c r="D17" s="100">
        <v>3.18</v>
      </c>
      <c r="E17" s="100">
        <v>3.98</v>
      </c>
      <c r="F17" s="100">
        <v>2.86</v>
      </c>
      <c r="G17" s="100">
        <v>43.15</v>
      </c>
      <c r="H17" s="100">
        <v>9.1999999999999993</v>
      </c>
      <c r="I17" s="100">
        <v>3.96</v>
      </c>
      <c r="J17" s="100">
        <v>0.63</v>
      </c>
      <c r="K17" s="100">
        <v>250.31</v>
      </c>
      <c r="L17" s="100">
        <v>28.7</v>
      </c>
      <c r="M17" s="100">
        <v>71.42</v>
      </c>
      <c r="N17" s="100">
        <v>1.9</v>
      </c>
      <c r="O17" s="100">
        <v>0</v>
      </c>
      <c r="P17" s="100">
        <v>0.19</v>
      </c>
      <c r="Q17" s="100">
        <v>9.9</v>
      </c>
      <c r="R17" s="6"/>
      <c r="S17" s="6"/>
      <c r="T17" s="156"/>
      <c r="U17" s="6"/>
    </row>
    <row r="18" spans="1:21" customFormat="1">
      <c r="A18" s="163" t="s">
        <v>1977</v>
      </c>
      <c r="B18" s="100">
        <v>4.38</v>
      </c>
      <c r="C18" s="100">
        <v>7.62</v>
      </c>
      <c r="D18" s="100">
        <v>3.25</v>
      </c>
      <c r="E18" s="100">
        <v>4.59</v>
      </c>
      <c r="F18" s="100">
        <v>2.5</v>
      </c>
      <c r="G18" s="100">
        <v>40.25</v>
      </c>
      <c r="H18" s="100">
        <v>9.32</v>
      </c>
      <c r="I18" s="100">
        <v>4.01</v>
      </c>
      <c r="J18" s="100">
        <v>0.76</v>
      </c>
      <c r="K18" s="100">
        <v>254.46</v>
      </c>
      <c r="L18" s="100">
        <v>28.69</v>
      </c>
      <c r="M18" s="100">
        <v>71.61</v>
      </c>
      <c r="N18" s="100">
        <v>2</v>
      </c>
      <c r="O18" s="100">
        <v>0</v>
      </c>
      <c r="P18" s="100">
        <v>0.2</v>
      </c>
      <c r="Q18" s="100">
        <v>9.9</v>
      </c>
      <c r="R18" s="6"/>
      <c r="S18" s="6"/>
      <c r="T18" s="156"/>
      <c r="U18" s="6"/>
    </row>
    <row r="19" spans="1:21" customFormat="1">
      <c r="A19" s="163" t="s">
        <v>1978</v>
      </c>
      <c r="B19" s="100">
        <v>4.3</v>
      </c>
      <c r="C19" s="100">
        <v>7.63</v>
      </c>
      <c r="D19" s="100">
        <v>3.33</v>
      </c>
      <c r="E19" s="100">
        <v>4.91</v>
      </c>
      <c r="F19" s="100">
        <v>2.48</v>
      </c>
      <c r="G19" s="100">
        <v>40.25</v>
      </c>
      <c r="H19" s="100">
        <v>9.32</v>
      </c>
      <c r="I19" s="100">
        <v>3.95</v>
      </c>
      <c r="J19" s="100">
        <v>0.63</v>
      </c>
      <c r="K19" s="100">
        <v>253.88</v>
      </c>
      <c r="L19" s="100">
        <v>28.55</v>
      </c>
      <c r="M19" s="100">
        <v>72.430000000000007</v>
      </c>
      <c r="N19" s="100">
        <v>2.2000000000000002</v>
      </c>
      <c r="O19" s="100">
        <v>0</v>
      </c>
      <c r="P19" s="100">
        <v>0.19</v>
      </c>
      <c r="Q19" s="100">
        <v>9.91</v>
      </c>
      <c r="R19" s="6"/>
      <c r="S19" s="6"/>
      <c r="T19" s="156"/>
      <c r="U19" s="6"/>
    </row>
    <row r="20" spans="1:21" customFormat="1">
      <c r="A20" s="163" t="s">
        <v>1979</v>
      </c>
      <c r="B20" s="100">
        <v>4.24</v>
      </c>
      <c r="C20" s="100">
        <v>7.6</v>
      </c>
      <c r="D20" s="100">
        <v>3.36</v>
      </c>
      <c r="E20" s="100">
        <v>5.09</v>
      </c>
      <c r="F20" s="100">
        <v>3.18</v>
      </c>
      <c r="G20" s="100">
        <v>40.25</v>
      </c>
      <c r="H20" s="100">
        <v>9.32</v>
      </c>
      <c r="I20" s="100">
        <v>3.86</v>
      </c>
      <c r="J20" s="100">
        <v>0.63</v>
      </c>
      <c r="K20" s="100">
        <v>249.47</v>
      </c>
      <c r="L20" s="100">
        <v>28.57</v>
      </c>
      <c r="M20" s="100">
        <v>72.22</v>
      </c>
      <c r="N20" s="100">
        <v>1.9</v>
      </c>
      <c r="O20" s="100">
        <v>0</v>
      </c>
      <c r="P20" s="100">
        <v>0.19</v>
      </c>
      <c r="Q20" s="100">
        <v>9.9</v>
      </c>
      <c r="R20" s="6"/>
      <c r="S20" s="6"/>
      <c r="T20" s="156"/>
      <c r="U20" s="6"/>
    </row>
    <row r="21" spans="1:21" customFormat="1">
      <c r="A21" s="163" t="s">
        <v>1980</v>
      </c>
      <c r="B21" s="100">
        <v>4.17</v>
      </c>
      <c r="C21" s="100">
        <v>7.56</v>
      </c>
      <c r="D21" s="100">
        <v>3.39</v>
      </c>
      <c r="E21" s="100">
        <v>4.93</v>
      </c>
      <c r="F21" s="100">
        <v>2.72</v>
      </c>
      <c r="G21" s="100">
        <v>40.97</v>
      </c>
      <c r="H21" s="100">
        <v>8.42</v>
      </c>
      <c r="I21" s="100">
        <v>3.85</v>
      </c>
      <c r="J21" s="100">
        <v>0.65</v>
      </c>
      <c r="K21" s="100">
        <v>256.45999999999998</v>
      </c>
      <c r="L21" s="100">
        <v>28.61</v>
      </c>
      <c r="M21" s="100">
        <v>71.930000000000007</v>
      </c>
      <c r="N21" s="100">
        <v>2.1</v>
      </c>
      <c r="O21" s="100">
        <v>0</v>
      </c>
      <c r="P21" s="100">
        <v>0.19</v>
      </c>
      <c r="Q21" s="100">
        <v>9.91</v>
      </c>
      <c r="R21" s="6"/>
      <c r="S21" s="6"/>
      <c r="T21" s="156"/>
      <c r="U21" s="6"/>
    </row>
    <row r="22" spans="1:21" customFormat="1">
      <c r="A22" s="163" t="s">
        <v>1981</v>
      </c>
      <c r="B22" s="100">
        <v>4.13</v>
      </c>
      <c r="C22" s="100">
        <v>7.6</v>
      </c>
      <c r="D22" s="100">
        <v>3.48</v>
      </c>
      <c r="E22" s="100">
        <v>5.07</v>
      </c>
      <c r="F22" s="100">
        <v>2.66</v>
      </c>
      <c r="G22" s="100">
        <v>42.87</v>
      </c>
      <c r="H22" s="100">
        <v>6.95</v>
      </c>
      <c r="I22" s="100">
        <v>3.79</v>
      </c>
      <c r="J22" s="100">
        <v>0.54</v>
      </c>
      <c r="K22" s="100">
        <v>248.36</v>
      </c>
      <c r="L22" s="100">
        <v>28.64</v>
      </c>
      <c r="M22" s="100">
        <v>71.47</v>
      </c>
      <c r="N22" s="100">
        <v>2</v>
      </c>
      <c r="O22" s="100">
        <v>0</v>
      </c>
      <c r="P22" s="100">
        <v>0.19</v>
      </c>
      <c r="Q22" s="100">
        <v>9.9</v>
      </c>
      <c r="R22" s="6"/>
      <c r="S22" s="6"/>
      <c r="T22" s="156"/>
      <c r="U22" s="6"/>
    </row>
    <row r="23" spans="1:21" customFormat="1">
      <c r="A23" s="163" t="s">
        <v>1982</v>
      </c>
      <c r="B23" s="100">
        <v>4.1100000000000003</v>
      </c>
      <c r="C23" s="100">
        <v>7.52</v>
      </c>
      <c r="D23" s="100">
        <v>3.4</v>
      </c>
      <c r="E23" s="100">
        <v>5.21</v>
      </c>
      <c r="F23" s="100">
        <v>2.63</v>
      </c>
      <c r="G23" s="100">
        <v>42.87</v>
      </c>
      <c r="H23" s="100">
        <v>6.95</v>
      </c>
      <c r="I23" s="100">
        <v>3.65</v>
      </c>
      <c r="J23" s="100">
        <v>0.6</v>
      </c>
      <c r="K23" s="100">
        <v>248.99</v>
      </c>
      <c r="L23" s="100">
        <v>28.69</v>
      </c>
      <c r="M23" s="100">
        <v>70.56</v>
      </c>
      <c r="N23" s="100">
        <v>2</v>
      </c>
      <c r="O23" s="100">
        <v>0</v>
      </c>
      <c r="P23" s="100">
        <v>0.19</v>
      </c>
      <c r="Q23" s="100">
        <v>9.9</v>
      </c>
      <c r="R23" s="6"/>
      <c r="S23" s="6"/>
      <c r="T23" s="156"/>
      <c r="U23" s="6"/>
    </row>
    <row r="24" spans="1:21" customFormat="1">
      <c r="A24" s="163" t="s">
        <v>1983</v>
      </c>
      <c r="B24" s="100">
        <v>4.07</v>
      </c>
      <c r="C24" s="100">
        <v>7.48</v>
      </c>
      <c r="D24" s="100">
        <v>3.41</v>
      </c>
      <c r="E24" s="100">
        <v>5.18</v>
      </c>
      <c r="F24" s="100">
        <v>2.29</v>
      </c>
      <c r="G24" s="100">
        <v>42.87</v>
      </c>
      <c r="H24" s="100">
        <v>6.95</v>
      </c>
      <c r="I24" s="100">
        <v>3.61</v>
      </c>
      <c r="J24" s="100">
        <v>0.75</v>
      </c>
      <c r="K24" s="100">
        <v>247.86</v>
      </c>
      <c r="L24" s="100">
        <v>28.66</v>
      </c>
      <c r="M24" s="100">
        <v>70.47</v>
      </c>
      <c r="N24" s="100">
        <v>2</v>
      </c>
      <c r="O24" s="100">
        <v>0</v>
      </c>
      <c r="P24" s="100">
        <v>0.18</v>
      </c>
      <c r="Q24" s="100">
        <v>9.9</v>
      </c>
      <c r="R24" s="6"/>
      <c r="S24" s="6"/>
      <c r="T24" s="156"/>
      <c r="U24" s="6"/>
    </row>
    <row r="25" spans="1:21" customFormat="1">
      <c r="A25" s="163" t="s">
        <v>1984</v>
      </c>
      <c r="B25" s="100">
        <v>4.0599999999999996</v>
      </c>
      <c r="C25" s="100">
        <v>7.34</v>
      </c>
      <c r="D25" s="100">
        <v>3.27</v>
      </c>
      <c r="E25" s="100">
        <v>5.33</v>
      </c>
      <c r="F25" s="100">
        <v>2.86</v>
      </c>
      <c r="G25" s="100">
        <v>40.46</v>
      </c>
      <c r="H25" s="100">
        <v>6.91</v>
      </c>
      <c r="I25" s="100">
        <v>3.53</v>
      </c>
      <c r="J25" s="100">
        <v>0.83</v>
      </c>
      <c r="K25" s="100">
        <v>251.75</v>
      </c>
      <c r="L25" s="100">
        <v>28.66</v>
      </c>
      <c r="M25" s="100">
        <v>70.59</v>
      </c>
      <c r="N25" s="100">
        <v>2.1</v>
      </c>
      <c r="O25" s="100">
        <v>0</v>
      </c>
      <c r="P25" s="100">
        <v>0.18</v>
      </c>
      <c r="Q25" s="100">
        <v>9.9</v>
      </c>
      <c r="R25" s="6"/>
      <c r="S25" s="6"/>
      <c r="T25" s="156"/>
      <c r="U25" s="6"/>
    </row>
    <row r="26" spans="1:21" customFormat="1">
      <c r="A26" s="163" t="s">
        <v>1985</v>
      </c>
      <c r="B26" s="100">
        <v>4.0199999999999996</v>
      </c>
      <c r="C26" s="100">
        <v>7.34</v>
      </c>
      <c r="D26" s="100">
        <v>3.32</v>
      </c>
      <c r="E26" s="100">
        <v>5.28</v>
      </c>
      <c r="F26" s="100">
        <v>2.67</v>
      </c>
      <c r="G26" s="100">
        <v>34.54</v>
      </c>
      <c r="H26" s="100">
        <v>6.73</v>
      </c>
      <c r="I26" s="100">
        <v>3.44</v>
      </c>
      <c r="J26" s="100">
        <v>0.67</v>
      </c>
      <c r="K26" s="100">
        <v>252.32</v>
      </c>
      <c r="L26" s="100">
        <v>28.6</v>
      </c>
      <c r="M26" s="100">
        <v>71.16</v>
      </c>
      <c r="N26" s="100">
        <v>2.2000000000000002</v>
      </c>
      <c r="O26" s="100">
        <v>0</v>
      </c>
      <c r="P26" s="100">
        <v>0.17</v>
      </c>
      <c r="Q26" s="100">
        <v>9.9</v>
      </c>
      <c r="R26" s="6"/>
      <c r="S26" s="6"/>
      <c r="T26" s="156"/>
      <c r="U26" s="6"/>
    </row>
    <row r="27" spans="1:21" customFormat="1">
      <c r="A27" s="163" t="s">
        <v>1986</v>
      </c>
      <c r="B27" s="100">
        <v>4.03</v>
      </c>
      <c r="C27" s="100">
        <v>7.31</v>
      </c>
      <c r="D27" s="100">
        <v>3.28</v>
      </c>
      <c r="E27" s="100">
        <v>5.41</v>
      </c>
      <c r="F27" s="100">
        <v>2.82</v>
      </c>
      <c r="G27" s="100">
        <v>34.54</v>
      </c>
      <c r="H27" s="100">
        <v>6.73</v>
      </c>
      <c r="I27" s="100">
        <v>3.38</v>
      </c>
      <c r="J27" s="100">
        <v>0.82</v>
      </c>
      <c r="K27" s="100">
        <v>249.75</v>
      </c>
      <c r="L27" s="100">
        <v>28.59</v>
      </c>
      <c r="M27" s="100">
        <v>71.17</v>
      </c>
      <c r="N27" s="100">
        <v>2.1</v>
      </c>
      <c r="O27" s="100">
        <v>0</v>
      </c>
      <c r="P27" s="100">
        <v>0.18</v>
      </c>
      <c r="Q27" s="100">
        <v>9.9</v>
      </c>
      <c r="R27" s="6"/>
      <c r="S27" s="6"/>
      <c r="T27" s="156"/>
      <c r="U27" s="6"/>
    </row>
    <row r="28" spans="1:21" customFormat="1">
      <c r="A28" s="163" t="s">
        <v>1987</v>
      </c>
      <c r="B28" s="100">
        <v>4</v>
      </c>
      <c r="C28" s="100">
        <v>7.22</v>
      </c>
      <c r="D28" s="100">
        <v>3.22</v>
      </c>
      <c r="E28" s="100">
        <v>5.61</v>
      </c>
      <c r="F28" s="100">
        <v>3.02</v>
      </c>
      <c r="G28" s="100">
        <v>34.54</v>
      </c>
      <c r="H28" s="100">
        <v>6.73</v>
      </c>
      <c r="I28" s="100">
        <v>3.37</v>
      </c>
      <c r="J28" s="100">
        <v>0.57999999999999996</v>
      </c>
      <c r="K28" s="100">
        <v>253.8</v>
      </c>
      <c r="L28" s="100">
        <v>28.57</v>
      </c>
      <c r="M28" s="100">
        <v>71.69</v>
      </c>
      <c r="N28" s="100">
        <v>2.2000000000000002</v>
      </c>
      <c r="O28" s="100">
        <v>0</v>
      </c>
      <c r="P28" s="100">
        <v>0.16</v>
      </c>
      <c r="Q28" s="100">
        <v>9.91</v>
      </c>
      <c r="R28" s="6"/>
      <c r="S28" s="6"/>
      <c r="T28" s="156"/>
      <c r="U28" s="6"/>
    </row>
    <row r="29" spans="1:21" customFormat="1">
      <c r="A29" s="163" t="s">
        <v>1988</v>
      </c>
      <c r="B29" s="100">
        <v>3.97</v>
      </c>
      <c r="C29" s="100">
        <v>7.26</v>
      </c>
      <c r="D29" s="100">
        <v>3.29</v>
      </c>
      <c r="E29" s="100">
        <v>5.24</v>
      </c>
      <c r="F29" s="100">
        <v>3.03</v>
      </c>
      <c r="G29" s="100">
        <v>32.090000000000003</v>
      </c>
      <c r="H29" s="100">
        <v>6.17</v>
      </c>
      <c r="I29" s="100">
        <v>3.26</v>
      </c>
      <c r="J29" s="100">
        <v>0.41</v>
      </c>
      <c r="K29" s="100">
        <v>246.75</v>
      </c>
      <c r="L29" s="100">
        <v>28.5</v>
      </c>
      <c r="M29" s="100">
        <v>72.599999999999994</v>
      </c>
      <c r="N29" s="100">
        <v>2.1</v>
      </c>
      <c r="O29" s="100">
        <v>0</v>
      </c>
      <c r="P29" s="100">
        <v>0.17</v>
      </c>
      <c r="Q29" s="100">
        <v>9.9</v>
      </c>
      <c r="R29" s="6"/>
      <c r="S29" s="6"/>
      <c r="T29" s="156"/>
      <c r="U29" s="6"/>
    </row>
    <row r="30" spans="1:21" customFormat="1">
      <c r="A30" s="163" t="s">
        <v>1989</v>
      </c>
      <c r="B30" s="100">
        <v>4.0199999999999996</v>
      </c>
      <c r="C30" s="100">
        <v>7.3</v>
      </c>
      <c r="D30" s="100">
        <v>3.28</v>
      </c>
      <c r="E30" s="100">
        <v>5.45</v>
      </c>
      <c r="F30" s="100">
        <v>2.85</v>
      </c>
      <c r="G30" s="100">
        <v>26.04</v>
      </c>
      <c r="H30" s="100">
        <v>5.25</v>
      </c>
      <c r="I30" s="100">
        <v>3.34</v>
      </c>
      <c r="J30" s="100">
        <v>0.36</v>
      </c>
      <c r="K30" s="100">
        <v>246.25</v>
      </c>
      <c r="L30" s="100">
        <v>27.78</v>
      </c>
      <c r="M30" s="100">
        <v>80.06</v>
      </c>
      <c r="N30" s="100">
        <v>4.5</v>
      </c>
      <c r="O30" s="100">
        <v>0.2</v>
      </c>
      <c r="P30" s="100">
        <v>0.17</v>
      </c>
      <c r="Q30" s="100">
        <v>9.9</v>
      </c>
      <c r="R30" s="6"/>
      <c r="S30" s="6"/>
      <c r="T30" s="156"/>
      <c r="U30" s="6"/>
    </row>
    <row r="31" spans="1:21" customFormat="1">
      <c r="A31" s="163" t="s">
        <v>1990</v>
      </c>
      <c r="B31" s="100">
        <v>4.05</v>
      </c>
      <c r="C31" s="100">
        <v>7.31</v>
      </c>
      <c r="D31" s="100">
        <v>3.25</v>
      </c>
      <c r="E31" s="100">
        <v>5.67</v>
      </c>
      <c r="F31" s="100">
        <v>2.83</v>
      </c>
      <c r="G31" s="100">
        <v>26.04</v>
      </c>
      <c r="H31" s="100">
        <v>5.25</v>
      </c>
      <c r="I31" s="100">
        <v>3.16</v>
      </c>
      <c r="J31" s="100">
        <v>0.31</v>
      </c>
      <c r="K31" s="100">
        <v>246.85</v>
      </c>
      <c r="L31" s="100">
        <v>27.06</v>
      </c>
      <c r="M31" s="100">
        <v>84.3</v>
      </c>
      <c r="N31" s="100">
        <v>4.5999999999999996</v>
      </c>
      <c r="O31" s="100">
        <v>0</v>
      </c>
      <c r="P31" s="100">
        <v>0.18</v>
      </c>
      <c r="Q31" s="100">
        <v>9.89</v>
      </c>
      <c r="R31" s="6"/>
      <c r="S31" s="6"/>
      <c r="T31" s="156"/>
      <c r="U31" s="6"/>
    </row>
    <row r="32" spans="1:21" customFormat="1">
      <c r="A32" s="163" t="s">
        <v>1991</v>
      </c>
      <c r="B32" s="100">
        <v>4.0999999999999996</v>
      </c>
      <c r="C32" s="100">
        <v>7.24</v>
      </c>
      <c r="D32" s="100">
        <v>3.15</v>
      </c>
      <c r="E32" s="100">
        <v>5.57</v>
      </c>
      <c r="F32" s="100">
        <v>3.03</v>
      </c>
      <c r="G32" s="100">
        <v>26.04</v>
      </c>
      <c r="H32" s="100">
        <v>5.25</v>
      </c>
      <c r="I32" s="100">
        <v>3.21</v>
      </c>
      <c r="J32" s="100">
        <v>0.24</v>
      </c>
      <c r="K32" s="100">
        <v>236.25</v>
      </c>
      <c r="L32" s="100">
        <v>26.97</v>
      </c>
      <c r="M32" s="100">
        <v>85.04</v>
      </c>
      <c r="N32" s="100">
        <v>6.1</v>
      </c>
      <c r="O32" s="100">
        <v>0</v>
      </c>
      <c r="P32" s="100">
        <v>0.17</v>
      </c>
      <c r="Q32" s="100">
        <v>9.9</v>
      </c>
      <c r="R32" s="6"/>
      <c r="S32" s="6"/>
      <c r="T32" s="156"/>
      <c r="U32" s="6"/>
    </row>
    <row r="33" spans="1:21" customFormat="1">
      <c r="A33" s="163" t="s">
        <v>1992</v>
      </c>
      <c r="B33" s="100">
        <v>4.1399999999999997</v>
      </c>
      <c r="C33" s="100">
        <v>7.17</v>
      </c>
      <c r="D33" s="100">
        <v>3.03</v>
      </c>
      <c r="E33" s="100">
        <v>5.66</v>
      </c>
      <c r="F33" s="100">
        <v>3.23</v>
      </c>
      <c r="G33" s="100">
        <v>26.9</v>
      </c>
      <c r="H33" s="100">
        <v>4.83</v>
      </c>
      <c r="I33" s="100">
        <v>3.35</v>
      </c>
      <c r="J33" s="100">
        <v>0.23</v>
      </c>
      <c r="K33" s="100">
        <v>234.93</v>
      </c>
      <c r="L33" s="100">
        <v>26.95</v>
      </c>
      <c r="M33" s="100">
        <v>85.08</v>
      </c>
      <c r="N33" s="100">
        <v>10</v>
      </c>
      <c r="O33" s="100">
        <v>0</v>
      </c>
      <c r="P33" s="100">
        <v>0.17</v>
      </c>
      <c r="Q33" s="100">
        <v>9.89</v>
      </c>
      <c r="R33" s="6"/>
      <c r="S33" s="6"/>
      <c r="T33" s="156"/>
      <c r="U33" s="6"/>
    </row>
    <row r="34" spans="1:21" customFormat="1">
      <c r="A34" s="163" t="s">
        <v>1993</v>
      </c>
      <c r="B34" s="100">
        <v>4.1900000000000004</v>
      </c>
      <c r="C34" s="100">
        <v>7.3</v>
      </c>
      <c r="D34" s="100">
        <v>3.1</v>
      </c>
      <c r="E34" s="100">
        <v>5.35</v>
      </c>
      <c r="F34" s="100">
        <v>3.19</v>
      </c>
      <c r="G34" s="100">
        <v>29</v>
      </c>
      <c r="H34" s="100">
        <v>4.13</v>
      </c>
      <c r="I34" s="100">
        <v>3.37</v>
      </c>
      <c r="J34" s="100">
        <v>0.21</v>
      </c>
      <c r="K34" s="100">
        <v>240.14</v>
      </c>
      <c r="L34" s="100">
        <v>27</v>
      </c>
      <c r="M34" s="100">
        <v>85.06</v>
      </c>
      <c r="N34" s="100">
        <v>17.2</v>
      </c>
      <c r="O34" s="100">
        <v>0</v>
      </c>
      <c r="P34" s="100">
        <v>0.17</v>
      </c>
      <c r="Q34" s="100">
        <v>9.9</v>
      </c>
      <c r="R34" s="6"/>
      <c r="S34" s="6"/>
      <c r="T34" s="156"/>
      <c r="U34" s="6"/>
    </row>
    <row r="35" spans="1:21" customFormat="1">
      <c r="A35" s="163" t="s">
        <v>1994</v>
      </c>
      <c r="B35" s="100">
        <v>4.28</v>
      </c>
      <c r="C35" s="100">
        <v>7.41</v>
      </c>
      <c r="D35" s="100">
        <v>3.13</v>
      </c>
      <c r="E35" s="100">
        <v>5.57</v>
      </c>
      <c r="F35" s="100">
        <v>2.29</v>
      </c>
      <c r="G35" s="100">
        <v>29</v>
      </c>
      <c r="H35" s="100">
        <v>4.13</v>
      </c>
      <c r="I35" s="100">
        <v>3.32</v>
      </c>
      <c r="J35" s="100">
        <v>0.15</v>
      </c>
      <c r="K35" s="100">
        <v>230.43</v>
      </c>
      <c r="L35" s="100">
        <v>27.09</v>
      </c>
      <c r="M35" s="100">
        <v>85.26</v>
      </c>
      <c r="N35" s="100">
        <v>25.7</v>
      </c>
      <c r="O35" s="100">
        <v>0</v>
      </c>
      <c r="P35" s="100">
        <v>0.18</v>
      </c>
      <c r="Q35" s="100">
        <v>9.9</v>
      </c>
      <c r="R35" s="6"/>
      <c r="S35" s="6"/>
      <c r="T35" s="156"/>
      <c r="U35" s="6"/>
    </row>
    <row r="36" spans="1:21" customFormat="1">
      <c r="A36" s="163" t="s">
        <v>1995</v>
      </c>
      <c r="B36" s="100">
        <v>4.3899999999999997</v>
      </c>
      <c r="C36" s="100">
        <v>7.39</v>
      </c>
      <c r="D36" s="100">
        <v>3</v>
      </c>
      <c r="E36" s="100">
        <v>5.57</v>
      </c>
      <c r="F36" s="100">
        <v>2.4</v>
      </c>
      <c r="G36" s="100">
        <v>29</v>
      </c>
      <c r="H36" s="100">
        <v>4.13</v>
      </c>
      <c r="I36" s="100">
        <v>3.24</v>
      </c>
      <c r="J36" s="100">
        <v>0.31</v>
      </c>
      <c r="K36" s="100">
        <v>245.19</v>
      </c>
      <c r="L36" s="100">
        <v>27.26</v>
      </c>
      <c r="M36" s="100">
        <v>83.89</v>
      </c>
      <c r="N36" s="100">
        <v>32.1</v>
      </c>
      <c r="O36" s="100">
        <v>0</v>
      </c>
      <c r="P36" s="100">
        <v>0.21</v>
      </c>
      <c r="Q36" s="100">
        <v>9.92</v>
      </c>
      <c r="R36" s="6"/>
      <c r="S36" s="6"/>
      <c r="T36" s="156"/>
      <c r="U36" s="6"/>
    </row>
    <row r="37" spans="1:21" customFormat="1">
      <c r="A37" s="163" t="s">
        <v>1996</v>
      </c>
      <c r="B37" s="100">
        <v>4.49</v>
      </c>
      <c r="C37" s="100">
        <v>7.17</v>
      </c>
      <c r="D37" s="100">
        <v>2.68</v>
      </c>
      <c r="E37" s="100">
        <v>4.9800000000000004</v>
      </c>
      <c r="F37" s="100">
        <v>5.01</v>
      </c>
      <c r="G37" s="100">
        <v>29.6</v>
      </c>
      <c r="H37" s="100">
        <v>4.82</v>
      </c>
      <c r="I37" s="100">
        <v>3.27</v>
      </c>
      <c r="J37" s="100">
        <v>0.28000000000000003</v>
      </c>
      <c r="K37" s="100">
        <v>244.31</v>
      </c>
      <c r="L37" s="100">
        <v>27.43</v>
      </c>
      <c r="M37" s="100">
        <v>84.13</v>
      </c>
      <c r="N37" s="100">
        <v>47.6</v>
      </c>
      <c r="O37" s="100">
        <v>0</v>
      </c>
      <c r="P37" s="100">
        <v>0.21</v>
      </c>
      <c r="Q37" s="100">
        <v>9.93</v>
      </c>
      <c r="R37" s="6"/>
      <c r="S37" s="6"/>
      <c r="T37" s="156"/>
      <c r="U37" s="6"/>
    </row>
    <row r="38" spans="1:21" customFormat="1">
      <c r="A38" s="163" t="s">
        <v>1997</v>
      </c>
      <c r="B38" s="100">
        <v>4.58</v>
      </c>
      <c r="C38" s="100">
        <v>7.32</v>
      </c>
      <c r="D38" s="100">
        <v>2.74</v>
      </c>
      <c r="E38" s="100">
        <v>4.6100000000000003</v>
      </c>
      <c r="F38" s="100">
        <v>4.3</v>
      </c>
      <c r="G38" s="100">
        <v>31.16</v>
      </c>
      <c r="H38" s="100">
        <v>5.94</v>
      </c>
      <c r="I38" s="100">
        <v>3.32</v>
      </c>
      <c r="J38" s="100">
        <v>0.21</v>
      </c>
      <c r="K38" s="100">
        <v>237.33</v>
      </c>
      <c r="L38" s="100">
        <v>27.3</v>
      </c>
      <c r="M38" s="100">
        <v>85.83</v>
      </c>
      <c r="N38" s="100">
        <v>49.9</v>
      </c>
      <c r="O38" s="100">
        <v>0</v>
      </c>
      <c r="P38" s="100">
        <v>0.2</v>
      </c>
      <c r="Q38" s="100">
        <v>9.92</v>
      </c>
      <c r="R38" s="6"/>
      <c r="S38" s="6"/>
      <c r="T38" s="156"/>
      <c r="U38" s="6"/>
    </row>
    <row r="39" spans="1:21" customFormat="1">
      <c r="A39" s="163" t="s">
        <v>1998</v>
      </c>
      <c r="B39" s="100">
        <v>4.7699999999999996</v>
      </c>
      <c r="C39" s="100">
        <v>7.28</v>
      </c>
      <c r="D39" s="100">
        <v>2.5099999999999998</v>
      </c>
      <c r="E39" s="100">
        <v>4.58</v>
      </c>
      <c r="F39" s="100">
        <v>2.98</v>
      </c>
      <c r="G39" s="100">
        <v>31.16</v>
      </c>
      <c r="H39" s="100">
        <v>5.94</v>
      </c>
      <c r="I39" s="100">
        <v>3.3</v>
      </c>
      <c r="J39" s="100">
        <v>0.15</v>
      </c>
      <c r="K39" s="100">
        <v>229.02</v>
      </c>
      <c r="L39" s="100">
        <v>27.38</v>
      </c>
      <c r="M39" s="100">
        <v>86.67</v>
      </c>
      <c r="N39" s="100">
        <v>66.099999999999994</v>
      </c>
      <c r="O39" s="100">
        <v>0</v>
      </c>
      <c r="P39" s="100">
        <v>0.22</v>
      </c>
      <c r="Q39" s="100">
        <v>9.92</v>
      </c>
      <c r="R39" s="6"/>
      <c r="S39" s="6"/>
      <c r="T39" s="156"/>
      <c r="U39" s="6"/>
    </row>
    <row r="40" spans="1:21" customFormat="1">
      <c r="A40" s="163" t="s">
        <v>1999</v>
      </c>
      <c r="B40" s="100">
        <v>4.8499999999999996</v>
      </c>
      <c r="C40" s="100">
        <v>7.48</v>
      </c>
      <c r="D40" s="100">
        <v>2.63</v>
      </c>
      <c r="E40" s="100">
        <v>4.58</v>
      </c>
      <c r="F40" s="100">
        <v>3.37</v>
      </c>
      <c r="G40" s="100">
        <v>31.16</v>
      </c>
      <c r="H40" s="100">
        <v>5.94</v>
      </c>
      <c r="I40" s="100">
        <v>3.55</v>
      </c>
      <c r="J40" s="100">
        <v>0.16</v>
      </c>
      <c r="K40" s="100">
        <v>242.73</v>
      </c>
      <c r="L40" s="100">
        <v>27.52</v>
      </c>
      <c r="M40" s="100">
        <v>86.29</v>
      </c>
      <c r="N40" s="100">
        <v>73.900000000000006</v>
      </c>
      <c r="O40" s="100">
        <v>0</v>
      </c>
      <c r="P40" s="100">
        <v>0.23</v>
      </c>
      <c r="Q40" s="100">
        <v>9.92</v>
      </c>
      <c r="R40" s="6"/>
      <c r="S40" s="6"/>
      <c r="T40" s="156"/>
      <c r="U40" s="6"/>
    </row>
    <row r="41" spans="1:21" customFormat="1">
      <c r="A41" s="163" t="s">
        <v>2000</v>
      </c>
      <c r="B41" s="100">
        <v>4.91</v>
      </c>
      <c r="C41" s="100">
        <v>7.42</v>
      </c>
      <c r="D41" s="100">
        <v>2.52</v>
      </c>
      <c r="E41" s="100">
        <v>4.2</v>
      </c>
      <c r="F41" s="100">
        <v>5.51</v>
      </c>
      <c r="G41" s="100">
        <v>29.34</v>
      </c>
      <c r="H41" s="100">
        <v>6.48</v>
      </c>
      <c r="I41" s="100">
        <v>3.58</v>
      </c>
      <c r="J41" s="100">
        <v>0.27</v>
      </c>
      <c r="K41" s="100">
        <v>252.27</v>
      </c>
      <c r="L41" s="100">
        <v>27.77</v>
      </c>
      <c r="M41" s="100">
        <v>84.49</v>
      </c>
      <c r="N41" s="100">
        <v>83.1</v>
      </c>
      <c r="O41" s="100">
        <v>0</v>
      </c>
      <c r="P41" s="100">
        <v>0.21</v>
      </c>
      <c r="Q41" s="100">
        <v>9.93</v>
      </c>
      <c r="R41" s="6"/>
      <c r="S41" s="6"/>
      <c r="T41" s="156"/>
      <c r="U41" s="6"/>
    </row>
    <row r="42" spans="1:21" customFormat="1">
      <c r="A42" s="163" t="s">
        <v>2001</v>
      </c>
      <c r="B42" s="100">
        <v>5.07</v>
      </c>
      <c r="C42" s="100">
        <v>7.35</v>
      </c>
      <c r="D42" s="100">
        <v>2.2799999999999998</v>
      </c>
      <c r="E42" s="100">
        <v>4.78</v>
      </c>
      <c r="F42" s="100">
        <v>2.1800000000000002</v>
      </c>
      <c r="G42" s="100">
        <v>24.86</v>
      </c>
      <c r="H42" s="100">
        <v>7.37</v>
      </c>
      <c r="I42" s="100">
        <v>3.4</v>
      </c>
      <c r="J42" s="100">
        <v>0.23</v>
      </c>
      <c r="K42" s="100">
        <v>247.32</v>
      </c>
      <c r="L42" s="100">
        <v>27.99</v>
      </c>
      <c r="M42" s="100">
        <v>83.66</v>
      </c>
      <c r="N42" s="100">
        <v>82.1</v>
      </c>
      <c r="O42" s="100">
        <v>0</v>
      </c>
      <c r="P42" s="100">
        <v>0.23</v>
      </c>
      <c r="Q42" s="100">
        <v>9.92</v>
      </c>
      <c r="R42" s="6"/>
      <c r="S42" s="6"/>
      <c r="T42" s="156"/>
      <c r="U42" s="6"/>
    </row>
    <row r="43" spans="1:21" customFormat="1">
      <c r="A43" s="163" t="s">
        <v>2002</v>
      </c>
      <c r="B43" s="100">
        <v>5.14</v>
      </c>
      <c r="C43" s="100">
        <v>7.65</v>
      </c>
      <c r="D43" s="100">
        <v>2.5099999999999998</v>
      </c>
      <c r="E43" s="100">
        <v>4.62</v>
      </c>
      <c r="F43" s="100">
        <v>3.06</v>
      </c>
      <c r="G43" s="100">
        <v>24.86</v>
      </c>
      <c r="H43" s="100">
        <v>7.37</v>
      </c>
      <c r="I43" s="100">
        <v>3.38</v>
      </c>
      <c r="J43" s="100">
        <v>0.32</v>
      </c>
      <c r="K43" s="100">
        <v>251.81</v>
      </c>
      <c r="L43" s="100">
        <v>28.18</v>
      </c>
      <c r="M43" s="100">
        <v>82.01</v>
      </c>
      <c r="N43" s="100">
        <v>83.9</v>
      </c>
      <c r="O43" s="100">
        <v>0</v>
      </c>
      <c r="P43" s="100">
        <v>0.23</v>
      </c>
      <c r="Q43" s="100">
        <v>9.92</v>
      </c>
      <c r="R43" s="6"/>
      <c r="S43" s="6"/>
      <c r="T43" s="156"/>
      <c r="U43" s="6"/>
    </row>
    <row r="44" spans="1:21" customFormat="1">
      <c r="A44" s="163" t="s">
        <v>2003</v>
      </c>
      <c r="B44" s="100">
        <v>5.2</v>
      </c>
      <c r="C44" s="100">
        <v>7.59</v>
      </c>
      <c r="D44" s="100">
        <v>2.39</v>
      </c>
      <c r="E44" s="100">
        <v>4.45</v>
      </c>
      <c r="F44" s="100">
        <v>4.5</v>
      </c>
      <c r="G44" s="100">
        <v>24.86</v>
      </c>
      <c r="H44" s="100">
        <v>7.37</v>
      </c>
      <c r="I44" s="100">
        <v>3.56</v>
      </c>
      <c r="J44" s="100">
        <v>0.4</v>
      </c>
      <c r="K44" s="100">
        <v>243.46</v>
      </c>
      <c r="L44" s="100">
        <v>28.4</v>
      </c>
      <c r="M44" s="100">
        <v>79.540000000000006</v>
      </c>
      <c r="N44" s="100">
        <v>89.2</v>
      </c>
      <c r="O44" s="100">
        <v>0</v>
      </c>
      <c r="P44" s="100">
        <v>0.22</v>
      </c>
      <c r="Q44" s="100">
        <v>9.92</v>
      </c>
      <c r="R44" s="6"/>
      <c r="S44" s="6"/>
      <c r="T44" s="156"/>
      <c r="U44" s="6"/>
    </row>
    <row r="45" spans="1:21" customFormat="1">
      <c r="A45" s="163" t="s">
        <v>2004</v>
      </c>
      <c r="B45" s="100">
        <v>5.12</v>
      </c>
      <c r="C45" s="100">
        <v>7.54</v>
      </c>
      <c r="D45" s="100">
        <v>2.42</v>
      </c>
      <c r="E45" s="100">
        <v>4.5</v>
      </c>
      <c r="F45" s="100">
        <v>4.83</v>
      </c>
      <c r="G45" s="100">
        <v>26.82</v>
      </c>
      <c r="H45" s="100">
        <v>7.98</v>
      </c>
      <c r="I45" s="100">
        <v>3.51</v>
      </c>
      <c r="J45" s="100">
        <v>0.44</v>
      </c>
      <c r="K45" s="100">
        <v>248.72</v>
      </c>
      <c r="L45" s="100">
        <v>28.66</v>
      </c>
      <c r="M45" s="100">
        <v>76.55</v>
      </c>
      <c r="N45" s="100">
        <v>94.4</v>
      </c>
      <c r="O45" s="100">
        <v>0</v>
      </c>
      <c r="P45" s="100">
        <v>0.2</v>
      </c>
      <c r="Q45" s="100">
        <v>9.94</v>
      </c>
      <c r="R45" s="6"/>
      <c r="S45" s="6"/>
      <c r="T45" s="156"/>
      <c r="U45" s="6"/>
    </row>
    <row r="46" spans="1:21" customFormat="1">
      <c r="A46" s="163" t="s">
        <v>2005</v>
      </c>
      <c r="B46" s="100">
        <v>5.2</v>
      </c>
      <c r="C46" s="100">
        <v>7.75</v>
      </c>
      <c r="D46" s="100">
        <v>2.54</v>
      </c>
      <c r="E46" s="100">
        <v>4.8099999999999996</v>
      </c>
      <c r="F46" s="100">
        <v>3.07</v>
      </c>
      <c r="G46" s="100">
        <v>31.66</v>
      </c>
      <c r="H46" s="100">
        <v>8.99</v>
      </c>
      <c r="I46" s="100">
        <v>3.54</v>
      </c>
      <c r="J46" s="100">
        <v>0.38</v>
      </c>
      <c r="K46" s="100">
        <v>252.05</v>
      </c>
      <c r="L46" s="100">
        <v>28.95</v>
      </c>
      <c r="M46" s="100">
        <v>75.14</v>
      </c>
      <c r="N46" s="100">
        <v>114.1</v>
      </c>
      <c r="O46" s="100">
        <v>0</v>
      </c>
      <c r="P46" s="100">
        <v>0.23</v>
      </c>
      <c r="Q46" s="100">
        <v>9.92</v>
      </c>
      <c r="R46" s="6"/>
      <c r="S46" s="6"/>
      <c r="T46" s="156"/>
      <c r="U46" s="6"/>
    </row>
    <row r="47" spans="1:21" customFormat="1">
      <c r="A47" s="163" t="s">
        <v>2006</v>
      </c>
      <c r="B47" s="100">
        <v>5.21</v>
      </c>
      <c r="C47" s="100">
        <v>7.98</v>
      </c>
      <c r="D47" s="100">
        <v>2.78</v>
      </c>
      <c r="E47" s="100">
        <v>4.67</v>
      </c>
      <c r="F47" s="100">
        <v>4.4400000000000004</v>
      </c>
      <c r="G47" s="100">
        <v>31.66</v>
      </c>
      <c r="H47" s="100">
        <v>8.99</v>
      </c>
      <c r="I47" s="100">
        <v>3.47</v>
      </c>
      <c r="J47" s="100">
        <v>0.47</v>
      </c>
      <c r="K47" s="100">
        <v>254.81</v>
      </c>
      <c r="L47" s="100">
        <v>29.18</v>
      </c>
      <c r="M47" s="100">
        <v>75.11</v>
      </c>
      <c r="N47" s="100">
        <v>134.30000000000001</v>
      </c>
      <c r="O47" s="100">
        <v>0</v>
      </c>
      <c r="P47" s="100">
        <v>0.24</v>
      </c>
      <c r="Q47" s="100">
        <v>9.92</v>
      </c>
      <c r="R47" s="6"/>
      <c r="S47" s="6"/>
      <c r="T47" s="156"/>
      <c r="U47" s="6"/>
    </row>
    <row r="48" spans="1:21" customFormat="1">
      <c r="A48" s="163" t="s">
        <v>2007</v>
      </c>
      <c r="B48" s="100">
        <v>5.2</v>
      </c>
      <c r="C48" s="100">
        <v>7.82</v>
      </c>
      <c r="D48" s="100">
        <v>2.63</v>
      </c>
      <c r="E48" s="100">
        <v>4.5999999999999996</v>
      </c>
      <c r="F48" s="100">
        <v>4.71</v>
      </c>
      <c r="G48" s="100">
        <v>31.66</v>
      </c>
      <c r="H48" s="100">
        <v>8.99</v>
      </c>
      <c r="I48" s="100">
        <v>3.66</v>
      </c>
      <c r="J48" s="100">
        <v>0.57999999999999996</v>
      </c>
      <c r="K48" s="100">
        <v>258.64</v>
      </c>
      <c r="L48" s="100">
        <v>29.36</v>
      </c>
      <c r="M48" s="100">
        <v>72.709999999999994</v>
      </c>
      <c r="N48" s="100">
        <v>134.19999999999999</v>
      </c>
      <c r="O48" s="100">
        <v>0</v>
      </c>
      <c r="P48" s="100">
        <v>0.22</v>
      </c>
      <c r="Q48" s="100">
        <v>9.93</v>
      </c>
      <c r="R48" s="6"/>
      <c r="S48" s="6"/>
      <c r="T48" s="156"/>
      <c r="U48" s="6"/>
    </row>
    <row r="49" spans="1:21" customFormat="1">
      <c r="A49" s="163" t="s">
        <v>2008</v>
      </c>
      <c r="B49" s="100">
        <v>5.17</v>
      </c>
      <c r="C49" s="100">
        <v>7.59</v>
      </c>
      <c r="D49" s="100">
        <v>2.42</v>
      </c>
      <c r="E49" s="100">
        <v>3.92</v>
      </c>
      <c r="F49" s="100">
        <v>4.1900000000000004</v>
      </c>
      <c r="G49" s="100">
        <v>31.35</v>
      </c>
      <c r="H49" s="100">
        <v>8.9600000000000009</v>
      </c>
      <c r="I49" s="100">
        <v>3.52</v>
      </c>
      <c r="J49" s="100">
        <v>0.97</v>
      </c>
      <c r="K49" s="100">
        <v>255.97</v>
      </c>
      <c r="L49" s="100">
        <v>29.42</v>
      </c>
      <c r="M49" s="100">
        <v>69.33</v>
      </c>
      <c r="N49" s="100">
        <v>148.4</v>
      </c>
      <c r="O49" s="100">
        <v>0</v>
      </c>
      <c r="P49" s="100">
        <v>0.21</v>
      </c>
      <c r="Q49" s="100">
        <v>9.92</v>
      </c>
      <c r="R49" s="6"/>
      <c r="S49" s="6"/>
      <c r="T49" s="156"/>
      <c r="U49" s="6"/>
    </row>
    <row r="50" spans="1:21" customFormat="1">
      <c r="A50" s="163" t="s">
        <v>2009</v>
      </c>
      <c r="B50" s="100">
        <v>5.0599999999999996</v>
      </c>
      <c r="C50" s="100">
        <v>7.75</v>
      </c>
      <c r="D50" s="100">
        <v>2.69</v>
      </c>
      <c r="E50" s="100">
        <v>4.62</v>
      </c>
      <c r="F50" s="100">
        <v>3.73</v>
      </c>
      <c r="G50" s="100">
        <v>30.56</v>
      </c>
      <c r="H50" s="100">
        <v>8.85</v>
      </c>
      <c r="I50" s="100">
        <v>3.6</v>
      </c>
      <c r="J50" s="100">
        <v>0.82</v>
      </c>
      <c r="K50" s="100">
        <v>254.32</v>
      </c>
      <c r="L50" s="100">
        <v>29.69</v>
      </c>
      <c r="M50" s="100">
        <v>67.599999999999994</v>
      </c>
      <c r="N50" s="100">
        <v>165.2</v>
      </c>
      <c r="O50" s="100">
        <v>0</v>
      </c>
      <c r="P50" s="100">
        <v>0.24</v>
      </c>
      <c r="Q50" s="100">
        <v>9.92</v>
      </c>
      <c r="R50" s="6"/>
      <c r="S50" s="6"/>
      <c r="T50" s="156"/>
      <c r="U50" s="6"/>
    </row>
    <row r="51" spans="1:21" customFormat="1">
      <c r="A51" s="163" t="s">
        <v>2010</v>
      </c>
      <c r="B51" s="100">
        <v>5.05</v>
      </c>
      <c r="C51" s="100">
        <v>7.85</v>
      </c>
      <c r="D51" s="100">
        <v>2.8</v>
      </c>
      <c r="E51" s="100">
        <v>4.6399999999999997</v>
      </c>
      <c r="F51" s="100">
        <v>3.59</v>
      </c>
      <c r="G51" s="100">
        <v>30.56</v>
      </c>
      <c r="H51" s="100">
        <v>8.85</v>
      </c>
      <c r="I51" s="100">
        <v>3.52</v>
      </c>
      <c r="J51" s="100">
        <v>0.93</v>
      </c>
      <c r="K51" s="100">
        <v>255.68</v>
      </c>
      <c r="L51" s="100">
        <v>29.77</v>
      </c>
      <c r="M51" s="100">
        <v>65.73</v>
      </c>
      <c r="N51" s="100">
        <v>151.30000000000001</v>
      </c>
      <c r="O51" s="100">
        <v>0</v>
      </c>
      <c r="P51" s="100">
        <v>0.23</v>
      </c>
      <c r="Q51" s="100">
        <v>9.91</v>
      </c>
      <c r="R51" s="6"/>
      <c r="S51" s="6"/>
      <c r="T51" s="156"/>
      <c r="U51" s="6"/>
    </row>
    <row r="52" spans="1:21" customFormat="1">
      <c r="A52" s="163" t="s">
        <v>2011</v>
      </c>
      <c r="B52" s="100">
        <v>4.91</v>
      </c>
      <c r="C52" s="100">
        <v>7.45</v>
      </c>
      <c r="D52" s="100">
        <v>2.5299999999999998</v>
      </c>
      <c r="E52" s="100">
        <v>4.62</v>
      </c>
      <c r="F52" s="100">
        <v>4.03</v>
      </c>
      <c r="G52" s="100">
        <v>30.56</v>
      </c>
      <c r="H52" s="100">
        <v>8.85</v>
      </c>
      <c r="I52" s="100">
        <v>3.68</v>
      </c>
      <c r="J52" s="100">
        <v>0.98</v>
      </c>
      <c r="K52" s="100">
        <v>252.83</v>
      </c>
      <c r="L52" s="100">
        <v>29.68</v>
      </c>
      <c r="M52" s="100">
        <v>64.59</v>
      </c>
      <c r="N52" s="100">
        <v>131.9</v>
      </c>
      <c r="O52" s="100">
        <v>0</v>
      </c>
      <c r="P52" s="100">
        <v>0.22</v>
      </c>
      <c r="Q52" s="100">
        <v>9.93</v>
      </c>
      <c r="R52" s="6"/>
      <c r="S52" s="6"/>
      <c r="T52" s="156"/>
      <c r="U52" s="6"/>
    </row>
    <row r="53" spans="1:21" customFormat="1">
      <c r="A53" s="163" t="s">
        <v>2012</v>
      </c>
      <c r="B53" s="100">
        <v>4.8600000000000003</v>
      </c>
      <c r="C53" s="100">
        <v>7.15</v>
      </c>
      <c r="D53" s="100">
        <v>2.2799999999999998</v>
      </c>
      <c r="E53" s="100">
        <v>4.32</v>
      </c>
      <c r="F53" s="100">
        <v>3.55</v>
      </c>
      <c r="G53" s="100">
        <v>28.12</v>
      </c>
      <c r="H53" s="100">
        <v>8.41</v>
      </c>
      <c r="I53" s="100">
        <v>3.57</v>
      </c>
      <c r="J53" s="100">
        <v>1.29</v>
      </c>
      <c r="K53" s="100">
        <v>252.25</v>
      </c>
      <c r="L53" s="100">
        <v>29.63</v>
      </c>
      <c r="M53" s="100">
        <v>64.05</v>
      </c>
      <c r="N53" s="100">
        <v>158.4</v>
      </c>
      <c r="O53" s="100">
        <v>0</v>
      </c>
      <c r="P53" s="100">
        <v>0.2</v>
      </c>
      <c r="Q53" s="100">
        <v>9.92</v>
      </c>
      <c r="R53" s="6"/>
      <c r="S53" s="6"/>
      <c r="T53" s="156"/>
      <c r="U53" s="6"/>
    </row>
    <row r="54" spans="1:21" customFormat="1">
      <c r="A54" s="163" t="s">
        <v>2013</v>
      </c>
      <c r="B54" s="100">
        <v>4.74</v>
      </c>
      <c r="C54" s="100">
        <v>7.42</v>
      </c>
      <c r="D54" s="100">
        <v>2.68</v>
      </c>
      <c r="E54" s="100">
        <v>4.41</v>
      </c>
      <c r="F54" s="100">
        <v>2.92</v>
      </c>
      <c r="G54" s="100">
        <v>21.79</v>
      </c>
      <c r="H54" s="100">
        <v>7.68</v>
      </c>
      <c r="I54" s="100">
        <v>3.52</v>
      </c>
      <c r="J54" s="100">
        <v>1.0900000000000001</v>
      </c>
      <c r="K54" s="100">
        <v>255.07</v>
      </c>
      <c r="L54" s="100">
        <v>29.59</v>
      </c>
      <c r="M54" s="100">
        <v>64.45</v>
      </c>
      <c r="N54" s="100">
        <v>130.6</v>
      </c>
      <c r="O54" s="100">
        <v>0</v>
      </c>
      <c r="P54" s="100">
        <v>0.22</v>
      </c>
      <c r="Q54" s="100">
        <v>9.91</v>
      </c>
      <c r="R54" s="6"/>
      <c r="S54" s="6"/>
      <c r="T54" s="156"/>
      <c r="U54" s="6"/>
    </row>
    <row r="55" spans="1:21" customFormat="1">
      <c r="A55" s="163" t="s">
        <v>2014</v>
      </c>
      <c r="B55" s="100">
        <v>4.59</v>
      </c>
      <c r="C55" s="100">
        <v>7.83</v>
      </c>
      <c r="D55" s="100">
        <v>3.25</v>
      </c>
      <c r="E55" s="100">
        <v>4.53</v>
      </c>
      <c r="F55" s="100">
        <v>2.4900000000000002</v>
      </c>
      <c r="G55" s="100">
        <v>21.79</v>
      </c>
      <c r="H55" s="100">
        <v>7.68</v>
      </c>
      <c r="I55" s="100">
        <v>3.48</v>
      </c>
      <c r="J55" s="100">
        <v>0.89</v>
      </c>
      <c r="K55" s="100">
        <v>252.91</v>
      </c>
      <c r="L55" s="100">
        <v>29.71</v>
      </c>
      <c r="M55" s="100">
        <v>64.349999999999994</v>
      </c>
      <c r="N55" s="100">
        <v>132.19999999999999</v>
      </c>
      <c r="O55" s="100">
        <v>0</v>
      </c>
      <c r="P55" s="100">
        <v>0.17</v>
      </c>
      <c r="Q55" s="100">
        <v>9.9</v>
      </c>
      <c r="R55" s="6"/>
      <c r="S55" s="6"/>
      <c r="T55" s="156"/>
      <c r="U55" s="6"/>
    </row>
    <row r="56" spans="1:21" customFormat="1">
      <c r="A56" s="163" t="s">
        <v>2015</v>
      </c>
      <c r="B56" s="100">
        <v>4.41</v>
      </c>
      <c r="C56" s="100">
        <v>7.82</v>
      </c>
      <c r="D56" s="100">
        <v>3.41</v>
      </c>
      <c r="E56" s="100">
        <v>5.1100000000000003</v>
      </c>
      <c r="F56" s="100">
        <v>2.52</v>
      </c>
      <c r="G56" s="100">
        <v>21.79</v>
      </c>
      <c r="H56" s="100">
        <v>7.68</v>
      </c>
      <c r="I56" s="100">
        <v>3.6</v>
      </c>
      <c r="J56" s="100">
        <v>0.84</v>
      </c>
      <c r="K56" s="100">
        <v>252.17</v>
      </c>
      <c r="L56" s="100">
        <v>29.87</v>
      </c>
      <c r="M56" s="100">
        <v>64.12</v>
      </c>
      <c r="N56" s="100">
        <v>128.6</v>
      </c>
      <c r="O56" s="100">
        <v>0</v>
      </c>
      <c r="P56" s="100">
        <v>0.17</v>
      </c>
      <c r="Q56" s="100">
        <v>9.91</v>
      </c>
      <c r="R56" s="6"/>
      <c r="S56" s="6"/>
      <c r="T56" s="156"/>
      <c r="U56" s="6"/>
    </row>
    <row r="57" spans="1:21" customFormat="1">
      <c r="A57" s="163" t="s">
        <v>2016</v>
      </c>
      <c r="B57" s="100">
        <v>4.28</v>
      </c>
      <c r="C57" s="100">
        <v>7.84</v>
      </c>
      <c r="D57" s="100">
        <v>3.55</v>
      </c>
      <c r="E57" s="100">
        <v>5.12</v>
      </c>
      <c r="F57" s="100">
        <v>2.94</v>
      </c>
      <c r="G57" s="100">
        <v>25.14</v>
      </c>
      <c r="H57" s="100">
        <v>7.95</v>
      </c>
      <c r="I57" s="100">
        <v>3.46</v>
      </c>
      <c r="J57" s="100">
        <v>0.75</v>
      </c>
      <c r="K57" s="100">
        <v>253.1</v>
      </c>
      <c r="L57" s="100">
        <v>29.8</v>
      </c>
      <c r="M57" s="100">
        <v>64.77</v>
      </c>
      <c r="N57" s="100">
        <v>123.4</v>
      </c>
      <c r="O57" s="100">
        <v>0</v>
      </c>
      <c r="P57" s="100">
        <v>0.17</v>
      </c>
      <c r="Q57" s="100">
        <v>9.91</v>
      </c>
      <c r="R57" s="6"/>
      <c r="S57" s="6"/>
      <c r="T57" s="156"/>
      <c r="U57" s="6"/>
    </row>
    <row r="58" spans="1:21" customFormat="1">
      <c r="A58" s="163" t="s">
        <v>2017</v>
      </c>
      <c r="B58" s="100">
        <v>4.22</v>
      </c>
      <c r="C58" s="100">
        <v>7.76</v>
      </c>
      <c r="D58" s="100">
        <v>3.54</v>
      </c>
      <c r="E58" s="100">
        <v>5.2</v>
      </c>
      <c r="F58" s="100">
        <v>2.54</v>
      </c>
      <c r="G58" s="100">
        <v>33.4</v>
      </c>
      <c r="H58" s="100">
        <v>8.4</v>
      </c>
      <c r="I58" s="100">
        <v>3.39</v>
      </c>
      <c r="J58" s="100">
        <v>0.82</v>
      </c>
      <c r="K58" s="100">
        <v>253.55</v>
      </c>
      <c r="L58" s="100">
        <v>29.97</v>
      </c>
      <c r="M58" s="100">
        <v>64.209999999999994</v>
      </c>
      <c r="N58" s="100">
        <v>156.4</v>
      </c>
      <c r="O58" s="100">
        <v>0</v>
      </c>
      <c r="P58" s="100">
        <v>0.16</v>
      </c>
      <c r="Q58" s="100">
        <v>9.89</v>
      </c>
      <c r="R58" s="6"/>
      <c r="S58" s="6"/>
      <c r="T58" s="156"/>
      <c r="U58" s="6"/>
    </row>
    <row r="59" spans="1:21" customFormat="1">
      <c r="A59" s="163" t="s">
        <v>2018</v>
      </c>
      <c r="B59" s="100">
        <v>4.16</v>
      </c>
      <c r="C59" s="100">
        <v>7.63</v>
      </c>
      <c r="D59" s="100">
        <v>3.46</v>
      </c>
      <c r="E59" s="100">
        <v>5.42</v>
      </c>
      <c r="F59" s="100">
        <v>2.6</v>
      </c>
      <c r="G59" s="100">
        <v>33.4</v>
      </c>
      <c r="H59" s="100">
        <v>8.4</v>
      </c>
      <c r="I59" s="100">
        <v>3.32</v>
      </c>
      <c r="J59" s="100">
        <v>0.93</v>
      </c>
      <c r="K59" s="100">
        <v>253.83</v>
      </c>
      <c r="L59" s="100">
        <v>30.06</v>
      </c>
      <c r="M59" s="100">
        <v>63.82</v>
      </c>
      <c r="N59" s="100">
        <v>140.4</v>
      </c>
      <c r="O59" s="100">
        <v>0</v>
      </c>
      <c r="P59" s="100">
        <v>0.16</v>
      </c>
      <c r="Q59" s="100">
        <v>9.89</v>
      </c>
      <c r="R59" s="6"/>
      <c r="S59" s="6"/>
      <c r="T59" s="156"/>
      <c r="U59" s="6"/>
    </row>
    <row r="60" spans="1:21" customFormat="1">
      <c r="A60" s="163" t="s">
        <v>2019</v>
      </c>
      <c r="B60" s="100">
        <v>4.07</v>
      </c>
      <c r="C60" s="100">
        <v>7.37</v>
      </c>
      <c r="D60" s="100">
        <v>3.3</v>
      </c>
      <c r="E60" s="100">
        <v>5.3</v>
      </c>
      <c r="F60" s="100">
        <v>3.21</v>
      </c>
      <c r="G60" s="100">
        <v>33.4</v>
      </c>
      <c r="H60" s="100">
        <v>8.4</v>
      </c>
      <c r="I60" s="100">
        <v>3.3</v>
      </c>
      <c r="J60" s="100">
        <v>0.9</v>
      </c>
      <c r="K60" s="100">
        <v>248.82</v>
      </c>
      <c r="L60" s="100">
        <v>29.99</v>
      </c>
      <c r="M60" s="100">
        <v>63.79</v>
      </c>
      <c r="N60" s="100">
        <v>125.6</v>
      </c>
      <c r="O60" s="100">
        <v>0</v>
      </c>
      <c r="P60" s="100">
        <v>0.16</v>
      </c>
      <c r="Q60" s="100">
        <v>9.9</v>
      </c>
      <c r="R60" s="6"/>
      <c r="S60" s="6"/>
      <c r="T60" s="156"/>
      <c r="U60" s="6"/>
    </row>
    <row r="61" spans="1:21" customFormat="1">
      <c r="A61" s="163" t="s">
        <v>2020</v>
      </c>
      <c r="B61" s="100">
        <v>3.97</v>
      </c>
      <c r="C61" s="100">
        <v>7.29</v>
      </c>
      <c r="D61" s="100">
        <v>3.33</v>
      </c>
      <c r="E61" s="100">
        <v>5.14</v>
      </c>
      <c r="F61" s="100">
        <v>3.27</v>
      </c>
      <c r="G61" s="100">
        <v>34</v>
      </c>
      <c r="H61" s="100">
        <v>7.45</v>
      </c>
      <c r="I61" s="100">
        <v>3.27</v>
      </c>
      <c r="J61" s="100">
        <v>0.88</v>
      </c>
      <c r="K61" s="100">
        <v>256.11</v>
      </c>
      <c r="L61" s="100">
        <v>30.1</v>
      </c>
      <c r="M61" s="100">
        <v>64.099999999999994</v>
      </c>
      <c r="N61" s="100">
        <v>146.4</v>
      </c>
      <c r="O61" s="100">
        <v>0</v>
      </c>
      <c r="P61" s="100">
        <v>0.17</v>
      </c>
      <c r="Q61" s="100">
        <v>9.91</v>
      </c>
      <c r="R61" s="6"/>
      <c r="S61" s="6"/>
      <c r="T61" s="156"/>
      <c r="U61" s="6"/>
    </row>
    <row r="62" spans="1:21" customFormat="1">
      <c r="A62" s="163" t="s">
        <v>2021</v>
      </c>
      <c r="B62" s="100">
        <v>3.94</v>
      </c>
      <c r="C62" s="100">
        <v>7.32</v>
      </c>
      <c r="D62" s="100">
        <v>3.37</v>
      </c>
      <c r="E62" s="100">
        <v>5.34</v>
      </c>
      <c r="F62" s="100">
        <v>2.74</v>
      </c>
      <c r="G62" s="100">
        <v>35.49</v>
      </c>
      <c r="H62" s="100">
        <v>5.9</v>
      </c>
      <c r="I62" s="100">
        <v>3.21</v>
      </c>
      <c r="J62" s="100">
        <v>0.73</v>
      </c>
      <c r="K62" s="100">
        <v>253.75</v>
      </c>
      <c r="L62" s="100">
        <v>30.22</v>
      </c>
      <c r="M62" s="100">
        <v>64.25</v>
      </c>
      <c r="N62" s="100">
        <v>141.19999999999999</v>
      </c>
      <c r="O62" s="100">
        <v>0</v>
      </c>
      <c r="P62" s="100">
        <v>0.16</v>
      </c>
      <c r="Q62" s="100">
        <v>9.9</v>
      </c>
      <c r="R62" s="6"/>
      <c r="S62" s="6"/>
      <c r="T62" s="156"/>
      <c r="U62" s="6"/>
    </row>
    <row r="63" spans="1:21" customFormat="1">
      <c r="A63" s="163" t="s">
        <v>2022</v>
      </c>
      <c r="B63" s="100">
        <v>3.93</v>
      </c>
      <c r="C63" s="100">
        <v>7.28</v>
      </c>
      <c r="D63" s="100">
        <v>3.36</v>
      </c>
      <c r="E63" s="100">
        <v>5.31</v>
      </c>
      <c r="F63" s="100">
        <v>2.63</v>
      </c>
      <c r="G63" s="100">
        <v>35.49</v>
      </c>
      <c r="H63" s="100">
        <v>5.9</v>
      </c>
      <c r="I63" s="100">
        <v>3.21</v>
      </c>
      <c r="J63" s="100">
        <v>0.93</v>
      </c>
      <c r="K63" s="100">
        <v>259.08999999999997</v>
      </c>
      <c r="L63" s="100">
        <v>30.18</v>
      </c>
      <c r="M63" s="100">
        <v>63.97</v>
      </c>
      <c r="N63" s="100">
        <v>136.30000000000001</v>
      </c>
      <c r="O63" s="100">
        <v>0</v>
      </c>
      <c r="P63" s="100">
        <v>0.17</v>
      </c>
      <c r="Q63" s="100">
        <v>9.9</v>
      </c>
      <c r="R63" s="6"/>
      <c r="S63" s="6"/>
      <c r="T63" s="156"/>
      <c r="U63" s="6"/>
    </row>
    <row r="64" spans="1:21" customFormat="1">
      <c r="A64" s="163" t="s">
        <v>2023</v>
      </c>
      <c r="B64" s="100">
        <v>3.92</v>
      </c>
      <c r="C64" s="100">
        <v>7.1</v>
      </c>
      <c r="D64" s="100">
        <v>3.19</v>
      </c>
      <c r="E64" s="100">
        <v>5.19</v>
      </c>
      <c r="F64" s="100">
        <v>3.87</v>
      </c>
      <c r="G64" s="100">
        <v>35.49</v>
      </c>
      <c r="H64" s="100">
        <v>5.9</v>
      </c>
      <c r="I64" s="100">
        <v>3.11</v>
      </c>
      <c r="J64" s="100">
        <v>0.95</v>
      </c>
      <c r="K64" s="100">
        <v>252.85</v>
      </c>
      <c r="L64" s="100">
        <v>30.24</v>
      </c>
      <c r="M64" s="100">
        <v>63.66</v>
      </c>
      <c r="N64" s="100">
        <v>154.19999999999999</v>
      </c>
      <c r="O64" s="100">
        <v>0</v>
      </c>
      <c r="P64" s="100">
        <v>0.16</v>
      </c>
      <c r="Q64" s="100">
        <v>9.9</v>
      </c>
      <c r="R64" s="6"/>
      <c r="S64" s="6"/>
      <c r="T64" s="156"/>
      <c r="U64" s="6"/>
    </row>
    <row r="65" spans="1:21" customFormat="1">
      <c r="A65" s="163" t="s">
        <v>2024</v>
      </c>
      <c r="B65" s="100">
        <v>3.92</v>
      </c>
      <c r="C65" s="100">
        <v>7.04</v>
      </c>
      <c r="D65" s="100">
        <v>3.12</v>
      </c>
      <c r="E65" s="100">
        <v>5.54</v>
      </c>
      <c r="F65" s="100">
        <v>3.83</v>
      </c>
      <c r="G65" s="100">
        <v>34.31</v>
      </c>
      <c r="H65" s="100">
        <v>5.5</v>
      </c>
      <c r="I65" s="100">
        <v>3.29</v>
      </c>
      <c r="J65" s="100">
        <v>1.04</v>
      </c>
      <c r="K65" s="100">
        <v>254.88</v>
      </c>
      <c r="L65" s="100">
        <v>30.33</v>
      </c>
      <c r="M65" s="100">
        <v>63.36</v>
      </c>
      <c r="N65" s="100">
        <v>147.19999999999999</v>
      </c>
      <c r="O65" s="100">
        <v>0</v>
      </c>
      <c r="P65" s="100">
        <v>0.21</v>
      </c>
      <c r="Q65" s="100">
        <v>9.91</v>
      </c>
      <c r="R65" s="6"/>
      <c r="S65" s="6"/>
      <c r="T65" s="156"/>
      <c r="U65" s="6"/>
    </row>
    <row r="66" spans="1:21" customFormat="1">
      <c r="A66" s="163" t="s">
        <v>2025</v>
      </c>
      <c r="B66" s="100">
        <v>3.92</v>
      </c>
      <c r="C66" s="100">
        <v>7.15</v>
      </c>
      <c r="D66" s="100">
        <v>3.24</v>
      </c>
      <c r="E66" s="100">
        <v>5.51</v>
      </c>
      <c r="F66" s="100">
        <v>2.79</v>
      </c>
      <c r="G66" s="100">
        <v>31.42</v>
      </c>
      <c r="H66" s="100">
        <v>4.83</v>
      </c>
      <c r="I66" s="100">
        <v>3.17</v>
      </c>
      <c r="J66" s="100">
        <v>0.96</v>
      </c>
      <c r="K66" s="100">
        <v>261.95999999999998</v>
      </c>
      <c r="L66" s="100">
        <v>30.16</v>
      </c>
      <c r="M66" s="100">
        <v>64.12</v>
      </c>
      <c r="N66" s="100">
        <v>123.3</v>
      </c>
      <c r="O66" s="100">
        <v>0</v>
      </c>
      <c r="P66" s="100">
        <v>0.23</v>
      </c>
      <c r="Q66" s="100">
        <v>9.9</v>
      </c>
      <c r="R66" s="6"/>
      <c r="S66" s="6"/>
      <c r="T66" s="156"/>
      <c r="U66" s="6"/>
    </row>
    <row r="67" spans="1:21" customFormat="1">
      <c r="A67" s="163" t="s">
        <v>2026</v>
      </c>
      <c r="B67" s="100">
        <v>3.85</v>
      </c>
      <c r="C67" s="100">
        <v>7.06</v>
      </c>
      <c r="D67" s="100">
        <v>3.21</v>
      </c>
      <c r="E67" s="100">
        <v>5.38</v>
      </c>
      <c r="F67" s="100">
        <v>3.51</v>
      </c>
      <c r="G67" s="100">
        <v>31.42</v>
      </c>
      <c r="H67" s="100">
        <v>4.83</v>
      </c>
      <c r="I67" s="100">
        <v>3.09</v>
      </c>
      <c r="J67" s="100">
        <v>1.08</v>
      </c>
      <c r="K67" s="100">
        <v>250.28</v>
      </c>
      <c r="L67" s="100">
        <v>29.95</v>
      </c>
      <c r="M67" s="100">
        <v>64.72</v>
      </c>
      <c r="N67" s="100">
        <v>76.2</v>
      </c>
      <c r="O67" s="100">
        <v>0</v>
      </c>
      <c r="P67" s="100">
        <v>0.24</v>
      </c>
      <c r="Q67" s="100">
        <v>9.9</v>
      </c>
      <c r="R67" s="6"/>
      <c r="S67" s="6"/>
      <c r="T67" s="156"/>
      <c r="U67" s="6"/>
    </row>
    <row r="68" spans="1:21" customFormat="1">
      <c r="A68" s="163" t="s">
        <v>2027</v>
      </c>
      <c r="B68" s="100">
        <v>3.82</v>
      </c>
      <c r="C68" s="100">
        <v>6.87</v>
      </c>
      <c r="D68" s="100">
        <v>3.05</v>
      </c>
      <c r="E68" s="100">
        <v>5.55</v>
      </c>
      <c r="F68" s="100">
        <v>4.09</v>
      </c>
      <c r="G68" s="100">
        <v>31.42</v>
      </c>
      <c r="H68" s="100">
        <v>4.83</v>
      </c>
      <c r="I68" s="100">
        <v>3.11</v>
      </c>
      <c r="J68" s="100">
        <v>0.94</v>
      </c>
      <c r="K68" s="100">
        <v>256.79000000000002</v>
      </c>
      <c r="L68" s="100">
        <v>29.93</v>
      </c>
      <c r="M68" s="100">
        <v>65.430000000000007</v>
      </c>
      <c r="N68" s="100">
        <v>82.1</v>
      </c>
      <c r="O68" s="100">
        <v>0</v>
      </c>
      <c r="P68" s="100">
        <v>0.23</v>
      </c>
      <c r="Q68" s="100">
        <v>9.89</v>
      </c>
      <c r="R68" s="6"/>
      <c r="S68" s="6"/>
      <c r="T68" s="156"/>
      <c r="U68" s="6"/>
    </row>
    <row r="69" spans="1:21" customFormat="1">
      <c r="A69" s="163" t="s">
        <v>2028</v>
      </c>
      <c r="B69" s="100">
        <v>3.8</v>
      </c>
      <c r="C69" s="100">
        <v>6.88</v>
      </c>
      <c r="D69" s="100">
        <v>3.08</v>
      </c>
      <c r="E69" s="100">
        <v>5.6</v>
      </c>
      <c r="F69" s="100">
        <v>3.26</v>
      </c>
      <c r="G69" s="100">
        <v>32.549999999999997</v>
      </c>
      <c r="H69" s="100">
        <v>5.21</v>
      </c>
      <c r="I69" s="100">
        <v>3.17</v>
      </c>
      <c r="J69" s="100">
        <v>0.92</v>
      </c>
      <c r="K69" s="100">
        <v>250.88</v>
      </c>
      <c r="L69" s="100">
        <v>29.89</v>
      </c>
      <c r="M69" s="100">
        <v>65.13</v>
      </c>
      <c r="N69" s="100">
        <v>70.599999999999994</v>
      </c>
      <c r="O69" s="100">
        <v>0</v>
      </c>
      <c r="P69" s="100">
        <v>0.22</v>
      </c>
      <c r="Q69" s="100">
        <v>9.89</v>
      </c>
      <c r="R69" s="6"/>
      <c r="S69" s="6"/>
      <c r="T69" s="156"/>
      <c r="U69" s="6"/>
    </row>
    <row r="70" spans="1:21" customFormat="1">
      <c r="A70" s="163" t="s">
        <v>2029</v>
      </c>
      <c r="B70" s="100">
        <v>3.81</v>
      </c>
      <c r="C70" s="100">
        <v>6.93</v>
      </c>
      <c r="D70" s="100">
        <v>3.12</v>
      </c>
      <c r="E70" s="100">
        <v>5.66</v>
      </c>
      <c r="F70" s="100">
        <v>2.8</v>
      </c>
      <c r="G70" s="100">
        <v>35.33</v>
      </c>
      <c r="H70" s="100">
        <v>5.83</v>
      </c>
      <c r="I70" s="100">
        <v>3.06</v>
      </c>
      <c r="J70" s="100">
        <v>0.64</v>
      </c>
      <c r="K70" s="100">
        <v>249.74</v>
      </c>
      <c r="L70" s="100">
        <v>29.87</v>
      </c>
      <c r="M70" s="100">
        <v>66.09</v>
      </c>
      <c r="N70" s="100">
        <v>68.599999999999994</v>
      </c>
      <c r="O70" s="100">
        <v>0</v>
      </c>
      <c r="P70" s="100">
        <v>0.23</v>
      </c>
      <c r="Q70" s="100">
        <v>9.89</v>
      </c>
      <c r="R70" s="6"/>
      <c r="S70" s="6"/>
      <c r="T70" s="156"/>
      <c r="U70" s="6"/>
    </row>
    <row r="71" spans="1:21" customFormat="1">
      <c r="A71" s="163" t="s">
        <v>2030</v>
      </c>
      <c r="B71" s="100">
        <v>3.8</v>
      </c>
      <c r="C71" s="100">
        <v>6.81</v>
      </c>
      <c r="D71" s="100">
        <v>3.01</v>
      </c>
      <c r="E71" s="100">
        <v>5.68</v>
      </c>
      <c r="F71" s="100">
        <v>3.97</v>
      </c>
      <c r="G71" s="100">
        <v>35.33</v>
      </c>
      <c r="H71" s="100">
        <v>5.83</v>
      </c>
      <c r="I71" s="100">
        <v>3.11</v>
      </c>
      <c r="J71" s="100">
        <v>0.7</v>
      </c>
      <c r="K71" s="100">
        <v>252.47</v>
      </c>
      <c r="L71" s="100">
        <v>29.72</v>
      </c>
      <c r="M71" s="100">
        <v>66.64</v>
      </c>
      <c r="N71" s="100">
        <v>66.599999999999994</v>
      </c>
      <c r="O71" s="100">
        <v>0</v>
      </c>
      <c r="P71" s="100">
        <v>0.24</v>
      </c>
      <c r="Q71" s="100">
        <v>9.89</v>
      </c>
      <c r="R71" s="6"/>
      <c r="S71" s="6"/>
      <c r="T71" s="156"/>
      <c r="U71" s="6"/>
    </row>
    <row r="72" spans="1:21" customFormat="1">
      <c r="A72" s="163" t="s">
        <v>2031</v>
      </c>
      <c r="B72" s="100">
        <v>3.82</v>
      </c>
      <c r="C72" s="100">
        <v>6.76</v>
      </c>
      <c r="D72" s="100">
        <v>2.93</v>
      </c>
      <c r="E72" s="100">
        <v>5.71</v>
      </c>
      <c r="F72" s="100">
        <v>4.13</v>
      </c>
      <c r="G72" s="100">
        <v>35.33</v>
      </c>
      <c r="H72" s="100">
        <v>5.83</v>
      </c>
      <c r="I72" s="100">
        <v>3.14</v>
      </c>
      <c r="J72" s="100">
        <v>0.66</v>
      </c>
      <c r="K72" s="100">
        <v>248.99</v>
      </c>
      <c r="L72" s="100">
        <v>29.76</v>
      </c>
      <c r="M72" s="100">
        <v>66.77</v>
      </c>
      <c r="N72" s="100">
        <v>59.8</v>
      </c>
      <c r="O72" s="100">
        <v>0</v>
      </c>
      <c r="P72" s="100">
        <v>0.23</v>
      </c>
      <c r="Q72" s="100">
        <v>9.89</v>
      </c>
      <c r="R72" s="6"/>
      <c r="S72" s="6"/>
      <c r="T72" s="156"/>
      <c r="U72" s="6"/>
    </row>
    <row r="73" spans="1:21" customFormat="1">
      <c r="A73" s="163" t="s">
        <v>2032</v>
      </c>
      <c r="B73" s="100">
        <v>3.82</v>
      </c>
      <c r="C73" s="100">
        <v>6.85</v>
      </c>
      <c r="D73" s="100">
        <v>3.04</v>
      </c>
      <c r="E73" s="100">
        <v>5.81</v>
      </c>
      <c r="F73" s="100">
        <v>3.31</v>
      </c>
      <c r="G73" s="100">
        <v>36.97</v>
      </c>
      <c r="H73" s="100">
        <v>7.16</v>
      </c>
      <c r="I73" s="100">
        <v>3.06</v>
      </c>
      <c r="J73" s="100">
        <v>0.73</v>
      </c>
      <c r="K73" s="100">
        <v>252.43</v>
      </c>
      <c r="L73" s="100">
        <v>29.79</v>
      </c>
      <c r="M73" s="100">
        <v>66.53</v>
      </c>
      <c r="N73" s="100">
        <v>56.1</v>
      </c>
      <c r="O73" s="100">
        <v>0</v>
      </c>
      <c r="P73" s="100">
        <v>0.24</v>
      </c>
      <c r="Q73" s="100">
        <v>9.9</v>
      </c>
      <c r="R73" s="6"/>
      <c r="S73" s="6"/>
      <c r="T73" s="156"/>
      <c r="U73" s="6"/>
    </row>
    <row r="74" spans="1:21" customFormat="1">
      <c r="A74" s="163" t="s">
        <v>2033</v>
      </c>
      <c r="B74" s="100">
        <v>3.84</v>
      </c>
      <c r="C74" s="100">
        <v>6.99</v>
      </c>
      <c r="D74" s="100">
        <v>3.15</v>
      </c>
      <c r="E74" s="100">
        <v>5.71</v>
      </c>
      <c r="F74" s="100">
        <v>2.87</v>
      </c>
      <c r="G74" s="100">
        <v>41.01</v>
      </c>
      <c r="H74" s="100">
        <v>12.58</v>
      </c>
      <c r="I74" s="100">
        <v>2.97</v>
      </c>
      <c r="J74" s="100">
        <v>0.55000000000000004</v>
      </c>
      <c r="K74" s="100">
        <v>251.81</v>
      </c>
      <c r="L74" s="100">
        <v>29.78</v>
      </c>
      <c r="M74" s="100">
        <v>67.14</v>
      </c>
      <c r="N74" s="100">
        <v>59.4</v>
      </c>
      <c r="O74" s="100">
        <v>0</v>
      </c>
      <c r="P74" s="100">
        <v>0.25</v>
      </c>
      <c r="Q74" s="100">
        <v>9.91</v>
      </c>
      <c r="R74" s="6"/>
      <c r="S74" s="6"/>
      <c r="T74" s="156"/>
      <c r="U74" s="6"/>
    </row>
    <row r="75" spans="1:21" customFormat="1">
      <c r="A75" s="163" t="s">
        <v>2034</v>
      </c>
      <c r="B75" s="100">
        <v>3.89</v>
      </c>
      <c r="C75" s="100">
        <v>6.89</v>
      </c>
      <c r="D75" s="100">
        <v>3</v>
      </c>
      <c r="E75" s="100">
        <v>5.49</v>
      </c>
      <c r="F75" s="100">
        <v>6.98</v>
      </c>
      <c r="G75" s="100">
        <v>41.01</v>
      </c>
      <c r="H75" s="100">
        <v>12.58</v>
      </c>
      <c r="I75" s="100">
        <v>3.01</v>
      </c>
      <c r="J75" s="100">
        <v>0.38</v>
      </c>
      <c r="K75" s="100">
        <v>252.91</v>
      </c>
      <c r="L75" s="100">
        <v>29.76</v>
      </c>
      <c r="M75" s="100">
        <v>67.94</v>
      </c>
      <c r="N75" s="100">
        <v>61.5</v>
      </c>
      <c r="O75" s="100">
        <v>0</v>
      </c>
      <c r="P75" s="100">
        <v>0.28000000000000003</v>
      </c>
      <c r="Q75" s="100">
        <v>9.91</v>
      </c>
      <c r="R75" s="6"/>
      <c r="S75" s="6"/>
      <c r="T75" s="156"/>
      <c r="U75" s="6"/>
    </row>
    <row r="76" spans="1:21" customFormat="1">
      <c r="A76" s="163" t="s">
        <v>2035</v>
      </c>
      <c r="B76" s="100">
        <v>3.95</v>
      </c>
      <c r="C76" s="100">
        <v>6.65</v>
      </c>
      <c r="D76" s="100">
        <v>2.7</v>
      </c>
      <c r="E76" s="100">
        <v>5.24</v>
      </c>
      <c r="F76" s="100">
        <v>8.2899999999999991</v>
      </c>
      <c r="G76" s="100">
        <v>41.01</v>
      </c>
      <c r="H76" s="100">
        <v>12.58</v>
      </c>
      <c r="I76" s="100">
        <v>3.1</v>
      </c>
      <c r="J76" s="100">
        <v>0.52</v>
      </c>
      <c r="K76" s="100">
        <v>250.29</v>
      </c>
      <c r="L76" s="100">
        <v>29.67</v>
      </c>
      <c r="M76" s="100">
        <v>67.98</v>
      </c>
      <c r="N76" s="100">
        <v>47</v>
      </c>
      <c r="O76" s="100">
        <v>0</v>
      </c>
      <c r="P76" s="100">
        <v>0.28000000000000003</v>
      </c>
      <c r="Q76" s="100">
        <v>9.9</v>
      </c>
      <c r="R76" s="6"/>
      <c r="S76" s="6"/>
      <c r="T76" s="156"/>
      <c r="U76" s="6"/>
    </row>
    <row r="77" spans="1:21" customFormat="1">
      <c r="A77" s="163" t="s">
        <v>2036</v>
      </c>
      <c r="B77" s="100">
        <v>3.97</v>
      </c>
      <c r="C77" s="100">
        <v>6.52</v>
      </c>
      <c r="D77" s="100">
        <v>2.5499999999999998</v>
      </c>
      <c r="E77" s="100">
        <v>4.71</v>
      </c>
      <c r="F77" s="100">
        <v>11.17</v>
      </c>
      <c r="G77" s="100">
        <v>40.299999999999997</v>
      </c>
      <c r="H77" s="100">
        <v>12.25</v>
      </c>
      <c r="I77" s="100">
        <v>2.97</v>
      </c>
      <c r="J77" s="100">
        <v>0.39</v>
      </c>
      <c r="K77" s="100">
        <v>248.96</v>
      </c>
      <c r="L77" s="100">
        <v>29.62</v>
      </c>
      <c r="M77" s="100">
        <v>68.38</v>
      </c>
      <c r="N77" s="100">
        <v>30.2</v>
      </c>
      <c r="O77" s="100">
        <v>0</v>
      </c>
      <c r="P77" s="100">
        <v>0.27</v>
      </c>
      <c r="Q77" s="100">
        <v>9.91</v>
      </c>
      <c r="R77" s="6"/>
      <c r="S77" s="6"/>
      <c r="T77" s="156"/>
      <c r="U77" s="6"/>
    </row>
    <row r="78" spans="1:21" customFormat="1">
      <c r="A78" s="163" t="s">
        <v>2037</v>
      </c>
      <c r="B78" s="100">
        <v>4.07</v>
      </c>
      <c r="C78" s="100">
        <v>6.47</v>
      </c>
      <c r="D78" s="100">
        <v>2.39</v>
      </c>
      <c r="E78" s="100">
        <v>4.78</v>
      </c>
      <c r="F78" s="100">
        <v>9.58</v>
      </c>
      <c r="G78" s="100">
        <v>38.53</v>
      </c>
      <c r="H78" s="100">
        <v>11.69</v>
      </c>
      <c r="I78" s="100">
        <v>3.04</v>
      </c>
      <c r="J78" s="100">
        <v>0.5</v>
      </c>
      <c r="K78" s="100">
        <v>247.35</v>
      </c>
      <c r="L78" s="100">
        <v>29.5</v>
      </c>
      <c r="M78" s="100">
        <v>68.180000000000007</v>
      </c>
      <c r="N78" s="100">
        <v>23.8</v>
      </c>
      <c r="O78" s="100">
        <v>0</v>
      </c>
      <c r="P78" s="100">
        <v>0.26</v>
      </c>
      <c r="Q78" s="100">
        <v>9.92</v>
      </c>
      <c r="R78" s="6"/>
      <c r="S78" s="6"/>
      <c r="T78" s="156"/>
      <c r="U78" s="6"/>
    </row>
    <row r="79" spans="1:21" customFormat="1">
      <c r="A79" s="163" t="s">
        <v>2038</v>
      </c>
      <c r="B79" s="100">
        <v>4.08</v>
      </c>
      <c r="C79" s="100">
        <v>6.56</v>
      </c>
      <c r="D79" s="100">
        <v>2.48</v>
      </c>
      <c r="E79" s="100">
        <v>4.18</v>
      </c>
      <c r="F79" s="100">
        <v>7.55</v>
      </c>
      <c r="G79" s="100">
        <v>38.53</v>
      </c>
      <c r="H79" s="100">
        <v>11.69</v>
      </c>
      <c r="I79" s="100">
        <v>2.97</v>
      </c>
      <c r="J79" s="100">
        <v>0.5</v>
      </c>
      <c r="K79" s="100">
        <v>248.23</v>
      </c>
      <c r="L79" s="100">
        <v>29.38</v>
      </c>
      <c r="M79" s="100">
        <v>68.37</v>
      </c>
      <c r="N79" s="100">
        <v>19.2</v>
      </c>
      <c r="O79" s="100">
        <v>0</v>
      </c>
      <c r="P79" s="100">
        <v>0.26</v>
      </c>
      <c r="Q79" s="100">
        <v>9.91</v>
      </c>
      <c r="R79" s="6"/>
      <c r="S79" s="6"/>
      <c r="T79" s="156"/>
      <c r="U79" s="6"/>
    </row>
    <row r="80" spans="1:21" customFormat="1">
      <c r="A80" s="163" t="s">
        <v>2039</v>
      </c>
      <c r="B80" s="100">
        <v>4.12</v>
      </c>
      <c r="C80" s="100">
        <v>6.75</v>
      </c>
      <c r="D80" s="100">
        <v>2.63</v>
      </c>
      <c r="E80" s="100">
        <v>4.78</v>
      </c>
      <c r="F80" s="100">
        <v>4.38</v>
      </c>
      <c r="G80" s="100">
        <v>38.53</v>
      </c>
      <c r="H80" s="100">
        <v>11.69</v>
      </c>
      <c r="I80" s="100">
        <v>3.06</v>
      </c>
      <c r="J80" s="100">
        <v>0.52</v>
      </c>
      <c r="K80" s="100">
        <v>251.97</v>
      </c>
      <c r="L80" s="100">
        <v>29.2</v>
      </c>
      <c r="M80" s="100">
        <v>68.569999999999993</v>
      </c>
      <c r="N80" s="100">
        <v>14.5</v>
      </c>
      <c r="O80" s="100">
        <v>0</v>
      </c>
      <c r="P80" s="100">
        <v>0.28999999999999998</v>
      </c>
      <c r="Q80" s="100">
        <v>9.9</v>
      </c>
      <c r="R80" s="6"/>
      <c r="S80" s="6"/>
      <c r="T80" s="156"/>
      <c r="U80" s="6"/>
    </row>
    <row r="81" spans="1:21" customFormat="1">
      <c r="A81" s="163" t="s">
        <v>2040</v>
      </c>
      <c r="B81" s="100">
        <v>4.16</v>
      </c>
      <c r="C81" s="100">
        <v>6.7</v>
      </c>
      <c r="D81" s="100">
        <v>2.54</v>
      </c>
      <c r="E81" s="100">
        <v>4.13</v>
      </c>
      <c r="F81" s="100">
        <v>8.1199999999999992</v>
      </c>
      <c r="G81" s="100">
        <v>38.47</v>
      </c>
      <c r="H81" s="100">
        <v>10.54</v>
      </c>
      <c r="I81" s="100">
        <v>3.13</v>
      </c>
      <c r="J81" s="100">
        <v>0.59</v>
      </c>
      <c r="K81" s="100">
        <v>255.11</v>
      </c>
      <c r="L81" s="100">
        <v>28.99</v>
      </c>
      <c r="M81" s="100">
        <v>69.45</v>
      </c>
      <c r="N81" s="100">
        <v>9.9</v>
      </c>
      <c r="O81" s="100">
        <v>0</v>
      </c>
      <c r="P81" s="100">
        <v>0.28000000000000003</v>
      </c>
      <c r="Q81" s="100">
        <v>9.91</v>
      </c>
      <c r="R81" s="6"/>
      <c r="S81" s="6"/>
      <c r="T81" s="156"/>
      <c r="U81" s="6"/>
    </row>
    <row r="82" spans="1:21" customFormat="1">
      <c r="A82" s="163" t="s">
        <v>2041</v>
      </c>
      <c r="B82" s="100">
        <v>4.1500000000000004</v>
      </c>
      <c r="C82" s="100">
        <v>6.59</v>
      </c>
      <c r="D82" s="100">
        <v>2.44</v>
      </c>
      <c r="E82" s="100">
        <v>4.6100000000000003</v>
      </c>
      <c r="F82" s="100">
        <v>10.029999999999999</v>
      </c>
      <c r="G82" s="100">
        <v>38.33</v>
      </c>
      <c r="H82" s="100">
        <v>8.64</v>
      </c>
      <c r="I82" s="100">
        <v>3.21</v>
      </c>
      <c r="J82" s="100">
        <v>0.56999999999999995</v>
      </c>
      <c r="K82" s="100">
        <v>255.16</v>
      </c>
      <c r="L82" s="100">
        <v>28.81</v>
      </c>
      <c r="M82" s="100">
        <v>70.290000000000006</v>
      </c>
      <c r="N82" s="100">
        <v>5.7</v>
      </c>
      <c r="O82" s="100">
        <v>0</v>
      </c>
      <c r="P82" s="100">
        <v>0.27</v>
      </c>
      <c r="Q82" s="100">
        <v>9.92</v>
      </c>
      <c r="R82" s="6"/>
      <c r="S82" s="6"/>
      <c r="T82" s="156"/>
      <c r="U82" s="6"/>
    </row>
    <row r="83" spans="1:21" customFormat="1">
      <c r="A83" s="163" t="s">
        <v>2042</v>
      </c>
      <c r="B83" s="100">
        <v>4.13</v>
      </c>
      <c r="C83" s="100">
        <v>6.48</v>
      </c>
      <c r="D83" s="100">
        <v>2.35</v>
      </c>
      <c r="E83" s="100">
        <v>4.75</v>
      </c>
      <c r="F83" s="100">
        <v>9.4600000000000009</v>
      </c>
      <c r="G83" s="100">
        <v>38.33</v>
      </c>
      <c r="H83" s="100">
        <v>8.64</v>
      </c>
      <c r="I83" s="100">
        <v>3.08</v>
      </c>
      <c r="J83" s="100">
        <v>0.45</v>
      </c>
      <c r="K83" s="100">
        <v>259.31</v>
      </c>
      <c r="L83" s="100">
        <v>28.69</v>
      </c>
      <c r="M83" s="100">
        <v>71.16</v>
      </c>
      <c r="N83" s="100">
        <v>3.4</v>
      </c>
      <c r="O83" s="100">
        <v>0</v>
      </c>
      <c r="P83" s="100">
        <v>0.26</v>
      </c>
      <c r="Q83" s="100">
        <v>9.91</v>
      </c>
      <c r="R83" s="6"/>
      <c r="S83" s="6"/>
      <c r="T83" s="156"/>
      <c r="U83" s="6"/>
    </row>
    <row r="84" spans="1:21" customFormat="1">
      <c r="A84" s="163" t="s">
        <v>2043</v>
      </c>
      <c r="B84" s="100">
        <v>4.17</v>
      </c>
      <c r="C84" s="100">
        <v>6.68</v>
      </c>
      <c r="D84" s="100">
        <v>2.5099999999999998</v>
      </c>
      <c r="E84" s="100">
        <v>5.0999999999999996</v>
      </c>
      <c r="F84" s="100">
        <v>4.76</v>
      </c>
      <c r="G84" s="100">
        <v>38.33</v>
      </c>
      <c r="H84" s="100">
        <v>8.64</v>
      </c>
      <c r="I84" s="100">
        <v>2.99</v>
      </c>
      <c r="J84" s="100">
        <v>0.54</v>
      </c>
      <c r="K84" s="100">
        <v>255.64</v>
      </c>
      <c r="L84" s="100">
        <v>28.56</v>
      </c>
      <c r="M84" s="100">
        <v>71.900000000000006</v>
      </c>
      <c r="N84" s="100">
        <v>2.2999999999999998</v>
      </c>
      <c r="O84" s="100">
        <v>0</v>
      </c>
      <c r="P84" s="100">
        <v>0.28999999999999998</v>
      </c>
      <c r="Q84" s="100">
        <v>9.9</v>
      </c>
      <c r="R84" s="6"/>
      <c r="S84" s="6"/>
      <c r="T84" s="156"/>
      <c r="U84" s="6"/>
    </row>
    <row r="85" spans="1:21" customFormat="1">
      <c r="A85" s="163" t="s">
        <v>2044</v>
      </c>
      <c r="B85" s="100">
        <v>4.16</v>
      </c>
      <c r="C85" s="100">
        <v>6.87</v>
      </c>
      <c r="D85" s="100">
        <v>2.71</v>
      </c>
      <c r="E85" s="100">
        <v>5.16</v>
      </c>
      <c r="F85" s="100">
        <v>8.07</v>
      </c>
      <c r="G85" s="100">
        <v>37.979999999999997</v>
      </c>
      <c r="H85" s="100">
        <v>7.78</v>
      </c>
      <c r="I85" s="100">
        <v>3.02</v>
      </c>
      <c r="J85" s="100">
        <v>0.46</v>
      </c>
      <c r="K85" s="100">
        <v>251.89</v>
      </c>
      <c r="L85" s="100">
        <v>28.51</v>
      </c>
      <c r="M85" s="100">
        <v>72.23</v>
      </c>
      <c r="N85" s="100">
        <v>2.1</v>
      </c>
      <c r="O85" s="100">
        <v>0</v>
      </c>
      <c r="P85" s="100">
        <v>0.28999999999999998</v>
      </c>
      <c r="Q85" s="100">
        <v>9.9</v>
      </c>
      <c r="R85" s="6"/>
      <c r="S85" s="6"/>
      <c r="T85" s="156"/>
      <c r="U85" s="6"/>
    </row>
    <row r="86" spans="1:21" customFormat="1">
      <c r="A86" s="163" t="s">
        <v>2045</v>
      </c>
      <c r="B86" s="100">
        <v>4.1399999999999997</v>
      </c>
      <c r="C86" s="100">
        <v>6.71</v>
      </c>
      <c r="D86" s="100">
        <v>2.57</v>
      </c>
      <c r="E86" s="100">
        <v>4.5599999999999996</v>
      </c>
      <c r="F86" s="100">
        <v>9.2100000000000009</v>
      </c>
      <c r="G86" s="100">
        <v>37.11</v>
      </c>
      <c r="H86" s="100">
        <v>6.37</v>
      </c>
      <c r="I86" s="100">
        <v>3.23</v>
      </c>
      <c r="J86" s="100">
        <v>0.26</v>
      </c>
      <c r="K86" s="100">
        <v>252.11</v>
      </c>
      <c r="L86" s="100">
        <v>28.42</v>
      </c>
      <c r="M86" s="100">
        <v>73.16</v>
      </c>
      <c r="N86" s="100">
        <v>2.1</v>
      </c>
      <c r="O86" s="100">
        <v>0</v>
      </c>
      <c r="P86" s="100">
        <v>0.27</v>
      </c>
      <c r="Q86" s="100">
        <v>9.89</v>
      </c>
      <c r="R86" s="6"/>
      <c r="S86" s="6"/>
      <c r="T86" s="156"/>
      <c r="U86" s="6"/>
    </row>
    <row r="87" spans="1:21" customFormat="1">
      <c r="A87" s="163" t="s">
        <v>2046</v>
      </c>
      <c r="B87" s="100">
        <v>4.1900000000000004</v>
      </c>
      <c r="C87" s="100">
        <v>6.7</v>
      </c>
      <c r="D87" s="100">
        <v>2.52</v>
      </c>
      <c r="E87" s="100">
        <v>4.84</v>
      </c>
      <c r="F87" s="100">
        <v>4.79</v>
      </c>
      <c r="G87" s="100">
        <v>37.11</v>
      </c>
      <c r="H87" s="100">
        <v>6.37</v>
      </c>
      <c r="I87" s="100">
        <v>3.14</v>
      </c>
      <c r="J87" s="100">
        <v>0.56000000000000005</v>
      </c>
      <c r="K87" s="100">
        <v>254.37</v>
      </c>
      <c r="L87" s="100">
        <v>28.4</v>
      </c>
      <c r="M87" s="100">
        <v>73.290000000000006</v>
      </c>
      <c r="N87" s="100">
        <v>2</v>
      </c>
      <c r="O87" s="100">
        <v>0</v>
      </c>
      <c r="P87" s="100">
        <v>0.28000000000000003</v>
      </c>
      <c r="Q87" s="100">
        <v>9.91</v>
      </c>
      <c r="R87" s="6"/>
      <c r="S87" s="6"/>
      <c r="T87" s="156"/>
      <c r="U87" s="6"/>
    </row>
    <row r="88" spans="1:21" customFormat="1">
      <c r="A88" s="163" t="s">
        <v>2047</v>
      </c>
      <c r="B88" s="100">
        <v>4.25</v>
      </c>
      <c r="C88" s="100">
        <v>6.92</v>
      </c>
      <c r="D88" s="100">
        <v>2.67</v>
      </c>
      <c r="E88" s="100">
        <v>4.9400000000000004</v>
      </c>
      <c r="F88" s="100">
        <v>6.12</v>
      </c>
      <c r="G88" s="100">
        <v>37.11</v>
      </c>
      <c r="H88" s="100">
        <v>6.37</v>
      </c>
      <c r="I88" s="100">
        <v>3.14</v>
      </c>
      <c r="J88" s="100">
        <v>0.42</v>
      </c>
      <c r="K88" s="100">
        <v>251.37</v>
      </c>
      <c r="L88" s="100">
        <v>28.36</v>
      </c>
      <c r="M88" s="100">
        <v>73.58</v>
      </c>
      <c r="N88" s="100">
        <v>2.1</v>
      </c>
      <c r="O88" s="100">
        <v>0</v>
      </c>
      <c r="P88" s="100">
        <v>0.3</v>
      </c>
      <c r="Q88" s="100">
        <v>9.89</v>
      </c>
      <c r="R88" s="6"/>
      <c r="S88" s="6"/>
      <c r="T88" s="156"/>
      <c r="U88" s="6"/>
    </row>
    <row r="89" spans="1:21" customFormat="1">
      <c r="A89" s="163" t="s">
        <v>2048</v>
      </c>
      <c r="B89" s="100">
        <v>4.28</v>
      </c>
      <c r="C89" s="100">
        <v>6.84</v>
      </c>
      <c r="D89" s="100">
        <v>2.56</v>
      </c>
      <c r="E89" s="100">
        <v>4.66</v>
      </c>
      <c r="F89" s="100">
        <v>8.67</v>
      </c>
      <c r="G89" s="100">
        <v>36.44</v>
      </c>
      <c r="H89" s="100">
        <v>7.48</v>
      </c>
      <c r="I89" s="100">
        <v>3.37</v>
      </c>
      <c r="J89" s="100">
        <v>0.33</v>
      </c>
      <c r="K89" s="100">
        <v>245.1</v>
      </c>
      <c r="L89" s="100">
        <v>28.23</v>
      </c>
      <c r="M89" s="100">
        <v>74.94</v>
      </c>
      <c r="N89" s="100">
        <v>2</v>
      </c>
      <c r="O89" s="100">
        <v>0</v>
      </c>
      <c r="P89" s="100">
        <v>0.28000000000000003</v>
      </c>
      <c r="Q89" s="100">
        <v>9.91</v>
      </c>
      <c r="R89" s="6"/>
      <c r="S89" s="6"/>
      <c r="T89" s="156"/>
      <c r="U89" s="6"/>
    </row>
    <row r="90" spans="1:21" customFormat="1">
      <c r="A90" s="163" t="s">
        <v>2049</v>
      </c>
      <c r="B90" s="100">
        <v>4.34</v>
      </c>
      <c r="C90" s="100">
        <v>6.72</v>
      </c>
      <c r="D90" s="100">
        <v>2.38</v>
      </c>
      <c r="E90" s="100">
        <v>4.6500000000000004</v>
      </c>
      <c r="F90" s="100">
        <v>4.28</v>
      </c>
      <c r="G90" s="100">
        <v>34.79</v>
      </c>
      <c r="H90" s="100">
        <v>9.2899999999999991</v>
      </c>
      <c r="I90" s="100">
        <v>3.34</v>
      </c>
      <c r="J90" s="100">
        <v>0.27</v>
      </c>
      <c r="K90" s="100">
        <v>255.69</v>
      </c>
      <c r="L90" s="100">
        <v>27.9</v>
      </c>
      <c r="M90" s="100">
        <v>78.14</v>
      </c>
      <c r="N90" s="100">
        <v>1.6</v>
      </c>
      <c r="O90" s="100">
        <v>0</v>
      </c>
      <c r="P90" s="100">
        <v>0.28000000000000003</v>
      </c>
      <c r="Q90" s="100">
        <v>9.91</v>
      </c>
      <c r="R90" s="6"/>
      <c r="S90" s="6"/>
      <c r="T90" s="156"/>
      <c r="U90" s="6"/>
    </row>
    <row r="91" spans="1:21" customFormat="1">
      <c r="A91" s="163" t="s">
        <v>2050</v>
      </c>
      <c r="B91" s="100">
        <v>4.34</v>
      </c>
      <c r="C91" s="100">
        <v>6.96</v>
      </c>
      <c r="D91" s="100">
        <v>2.62</v>
      </c>
      <c r="E91" s="100">
        <v>5.12</v>
      </c>
      <c r="F91" s="100">
        <v>5.14</v>
      </c>
      <c r="G91" s="100">
        <v>34.79</v>
      </c>
      <c r="H91" s="100">
        <v>9.2899999999999991</v>
      </c>
      <c r="I91" s="100">
        <v>3.29</v>
      </c>
      <c r="J91" s="100">
        <v>0.19</v>
      </c>
      <c r="K91" s="100">
        <v>253.65</v>
      </c>
      <c r="L91" s="100">
        <v>27.58</v>
      </c>
      <c r="M91" s="100">
        <v>80.930000000000007</v>
      </c>
      <c r="N91" s="100">
        <v>1.8</v>
      </c>
      <c r="O91" s="100">
        <v>0</v>
      </c>
      <c r="P91" s="100">
        <v>0.3</v>
      </c>
      <c r="Q91" s="100">
        <v>9.91</v>
      </c>
      <c r="R91" s="6"/>
      <c r="S91" s="6"/>
      <c r="T91" s="156"/>
      <c r="U91" s="6"/>
    </row>
    <row r="92" spans="1:21" customFormat="1">
      <c r="A92" s="163" t="s">
        <v>2051</v>
      </c>
      <c r="B92" s="100">
        <v>4.38</v>
      </c>
      <c r="C92" s="100">
        <v>6.92</v>
      </c>
      <c r="D92" s="100">
        <v>2.54</v>
      </c>
      <c r="E92" s="100">
        <v>4.9800000000000004</v>
      </c>
      <c r="F92" s="100">
        <v>5.16</v>
      </c>
      <c r="G92" s="100">
        <v>34.79</v>
      </c>
      <c r="H92" s="100">
        <v>9.2899999999999991</v>
      </c>
      <c r="I92" s="100">
        <v>3.38</v>
      </c>
      <c r="J92" s="100">
        <v>0.24</v>
      </c>
      <c r="K92" s="100">
        <v>253.77</v>
      </c>
      <c r="L92" s="100">
        <v>27.22</v>
      </c>
      <c r="M92" s="100">
        <v>83.8</v>
      </c>
      <c r="N92" s="100">
        <v>0.9</v>
      </c>
      <c r="O92" s="100">
        <v>0</v>
      </c>
      <c r="P92" s="100">
        <v>0.28999999999999998</v>
      </c>
      <c r="Q92" s="100">
        <v>9.91</v>
      </c>
      <c r="R92" s="6"/>
      <c r="S92" s="6"/>
      <c r="T92" s="156"/>
      <c r="U92" s="6"/>
    </row>
    <row r="93" spans="1:21" customFormat="1">
      <c r="A93" s="163" t="s">
        <v>2052</v>
      </c>
      <c r="B93" s="100">
        <v>4.45</v>
      </c>
      <c r="C93" s="100">
        <v>6.77</v>
      </c>
      <c r="D93" s="100">
        <v>2.3199999999999998</v>
      </c>
      <c r="E93" s="100">
        <v>4.67</v>
      </c>
      <c r="F93" s="100">
        <v>3.92</v>
      </c>
      <c r="G93" s="100">
        <v>35.229999999999997</v>
      </c>
      <c r="H93" s="100">
        <v>9.17</v>
      </c>
      <c r="I93" s="100">
        <v>3.38</v>
      </c>
      <c r="J93" s="100">
        <v>0.51</v>
      </c>
      <c r="K93" s="100">
        <v>250.68</v>
      </c>
      <c r="L93" s="100">
        <v>27.16</v>
      </c>
      <c r="M93" s="100">
        <v>83.84</v>
      </c>
      <c r="N93" s="100">
        <v>0.8</v>
      </c>
      <c r="O93" s="100">
        <v>0</v>
      </c>
      <c r="P93" s="100">
        <v>0.28999999999999998</v>
      </c>
      <c r="Q93" s="100">
        <v>9.92</v>
      </c>
      <c r="R93" s="6"/>
      <c r="S93" s="6"/>
      <c r="T93" s="156"/>
      <c r="U93" s="6"/>
    </row>
    <row r="94" spans="1:21" customFormat="1">
      <c r="A94" s="163" t="s">
        <v>2053</v>
      </c>
      <c r="B94" s="100">
        <v>4.5</v>
      </c>
      <c r="C94" s="100">
        <v>7.32</v>
      </c>
      <c r="D94" s="100">
        <v>2.82</v>
      </c>
      <c r="E94" s="100">
        <v>5.25</v>
      </c>
      <c r="F94" s="100">
        <v>2.91</v>
      </c>
      <c r="G94" s="100">
        <v>36.29</v>
      </c>
      <c r="H94" s="100">
        <v>8.98</v>
      </c>
      <c r="I94" s="100">
        <v>3.37</v>
      </c>
      <c r="J94" s="100">
        <v>0.52</v>
      </c>
      <c r="K94" s="100">
        <v>251.27</v>
      </c>
      <c r="L94" s="100">
        <v>27.21</v>
      </c>
      <c r="M94" s="100">
        <v>83.72</v>
      </c>
      <c r="N94" s="100">
        <v>0.5</v>
      </c>
      <c r="O94" s="100">
        <v>0</v>
      </c>
      <c r="P94" s="100">
        <v>0.28000000000000003</v>
      </c>
      <c r="Q94" s="100">
        <v>9.89</v>
      </c>
      <c r="R94" s="6"/>
      <c r="S94" s="6"/>
      <c r="T94" s="156"/>
      <c r="U94" s="6"/>
    </row>
    <row r="95" spans="1:21" customFormat="1">
      <c r="A95" s="163" t="s">
        <v>2054</v>
      </c>
      <c r="B95" s="100">
        <v>4.47</v>
      </c>
      <c r="C95" s="100">
        <v>7.59</v>
      </c>
      <c r="D95" s="100">
        <v>3.13</v>
      </c>
      <c r="E95" s="100">
        <v>5.53</v>
      </c>
      <c r="F95" s="100">
        <v>2.37</v>
      </c>
      <c r="G95" s="100">
        <v>36.29</v>
      </c>
      <c r="H95" s="100">
        <v>8.98</v>
      </c>
      <c r="I95" s="100">
        <v>3.45</v>
      </c>
      <c r="J95" s="100">
        <v>0.6</v>
      </c>
      <c r="K95" s="100">
        <v>254.94</v>
      </c>
      <c r="L95" s="100">
        <v>27.22</v>
      </c>
      <c r="M95" s="100">
        <v>83.75</v>
      </c>
      <c r="N95" s="100">
        <v>0.7</v>
      </c>
      <c r="O95" s="100">
        <v>0</v>
      </c>
      <c r="P95" s="100">
        <v>0.27</v>
      </c>
      <c r="Q95" s="100">
        <v>9.89</v>
      </c>
      <c r="R95" s="6"/>
      <c r="S95" s="6"/>
      <c r="T95" s="156"/>
      <c r="U95" s="6"/>
    </row>
    <row r="96" spans="1:21" customFormat="1">
      <c r="A96" s="163" t="s">
        <v>2055</v>
      </c>
      <c r="B96" s="100">
        <v>4.3499999999999996</v>
      </c>
      <c r="C96" s="100">
        <v>7.53</v>
      </c>
      <c r="D96" s="100">
        <v>3.19</v>
      </c>
      <c r="E96" s="100">
        <v>5.94</v>
      </c>
      <c r="F96" s="100">
        <v>2.4900000000000002</v>
      </c>
      <c r="G96" s="100">
        <v>36.29</v>
      </c>
      <c r="H96" s="100">
        <v>8.98</v>
      </c>
      <c r="I96" s="100">
        <v>3.59</v>
      </c>
      <c r="J96" s="100">
        <v>0.46</v>
      </c>
      <c r="K96" s="100">
        <v>251.32</v>
      </c>
      <c r="L96" s="100">
        <v>27.14</v>
      </c>
      <c r="M96" s="100">
        <v>84.9</v>
      </c>
      <c r="N96" s="100">
        <v>1.3</v>
      </c>
      <c r="O96" s="100">
        <v>0</v>
      </c>
      <c r="P96" s="100">
        <v>0.26</v>
      </c>
      <c r="Q96" s="100">
        <v>9.91</v>
      </c>
      <c r="R96" s="6"/>
      <c r="S96" s="6"/>
      <c r="T96" s="156"/>
      <c r="U96" s="6"/>
    </row>
    <row r="97" spans="1:28" customFormat="1">
      <c r="A97" s="163" t="s">
        <v>2056</v>
      </c>
      <c r="B97" s="100">
        <v>4.2699999999999996</v>
      </c>
      <c r="C97" s="100">
        <v>7.43</v>
      </c>
      <c r="D97" s="100">
        <v>3.16</v>
      </c>
      <c r="E97" s="100">
        <v>6.02</v>
      </c>
      <c r="F97" s="100">
        <v>2.99</v>
      </c>
      <c r="G97" s="100">
        <v>34.950000000000003</v>
      </c>
      <c r="H97" s="100">
        <v>9.6</v>
      </c>
      <c r="I97" s="100">
        <v>3.54</v>
      </c>
      <c r="J97" s="100">
        <v>0.42</v>
      </c>
      <c r="K97" s="100">
        <v>252.63</v>
      </c>
      <c r="L97" s="100">
        <v>26.93</v>
      </c>
      <c r="M97" s="100">
        <v>86.61</v>
      </c>
      <c r="N97" s="100">
        <v>1.2</v>
      </c>
      <c r="O97" s="100">
        <v>0</v>
      </c>
      <c r="P97" s="100">
        <v>0.26</v>
      </c>
      <c r="Q97" s="100">
        <v>9.9</v>
      </c>
      <c r="R97" s="6"/>
      <c r="S97" s="6"/>
      <c r="T97" s="156"/>
      <c r="U97" s="6"/>
    </row>
    <row r="98" spans="1:28" customFormat="1">
      <c r="A98" s="163" t="s">
        <v>2057</v>
      </c>
      <c r="B98" s="100">
        <v>4.24</v>
      </c>
      <c r="C98" s="100">
        <v>7.5</v>
      </c>
      <c r="D98" s="100">
        <v>3.26</v>
      </c>
      <c r="E98" s="100">
        <v>5.9</v>
      </c>
      <c r="F98" s="100">
        <v>2.76</v>
      </c>
      <c r="G98" s="100">
        <v>31.64</v>
      </c>
      <c r="H98" s="100">
        <v>12.18</v>
      </c>
      <c r="I98" s="100">
        <v>3.44</v>
      </c>
      <c r="J98" s="100">
        <v>0.4</v>
      </c>
      <c r="K98" s="100">
        <v>256.64999999999998</v>
      </c>
      <c r="L98" s="100">
        <v>26.58</v>
      </c>
      <c r="M98" s="100">
        <v>89.46</v>
      </c>
      <c r="N98" s="100">
        <v>1.7</v>
      </c>
      <c r="O98" s="100">
        <v>0</v>
      </c>
      <c r="P98" s="100">
        <v>0.26</v>
      </c>
      <c r="Q98" s="100">
        <v>9.92</v>
      </c>
      <c r="R98" s="6"/>
      <c r="S98" s="6"/>
      <c r="T98" s="156"/>
      <c r="U98" s="6"/>
    </row>
    <row r="99" spans="1:28" customFormat="1">
      <c r="A99" s="163" t="s">
        <v>2058</v>
      </c>
      <c r="B99" s="100">
        <v>4.25</v>
      </c>
      <c r="C99" s="100">
        <v>7.41</v>
      </c>
      <c r="D99" s="100">
        <v>3.16</v>
      </c>
      <c r="E99" s="100">
        <v>6.27</v>
      </c>
      <c r="F99" s="100">
        <v>3.17</v>
      </c>
      <c r="G99" s="100">
        <v>31.64</v>
      </c>
      <c r="H99" s="100">
        <v>12.18</v>
      </c>
      <c r="I99" s="100">
        <v>3.35</v>
      </c>
      <c r="J99" s="100">
        <v>0.41</v>
      </c>
      <c r="K99" s="100">
        <v>252.75</v>
      </c>
      <c r="L99" s="100">
        <v>26.56</v>
      </c>
      <c r="M99" s="100">
        <v>89.96</v>
      </c>
      <c r="N99" s="100">
        <v>1.6</v>
      </c>
      <c r="O99" s="100">
        <v>0.2</v>
      </c>
      <c r="P99" s="100">
        <v>0.26</v>
      </c>
      <c r="Q99" s="100">
        <v>9.91</v>
      </c>
      <c r="R99" s="6"/>
      <c r="S99" s="6"/>
      <c r="T99" s="156"/>
      <c r="U99" s="6"/>
    </row>
    <row r="100" spans="1:28" customFormat="1">
      <c r="A100" s="163" t="s">
        <v>2059</v>
      </c>
      <c r="B100" s="100">
        <v>4.2</v>
      </c>
      <c r="C100" s="100">
        <v>7.36</v>
      </c>
      <c r="D100" s="100">
        <v>3.16</v>
      </c>
      <c r="E100" s="100">
        <v>5.92</v>
      </c>
      <c r="F100" s="100">
        <v>2.87</v>
      </c>
      <c r="G100" s="100">
        <v>31.64</v>
      </c>
      <c r="H100" s="100">
        <v>12.18</v>
      </c>
      <c r="I100" s="100">
        <v>3.3</v>
      </c>
      <c r="J100" s="100">
        <v>0.55000000000000004</v>
      </c>
      <c r="K100" s="100">
        <v>250.94</v>
      </c>
      <c r="L100" s="100">
        <v>26.52</v>
      </c>
      <c r="M100" s="100">
        <v>90.26</v>
      </c>
      <c r="N100" s="100">
        <v>1.3</v>
      </c>
      <c r="O100" s="100">
        <v>0</v>
      </c>
      <c r="P100" s="100">
        <v>0.25</v>
      </c>
      <c r="Q100" s="100">
        <v>9.9</v>
      </c>
      <c r="R100" s="6"/>
      <c r="S100" s="6"/>
      <c r="T100" s="156"/>
      <c r="U100" s="6"/>
      <c r="AB100" s="161"/>
    </row>
    <row r="101" spans="1:28" customFormat="1">
      <c r="A101" s="163" t="s">
        <v>2060</v>
      </c>
      <c r="B101" s="100">
        <v>4.1900000000000004</v>
      </c>
      <c r="C101" s="100">
        <v>7.28</v>
      </c>
      <c r="D101" s="100">
        <v>3.09</v>
      </c>
      <c r="E101" s="100">
        <v>6.23</v>
      </c>
      <c r="F101" s="100">
        <v>2.92</v>
      </c>
      <c r="G101" s="100">
        <v>33.130000000000003</v>
      </c>
      <c r="H101" s="100">
        <v>10.94</v>
      </c>
      <c r="I101" s="100">
        <v>3.27</v>
      </c>
      <c r="J101" s="100">
        <v>0.45</v>
      </c>
      <c r="K101" s="100">
        <v>247.93</v>
      </c>
      <c r="L101" s="100">
        <v>26.56</v>
      </c>
      <c r="M101" s="100">
        <v>90.08</v>
      </c>
      <c r="N101" s="100">
        <v>0.9</v>
      </c>
      <c r="O101" s="100">
        <v>0</v>
      </c>
      <c r="P101" s="100">
        <v>0.27</v>
      </c>
      <c r="Q101" s="100">
        <v>9.89</v>
      </c>
      <c r="R101" s="6"/>
      <c r="S101" s="6"/>
      <c r="T101" s="156"/>
      <c r="U101" s="6"/>
    </row>
    <row r="102" spans="1:28" customFormat="1">
      <c r="A102" s="163" t="s">
        <v>2061</v>
      </c>
      <c r="B102" s="100">
        <v>4.24</v>
      </c>
      <c r="C102" s="100">
        <v>7.29</v>
      </c>
      <c r="D102" s="100">
        <v>3.04</v>
      </c>
      <c r="E102" s="100">
        <v>6.2</v>
      </c>
      <c r="F102" s="100">
        <v>3.34</v>
      </c>
      <c r="G102" s="100">
        <v>36.81</v>
      </c>
      <c r="H102" s="100">
        <v>8.91</v>
      </c>
      <c r="I102" s="100">
        <v>3.27</v>
      </c>
      <c r="J102" s="100">
        <v>0.9</v>
      </c>
      <c r="K102" s="100">
        <v>257.48</v>
      </c>
      <c r="L102" s="100">
        <v>26.78</v>
      </c>
      <c r="M102" s="100">
        <v>87.65</v>
      </c>
      <c r="N102" s="100">
        <v>0.9</v>
      </c>
      <c r="O102" s="100">
        <v>0</v>
      </c>
      <c r="P102" s="100">
        <v>0.26</v>
      </c>
      <c r="Q102" s="100">
        <v>9.89</v>
      </c>
      <c r="R102" s="6"/>
      <c r="S102" s="6"/>
      <c r="T102" s="156"/>
      <c r="U102" s="6"/>
    </row>
    <row r="103" spans="1:28" customFormat="1">
      <c r="A103" s="163" t="s">
        <v>2062</v>
      </c>
      <c r="B103" s="100">
        <v>4.1900000000000004</v>
      </c>
      <c r="C103" s="100">
        <v>7.14</v>
      </c>
      <c r="D103" s="100">
        <v>2.95</v>
      </c>
      <c r="E103" s="100">
        <v>6.31</v>
      </c>
      <c r="F103" s="100">
        <v>3.78</v>
      </c>
      <c r="G103" s="100">
        <v>36.81</v>
      </c>
      <c r="H103" s="100">
        <v>8.91</v>
      </c>
      <c r="I103" s="100">
        <v>3.22</v>
      </c>
      <c r="J103" s="100">
        <v>1.2</v>
      </c>
      <c r="K103" s="100">
        <v>256.11</v>
      </c>
      <c r="L103" s="100">
        <v>26.88</v>
      </c>
      <c r="M103" s="100">
        <v>84.21</v>
      </c>
      <c r="N103" s="100">
        <v>2</v>
      </c>
      <c r="O103" s="100">
        <v>0</v>
      </c>
      <c r="P103" s="100">
        <v>0.25</v>
      </c>
      <c r="Q103" s="100">
        <v>9.89</v>
      </c>
      <c r="R103" s="6"/>
      <c r="S103" s="6"/>
      <c r="T103" s="156"/>
      <c r="U103" s="6"/>
    </row>
    <row r="104" spans="1:28" customFormat="1">
      <c r="A104" s="163" t="s">
        <v>2063</v>
      </c>
      <c r="B104" s="100">
        <v>4.0599999999999996</v>
      </c>
      <c r="C104" s="100">
        <v>7.1</v>
      </c>
      <c r="D104" s="100">
        <v>3.04</v>
      </c>
      <c r="E104" s="100">
        <v>6.2</v>
      </c>
      <c r="F104" s="100">
        <v>3.45</v>
      </c>
      <c r="G104" s="100">
        <v>36.81</v>
      </c>
      <c r="H104" s="100">
        <v>8.91</v>
      </c>
      <c r="I104" s="100">
        <v>3.21</v>
      </c>
      <c r="J104" s="100">
        <v>1.34</v>
      </c>
      <c r="K104" s="100">
        <v>256.22000000000003</v>
      </c>
      <c r="L104" s="100">
        <v>26.24</v>
      </c>
      <c r="M104" s="100">
        <v>81.98</v>
      </c>
      <c r="N104" s="100">
        <v>2.9</v>
      </c>
      <c r="O104" s="100">
        <v>0</v>
      </c>
      <c r="P104" s="100">
        <v>0.25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</v>
      </c>
      <c r="C106" s="158">
        <f>MIN(C9:C104)</f>
        <v>6.28</v>
      </c>
      <c r="D106" s="158">
        <f t="shared" ref="D106:Q106" si="0">MIN(D9:D104)</f>
        <v>1.99</v>
      </c>
      <c r="E106" s="158">
        <f t="shared" si="0"/>
        <v>3.6</v>
      </c>
      <c r="F106" s="158">
        <f t="shared" si="0"/>
        <v>2.1800000000000002</v>
      </c>
      <c r="G106" s="158">
        <f t="shared" si="0"/>
        <v>21.79</v>
      </c>
      <c r="H106" s="158">
        <f t="shared" si="0"/>
        <v>4.13</v>
      </c>
      <c r="I106" s="158">
        <f t="shared" si="0"/>
        <v>2.97</v>
      </c>
      <c r="J106" s="158">
        <f t="shared" si="0"/>
        <v>0.15</v>
      </c>
      <c r="K106" s="158">
        <f t="shared" si="0"/>
        <v>229.02</v>
      </c>
      <c r="L106" s="158">
        <f t="shared" si="0"/>
        <v>26.24</v>
      </c>
      <c r="M106" s="158">
        <f t="shared" si="0"/>
        <v>63.36</v>
      </c>
      <c r="N106" s="158">
        <f t="shared" si="0"/>
        <v>0.5</v>
      </c>
      <c r="O106" s="158">
        <f t="shared" si="0"/>
        <v>0</v>
      </c>
      <c r="P106" s="158">
        <f t="shared" si="0"/>
        <v>0.16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5.21</v>
      </c>
      <c r="C107" s="157">
        <f t="shared" ref="C107:Q107" si="1">MAX(C9:C104)</f>
        <v>7.98</v>
      </c>
      <c r="D107" s="157">
        <f t="shared" si="1"/>
        <v>3.55</v>
      </c>
      <c r="E107" s="157">
        <f t="shared" si="1"/>
        <v>6.31</v>
      </c>
      <c r="F107" s="157">
        <f t="shared" si="1"/>
        <v>11.17</v>
      </c>
      <c r="G107" s="157">
        <f t="shared" si="1"/>
        <v>54.68</v>
      </c>
      <c r="H107" s="157">
        <f t="shared" si="1"/>
        <v>12.58</v>
      </c>
      <c r="I107" s="157">
        <f t="shared" si="1"/>
        <v>4.0199999999999996</v>
      </c>
      <c r="J107" s="157">
        <f t="shared" si="1"/>
        <v>1.34</v>
      </c>
      <c r="K107" s="157">
        <f t="shared" si="1"/>
        <v>261.95999999999998</v>
      </c>
      <c r="L107" s="157">
        <f t="shared" si="1"/>
        <v>30.33</v>
      </c>
      <c r="M107" s="157">
        <f t="shared" si="1"/>
        <v>90.26</v>
      </c>
      <c r="N107" s="157">
        <f t="shared" si="1"/>
        <v>165.2</v>
      </c>
      <c r="O107" s="157">
        <f t="shared" si="1"/>
        <v>0.2</v>
      </c>
      <c r="P107" s="157">
        <f t="shared" si="1"/>
        <v>0.3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4.3128124999999988</v>
      </c>
      <c r="C108" s="158">
        <f t="shared" ref="C108:Q108" si="2">AVERAGE(C9:C104)</f>
        <v>7.2181249999999997</v>
      </c>
      <c r="D108" s="158">
        <f t="shared" si="2"/>
        <v>2.9056250000000006</v>
      </c>
      <c r="E108" s="158">
        <f t="shared" si="2"/>
        <v>5.0428124999999993</v>
      </c>
      <c r="F108" s="158">
        <f t="shared" si="2"/>
        <v>4.1377083333333333</v>
      </c>
      <c r="G108" s="158">
        <f t="shared" si="2"/>
        <v>35.038020833333334</v>
      </c>
      <c r="H108" s="158">
        <f t="shared" si="2"/>
        <v>8.0545833333333281</v>
      </c>
      <c r="I108" s="158">
        <f t="shared" si="2"/>
        <v>3.3859374999999989</v>
      </c>
      <c r="J108" s="158">
        <f t="shared" si="2"/>
        <v>0.58625000000000016</v>
      </c>
      <c r="K108" s="158">
        <f t="shared" si="2"/>
        <v>251.00229166666659</v>
      </c>
      <c r="L108" s="158">
        <f t="shared" si="2"/>
        <v>28.599791666666658</v>
      </c>
      <c r="M108" s="158">
        <f t="shared" si="2"/>
        <v>73.867291666666645</v>
      </c>
      <c r="N108" s="158">
        <f t="shared" si="2"/>
        <v>47.131249999999994</v>
      </c>
      <c r="O108" s="158">
        <f t="shared" si="2"/>
        <v>4.1666666666666666E-3</v>
      </c>
      <c r="P108" s="158">
        <f t="shared" si="2"/>
        <v>0.22541666666666682</v>
      </c>
      <c r="Q108" s="158">
        <f t="shared" si="2"/>
        <v>9.9072916666666586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0.37976364706430094</v>
      </c>
      <c r="C109" s="158">
        <f t="shared" ref="C109:Q109" si="3">STDEV(C9:C104)</f>
        <v>0.37703919243439271</v>
      </c>
      <c r="D109" s="158">
        <f t="shared" si="3"/>
        <v>0.37191626816571827</v>
      </c>
      <c r="E109" s="158">
        <f t="shared" si="3"/>
        <v>0.60902977738108655</v>
      </c>
      <c r="F109" s="158">
        <f t="shared" si="3"/>
        <v>2.0164504922559612</v>
      </c>
      <c r="G109" s="158">
        <f t="shared" si="3"/>
        <v>6.4529553604354</v>
      </c>
      <c r="H109" s="158">
        <f t="shared" si="3"/>
        <v>2.1386379909045901</v>
      </c>
      <c r="I109" s="158">
        <f t="shared" si="3"/>
        <v>0.25770884479235584</v>
      </c>
      <c r="J109" s="158">
        <f t="shared" si="3"/>
        <v>0.27178648740664413</v>
      </c>
      <c r="K109" s="158">
        <f t="shared" si="3"/>
        <v>5.5996683133287659</v>
      </c>
      <c r="L109" s="158">
        <f t="shared" si="3"/>
        <v>1.1065374911399279</v>
      </c>
      <c r="M109" s="158">
        <f t="shared" si="3"/>
        <v>8.0833326216316408</v>
      </c>
      <c r="N109" s="158">
        <f t="shared" si="3"/>
        <v>55.905940391452411</v>
      </c>
      <c r="O109" s="158">
        <f t="shared" si="3"/>
        <v>2.8715177232759195E-2</v>
      </c>
      <c r="P109" s="158">
        <f t="shared" si="3"/>
        <v>4.1190613817550438E-2</v>
      </c>
      <c r="Q109" s="158">
        <f t="shared" si="3"/>
        <v>1.2006942436218335E-2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J18" sqref="J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2064</v>
      </c>
      <c r="B9" s="100">
        <v>4.01</v>
      </c>
      <c r="C9" s="100">
        <v>7.33</v>
      </c>
      <c r="D9" s="100">
        <v>3.32</v>
      </c>
      <c r="E9" s="100">
        <v>6.23</v>
      </c>
      <c r="F9" s="100">
        <v>3.68</v>
      </c>
      <c r="G9" s="100">
        <v>33.619999999999997</v>
      </c>
      <c r="H9" s="100">
        <v>7.89</v>
      </c>
      <c r="I9" s="100">
        <v>3.15</v>
      </c>
      <c r="J9" s="100">
        <v>1.02</v>
      </c>
      <c r="K9" s="100">
        <v>254.99</v>
      </c>
      <c r="L9" s="100">
        <v>25.86</v>
      </c>
      <c r="M9" s="100">
        <v>83.17</v>
      </c>
      <c r="N9" s="100">
        <v>2.6</v>
      </c>
      <c r="O9" s="100">
        <v>0</v>
      </c>
      <c r="P9" s="100">
        <v>0.25</v>
      </c>
      <c r="Q9" s="100">
        <v>9.89</v>
      </c>
      <c r="R9" s="6"/>
      <c r="S9" s="6"/>
      <c r="T9" s="156"/>
      <c r="U9" s="6"/>
    </row>
    <row r="10" spans="1:21" customFormat="1">
      <c r="A10" s="163" t="s">
        <v>2065</v>
      </c>
      <c r="B10" s="100">
        <v>3.97</v>
      </c>
      <c r="C10" s="100">
        <v>7.13</v>
      </c>
      <c r="D10" s="100">
        <v>3.15</v>
      </c>
      <c r="E10" s="100">
        <v>6.14</v>
      </c>
      <c r="F10" s="100">
        <v>3.52</v>
      </c>
      <c r="G10" s="100">
        <v>25.77</v>
      </c>
      <c r="H10" s="100">
        <v>6.23</v>
      </c>
      <c r="I10" s="100">
        <v>3.12</v>
      </c>
      <c r="J10" s="100">
        <v>1.1200000000000001</v>
      </c>
      <c r="K10" s="100">
        <v>252.2</v>
      </c>
      <c r="L10" s="100">
        <v>25.53</v>
      </c>
      <c r="M10" s="100">
        <v>84.61</v>
      </c>
      <c r="N10" s="100">
        <v>2</v>
      </c>
      <c r="O10" s="100">
        <v>0</v>
      </c>
      <c r="P10" s="100">
        <v>0.25</v>
      </c>
      <c r="Q10" s="100">
        <v>9.9</v>
      </c>
      <c r="R10" s="6"/>
      <c r="S10" s="6"/>
      <c r="T10" s="156"/>
      <c r="U10" s="6"/>
    </row>
    <row r="11" spans="1:21" customFormat="1">
      <c r="A11" s="163" t="s">
        <v>2066</v>
      </c>
      <c r="B11" s="100">
        <v>3.87</v>
      </c>
      <c r="C11" s="100">
        <v>6.93</v>
      </c>
      <c r="D11" s="100">
        <v>3.06</v>
      </c>
      <c r="E11" s="100">
        <v>6.35</v>
      </c>
      <c r="F11" s="100">
        <v>3.77</v>
      </c>
      <c r="G11" s="100">
        <v>25.77</v>
      </c>
      <c r="H11" s="100">
        <v>6.23</v>
      </c>
      <c r="I11" s="100">
        <v>3.18</v>
      </c>
      <c r="J11" s="100">
        <v>1</v>
      </c>
      <c r="K11" s="100">
        <v>249.21</v>
      </c>
      <c r="L11" s="100">
        <v>25.37</v>
      </c>
      <c r="M11" s="100">
        <v>86.07</v>
      </c>
      <c r="N11" s="100">
        <v>1.2</v>
      </c>
      <c r="O11" s="100">
        <v>0</v>
      </c>
      <c r="P11" s="100">
        <v>0.26</v>
      </c>
      <c r="Q11" s="100">
        <v>9.9</v>
      </c>
      <c r="R11" s="6"/>
      <c r="S11" s="6"/>
      <c r="T11" s="156"/>
      <c r="U11" s="6"/>
    </row>
    <row r="12" spans="1:21" customFormat="1">
      <c r="A12" s="163" t="s">
        <v>2067</v>
      </c>
      <c r="B12" s="100">
        <v>3.79</v>
      </c>
      <c r="C12" s="100">
        <v>6.78</v>
      </c>
      <c r="D12" s="100">
        <v>2.99</v>
      </c>
      <c r="E12" s="100">
        <v>6.37</v>
      </c>
      <c r="F12" s="100">
        <v>4.17</v>
      </c>
      <c r="G12" s="100">
        <v>25.77</v>
      </c>
      <c r="H12" s="100">
        <v>6.23</v>
      </c>
      <c r="I12" s="100">
        <v>3.17</v>
      </c>
      <c r="J12" s="100">
        <v>1.25</v>
      </c>
      <c r="K12" s="100">
        <v>253.64</v>
      </c>
      <c r="L12" s="100">
        <v>25.25</v>
      </c>
      <c r="M12" s="100">
        <v>87.25</v>
      </c>
      <c r="N12" s="100">
        <v>0.9</v>
      </c>
      <c r="O12" s="100">
        <v>0</v>
      </c>
      <c r="P12" s="100">
        <v>0.24</v>
      </c>
      <c r="Q12" s="100">
        <v>9.91</v>
      </c>
      <c r="R12" s="6"/>
      <c r="S12" s="6"/>
      <c r="T12" s="156"/>
      <c r="U12" s="6"/>
    </row>
    <row r="13" spans="1:21" customFormat="1">
      <c r="A13" s="163" t="s">
        <v>2068</v>
      </c>
      <c r="B13" s="100">
        <v>3.8</v>
      </c>
      <c r="C13" s="100">
        <v>6.72</v>
      </c>
      <c r="D13" s="100">
        <v>2.92</v>
      </c>
      <c r="E13" s="100">
        <v>6.21</v>
      </c>
      <c r="F13" s="100">
        <v>3.73</v>
      </c>
      <c r="G13" s="100">
        <v>24.49</v>
      </c>
      <c r="H13" s="100">
        <v>5.58</v>
      </c>
      <c r="I13" s="100">
        <v>2.97</v>
      </c>
      <c r="J13" s="100">
        <v>0.99</v>
      </c>
      <c r="K13" s="100">
        <v>253.3</v>
      </c>
      <c r="L13" s="100">
        <v>25.14</v>
      </c>
      <c r="M13" s="100">
        <v>89.34</v>
      </c>
      <c r="N13" s="100">
        <v>1</v>
      </c>
      <c r="O13" s="100">
        <v>0</v>
      </c>
      <c r="P13" s="100">
        <v>0.23</v>
      </c>
      <c r="Q13" s="100">
        <v>9.9</v>
      </c>
      <c r="R13" s="6"/>
      <c r="S13" s="6"/>
      <c r="T13" s="156"/>
      <c r="U13" s="6"/>
    </row>
    <row r="14" spans="1:21" customFormat="1">
      <c r="A14" s="163" t="s">
        <v>2069</v>
      </c>
      <c r="B14" s="100">
        <v>3.85</v>
      </c>
      <c r="C14" s="100">
        <v>6.79</v>
      </c>
      <c r="D14" s="100">
        <v>2.94</v>
      </c>
      <c r="E14" s="100">
        <v>6.4</v>
      </c>
      <c r="F14" s="100">
        <v>3.59</v>
      </c>
      <c r="G14" s="100">
        <v>21.34</v>
      </c>
      <c r="H14" s="100">
        <v>4.49</v>
      </c>
      <c r="I14" s="100">
        <v>2.93</v>
      </c>
      <c r="J14" s="100">
        <v>0.85</v>
      </c>
      <c r="K14" s="100">
        <v>255.44</v>
      </c>
      <c r="L14" s="100">
        <v>25.25</v>
      </c>
      <c r="M14" s="100">
        <v>88.97</v>
      </c>
      <c r="N14" s="100">
        <v>0.7</v>
      </c>
      <c r="O14" s="100">
        <v>0</v>
      </c>
      <c r="P14" s="100">
        <v>0.24</v>
      </c>
      <c r="Q14" s="100">
        <v>9.89</v>
      </c>
      <c r="R14" s="6"/>
      <c r="S14" s="6"/>
      <c r="T14" s="156"/>
      <c r="U14" s="6"/>
    </row>
    <row r="15" spans="1:21" customFormat="1">
      <c r="A15" s="163" t="s">
        <v>2070</v>
      </c>
      <c r="B15" s="100">
        <v>3.86</v>
      </c>
      <c r="C15" s="100">
        <v>6.72</v>
      </c>
      <c r="D15" s="100">
        <v>2.87</v>
      </c>
      <c r="E15" s="100">
        <v>6.44</v>
      </c>
      <c r="F15" s="100">
        <v>3.51</v>
      </c>
      <c r="G15" s="100">
        <v>21.34</v>
      </c>
      <c r="H15" s="100">
        <v>4.49</v>
      </c>
      <c r="I15" s="100">
        <v>2.81</v>
      </c>
      <c r="J15" s="100">
        <v>1.07</v>
      </c>
      <c r="K15" s="100">
        <v>249.29</v>
      </c>
      <c r="L15" s="100">
        <v>25.34</v>
      </c>
      <c r="M15" s="100">
        <v>88.36</v>
      </c>
      <c r="N15" s="100">
        <v>1.5</v>
      </c>
      <c r="O15" s="100">
        <v>0</v>
      </c>
      <c r="P15" s="100">
        <v>0.24</v>
      </c>
      <c r="Q15" s="100">
        <v>9.89</v>
      </c>
      <c r="R15" s="6"/>
      <c r="S15" s="6"/>
      <c r="T15" s="156"/>
      <c r="U15" s="6"/>
    </row>
    <row r="16" spans="1:21" customFormat="1">
      <c r="A16" s="163" t="s">
        <v>2071</v>
      </c>
      <c r="B16" s="100">
        <v>3.82</v>
      </c>
      <c r="C16" s="100">
        <v>6.58</v>
      </c>
      <c r="D16" s="100">
        <v>2.75</v>
      </c>
      <c r="E16" s="100">
        <v>6.47</v>
      </c>
      <c r="F16" s="100">
        <v>4.24</v>
      </c>
      <c r="G16" s="100">
        <v>21.34</v>
      </c>
      <c r="H16" s="100">
        <v>4.49</v>
      </c>
      <c r="I16" s="100">
        <v>2.89</v>
      </c>
      <c r="J16" s="100">
        <v>0.85</v>
      </c>
      <c r="K16" s="100">
        <v>256.74</v>
      </c>
      <c r="L16" s="100">
        <v>25.41</v>
      </c>
      <c r="M16" s="100">
        <v>87.69</v>
      </c>
      <c r="N16" s="100">
        <v>2</v>
      </c>
      <c r="O16" s="100">
        <v>0</v>
      </c>
      <c r="P16" s="100">
        <v>0.24</v>
      </c>
      <c r="Q16" s="100">
        <v>9.91</v>
      </c>
      <c r="R16" s="6"/>
      <c r="S16" s="6"/>
      <c r="T16" s="156"/>
      <c r="U16" s="6"/>
    </row>
    <row r="17" spans="1:21" customFormat="1">
      <c r="A17" s="163" t="s">
        <v>2072</v>
      </c>
      <c r="B17" s="100">
        <v>3.82</v>
      </c>
      <c r="C17" s="100">
        <v>6.58</v>
      </c>
      <c r="D17" s="100">
        <v>2.76</v>
      </c>
      <c r="E17" s="100">
        <v>3.86</v>
      </c>
      <c r="F17" s="100">
        <v>4.28</v>
      </c>
      <c r="G17" s="100">
        <v>19.66</v>
      </c>
      <c r="H17" s="100">
        <v>4.13</v>
      </c>
      <c r="I17" s="100">
        <v>2.81</v>
      </c>
      <c r="J17" s="100">
        <v>0.94</v>
      </c>
      <c r="K17" s="100">
        <v>253.92</v>
      </c>
      <c r="L17" s="100">
        <v>25.44</v>
      </c>
      <c r="M17" s="100">
        <v>87.41</v>
      </c>
      <c r="N17" s="100">
        <v>2</v>
      </c>
      <c r="O17" s="100">
        <v>0</v>
      </c>
      <c r="P17" s="100">
        <v>0.24</v>
      </c>
      <c r="Q17" s="100">
        <v>9.91</v>
      </c>
      <c r="R17" s="6"/>
      <c r="S17" s="6"/>
      <c r="T17" s="156"/>
      <c r="U17" s="6"/>
    </row>
    <row r="18" spans="1:21" customFormat="1">
      <c r="A18" s="163" t="s">
        <v>2073</v>
      </c>
      <c r="B18" s="100">
        <v>3.84</v>
      </c>
      <c r="C18" s="100">
        <v>6.81</v>
      </c>
      <c r="D18" s="100">
        <v>2.97</v>
      </c>
      <c r="E18" s="100">
        <v>4.58</v>
      </c>
      <c r="F18" s="100">
        <v>2.56</v>
      </c>
      <c r="G18" s="100">
        <v>15.3</v>
      </c>
      <c r="H18" s="100">
        <v>3.54</v>
      </c>
      <c r="I18" s="100">
        <v>2.79</v>
      </c>
      <c r="J18" s="100">
        <v>0.97</v>
      </c>
      <c r="K18" s="100">
        <v>252.81</v>
      </c>
      <c r="L18" s="100">
        <v>25.43</v>
      </c>
      <c r="M18" s="100">
        <v>87.09</v>
      </c>
      <c r="N18" s="100">
        <v>2.1</v>
      </c>
      <c r="O18" s="100">
        <v>0</v>
      </c>
      <c r="P18" s="100">
        <v>0.27</v>
      </c>
      <c r="Q18" s="100">
        <v>9.91</v>
      </c>
      <c r="R18" s="6"/>
      <c r="S18" s="6"/>
      <c r="T18" s="156"/>
      <c r="U18" s="6"/>
    </row>
    <row r="19" spans="1:21" customFormat="1">
      <c r="A19" s="163" t="s">
        <v>2074</v>
      </c>
      <c r="B19" s="100">
        <v>3.81</v>
      </c>
      <c r="C19" s="100">
        <v>6.51</v>
      </c>
      <c r="D19" s="100">
        <v>2.7</v>
      </c>
      <c r="E19" s="100">
        <v>4.22</v>
      </c>
      <c r="F19" s="100">
        <v>2.86</v>
      </c>
      <c r="G19" s="100">
        <v>15.3</v>
      </c>
      <c r="H19" s="100">
        <v>3.54</v>
      </c>
      <c r="I19" s="100">
        <v>2.71</v>
      </c>
      <c r="J19" s="100">
        <v>1.1200000000000001</v>
      </c>
      <c r="K19" s="100">
        <v>257.89</v>
      </c>
      <c r="L19" s="100">
        <v>25.45</v>
      </c>
      <c r="M19" s="100">
        <v>86.4</v>
      </c>
      <c r="N19" s="100">
        <v>2.1</v>
      </c>
      <c r="O19" s="100">
        <v>0</v>
      </c>
      <c r="P19" s="100">
        <v>0.28000000000000003</v>
      </c>
      <c r="Q19" s="100">
        <v>9.91</v>
      </c>
      <c r="R19" s="6"/>
      <c r="S19" s="6"/>
      <c r="T19" s="156"/>
      <c r="U19" s="6"/>
    </row>
    <row r="20" spans="1:21" customFormat="1">
      <c r="A20" s="163" t="s">
        <v>2075</v>
      </c>
      <c r="B20" s="100">
        <v>3.77</v>
      </c>
      <c r="C20" s="100">
        <v>6.17</v>
      </c>
      <c r="D20" s="100">
        <v>2.4</v>
      </c>
      <c r="E20" s="100">
        <v>3.78</v>
      </c>
      <c r="F20" s="100">
        <v>3.07</v>
      </c>
      <c r="G20" s="100">
        <v>15.3</v>
      </c>
      <c r="H20" s="100">
        <v>3.54</v>
      </c>
      <c r="I20" s="100">
        <v>2.66</v>
      </c>
      <c r="J20" s="100">
        <v>1.1000000000000001</v>
      </c>
      <c r="K20" s="100">
        <v>254.32</v>
      </c>
      <c r="L20" s="100">
        <v>25.51</v>
      </c>
      <c r="M20" s="100">
        <v>85.68</v>
      </c>
      <c r="N20" s="100">
        <v>2.1</v>
      </c>
      <c r="O20" s="100">
        <v>0</v>
      </c>
      <c r="P20" s="100">
        <v>0.25</v>
      </c>
      <c r="Q20" s="100">
        <v>9.91</v>
      </c>
      <c r="R20" s="6"/>
      <c r="S20" s="6"/>
      <c r="T20" s="156"/>
      <c r="U20" s="6"/>
    </row>
    <row r="21" spans="1:21" customFormat="1">
      <c r="A21" s="163" t="s">
        <v>2076</v>
      </c>
      <c r="B21" s="100">
        <v>3.72</v>
      </c>
      <c r="C21" s="100">
        <v>6.05</v>
      </c>
      <c r="D21" s="100">
        <v>2.3199999999999998</v>
      </c>
      <c r="E21" s="100">
        <v>3.48</v>
      </c>
      <c r="F21" s="100">
        <v>2.99</v>
      </c>
      <c r="G21" s="100">
        <v>14.18</v>
      </c>
      <c r="H21" s="100">
        <v>3.21</v>
      </c>
      <c r="I21" s="100">
        <v>2.64</v>
      </c>
      <c r="J21" s="100">
        <v>0.92</v>
      </c>
      <c r="K21" s="100">
        <v>250.37</v>
      </c>
      <c r="L21" s="100">
        <v>25.52</v>
      </c>
      <c r="M21" s="100">
        <v>85.6</v>
      </c>
      <c r="N21" s="100">
        <v>2.2000000000000002</v>
      </c>
      <c r="O21" s="100">
        <v>0</v>
      </c>
      <c r="P21" s="100">
        <v>0.28999999999999998</v>
      </c>
      <c r="Q21" s="100">
        <v>9.9</v>
      </c>
      <c r="R21" s="6"/>
      <c r="S21" s="6"/>
      <c r="T21" s="156"/>
      <c r="U21" s="6"/>
    </row>
    <row r="22" spans="1:21" customFormat="1">
      <c r="A22" s="163" t="s">
        <v>2077</v>
      </c>
      <c r="B22" s="100">
        <v>3.83</v>
      </c>
      <c r="C22" s="100">
        <v>6.11</v>
      </c>
      <c r="D22" s="100">
        <v>2.2799999999999998</v>
      </c>
      <c r="E22" s="100">
        <v>3.65</v>
      </c>
      <c r="F22" s="100">
        <v>2.66</v>
      </c>
      <c r="G22" s="100">
        <v>11.44</v>
      </c>
      <c r="H22" s="100">
        <v>2.65</v>
      </c>
      <c r="I22" s="100">
        <v>2.66</v>
      </c>
      <c r="J22" s="100">
        <v>0.77</v>
      </c>
      <c r="K22" s="100">
        <v>252.6</v>
      </c>
      <c r="L22" s="100">
        <v>25.46</v>
      </c>
      <c r="M22" s="100">
        <v>86.31</v>
      </c>
      <c r="N22" s="100">
        <v>2.2000000000000002</v>
      </c>
      <c r="O22" s="100">
        <v>0</v>
      </c>
      <c r="P22" s="100">
        <v>0.26</v>
      </c>
      <c r="Q22" s="100">
        <v>9.91</v>
      </c>
      <c r="R22" s="6"/>
      <c r="S22" s="6"/>
      <c r="T22" s="156"/>
      <c r="U22" s="6"/>
    </row>
    <row r="23" spans="1:21" customFormat="1">
      <c r="A23" s="163" t="s">
        <v>2078</v>
      </c>
      <c r="B23" s="100">
        <v>3.95</v>
      </c>
      <c r="C23" s="100">
        <v>6.01</v>
      </c>
      <c r="D23" s="100">
        <v>2.0499999999999998</v>
      </c>
      <c r="E23" s="100">
        <v>3.24</v>
      </c>
      <c r="F23" s="100">
        <v>3.35</v>
      </c>
      <c r="G23" s="100">
        <v>11.44</v>
      </c>
      <c r="H23" s="100">
        <v>2.65</v>
      </c>
      <c r="I23" s="100">
        <v>2.77</v>
      </c>
      <c r="J23" s="100">
        <v>0.8</v>
      </c>
      <c r="K23" s="100">
        <v>250.12</v>
      </c>
      <c r="L23" s="100">
        <v>25.32</v>
      </c>
      <c r="M23" s="100">
        <v>87.4</v>
      </c>
      <c r="N23" s="100">
        <v>1.5</v>
      </c>
      <c r="O23" s="100">
        <v>0</v>
      </c>
      <c r="P23" s="100">
        <v>0.26</v>
      </c>
      <c r="Q23" s="100">
        <v>9.91</v>
      </c>
      <c r="R23" s="6"/>
      <c r="S23" s="6"/>
      <c r="T23" s="156"/>
      <c r="U23" s="6"/>
    </row>
    <row r="24" spans="1:21" customFormat="1">
      <c r="A24" s="163" t="s">
        <v>2079</v>
      </c>
      <c r="B24" s="100">
        <v>3.9</v>
      </c>
      <c r="C24" s="100">
        <v>6.1</v>
      </c>
      <c r="D24" s="100">
        <v>2.21</v>
      </c>
      <c r="E24" s="100">
        <v>3.31</v>
      </c>
      <c r="F24" s="100">
        <v>3.2</v>
      </c>
      <c r="G24" s="100">
        <v>11.44</v>
      </c>
      <c r="H24" s="100">
        <v>2.65</v>
      </c>
      <c r="I24" s="100">
        <v>2.76</v>
      </c>
      <c r="J24" s="100">
        <v>0.95</v>
      </c>
      <c r="K24" s="100">
        <v>254.37</v>
      </c>
      <c r="L24" s="100">
        <v>25.25</v>
      </c>
      <c r="M24" s="100">
        <v>87.15</v>
      </c>
      <c r="N24" s="100">
        <v>1.4</v>
      </c>
      <c r="O24" s="100">
        <v>0</v>
      </c>
      <c r="P24" s="100">
        <v>0.28000000000000003</v>
      </c>
      <c r="Q24" s="100">
        <v>9.92</v>
      </c>
      <c r="R24" s="6"/>
      <c r="S24" s="6"/>
      <c r="T24" s="156"/>
      <c r="U24" s="6"/>
    </row>
    <row r="25" spans="1:21" customFormat="1">
      <c r="A25" s="163" t="s">
        <v>2080</v>
      </c>
      <c r="B25" s="100">
        <v>4.07</v>
      </c>
      <c r="C25" s="100">
        <v>6.41</v>
      </c>
      <c r="D25" s="100">
        <v>2.33</v>
      </c>
      <c r="E25" s="100">
        <v>3.46</v>
      </c>
      <c r="F25" s="100">
        <v>2.56</v>
      </c>
      <c r="G25" s="100">
        <v>10.63</v>
      </c>
      <c r="H25" s="100">
        <v>2.6</v>
      </c>
      <c r="I25" s="100">
        <v>2.72</v>
      </c>
      <c r="J25" s="100">
        <v>0.88</v>
      </c>
      <c r="K25" s="100">
        <v>254.92</v>
      </c>
      <c r="L25" s="100">
        <v>25.16</v>
      </c>
      <c r="M25" s="100">
        <v>87.85</v>
      </c>
      <c r="N25" s="100">
        <v>1.8</v>
      </c>
      <c r="O25" s="100">
        <v>0</v>
      </c>
      <c r="P25" s="100">
        <v>0.27</v>
      </c>
      <c r="Q25" s="100">
        <v>9.91</v>
      </c>
      <c r="R25" s="6"/>
      <c r="S25" s="6"/>
      <c r="T25" s="156"/>
      <c r="U25" s="6"/>
    </row>
    <row r="26" spans="1:21" customFormat="1">
      <c r="A26" s="163" t="s">
        <v>2081</v>
      </c>
      <c r="B26" s="100">
        <v>4.21</v>
      </c>
      <c r="C26" s="100">
        <v>6.43</v>
      </c>
      <c r="D26" s="100">
        <v>2.2200000000000002</v>
      </c>
      <c r="E26" s="100">
        <v>3.31</v>
      </c>
      <c r="F26" s="100">
        <v>3.27</v>
      </c>
      <c r="G26" s="100">
        <v>8.5399999999999991</v>
      </c>
      <c r="H26" s="100">
        <v>2.37</v>
      </c>
      <c r="I26" s="100">
        <v>2.85</v>
      </c>
      <c r="J26" s="100">
        <v>0.78</v>
      </c>
      <c r="K26" s="100">
        <v>257.49</v>
      </c>
      <c r="L26" s="100">
        <v>25.05</v>
      </c>
      <c r="M26" s="100">
        <v>88.67</v>
      </c>
      <c r="N26" s="100">
        <v>1.1000000000000001</v>
      </c>
      <c r="O26" s="100">
        <v>0</v>
      </c>
      <c r="P26" s="100">
        <v>0.28000000000000003</v>
      </c>
      <c r="Q26" s="100">
        <v>9.89</v>
      </c>
      <c r="R26" s="6"/>
      <c r="S26" s="6"/>
      <c r="T26" s="156"/>
      <c r="U26" s="6"/>
    </row>
    <row r="27" spans="1:21" customFormat="1">
      <c r="A27" s="163" t="s">
        <v>2082</v>
      </c>
      <c r="B27" s="100">
        <v>4.28</v>
      </c>
      <c r="C27" s="100">
        <v>6.65</v>
      </c>
      <c r="D27" s="100">
        <v>2.38</v>
      </c>
      <c r="E27" s="100">
        <v>3.46</v>
      </c>
      <c r="F27" s="100">
        <v>2.1</v>
      </c>
      <c r="G27" s="100">
        <v>8.5399999999999991</v>
      </c>
      <c r="H27" s="100">
        <v>2.37</v>
      </c>
      <c r="I27" s="100">
        <v>2.84</v>
      </c>
      <c r="J27" s="100">
        <v>0.82</v>
      </c>
      <c r="K27" s="100">
        <v>250.54</v>
      </c>
      <c r="L27" s="100">
        <v>24.99</v>
      </c>
      <c r="M27" s="100">
        <v>88.77</v>
      </c>
      <c r="N27" s="100">
        <v>1.3</v>
      </c>
      <c r="O27" s="100">
        <v>0</v>
      </c>
      <c r="P27" s="100">
        <v>0.28000000000000003</v>
      </c>
      <c r="Q27" s="100">
        <v>9.89</v>
      </c>
      <c r="R27" s="6"/>
      <c r="S27" s="6"/>
      <c r="T27" s="156"/>
      <c r="U27" s="6"/>
    </row>
    <row r="28" spans="1:21" customFormat="1">
      <c r="A28" s="163" t="s">
        <v>2083</v>
      </c>
      <c r="B28" s="100">
        <v>4.32</v>
      </c>
      <c r="C28" s="100">
        <v>6.47</v>
      </c>
      <c r="D28" s="100">
        <v>2.16</v>
      </c>
      <c r="E28" s="100">
        <v>3.46</v>
      </c>
      <c r="F28" s="100">
        <v>2.64</v>
      </c>
      <c r="G28" s="100">
        <v>8.5399999999999991</v>
      </c>
      <c r="H28" s="100">
        <v>2.37</v>
      </c>
      <c r="I28" s="100">
        <v>2.84</v>
      </c>
      <c r="J28" s="100">
        <v>0.98</v>
      </c>
      <c r="K28" s="100">
        <v>254.45</v>
      </c>
      <c r="L28" s="100">
        <v>24.91</v>
      </c>
      <c r="M28" s="100">
        <v>88.87</v>
      </c>
      <c r="N28" s="100">
        <v>1.4</v>
      </c>
      <c r="O28" s="100">
        <v>0</v>
      </c>
      <c r="P28" s="100">
        <v>0.26</v>
      </c>
      <c r="Q28" s="100">
        <v>9.9</v>
      </c>
      <c r="R28" s="6"/>
      <c r="S28" s="6"/>
      <c r="T28" s="156"/>
      <c r="U28" s="6"/>
    </row>
    <row r="29" spans="1:21" customFormat="1">
      <c r="A29" s="163" t="s">
        <v>2084</v>
      </c>
      <c r="B29" s="100">
        <v>4.21</v>
      </c>
      <c r="C29" s="100">
        <v>6.37</v>
      </c>
      <c r="D29" s="100">
        <v>2.16</v>
      </c>
      <c r="E29" s="100">
        <v>3.1</v>
      </c>
      <c r="F29" s="100">
        <v>3.26</v>
      </c>
      <c r="G29" s="100">
        <v>8.0299999999999994</v>
      </c>
      <c r="H29" s="100">
        <v>2.2200000000000002</v>
      </c>
      <c r="I29" s="100">
        <v>2.89</v>
      </c>
      <c r="J29" s="100">
        <v>0.88</v>
      </c>
      <c r="K29" s="100">
        <v>255.44</v>
      </c>
      <c r="L29" s="100">
        <v>24.98</v>
      </c>
      <c r="M29" s="100">
        <v>88.09</v>
      </c>
      <c r="N29" s="100">
        <v>1.9</v>
      </c>
      <c r="O29" s="100">
        <v>0</v>
      </c>
      <c r="P29" s="100">
        <v>0.28000000000000003</v>
      </c>
      <c r="Q29" s="100">
        <v>9.91</v>
      </c>
      <c r="R29" s="6"/>
      <c r="S29" s="6"/>
      <c r="T29" s="156"/>
      <c r="U29" s="6"/>
    </row>
    <row r="30" spans="1:21" customFormat="1">
      <c r="A30" s="163" t="s">
        <v>2085</v>
      </c>
      <c r="B30" s="100">
        <v>4.18</v>
      </c>
      <c r="C30" s="100">
        <v>6.65</v>
      </c>
      <c r="D30" s="100">
        <v>2.4700000000000002</v>
      </c>
      <c r="E30" s="100">
        <v>3.39</v>
      </c>
      <c r="F30" s="100">
        <v>2.1</v>
      </c>
      <c r="G30" s="100">
        <v>6.76</v>
      </c>
      <c r="H30" s="100">
        <v>1.96</v>
      </c>
      <c r="I30" s="100">
        <v>2.92</v>
      </c>
      <c r="J30" s="100">
        <v>0.77</v>
      </c>
      <c r="K30" s="100">
        <v>253.1</v>
      </c>
      <c r="L30" s="100">
        <v>25.08</v>
      </c>
      <c r="M30" s="100">
        <v>87.18</v>
      </c>
      <c r="N30" s="100">
        <v>3</v>
      </c>
      <c r="O30" s="100">
        <v>0</v>
      </c>
      <c r="P30" s="100">
        <v>0.28000000000000003</v>
      </c>
      <c r="Q30" s="100">
        <v>9.91</v>
      </c>
      <c r="R30" s="6"/>
      <c r="S30" s="6"/>
      <c r="T30" s="156"/>
      <c r="U30" s="6"/>
    </row>
    <row r="31" spans="1:21" customFormat="1">
      <c r="A31" s="163" t="s">
        <v>2086</v>
      </c>
      <c r="B31" s="100">
        <v>4.21</v>
      </c>
      <c r="C31" s="100">
        <v>6.6</v>
      </c>
      <c r="D31" s="100">
        <v>2.4</v>
      </c>
      <c r="E31" s="100">
        <v>3.32</v>
      </c>
      <c r="F31" s="100">
        <v>2.33</v>
      </c>
      <c r="G31" s="100">
        <v>6.76</v>
      </c>
      <c r="H31" s="100">
        <v>1.96</v>
      </c>
      <c r="I31" s="100">
        <v>2.93</v>
      </c>
      <c r="J31" s="100">
        <v>0.81</v>
      </c>
      <c r="K31" s="100">
        <v>251.33</v>
      </c>
      <c r="L31" s="100">
        <v>25.13</v>
      </c>
      <c r="M31" s="100">
        <v>86.65</v>
      </c>
      <c r="N31" s="100">
        <v>6.5</v>
      </c>
      <c r="O31" s="100">
        <v>0</v>
      </c>
      <c r="P31" s="100">
        <v>0.26</v>
      </c>
      <c r="Q31" s="100">
        <v>9.9</v>
      </c>
      <c r="R31" s="6"/>
      <c r="S31" s="6"/>
      <c r="T31" s="156"/>
      <c r="U31" s="6"/>
    </row>
    <row r="32" spans="1:21" customFormat="1">
      <c r="A32" s="163" t="s">
        <v>2087</v>
      </c>
      <c r="B32" s="100">
        <v>4.24</v>
      </c>
      <c r="C32" s="100">
        <v>6.47</v>
      </c>
      <c r="D32" s="100">
        <v>2.23</v>
      </c>
      <c r="E32" s="100">
        <v>3.07</v>
      </c>
      <c r="F32" s="100">
        <v>2.78</v>
      </c>
      <c r="G32" s="100">
        <v>6.76</v>
      </c>
      <c r="H32" s="100">
        <v>1.96</v>
      </c>
      <c r="I32" s="100">
        <v>3.03</v>
      </c>
      <c r="J32" s="100">
        <v>0.83</v>
      </c>
      <c r="K32" s="100">
        <v>256.76</v>
      </c>
      <c r="L32" s="100">
        <v>25.18</v>
      </c>
      <c r="M32" s="100">
        <v>86.07</v>
      </c>
      <c r="N32" s="100">
        <v>11.6</v>
      </c>
      <c r="O32" s="100">
        <v>0</v>
      </c>
      <c r="P32" s="100">
        <v>0.28000000000000003</v>
      </c>
      <c r="Q32" s="100">
        <v>9.91</v>
      </c>
      <c r="R32" s="6"/>
      <c r="S32" s="6"/>
      <c r="T32" s="156"/>
      <c r="U32" s="6"/>
    </row>
    <row r="33" spans="1:21" customFormat="1">
      <c r="A33" s="163" t="s">
        <v>2088</v>
      </c>
      <c r="B33" s="100">
        <v>4.24</v>
      </c>
      <c r="C33" s="100">
        <v>6.78</v>
      </c>
      <c r="D33" s="100">
        <v>2.54</v>
      </c>
      <c r="E33" s="100">
        <v>3.4</v>
      </c>
      <c r="F33" s="100">
        <v>2.1</v>
      </c>
      <c r="G33" s="100">
        <v>8.7100000000000009</v>
      </c>
      <c r="H33" s="100">
        <v>2.15</v>
      </c>
      <c r="I33" s="100">
        <v>2.93</v>
      </c>
      <c r="J33" s="100">
        <v>0.87</v>
      </c>
      <c r="K33" s="100">
        <v>256.62</v>
      </c>
      <c r="L33" s="100">
        <v>25.27</v>
      </c>
      <c r="M33" s="100">
        <v>85.27</v>
      </c>
      <c r="N33" s="100">
        <v>14.3</v>
      </c>
      <c r="O33" s="100">
        <v>0</v>
      </c>
      <c r="P33" s="100">
        <v>0.27</v>
      </c>
      <c r="Q33" s="100">
        <v>9.92</v>
      </c>
      <c r="R33" s="6"/>
      <c r="S33" s="6"/>
      <c r="T33" s="156"/>
      <c r="U33" s="6"/>
    </row>
    <row r="34" spans="1:21" customFormat="1">
      <c r="A34" s="163" t="s">
        <v>2089</v>
      </c>
      <c r="B34" s="100">
        <v>4.2699999999999996</v>
      </c>
      <c r="C34" s="100">
        <v>6.62</v>
      </c>
      <c r="D34" s="100">
        <v>2.35</v>
      </c>
      <c r="E34" s="100">
        <v>3.11</v>
      </c>
      <c r="F34" s="100">
        <v>2.27</v>
      </c>
      <c r="G34" s="100">
        <v>13.51</v>
      </c>
      <c r="H34" s="100">
        <v>2.4700000000000002</v>
      </c>
      <c r="I34" s="100">
        <v>2.96</v>
      </c>
      <c r="J34" s="100">
        <v>0.79</v>
      </c>
      <c r="K34" s="100">
        <v>249.57</v>
      </c>
      <c r="L34" s="100">
        <v>25.28</v>
      </c>
      <c r="M34" s="100">
        <v>85.25</v>
      </c>
      <c r="N34" s="100">
        <v>18.8</v>
      </c>
      <c r="O34" s="100">
        <v>0</v>
      </c>
      <c r="P34" s="100">
        <v>0.26</v>
      </c>
      <c r="Q34" s="100">
        <v>9.94</v>
      </c>
      <c r="R34" s="6"/>
      <c r="S34" s="6"/>
      <c r="T34" s="156"/>
      <c r="U34" s="6"/>
    </row>
    <row r="35" spans="1:21" customFormat="1">
      <c r="A35" s="163" t="s">
        <v>2090</v>
      </c>
      <c r="B35" s="100">
        <v>4.28</v>
      </c>
      <c r="C35" s="100">
        <v>6.71</v>
      </c>
      <c r="D35" s="100">
        <v>2.42</v>
      </c>
      <c r="E35" s="100">
        <v>3.08</v>
      </c>
      <c r="F35" s="100">
        <v>2.41</v>
      </c>
      <c r="G35" s="100">
        <v>13.51</v>
      </c>
      <c r="H35" s="100">
        <v>2.4700000000000002</v>
      </c>
      <c r="I35" s="100">
        <v>3.07</v>
      </c>
      <c r="J35" s="100">
        <v>0.73</v>
      </c>
      <c r="K35" s="100">
        <v>255.79</v>
      </c>
      <c r="L35" s="100">
        <v>25.29</v>
      </c>
      <c r="M35" s="100">
        <v>85.18</v>
      </c>
      <c r="N35" s="100">
        <v>28.8</v>
      </c>
      <c r="O35" s="100">
        <v>0</v>
      </c>
      <c r="P35" s="100">
        <v>0.28999999999999998</v>
      </c>
      <c r="Q35" s="100">
        <v>9.92</v>
      </c>
      <c r="R35" s="6"/>
      <c r="S35" s="6"/>
      <c r="T35" s="156"/>
      <c r="U35" s="6"/>
    </row>
    <row r="36" spans="1:21" customFormat="1">
      <c r="A36" s="163" t="s">
        <v>2091</v>
      </c>
      <c r="B36" s="100">
        <v>4.37</v>
      </c>
      <c r="C36" s="100">
        <v>6.91</v>
      </c>
      <c r="D36" s="100">
        <v>2.54</v>
      </c>
      <c r="E36" s="100">
        <v>3.39</v>
      </c>
      <c r="F36" s="100">
        <v>2.1</v>
      </c>
      <c r="G36" s="100">
        <v>13.51</v>
      </c>
      <c r="H36" s="100">
        <v>2.4700000000000002</v>
      </c>
      <c r="I36" s="100">
        <v>2.92</v>
      </c>
      <c r="J36" s="100">
        <v>0.71</v>
      </c>
      <c r="K36" s="100">
        <v>252.28</v>
      </c>
      <c r="L36" s="100">
        <v>25.38</v>
      </c>
      <c r="M36" s="100">
        <v>84.29</v>
      </c>
      <c r="N36" s="100">
        <v>41.4</v>
      </c>
      <c r="O36" s="100">
        <v>0</v>
      </c>
      <c r="P36" s="100">
        <v>0.27</v>
      </c>
      <c r="Q36" s="100">
        <v>9.9</v>
      </c>
      <c r="R36" s="6"/>
      <c r="S36" s="6"/>
      <c r="T36" s="156"/>
      <c r="U36" s="6"/>
    </row>
    <row r="37" spans="1:21" customFormat="1">
      <c r="A37" s="163" t="s">
        <v>2092</v>
      </c>
      <c r="B37" s="100">
        <v>4.3600000000000003</v>
      </c>
      <c r="C37" s="100">
        <v>7.48</v>
      </c>
      <c r="D37" s="100">
        <v>3.12</v>
      </c>
      <c r="E37" s="100">
        <v>3.06</v>
      </c>
      <c r="F37" s="100">
        <v>2.17</v>
      </c>
      <c r="G37" s="100">
        <v>12.53</v>
      </c>
      <c r="H37" s="100">
        <v>3.05</v>
      </c>
      <c r="I37" s="100">
        <v>3.07</v>
      </c>
      <c r="J37" s="100">
        <v>0.96</v>
      </c>
      <c r="K37" s="100">
        <v>255.64</v>
      </c>
      <c r="L37" s="100">
        <v>25.49</v>
      </c>
      <c r="M37" s="100">
        <v>82.96</v>
      </c>
      <c r="N37" s="100">
        <v>58.2</v>
      </c>
      <c r="O37" s="100">
        <v>0</v>
      </c>
      <c r="P37" s="100">
        <v>0.25</v>
      </c>
      <c r="Q37" s="100">
        <v>9.9</v>
      </c>
      <c r="R37" s="6"/>
      <c r="S37" s="6"/>
      <c r="T37" s="156"/>
      <c r="U37" s="6"/>
    </row>
    <row r="38" spans="1:21" customFormat="1">
      <c r="A38" s="163" t="s">
        <v>2093</v>
      </c>
      <c r="B38" s="100">
        <v>4.3099999999999996</v>
      </c>
      <c r="C38" s="100">
        <v>8.25</v>
      </c>
      <c r="D38" s="100">
        <v>3.94</v>
      </c>
      <c r="E38" s="100">
        <v>3.04</v>
      </c>
      <c r="F38" s="100">
        <v>2.29</v>
      </c>
      <c r="G38" s="100">
        <v>10.130000000000001</v>
      </c>
      <c r="H38" s="100">
        <v>4.03</v>
      </c>
      <c r="I38" s="100">
        <v>3.08</v>
      </c>
      <c r="J38" s="100">
        <v>1.01</v>
      </c>
      <c r="K38" s="100">
        <v>253.2</v>
      </c>
      <c r="L38" s="100">
        <v>25.68</v>
      </c>
      <c r="M38" s="100">
        <v>81.98</v>
      </c>
      <c r="N38" s="100">
        <v>80.099999999999994</v>
      </c>
      <c r="O38" s="100">
        <v>0</v>
      </c>
      <c r="P38" s="100">
        <v>0.23</v>
      </c>
      <c r="Q38" s="100">
        <v>9.9</v>
      </c>
      <c r="R38" s="6"/>
      <c r="S38" s="6"/>
      <c r="T38" s="156"/>
      <c r="U38" s="6"/>
    </row>
    <row r="39" spans="1:21" customFormat="1">
      <c r="A39" s="163" t="s">
        <v>2094</v>
      </c>
      <c r="B39" s="100">
        <v>4.18</v>
      </c>
      <c r="C39" s="100">
        <v>8.26</v>
      </c>
      <c r="D39" s="100">
        <v>4.08</v>
      </c>
      <c r="E39" s="100">
        <v>3.16</v>
      </c>
      <c r="F39" s="100">
        <v>2.31</v>
      </c>
      <c r="G39" s="100">
        <v>10.130000000000001</v>
      </c>
      <c r="H39" s="100">
        <v>4.03</v>
      </c>
      <c r="I39" s="100">
        <v>3.03</v>
      </c>
      <c r="J39" s="100">
        <v>0.75</v>
      </c>
      <c r="K39" s="100">
        <v>257.93</v>
      </c>
      <c r="L39" s="100">
        <v>25.98</v>
      </c>
      <c r="M39" s="100">
        <v>81.349999999999994</v>
      </c>
      <c r="N39" s="100">
        <v>100.2</v>
      </c>
      <c r="O39" s="100">
        <v>0</v>
      </c>
      <c r="P39" s="100">
        <v>0.23</v>
      </c>
      <c r="Q39" s="100">
        <v>9.89</v>
      </c>
      <c r="R39" s="6"/>
      <c r="S39" s="6"/>
      <c r="T39" s="156"/>
      <c r="U39" s="6"/>
    </row>
    <row r="40" spans="1:21" customFormat="1">
      <c r="A40" s="163" t="s">
        <v>2095</v>
      </c>
      <c r="B40" s="100">
        <v>4.05</v>
      </c>
      <c r="C40" s="100">
        <v>8.1999999999999993</v>
      </c>
      <c r="D40" s="100">
        <v>4.1399999999999997</v>
      </c>
      <c r="E40" s="100">
        <v>3.45</v>
      </c>
      <c r="F40" s="100">
        <v>2.87</v>
      </c>
      <c r="G40" s="100">
        <v>10.130000000000001</v>
      </c>
      <c r="H40" s="100">
        <v>4.03</v>
      </c>
      <c r="I40" s="100">
        <v>2.99</v>
      </c>
      <c r="J40" s="100">
        <v>1.05</v>
      </c>
      <c r="K40" s="100">
        <v>256.2</v>
      </c>
      <c r="L40" s="100">
        <v>26.23</v>
      </c>
      <c r="M40" s="100">
        <v>80.31</v>
      </c>
      <c r="N40" s="100">
        <v>125.6</v>
      </c>
      <c r="O40" s="100">
        <v>0</v>
      </c>
      <c r="P40" s="100">
        <v>0.24</v>
      </c>
      <c r="Q40" s="100">
        <v>9.8800000000000008</v>
      </c>
      <c r="R40" s="6"/>
      <c r="S40" s="6"/>
      <c r="T40" s="156"/>
      <c r="U40" s="6"/>
    </row>
    <row r="41" spans="1:21" customFormat="1">
      <c r="A41" s="163" t="s">
        <v>2096</v>
      </c>
      <c r="B41" s="100">
        <v>4</v>
      </c>
      <c r="C41" s="100">
        <v>8.1300000000000008</v>
      </c>
      <c r="D41" s="100">
        <v>4.13</v>
      </c>
      <c r="E41" s="100">
        <v>3.29</v>
      </c>
      <c r="F41" s="100">
        <v>2.75</v>
      </c>
      <c r="G41" s="100">
        <v>12.1</v>
      </c>
      <c r="H41" s="100">
        <v>4.49</v>
      </c>
      <c r="I41" s="100">
        <v>2.98</v>
      </c>
      <c r="J41" s="100">
        <v>1.07</v>
      </c>
      <c r="K41" s="100">
        <v>259.52</v>
      </c>
      <c r="L41" s="100">
        <v>26.48</v>
      </c>
      <c r="M41" s="100">
        <v>79.53</v>
      </c>
      <c r="N41" s="100">
        <v>144.69999999999999</v>
      </c>
      <c r="O41" s="100">
        <v>0</v>
      </c>
      <c r="P41" s="100">
        <v>0.24</v>
      </c>
      <c r="Q41" s="100">
        <v>9.8800000000000008</v>
      </c>
      <c r="R41" s="6"/>
      <c r="S41" s="6"/>
      <c r="T41" s="156"/>
      <c r="U41" s="6"/>
    </row>
    <row r="42" spans="1:21" customFormat="1">
      <c r="A42" s="163" t="s">
        <v>2097</v>
      </c>
      <c r="B42" s="100">
        <v>3.99</v>
      </c>
      <c r="C42" s="100">
        <v>8.0299999999999994</v>
      </c>
      <c r="D42" s="100">
        <v>4.04</v>
      </c>
      <c r="E42" s="100">
        <v>3.24</v>
      </c>
      <c r="F42" s="100">
        <v>2.42</v>
      </c>
      <c r="G42" s="100">
        <v>16.93</v>
      </c>
      <c r="H42" s="100">
        <v>5.23</v>
      </c>
      <c r="I42" s="100">
        <v>2.93</v>
      </c>
      <c r="J42" s="100">
        <v>0.87</v>
      </c>
      <c r="K42" s="100">
        <v>257.99</v>
      </c>
      <c r="L42" s="100">
        <v>26.76</v>
      </c>
      <c r="M42" s="100">
        <v>79.349999999999994</v>
      </c>
      <c r="N42" s="100">
        <v>154.6</v>
      </c>
      <c r="O42" s="100">
        <v>0</v>
      </c>
      <c r="P42" s="100">
        <v>0.24</v>
      </c>
      <c r="Q42" s="100">
        <v>9.9</v>
      </c>
      <c r="R42" s="6"/>
      <c r="S42" s="6"/>
      <c r="T42" s="156"/>
      <c r="U42" s="6"/>
    </row>
    <row r="43" spans="1:21" customFormat="1">
      <c r="A43" s="163" t="s">
        <v>2098</v>
      </c>
      <c r="B43" s="100">
        <v>3.94</v>
      </c>
      <c r="C43" s="100">
        <v>7.9</v>
      </c>
      <c r="D43" s="100">
        <v>3.96</v>
      </c>
      <c r="E43" s="100">
        <v>3.48</v>
      </c>
      <c r="F43" s="100">
        <v>2.94</v>
      </c>
      <c r="G43" s="100">
        <v>16.93</v>
      </c>
      <c r="H43" s="100">
        <v>5.23</v>
      </c>
      <c r="I43" s="100">
        <v>2.95</v>
      </c>
      <c r="J43" s="100">
        <v>1.19</v>
      </c>
      <c r="K43" s="100">
        <v>256.47000000000003</v>
      </c>
      <c r="L43" s="100">
        <v>26.91</v>
      </c>
      <c r="M43" s="100">
        <v>79.05</v>
      </c>
      <c r="N43" s="100">
        <v>182.3</v>
      </c>
      <c r="O43" s="100">
        <v>0</v>
      </c>
      <c r="P43" s="100">
        <v>0.24</v>
      </c>
      <c r="Q43" s="100">
        <v>9.9</v>
      </c>
      <c r="R43" s="6"/>
      <c r="S43" s="6"/>
      <c r="T43" s="156"/>
      <c r="U43" s="6"/>
    </row>
    <row r="44" spans="1:21" customFormat="1">
      <c r="A44" s="163" t="s">
        <v>2099</v>
      </c>
      <c r="B44" s="100">
        <v>3.93</v>
      </c>
      <c r="C44" s="100">
        <v>7.78</v>
      </c>
      <c r="D44" s="100">
        <v>3.85</v>
      </c>
      <c r="E44" s="100">
        <v>3.34</v>
      </c>
      <c r="F44" s="100">
        <v>3.35</v>
      </c>
      <c r="G44" s="100">
        <v>16.93</v>
      </c>
      <c r="H44" s="100">
        <v>5.23</v>
      </c>
      <c r="I44" s="100">
        <v>2.95</v>
      </c>
      <c r="J44" s="100">
        <v>0.94</v>
      </c>
      <c r="K44" s="100">
        <v>256.10000000000002</v>
      </c>
      <c r="L44" s="100">
        <v>27.32</v>
      </c>
      <c r="M44" s="100">
        <v>78.290000000000006</v>
      </c>
      <c r="N44" s="100">
        <v>182.5</v>
      </c>
      <c r="O44" s="100">
        <v>0</v>
      </c>
      <c r="P44" s="100">
        <v>0.24</v>
      </c>
      <c r="Q44" s="100">
        <v>9.91</v>
      </c>
      <c r="R44" s="6"/>
      <c r="S44" s="6"/>
      <c r="T44" s="156"/>
      <c r="U44" s="6"/>
    </row>
    <row r="45" spans="1:21" customFormat="1">
      <c r="A45" s="163" t="s">
        <v>2100</v>
      </c>
      <c r="B45" s="100">
        <v>3.91</v>
      </c>
      <c r="C45" s="100">
        <v>7.65</v>
      </c>
      <c r="D45" s="100">
        <v>3.74</v>
      </c>
      <c r="E45" s="100">
        <v>3.4</v>
      </c>
      <c r="F45" s="100">
        <v>3.57</v>
      </c>
      <c r="G45" s="100">
        <v>18.93</v>
      </c>
      <c r="H45" s="100">
        <v>5.77</v>
      </c>
      <c r="I45" s="100">
        <v>2.95</v>
      </c>
      <c r="J45" s="100">
        <v>1.21</v>
      </c>
      <c r="K45" s="100">
        <v>253.61</v>
      </c>
      <c r="L45" s="100">
        <v>27.25</v>
      </c>
      <c r="M45" s="100">
        <v>78.08</v>
      </c>
      <c r="N45" s="100">
        <v>160.5</v>
      </c>
      <c r="O45" s="100">
        <v>0</v>
      </c>
      <c r="P45" s="100">
        <v>0.25</v>
      </c>
      <c r="Q45" s="100">
        <v>9.9</v>
      </c>
      <c r="R45" s="6"/>
      <c r="S45" s="6"/>
      <c r="T45" s="156"/>
      <c r="U45" s="6"/>
    </row>
    <row r="46" spans="1:21" customFormat="1">
      <c r="A46" s="163" t="s">
        <v>2101</v>
      </c>
      <c r="B46" s="100">
        <v>3.87</v>
      </c>
      <c r="C46" s="100">
        <v>7.68</v>
      </c>
      <c r="D46" s="100">
        <v>3.81</v>
      </c>
      <c r="E46" s="100">
        <v>3.41</v>
      </c>
      <c r="F46" s="100">
        <v>3.19</v>
      </c>
      <c r="G46" s="100">
        <v>23.86</v>
      </c>
      <c r="H46" s="100">
        <v>6.66</v>
      </c>
      <c r="I46" s="100">
        <v>2.95</v>
      </c>
      <c r="J46" s="100">
        <v>0.89</v>
      </c>
      <c r="K46" s="100">
        <v>263.07</v>
      </c>
      <c r="L46" s="100">
        <v>27.43</v>
      </c>
      <c r="M46" s="100">
        <v>77.77</v>
      </c>
      <c r="N46" s="100">
        <v>141.5</v>
      </c>
      <c r="O46" s="100">
        <v>0</v>
      </c>
      <c r="P46" s="100">
        <v>0.25</v>
      </c>
      <c r="Q46" s="100">
        <v>9.91</v>
      </c>
      <c r="R46" s="6"/>
      <c r="S46" s="6"/>
      <c r="T46" s="156"/>
      <c r="U46" s="6"/>
    </row>
    <row r="47" spans="1:21" customFormat="1">
      <c r="A47" s="163" t="s">
        <v>2102</v>
      </c>
      <c r="B47" s="100">
        <v>3.88</v>
      </c>
      <c r="C47" s="100">
        <v>7.66</v>
      </c>
      <c r="D47" s="100">
        <v>3.78</v>
      </c>
      <c r="E47" s="100">
        <v>3.58</v>
      </c>
      <c r="F47" s="100">
        <v>2.98</v>
      </c>
      <c r="G47" s="100">
        <v>23.86</v>
      </c>
      <c r="H47" s="100">
        <v>6.66</v>
      </c>
      <c r="I47" s="100">
        <v>2.95</v>
      </c>
      <c r="J47" s="100">
        <v>0.78</v>
      </c>
      <c r="K47" s="100">
        <v>256.92</v>
      </c>
      <c r="L47" s="100">
        <v>27.75</v>
      </c>
      <c r="M47" s="100">
        <v>77.099999999999994</v>
      </c>
      <c r="N47" s="100">
        <v>158.69999999999999</v>
      </c>
      <c r="O47" s="100">
        <v>0</v>
      </c>
      <c r="P47" s="100">
        <v>0.25</v>
      </c>
      <c r="Q47" s="100">
        <v>9.89</v>
      </c>
      <c r="R47" s="6"/>
      <c r="S47" s="6"/>
      <c r="T47" s="156"/>
      <c r="U47" s="6"/>
    </row>
    <row r="48" spans="1:21" customFormat="1">
      <c r="A48" s="163" t="s">
        <v>2103</v>
      </c>
      <c r="B48" s="100">
        <v>3.87</v>
      </c>
      <c r="C48" s="100">
        <v>7.67</v>
      </c>
      <c r="D48" s="100">
        <v>3.8</v>
      </c>
      <c r="E48" s="100">
        <v>3.88</v>
      </c>
      <c r="F48" s="100">
        <v>3.12</v>
      </c>
      <c r="G48" s="100">
        <v>23.86</v>
      </c>
      <c r="H48" s="100">
        <v>6.66</v>
      </c>
      <c r="I48" s="100">
        <v>2.93</v>
      </c>
      <c r="J48" s="100">
        <v>1.31</v>
      </c>
      <c r="K48" s="100">
        <v>253.54</v>
      </c>
      <c r="L48" s="100">
        <v>28.09</v>
      </c>
      <c r="M48" s="100">
        <v>74.67</v>
      </c>
      <c r="N48" s="100">
        <v>241.3</v>
      </c>
      <c r="O48" s="100">
        <v>0</v>
      </c>
      <c r="P48" s="100">
        <v>0.25</v>
      </c>
      <c r="Q48" s="100">
        <v>9.9</v>
      </c>
      <c r="R48" s="6"/>
      <c r="S48" s="6"/>
      <c r="T48" s="156"/>
      <c r="U48" s="6"/>
    </row>
    <row r="49" spans="1:21" customFormat="1">
      <c r="A49" s="163" t="s">
        <v>2104</v>
      </c>
      <c r="B49" s="100">
        <v>3.87</v>
      </c>
      <c r="C49" s="100">
        <v>7.64</v>
      </c>
      <c r="D49" s="100">
        <v>3.77</v>
      </c>
      <c r="E49" s="100">
        <v>4.22</v>
      </c>
      <c r="F49" s="100">
        <v>3.7</v>
      </c>
      <c r="G49" s="100">
        <v>24.86</v>
      </c>
      <c r="H49" s="100">
        <v>6.91</v>
      </c>
      <c r="I49" s="100">
        <v>2.92</v>
      </c>
      <c r="J49" s="100">
        <v>1.25</v>
      </c>
      <c r="K49" s="100">
        <v>265.2</v>
      </c>
      <c r="L49" s="100">
        <v>28.64</v>
      </c>
      <c r="M49" s="100">
        <v>71.95</v>
      </c>
      <c r="N49" s="100">
        <v>255.2</v>
      </c>
      <c r="O49" s="100">
        <v>0</v>
      </c>
      <c r="P49" s="100">
        <v>0.26</v>
      </c>
      <c r="Q49" s="100">
        <v>9.91</v>
      </c>
      <c r="R49" s="6"/>
      <c r="S49" s="6"/>
      <c r="T49" s="156"/>
      <c r="U49" s="6"/>
    </row>
    <row r="50" spans="1:21" customFormat="1">
      <c r="A50" s="163" t="s">
        <v>2105</v>
      </c>
      <c r="B50" s="100">
        <v>3.88</v>
      </c>
      <c r="C50" s="100">
        <v>7.83</v>
      </c>
      <c r="D50" s="100">
        <v>3.94</v>
      </c>
      <c r="E50" s="100">
        <v>5.08</v>
      </c>
      <c r="F50" s="100">
        <v>3.15</v>
      </c>
      <c r="G50" s="100">
        <v>27.32</v>
      </c>
      <c r="H50" s="100">
        <v>7.93</v>
      </c>
      <c r="I50" s="100">
        <v>2.94</v>
      </c>
      <c r="J50" s="100">
        <v>1.42</v>
      </c>
      <c r="K50" s="100">
        <v>264.41000000000003</v>
      </c>
      <c r="L50" s="100">
        <v>28.85</v>
      </c>
      <c r="M50" s="100">
        <v>70.03</v>
      </c>
      <c r="N50" s="100">
        <v>251.4</v>
      </c>
      <c r="O50" s="100">
        <v>0</v>
      </c>
      <c r="P50" s="100">
        <v>0.27</v>
      </c>
      <c r="Q50" s="100">
        <v>9.89</v>
      </c>
      <c r="R50" s="6"/>
      <c r="S50" s="6"/>
      <c r="T50" s="156"/>
      <c r="U50" s="6"/>
    </row>
    <row r="51" spans="1:21" customFormat="1">
      <c r="A51" s="163" t="s">
        <v>2106</v>
      </c>
      <c r="B51" s="100">
        <v>3.85</v>
      </c>
      <c r="C51" s="100">
        <v>7.71</v>
      </c>
      <c r="D51" s="100">
        <v>3.86</v>
      </c>
      <c r="E51" s="100">
        <v>5.46</v>
      </c>
      <c r="F51" s="100">
        <v>3.48</v>
      </c>
      <c r="G51" s="100">
        <v>27.32</v>
      </c>
      <c r="H51" s="100">
        <v>7.93</v>
      </c>
      <c r="I51" s="100">
        <v>2.95</v>
      </c>
      <c r="J51" s="100">
        <v>1.36</v>
      </c>
      <c r="K51" s="100">
        <v>253.81</v>
      </c>
      <c r="L51" s="100">
        <v>28.93</v>
      </c>
      <c r="M51" s="100">
        <v>69.45</v>
      </c>
      <c r="N51" s="100">
        <v>220.3</v>
      </c>
      <c r="O51" s="100">
        <v>0</v>
      </c>
      <c r="P51" s="100">
        <v>0.26</v>
      </c>
      <c r="Q51" s="100">
        <v>9.9</v>
      </c>
      <c r="R51" s="6"/>
      <c r="S51" s="6"/>
      <c r="T51" s="156"/>
      <c r="U51" s="6"/>
    </row>
    <row r="52" spans="1:21" customFormat="1">
      <c r="A52" s="163" t="s">
        <v>2107</v>
      </c>
      <c r="B52" s="100">
        <v>3.87</v>
      </c>
      <c r="C52" s="100">
        <v>7.49</v>
      </c>
      <c r="D52" s="100">
        <v>3.63</v>
      </c>
      <c r="E52" s="100">
        <v>5.0199999999999996</v>
      </c>
      <c r="F52" s="100">
        <v>4.75</v>
      </c>
      <c r="G52" s="100">
        <v>27.32</v>
      </c>
      <c r="H52" s="100">
        <v>7.93</v>
      </c>
      <c r="I52" s="100">
        <v>3.02</v>
      </c>
      <c r="J52" s="100">
        <v>1.5</v>
      </c>
      <c r="K52" s="100">
        <v>257.93</v>
      </c>
      <c r="L52" s="100">
        <v>29.17</v>
      </c>
      <c r="M52" s="100">
        <v>67.17</v>
      </c>
      <c r="N52" s="100">
        <v>289.89999999999998</v>
      </c>
      <c r="O52" s="100">
        <v>0</v>
      </c>
      <c r="P52" s="100">
        <v>0.26</v>
      </c>
      <c r="Q52" s="100">
        <v>9.91</v>
      </c>
      <c r="R52" s="6"/>
      <c r="S52" s="6"/>
      <c r="T52" s="156"/>
      <c r="U52" s="6"/>
    </row>
    <row r="53" spans="1:21" customFormat="1">
      <c r="A53" s="163" t="s">
        <v>2108</v>
      </c>
      <c r="B53" s="100">
        <v>3.77</v>
      </c>
      <c r="C53" s="100">
        <v>7.49</v>
      </c>
      <c r="D53" s="100">
        <v>3.72</v>
      </c>
      <c r="E53" s="100">
        <v>5.03</v>
      </c>
      <c r="F53" s="100">
        <v>4.0999999999999996</v>
      </c>
      <c r="G53" s="100">
        <v>28.69</v>
      </c>
      <c r="H53" s="100">
        <v>8.15</v>
      </c>
      <c r="I53" s="100">
        <v>3.11</v>
      </c>
      <c r="J53" s="100">
        <v>1.35</v>
      </c>
      <c r="K53" s="100">
        <v>257.39</v>
      </c>
      <c r="L53" s="100">
        <v>29.7</v>
      </c>
      <c r="M53" s="100">
        <v>66.680000000000007</v>
      </c>
      <c r="N53" s="100">
        <v>306.89999999999998</v>
      </c>
      <c r="O53" s="100">
        <v>0</v>
      </c>
      <c r="P53" s="100">
        <v>0.26</v>
      </c>
      <c r="Q53" s="100">
        <v>9.9</v>
      </c>
      <c r="R53" s="6"/>
      <c r="S53" s="6"/>
      <c r="T53" s="156"/>
      <c r="U53" s="6"/>
    </row>
    <row r="54" spans="1:21" customFormat="1">
      <c r="A54" s="163" t="s">
        <v>2109</v>
      </c>
      <c r="B54" s="100">
        <v>3.76</v>
      </c>
      <c r="C54" s="100">
        <v>7.5</v>
      </c>
      <c r="D54" s="100">
        <v>3.73</v>
      </c>
      <c r="E54" s="100">
        <v>5.53</v>
      </c>
      <c r="F54" s="100">
        <v>2.97</v>
      </c>
      <c r="G54" s="100">
        <v>32.24</v>
      </c>
      <c r="H54" s="100">
        <v>8.52</v>
      </c>
      <c r="I54" s="100">
        <v>3.08</v>
      </c>
      <c r="J54" s="100">
        <v>1.36</v>
      </c>
      <c r="K54" s="100">
        <v>257.89999999999998</v>
      </c>
      <c r="L54" s="100">
        <v>29.5</v>
      </c>
      <c r="M54" s="100">
        <v>67.010000000000005</v>
      </c>
      <c r="N54" s="100">
        <v>252.4</v>
      </c>
      <c r="O54" s="100">
        <v>0</v>
      </c>
      <c r="P54" s="100">
        <v>0.26</v>
      </c>
      <c r="Q54" s="100">
        <v>9.8699999999999992</v>
      </c>
      <c r="R54" s="6"/>
      <c r="S54" s="6"/>
      <c r="T54" s="156"/>
      <c r="U54" s="6"/>
    </row>
    <row r="55" spans="1:21" customFormat="1">
      <c r="A55" s="163" t="s">
        <v>2110</v>
      </c>
      <c r="B55" s="100">
        <v>3.86</v>
      </c>
      <c r="C55" s="100">
        <v>7.37</v>
      </c>
      <c r="D55" s="100">
        <v>3.51</v>
      </c>
      <c r="E55" s="100">
        <v>5.22</v>
      </c>
      <c r="F55" s="100">
        <v>3.94</v>
      </c>
      <c r="G55" s="100">
        <v>32.24</v>
      </c>
      <c r="H55" s="100">
        <v>8.52</v>
      </c>
      <c r="I55" s="100">
        <v>3.04</v>
      </c>
      <c r="J55" s="100">
        <v>1.24</v>
      </c>
      <c r="K55" s="100">
        <v>274.19</v>
      </c>
      <c r="L55" s="100">
        <v>29.65</v>
      </c>
      <c r="M55" s="100">
        <v>66.92</v>
      </c>
      <c r="N55" s="100">
        <v>240.9</v>
      </c>
      <c r="O55" s="100">
        <v>0</v>
      </c>
      <c r="P55" s="100">
        <v>0.27</v>
      </c>
      <c r="Q55" s="100">
        <v>9.89</v>
      </c>
      <c r="R55" s="6"/>
      <c r="S55" s="6"/>
      <c r="T55" s="156"/>
      <c r="U55" s="6"/>
    </row>
    <row r="56" spans="1:21" customFormat="1">
      <c r="A56" s="163" t="s">
        <v>2111</v>
      </c>
      <c r="B56" s="100">
        <v>3.85</v>
      </c>
      <c r="C56" s="100">
        <v>7.46</v>
      </c>
      <c r="D56" s="100">
        <v>3.61</v>
      </c>
      <c r="E56" s="100">
        <v>5.63</v>
      </c>
      <c r="F56" s="100">
        <v>4.1500000000000004</v>
      </c>
      <c r="G56" s="100">
        <v>32.24</v>
      </c>
      <c r="H56" s="100">
        <v>8.52</v>
      </c>
      <c r="I56" s="100">
        <v>3.13</v>
      </c>
      <c r="J56" s="100">
        <v>1.31</v>
      </c>
      <c r="K56" s="100">
        <v>257.91000000000003</v>
      </c>
      <c r="L56" s="100">
        <v>29.42</v>
      </c>
      <c r="M56" s="100">
        <v>67.22</v>
      </c>
      <c r="N56" s="100">
        <v>186.7</v>
      </c>
      <c r="O56" s="100">
        <v>0</v>
      </c>
      <c r="P56" s="100">
        <v>0.27</v>
      </c>
      <c r="Q56" s="100">
        <v>9.9</v>
      </c>
      <c r="R56" s="6"/>
      <c r="S56" s="6"/>
      <c r="T56" s="156"/>
      <c r="U56" s="6"/>
    </row>
    <row r="57" spans="1:21" customFormat="1">
      <c r="A57" s="163" t="s">
        <v>2112</v>
      </c>
      <c r="B57" s="100">
        <v>3.89</v>
      </c>
      <c r="C57" s="100">
        <v>7.77</v>
      </c>
      <c r="D57" s="100">
        <v>3.88</v>
      </c>
      <c r="E57" s="100">
        <v>5.41</v>
      </c>
      <c r="F57" s="100">
        <v>3.09</v>
      </c>
      <c r="G57" s="100">
        <v>33.46</v>
      </c>
      <c r="H57" s="100">
        <v>8.4499999999999993</v>
      </c>
      <c r="I57" s="100">
        <v>3.18</v>
      </c>
      <c r="J57" s="100">
        <v>1.19</v>
      </c>
      <c r="K57" s="100">
        <v>256.3</v>
      </c>
      <c r="L57" s="100">
        <v>29.26</v>
      </c>
      <c r="M57" s="100">
        <v>67.930000000000007</v>
      </c>
      <c r="N57" s="100">
        <v>157.4</v>
      </c>
      <c r="O57" s="100">
        <v>0</v>
      </c>
      <c r="P57" s="100">
        <v>0.31</v>
      </c>
      <c r="Q57" s="100">
        <v>9.9</v>
      </c>
      <c r="R57" s="6"/>
      <c r="S57" s="6"/>
      <c r="T57" s="156"/>
      <c r="U57" s="6"/>
    </row>
    <row r="58" spans="1:21" customFormat="1">
      <c r="A58" s="163" t="s">
        <v>2113</v>
      </c>
      <c r="B58" s="100">
        <v>3.97</v>
      </c>
      <c r="C58" s="100">
        <v>7.88</v>
      </c>
      <c r="D58" s="100">
        <v>3.91</v>
      </c>
      <c r="E58" s="100">
        <v>5.38</v>
      </c>
      <c r="F58" s="100">
        <v>3.75</v>
      </c>
      <c r="G58" s="100">
        <v>36.47</v>
      </c>
      <c r="H58" s="100">
        <v>8.34</v>
      </c>
      <c r="I58" s="100">
        <v>3.37</v>
      </c>
      <c r="J58" s="100">
        <v>1.1299999999999999</v>
      </c>
      <c r="K58" s="100">
        <v>255.21</v>
      </c>
      <c r="L58" s="100">
        <v>29.26</v>
      </c>
      <c r="M58" s="100">
        <v>68.16</v>
      </c>
      <c r="N58" s="100">
        <v>124.4</v>
      </c>
      <c r="O58" s="100">
        <v>0</v>
      </c>
      <c r="P58" s="100">
        <v>0.35</v>
      </c>
      <c r="Q58" s="100">
        <v>9.89</v>
      </c>
      <c r="R58" s="6"/>
      <c r="S58" s="6"/>
      <c r="T58" s="156"/>
      <c r="U58" s="6"/>
    </row>
    <row r="59" spans="1:21" customFormat="1">
      <c r="A59" s="163" t="s">
        <v>2114</v>
      </c>
      <c r="B59" s="100">
        <v>4.04</v>
      </c>
      <c r="C59" s="100">
        <v>7.7</v>
      </c>
      <c r="D59" s="100">
        <v>3.66</v>
      </c>
      <c r="E59" s="100">
        <v>4.3899999999999997</v>
      </c>
      <c r="F59" s="100">
        <v>4.67</v>
      </c>
      <c r="G59" s="100">
        <v>36.47</v>
      </c>
      <c r="H59" s="100">
        <v>8.34</v>
      </c>
      <c r="I59" s="100">
        <v>3.63</v>
      </c>
      <c r="J59" s="100">
        <v>0.83</v>
      </c>
      <c r="K59" s="100">
        <v>257.02999999999997</v>
      </c>
      <c r="L59" s="100">
        <v>29.51</v>
      </c>
      <c r="M59" s="100">
        <v>67.89</v>
      </c>
      <c r="N59" s="100">
        <v>161.69999999999999</v>
      </c>
      <c r="O59" s="100">
        <v>0</v>
      </c>
      <c r="P59" s="100">
        <v>0.36</v>
      </c>
      <c r="Q59" s="100">
        <v>9.91</v>
      </c>
      <c r="R59" s="6"/>
      <c r="S59" s="6"/>
      <c r="T59" s="156"/>
      <c r="U59" s="6"/>
    </row>
    <row r="60" spans="1:21" customFormat="1">
      <c r="A60" s="163" t="s">
        <v>2115</v>
      </c>
      <c r="B60" s="100">
        <v>4.17</v>
      </c>
      <c r="C60" s="100">
        <v>7.58</v>
      </c>
      <c r="D60" s="100">
        <v>3.42</v>
      </c>
      <c r="E60" s="100">
        <v>4.88</v>
      </c>
      <c r="F60" s="100">
        <v>5.21</v>
      </c>
      <c r="G60" s="100">
        <v>36.47</v>
      </c>
      <c r="H60" s="100">
        <v>8.34</v>
      </c>
      <c r="I60" s="100">
        <v>4.13</v>
      </c>
      <c r="J60" s="100">
        <v>0.79</v>
      </c>
      <c r="K60" s="100">
        <v>255.87</v>
      </c>
      <c r="L60" s="100">
        <v>29.86</v>
      </c>
      <c r="M60" s="100">
        <v>67.400000000000006</v>
      </c>
      <c r="N60" s="100">
        <v>189.5</v>
      </c>
      <c r="O60" s="100">
        <v>0</v>
      </c>
      <c r="P60" s="100">
        <v>0.36</v>
      </c>
      <c r="Q60" s="100">
        <v>9.9</v>
      </c>
      <c r="R60" s="6"/>
      <c r="S60" s="6"/>
      <c r="T60" s="156"/>
      <c r="U60" s="6"/>
    </row>
    <row r="61" spans="1:21" customFormat="1">
      <c r="A61" s="163" t="s">
        <v>2116</v>
      </c>
      <c r="B61" s="100">
        <v>4.1399999999999997</v>
      </c>
      <c r="C61" s="100">
        <v>7.68</v>
      </c>
      <c r="D61" s="100">
        <v>3.54</v>
      </c>
      <c r="E61" s="100">
        <v>4.84</v>
      </c>
      <c r="F61" s="100">
        <v>6.83</v>
      </c>
      <c r="G61" s="100">
        <v>39.58</v>
      </c>
      <c r="H61" s="100">
        <v>8.56</v>
      </c>
      <c r="I61" s="100">
        <v>4.54</v>
      </c>
      <c r="J61" s="100">
        <v>1.35</v>
      </c>
      <c r="K61" s="100">
        <v>263.27</v>
      </c>
      <c r="L61" s="100">
        <v>29.78</v>
      </c>
      <c r="M61" s="100">
        <v>65.849999999999994</v>
      </c>
      <c r="N61" s="100">
        <v>163.5</v>
      </c>
      <c r="O61" s="100">
        <v>0</v>
      </c>
      <c r="P61" s="100">
        <v>0.38</v>
      </c>
      <c r="Q61" s="100">
        <v>9.91</v>
      </c>
      <c r="R61" s="6"/>
      <c r="S61" s="6"/>
      <c r="T61" s="156"/>
      <c r="U61" s="6"/>
    </row>
    <row r="62" spans="1:21" customFormat="1">
      <c r="A62" s="163" t="s">
        <v>2117</v>
      </c>
      <c r="B62" s="100">
        <v>4.24</v>
      </c>
      <c r="C62" s="100">
        <v>7.75</v>
      </c>
      <c r="D62" s="100">
        <v>3.51</v>
      </c>
      <c r="E62" s="100">
        <v>4.54</v>
      </c>
      <c r="F62" s="100">
        <v>5.79</v>
      </c>
      <c r="G62" s="100">
        <v>47.66</v>
      </c>
      <c r="H62" s="100">
        <v>8.92</v>
      </c>
      <c r="I62" s="100">
        <v>4.76</v>
      </c>
      <c r="J62" s="100">
        <v>1.17</v>
      </c>
      <c r="K62" s="100">
        <v>269.47000000000003</v>
      </c>
      <c r="L62" s="100">
        <v>30.1</v>
      </c>
      <c r="M62" s="100">
        <v>64.28</v>
      </c>
      <c r="N62" s="100">
        <v>162.5</v>
      </c>
      <c r="O62" s="100">
        <v>0</v>
      </c>
      <c r="P62" s="100">
        <v>0.36</v>
      </c>
      <c r="Q62" s="100">
        <v>9.92</v>
      </c>
      <c r="R62" s="6"/>
      <c r="S62" s="6"/>
      <c r="T62" s="156"/>
      <c r="U62" s="6"/>
    </row>
    <row r="63" spans="1:21" customFormat="1">
      <c r="A63" s="163" t="s">
        <v>2118</v>
      </c>
      <c r="B63" s="100">
        <v>4.21</v>
      </c>
      <c r="C63" s="100">
        <v>7.91</v>
      </c>
      <c r="D63" s="100">
        <v>3.7</v>
      </c>
      <c r="E63" s="100">
        <v>4.3099999999999996</v>
      </c>
      <c r="F63" s="100">
        <v>5.51</v>
      </c>
      <c r="G63" s="100">
        <v>47.66</v>
      </c>
      <c r="H63" s="100">
        <v>8.92</v>
      </c>
      <c r="I63" s="100">
        <v>5.28</v>
      </c>
      <c r="J63" s="100">
        <v>1.57</v>
      </c>
      <c r="K63" s="100">
        <v>268.88</v>
      </c>
      <c r="L63" s="100">
        <v>29.92</v>
      </c>
      <c r="M63" s="100">
        <v>63.36</v>
      </c>
      <c r="N63" s="100">
        <v>140</v>
      </c>
      <c r="O63" s="100">
        <v>0</v>
      </c>
      <c r="P63" s="100">
        <v>0.36</v>
      </c>
      <c r="Q63" s="100">
        <v>9.92</v>
      </c>
      <c r="R63" s="6"/>
      <c r="S63" s="6"/>
      <c r="T63" s="156"/>
      <c r="U63" s="6"/>
    </row>
    <row r="64" spans="1:21" customFormat="1">
      <c r="A64" s="163" t="s">
        <v>2119</v>
      </c>
      <c r="B64" s="100">
        <v>4.05</v>
      </c>
      <c r="C64" s="100">
        <v>7.44</v>
      </c>
      <c r="D64" s="100">
        <v>3.39</v>
      </c>
      <c r="E64" s="100">
        <v>3.89</v>
      </c>
      <c r="F64" s="100">
        <v>4.8499999999999996</v>
      </c>
      <c r="G64" s="100">
        <v>47.66</v>
      </c>
      <c r="H64" s="100">
        <v>8.92</v>
      </c>
      <c r="I64" s="100">
        <v>5.0999999999999996</v>
      </c>
      <c r="J64" s="100">
        <v>1.32</v>
      </c>
      <c r="K64" s="100">
        <v>266.95999999999998</v>
      </c>
      <c r="L64" s="100">
        <v>29.56</v>
      </c>
      <c r="M64" s="100">
        <v>65.040000000000006</v>
      </c>
      <c r="N64" s="100">
        <v>109.5</v>
      </c>
      <c r="O64" s="100">
        <v>0</v>
      </c>
      <c r="P64" s="100">
        <v>0.35</v>
      </c>
      <c r="Q64" s="100">
        <v>9.92</v>
      </c>
      <c r="R64" s="6"/>
      <c r="S64" s="6"/>
      <c r="T64" s="156"/>
      <c r="U64" s="6"/>
    </row>
    <row r="65" spans="1:21" customFormat="1">
      <c r="A65" s="163" t="s">
        <v>2120</v>
      </c>
      <c r="B65" s="100">
        <v>4</v>
      </c>
      <c r="C65" s="100">
        <v>7.26</v>
      </c>
      <c r="D65" s="100">
        <v>3.26</v>
      </c>
      <c r="E65" s="100">
        <v>3.65</v>
      </c>
      <c r="F65" s="100">
        <v>5.29</v>
      </c>
      <c r="G65" s="100">
        <v>47.59</v>
      </c>
      <c r="H65" s="100">
        <v>10.1</v>
      </c>
      <c r="I65" s="100">
        <v>5.0999999999999996</v>
      </c>
      <c r="J65" s="100">
        <v>1.2</v>
      </c>
      <c r="K65" s="100">
        <v>263.58999999999997</v>
      </c>
      <c r="L65" s="100">
        <v>29.36</v>
      </c>
      <c r="M65" s="100">
        <v>66.319999999999993</v>
      </c>
      <c r="N65" s="100">
        <v>104.8</v>
      </c>
      <c r="O65" s="100">
        <v>0</v>
      </c>
      <c r="P65" s="100">
        <v>0.36</v>
      </c>
      <c r="Q65" s="100">
        <v>9.91</v>
      </c>
      <c r="R65" s="6"/>
      <c r="S65" s="6"/>
      <c r="T65" s="156"/>
      <c r="U65" s="6"/>
    </row>
    <row r="66" spans="1:21" customFormat="1">
      <c r="A66" s="163" t="s">
        <v>2121</v>
      </c>
      <c r="B66" s="100">
        <v>3.89</v>
      </c>
      <c r="C66" s="100">
        <v>7.67</v>
      </c>
      <c r="D66" s="100">
        <v>3.78</v>
      </c>
      <c r="E66" s="100">
        <v>3.86</v>
      </c>
      <c r="F66" s="100">
        <v>3.6</v>
      </c>
      <c r="G66" s="100">
        <v>47.41</v>
      </c>
      <c r="H66" s="100">
        <v>12.03</v>
      </c>
      <c r="I66" s="100">
        <v>5.12</v>
      </c>
      <c r="J66" s="100">
        <v>1.31</v>
      </c>
      <c r="K66" s="100">
        <v>279.29000000000002</v>
      </c>
      <c r="L66" s="100">
        <v>29.38</v>
      </c>
      <c r="M66" s="100">
        <v>67.44</v>
      </c>
      <c r="N66" s="100">
        <v>158.6</v>
      </c>
      <c r="O66" s="100">
        <v>0</v>
      </c>
      <c r="P66" s="100">
        <v>0.39</v>
      </c>
      <c r="Q66" s="100">
        <v>9.91</v>
      </c>
      <c r="R66" s="6"/>
      <c r="S66" s="6"/>
      <c r="T66" s="156"/>
      <c r="U66" s="6"/>
    </row>
    <row r="67" spans="1:21" customFormat="1">
      <c r="A67" s="163" t="s">
        <v>2122</v>
      </c>
      <c r="B67" s="100">
        <v>3.98</v>
      </c>
      <c r="C67" s="100">
        <v>7.9</v>
      </c>
      <c r="D67" s="100">
        <v>3.92</v>
      </c>
      <c r="E67" s="100">
        <v>4.0199999999999996</v>
      </c>
      <c r="F67" s="100">
        <v>3.92</v>
      </c>
      <c r="G67" s="100">
        <v>47.41</v>
      </c>
      <c r="H67" s="100">
        <v>12.03</v>
      </c>
      <c r="I67" s="100">
        <v>5.0599999999999996</v>
      </c>
      <c r="J67" s="100">
        <v>1.17</v>
      </c>
      <c r="K67" s="100">
        <v>265.06</v>
      </c>
      <c r="L67" s="100">
        <v>29.43</v>
      </c>
      <c r="M67" s="100">
        <v>68.680000000000007</v>
      </c>
      <c r="N67" s="100">
        <v>171.9</v>
      </c>
      <c r="O67" s="100">
        <v>0</v>
      </c>
      <c r="P67" s="100">
        <v>0.39</v>
      </c>
      <c r="Q67" s="100">
        <v>9.92</v>
      </c>
      <c r="R67" s="6"/>
      <c r="S67" s="6"/>
      <c r="T67" s="156"/>
      <c r="U67" s="6"/>
    </row>
    <row r="68" spans="1:21" customFormat="1">
      <c r="A68" s="163" t="s">
        <v>2123</v>
      </c>
      <c r="B68" s="100">
        <v>4.12</v>
      </c>
      <c r="C68" s="100">
        <v>7.93</v>
      </c>
      <c r="D68" s="100">
        <v>3.81</v>
      </c>
      <c r="E68" s="100">
        <v>3.67</v>
      </c>
      <c r="F68" s="100">
        <v>4.08</v>
      </c>
      <c r="G68" s="100">
        <v>47.41</v>
      </c>
      <c r="H68" s="100">
        <v>12.03</v>
      </c>
      <c r="I68" s="100">
        <v>5.16</v>
      </c>
      <c r="J68" s="100">
        <v>1.82</v>
      </c>
      <c r="K68" s="100">
        <v>294.62</v>
      </c>
      <c r="L68" s="100">
        <v>28.49</v>
      </c>
      <c r="M68" s="100">
        <v>74.86</v>
      </c>
      <c r="N68" s="100">
        <v>127.8</v>
      </c>
      <c r="O68" s="100">
        <v>0</v>
      </c>
      <c r="P68" s="100">
        <v>0.38</v>
      </c>
      <c r="Q68" s="100">
        <v>9.93</v>
      </c>
      <c r="R68" s="6"/>
      <c r="S68" s="6"/>
      <c r="T68" s="156"/>
      <c r="U68" s="6"/>
    </row>
    <row r="69" spans="1:21" customFormat="1">
      <c r="A69" s="163" t="s">
        <v>2124</v>
      </c>
      <c r="B69" s="100">
        <v>4.21</v>
      </c>
      <c r="C69" s="100">
        <v>8.0299999999999994</v>
      </c>
      <c r="D69" s="100">
        <v>3.82</v>
      </c>
      <c r="E69" s="100">
        <v>3.24</v>
      </c>
      <c r="F69" s="100">
        <v>4.75</v>
      </c>
      <c r="G69" s="100">
        <v>47.44</v>
      </c>
      <c r="H69" s="100">
        <v>12.84</v>
      </c>
      <c r="I69" s="100">
        <v>5.09</v>
      </c>
      <c r="J69" s="100">
        <v>0.92</v>
      </c>
      <c r="K69" s="100">
        <v>275.64999999999998</v>
      </c>
      <c r="L69" s="100">
        <v>27.54</v>
      </c>
      <c r="M69" s="100">
        <v>82.01</v>
      </c>
      <c r="N69" s="100">
        <v>117.6</v>
      </c>
      <c r="O69" s="100">
        <v>0</v>
      </c>
      <c r="P69" s="100">
        <v>0.37</v>
      </c>
      <c r="Q69" s="100">
        <v>9.93</v>
      </c>
      <c r="R69" s="6"/>
      <c r="S69" s="6"/>
      <c r="T69" s="156"/>
      <c r="U69" s="6"/>
    </row>
    <row r="70" spans="1:21" customFormat="1">
      <c r="A70" s="163" t="s">
        <v>2125</v>
      </c>
      <c r="B70" s="100">
        <v>4.22</v>
      </c>
      <c r="C70" s="100">
        <v>8.0500000000000007</v>
      </c>
      <c r="D70" s="100">
        <v>3.83</v>
      </c>
      <c r="E70" s="100">
        <v>3.59</v>
      </c>
      <c r="F70" s="100">
        <v>3.59</v>
      </c>
      <c r="G70" s="100">
        <v>47.51</v>
      </c>
      <c r="H70" s="100">
        <v>14.17</v>
      </c>
      <c r="I70" s="100">
        <v>5.1100000000000003</v>
      </c>
      <c r="J70" s="100">
        <v>0.81</v>
      </c>
      <c r="K70" s="100">
        <v>292.38</v>
      </c>
      <c r="L70" s="100">
        <v>27.64</v>
      </c>
      <c r="M70" s="100">
        <v>81.58</v>
      </c>
      <c r="N70" s="100">
        <v>115.3</v>
      </c>
      <c r="O70" s="100">
        <v>0</v>
      </c>
      <c r="P70" s="100">
        <v>0.4</v>
      </c>
      <c r="Q70" s="100">
        <v>9.91</v>
      </c>
      <c r="R70" s="6"/>
      <c r="S70" s="6"/>
      <c r="T70" s="156"/>
      <c r="U70" s="6"/>
    </row>
    <row r="71" spans="1:21" customFormat="1">
      <c r="A71" s="163" t="s">
        <v>2126</v>
      </c>
      <c r="B71" s="100">
        <v>4.66</v>
      </c>
      <c r="C71" s="100">
        <v>9.39</v>
      </c>
      <c r="D71" s="100">
        <v>4.72</v>
      </c>
      <c r="E71" s="100">
        <v>3.77</v>
      </c>
      <c r="F71" s="100">
        <v>3.84</v>
      </c>
      <c r="G71" s="100">
        <v>47.51</v>
      </c>
      <c r="H71" s="100">
        <v>14.17</v>
      </c>
      <c r="I71" s="100">
        <v>5.0199999999999996</v>
      </c>
      <c r="J71" s="100">
        <v>0.76</v>
      </c>
      <c r="K71" s="100">
        <v>302.32</v>
      </c>
      <c r="L71" s="100">
        <v>27.98</v>
      </c>
      <c r="M71" s="100">
        <v>79.099999999999994</v>
      </c>
      <c r="N71" s="100">
        <v>74.3</v>
      </c>
      <c r="O71" s="100">
        <v>0</v>
      </c>
      <c r="P71" s="100">
        <v>0.41</v>
      </c>
      <c r="Q71" s="100">
        <v>9.91</v>
      </c>
      <c r="R71" s="6"/>
      <c r="S71" s="6"/>
      <c r="T71" s="156"/>
      <c r="U71" s="6"/>
    </row>
    <row r="72" spans="1:21" customFormat="1">
      <c r="A72" s="163" t="s">
        <v>2127</v>
      </c>
      <c r="B72" s="100">
        <v>5.7</v>
      </c>
      <c r="C72" s="100">
        <v>11.69</v>
      </c>
      <c r="D72" s="100">
        <v>5.99</v>
      </c>
      <c r="E72" s="100">
        <v>3.75</v>
      </c>
      <c r="F72" s="100">
        <v>5.21</v>
      </c>
      <c r="G72" s="100">
        <v>47.51</v>
      </c>
      <c r="H72" s="100">
        <v>14.17</v>
      </c>
      <c r="I72" s="100">
        <v>5.16</v>
      </c>
      <c r="J72" s="100">
        <v>0.82</v>
      </c>
      <c r="K72" s="100">
        <v>331.78</v>
      </c>
      <c r="L72" s="100">
        <v>27.73</v>
      </c>
      <c r="M72" s="100">
        <v>80.31</v>
      </c>
      <c r="N72" s="100">
        <v>32.200000000000003</v>
      </c>
      <c r="O72" s="100">
        <v>0</v>
      </c>
      <c r="P72" s="100">
        <v>0.41</v>
      </c>
      <c r="Q72" s="100">
        <v>9.92</v>
      </c>
      <c r="R72" s="6"/>
      <c r="S72" s="6"/>
      <c r="T72" s="156"/>
      <c r="U72" s="6"/>
    </row>
    <row r="73" spans="1:21" customFormat="1">
      <c r="A73" s="163" t="s">
        <v>2128</v>
      </c>
      <c r="B73" s="100">
        <v>5.41</v>
      </c>
      <c r="C73" s="100">
        <v>10.52</v>
      </c>
      <c r="D73" s="100">
        <v>5.1100000000000003</v>
      </c>
      <c r="E73" s="100">
        <v>3.81</v>
      </c>
      <c r="F73" s="100">
        <v>3.72</v>
      </c>
      <c r="G73" s="100">
        <v>48.27</v>
      </c>
      <c r="H73" s="100">
        <v>14.67</v>
      </c>
      <c r="I73" s="100">
        <v>5.17</v>
      </c>
      <c r="J73" s="100">
        <v>0.94</v>
      </c>
      <c r="K73" s="100">
        <v>315.67</v>
      </c>
      <c r="L73" s="100">
        <v>26.17</v>
      </c>
      <c r="M73" s="100">
        <v>88.64</v>
      </c>
      <c r="N73" s="100">
        <v>28.9</v>
      </c>
      <c r="O73" s="100">
        <v>0.2</v>
      </c>
      <c r="P73" s="100">
        <v>0.39</v>
      </c>
      <c r="Q73" s="100">
        <v>9.93</v>
      </c>
      <c r="R73" s="6"/>
      <c r="S73" s="6"/>
      <c r="T73" s="156"/>
      <c r="U73" s="6"/>
    </row>
    <row r="74" spans="1:21" customFormat="1">
      <c r="A74" s="163" t="s">
        <v>2129</v>
      </c>
      <c r="B74" s="100">
        <v>5.04</v>
      </c>
      <c r="C74" s="100">
        <v>9.64</v>
      </c>
      <c r="D74" s="100">
        <v>4.5999999999999996</v>
      </c>
      <c r="E74" s="100">
        <v>3.92</v>
      </c>
      <c r="F74" s="100">
        <v>2.63</v>
      </c>
      <c r="G74" s="100">
        <v>50.15</v>
      </c>
      <c r="H74" s="100">
        <v>16.7</v>
      </c>
      <c r="I74" s="100">
        <v>5.14</v>
      </c>
      <c r="J74" s="100">
        <v>0.54</v>
      </c>
      <c r="K74" s="100">
        <v>7.95</v>
      </c>
      <c r="L74" s="100">
        <v>25.42</v>
      </c>
      <c r="M74" s="100">
        <v>94.54</v>
      </c>
      <c r="N74" s="100">
        <v>33</v>
      </c>
      <c r="O74" s="100">
        <v>0</v>
      </c>
      <c r="P74" s="100">
        <v>0.42</v>
      </c>
      <c r="Q74" s="100">
        <v>9.92</v>
      </c>
      <c r="R74" s="6"/>
      <c r="S74" s="6"/>
      <c r="T74" s="156"/>
      <c r="U74" s="6"/>
    </row>
    <row r="75" spans="1:21" customFormat="1">
      <c r="A75" s="163" t="s">
        <v>2130</v>
      </c>
      <c r="B75" s="100">
        <v>5.32</v>
      </c>
      <c r="C75" s="100">
        <v>10.130000000000001</v>
      </c>
      <c r="D75" s="100">
        <v>4.8099999999999996</v>
      </c>
      <c r="E75" s="100">
        <v>4.26</v>
      </c>
      <c r="F75" s="100">
        <v>2.4</v>
      </c>
      <c r="G75" s="100">
        <v>50.15</v>
      </c>
      <c r="H75" s="100">
        <v>16.7</v>
      </c>
      <c r="I75" s="100">
        <v>5.08</v>
      </c>
      <c r="J75" s="100">
        <v>0.56000000000000005</v>
      </c>
      <c r="K75" s="100">
        <v>334.98</v>
      </c>
      <c r="L75" s="100">
        <v>25.42</v>
      </c>
      <c r="M75" s="100">
        <v>94.94</v>
      </c>
      <c r="N75" s="100">
        <v>22.3</v>
      </c>
      <c r="O75" s="100">
        <v>0</v>
      </c>
      <c r="P75" s="100">
        <v>0.42</v>
      </c>
      <c r="Q75" s="100">
        <v>9.94</v>
      </c>
      <c r="R75" s="6"/>
      <c r="S75" s="6"/>
      <c r="T75" s="156"/>
      <c r="U75" s="6"/>
    </row>
    <row r="76" spans="1:21" customFormat="1">
      <c r="A76" s="163" t="s">
        <v>2131</v>
      </c>
      <c r="B76" s="100">
        <v>5.67</v>
      </c>
      <c r="C76" s="100">
        <v>11.69</v>
      </c>
      <c r="D76" s="100">
        <v>6.02</v>
      </c>
      <c r="E76" s="100">
        <v>4.1100000000000003</v>
      </c>
      <c r="F76" s="100">
        <v>2.77</v>
      </c>
      <c r="G76" s="100">
        <v>50.15</v>
      </c>
      <c r="H76" s="100">
        <v>16.7</v>
      </c>
      <c r="I76" s="100">
        <v>5.23</v>
      </c>
      <c r="J76" s="100">
        <v>0.78</v>
      </c>
      <c r="K76" s="100">
        <v>315.06</v>
      </c>
      <c r="L76" s="100">
        <v>25.64</v>
      </c>
      <c r="M76" s="100">
        <v>92.94</v>
      </c>
      <c r="N76" s="100">
        <v>17.8</v>
      </c>
      <c r="O76" s="100">
        <v>0</v>
      </c>
      <c r="P76" s="100">
        <v>0.4</v>
      </c>
      <c r="Q76" s="100">
        <v>9.93</v>
      </c>
      <c r="R76" s="6"/>
      <c r="S76" s="6"/>
      <c r="T76" s="156"/>
      <c r="U76" s="6"/>
    </row>
    <row r="77" spans="1:21" customFormat="1">
      <c r="A77" s="163" t="s">
        <v>2132</v>
      </c>
      <c r="B77" s="100">
        <v>5.53</v>
      </c>
      <c r="C77" s="100">
        <v>11.8</v>
      </c>
      <c r="D77" s="100">
        <v>6.27</v>
      </c>
      <c r="E77" s="100">
        <v>4.0599999999999996</v>
      </c>
      <c r="F77" s="100">
        <v>2.14</v>
      </c>
      <c r="G77" s="100">
        <v>57.56</v>
      </c>
      <c r="H77" s="100">
        <v>17.62</v>
      </c>
      <c r="I77" s="100">
        <v>5.12</v>
      </c>
      <c r="J77" s="100">
        <v>0.88</v>
      </c>
      <c r="K77" s="100">
        <v>303.7</v>
      </c>
      <c r="L77" s="100">
        <v>25.67</v>
      </c>
      <c r="M77" s="100">
        <v>90.56</v>
      </c>
      <c r="N77" s="100">
        <v>19.399999999999999</v>
      </c>
      <c r="O77" s="100">
        <v>0.2</v>
      </c>
      <c r="P77" s="100">
        <v>0.39</v>
      </c>
      <c r="Q77" s="100">
        <v>9.93</v>
      </c>
      <c r="R77" s="6"/>
      <c r="S77" s="6"/>
      <c r="T77" s="156"/>
      <c r="U77" s="6"/>
    </row>
    <row r="78" spans="1:21" customFormat="1">
      <c r="A78" s="163" t="s">
        <v>2133</v>
      </c>
      <c r="B78" s="100">
        <v>5.55</v>
      </c>
      <c r="C78" s="100">
        <v>12.03</v>
      </c>
      <c r="D78" s="100">
        <v>6.48</v>
      </c>
      <c r="E78" s="100">
        <v>4.1900000000000004</v>
      </c>
      <c r="F78" s="100">
        <v>2.14</v>
      </c>
      <c r="G78" s="100">
        <v>75.81</v>
      </c>
      <c r="H78" s="100">
        <v>19.12</v>
      </c>
      <c r="I78" s="100">
        <v>5.12</v>
      </c>
      <c r="J78" s="100">
        <v>0.35</v>
      </c>
      <c r="K78" s="100">
        <v>274.64</v>
      </c>
      <c r="L78" s="100">
        <v>25.56</v>
      </c>
      <c r="M78" s="100">
        <v>91.41</v>
      </c>
      <c r="N78" s="100">
        <v>22.5</v>
      </c>
      <c r="O78" s="100">
        <v>0</v>
      </c>
      <c r="P78" s="100">
        <v>0.39</v>
      </c>
      <c r="Q78" s="100">
        <v>9.92</v>
      </c>
      <c r="R78" s="6"/>
      <c r="S78" s="6"/>
      <c r="T78" s="156"/>
      <c r="U78" s="6"/>
    </row>
    <row r="79" spans="1:21" customFormat="1">
      <c r="A79" s="163" t="s">
        <v>2134</v>
      </c>
      <c r="B79" s="100">
        <v>5.41</v>
      </c>
      <c r="C79" s="100">
        <v>11.83</v>
      </c>
      <c r="D79" s="100">
        <v>6.42</v>
      </c>
      <c r="E79" s="100">
        <v>4.32</v>
      </c>
      <c r="F79" s="100">
        <v>2.14</v>
      </c>
      <c r="G79" s="100">
        <v>75.81</v>
      </c>
      <c r="H79" s="100">
        <v>19.12</v>
      </c>
      <c r="I79" s="100">
        <v>5</v>
      </c>
      <c r="J79" s="100">
        <v>0.22</v>
      </c>
      <c r="K79" s="100">
        <v>237.29</v>
      </c>
      <c r="L79" s="100">
        <v>25.87</v>
      </c>
      <c r="M79" s="100">
        <v>91.23</v>
      </c>
      <c r="N79" s="100">
        <v>28.9</v>
      </c>
      <c r="O79" s="100">
        <v>0</v>
      </c>
      <c r="P79" s="100">
        <v>0.39</v>
      </c>
      <c r="Q79" s="100">
        <v>9.92</v>
      </c>
      <c r="R79" s="6"/>
      <c r="S79" s="6"/>
      <c r="T79" s="156"/>
      <c r="U79" s="6"/>
    </row>
    <row r="80" spans="1:21" customFormat="1">
      <c r="A80" s="163" t="s">
        <v>2135</v>
      </c>
      <c r="B80" s="100">
        <v>5.19</v>
      </c>
      <c r="C80" s="100">
        <v>11.55</v>
      </c>
      <c r="D80" s="100">
        <v>6.35</v>
      </c>
      <c r="E80" s="100">
        <v>4.43</v>
      </c>
      <c r="F80" s="100">
        <v>2.29</v>
      </c>
      <c r="G80" s="100">
        <v>75.81</v>
      </c>
      <c r="H80" s="100">
        <v>19.12</v>
      </c>
      <c r="I80" s="100">
        <v>5.17</v>
      </c>
      <c r="J80" s="100">
        <v>7.0000000000000007E-2</v>
      </c>
      <c r="K80" s="100">
        <v>255.11</v>
      </c>
      <c r="L80" s="100">
        <v>26.14</v>
      </c>
      <c r="M80" s="100">
        <v>90.79</v>
      </c>
      <c r="N80" s="100">
        <v>25.7</v>
      </c>
      <c r="O80" s="100">
        <v>0</v>
      </c>
      <c r="P80" s="100">
        <v>0.4</v>
      </c>
      <c r="Q80" s="100">
        <v>9.92</v>
      </c>
      <c r="R80" s="6"/>
      <c r="S80" s="6"/>
      <c r="T80" s="156"/>
      <c r="U80" s="6"/>
    </row>
    <row r="81" spans="1:21" customFormat="1">
      <c r="A81" s="163" t="s">
        <v>2136</v>
      </c>
      <c r="B81" s="100">
        <v>5.26</v>
      </c>
      <c r="C81" s="100">
        <v>12.07</v>
      </c>
      <c r="D81" s="100">
        <v>6.81</v>
      </c>
      <c r="E81" s="100">
        <v>3.17</v>
      </c>
      <c r="F81" s="100">
        <v>2.2400000000000002</v>
      </c>
      <c r="G81" s="100">
        <v>74.19</v>
      </c>
      <c r="H81" s="100">
        <v>20.010000000000002</v>
      </c>
      <c r="I81" s="100">
        <v>5.17</v>
      </c>
      <c r="J81" s="100">
        <v>0.18</v>
      </c>
      <c r="K81" s="100">
        <v>49.81</v>
      </c>
      <c r="L81" s="100">
        <v>26.25</v>
      </c>
      <c r="M81" s="100">
        <v>89.81</v>
      </c>
      <c r="N81" s="100">
        <v>17.7</v>
      </c>
      <c r="O81" s="100">
        <v>0</v>
      </c>
      <c r="P81" s="100">
        <v>0.41</v>
      </c>
      <c r="Q81" s="100">
        <v>9.92</v>
      </c>
      <c r="R81" s="6"/>
      <c r="S81" s="6"/>
      <c r="T81" s="156"/>
      <c r="U81" s="6"/>
    </row>
    <row r="82" spans="1:21" customFormat="1">
      <c r="A82" s="163" t="s">
        <v>2137</v>
      </c>
      <c r="B82" s="100">
        <v>5.48</v>
      </c>
      <c r="C82" s="100">
        <v>12.18</v>
      </c>
      <c r="D82" s="100">
        <v>6.7</v>
      </c>
      <c r="E82" s="100">
        <v>3.96</v>
      </c>
      <c r="F82" s="100">
        <v>2.1800000000000002</v>
      </c>
      <c r="G82" s="100">
        <v>70.22</v>
      </c>
      <c r="H82" s="100">
        <v>21.46</v>
      </c>
      <c r="I82" s="100">
        <v>5.14</v>
      </c>
      <c r="J82" s="100">
        <v>0.19</v>
      </c>
      <c r="K82" s="100">
        <v>329.32</v>
      </c>
      <c r="L82" s="100">
        <v>26.34</v>
      </c>
      <c r="M82" s="100">
        <v>89.74</v>
      </c>
      <c r="N82" s="100">
        <v>7.9</v>
      </c>
      <c r="O82" s="100">
        <v>0</v>
      </c>
      <c r="P82" s="100">
        <v>0.42</v>
      </c>
      <c r="Q82" s="100">
        <v>9.93</v>
      </c>
      <c r="R82" s="6"/>
      <c r="S82" s="6"/>
      <c r="T82" s="156"/>
      <c r="U82" s="6"/>
    </row>
    <row r="83" spans="1:21" customFormat="1">
      <c r="A83" s="163" t="s">
        <v>2138</v>
      </c>
      <c r="B83" s="100">
        <v>5.82</v>
      </c>
      <c r="C83" s="100">
        <v>12.61</v>
      </c>
      <c r="D83" s="100">
        <v>6.8</v>
      </c>
      <c r="E83" s="100">
        <v>4.1100000000000003</v>
      </c>
      <c r="F83" s="100">
        <v>2.21</v>
      </c>
      <c r="G83" s="100">
        <v>70.22</v>
      </c>
      <c r="H83" s="100">
        <v>21.46</v>
      </c>
      <c r="I83" s="100">
        <v>5.19</v>
      </c>
      <c r="J83" s="100">
        <v>0.15</v>
      </c>
      <c r="K83" s="100">
        <v>255.84</v>
      </c>
      <c r="L83" s="100">
        <v>26.46</v>
      </c>
      <c r="M83" s="100">
        <v>88.69</v>
      </c>
      <c r="N83" s="100">
        <v>4.3</v>
      </c>
      <c r="O83" s="100">
        <v>0</v>
      </c>
      <c r="P83" s="100">
        <v>0.44</v>
      </c>
      <c r="Q83" s="100">
        <v>9.94</v>
      </c>
      <c r="R83" s="6"/>
      <c r="S83" s="6"/>
      <c r="T83" s="156"/>
      <c r="U83" s="6"/>
    </row>
    <row r="84" spans="1:21" customFormat="1">
      <c r="A84" s="163" t="s">
        <v>2139</v>
      </c>
      <c r="B84" s="100">
        <v>5.93</v>
      </c>
      <c r="C84" s="100">
        <v>12.71</v>
      </c>
      <c r="D84" s="100">
        <v>6.77</v>
      </c>
      <c r="E84" s="100">
        <v>3.9</v>
      </c>
      <c r="F84" s="100">
        <v>2.1800000000000002</v>
      </c>
      <c r="G84" s="100">
        <v>70.22</v>
      </c>
      <c r="H84" s="100">
        <v>21.46</v>
      </c>
      <c r="I84" s="100">
        <v>5.39</v>
      </c>
      <c r="J84" s="100">
        <v>0.06</v>
      </c>
      <c r="K84" s="100">
        <v>135.97</v>
      </c>
      <c r="L84" s="100">
        <v>26.38</v>
      </c>
      <c r="M84" s="100">
        <v>89.81</v>
      </c>
      <c r="N84" s="100">
        <v>2.5</v>
      </c>
      <c r="O84" s="100">
        <v>0</v>
      </c>
      <c r="P84" s="100">
        <v>0.46</v>
      </c>
      <c r="Q84" s="100">
        <v>9.94</v>
      </c>
      <c r="R84" s="6"/>
      <c r="S84" s="6"/>
      <c r="T84" s="156"/>
      <c r="U84" s="6"/>
    </row>
    <row r="85" spans="1:21" customFormat="1">
      <c r="A85" s="163" t="s">
        <v>2140</v>
      </c>
      <c r="B85" s="100">
        <v>5.84</v>
      </c>
      <c r="C85" s="100">
        <v>12.58</v>
      </c>
      <c r="D85" s="100">
        <v>6.74</v>
      </c>
      <c r="E85" s="100">
        <v>3.89</v>
      </c>
      <c r="F85" s="100">
        <v>2.73</v>
      </c>
      <c r="G85" s="100">
        <v>77.959999999999994</v>
      </c>
      <c r="H85" s="100">
        <v>21.53</v>
      </c>
      <c r="I85" s="100">
        <v>5.45</v>
      </c>
      <c r="J85" s="100">
        <v>0.11</v>
      </c>
      <c r="K85" s="100">
        <v>99.79</v>
      </c>
      <c r="L85" s="100">
        <v>26.48</v>
      </c>
      <c r="M85" s="100">
        <v>88.96</v>
      </c>
      <c r="N85" s="100">
        <v>2.1</v>
      </c>
      <c r="O85" s="100">
        <v>0</v>
      </c>
      <c r="P85" s="100">
        <v>0.47</v>
      </c>
      <c r="Q85" s="100">
        <v>9.93</v>
      </c>
      <c r="R85" s="6"/>
      <c r="S85" s="6"/>
      <c r="T85" s="156"/>
      <c r="U85" s="6"/>
    </row>
    <row r="86" spans="1:21" customFormat="1">
      <c r="A86" s="163" t="s">
        <v>2141</v>
      </c>
      <c r="B86" s="100">
        <v>5.88</v>
      </c>
      <c r="C86" s="100">
        <v>12.78</v>
      </c>
      <c r="D86" s="100">
        <v>6.91</v>
      </c>
      <c r="E86" s="100">
        <v>4.0599999999999996</v>
      </c>
      <c r="F86" s="100">
        <v>2.5299999999999998</v>
      </c>
      <c r="G86" s="100">
        <v>97.01</v>
      </c>
      <c r="H86" s="100">
        <v>21.64</v>
      </c>
      <c r="I86" s="100">
        <v>5.57</v>
      </c>
      <c r="J86" s="100">
        <v>0.16</v>
      </c>
      <c r="K86" s="100">
        <v>150.22</v>
      </c>
      <c r="L86" s="100">
        <v>26.54</v>
      </c>
      <c r="M86" s="100">
        <v>88.17</v>
      </c>
      <c r="N86" s="100">
        <v>2.1</v>
      </c>
      <c r="O86" s="100">
        <v>0</v>
      </c>
      <c r="P86" s="100">
        <v>0.5</v>
      </c>
      <c r="Q86" s="100">
        <v>9.93</v>
      </c>
      <c r="R86" s="6"/>
      <c r="S86" s="6"/>
      <c r="T86" s="156"/>
      <c r="U86" s="6"/>
    </row>
    <row r="87" spans="1:21" customFormat="1">
      <c r="A87" s="163" t="s">
        <v>2142</v>
      </c>
      <c r="B87" s="100">
        <v>5.89</v>
      </c>
      <c r="C87" s="100">
        <v>12.89</v>
      </c>
      <c r="D87" s="100">
        <v>7</v>
      </c>
      <c r="E87" s="100">
        <v>4.16</v>
      </c>
      <c r="F87" s="100">
        <v>2.76</v>
      </c>
      <c r="G87" s="100">
        <v>97.01</v>
      </c>
      <c r="H87" s="100">
        <v>21.64</v>
      </c>
      <c r="I87" s="100">
        <v>5.63</v>
      </c>
      <c r="J87" s="100">
        <v>0.2</v>
      </c>
      <c r="K87" s="100">
        <v>164.92</v>
      </c>
      <c r="L87" s="100">
        <v>26.48</v>
      </c>
      <c r="M87" s="100">
        <v>89.01</v>
      </c>
      <c r="N87" s="100">
        <v>2.1</v>
      </c>
      <c r="O87" s="100">
        <v>0</v>
      </c>
      <c r="P87" s="100">
        <v>0.51</v>
      </c>
      <c r="Q87" s="100">
        <v>9.93</v>
      </c>
      <c r="R87" s="6"/>
      <c r="S87" s="6"/>
      <c r="T87" s="156"/>
      <c r="U87" s="6"/>
    </row>
    <row r="88" spans="1:21" customFormat="1">
      <c r="A88" s="163" t="s">
        <v>2143</v>
      </c>
      <c r="B88" s="100">
        <v>5.9</v>
      </c>
      <c r="C88" s="100">
        <v>12.62</v>
      </c>
      <c r="D88" s="100">
        <v>6.72</v>
      </c>
      <c r="E88" s="100">
        <v>4.29</v>
      </c>
      <c r="F88" s="100">
        <v>2.85</v>
      </c>
      <c r="G88" s="100">
        <v>97.01</v>
      </c>
      <c r="H88" s="100">
        <v>21.64</v>
      </c>
      <c r="I88" s="100">
        <v>5.75</v>
      </c>
      <c r="J88" s="100">
        <v>0.19</v>
      </c>
      <c r="K88" s="100">
        <v>187.52</v>
      </c>
      <c r="L88" s="100">
        <v>26.24</v>
      </c>
      <c r="M88" s="100">
        <v>91.65</v>
      </c>
      <c r="N88" s="100">
        <v>2.1</v>
      </c>
      <c r="O88" s="100">
        <v>0</v>
      </c>
      <c r="P88" s="100">
        <v>0.52</v>
      </c>
      <c r="Q88" s="100">
        <v>9.94</v>
      </c>
      <c r="R88" s="6"/>
      <c r="S88" s="6"/>
      <c r="T88" s="156"/>
      <c r="U88" s="6"/>
    </row>
    <row r="89" spans="1:21" customFormat="1">
      <c r="A89" s="163" t="s">
        <v>2144</v>
      </c>
      <c r="B89" s="100">
        <v>5.85</v>
      </c>
      <c r="C89" s="100">
        <v>12.37</v>
      </c>
      <c r="D89" s="100">
        <v>6.52</v>
      </c>
      <c r="E89" s="100">
        <v>4.7</v>
      </c>
      <c r="F89" s="100">
        <v>2.4300000000000002</v>
      </c>
      <c r="G89" s="100">
        <v>94.68</v>
      </c>
      <c r="H89" s="100">
        <v>23.45</v>
      </c>
      <c r="I89" s="100">
        <v>5.87</v>
      </c>
      <c r="J89" s="100">
        <v>0.11</v>
      </c>
      <c r="K89" s="100">
        <v>162.38</v>
      </c>
      <c r="L89" s="100">
        <v>26.12</v>
      </c>
      <c r="M89" s="100">
        <v>93.21</v>
      </c>
      <c r="N89" s="100">
        <v>2.1</v>
      </c>
      <c r="O89" s="100">
        <v>0</v>
      </c>
      <c r="P89" s="100">
        <v>0.53</v>
      </c>
      <c r="Q89" s="100">
        <v>9.92</v>
      </c>
      <c r="R89" s="6"/>
      <c r="S89" s="6"/>
      <c r="T89" s="156"/>
      <c r="U89" s="6"/>
    </row>
    <row r="90" spans="1:21" customFormat="1">
      <c r="A90" s="163" t="s">
        <v>2145</v>
      </c>
      <c r="B90" s="100">
        <v>5.77</v>
      </c>
      <c r="C90" s="100">
        <v>12.11</v>
      </c>
      <c r="D90" s="100">
        <v>6.34</v>
      </c>
      <c r="E90" s="100">
        <v>4.6900000000000004</v>
      </c>
      <c r="F90" s="100">
        <v>2.88</v>
      </c>
      <c r="G90" s="100">
        <v>88.96</v>
      </c>
      <c r="H90" s="100">
        <v>26.42</v>
      </c>
      <c r="I90" s="100">
        <v>5.97</v>
      </c>
      <c r="J90" s="100">
        <v>0.12</v>
      </c>
      <c r="K90" s="100">
        <v>186.53</v>
      </c>
      <c r="L90" s="100">
        <v>26.09</v>
      </c>
      <c r="M90" s="100">
        <v>92.37</v>
      </c>
      <c r="N90" s="100">
        <v>2.1</v>
      </c>
      <c r="O90" s="100">
        <v>0</v>
      </c>
      <c r="P90" s="100">
        <v>0.54</v>
      </c>
      <c r="Q90" s="100">
        <v>9.91</v>
      </c>
      <c r="R90" s="6"/>
      <c r="S90" s="6"/>
      <c r="T90" s="156"/>
      <c r="U90" s="6"/>
    </row>
    <row r="91" spans="1:21" customFormat="1">
      <c r="A91" s="163" t="s">
        <v>2146</v>
      </c>
      <c r="B91" s="100">
        <v>5.72</v>
      </c>
      <c r="C91" s="100">
        <v>11.74</v>
      </c>
      <c r="D91" s="100">
        <v>6.02</v>
      </c>
      <c r="E91" s="100">
        <v>4.45</v>
      </c>
      <c r="F91" s="100">
        <v>2.79</v>
      </c>
      <c r="G91" s="100">
        <v>88.96</v>
      </c>
      <c r="H91" s="100">
        <v>26.42</v>
      </c>
      <c r="I91" s="100">
        <v>6.23</v>
      </c>
      <c r="J91" s="100">
        <v>0.12</v>
      </c>
      <c r="K91" s="100">
        <v>197.47</v>
      </c>
      <c r="L91" s="100">
        <v>26.16</v>
      </c>
      <c r="M91" s="100">
        <v>91.9</v>
      </c>
      <c r="N91" s="100">
        <v>2.1</v>
      </c>
      <c r="O91" s="100">
        <v>0</v>
      </c>
      <c r="P91" s="100">
        <v>0.54</v>
      </c>
      <c r="Q91" s="100">
        <v>9.93</v>
      </c>
      <c r="R91" s="6"/>
      <c r="S91" s="6"/>
      <c r="T91" s="156"/>
      <c r="U91" s="6"/>
    </row>
    <row r="92" spans="1:21" customFormat="1">
      <c r="A92" s="163" t="s">
        <v>2147</v>
      </c>
      <c r="B92" s="100">
        <v>5.63</v>
      </c>
      <c r="C92" s="100">
        <v>11.31</v>
      </c>
      <c r="D92" s="100">
        <v>5.69</v>
      </c>
      <c r="E92" s="100">
        <v>4.74</v>
      </c>
      <c r="F92" s="100">
        <v>2.68</v>
      </c>
      <c r="G92" s="100">
        <v>88.96</v>
      </c>
      <c r="H92" s="100">
        <v>26.42</v>
      </c>
      <c r="I92" s="100">
        <v>6.32</v>
      </c>
      <c r="J92" s="100">
        <v>0.09</v>
      </c>
      <c r="K92" s="100">
        <v>216.31</v>
      </c>
      <c r="L92" s="100">
        <v>26.02</v>
      </c>
      <c r="M92" s="100">
        <v>92.71</v>
      </c>
      <c r="N92" s="100">
        <v>2.1</v>
      </c>
      <c r="O92" s="100">
        <v>0</v>
      </c>
      <c r="P92" s="100">
        <v>0.53</v>
      </c>
      <c r="Q92" s="100">
        <v>9.93</v>
      </c>
      <c r="R92" s="6"/>
      <c r="S92" s="6"/>
      <c r="T92" s="156"/>
      <c r="U92" s="6"/>
    </row>
    <row r="93" spans="1:21" customFormat="1">
      <c r="A93" s="163" t="s">
        <v>2148</v>
      </c>
      <c r="B93" s="100">
        <v>5.55</v>
      </c>
      <c r="C93" s="100">
        <v>10.88</v>
      </c>
      <c r="D93" s="100">
        <v>5.34</v>
      </c>
      <c r="E93" s="100">
        <v>4.5199999999999996</v>
      </c>
      <c r="F93" s="100">
        <v>3.06</v>
      </c>
      <c r="G93" s="100">
        <v>87.86</v>
      </c>
      <c r="H93" s="100">
        <v>25.87</v>
      </c>
      <c r="I93" s="100">
        <v>6.54</v>
      </c>
      <c r="J93" s="100">
        <v>0.14000000000000001</v>
      </c>
      <c r="K93" s="100">
        <v>160.88999999999999</v>
      </c>
      <c r="L93" s="100">
        <v>26.14</v>
      </c>
      <c r="M93" s="100">
        <v>91.35</v>
      </c>
      <c r="N93" s="100">
        <v>2.1</v>
      </c>
      <c r="O93" s="100">
        <v>0</v>
      </c>
      <c r="P93" s="100">
        <v>0.54</v>
      </c>
      <c r="Q93" s="100">
        <v>9.92</v>
      </c>
      <c r="R93" s="6"/>
      <c r="S93" s="6"/>
      <c r="T93" s="156"/>
      <c r="U93" s="6"/>
    </row>
    <row r="94" spans="1:21" customFormat="1">
      <c r="A94" s="163" t="s">
        <v>2149</v>
      </c>
      <c r="B94" s="100">
        <v>5.47</v>
      </c>
      <c r="C94" s="100">
        <v>10.78</v>
      </c>
      <c r="D94" s="100">
        <v>5.31</v>
      </c>
      <c r="E94" s="100">
        <v>4.6500000000000004</v>
      </c>
      <c r="F94" s="100">
        <v>3.21</v>
      </c>
      <c r="G94" s="100">
        <v>85.17</v>
      </c>
      <c r="H94" s="100">
        <v>24.96</v>
      </c>
      <c r="I94" s="100">
        <v>6.61</v>
      </c>
      <c r="J94" s="100">
        <v>0.1</v>
      </c>
      <c r="K94" s="100">
        <v>177.49</v>
      </c>
      <c r="L94" s="100">
        <v>26.15</v>
      </c>
      <c r="M94" s="100">
        <v>90.41</v>
      </c>
      <c r="N94" s="100">
        <v>2.1</v>
      </c>
      <c r="O94" s="100">
        <v>0</v>
      </c>
      <c r="P94" s="100">
        <v>0.53</v>
      </c>
      <c r="Q94" s="100">
        <v>9.92</v>
      </c>
      <c r="R94" s="6"/>
      <c r="S94" s="6"/>
      <c r="T94" s="156"/>
      <c r="U94" s="6"/>
    </row>
    <row r="95" spans="1:21" customFormat="1">
      <c r="A95" s="163" t="s">
        <v>2150</v>
      </c>
      <c r="B95" s="100">
        <v>5.46</v>
      </c>
      <c r="C95" s="100">
        <v>10.61</v>
      </c>
      <c r="D95" s="100">
        <v>5.15</v>
      </c>
      <c r="E95" s="100">
        <v>4.5199999999999996</v>
      </c>
      <c r="F95" s="100">
        <v>2.81</v>
      </c>
      <c r="G95" s="100">
        <v>85.17</v>
      </c>
      <c r="H95" s="100">
        <v>24.96</v>
      </c>
      <c r="I95" s="100">
        <v>6.54</v>
      </c>
      <c r="J95" s="100">
        <v>0.12</v>
      </c>
      <c r="K95" s="100">
        <v>183.76</v>
      </c>
      <c r="L95" s="100">
        <v>26.11</v>
      </c>
      <c r="M95" s="100">
        <v>90.63</v>
      </c>
      <c r="N95" s="100">
        <v>2.1</v>
      </c>
      <c r="O95" s="100">
        <v>0</v>
      </c>
      <c r="P95" s="100">
        <v>0.53</v>
      </c>
      <c r="Q95" s="100">
        <v>9.92</v>
      </c>
      <c r="R95" s="6"/>
      <c r="S95" s="6"/>
      <c r="T95" s="156"/>
      <c r="U95" s="6"/>
    </row>
    <row r="96" spans="1:21" customFormat="1">
      <c r="A96" s="163" t="s">
        <v>2151</v>
      </c>
      <c r="B96" s="100">
        <v>5.36</v>
      </c>
      <c r="C96" s="100">
        <v>10.46</v>
      </c>
      <c r="D96" s="100">
        <v>5.0999999999999996</v>
      </c>
      <c r="E96" s="100">
        <v>4.5599999999999996</v>
      </c>
      <c r="F96" s="100">
        <v>2.7</v>
      </c>
      <c r="G96" s="100">
        <v>85.17</v>
      </c>
      <c r="H96" s="100">
        <v>24.96</v>
      </c>
      <c r="I96" s="100">
        <v>6.63</v>
      </c>
      <c r="J96" s="100">
        <v>0.12</v>
      </c>
      <c r="K96" s="100">
        <v>194.4</v>
      </c>
      <c r="L96" s="100">
        <v>26.11</v>
      </c>
      <c r="M96" s="100">
        <v>91.96</v>
      </c>
      <c r="N96" s="100">
        <v>2.1</v>
      </c>
      <c r="O96" s="100">
        <v>0</v>
      </c>
      <c r="P96" s="100">
        <v>0.55000000000000004</v>
      </c>
      <c r="Q96" s="100">
        <v>9.93</v>
      </c>
      <c r="R96" s="6"/>
      <c r="S96" s="6"/>
      <c r="T96" s="156"/>
      <c r="U96" s="6"/>
    </row>
    <row r="97" spans="1:28" customFormat="1">
      <c r="A97" s="163" t="s">
        <v>2152</v>
      </c>
      <c r="B97" s="100">
        <v>5.35</v>
      </c>
      <c r="C97" s="100">
        <v>10.64</v>
      </c>
      <c r="D97" s="100">
        <v>5.29</v>
      </c>
      <c r="E97" s="100">
        <v>4.58</v>
      </c>
      <c r="F97" s="100">
        <v>2.46</v>
      </c>
      <c r="G97" s="100">
        <v>84.02</v>
      </c>
      <c r="H97" s="100">
        <v>24.92</v>
      </c>
      <c r="I97" s="100">
        <v>6.75</v>
      </c>
      <c r="J97" s="100">
        <v>0.15</v>
      </c>
      <c r="K97" s="100">
        <v>242.25</v>
      </c>
      <c r="L97" s="100">
        <v>26.14</v>
      </c>
      <c r="M97" s="100">
        <v>91.02</v>
      </c>
      <c r="N97" s="100">
        <v>2.1</v>
      </c>
      <c r="O97" s="100">
        <v>0</v>
      </c>
      <c r="P97" s="100">
        <v>0.6</v>
      </c>
      <c r="Q97" s="100">
        <v>9.94</v>
      </c>
      <c r="R97" s="6"/>
      <c r="S97" s="6"/>
      <c r="T97" s="156"/>
      <c r="U97" s="6"/>
    </row>
    <row r="98" spans="1:28" customFormat="1">
      <c r="A98" s="163" t="s">
        <v>2153</v>
      </c>
      <c r="B98" s="100">
        <v>5.36</v>
      </c>
      <c r="C98" s="100">
        <v>10.83</v>
      </c>
      <c r="D98" s="100">
        <v>5.46</v>
      </c>
      <c r="E98" s="100">
        <v>4.05</v>
      </c>
      <c r="F98" s="100">
        <v>3.52</v>
      </c>
      <c r="G98" s="100">
        <v>81.2</v>
      </c>
      <c r="H98" s="100">
        <v>24.76</v>
      </c>
      <c r="I98" s="100">
        <v>6.89</v>
      </c>
      <c r="J98" s="100">
        <v>0.13</v>
      </c>
      <c r="K98" s="100">
        <v>241.53</v>
      </c>
      <c r="L98" s="100">
        <v>26.27</v>
      </c>
      <c r="M98" s="100">
        <v>89.58</v>
      </c>
      <c r="N98" s="100">
        <v>2.1</v>
      </c>
      <c r="O98" s="100">
        <v>0</v>
      </c>
      <c r="P98" s="100">
        <v>0.57999999999999996</v>
      </c>
      <c r="Q98" s="100">
        <v>9.9499999999999993</v>
      </c>
      <c r="R98" s="6"/>
      <c r="S98" s="6"/>
      <c r="T98" s="156"/>
      <c r="U98" s="6"/>
    </row>
    <row r="99" spans="1:28" customFormat="1">
      <c r="A99" s="163" t="s">
        <v>2154</v>
      </c>
      <c r="B99" s="100">
        <v>5.6</v>
      </c>
      <c r="C99" s="100">
        <v>9.8000000000000007</v>
      </c>
      <c r="D99" s="100">
        <v>4.2</v>
      </c>
      <c r="E99" s="100">
        <v>4.1399999999999997</v>
      </c>
      <c r="F99" s="100">
        <v>2.46</v>
      </c>
      <c r="G99" s="100">
        <v>81.2</v>
      </c>
      <c r="H99" s="100">
        <v>24.76</v>
      </c>
      <c r="I99" s="100">
        <v>7.21</v>
      </c>
      <c r="J99" s="100">
        <v>0.19</v>
      </c>
      <c r="K99" s="100">
        <v>236.9</v>
      </c>
      <c r="L99" s="100">
        <v>26.34</v>
      </c>
      <c r="M99" s="100">
        <v>88.85</v>
      </c>
      <c r="N99" s="100">
        <v>2.1</v>
      </c>
      <c r="O99" s="100">
        <v>0</v>
      </c>
      <c r="P99" s="100">
        <v>0.56000000000000005</v>
      </c>
      <c r="Q99" s="100">
        <v>9.94</v>
      </c>
      <c r="R99" s="6"/>
      <c r="S99" s="6"/>
      <c r="T99" s="156"/>
      <c r="U99" s="6"/>
    </row>
    <row r="100" spans="1:28" customFormat="1">
      <c r="A100" s="163" t="s">
        <v>2155</v>
      </c>
      <c r="B100" s="100">
        <v>5.54</v>
      </c>
      <c r="C100" s="100">
        <v>9.4700000000000006</v>
      </c>
      <c r="D100" s="100">
        <v>3.93</v>
      </c>
      <c r="E100" s="100">
        <v>4.2</v>
      </c>
      <c r="F100" s="100">
        <v>2.27</v>
      </c>
      <c r="G100" s="100">
        <v>81.2</v>
      </c>
      <c r="H100" s="100">
        <v>24.76</v>
      </c>
      <c r="I100" s="100">
        <v>7.29</v>
      </c>
      <c r="J100" s="100">
        <v>0.19</v>
      </c>
      <c r="K100" s="100">
        <v>242.61</v>
      </c>
      <c r="L100" s="100">
        <v>26.36</v>
      </c>
      <c r="M100" s="100">
        <v>88.5</v>
      </c>
      <c r="N100" s="100">
        <v>2.1</v>
      </c>
      <c r="O100" s="100">
        <v>0</v>
      </c>
      <c r="P100" s="100">
        <v>0.59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2156</v>
      </c>
      <c r="B101" s="100">
        <v>5.51</v>
      </c>
      <c r="C101" s="100">
        <v>9.5299999999999994</v>
      </c>
      <c r="D101" s="100">
        <v>4.0199999999999996</v>
      </c>
      <c r="E101" s="100">
        <v>4.12</v>
      </c>
      <c r="F101" s="100">
        <v>3.62</v>
      </c>
      <c r="G101" s="100">
        <v>76.959999999999994</v>
      </c>
      <c r="H101" s="100">
        <v>24.75</v>
      </c>
      <c r="I101" s="100">
        <v>7.08</v>
      </c>
      <c r="J101" s="100">
        <v>0.28999999999999998</v>
      </c>
      <c r="K101" s="100">
        <v>260</v>
      </c>
      <c r="L101" s="100">
        <v>26.49</v>
      </c>
      <c r="M101" s="100">
        <v>87.84</v>
      </c>
      <c r="N101" s="100">
        <v>2.1</v>
      </c>
      <c r="O101" s="100">
        <v>0</v>
      </c>
      <c r="P101" s="100">
        <v>0.56000000000000005</v>
      </c>
      <c r="Q101" s="100">
        <v>9.93</v>
      </c>
      <c r="R101" s="6"/>
      <c r="S101" s="6"/>
      <c r="T101" s="156"/>
      <c r="U101" s="6"/>
    </row>
    <row r="102" spans="1:28" customFormat="1">
      <c r="A102" s="163" t="s">
        <v>2157</v>
      </c>
      <c r="B102" s="100">
        <v>5.67</v>
      </c>
      <c r="C102" s="100">
        <v>9.23</v>
      </c>
      <c r="D102" s="100">
        <v>3.56</v>
      </c>
      <c r="E102" s="100">
        <v>4.18</v>
      </c>
      <c r="F102" s="100">
        <v>2.2200000000000002</v>
      </c>
      <c r="G102" s="100">
        <v>66.540000000000006</v>
      </c>
      <c r="H102" s="100">
        <v>24.75</v>
      </c>
      <c r="I102" s="100">
        <v>7.02</v>
      </c>
      <c r="J102" s="100">
        <v>0.28999999999999998</v>
      </c>
      <c r="K102" s="100">
        <v>269.95999999999998</v>
      </c>
      <c r="L102" s="100">
        <v>26.5</v>
      </c>
      <c r="M102" s="100">
        <v>88.13</v>
      </c>
      <c r="N102" s="100">
        <v>2.1</v>
      </c>
      <c r="O102" s="100">
        <v>0</v>
      </c>
      <c r="P102" s="100">
        <v>0.57999999999999996</v>
      </c>
      <c r="Q102" s="100">
        <v>9.93</v>
      </c>
      <c r="R102" s="6"/>
      <c r="S102" s="6"/>
      <c r="T102" s="156"/>
      <c r="U102" s="6"/>
    </row>
    <row r="103" spans="1:28" customFormat="1">
      <c r="A103" s="163" t="s">
        <v>2158</v>
      </c>
      <c r="B103" s="100">
        <v>5.63</v>
      </c>
      <c r="C103" s="100">
        <v>9.25</v>
      </c>
      <c r="D103" s="100">
        <v>3.62</v>
      </c>
      <c r="E103" s="100">
        <v>3.98</v>
      </c>
      <c r="F103" s="100">
        <v>3.03</v>
      </c>
      <c r="G103" s="100">
        <v>66.540000000000006</v>
      </c>
      <c r="H103" s="100">
        <v>24.75</v>
      </c>
      <c r="I103" s="100">
        <v>6.94</v>
      </c>
      <c r="J103" s="100">
        <v>0.24</v>
      </c>
      <c r="K103" s="100">
        <v>265.27</v>
      </c>
      <c r="L103" s="100">
        <v>26.46</v>
      </c>
      <c r="M103" s="100">
        <v>88.64</v>
      </c>
      <c r="N103" s="100">
        <v>2.1</v>
      </c>
      <c r="O103" s="100">
        <v>0</v>
      </c>
      <c r="P103" s="100">
        <v>0.55000000000000004</v>
      </c>
      <c r="Q103" s="100">
        <v>9.94</v>
      </c>
      <c r="R103" s="6"/>
      <c r="S103" s="6"/>
      <c r="T103" s="156"/>
      <c r="U103" s="6"/>
    </row>
    <row r="104" spans="1:28" customFormat="1">
      <c r="A104" s="163" t="s">
        <v>2159</v>
      </c>
      <c r="B104" s="100">
        <v>5.55</v>
      </c>
      <c r="C104" s="100">
        <v>8.8699999999999992</v>
      </c>
      <c r="D104" s="100">
        <v>3.31</v>
      </c>
      <c r="E104" s="100">
        <v>3.86</v>
      </c>
      <c r="F104" s="100">
        <v>4.3899999999999997</v>
      </c>
      <c r="G104" s="100">
        <v>66.540000000000006</v>
      </c>
      <c r="H104" s="100">
        <v>24.75</v>
      </c>
      <c r="I104" s="100">
        <v>7.15</v>
      </c>
      <c r="J104" s="100">
        <v>0.22</v>
      </c>
      <c r="K104" s="100">
        <v>259.45</v>
      </c>
      <c r="L104" s="100">
        <v>26.48</v>
      </c>
      <c r="M104" s="100">
        <v>88.28</v>
      </c>
      <c r="N104" s="100">
        <v>2.1</v>
      </c>
      <c r="O104" s="100">
        <v>0</v>
      </c>
      <c r="P104" s="100">
        <v>0.53</v>
      </c>
      <c r="Q104" s="100">
        <v>9.94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3.72</v>
      </c>
      <c r="C106" s="158">
        <f>MIN(C9:C104)</f>
        <v>6.01</v>
      </c>
      <c r="D106" s="158">
        <f t="shared" ref="D106:Q106" si="0">MIN(D9:D104)</f>
        <v>2.0499999999999998</v>
      </c>
      <c r="E106" s="158">
        <f t="shared" si="0"/>
        <v>3.04</v>
      </c>
      <c r="F106" s="158">
        <f t="shared" si="0"/>
        <v>2.1</v>
      </c>
      <c r="G106" s="158">
        <f t="shared" si="0"/>
        <v>6.76</v>
      </c>
      <c r="H106" s="158">
        <f t="shared" si="0"/>
        <v>1.96</v>
      </c>
      <c r="I106" s="158">
        <f t="shared" si="0"/>
        <v>2.64</v>
      </c>
      <c r="J106" s="158">
        <f t="shared" si="0"/>
        <v>0.06</v>
      </c>
      <c r="K106" s="158">
        <f t="shared" si="0"/>
        <v>7.95</v>
      </c>
      <c r="L106" s="158">
        <f t="shared" si="0"/>
        <v>24.91</v>
      </c>
      <c r="M106" s="158">
        <f t="shared" si="0"/>
        <v>63.36</v>
      </c>
      <c r="N106" s="158">
        <f t="shared" si="0"/>
        <v>0.7</v>
      </c>
      <c r="O106" s="158">
        <f t="shared" si="0"/>
        <v>0</v>
      </c>
      <c r="P106" s="158">
        <f t="shared" si="0"/>
        <v>0.23</v>
      </c>
      <c r="Q106" s="158">
        <f t="shared" si="0"/>
        <v>9.8699999999999992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5.93</v>
      </c>
      <c r="C107" s="157">
        <f t="shared" ref="C107:Q107" si="1">MAX(C9:C104)</f>
        <v>12.89</v>
      </c>
      <c r="D107" s="157">
        <f t="shared" si="1"/>
        <v>7</v>
      </c>
      <c r="E107" s="157">
        <f t="shared" si="1"/>
        <v>6.47</v>
      </c>
      <c r="F107" s="157">
        <f t="shared" si="1"/>
        <v>6.83</v>
      </c>
      <c r="G107" s="157">
        <f t="shared" si="1"/>
        <v>97.01</v>
      </c>
      <c r="H107" s="157">
        <f t="shared" si="1"/>
        <v>26.42</v>
      </c>
      <c r="I107" s="157">
        <f t="shared" si="1"/>
        <v>7.29</v>
      </c>
      <c r="J107" s="157">
        <f t="shared" si="1"/>
        <v>1.82</v>
      </c>
      <c r="K107" s="157">
        <f t="shared" si="1"/>
        <v>334.98</v>
      </c>
      <c r="L107" s="157">
        <f t="shared" si="1"/>
        <v>30.1</v>
      </c>
      <c r="M107" s="157">
        <f t="shared" si="1"/>
        <v>94.94</v>
      </c>
      <c r="N107" s="157">
        <f t="shared" si="1"/>
        <v>306.89999999999998</v>
      </c>
      <c r="O107" s="157">
        <f t="shared" si="1"/>
        <v>0.2</v>
      </c>
      <c r="P107" s="157">
        <f t="shared" si="1"/>
        <v>0.6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4.5533333333333346</v>
      </c>
      <c r="C108" s="158">
        <f t="shared" ref="C108:Q108" si="2">AVERAGE(C9:C104)</f>
        <v>8.6115624999999998</v>
      </c>
      <c r="D108" s="158">
        <f t="shared" si="2"/>
        <v>4.0579166666666655</v>
      </c>
      <c r="E108" s="158">
        <f t="shared" si="2"/>
        <v>4.203854166666666</v>
      </c>
      <c r="F108" s="158">
        <f t="shared" si="2"/>
        <v>3.226249999999999</v>
      </c>
      <c r="G108" s="158">
        <f t="shared" si="2"/>
        <v>41.747395833333336</v>
      </c>
      <c r="H108" s="158">
        <f t="shared" si="2"/>
        <v>11.5309375</v>
      </c>
      <c r="I108" s="158">
        <f t="shared" si="2"/>
        <v>4.24</v>
      </c>
      <c r="J108" s="158">
        <f t="shared" si="2"/>
        <v>0.77864583333333359</v>
      </c>
      <c r="K108" s="158">
        <f t="shared" si="2"/>
        <v>245.63645833333339</v>
      </c>
      <c r="L108" s="158">
        <f t="shared" si="2"/>
        <v>26.721458333333334</v>
      </c>
      <c r="M108" s="158">
        <f t="shared" si="2"/>
        <v>82.854062499999998</v>
      </c>
      <c r="N108" s="158">
        <f t="shared" si="2"/>
        <v>65.387500000000074</v>
      </c>
      <c r="O108" s="158">
        <f t="shared" si="2"/>
        <v>4.1666666666666666E-3</v>
      </c>
      <c r="P108" s="158">
        <f t="shared" si="2"/>
        <v>0.35510416666666672</v>
      </c>
      <c r="Q108" s="158">
        <f t="shared" si="2"/>
        <v>9.9131249999999866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0.76831006167899485</v>
      </c>
      <c r="C109" s="158">
        <f t="shared" ref="C109:Q109" si="3">STDEV(C9:C104)</f>
        <v>2.0789725843740672</v>
      </c>
      <c r="D109" s="158">
        <f t="shared" si="3"/>
        <v>1.4153600372653352</v>
      </c>
      <c r="E109" s="158">
        <f t="shared" si="3"/>
        <v>0.8988160280018288</v>
      </c>
      <c r="F109" s="158">
        <f t="shared" si="3"/>
        <v>0.9525856778706141</v>
      </c>
      <c r="G109" s="158">
        <f t="shared" si="3"/>
        <v>28.235988280907765</v>
      </c>
      <c r="H109" s="158">
        <f t="shared" si="3"/>
        <v>8.3348848478927149</v>
      </c>
      <c r="I109" s="158">
        <f t="shared" si="3"/>
        <v>1.4853239944271563</v>
      </c>
      <c r="J109" s="158">
        <f t="shared" si="3"/>
        <v>0.43981962760268101</v>
      </c>
      <c r="K109" s="158">
        <f t="shared" si="3"/>
        <v>49.804877714603556</v>
      </c>
      <c r="L109" s="158">
        <f t="shared" si="3"/>
        <v>1.5519108623118159</v>
      </c>
      <c r="M109" s="158">
        <f t="shared" si="3"/>
        <v>8.8612583849292026</v>
      </c>
      <c r="N109" s="158">
        <f t="shared" si="3"/>
        <v>85.169782447210935</v>
      </c>
      <c r="O109" s="158">
        <f t="shared" si="3"/>
        <v>2.8715177232759195E-2</v>
      </c>
      <c r="P109" s="158">
        <f t="shared" si="3"/>
        <v>0.11424806612820682</v>
      </c>
      <c r="Q109" s="158">
        <f t="shared" si="3"/>
        <v>1.6435680057343475E-2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4" sqref="G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2160</v>
      </c>
      <c r="B9" s="100">
        <v>5.85</v>
      </c>
      <c r="C9" s="100">
        <v>8.77</v>
      </c>
      <c r="D9" s="100">
        <v>2.92</v>
      </c>
      <c r="E9" s="100">
        <v>3.77</v>
      </c>
      <c r="F9" s="100">
        <v>2.87</v>
      </c>
      <c r="G9" s="100">
        <v>70.37</v>
      </c>
      <c r="H9" s="100">
        <v>23.68</v>
      </c>
      <c r="I9" s="100">
        <v>6.85</v>
      </c>
      <c r="J9" s="100">
        <v>0.11</v>
      </c>
      <c r="K9" s="100">
        <v>255.93</v>
      </c>
      <c r="L9" s="100">
        <v>26.49</v>
      </c>
      <c r="M9" s="100">
        <v>88.34</v>
      </c>
      <c r="N9" s="100">
        <v>2.1</v>
      </c>
      <c r="O9" s="100">
        <v>0</v>
      </c>
      <c r="P9" s="100">
        <v>0.56999999999999995</v>
      </c>
      <c r="Q9" s="100">
        <v>9.93</v>
      </c>
      <c r="R9" s="6"/>
      <c r="S9" s="6"/>
      <c r="T9" s="156"/>
      <c r="U9" s="6"/>
    </row>
    <row r="10" spans="1:21" customFormat="1">
      <c r="A10" s="163" t="s">
        <v>2161</v>
      </c>
      <c r="B10" s="100">
        <v>5.78</v>
      </c>
      <c r="C10" s="100">
        <v>9.18</v>
      </c>
      <c r="D10" s="100">
        <v>3.4</v>
      </c>
      <c r="E10" s="100">
        <v>3.83</v>
      </c>
      <c r="F10" s="100">
        <v>2.87</v>
      </c>
      <c r="G10" s="100">
        <v>79.8</v>
      </c>
      <c r="H10" s="100">
        <v>21.93</v>
      </c>
      <c r="I10" s="100">
        <v>6.66</v>
      </c>
      <c r="J10" s="100">
        <v>0.19</v>
      </c>
      <c r="K10" s="100">
        <v>257.06</v>
      </c>
      <c r="L10" s="100">
        <v>26.58</v>
      </c>
      <c r="M10" s="100">
        <v>87.14</v>
      </c>
      <c r="N10" s="100">
        <v>2.1</v>
      </c>
      <c r="O10" s="100">
        <v>0</v>
      </c>
      <c r="P10" s="100">
        <v>0.55000000000000004</v>
      </c>
      <c r="Q10" s="100">
        <v>9.92</v>
      </c>
      <c r="R10" s="6"/>
      <c r="S10" s="6"/>
      <c r="T10" s="156"/>
      <c r="U10" s="6"/>
    </row>
    <row r="11" spans="1:21" customFormat="1">
      <c r="A11" s="163" t="s">
        <v>2162</v>
      </c>
      <c r="B11" s="100">
        <v>5.66</v>
      </c>
      <c r="C11" s="100">
        <v>8.8000000000000007</v>
      </c>
      <c r="D11" s="100">
        <v>3.15</v>
      </c>
      <c r="E11" s="100">
        <v>3.55</v>
      </c>
      <c r="F11" s="100">
        <v>5.75</v>
      </c>
      <c r="G11" s="100">
        <v>79.8</v>
      </c>
      <c r="H11" s="100">
        <v>21.93</v>
      </c>
      <c r="I11" s="100">
        <v>7.02</v>
      </c>
      <c r="J11" s="100">
        <v>0.11</v>
      </c>
      <c r="K11" s="100">
        <v>250.64</v>
      </c>
      <c r="L11" s="100">
        <v>26.6</v>
      </c>
      <c r="M11" s="100">
        <v>86.89</v>
      </c>
      <c r="N11" s="100">
        <v>2.1</v>
      </c>
      <c r="O11" s="100">
        <v>0</v>
      </c>
      <c r="P11" s="100">
        <v>0.52</v>
      </c>
      <c r="Q11" s="100">
        <v>9.94</v>
      </c>
      <c r="R11" s="6"/>
      <c r="S11" s="6"/>
      <c r="T11" s="156"/>
      <c r="U11" s="6"/>
    </row>
    <row r="12" spans="1:21" customFormat="1">
      <c r="A12" s="163" t="s">
        <v>2163</v>
      </c>
      <c r="B12" s="100">
        <v>5.76</v>
      </c>
      <c r="C12" s="100">
        <v>8.66</v>
      </c>
      <c r="D12" s="100">
        <v>2.91</v>
      </c>
      <c r="E12" s="100">
        <v>3.8</v>
      </c>
      <c r="F12" s="100">
        <v>2.8</v>
      </c>
      <c r="G12" s="100">
        <v>79.8</v>
      </c>
      <c r="H12" s="100">
        <v>21.93</v>
      </c>
      <c r="I12" s="100">
        <v>6.73</v>
      </c>
      <c r="J12" s="100">
        <v>0.11</v>
      </c>
      <c r="K12" s="100">
        <v>251.92</v>
      </c>
      <c r="L12" s="100">
        <v>26.57</v>
      </c>
      <c r="M12" s="100">
        <v>87.02</v>
      </c>
      <c r="N12" s="100">
        <v>2.1</v>
      </c>
      <c r="O12" s="100">
        <v>0</v>
      </c>
      <c r="P12" s="100">
        <v>0.54</v>
      </c>
      <c r="Q12" s="100">
        <v>9.94</v>
      </c>
      <c r="R12" s="6"/>
      <c r="S12" s="6"/>
      <c r="T12" s="156"/>
      <c r="U12" s="6"/>
    </row>
    <row r="13" spans="1:21" customFormat="1">
      <c r="A13" s="163" t="s">
        <v>2164</v>
      </c>
      <c r="B13" s="100">
        <v>5.59</v>
      </c>
      <c r="C13" s="100">
        <v>8.83</v>
      </c>
      <c r="D13" s="100">
        <v>3.24</v>
      </c>
      <c r="E13" s="100">
        <v>3.67</v>
      </c>
      <c r="F13" s="100">
        <v>3.97</v>
      </c>
      <c r="G13" s="100">
        <v>74.760000000000005</v>
      </c>
      <c r="H13" s="100">
        <v>21.34</v>
      </c>
      <c r="I13" s="100">
        <v>6.4</v>
      </c>
      <c r="J13" s="100">
        <v>0.14000000000000001</v>
      </c>
      <c r="K13" s="100">
        <v>219.77</v>
      </c>
      <c r="L13" s="100">
        <v>26.49</v>
      </c>
      <c r="M13" s="100">
        <v>87.76</v>
      </c>
      <c r="N13" s="100">
        <v>2.1</v>
      </c>
      <c r="O13" s="100">
        <v>0</v>
      </c>
      <c r="P13" s="100">
        <v>0.53</v>
      </c>
      <c r="Q13" s="100">
        <v>9.94</v>
      </c>
      <c r="R13" s="6"/>
      <c r="S13" s="6"/>
      <c r="T13" s="156"/>
      <c r="U13" s="6"/>
    </row>
    <row r="14" spans="1:21" customFormat="1">
      <c r="A14" s="163" t="s">
        <v>2165</v>
      </c>
      <c r="B14" s="100">
        <v>5.47</v>
      </c>
      <c r="C14" s="100">
        <v>8.75</v>
      </c>
      <c r="D14" s="100">
        <v>3.28</v>
      </c>
      <c r="E14" s="100">
        <v>3.48</v>
      </c>
      <c r="F14" s="100">
        <v>4.8899999999999997</v>
      </c>
      <c r="G14" s="100">
        <v>61.66</v>
      </c>
      <c r="H14" s="100">
        <v>20.34</v>
      </c>
      <c r="I14" s="100">
        <v>6.75</v>
      </c>
      <c r="J14" s="100">
        <v>0.16</v>
      </c>
      <c r="K14" s="100">
        <v>221.4</v>
      </c>
      <c r="L14" s="100">
        <v>26.46</v>
      </c>
      <c r="M14" s="100">
        <v>88.52</v>
      </c>
      <c r="N14" s="100">
        <v>2.1</v>
      </c>
      <c r="O14" s="100">
        <v>0</v>
      </c>
      <c r="P14" s="100">
        <v>0.49</v>
      </c>
      <c r="Q14" s="100">
        <v>9.94</v>
      </c>
      <c r="R14" s="6"/>
      <c r="S14" s="6"/>
      <c r="T14" s="156"/>
      <c r="U14" s="6"/>
    </row>
    <row r="15" spans="1:21" customFormat="1">
      <c r="A15" s="163" t="s">
        <v>2166</v>
      </c>
      <c r="B15" s="100">
        <v>5.68</v>
      </c>
      <c r="C15" s="100">
        <v>8.4499999999999993</v>
      </c>
      <c r="D15" s="100">
        <v>2.77</v>
      </c>
      <c r="E15" s="100">
        <v>3.48</v>
      </c>
      <c r="F15" s="100">
        <v>2.2999999999999998</v>
      </c>
      <c r="G15" s="100">
        <v>61.66</v>
      </c>
      <c r="H15" s="100">
        <v>20.34</v>
      </c>
      <c r="I15" s="100">
        <v>6.33</v>
      </c>
      <c r="J15" s="100">
        <v>0.18</v>
      </c>
      <c r="K15" s="100">
        <v>248.26</v>
      </c>
      <c r="L15" s="100">
        <v>26.49</v>
      </c>
      <c r="M15" s="100">
        <v>87.95</v>
      </c>
      <c r="N15" s="100">
        <v>2.1</v>
      </c>
      <c r="O15" s="100">
        <v>0</v>
      </c>
      <c r="P15" s="100">
        <v>0.51</v>
      </c>
      <c r="Q15" s="100">
        <v>9.93</v>
      </c>
      <c r="R15" s="6"/>
      <c r="S15" s="6"/>
      <c r="T15" s="156"/>
      <c r="U15" s="6"/>
    </row>
    <row r="16" spans="1:21" customFormat="1">
      <c r="A16" s="163" t="s">
        <v>2167</v>
      </c>
      <c r="B16" s="100">
        <v>5.7</v>
      </c>
      <c r="C16" s="100">
        <v>8.7799999999999994</v>
      </c>
      <c r="D16" s="100">
        <v>3.08</v>
      </c>
      <c r="E16" s="100">
        <v>3.8</v>
      </c>
      <c r="F16" s="100">
        <v>2.2000000000000002</v>
      </c>
      <c r="G16" s="100">
        <v>61.66</v>
      </c>
      <c r="H16" s="100">
        <v>20.34</v>
      </c>
      <c r="I16" s="100">
        <v>6.25</v>
      </c>
      <c r="J16" s="100">
        <v>0.22</v>
      </c>
      <c r="K16" s="100">
        <v>246.17</v>
      </c>
      <c r="L16" s="100">
        <v>26.56</v>
      </c>
      <c r="M16" s="100">
        <v>87.81</v>
      </c>
      <c r="N16" s="100">
        <v>2.1</v>
      </c>
      <c r="O16" s="100">
        <v>0</v>
      </c>
      <c r="P16" s="100">
        <v>0.52</v>
      </c>
      <c r="Q16" s="100">
        <v>9.92</v>
      </c>
      <c r="R16" s="6"/>
      <c r="S16" s="6"/>
      <c r="T16" s="156"/>
      <c r="U16" s="6"/>
    </row>
    <row r="17" spans="1:21" customFormat="1">
      <c r="A17" s="163" t="s">
        <v>2168</v>
      </c>
      <c r="B17" s="100">
        <v>5.54</v>
      </c>
      <c r="C17" s="100">
        <v>8.85</v>
      </c>
      <c r="D17" s="100">
        <v>3.31</v>
      </c>
      <c r="E17" s="100">
        <v>3.31</v>
      </c>
      <c r="F17" s="100">
        <v>3.25</v>
      </c>
      <c r="G17" s="100">
        <v>61.06</v>
      </c>
      <c r="H17" s="100">
        <v>20.16</v>
      </c>
      <c r="I17" s="100">
        <v>6.48</v>
      </c>
      <c r="J17" s="100">
        <v>0.09</v>
      </c>
      <c r="K17" s="100">
        <v>174.42</v>
      </c>
      <c r="L17" s="100">
        <v>26.5</v>
      </c>
      <c r="M17" s="100">
        <v>88.33</v>
      </c>
      <c r="N17" s="100">
        <v>2.1</v>
      </c>
      <c r="O17" s="100">
        <v>0</v>
      </c>
      <c r="P17" s="100">
        <v>0.49</v>
      </c>
      <c r="Q17" s="100">
        <v>9.94</v>
      </c>
      <c r="R17" s="6"/>
      <c r="S17" s="6"/>
      <c r="T17" s="156"/>
      <c r="U17" s="6"/>
    </row>
    <row r="18" spans="1:21" customFormat="1">
      <c r="A18" s="163" t="s">
        <v>2169</v>
      </c>
      <c r="B18" s="100">
        <v>5.75</v>
      </c>
      <c r="C18" s="100">
        <v>8.67</v>
      </c>
      <c r="D18" s="100">
        <v>2.92</v>
      </c>
      <c r="E18" s="100">
        <v>4.83</v>
      </c>
      <c r="F18" s="100">
        <v>2.56</v>
      </c>
      <c r="G18" s="100">
        <v>59.59</v>
      </c>
      <c r="H18" s="100">
        <v>19.850000000000001</v>
      </c>
      <c r="I18" s="100">
        <v>6.38</v>
      </c>
      <c r="J18" s="100">
        <v>0.09</v>
      </c>
      <c r="K18" s="100">
        <v>219.31</v>
      </c>
      <c r="L18" s="100">
        <v>26.4</v>
      </c>
      <c r="M18" s="100">
        <v>89.51</v>
      </c>
      <c r="N18" s="100">
        <v>2.1</v>
      </c>
      <c r="O18" s="100">
        <v>0</v>
      </c>
      <c r="P18" s="100">
        <v>0.52</v>
      </c>
      <c r="Q18" s="100">
        <v>9.93</v>
      </c>
      <c r="R18" s="6"/>
      <c r="S18" s="6"/>
      <c r="T18" s="156"/>
      <c r="U18" s="6"/>
    </row>
    <row r="19" spans="1:21" customFormat="1">
      <c r="A19" s="163" t="s">
        <v>2170</v>
      </c>
      <c r="B19" s="100">
        <v>5.86</v>
      </c>
      <c r="C19" s="100">
        <v>9.0399999999999991</v>
      </c>
      <c r="D19" s="100">
        <v>3.18</v>
      </c>
      <c r="E19" s="100">
        <v>5.0599999999999996</v>
      </c>
      <c r="F19" s="100">
        <v>2.1</v>
      </c>
      <c r="G19" s="100">
        <v>59.59</v>
      </c>
      <c r="H19" s="100">
        <v>19.850000000000001</v>
      </c>
      <c r="I19" s="100">
        <v>6.08</v>
      </c>
      <c r="J19" s="100">
        <v>0.15</v>
      </c>
      <c r="K19" s="100">
        <v>239.68</v>
      </c>
      <c r="L19" s="100">
        <v>26.34</v>
      </c>
      <c r="M19" s="100">
        <v>89.79</v>
      </c>
      <c r="N19" s="100">
        <v>2.1</v>
      </c>
      <c r="O19" s="100">
        <v>0</v>
      </c>
      <c r="P19" s="100">
        <v>0.5</v>
      </c>
      <c r="Q19" s="100">
        <v>9.93</v>
      </c>
      <c r="R19" s="6"/>
      <c r="S19" s="6"/>
      <c r="T19" s="156"/>
      <c r="U19" s="6"/>
    </row>
    <row r="20" spans="1:21" customFormat="1">
      <c r="A20" s="163" t="s">
        <v>2171</v>
      </c>
      <c r="B20" s="100">
        <v>5.93</v>
      </c>
      <c r="C20" s="100">
        <v>10.199999999999999</v>
      </c>
      <c r="D20" s="100">
        <v>4.2699999999999996</v>
      </c>
      <c r="E20" s="100">
        <v>4.74</v>
      </c>
      <c r="F20" s="100">
        <v>2.1</v>
      </c>
      <c r="G20" s="100">
        <v>59.59</v>
      </c>
      <c r="H20" s="100">
        <v>19.850000000000001</v>
      </c>
      <c r="I20" s="100">
        <v>6.53</v>
      </c>
      <c r="J20" s="100">
        <v>0.24</v>
      </c>
      <c r="K20" s="100">
        <v>249.25</v>
      </c>
      <c r="L20" s="100">
        <v>26.46</v>
      </c>
      <c r="M20" s="100">
        <v>89.21</v>
      </c>
      <c r="N20" s="100">
        <v>2.1</v>
      </c>
      <c r="O20" s="100">
        <v>0</v>
      </c>
      <c r="P20" s="100">
        <v>0.47</v>
      </c>
      <c r="Q20" s="100">
        <v>9.93</v>
      </c>
      <c r="R20" s="6"/>
      <c r="S20" s="6"/>
      <c r="T20" s="156"/>
      <c r="U20" s="6"/>
    </row>
    <row r="21" spans="1:21" customFormat="1">
      <c r="A21" s="163" t="s">
        <v>2172</v>
      </c>
      <c r="B21" s="100">
        <v>5.82</v>
      </c>
      <c r="C21" s="100">
        <v>10.199999999999999</v>
      </c>
      <c r="D21" s="100">
        <v>4.38</v>
      </c>
      <c r="E21" s="100">
        <v>4.95</v>
      </c>
      <c r="F21" s="100">
        <v>2.15</v>
      </c>
      <c r="G21" s="100">
        <v>59.82</v>
      </c>
      <c r="H21" s="100">
        <v>18.25</v>
      </c>
      <c r="I21" s="100">
        <v>6.22</v>
      </c>
      <c r="J21" s="100">
        <v>0.16</v>
      </c>
      <c r="K21" s="100">
        <v>229.42</v>
      </c>
      <c r="L21" s="100">
        <v>26.55</v>
      </c>
      <c r="M21" s="100">
        <v>87.41</v>
      </c>
      <c r="N21" s="100">
        <v>2.1</v>
      </c>
      <c r="O21" s="100">
        <v>0</v>
      </c>
      <c r="P21" s="100">
        <v>0.44</v>
      </c>
      <c r="Q21" s="100">
        <v>9.93</v>
      </c>
      <c r="R21" s="6"/>
      <c r="S21" s="6"/>
      <c r="T21" s="156"/>
      <c r="U21" s="6"/>
    </row>
    <row r="22" spans="1:21" customFormat="1">
      <c r="A22" s="163" t="s">
        <v>2173</v>
      </c>
      <c r="B22" s="100">
        <v>5.72</v>
      </c>
      <c r="C22" s="100">
        <v>10.14</v>
      </c>
      <c r="D22" s="100">
        <v>4.42</v>
      </c>
      <c r="E22" s="100">
        <v>5.33</v>
      </c>
      <c r="F22" s="100">
        <v>2.12</v>
      </c>
      <c r="G22" s="100">
        <v>60.43</v>
      </c>
      <c r="H22" s="100">
        <v>15.45</v>
      </c>
      <c r="I22" s="100">
        <v>6.34</v>
      </c>
      <c r="J22" s="100">
        <v>0.11</v>
      </c>
      <c r="K22" s="100">
        <v>218.86</v>
      </c>
      <c r="L22" s="100">
        <v>26.53</v>
      </c>
      <c r="M22" s="100">
        <v>86.69</v>
      </c>
      <c r="N22" s="100">
        <v>2.1</v>
      </c>
      <c r="O22" s="100">
        <v>0</v>
      </c>
      <c r="P22" s="100">
        <v>0.44</v>
      </c>
      <c r="Q22" s="100">
        <v>9.93</v>
      </c>
      <c r="R22" s="6"/>
      <c r="S22" s="6"/>
      <c r="T22" s="156"/>
      <c r="U22" s="6"/>
    </row>
    <row r="23" spans="1:21" customFormat="1">
      <c r="A23" s="163" t="s">
        <v>2174</v>
      </c>
      <c r="B23" s="100">
        <v>5.68</v>
      </c>
      <c r="C23" s="100">
        <v>9.91</v>
      </c>
      <c r="D23" s="100">
        <v>4.2300000000000004</v>
      </c>
      <c r="E23" s="100">
        <v>5.46</v>
      </c>
      <c r="F23" s="100">
        <v>2.1</v>
      </c>
      <c r="G23" s="100">
        <v>60.43</v>
      </c>
      <c r="H23" s="100">
        <v>15.45</v>
      </c>
      <c r="I23" s="100">
        <v>6.13</v>
      </c>
      <c r="J23" s="100">
        <v>0.1</v>
      </c>
      <c r="K23" s="100">
        <v>215.52</v>
      </c>
      <c r="L23" s="100">
        <v>26.53</v>
      </c>
      <c r="M23" s="100">
        <v>86.87</v>
      </c>
      <c r="N23" s="100">
        <v>2.1</v>
      </c>
      <c r="O23" s="100">
        <v>0</v>
      </c>
      <c r="P23" s="100">
        <v>0.42</v>
      </c>
      <c r="Q23" s="100">
        <v>9.93</v>
      </c>
      <c r="R23" s="6"/>
      <c r="S23" s="6"/>
      <c r="T23" s="156"/>
      <c r="U23" s="6"/>
    </row>
    <row r="24" spans="1:21" customFormat="1">
      <c r="A24" s="163" t="s">
        <v>2175</v>
      </c>
      <c r="B24" s="100">
        <v>5.59</v>
      </c>
      <c r="C24" s="100">
        <v>9.7899999999999991</v>
      </c>
      <c r="D24" s="100">
        <v>4.2</v>
      </c>
      <c r="E24" s="100">
        <v>5.22</v>
      </c>
      <c r="F24" s="100">
        <v>2.19</v>
      </c>
      <c r="G24" s="100">
        <v>60.43</v>
      </c>
      <c r="H24" s="100">
        <v>15.45</v>
      </c>
      <c r="I24" s="100">
        <v>5.91</v>
      </c>
      <c r="J24" s="100">
        <v>0.24</v>
      </c>
      <c r="K24" s="100">
        <v>253.94</v>
      </c>
      <c r="L24" s="100">
        <v>26.47</v>
      </c>
      <c r="M24" s="100">
        <v>86.33</v>
      </c>
      <c r="N24" s="100">
        <v>2.1</v>
      </c>
      <c r="O24" s="100">
        <v>0</v>
      </c>
      <c r="P24" s="100">
        <v>0.41</v>
      </c>
      <c r="Q24" s="100">
        <v>9.92</v>
      </c>
      <c r="R24" s="6"/>
      <c r="S24" s="6"/>
      <c r="T24" s="156"/>
      <c r="U24" s="6"/>
    </row>
    <row r="25" spans="1:21" customFormat="1">
      <c r="A25" s="163" t="s">
        <v>2176</v>
      </c>
      <c r="B25" s="100">
        <v>5.51</v>
      </c>
      <c r="C25" s="100">
        <v>9.7100000000000009</v>
      </c>
      <c r="D25" s="100">
        <v>4.2</v>
      </c>
      <c r="E25" s="100">
        <v>5.3</v>
      </c>
      <c r="F25" s="100">
        <v>2.23</v>
      </c>
      <c r="G25" s="100">
        <v>56.33</v>
      </c>
      <c r="H25" s="100">
        <v>15.82</v>
      </c>
      <c r="I25" s="100">
        <v>5.76</v>
      </c>
      <c r="J25" s="100">
        <v>0.26</v>
      </c>
      <c r="K25" s="100">
        <v>247.16</v>
      </c>
      <c r="L25" s="100">
        <v>26.52</v>
      </c>
      <c r="M25" s="100">
        <v>86.05</v>
      </c>
      <c r="N25" s="100">
        <v>2.1</v>
      </c>
      <c r="O25" s="100">
        <v>0</v>
      </c>
      <c r="P25" s="100">
        <v>0.41</v>
      </c>
      <c r="Q25" s="100">
        <v>9.92</v>
      </c>
      <c r="R25" s="6"/>
      <c r="S25" s="6"/>
      <c r="T25" s="156"/>
      <c r="U25" s="6"/>
    </row>
    <row r="26" spans="1:21" customFormat="1">
      <c r="A26" s="163" t="s">
        <v>2177</v>
      </c>
      <c r="B26" s="100">
        <v>5.49</v>
      </c>
      <c r="C26" s="100">
        <v>9.6300000000000008</v>
      </c>
      <c r="D26" s="100">
        <v>4.1399999999999997</v>
      </c>
      <c r="E26" s="100">
        <v>5.22</v>
      </c>
      <c r="F26" s="100">
        <v>2.1</v>
      </c>
      <c r="G26" s="100">
        <v>46.27</v>
      </c>
      <c r="H26" s="100">
        <v>17.34</v>
      </c>
      <c r="I26" s="100">
        <v>5.68</v>
      </c>
      <c r="J26" s="100">
        <v>0.28999999999999998</v>
      </c>
      <c r="K26" s="100">
        <v>246.54</v>
      </c>
      <c r="L26" s="100">
        <v>26.55</v>
      </c>
      <c r="M26" s="100">
        <v>85.76</v>
      </c>
      <c r="N26" s="100">
        <v>2.1</v>
      </c>
      <c r="O26" s="100">
        <v>0</v>
      </c>
      <c r="P26" s="100">
        <v>0.4</v>
      </c>
      <c r="Q26" s="100">
        <v>9.93</v>
      </c>
      <c r="R26" s="6"/>
      <c r="S26" s="6"/>
      <c r="T26" s="156"/>
      <c r="U26" s="6"/>
    </row>
    <row r="27" spans="1:21" customFormat="1">
      <c r="A27" s="163" t="s">
        <v>2178</v>
      </c>
      <c r="B27" s="100">
        <v>5.46</v>
      </c>
      <c r="C27" s="100">
        <v>9.5299999999999994</v>
      </c>
      <c r="D27" s="100">
        <v>4.0599999999999996</v>
      </c>
      <c r="E27" s="100">
        <v>5.6</v>
      </c>
      <c r="F27" s="100">
        <v>2.15</v>
      </c>
      <c r="G27" s="100">
        <v>46.27</v>
      </c>
      <c r="H27" s="100">
        <v>17.34</v>
      </c>
      <c r="I27" s="100">
        <v>5.47</v>
      </c>
      <c r="J27" s="100">
        <v>0.35</v>
      </c>
      <c r="K27" s="100">
        <v>254.13</v>
      </c>
      <c r="L27" s="100">
        <v>26.54</v>
      </c>
      <c r="M27" s="100">
        <v>85.77</v>
      </c>
      <c r="N27" s="100">
        <v>2.1</v>
      </c>
      <c r="O27" s="100">
        <v>0</v>
      </c>
      <c r="P27" s="100">
        <v>0.4</v>
      </c>
      <c r="Q27" s="100">
        <v>9.92</v>
      </c>
      <c r="R27" s="6"/>
      <c r="S27" s="6"/>
      <c r="T27" s="156"/>
      <c r="U27" s="6"/>
    </row>
    <row r="28" spans="1:21" customFormat="1">
      <c r="A28" s="163" t="s">
        <v>2179</v>
      </c>
      <c r="B28" s="100">
        <v>5.44</v>
      </c>
      <c r="C28" s="100">
        <v>9.42</v>
      </c>
      <c r="D28" s="100">
        <v>3.98</v>
      </c>
      <c r="E28" s="100">
        <v>5.46</v>
      </c>
      <c r="F28" s="100">
        <v>2.82</v>
      </c>
      <c r="G28" s="100">
        <v>46.27</v>
      </c>
      <c r="H28" s="100">
        <v>17.34</v>
      </c>
      <c r="I28" s="100">
        <v>5.54</v>
      </c>
      <c r="J28" s="100">
        <v>0.26</v>
      </c>
      <c r="K28" s="100">
        <v>247.74</v>
      </c>
      <c r="L28" s="100">
        <v>26.53</v>
      </c>
      <c r="M28" s="100">
        <v>85.41</v>
      </c>
      <c r="N28" s="100">
        <v>2.1</v>
      </c>
      <c r="O28" s="100">
        <v>0</v>
      </c>
      <c r="P28" s="100">
        <v>0.4</v>
      </c>
      <c r="Q28" s="100">
        <v>9.94</v>
      </c>
      <c r="R28" s="6"/>
      <c r="S28" s="6"/>
      <c r="T28" s="156"/>
      <c r="U28" s="6"/>
    </row>
    <row r="29" spans="1:21" customFormat="1">
      <c r="A29" s="163" t="s">
        <v>2180</v>
      </c>
      <c r="B29" s="100">
        <v>5.39</v>
      </c>
      <c r="C29" s="100">
        <v>9.3000000000000007</v>
      </c>
      <c r="D29" s="100">
        <v>3.91</v>
      </c>
      <c r="E29" s="100">
        <v>5.43</v>
      </c>
      <c r="F29" s="100">
        <v>3</v>
      </c>
      <c r="G29" s="100">
        <v>44.58</v>
      </c>
      <c r="H29" s="100">
        <v>17.09</v>
      </c>
      <c r="I29" s="100">
        <v>5.56</v>
      </c>
      <c r="J29" s="100">
        <v>0.27</v>
      </c>
      <c r="K29" s="100">
        <v>242.79</v>
      </c>
      <c r="L29" s="100">
        <v>26.55</v>
      </c>
      <c r="M29" s="100">
        <v>85.3</v>
      </c>
      <c r="N29" s="100">
        <v>2.4</v>
      </c>
      <c r="O29" s="100">
        <v>0</v>
      </c>
      <c r="P29" s="100">
        <v>0.39</v>
      </c>
      <c r="Q29" s="100">
        <v>9.92</v>
      </c>
      <c r="R29" s="6"/>
      <c r="S29" s="6"/>
      <c r="T29" s="156"/>
      <c r="U29" s="6"/>
    </row>
    <row r="30" spans="1:21" customFormat="1">
      <c r="A30" s="163" t="s">
        <v>2181</v>
      </c>
      <c r="B30" s="100">
        <v>5.36</v>
      </c>
      <c r="C30" s="100">
        <v>9.2200000000000006</v>
      </c>
      <c r="D30" s="100">
        <v>3.86</v>
      </c>
      <c r="E30" s="100">
        <v>5.65</v>
      </c>
      <c r="F30" s="100">
        <v>2.87</v>
      </c>
      <c r="G30" s="100">
        <v>40.19</v>
      </c>
      <c r="H30" s="100">
        <v>16.68</v>
      </c>
      <c r="I30" s="100">
        <v>5.48</v>
      </c>
      <c r="J30" s="100">
        <v>0.19</v>
      </c>
      <c r="K30" s="100">
        <v>240.41</v>
      </c>
      <c r="L30" s="100">
        <v>26.5</v>
      </c>
      <c r="M30" s="100">
        <v>85.62</v>
      </c>
      <c r="N30" s="100">
        <v>4.8</v>
      </c>
      <c r="O30" s="100">
        <v>0</v>
      </c>
      <c r="P30" s="100">
        <v>0.38</v>
      </c>
      <c r="Q30" s="100">
        <v>9.92</v>
      </c>
      <c r="R30" s="6"/>
      <c r="S30" s="6"/>
      <c r="T30" s="156"/>
      <c r="U30" s="6"/>
    </row>
    <row r="31" spans="1:21" customFormat="1">
      <c r="A31" s="163" t="s">
        <v>2182</v>
      </c>
      <c r="B31" s="100">
        <v>5.3</v>
      </c>
      <c r="C31" s="100">
        <v>9.14</v>
      </c>
      <c r="D31" s="100">
        <v>3.85</v>
      </c>
      <c r="E31" s="100">
        <v>5.79</v>
      </c>
      <c r="F31" s="100">
        <v>2.71</v>
      </c>
      <c r="G31" s="100">
        <v>40.19</v>
      </c>
      <c r="H31" s="100">
        <v>16.68</v>
      </c>
      <c r="I31" s="100">
        <v>5.36</v>
      </c>
      <c r="J31" s="100">
        <v>0.27</v>
      </c>
      <c r="K31" s="100">
        <v>248.41</v>
      </c>
      <c r="L31" s="100">
        <v>26.45</v>
      </c>
      <c r="M31" s="100">
        <v>85.93</v>
      </c>
      <c r="N31" s="100">
        <v>10.6</v>
      </c>
      <c r="O31" s="100">
        <v>0</v>
      </c>
      <c r="P31" s="100">
        <v>0.37</v>
      </c>
      <c r="Q31" s="100">
        <v>9.92</v>
      </c>
      <c r="R31" s="6"/>
      <c r="S31" s="6"/>
      <c r="T31" s="156"/>
      <c r="U31" s="6"/>
    </row>
    <row r="32" spans="1:21" customFormat="1">
      <c r="A32" s="163" t="s">
        <v>2183</v>
      </c>
      <c r="B32" s="100">
        <v>5.29</v>
      </c>
      <c r="C32" s="100">
        <v>9.09</v>
      </c>
      <c r="D32" s="100">
        <v>3.8</v>
      </c>
      <c r="E32" s="100">
        <v>5.6</v>
      </c>
      <c r="F32" s="100">
        <v>2.52</v>
      </c>
      <c r="G32" s="100">
        <v>40.19</v>
      </c>
      <c r="H32" s="100">
        <v>16.68</v>
      </c>
      <c r="I32" s="100">
        <v>5.22</v>
      </c>
      <c r="J32" s="100">
        <v>0.2</v>
      </c>
      <c r="K32" s="100">
        <v>241.04</v>
      </c>
      <c r="L32" s="100">
        <v>26.54</v>
      </c>
      <c r="M32" s="100">
        <v>85.6</v>
      </c>
      <c r="N32" s="100">
        <v>19.8</v>
      </c>
      <c r="O32" s="100">
        <v>0</v>
      </c>
      <c r="P32" s="100">
        <v>0.36</v>
      </c>
      <c r="Q32" s="100">
        <v>9.91</v>
      </c>
      <c r="R32" s="6"/>
      <c r="S32" s="6"/>
      <c r="T32" s="156"/>
      <c r="U32" s="6"/>
    </row>
    <row r="33" spans="1:21" customFormat="1">
      <c r="A33" s="163" t="s">
        <v>2184</v>
      </c>
      <c r="B33" s="100">
        <v>5.27</v>
      </c>
      <c r="C33" s="100">
        <v>9</v>
      </c>
      <c r="D33" s="100">
        <v>3.72</v>
      </c>
      <c r="E33" s="100">
        <v>5.56</v>
      </c>
      <c r="F33" s="100">
        <v>2.73</v>
      </c>
      <c r="G33" s="100">
        <v>39.229999999999997</v>
      </c>
      <c r="H33" s="100">
        <v>14.8</v>
      </c>
      <c r="I33" s="100">
        <v>5.09</v>
      </c>
      <c r="J33" s="100">
        <v>0.25</v>
      </c>
      <c r="K33" s="100">
        <v>242.34</v>
      </c>
      <c r="L33" s="100">
        <v>26.73</v>
      </c>
      <c r="M33" s="100">
        <v>84.55</v>
      </c>
      <c r="N33" s="100">
        <v>28.2</v>
      </c>
      <c r="O33" s="100">
        <v>0</v>
      </c>
      <c r="P33" s="100">
        <v>0.37</v>
      </c>
      <c r="Q33" s="100">
        <v>9.92</v>
      </c>
      <c r="R33" s="6"/>
      <c r="S33" s="6"/>
      <c r="T33" s="156"/>
      <c r="U33" s="6"/>
    </row>
    <row r="34" spans="1:21" customFormat="1">
      <c r="A34" s="163" t="s">
        <v>2185</v>
      </c>
      <c r="B34" s="100">
        <v>5.25</v>
      </c>
      <c r="C34" s="100">
        <v>8.99</v>
      </c>
      <c r="D34" s="100">
        <v>3.74</v>
      </c>
      <c r="E34" s="100">
        <v>5.73</v>
      </c>
      <c r="F34" s="100">
        <v>2.72</v>
      </c>
      <c r="G34" s="100">
        <v>36.85</v>
      </c>
      <c r="H34" s="100">
        <v>11.71</v>
      </c>
      <c r="I34" s="100">
        <v>5.0599999999999996</v>
      </c>
      <c r="J34" s="100">
        <v>0.3</v>
      </c>
      <c r="K34" s="100">
        <v>241.62</v>
      </c>
      <c r="L34" s="100">
        <v>26.86</v>
      </c>
      <c r="M34" s="100">
        <v>84.04</v>
      </c>
      <c r="N34" s="100">
        <v>36.5</v>
      </c>
      <c r="O34" s="100">
        <v>0</v>
      </c>
      <c r="P34" s="100">
        <v>0.36</v>
      </c>
      <c r="Q34" s="100">
        <v>9.91</v>
      </c>
      <c r="R34" s="6"/>
      <c r="S34" s="6"/>
      <c r="T34" s="156"/>
      <c r="U34" s="6"/>
    </row>
    <row r="35" spans="1:21" customFormat="1">
      <c r="A35" s="163" t="s">
        <v>2186</v>
      </c>
      <c r="B35" s="100">
        <v>5.24</v>
      </c>
      <c r="C35" s="100">
        <v>8.83</v>
      </c>
      <c r="D35" s="100">
        <v>3.59</v>
      </c>
      <c r="E35" s="100">
        <v>5.59</v>
      </c>
      <c r="F35" s="100">
        <v>2.99</v>
      </c>
      <c r="G35" s="100">
        <v>36.85</v>
      </c>
      <c r="H35" s="100">
        <v>11.71</v>
      </c>
      <c r="I35" s="100">
        <v>5.01</v>
      </c>
      <c r="J35" s="100">
        <v>0.5</v>
      </c>
      <c r="K35" s="100">
        <v>251</v>
      </c>
      <c r="L35" s="100">
        <v>27.07</v>
      </c>
      <c r="M35" s="100">
        <v>82.83</v>
      </c>
      <c r="N35" s="100">
        <v>55.1</v>
      </c>
      <c r="O35" s="100">
        <v>0</v>
      </c>
      <c r="P35" s="100">
        <v>0.36</v>
      </c>
      <c r="Q35" s="100">
        <v>9.91</v>
      </c>
      <c r="R35" s="6"/>
      <c r="S35" s="6"/>
      <c r="T35" s="156"/>
      <c r="U35" s="6"/>
    </row>
    <row r="36" spans="1:21" customFormat="1">
      <c r="A36" s="163" t="s">
        <v>2187</v>
      </c>
      <c r="B36" s="100">
        <v>5.18</v>
      </c>
      <c r="C36" s="100">
        <v>8.67</v>
      </c>
      <c r="D36" s="100">
        <v>3.49</v>
      </c>
      <c r="E36" s="100">
        <v>5.56</v>
      </c>
      <c r="F36" s="100">
        <v>2.97</v>
      </c>
      <c r="G36" s="100">
        <v>36.85</v>
      </c>
      <c r="H36" s="100">
        <v>11.71</v>
      </c>
      <c r="I36" s="100">
        <v>5.01</v>
      </c>
      <c r="J36" s="100">
        <v>0.44</v>
      </c>
      <c r="K36" s="100">
        <v>247.93</v>
      </c>
      <c r="L36" s="100">
        <v>27.53</v>
      </c>
      <c r="M36" s="100">
        <v>80.7</v>
      </c>
      <c r="N36" s="100">
        <v>85.2</v>
      </c>
      <c r="O36" s="100">
        <v>0</v>
      </c>
      <c r="P36" s="100">
        <v>0.35</v>
      </c>
      <c r="Q36" s="100">
        <v>9.91</v>
      </c>
      <c r="R36" s="6"/>
      <c r="S36" s="6"/>
      <c r="T36" s="156"/>
      <c r="U36" s="6"/>
    </row>
    <row r="37" spans="1:21" customFormat="1">
      <c r="A37" s="163" t="s">
        <v>2188</v>
      </c>
      <c r="B37" s="100">
        <v>5.0999999999999996</v>
      </c>
      <c r="C37" s="100">
        <v>8.6300000000000008</v>
      </c>
      <c r="D37" s="100">
        <v>3.53</v>
      </c>
      <c r="E37" s="100">
        <v>5.59</v>
      </c>
      <c r="F37" s="100">
        <v>2.7</v>
      </c>
      <c r="G37" s="100">
        <v>36.880000000000003</v>
      </c>
      <c r="H37" s="100">
        <v>10.54</v>
      </c>
      <c r="I37" s="100">
        <v>4.97</v>
      </c>
      <c r="J37" s="100">
        <v>0.6</v>
      </c>
      <c r="K37" s="100">
        <v>253.1</v>
      </c>
      <c r="L37" s="100">
        <v>28.02</v>
      </c>
      <c r="M37" s="100">
        <v>78.56</v>
      </c>
      <c r="N37" s="100">
        <v>110</v>
      </c>
      <c r="O37" s="100">
        <v>0</v>
      </c>
      <c r="P37" s="100">
        <v>0.34</v>
      </c>
      <c r="Q37" s="100">
        <v>9.89</v>
      </c>
      <c r="R37" s="6"/>
      <c r="S37" s="6"/>
      <c r="T37" s="156"/>
      <c r="U37" s="6"/>
    </row>
    <row r="38" spans="1:21" customFormat="1">
      <c r="A38" s="163" t="s">
        <v>2189</v>
      </c>
      <c r="B38" s="100">
        <v>5.01</v>
      </c>
      <c r="C38" s="100">
        <v>8.6300000000000008</v>
      </c>
      <c r="D38" s="100">
        <v>3.62</v>
      </c>
      <c r="E38" s="100">
        <v>5.67</v>
      </c>
      <c r="F38" s="100">
        <v>2.68</v>
      </c>
      <c r="G38" s="100">
        <v>36.94</v>
      </c>
      <c r="H38" s="100">
        <v>8.6199999999999992</v>
      </c>
      <c r="I38" s="100">
        <v>4.82</v>
      </c>
      <c r="J38" s="100">
        <v>0.77</v>
      </c>
      <c r="K38" s="100">
        <v>256.01</v>
      </c>
      <c r="L38" s="100">
        <v>28.5</v>
      </c>
      <c r="M38" s="100">
        <v>76.010000000000005</v>
      </c>
      <c r="N38" s="100">
        <v>119.2</v>
      </c>
      <c r="O38" s="100">
        <v>0</v>
      </c>
      <c r="P38" s="100">
        <v>0.34</v>
      </c>
      <c r="Q38" s="100">
        <v>9.91</v>
      </c>
      <c r="R38" s="6"/>
      <c r="S38" s="6"/>
      <c r="T38" s="156"/>
      <c r="U38" s="6"/>
    </row>
    <row r="39" spans="1:21" customFormat="1">
      <c r="A39" s="163" t="s">
        <v>2190</v>
      </c>
      <c r="B39" s="100">
        <v>4.8899999999999997</v>
      </c>
      <c r="C39" s="100">
        <v>8.4600000000000009</v>
      </c>
      <c r="D39" s="100">
        <v>3.57</v>
      </c>
      <c r="E39" s="100">
        <v>4.9000000000000004</v>
      </c>
      <c r="F39" s="100">
        <v>3.13</v>
      </c>
      <c r="G39" s="100">
        <v>36.94</v>
      </c>
      <c r="H39" s="100">
        <v>8.6199999999999992</v>
      </c>
      <c r="I39" s="100">
        <v>4.79</v>
      </c>
      <c r="J39" s="100">
        <v>0.84</v>
      </c>
      <c r="K39" s="100">
        <v>259.38</v>
      </c>
      <c r="L39" s="100">
        <v>29.17</v>
      </c>
      <c r="M39" s="100">
        <v>73.11</v>
      </c>
      <c r="N39" s="100">
        <v>131.9</v>
      </c>
      <c r="O39" s="100">
        <v>0</v>
      </c>
      <c r="P39" s="100">
        <v>0.34</v>
      </c>
      <c r="Q39" s="100">
        <v>9.9</v>
      </c>
      <c r="R39" s="6"/>
      <c r="S39" s="6"/>
      <c r="T39" s="156"/>
      <c r="U39" s="6"/>
    </row>
    <row r="40" spans="1:21" customFormat="1">
      <c r="A40" s="163" t="s">
        <v>2191</v>
      </c>
      <c r="B40" s="100">
        <v>4.7699999999999996</v>
      </c>
      <c r="C40" s="100">
        <v>8.43</v>
      </c>
      <c r="D40" s="100">
        <v>3.65</v>
      </c>
      <c r="E40" s="100">
        <v>5.78</v>
      </c>
      <c r="F40" s="100">
        <v>2.2200000000000002</v>
      </c>
      <c r="G40" s="100">
        <v>36.94</v>
      </c>
      <c r="H40" s="100">
        <v>8.6199999999999992</v>
      </c>
      <c r="I40" s="100">
        <v>4.7699999999999996</v>
      </c>
      <c r="J40" s="100">
        <v>0.71</v>
      </c>
      <c r="K40" s="100">
        <v>256.32</v>
      </c>
      <c r="L40" s="100">
        <v>29.63</v>
      </c>
      <c r="M40" s="100">
        <v>70.930000000000007</v>
      </c>
      <c r="N40" s="100">
        <v>152.30000000000001</v>
      </c>
      <c r="O40" s="100">
        <v>0</v>
      </c>
      <c r="P40" s="100">
        <v>0.37</v>
      </c>
      <c r="Q40" s="100">
        <v>9.92</v>
      </c>
      <c r="R40" s="6"/>
      <c r="S40" s="6"/>
      <c r="T40" s="156"/>
      <c r="U40" s="6"/>
    </row>
    <row r="41" spans="1:21" customFormat="1">
      <c r="A41" s="163" t="s">
        <v>2192</v>
      </c>
      <c r="B41" s="100">
        <v>4.8</v>
      </c>
      <c r="C41" s="100">
        <v>8.14</v>
      </c>
      <c r="D41" s="100">
        <v>3.34</v>
      </c>
      <c r="E41" s="100">
        <v>5.62</v>
      </c>
      <c r="F41" s="100">
        <v>4.6100000000000003</v>
      </c>
      <c r="G41" s="100">
        <v>35.71</v>
      </c>
      <c r="H41" s="100">
        <v>10.38</v>
      </c>
      <c r="I41" s="100">
        <v>4.7699999999999996</v>
      </c>
      <c r="J41" s="100">
        <v>0.97</v>
      </c>
      <c r="K41" s="100">
        <v>260.14</v>
      </c>
      <c r="L41" s="100">
        <v>30.41</v>
      </c>
      <c r="M41" s="100">
        <v>67.66</v>
      </c>
      <c r="N41" s="100">
        <v>180</v>
      </c>
      <c r="O41" s="100">
        <v>0</v>
      </c>
      <c r="P41" s="100">
        <v>0.37</v>
      </c>
      <c r="Q41" s="100">
        <v>9.92</v>
      </c>
      <c r="R41" s="6"/>
      <c r="S41" s="6"/>
      <c r="T41" s="156"/>
      <c r="U41" s="6"/>
    </row>
    <row r="42" spans="1:21" customFormat="1">
      <c r="A42" s="163" t="s">
        <v>2193</v>
      </c>
      <c r="B42" s="100">
        <v>4.8600000000000003</v>
      </c>
      <c r="C42" s="100">
        <v>8.15</v>
      </c>
      <c r="D42" s="100">
        <v>3.29</v>
      </c>
      <c r="E42" s="100">
        <v>5.46</v>
      </c>
      <c r="F42" s="100">
        <v>3.36</v>
      </c>
      <c r="G42" s="100">
        <v>32.51</v>
      </c>
      <c r="H42" s="100">
        <v>13.34</v>
      </c>
      <c r="I42" s="100">
        <v>4.68</v>
      </c>
      <c r="J42" s="100">
        <v>0.89</v>
      </c>
      <c r="K42" s="100">
        <v>270.35000000000002</v>
      </c>
      <c r="L42" s="100">
        <v>31.18</v>
      </c>
      <c r="M42" s="100">
        <v>64.69</v>
      </c>
      <c r="N42" s="100">
        <v>235.5</v>
      </c>
      <c r="O42" s="100">
        <v>0</v>
      </c>
      <c r="P42" s="100">
        <v>0.37</v>
      </c>
      <c r="Q42" s="100">
        <v>9.93</v>
      </c>
      <c r="R42" s="6"/>
      <c r="S42" s="6"/>
      <c r="T42" s="156"/>
      <c r="U42" s="6"/>
    </row>
    <row r="43" spans="1:21" customFormat="1">
      <c r="A43" s="163" t="s">
        <v>2194</v>
      </c>
      <c r="B43" s="100">
        <v>5.15</v>
      </c>
      <c r="C43" s="100">
        <v>8.7200000000000006</v>
      </c>
      <c r="D43" s="100">
        <v>3.57</v>
      </c>
      <c r="E43" s="100">
        <v>5.65</v>
      </c>
      <c r="F43" s="100">
        <v>3.57</v>
      </c>
      <c r="G43" s="100">
        <v>32.51</v>
      </c>
      <c r="H43" s="100">
        <v>13.34</v>
      </c>
      <c r="I43" s="100">
        <v>4.66</v>
      </c>
      <c r="J43" s="100">
        <v>1.05</v>
      </c>
      <c r="K43" s="100">
        <v>278.64</v>
      </c>
      <c r="L43" s="100">
        <v>31.05</v>
      </c>
      <c r="M43" s="100">
        <v>64.39</v>
      </c>
      <c r="N43" s="100">
        <v>221.4</v>
      </c>
      <c r="O43" s="100">
        <v>0</v>
      </c>
      <c r="P43" s="100">
        <v>0.38</v>
      </c>
      <c r="Q43" s="100">
        <v>9.93</v>
      </c>
      <c r="R43" s="6"/>
      <c r="S43" s="6"/>
      <c r="T43" s="156"/>
      <c r="U43" s="6"/>
    </row>
    <row r="44" spans="1:21" customFormat="1">
      <c r="A44" s="163" t="s">
        <v>2195</v>
      </c>
      <c r="B44" s="100">
        <v>5.46</v>
      </c>
      <c r="C44" s="100">
        <v>9.0500000000000007</v>
      </c>
      <c r="D44" s="100">
        <v>3.6</v>
      </c>
      <c r="E44" s="100">
        <v>6.12</v>
      </c>
      <c r="F44" s="100">
        <v>4.01</v>
      </c>
      <c r="G44" s="100">
        <v>32.51</v>
      </c>
      <c r="H44" s="100">
        <v>13.34</v>
      </c>
      <c r="I44" s="100">
        <v>4.8600000000000003</v>
      </c>
      <c r="J44" s="100">
        <v>1.38</v>
      </c>
      <c r="K44" s="100">
        <v>287.32</v>
      </c>
      <c r="L44" s="100">
        <v>31.13</v>
      </c>
      <c r="M44" s="100">
        <v>63.68</v>
      </c>
      <c r="N44" s="100">
        <v>253.6</v>
      </c>
      <c r="O44" s="100">
        <v>0</v>
      </c>
      <c r="P44" s="100">
        <v>0.4</v>
      </c>
      <c r="Q44" s="100">
        <v>9.93</v>
      </c>
      <c r="R44" s="6"/>
      <c r="S44" s="6"/>
      <c r="T44" s="156"/>
      <c r="U44" s="6"/>
    </row>
    <row r="45" spans="1:21" customFormat="1">
      <c r="A45" s="163" t="s">
        <v>2196</v>
      </c>
      <c r="B45" s="100">
        <v>5.6</v>
      </c>
      <c r="C45" s="100">
        <v>9.3699999999999992</v>
      </c>
      <c r="D45" s="100">
        <v>3.77</v>
      </c>
      <c r="E45" s="100">
        <v>5.94</v>
      </c>
      <c r="F45" s="100">
        <v>3.81</v>
      </c>
      <c r="G45" s="100">
        <v>39.67</v>
      </c>
      <c r="H45" s="100">
        <v>13.54</v>
      </c>
      <c r="I45" s="100">
        <v>5.17</v>
      </c>
      <c r="J45" s="100">
        <v>1.0900000000000001</v>
      </c>
      <c r="K45" s="100">
        <v>266.33</v>
      </c>
      <c r="L45" s="100">
        <v>31</v>
      </c>
      <c r="M45" s="100">
        <v>63.47</v>
      </c>
      <c r="N45" s="100">
        <v>254.2</v>
      </c>
      <c r="O45" s="100">
        <v>0</v>
      </c>
      <c r="P45" s="100">
        <v>0.41</v>
      </c>
      <c r="Q45" s="100">
        <v>9.93</v>
      </c>
      <c r="R45" s="6"/>
      <c r="S45" s="6"/>
      <c r="T45" s="156"/>
      <c r="U45" s="6"/>
    </row>
    <row r="46" spans="1:21" customFormat="1">
      <c r="A46" s="163" t="s">
        <v>2197</v>
      </c>
      <c r="B46" s="100">
        <v>5.47</v>
      </c>
      <c r="C46" s="100">
        <v>9.2899999999999991</v>
      </c>
      <c r="D46" s="100">
        <v>3.82</v>
      </c>
      <c r="E46" s="100">
        <v>5.83</v>
      </c>
      <c r="F46" s="100">
        <v>4.63</v>
      </c>
      <c r="G46" s="100">
        <v>57.32</v>
      </c>
      <c r="H46" s="100">
        <v>13.86</v>
      </c>
      <c r="I46" s="100">
        <v>5.69</v>
      </c>
      <c r="J46" s="100">
        <v>1.24</v>
      </c>
      <c r="K46" s="100">
        <v>280.5</v>
      </c>
      <c r="L46" s="100">
        <v>30.9</v>
      </c>
      <c r="M46" s="100">
        <v>63.55</v>
      </c>
      <c r="N46" s="100">
        <v>250.9</v>
      </c>
      <c r="O46" s="100">
        <v>0</v>
      </c>
      <c r="P46" s="100">
        <v>0.42</v>
      </c>
      <c r="Q46" s="100">
        <v>9.93</v>
      </c>
      <c r="R46" s="6"/>
      <c r="S46" s="6"/>
      <c r="T46" s="156"/>
      <c r="U46" s="6"/>
    </row>
    <row r="47" spans="1:21" customFormat="1">
      <c r="A47" s="163" t="s">
        <v>2198</v>
      </c>
      <c r="B47" s="100">
        <v>5.78</v>
      </c>
      <c r="C47" s="100">
        <v>10.119999999999999</v>
      </c>
      <c r="D47" s="100">
        <v>4.34</v>
      </c>
      <c r="E47" s="100">
        <v>5.84</v>
      </c>
      <c r="F47" s="100">
        <v>4.82</v>
      </c>
      <c r="G47" s="100">
        <v>57.32</v>
      </c>
      <c r="H47" s="100">
        <v>13.86</v>
      </c>
      <c r="I47" s="100">
        <v>5.89</v>
      </c>
      <c r="J47" s="100">
        <v>1.54</v>
      </c>
      <c r="K47" s="100">
        <v>294.24</v>
      </c>
      <c r="L47" s="100">
        <v>31.3</v>
      </c>
      <c r="M47" s="100">
        <v>61.93</v>
      </c>
      <c r="N47" s="100">
        <v>221.8</v>
      </c>
      <c r="O47" s="100">
        <v>0</v>
      </c>
      <c r="P47" s="100">
        <v>0.43</v>
      </c>
      <c r="Q47" s="100">
        <v>9.93</v>
      </c>
      <c r="R47" s="6"/>
      <c r="S47" s="6"/>
      <c r="T47" s="156"/>
      <c r="U47" s="6"/>
    </row>
    <row r="48" spans="1:21" customFormat="1">
      <c r="A48" s="163" t="s">
        <v>2199</v>
      </c>
      <c r="B48" s="100">
        <v>5.65</v>
      </c>
      <c r="C48" s="100">
        <v>9.6300000000000008</v>
      </c>
      <c r="D48" s="100">
        <v>3.99</v>
      </c>
      <c r="E48" s="100">
        <v>5.82</v>
      </c>
      <c r="F48" s="100">
        <v>6.1</v>
      </c>
      <c r="G48" s="100">
        <v>57.32</v>
      </c>
      <c r="H48" s="100">
        <v>13.86</v>
      </c>
      <c r="I48" s="100">
        <v>6.25</v>
      </c>
      <c r="J48" s="100">
        <v>1.1499999999999999</v>
      </c>
      <c r="K48" s="100">
        <v>270.87</v>
      </c>
      <c r="L48" s="100">
        <v>32.21</v>
      </c>
      <c r="M48" s="100">
        <v>59.36</v>
      </c>
      <c r="N48" s="100">
        <v>174.1</v>
      </c>
      <c r="O48" s="100">
        <v>0</v>
      </c>
      <c r="P48" s="100">
        <v>0.42</v>
      </c>
      <c r="Q48" s="100">
        <v>9.93</v>
      </c>
      <c r="R48" s="6"/>
      <c r="S48" s="6"/>
      <c r="T48" s="156"/>
      <c r="U48" s="6"/>
    </row>
    <row r="49" spans="1:21" customFormat="1">
      <c r="A49" s="163" t="s">
        <v>2200</v>
      </c>
      <c r="B49" s="100">
        <v>5.46</v>
      </c>
      <c r="C49" s="100">
        <v>9.85</v>
      </c>
      <c r="D49" s="100">
        <v>4.3899999999999997</v>
      </c>
      <c r="E49" s="100">
        <v>4.91</v>
      </c>
      <c r="F49" s="100">
        <v>6.73</v>
      </c>
      <c r="G49" s="100">
        <v>58.28</v>
      </c>
      <c r="H49" s="100">
        <v>14.45</v>
      </c>
      <c r="I49" s="100">
        <v>6.05</v>
      </c>
      <c r="J49" s="100">
        <v>1.32</v>
      </c>
      <c r="K49" s="100">
        <v>288.47000000000003</v>
      </c>
      <c r="L49" s="100">
        <v>32.97</v>
      </c>
      <c r="M49" s="100">
        <v>56.89</v>
      </c>
      <c r="N49" s="100">
        <v>200.9</v>
      </c>
      <c r="O49" s="100">
        <v>0</v>
      </c>
      <c r="P49" s="100">
        <v>0.44</v>
      </c>
      <c r="Q49" s="100">
        <v>9.94</v>
      </c>
      <c r="R49" s="6"/>
      <c r="S49" s="6"/>
      <c r="T49" s="156"/>
      <c r="U49" s="6"/>
    </row>
    <row r="50" spans="1:21" customFormat="1">
      <c r="A50" s="163" t="s">
        <v>2201</v>
      </c>
      <c r="B50" s="100">
        <v>5.03</v>
      </c>
      <c r="C50" s="100">
        <v>9.33</v>
      </c>
      <c r="D50" s="100">
        <v>4.29</v>
      </c>
      <c r="E50" s="100">
        <v>5.76</v>
      </c>
      <c r="F50" s="100">
        <v>4.46</v>
      </c>
      <c r="G50" s="100">
        <v>60.66</v>
      </c>
      <c r="H50" s="100">
        <v>16.86</v>
      </c>
      <c r="I50" s="100">
        <v>5.95</v>
      </c>
      <c r="J50" s="100">
        <v>1.18</v>
      </c>
      <c r="K50" s="100">
        <v>261.8</v>
      </c>
      <c r="L50" s="100">
        <v>33.119999999999997</v>
      </c>
      <c r="M50" s="100">
        <v>56.57</v>
      </c>
      <c r="N50" s="100">
        <v>239.3</v>
      </c>
      <c r="O50" s="100">
        <v>0</v>
      </c>
      <c r="P50" s="100">
        <v>0.46</v>
      </c>
      <c r="Q50" s="100">
        <v>9.92</v>
      </c>
      <c r="R50" s="6"/>
      <c r="S50" s="6"/>
      <c r="T50" s="156"/>
      <c r="U50" s="6"/>
    </row>
    <row r="51" spans="1:21" customFormat="1">
      <c r="A51" s="163" t="s">
        <v>2202</v>
      </c>
      <c r="B51" s="100">
        <v>4.96</v>
      </c>
      <c r="C51" s="100">
        <v>9.58</v>
      </c>
      <c r="D51" s="100">
        <v>4.62</v>
      </c>
      <c r="E51" s="100">
        <v>5.68</v>
      </c>
      <c r="F51" s="100">
        <v>6.35</v>
      </c>
      <c r="G51" s="100">
        <v>60.66</v>
      </c>
      <c r="H51" s="100">
        <v>16.86</v>
      </c>
      <c r="I51" s="100">
        <v>5.98</v>
      </c>
      <c r="J51" s="100">
        <v>1.42</v>
      </c>
      <c r="K51" s="100">
        <v>292.37</v>
      </c>
      <c r="L51" s="100">
        <v>33.22</v>
      </c>
      <c r="M51" s="100">
        <v>55.6</v>
      </c>
      <c r="N51" s="100">
        <v>206.4</v>
      </c>
      <c r="O51" s="100">
        <v>0</v>
      </c>
      <c r="P51" s="100">
        <v>0.46</v>
      </c>
      <c r="Q51" s="100">
        <v>9.91</v>
      </c>
      <c r="R51" s="6"/>
      <c r="S51" s="6"/>
      <c r="T51" s="156"/>
      <c r="U51" s="6"/>
    </row>
    <row r="52" spans="1:21" customFormat="1">
      <c r="A52" s="163" t="s">
        <v>2203</v>
      </c>
      <c r="B52" s="100">
        <v>4.8</v>
      </c>
      <c r="C52" s="100">
        <v>9.01</v>
      </c>
      <c r="D52" s="100">
        <v>4.2</v>
      </c>
      <c r="E52" s="100">
        <v>5.66</v>
      </c>
      <c r="F52" s="100">
        <v>6.91</v>
      </c>
      <c r="G52" s="100">
        <v>60.66</v>
      </c>
      <c r="H52" s="100">
        <v>16.86</v>
      </c>
      <c r="I52" s="100">
        <v>6.04</v>
      </c>
      <c r="J52" s="100">
        <v>1.03</v>
      </c>
      <c r="K52" s="100">
        <v>269.61</v>
      </c>
      <c r="L52" s="100">
        <v>33.340000000000003</v>
      </c>
      <c r="M52" s="100">
        <v>55.4</v>
      </c>
      <c r="N52" s="100">
        <v>214.2</v>
      </c>
      <c r="O52" s="100">
        <v>0</v>
      </c>
      <c r="P52" s="100">
        <v>0.45</v>
      </c>
      <c r="Q52" s="100">
        <v>9.92</v>
      </c>
      <c r="R52" s="6"/>
      <c r="S52" s="6"/>
      <c r="T52" s="156"/>
      <c r="U52" s="6"/>
    </row>
    <row r="53" spans="1:21" customFormat="1">
      <c r="A53" s="163" t="s">
        <v>2204</v>
      </c>
      <c r="B53" s="100">
        <v>4.51</v>
      </c>
      <c r="C53" s="100">
        <v>8.4</v>
      </c>
      <c r="D53" s="100">
        <v>3.89</v>
      </c>
      <c r="E53" s="100">
        <v>5.82</v>
      </c>
      <c r="F53" s="100">
        <v>8.1199999999999992</v>
      </c>
      <c r="G53" s="100">
        <v>63.87</v>
      </c>
      <c r="H53" s="100">
        <v>17.420000000000002</v>
      </c>
      <c r="I53" s="100">
        <v>5.91</v>
      </c>
      <c r="J53" s="100">
        <v>1.1100000000000001</v>
      </c>
      <c r="K53" s="100">
        <v>266.93</v>
      </c>
      <c r="L53" s="100">
        <v>33.43</v>
      </c>
      <c r="M53" s="100">
        <v>54.96</v>
      </c>
      <c r="N53" s="100">
        <v>218.2</v>
      </c>
      <c r="O53" s="100">
        <v>0</v>
      </c>
      <c r="P53" s="100">
        <v>0.47</v>
      </c>
      <c r="Q53" s="100">
        <v>9.93</v>
      </c>
      <c r="R53" s="6"/>
      <c r="S53" s="6"/>
      <c r="T53" s="156"/>
      <c r="U53" s="6"/>
    </row>
    <row r="54" spans="1:21" customFormat="1">
      <c r="A54" s="163" t="s">
        <v>2205</v>
      </c>
      <c r="B54" s="100">
        <v>4.3600000000000003</v>
      </c>
      <c r="C54" s="100">
        <v>8.27</v>
      </c>
      <c r="D54" s="100">
        <v>3.91</v>
      </c>
      <c r="E54" s="100">
        <v>5.97</v>
      </c>
      <c r="F54" s="100">
        <v>9.85</v>
      </c>
      <c r="G54" s="100">
        <v>71.760000000000005</v>
      </c>
      <c r="H54" s="100">
        <v>18.34</v>
      </c>
      <c r="I54" s="100">
        <v>5.87</v>
      </c>
      <c r="J54" s="100">
        <v>1</v>
      </c>
      <c r="K54" s="100">
        <v>267.45</v>
      </c>
      <c r="L54" s="100">
        <v>33.71</v>
      </c>
      <c r="M54" s="100">
        <v>54.22</v>
      </c>
      <c r="N54" s="100">
        <v>234.5</v>
      </c>
      <c r="O54" s="100">
        <v>0</v>
      </c>
      <c r="P54" s="100">
        <v>0.46</v>
      </c>
      <c r="Q54" s="100">
        <v>9.93</v>
      </c>
      <c r="R54" s="6"/>
      <c r="S54" s="6"/>
      <c r="T54" s="156"/>
      <c r="U54" s="6"/>
    </row>
    <row r="55" spans="1:21" customFormat="1">
      <c r="A55" s="163" t="s">
        <v>2206</v>
      </c>
      <c r="B55" s="100">
        <v>4.3499999999999996</v>
      </c>
      <c r="C55" s="100">
        <v>8.3800000000000008</v>
      </c>
      <c r="D55" s="100">
        <v>4.03</v>
      </c>
      <c r="E55" s="100">
        <v>5.85</v>
      </c>
      <c r="F55" s="100">
        <v>9.52</v>
      </c>
      <c r="G55" s="100">
        <v>71.760000000000005</v>
      </c>
      <c r="H55" s="100">
        <v>18.34</v>
      </c>
      <c r="I55" s="100">
        <v>6.17</v>
      </c>
      <c r="J55" s="100">
        <v>1.33</v>
      </c>
      <c r="K55" s="100">
        <v>281.95</v>
      </c>
      <c r="L55" s="100">
        <v>34.07</v>
      </c>
      <c r="M55" s="100">
        <v>51.69</v>
      </c>
      <c r="N55" s="100">
        <v>246.8</v>
      </c>
      <c r="O55" s="100">
        <v>0</v>
      </c>
      <c r="P55" s="100">
        <v>0.46</v>
      </c>
      <c r="Q55" s="100">
        <v>9.92</v>
      </c>
      <c r="R55" s="6"/>
      <c r="S55" s="6"/>
      <c r="T55" s="156"/>
      <c r="U55" s="6"/>
    </row>
    <row r="56" spans="1:21" customFormat="1">
      <c r="A56" s="163" t="s">
        <v>2207</v>
      </c>
      <c r="B56" s="100">
        <v>4.34</v>
      </c>
      <c r="C56" s="100">
        <v>8.66</v>
      </c>
      <c r="D56" s="100">
        <v>4.32</v>
      </c>
      <c r="E56" s="100">
        <v>6.08</v>
      </c>
      <c r="F56" s="100">
        <v>10.53</v>
      </c>
      <c r="G56" s="100">
        <v>71.760000000000005</v>
      </c>
      <c r="H56" s="100">
        <v>18.34</v>
      </c>
      <c r="I56" s="100">
        <v>6.29</v>
      </c>
      <c r="J56" s="100">
        <v>1.31</v>
      </c>
      <c r="K56" s="100">
        <v>280.14999999999998</v>
      </c>
      <c r="L56" s="100">
        <v>34.22</v>
      </c>
      <c r="M56" s="100">
        <v>49.85</v>
      </c>
      <c r="N56" s="100">
        <v>469</v>
      </c>
      <c r="O56" s="100">
        <v>0</v>
      </c>
      <c r="P56" s="100">
        <v>0.46</v>
      </c>
      <c r="Q56" s="100">
        <v>9.9</v>
      </c>
      <c r="R56" s="6"/>
      <c r="S56" s="6"/>
      <c r="T56" s="156"/>
      <c r="U56" s="6"/>
    </row>
    <row r="57" spans="1:21" customFormat="1">
      <c r="A57" s="163" t="s">
        <v>2208</v>
      </c>
      <c r="B57" s="100">
        <v>4.25</v>
      </c>
      <c r="C57" s="100">
        <v>8.61</v>
      </c>
      <c r="D57" s="100">
        <v>4.3600000000000003</v>
      </c>
      <c r="E57" s="100">
        <v>6.36</v>
      </c>
      <c r="F57" s="100">
        <v>10.44</v>
      </c>
      <c r="G57" s="100">
        <v>71.25</v>
      </c>
      <c r="H57" s="100">
        <v>18.68</v>
      </c>
      <c r="I57" s="100">
        <v>6.07</v>
      </c>
      <c r="J57" s="100">
        <v>1.33</v>
      </c>
      <c r="K57" s="100">
        <v>264.64</v>
      </c>
      <c r="L57" s="100">
        <v>34.81</v>
      </c>
      <c r="M57" s="100">
        <v>47.61</v>
      </c>
      <c r="N57" s="100">
        <v>796.1</v>
      </c>
      <c r="O57" s="100">
        <v>0</v>
      </c>
      <c r="P57" s="100">
        <v>0.47</v>
      </c>
      <c r="Q57" s="100">
        <v>9.91</v>
      </c>
      <c r="R57" s="6"/>
      <c r="S57" s="6"/>
      <c r="T57" s="156"/>
      <c r="U57" s="6"/>
    </row>
    <row r="58" spans="1:21" customFormat="1">
      <c r="A58" s="163" t="s">
        <v>2209</v>
      </c>
      <c r="B58" s="100">
        <v>4.16</v>
      </c>
      <c r="C58" s="100">
        <v>8.06</v>
      </c>
      <c r="D58" s="100">
        <v>3.91</v>
      </c>
      <c r="E58" s="100">
        <v>5.97</v>
      </c>
      <c r="F58" s="100">
        <v>8.7899999999999991</v>
      </c>
      <c r="G58" s="100">
        <v>69.97</v>
      </c>
      <c r="H58" s="100">
        <v>19.239999999999998</v>
      </c>
      <c r="I58" s="100">
        <v>6.1</v>
      </c>
      <c r="J58" s="100">
        <v>1.37</v>
      </c>
      <c r="K58" s="100">
        <v>263.35000000000002</v>
      </c>
      <c r="L58" s="100">
        <v>34.729999999999997</v>
      </c>
      <c r="M58" s="100">
        <v>47.21</v>
      </c>
      <c r="N58" s="100">
        <v>628</v>
      </c>
      <c r="O58" s="100">
        <v>0</v>
      </c>
      <c r="P58" s="100">
        <v>0.47</v>
      </c>
      <c r="Q58" s="100">
        <v>9.9</v>
      </c>
      <c r="R58" s="6"/>
      <c r="S58" s="6"/>
      <c r="T58" s="156"/>
      <c r="U58" s="6"/>
    </row>
    <row r="59" spans="1:21" customFormat="1">
      <c r="A59" s="163" t="s">
        <v>2210</v>
      </c>
      <c r="B59" s="100">
        <v>4.01</v>
      </c>
      <c r="C59" s="100">
        <v>8.52</v>
      </c>
      <c r="D59" s="100">
        <v>4.51</v>
      </c>
      <c r="E59" s="100">
        <v>5.43</v>
      </c>
      <c r="F59" s="100">
        <v>6.32</v>
      </c>
      <c r="G59" s="100">
        <v>69.97</v>
      </c>
      <c r="H59" s="100">
        <v>19.239999999999998</v>
      </c>
      <c r="I59" s="100">
        <v>6.34</v>
      </c>
      <c r="J59" s="100">
        <v>1.17</v>
      </c>
      <c r="K59" s="100">
        <v>268.10000000000002</v>
      </c>
      <c r="L59" s="100">
        <v>35.19</v>
      </c>
      <c r="M59" s="100">
        <v>44.76</v>
      </c>
      <c r="N59" s="100">
        <v>866.6</v>
      </c>
      <c r="O59" s="100">
        <v>0</v>
      </c>
      <c r="P59" s="100">
        <v>0.44</v>
      </c>
      <c r="Q59" s="100">
        <v>9.9</v>
      </c>
      <c r="R59" s="6"/>
      <c r="S59" s="6"/>
      <c r="T59" s="156"/>
      <c r="U59" s="6"/>
    </row>
    <row r="60" spans="1:21" customFormat="1">
      <c r="A60" s="163" t="s">
        <v>2211</v>
      </c>
      <c r="B60" s="100">
        <v>3.86</v>
      </c>
      <c r="C60" s="100">
        <v>8.15</v>
      </c>
      <c r="D60" s="100">
        <v>4.29</v>
      </c>
      <c r="E60" s="100">
        <v>5.34</v>
      </c>
      <c r="F60" s="100">
        <v>5.83</v>
      </c>
      <c r="G60" s="100">
        <v>69.97</v>
      </c>
      <c r="H60" s="100">
        <v>19.239999999999998</v>
      </c>
      <c r="I60" s="100">
        <v>6.56</v>
      </c>
      <c r="J60" s="100">
        <v>1.39</v>
      </c>
      <c r="K60" s="100">
        <v>282.45999999999998</v>
      </c>
      <c r="L60" s="100">
        <v>35.53</v>
      </c>
      <c r="M60" s="100">
        <v>43.21</v>
      </c>
      <c r="N60" s="100">
        <v>567.29999999999995</v>
      </c>
      <c r="O60" s="100">
        <v>0</v>
      </c>
      <c r="P60" s="100">
        <v>0.41</v>
      </c>
      <c r="Q60" s="100">
        <v>9.89</v>
      </c>
      <c r="R60" s="6"/>
      <c r="S60" s="6"/>
      <c r="T60" s="156"/>
      <c r="U60" s="6"/>
    </row>
    <row r="61" spans="1:21" customFormat="1">
      <c r="A61" s="163" t="s">
        <v>2212</v>
      </c>
      <c r="B61" s="100">
        <v>3.93</v>
      </c>
      <c r="C61" s="100">
        <v>8.98</v>
      </c>
      <c r="D61" s="100">
        <v>5.05</v>
      </c>
      <c r="E61" s="100">
        <v>5.63</v>
      </c>
      <c r="F61" s="100">
        <v>6.51</v>
      </c>
      <c r="G61" s="100">
        <v>70.150000000000006</v>
      </c>
      <c r="H61" s="100">
        <v>17.66</v>
      </c>
      <c r="I61" s="100">
        <v>6.71</v>
      </c>
      <c r="J61" s="100">
        <v>1.49</v>
      </c>
      <c r="K61" s="100">
        <v>278.55</v>
      </c>
      <c r="L61" s="100">
        <v>35.51</v>
      </c>
      <c r="M61" s="100">
        <v>42.69</v>
      </c>
      <c r="N61" s="100">
        <v>836.8</v>
      </c>
      <c r="O61" s="100">
        <v>0</v>
      </c>
      <c r="P61" s="100">
        <v>0.42</v>
      </c>
      <c r="Q61" s="100">
        <v>9.8800000000000008</v>
      </c>
      <c r="R61" s="6"/>
      <c r="S61" s="6"/>
      <c r="T61" s="156"/>
      <c r="U61" s="6"/>
    </row>
    <row r="62" spans="1:21" customFormat="1">
      <c r="A62" s="163" t="s">
        <v>2213</v>
      </c>
      <c r="B62" s="100">
        <v>3.87</v>
      </c>
      <c r="C62" s="100">
        <v>9.09</v>
      </c>
      <c r="D62" s="100">
        <v>5.22</v>
      </c>
      <c r="E62" s="100">
        <v>5.7</v>
      </c>
      <c r="F62" s="100">
        <v>6.33</v>
      </c>
      <c r="G62" s="100">
        <v>70.599999999999994</v>
      </c>
      <c r="H62" s="100">
        <v>15.06</v>
      </c>
      <c r="I62" s="100">
        <v>6.64</v>
      </c>
      <c r="J62" s="100">
        <v>1.35</v>
      </c>
      <c r="K62" s="100">
        <v>274.88</v>
      </c>
      <c r="L62" s="100">
        <v>35.549999999999997</v>
      </c>
      <c r="M62" s="100">
        <v>42.35</v>
      </c>
      <c r="N62" s="100">
        <v>589.6</v>
      </c>
      <c r="O62" s="100">
        <v>0</v>
      </c>
      <c r="P62" s="100">
        <v>0.42</v>
      </c>
      <c r="Q62" s="100">
        <v>9.89</v>
      </c>
      <c r="R62" s="6"/>
      <c r="S62" s="6"/>
      <c r="T62" s="156"/>
      <c r="U62" s="6"/>
    </row>
    <row r="63" spans="1:21" customFormat="1">
      <c r="A63" s="163" t="s">
        <v>2214</v>
      </c>
      <c r="B63" s="100">
        <v>3.85</v>
      </c>
      <c r="C63" s="100">
        <v>8.4499999999999993</v>
      </c>
      <c r="D63" s="100">
        <v>4.5999999999999996</v>
      </c>
      <c r="E63" s="100">
        <v>5.68</v>
      </c>
      <c r="F63" s="100">
        <v>6.26</v>
      </c>
      <c r="G63" s="100">
        <v>70.599999999999994</v>
      </c>
      <c r="H63" s="100">
        <v>15.06</v>
      </c>
      <c r="I63" s="100">
        <v>6.52</v>
      </c>
      <c r="J63" s="100">
        <v>1.4</v>
      </c>
      <c r="K63" s="100">
        <v>283.08</v>
      </c>
      <c r="L63" s="100">
        <v>35.76</v>
      </c>
      <c r="M63" s="100">
        <v>42.34</v>
      </c>
      <c r="N63" s="100">
        <v>649.9</v>
      </c>
      <c r="O63" s="100">
        <v>0</v>
      </c>
      <c r="P63" s="100">
        <v>0.41</v>
      </c>
      <c r="Q63" s="100">
        <v>9.9</v>
      </c>
      <c r="R63" s="6"/>
      <c r="S63" s="6"/>
      <c r="T63" s="156"/>
      <c r="U63" s="6"/>
    </row>
    <row r="64" spans="1:21" customFormat="1">
      <c r="A64" s="163" t="s">
        <v>2215</v>
      </c>
      <c r="B64" s="100">
        <v>3.8</v>
      </c>
      <c r="C64" s="100">
        <v>8.91</v>
      </c>
      <c r="D64" s="100">
        <v>5.1100000000000003</v>
      </c>
      <c r="E64" s="100">
        <v>5.66</v>
      </c>
      <c r="F64" s="100">
        <v>6.21</v>
      </c>
      <c r="G64" s="100">
        <v>70.599999999999994</v>
      </c>
      <c r="H64" s="100">
        <v>15.06</v>
      </c>
      <c r="I64" s="100">
        <v>6.51</v>
      </c>
      <c r="J64" s="100">
        <v>1.27</v>
      </c>
      <c r="K64" s="100">
        <v>261.82</v>
      </c>
      <c r="L64" s="100">
        <v>36.25</v>
      </c>
      <c r="M64" s="100">
        <v>40.6</v>
      </c>
      <c r="N64" s="100">
        <v>571.5</v>
      </c>
      <c r="O64" s="100">
        <v>0</v>
      </c>
      <c r="P64" s="100">
        <v>0.42</v>
      </c>
      <c r="Q64" s="100">
        <v>9.91</v>
      </c>
      <c r="R64" s="6"/>
      <c r="S64" s="6"/>
      <c r="T64" s="156"/>
      <c r="U64" s="6"/>
    </row>
    <row r="65" spans="1:21" customFormat="1">
      <c r="A65" s="163" t="s">
        <v>2216</v>
      </c>
      <c r="B65" s="100">
        <v>3.73</v>
      </c>
      <c r="C65" s="100">
        <v>8.09</v>
      </c>
      <c r="D65" s="100">
        <v>4.3600000000000003</v>
      </c>
      <c r="E65" s="100">
        <v>5.88</v>
      </c>
      <c r="F65" s="100">
        <v>6.58</v>
      </c>
      <c r="G65" s="100">
        <v>72.52</v>
      </c>
      <c r="H65" s="100">
        <v>15.57</v>
      </c>
      <c r="I65" s="100">
        <v>6.57</v>
      </c>
      <c r="J65" s="100">
        <v>1.2</v>
      </c>
      <c r="K65" s="100">
        <v>255.14</v>
      </c>
      <c r="L65" s="100">
        <v>36.18</v>
      </c>
      <c r="M65" s="100">
        <v>40.61</v>
      </c>
      <c r="N65" s="100">
        <v>219.2</v>
      </c>
      <c r="O65" s="100">
        <v>0</v>
      </c>
      <c r="P65" s="100">
        <v>0.4</v>
      </c>
      <c r="Q65" s="100">
        <v>9.92</v>
      </c>
      <c r="R65" s="6"/>
      <c r="S65" s="6"/>
      <c r="T65" s="156"/>
      <c r="U65" s="6"/>
    </row>
    <row r="66" spans="1:21" customFormat="1">
      <c r="A66" s="163" t="s">
        <v>2217</v>
      </c>
      <c r="B66" s="100">
        <v>3.71</v>
      </c>
      <c r="C66" s="100">
        <v>8.6999999999999993</v>
      </c>
      <c r="D66" s="100">
        <v>5</v>
      </c>
      <c r="E66" s="100">
        <v>5.6</v>
      </c>
      <c r="F66" s="100">
        <v>4.62</v>
      </c>
      <c r="G66" s="100">
        <v>77.260000000000005</v>
      </c>
      <c r="H66" s="100">
        <v>16.41</v>
      </c>
      <c r="I66" s="100">
        <v>6.56</v>
      </c>
      <c r="J66" s="100">
        <v>1.56</v>
      </c>
      <c r="K66" s="100">
        <v>276.70999999999998</v>
      </c>
      <c r="L66" s="100">
        <v>36.08</v>
      </c>
      <c r="M66" s="100">
        <v>40.020000000000003</v>
      </c>
      <c r="N66" s="100">
        <v>429.8</v>
      </c>
      <c r="O66" s="100">
        <v>0</v>
      </c>
      <c r="P66" s="100">
        <v>0.44</v>
      </c>
      <c r="Q66" s="100">
        <v>9.91</v>
      </c>
      <c r="R66" s="6"/>
      <c r="S66" s="6"/>
      <c r="T66" s="156"/>
      <c r="U66" s="6"/>
    </row>
    <row r="67" spans="1:21" customFormat="1">
      <c r="A67" s="163" t="s">
        <v>2218</v>
      </c>
      <c r="B67" s="100">
        <v>3.83</v>
      </c>
      <c r="C67" s="100">
        <v>8.4499999999999993</v>
      </c>
      <c r="D67" s="100">
        <v>4.62</v>
      </c>
      <c r="E67" s="100">
        <v>5.49</v>
      </c>
      <c r="F67" s="100">
        <v>5.92</v>
      </c>
      <c r="G67" s="100">
        <v>77.260000000000005</v>
      </c>
      <c r="H67" s="100">
        <v>16.41</v>
      </c>
      <c r="I67" s="100">
        <v>6.56</v>
      </c>
      <c r="J67" s="100">
        <v>1.67</v>
      </c>
      <c r="K67" s="100">
        <v>286.97000000000003</v>
      </c>
      <c r="L67" s="100">
        <v>36.21</v>
      </c>
      <c r="M67" s="100">
        <v>39.630000000000003</v>
      </c>
      <c r="N67" s="100">
        <v>349.5</v>
      </c>
      <c r="O67" s="100">
        <v>0</v>
      </c>
      <c r="P67" s="100">
        <v>0.42</v>
      </c>
      <c r="Q67" s="100">
        <v>9.92</v>
      </c>
      <c r="R67" s="6"/>
      <c r="S67" s="6"/>
      <c r="T67" s="156"/>
      <c r="U67" s="6"/>
    </row>
    <row r="68" spans="1:21" customFormat="1">
      <c r="A68" s="163" t="s">
        <v>2219</v>
      </c>
      <c r="B68" s="100">
        <v>3.92</v>
      </c>
      <c r="C68" s="100">
        <v>9.02</v>
      </c>
      <c r="D68" s="100">
        <v>5.0999999999999996</v>
      </c>
      <c r="E68" s="100">
        <v>5.29</v>
      </c>
      <c r="F68" s="100">
        <v>6.85</v>
      </c>
      <c r="G68" s="100">
        <v>77.260000000000005</v>
      </c>
      <c r="H68" s="100">
        <v>16.41</v>
      </c>
      <c r="I68" s="100">
        <v>6.56</v>
      </c>
      <c r="J68" s="100">
        <v>1.52</v>
      </c>
      <c r="K68" s="100">
        <v>287.17</v>
      </c>
      <c r="L68" s="100">
        <v>36.4</v>
      </c>
      <c r="M68" s="100">
        <v>39.1</v>
      </c>
      <c r="N68" s="100">
        <v>432.9</v>
      </c>
      <c r="O68" s="100">
        <v>0</v>
      </c>
      <c r="P68" s="100">
        <v>0.43</v>
      </c>
      <c r="Q68" s="100">
        <v>9.91</v>
      </c>
      <c r="R68" s="6"/>
      <c r="S68" s="6"/>
      <c r="T68" s="156"/>
      <c r="U68" s="6"/>
    </row>
    <row r="69" spans="1:21" customFormat="1">
      <c r="A69" s="163" t="s">
        <v>2220</v>
      </c>
      <c r="B69" s="100">
        <v>3.95</v>
      </c>
      <c r="C69" s="100">
        <v>9.25</v>
      </c>
      <c r="D69" s="100">
        <v>5.31</v>
      </c>
      <c r="E69" s="100">
        <v>5.69</v>
      </c>
      <c r="F69" s="100">
        <v>5.19</v>
      </c>
      <c r="G69" s="100">
        <v>76.59</v>
      </c>
      <c r="H69" s="100">
        <v>16.21</v>
      </c>
      <c r="I69" s="100">
        <v>6.57</v>
      </c>
      <c r="J69" s="100">
        <v>1.42</v>
      </c>
      <c r="K69" s="100">
        <v>276.98</v>
      </c>
      <c r="L69" s="100">
        <v>36.619999999999997</v>
      </c>
      <c r="M69" s="100">
        <v>38.47</v>
      </c>
      <c r="N69" s="100">
        <v>510.9</v>
      </c>
      <c r="O69" s="100">
        <v>0</v>
      </c>
      <c r="P69" s="100">
        <v>0.46</v>
      </c>
      <c r="Q69" s="100">
        <v>9.92</v>
      </c>
      <c r="R69" s="6"/>
      <c r="S69" s="6"/>
      <c r="T69" s="156"/>
      <c r="U69" s="6"/>
    </row>
    <row r="70" spans="1:21" customFormat="1">
      <c r="A70" s="163" t="s">
        <v>2221</v>
      </c>
      <c r="B70" s="100">
        <v>3.89</v>
      </c>
      <c r="C70" s="100">
        <v>8.36</v>
      </c>
      <c r="D70" s="100">
        <v>4.47</v>
      </c>
      <c r="E70" s="100">
        <v>5.7</v>
      </c>
      <c r="F70" s="100">
        <v>6.9</v>
      </c>
      <c r="G70" s="100">
        <v>74.94</v>
      </c>
      <c r="H70" s="100">
        <v>15.87</v>
      </c>
      <c r="I70" s="100">
        <v>6.49</v>
      </c>
      <c r="J70" s="100">
        <v>1.17</v>
      </c>
      <c r="K70" s="100">
        <v>261.93</v>
      </c>
      <c r="L70" s="100">
        <v>36.46</v>
      </c>
      <c r="M70" s="100">
        <v>39.659999999999997</v>
      </c>
      <c r="N70" s="100">
        <v>561.9</v>
      </c>
      <c r="O70" s="100">
        <v>0</v>
      </c>
      <c r="P70" s="100">
        <v>0.43</v>
      </c>
      <c r="Q70" s="100">
        <v>9.91</v>
      </c>
      <c r="R70" s="6"/>
      <c r="S70" s="6"/>
      <c r="T70" s="156"/>
      <c r="U70" s="6"/>
    </row>
    <row r="71" spans="1:21" customFormat="1">
      <c r="A71" s="163" t="s">
        <v>2222</v>
      </c>
      <c r="B71" s="100">
        <v>3.78</v>
      </c>
      <c r="C71" s="100">
        <v>8.7899999999999991</v>
      </c>
      <c r="D71" s="100">
        <v>5.01</v>
      </c>
      <c r="E71" s="100">
        <v>5.91</v>
      </c>
      <c r="F71" s="100">
        <v>5.81</v>
      </c>
      <c r="G71" s="100">
        <v>74.94</v>
      </c>
      <c r="H71" s="100">
        <v>15.87</v>
      </c>
      <c r="I71" s="100">
        <v>6.37</v>
      </c>
      <c r="J71" s="100">
        <v>1.18</v>
      </c>
      <c r="K71" s="100">
        <v>270.31</v>
      </c>
      <c r="L71" s="100">
        <v>36.590000000000003</v>
      </c>
      <c r="M71" s="100">
        <v>38.64</v>
      </c>
      <c r="N71" s="100">
        <v>345.7</v>
      </c>
      <c r="O71" s="100">
        <v>0</v>
      </c>
      <c r="P71" s="100">
        <v>0.46</v>
      </c>
      <c r="Q71" s="100">
        <v>9.9</v>
      </c>
      <c r="R71" s="6"/>
      <c r="S71" s="6"/>
      <c r="T71" s="156"/>
      <c r="U71" s="6"/>
    </row>
    <row r="72" spans="1:21" customFormat="1">
      <c r="A72" s="163" t="s">
        <v>2223</v>
      </c>
      <c r="B72" s="100">
        <v>3.77</v>
      </c>
      <c r="C72" s="100">
        <v>8.51</v>
      </c>
      <c r="D72" s="100">
        <v>4.74</v>
      </c>
      <c r="E72" s="100">
        <v>5.73</v>
      </c>
      <c r="F72" s="100">
        <v>6.86</v>
      </c>
      <c r="G72" s="100">
        <v>74.94</v>
      </c>
      <c r="H72" s="100">
        <v>15.87</v>
      </c>
      <c r="I72" s="100">
        <v>6.25</v>
      </c>
      <c r="J72" s="100">
        <v>1.02</v>
      </c>
      <c r="K72" s="100">
        <v>268.97000000000003</v>
      </c>
      <c r="L72" s="100">
        <v>36.520000000000003</v>
      </c>
      <c r="M72" s="100">
        <v>39.64</v>
      </c>
      <c r="N72" s="100">
        <v>276.5</v>
      </c>
      <c r="O72" s="100">
        <v>0</v>
      </c>
      <c r="P72" s="100">
        <v>0.44</v>
      </c>
      <c r="Q72" s="100">
        <v>9.9</v>
      </c>
      <c r="R72" s="6"/>
      <c r="S72" s="6"/>
      <c r="T72" s="156"/>
      <c r="U72" s="6"/>
    </row>
    <row r="73" spans="1:21" customFormat="1">
      <c r="A73" s="163" t="s">
        <v>2224</v>
      </c>
      <c r="B73" s="100">
        <v>3.81</v>
      </c>
      <c r="C73" s="100">
        <v>8.15</v>
      </c>
      <c r="D73" s="100">
        <v>4.34</v>
      </c>
      <c r="E73" s="100">
        <v>6.04</v>
      </c>
      <c r="F73" s="100">
        <v>7.13</v>
      </c>
      <c r="G73" s="100">
        <v>74.17</v>
      </c>
      <c r="H73" s="100">
        <v>16.53</v>
      </c>
      <c r="I73" s="100">
        <v>6.23</v>
      </c>
      <c r="J73" s="100">
        <v>1.25</v>
      </c>
      <c r="K73" s="100">
        <v>265.55</v>
      </c>
      <c r="L73" s="100">
        <v>36.24</v>
      </c>
      <c r="M73" s="100">
        <v>38.9</v>
      </c>
      <c r="N73" s="100">
        <v>227.3</v>
      </c>
      <c r="O73" s="100">
        <v>0</v>
      </c>
      <c r="P73" s="100">
        <v>0.43</v>
      </c>
      <c r="Q73" s="100">
        <v>9.9</v>
      </c>
      <c r="R73" s="6"/>
      <c r="S73" s="6"/>
      <c r="T73" s="156"/>
      <c r="U73" s="6"/>
    </row>
    <row r="74" spans="1:21" customFormat="1">
      <c r="A74" s="163" t="s">
        <v>2225</v>
      </c>
      <c r="B74" s="100">
        <v>3.87</v>
      </c>
      <c r="C74" s="100">
        <v>9.11</v>
      </c>
      <c r="D74" s="100">
        <v>5.24</v>
      </c>
      <c r="E74" s="100">
        <v>6.17</v>
      </c>
      <c r="F74" s="100">
        <v>4.12</v>
      </c>
      <c r="G74" s="100">
        <v>72.27</v>
      </c>
      <c r="H74" s="100">
        <v>19.22</v>
      </c>
      <c r="I74" s="100">
        <v>6.01</v>
      </c>
      <c r="J74" s="100">
        <v>0.94</v>
      </c>
      <c r="K74" s="100">
        <v>269.36</v>
      </c>
      <c r="L74" s="100">
        <v>36.1</v>
      </c>
      <c r="M74" s="100">
        <v>39.08</v>
      </c>
      <c r="N74" s="100">
        <v>171.8</v>
      </c>
      <c r="O74" s="100">
        <v>0</v>
      </c>
      <c r="P74" s="100">
        <v>0.45</v>
      </c>
      <c r="Q74" s="100">
        <v>9.91</v>
      </c>
      <c r="R74" s="6"/>
      <c r="S74" s="6"/>
      <c r="T74" s="156"/>
      <c r="U74" s="6"/>
    </row>
    <row r="75" spans="1:21" customFormat="1">
      <c r="A75" s="163" t="s">
        <v>2226</v>
      </c>
      <c r="B75" s="100">
        <v>3.89</v>
      </c>
      <c r="C75" s="100">
        <v>8.44</v>
      </c>
      <c r="D75" s="100">
        <v>4.55</v>
      </c>
      <c r="E75" s="100">
        <v>5.87</v>
      </c>
      <c r="F75" s="100">
        <v>5.28</v>
      </c>
      <c r="G75" s="100">
        <v>72.27</v>
      </c>
      <c r="H75" s="100">
        <v>19.22</v>
      </c>
      <c r="I75" s="100">
        <v>5.95</v>
      </c>
      <c r="J75" s="100">
        <v>1.03</v>
      </c>
      <c r="K75" s="100">
        <v>272.62</v>
      </c>
      <c r="L75" s="100">
        <v>35.86</v>
      </c>
      <c r="M75" s="100">
        <v>39.28</v>
      </c>
      <c r="N75" s="100">
        <v>106.1</v>
      </c>
      <c r="O75" s="100">
        <v>0</v>
      </c>
      <c r="P75" s="100">
        <v>0.42</v>
      </c>
      <c r="Q75" s="100">
        <v>9.9</v>
      </c>
      <c r="R75" s="6"/>
      <c r="S75" s="6"/>
      <c r="T75" s="156"/>
      <c r="U75" s="6"/>
    </row>
    <row r="76" spans="1:21" customFormat="1">
      <c r="A76" s="163" t="s">
        <v>2227</v>
      </c>
      <c r="B76" s="100">
        <v>3.98</v>
      </c>
      <c r="C76" s="100">
        <v>8.73</v>
      </c>
      <c r="D76" s="100">
        <v>4.75</v>
      </c>
      <c r="E76" s="100">
        <v>5.9</v>
      </c>
      <c r="F76" s="100">
        <v>6.43</v>
      </c>
      <c r="G76" s="100">
        <v>72.27</v>
      </c>
      <c r="H76" s="100">
        <v>19.22</v>
      </c>
      <c r="I76" s="100">
        <v>5.92</v>
      </c>
      <c r="J76" s="100">
        <v>0.89</v>
      </c>
      <c r="K76" s="100">
        <v>261.02999999999997</v>
      </c>
      <c r="L76" s="100">
        <v>35.299999999999997</v>
      </c>
      <c r="M76" s="100">
        <v>40.58</v>
      </c>
      <c r="N76" s="100">
        <v>53.1</v>
      </c>
      <c r="O76" s="100">
        <v>0</v>
      </c>
      <c r="P76" s="100">
        <v>0.41</v>
      </c>
      <c r="Q76" s="100">
        <v>9.91</v>
      </c>
      <c r="R76" s="6"/>
      <c r="S76" s="6"/>
      <c r="T76" s="156"/>
      <c r="U76" s="6"/>
    </row>
    <row r="77" spans="1:21" customFormat="1">
      <c r="A77" s="163" t="s">
        <v>2228</v>
      </c>
      <c r="B77" s="100">
        <v>4.0599999999999996</v>
      </c>
      <c r="C77" s="100">
        <v>10.1</v>
      </c>
      <c r="D77" s="100">
        <v>6.04</v>
      </c>
      <c r="E77" s="100">
        <v>5.93</v>
      </c>
      <c r="F77" s="100">
        <v>6.98</v>
      </c>
      <c r="G77" s="100">
        <v>69.95</v>
      </c>
      <c r="H77" s="100">
        <v>19.350000000000001</v>
      </c>
      <c r="I77" s="100">
        <v>5.81</v>
      </c>
      <c r="J77" s="100">
        <v>0.94</v>
      </c>
      <c r="K77" s="100">
        <v>286.95</v>
      </c>
      <c r="L77" s="100">
        <v>34.9</v>
      </c>
      <c r="M77" s="100">
        <v>41.15</v>
      </c>
      <c r="N77" s="100">
        <v>42.4</v>
      </c>
      <c r="O77" s="100">
        <v>0</v>
      </c>
      <c r="P77" s="100">
        <v>0.42</v>
      </c>
      <c r="Q77" s="100">
        <v>9.9</v>
      </c>
      <c r="R77" s="6"/>
      <c r="S77" s="6"/>
      <c r="T77" s="156"/>
      <c r="U77" s="6"/>
    </row>
    <row r="78" spans="1:21" customFormat="1">
      <c r="A78" s="163" t="s">
        <v>2229</v>
      </c>
      <c r="B78" s="100">
        <v>4.01</v>
      </c>
      <c r="C78" s="100">
        <v>9.77</v>
      </c>
      <c r="D78" s="100">
        <v>5.76</v>
      </c>
      <c r="E78" s="100">
        <v>5.91</v>
      </c>
      <c r="F78" s="100">
        <v>6.18</v>
      </c>
      <c r="G78" s="100">
        <v>64.260000000000005</v>
      </c>
      <c r="H78" s="100">
        <v>19.55</v>
      </c>
      <c r="I78" s="100">
        <v>5.84</v>
      </c>
      <c r="J78" s="100">
        <v>0.89</v>
      </c>
      <c r="K78" s="100">
        <v>258.60000000000002</v>
      </c>
      <c r="L78" s="100">
        <v>34.79</v>
      </c>
      <c r="M78" s="100">
        <v>40.98</v>
      </c>
      <c r="N78" s="100">
        <v>43.2</v>
      </c>
      <c r="O78" s="100">
        <v>0</v>
      </c>
      <c r="P78" s="100">
        <v>0.43</v>
      </c>
      <c r="Q78" s="100">
        <v>9.89</v>
      </c>
      <c r="R78" s="6"/>
      <c r="S78" s="6"/>
      <c r="T78" s="156"/>
      <c r="U78" s="6"/>
    </row>
    <row r="79" spans="1:21" customFormat="1">
      <c r="A79" s="163" t="s">
        <v>2230</v>
      </c>
      <c r="B79" s="100">
        <v>4.09</v>
      </c>
      <c r="C79" s="100">
        <v>9.8699999999999992</v>
      </c>
      <c r="D79" s="100">
        <v>5.78</v>
      </c>
      <c r="E79" s="100">
        <v>5.86</v>
      </c>
      <c r="F79" s="100">
        <v>11.04</v>
      </c>
      <c r="G79" s="100">
        <v>64.260000000000005</v>
      </c>
      <c r="H79" s="100">
        <v>19.55</v>
      </c>
      <c r="I79" s="100">
        <v>5.77</v>
      </c>
      <c r="J79" s="100">
        <v>1.22</v>
      </c>
      <c r="K79" s="100">
        <v>288.22000000000003</v>
      </c>
      <c r="L79" s="100">
        <v>34.659999999999997</v>
      </c>
      <c r="M79" s="100">
        <v>41.67</v>
      </c>
      <c r="N79" s="100">
        <v>37.799999999999997</v>
      </c>
      <c r="O79" s="100">
        <v>0</v>
      </c>
      <c r="P79" s="100">
        <v>0.44</v>
      </c>
      <c r="Q79" s="100">
        <v>9.9</v>
      </c>
      <c r="R79" s="6"/>
      <c r="S79" s="6"/>
      <c r="T79" s="156"/>
      <c r="U79" s="6"/>
    </row>
    <row r="80" spans="1:21" customFormat="1">
      <c r="A80" s="163" t="s">
        <v>2231</v>
      </c>
      <c r="B80" s="100">
        <v>4.76</v>
      </c>
      <c r="C80" s="100">
        <v>11.84</v>
      </c>
      <c r="D80" s="100">
        <v>7.08</v>
      </c>
      <c r="E80" s="100">
        <v>5.79</v>
      </c>
      <c r="F80" s="100">
        <v>16.27</v>
      </c>
      <c r="G80" s="100">
        <v>64.260000000000005</v>
      </c>
      <c r="H80" s="100">
        <v>19.55</v>
      </c>
      <c r="I80" s="100">
        <v>5.65</v>
      </c>
      <c r="J80" s="100">
        <v>0.99</v>
      </c>
      <c r="K80" s="100">
        <v>304.05</v>
      </c>
      <c r="L80" s="100">
        <v>34.64</v>
      </c>
      <c r="M80" s="100">
        <v>42.31</v>
      </c>
      <c r="N80" s="100">
        <v>42.5</v>
      </c>
      <c r="O80" s="100">
        <v>0</v>
      </c>
      <c r="P80" s="100">
        <v>0.48</v>
      </c>
      <c r="Q80" s="100">
        <v>9.9</v>
      </c>
      <c r="R80" s="6"/>
      <c r="S80" s="6"/>
      <c r="T80" s="156"/>
      <c r="U80" s="6"/>
    </row>
    <row r="81" spans="1:21" customFormat="1">
      <c r="A81" s="163" t="s">
        <v>2232</v>
      </c>
      <c r="B81" s="100">
        <v>6.03</v>
      </c>
      <c r="C81" s="100">
        <v>16.46</v>
      </c>
      <c r="D81" s="100">
        <v>10.43</v>
      </c>
      <c r="E81" s="100">
        <v>5.04</v>
      </c>
      <c r="F81" s="100">
        <v>17.440000000000001</v>
      </c>
      <c r="G81" s="100">
        <v>66.08</v>
      </c>
      <c r="H81" s="100">
        <v>19.59</v>
      </c>
      <c r="I81" s="100">
        <v>5.27</v>
      </c>
      <c r="J81" s="100">
        <v>0.7</v>
      </c>
      <c r="K81" s="100">
        <v>291.88</v>
      </c>
      <c r="L81" s="100">
        <v>34.369999999999997</v>
      </c>
      <c r="M81" s="100">
        <v>43.27</v>
      </c>
      <c r="N81" s="100">
        <v>15.8</v>
      </c>
      <c r="O81" s="100">
        <v>0</v>
      </c>
      <c r="P81" s="100">
        <v>0.49</v>
      </c>
      <c r="Q81" s="100">
        <v>9.93</v>
      </c>
      <c r="R81" s="6"/>
      <c r="S81" s="6"/>
      <c r="T81" s="156"/>
      <c r="U81" s="6"/>
    </row>
    <row r="82" spans="1:21" customFormat="1">
      <c r="A82" s="163" t="s">
        <v>2233</v>
      </c>
      <c r="B82" s="100">
        <v>5.99</v>
      </c>
      <c r="C82" s="100">
        <v>15.74</v>
      </c>
      <c r="D82" s="100">
        <v>9.75</v>
      </c>
      <c r="E82" s="100">
        <v>5.59</v>
      </c>
      <c r="F82" s="100">
        <v>14.24</v>
      </c>
      <c r="G82" s="100">
        <v>70.569999999999993</v>
      </c>
      <c r="H82" s="100">
        <v>19.64</v>
      </c>
      <c r="I82" s="100">
        <v>5.03</v>
      </c>
      <c r="J82" s="100">
        <v>0.86</v>
      </c>
      <c r="K82" s="100">
        <v>288.45999999999998</v>
      </c>
      <c r="L82" s="100">
        <v>34.19</v>
      </c>
      <c r="M82" s="100">
        <v>42.79</v>
      </c>
      <c r="N82" s="100">
        <v>13.2</v>
      </c>
      <c r="O82" s="100">
        <v>0</v>
      </c>
      <c r="P82" s="100">
        <v>0.51</v>
      </c>
      <c r="Q82" s="100">
        <v>9.93</v>
      </c>
      <c r="R82" s="6"/>
      <c r="S82" s="6"/>
      <c r="T82" s="156"/>
      <c r="U82" s="6"/>
    </row>
    <row r="83" spans="1:21" customFormat="1">
      <c r="A83" s="163" t="s">
        <v>2234</v>
      </c>
      <c r="B83" s="100">
        <v>5.57</v>
      </c>
      <c r="C83" s="100">
        <v>14.76</v>
      </c>
      <c r="D83" s="100">
        <v>9.19</v>
      </c>
      <c r="E83" s="100">
        <v>5.21</v>
      </c>
      <c r="F83" s="100">
        <v>13.71</v>
      </c>
      <c r="G83" s="100">
        <v>70.569999999999993</v>
      </c>
      <c r="H83" s="100">
        <v>19.64</v>
      </c>
      <c r="I83" s="100">
        <v>5.13</v>
      </c>
      <c r="J83" s="100">
        <v>0.86</v>
      </c>
      <c r="K83" s="100">
        <v>283.85000000000002</v>
      </c>
      <c r="L83" s="100">
        <v>34</v>
      </c>
      <c r="M83" s="100">
        <v>43.12</v>
      </c>
      <c r="N83" s="100">
        <v>6.2</v>
      </c>
      <c r="O83" s="100">
        <v>0</v>
      </c>
      <c r="P83" s="100">
        <v>0.5</v>
      </c>
      <c r="Q83" s="100">
        <v>9.92</v>
      </c>
      <c r="R83" s="6"/>
      <c r="S83" s="6"/>
      <c r="T83" s="156"/>
      <c r="U83" s="6"/>
    </row>
    <row r="84" spans="1:21" customFormat="1">
      <c r="A84" s="163" t="s">
        <v>2235</v>
      </c>
      <c r="B84" s="100">
        <v>5.81</v>
      </c>
      <c r="C84" s="100">
        <v>17.64</v>
      </c>
      <c r="D84" s="100">
        <v>11.83</v>
      </c>
      <c r="E84" s="100">
        <v>5.04</v>
      </c>
      <c r="F84" s="100">
        <v>15.68</v>
      </c>
      <c r="G84" s="100">
        <v>70.569999999999993</v>
      </c>
      <c r="H84" s="100">
        <v>19.64</v>
      </c>
      <c r="I84" s="100">
        <v>5.48</v>
      </c>
      <c r="J84" s="100">
        <v>0.78</v>
      </c>
      <c r="K84" s="100">
        <v>290.83</v>
      </c>
      <c r="L84" s="100">
        <v>33.75</v>
      </c>
      <c r="M84" s="100">
        <v>43.9</v>
      </c>
      <c r="N84" s="100">
        <v>2.6</v>
      </c>
      <c r="O84" s="100">
        <v>0</v>
      </c>
      <c r="P84" s="100">
        <v>0.52</v>
      </c>
      <c r="Q84" s="100">
        <v>9.92</v>
      </c>
      <c r="R84" s="6"/>
      <c r="S84" s="6"/>
      <c r="T84" s="156"/>
      <c r="U84" s="6"/>
    </row>
    <row r="85" spans="1:21" customFormat="1">
      <c r="A85" s="163" t="s">
        <v>2236</v>
      </c>
      <c r="B85" s="100">
        <v>6.29</v>
      </c>
      <c r="C85" s="100">
        <v>18.72</v>
      </c>
      <c r="D85" s="100">
        <v>12.43</v>
      </c>
      <c r="E85" s="100">
        <v>5.0199999999999996</v>
      </c>
      <c r="F85" s="100">
        <v>17.45</v>
      </c>
      <c r="G85" s="100">
        <v>72.760000000000005</v>
      </c>
      <c r="H85" s="100">
        <v>17.72</v>
      </c>
      <c r="I85" s="100">
        <v>5.5</v>
      </c>
      <c r="J85" s="100">
        <v>0.56000000000000005</v>
      </c>
      <c r="K85" s="100">
        <v>259.58</v>
      </c>
      <c r="L85" s="100">
        <v>33.340000000000003</v>
      </c>
      <c r="M85" s="100">
        <v>46.37</v>
      </c>
      <c r="N85" s="100">
        <v>2.4</v>
      </c>
      <c r="O85" s="100">
        <v>0</v>
      </c>
      <c r="P85" s="100">
        <v>0.52</v>
      </c>
      <c r="Q85" s="100">
        <v>9.93</v>
      </c>
      <c r="R85" s="6"/>
      <c r="S85" s="6"/>
      <c r="T85" s="156"/>
      <c r="U85" s="6"/>
    </row>
    <row r="86" spans="1:21" customFormat="1">
      <c r="A86" s="163" t="s">
        <v>2237</v>
      </c>
      <c r="B86" s="100">
        <v>4.82</v>
      </c>
      <c r="C86" s="100">
        <v>11.38</v>
      </c>
      <c r="D86" s="100">
        <v>6.56</v>
      </c>
      <c r="E86" s="100">
        <v>4.83</v>
      </c>
      <c r="F86" s="100">
        <v>11.05</v>
      </c>
      <c r="G86" s="100">
        <v>78.16</v>
      </c>
      <c r="H86" s="100">
        <v>14.57</v>
      </c>
      <c r="I86" s="100">
        <v>5.63</v>
      </c>
      <c r="J86" s="100">
        <v>0.69</v>
      </c>
      <c r="K86" s="100">
        <v>249.19</v>
      </c>
      <c r="L86" s="100">
        <v>31.95</v>
      </c>
      <c r="M86" s="100">
        <v>52.91</v>
      </c>
      <c r="N86" s="100">
        <v>3.3</v>
      </c>
      <c r="O86" s="100">
        <v>0</v>
      </c>
      <c r="P86" s="100">
        <v>0.46</v>
      </c>
      <c r="Q86" s="100">
        <v>9.92</v>
      </c>
      <c r="R86" s="6"/>
      <c r="S86" s="6"/>
      <c r="T86" s="156"/>
      <c r="U86" s="6"/>
    </row>
    <row r="87" spans="1:21" customFormat="1">
      <c r="A87" s="163" t="s">
        <v>2238</v>
      </c>
      <c r="B87" s="100">
        <v>4.3600000000000003</v>
      </c>
      <c r="C87" s="100">
        <v>8.6199999999999992</v>
      </c>
      <c r="D87" s="100">
        <v>4.26</v>
      </c>
      <c r="E87" s="100">
        <v>4.34</v>
      </c>
      <c r="F87" s="100">
        <v>14.24</v>
      </c>
      <c r="G87" s="100">
        <v>78.16</v>
      </c>
      <c r="H87" s="100">
        <v>14.57</v>
      </c>
      <c r="I87" s="100">
        <v>5.64</v>
      </c>
      <c r="J87" s="100">
        <v>0.48</v>
      </c>
      <c r="K87" s="100">
        <v>251.81</v>
      </c>
      <c r="L87" s="100">
        <v>31.21</v>
      </c>
      <c r="M87" s="100">
        <v>55.6</v>
      </c>
      <c r="N87" s="100">
        <v>2.5</v>
      </c>
      <c r="O87" s="100">
        <v>0</v>
      </c>
      <c r="P87" s="100">
        <v>0.42</v>
      </c>
      <c r="Q87" s="100">
        <v>9.91</v>
      </c>
      <c r="R87" s="6"/>
      <c r="S87" s="6"/>
      <c r="T87" s="156"/>
      <c r="U87" s="6"/>
    </row>
    <row r="88" spans="1:21" customFormat="1">
      <c r="A88" s="163" t="s">
        <v>2239</v>
      </c>
      <c r="B88" s="100">
        <v>4.1500000000000004</v>
      </c>
      <c r="C88" s="100">
        <v>7.88</v>
      </c>
      <c r="D88" s="100">
        <v>3.74</v>
      </c>
      <c r="E88" s="100">
        <v>4.07</v>
      </c>
      <c r="F88" s="100">
        <v>14.95</v>
      </c>
      <c r="G88" s="100">
        <v>78.16</v>
      </c>
      <c r="H88" s="100">
        <v>14.57</v>
      </c>
      <c r="I88" s="100">
        <v>5.35</v>
      </c>
      <c r="J88" s="100">
        <v>0.4</v>
      </c>
      <c r="K88" s="100">
        <v>249.13</v>
      </c>
      <c r="L88" s="100">
        <v>30.86</v>
      </c>
      <c r="M88" s="100">
        <v>56.86</v>
      </c>
      <c r="N88" s="100">
        <v>2.1</v>
      </c>
      <c r="O88" s="100">
        <v>0</v>
      </c>
      <c r="P88" s="100">
        <v>0.41</v>
      </c>
      <c r="Q88" s="100">
        <v>9.93</v>
      </c>
      <c r="R88" s="6"/>
      <c r="S88" s="6"/>
      <c r="T88" s="156"/>
      <c r="U88" s="6"/>
    </row>
    <row r="89" spans="1:21" customFormat="1">
      <c r="A89" s="163" t="s">
        <v>2240</v>
      </c>
      <c r="B89" s="100">
        <v>4.0199999999999996</v>
      </c>
      <c r="C89" s="100">
        <v>7.58</v>
      </c>
      <c r="D89" s="100">
        <v>3.56</v>
      </c>
      <c r="E89" s="100">
        <v>3.66</v>
      </c>
      <c r="F89" s="100">
        <v>17.61</v>
      </c>
      <c r="G89" s="100">
        <v>76.760000000000005</v>
      </c>
      <c r="H89" s="100">
        <v>15.61</v>
      </c>
      <c r="I89" s="100">
        <v>4.97</v>
      </c>
      <c r="J89" s="100">
        <v>0.2</v>
      </c>
      <c r="K89" s="100">
        <v>245.23</v>
      </c>
      <c r="L89" s="100">
        <v>30.7</v>
      </c>
      <c r="M89" s="100">
        <v>57.92</v>
      </c>
      <c r="N89" s="100">
        <v>1.9</v>
      </c>
      <c r="O89" s="100">
        <v>0</v>
      </c>
      <c r="P89" s="100">
        <v>0.4</v>
      </c>
      <c r="Q89" s="100">
        <v>9.91</v>
      </c>
      <c r="R89" s="6"/>
      <c r="S89" s="6"/>
      <c r="T89" s="156"/>
      <c r="U89" s="6"/>
    </row>
    <row r="90" spans="1:21" customFormat="1">
      <c r="A90" s="163" t="s">
        <v>2241</v>
      </c>
      <c r="B90" s="100">
        <v>4.0199999999999996</v>
      </c>
      <c r="C90" s="100">
        <v>7.66</v>
      </c>
      <c r="D90" s="100">
        <v>3.63</v>
      </c>
      <c r="E90" s="100">
        <v>4.12</v>
      </c>
      <c r="F90" s="100">
        <v>11.77</v>
      </c>
      <c r="G90" s="100">
        <v>73.34</v>
      </c>
      <c r="H90" s="100">
        <v>17.32</v>
      </c>
      <c r="I90" s="100">
        <v>4.8</v>
      </c>
      <c r="J90" s="100">
        <v>0.12</v>
      </c>
      <c r="K90" s="100">
        <v>180.23</v>
      </c>
      <c r="L90" s="100">
        <v>30.55</v>
      </c>
      <c r="M90" s="100">
        <v>59.29</v>
      </c>
      <c r="N90" s="100">
        <v>1.9</v>
      </c>
      <c r="O90" s="100">
        <v>0</v>
      </c>
      <c r="P90" s="100">
        <v>0.42</v>
      </c>
      <c r="Q90" s="100">
        <v>9.9</v>
      </c>
      <c r="R90" s="6"/>
      <c r="S90" s="6"/>
      <c r="T90" s="156"/>
      <c r="U90" s="6"/>
    </row>
    <row r="91" spans="1:21" customFormat="1">
      <c r="A91" s="163" t="s">
        <v>2242</v>
      </c>
      <c r="B91" s="100">
        <v>3.95</v>
      </c>
      <c r="C91" s="100">
        <v>7.66</v>
      </c>
      <c r="D91" s="100">
        <v>3.71</v>
      </c>
      <c r="E91" s="100">
        <v>4.21</v>
      </c>
      <c r="F91" s="100">
        <v>15.01</v>
      </c>
      <c r="G91" s="100">
        <v>73.34</v>
      </c>
      <c r="H91" s="100">
        <v>17.32</v>
      </c>
      <c r="I91" s="100">
        <v>4.51</v>
      </c>
      <c r="J91" s="100">
        <v>0.13</v>
      </c>
      <c r="K91" s="100">
        <v>189.46</v>
      </c>
      <c r="L91" s="100">
        <v>30.3</v>
      </c>
      <c r="M91" s="100">
        <v>60.02</v>
      </c>
      <c r="N91" s="100">
        <v>1.9</v>
      </c>
      <c r="O91" s="100">
        <v>0</v>
      </c>
      <c r="P91" s="100">
        <v>0.42</v>
      </c>
      <c r="Q91" s="100">
        <v>9.9</v>
      </c>
      <c r="R91" s="6"/>
      <c r="S91" s="6"/>
      <c r="T91" s="156"/>
      <c r="U91" s="6"/>
    </row>
    <row r="92" spans="1:21" customFormat="1">
      <c r="A92" s="163" t="s">
        <v>2243</v>
      </c>
      <c r="B92" s="100">
        <v>3.95</v>
      </c>
      <c r="C92" s="100">
        <v>8.01</v>
      </c>
      <c r="D92" s="100">
        <v>4.0599999999999996</v>
      </c>
      <c r="E92" s="100">
        <v>4.05</v>
      </c>
      <c r="F92" s="100">
        <v>14.31</v>
      </c>
      <c r="G92" s="100">
        <v>73.34</v>
      </c>
      <c r="H92" s="100">
        <v>17.32</v>
      </c>
      <c r="I92" s="100">
        <v>4.91</v>
      </c>
      <c r="J92" s="100">
        <v>0.15</v>
      </c>
      <c r="K92" s="100">
        <v>218.31</v>
      </c>
      <c r="L92" s="100">
        <v>30.11</v>
      </c>
      <c r="M92" s="100">
        <v>61.55</v>
      </c>
      <c r="N92" s="100">
        <v>1.7</v>
      </c>
      <c r="O92" s="100">
        <v>0</v>
      </c>
      <c r="P92" s="100">
        <v>0.43</v>
      </c>
      <c r="Q92" s="100">
        <v>9.91</v>
      </c>
      <c r="R92" s="6"/>
      <c r="S92" s="6"/>
      <c r="T92" s="156"/>
      <c r="U92" s="6"/>
    </row>
    <row r="93" spans="1:21" customFormat="1">
      <c r="A93" s="163" t="s">
        <v>2244</v>
      </c>
      <c r="B93" s="100">
        <v>3.98</v>
      </c>
      <c r="C93" s="100">
        <v>8.41</v>
      </c>
      <c r="D93" s="100">
        <v>4.43</v>
      </c>
      <c r="E93" s="100">
        <v>3.88</v>
      </c>
      <c r="F93" s="100">
        <v>11.96</v>
      </c>
      <c r="G93" s="100">
        <v>70.260000000000005</v>
      </c>
      <c r="H93" s="100">
        <v>16.89</v>
      </c>
      <c r="I93" s="100">
        <v>5.04</v>
      </c>
      <c r="J93" s="100">
        <v>0.17</v>
      </c>
      <c r="K93" s="100">
        <v>192.35</v>
      </c>
      <c r="L93" s="100">
        <v>29.91</v>
      </c>
      <c r="M93" s="100">
        <v>63.11</v>
      </c>
      <c r="N93" s="100">
        <v>1.9</v>
      </c>
      <c r="O93" s="100">
        <v>0</v>
      </c>
      <c r="P93" s="100">
        <v>0.42</v>
      </c>
      <c r="Q93" s="100">
        <v>9.93</v>
      </c>
      <c r="R93" s="6"/>
      <c r="S93" s="6"/>
      <c r="T93" s="156"/>
      <c r="U93" s="6"/>
    </row>
    <row r="94" spans="1:21" customFormat="1">
      <c r="A94" s="163" t="s">
        <v>2245</v>
      </c>
      <c r="B94" s="100">
        <v>4.08</v>
      </c>
      <c r="C94" s="100">
        <v>8.14</v>
      </c>
      <c r="D94" s="100">
        <v>4.05</v>
      </c>
      <c r="E94" s="100">
        <v>4.12</v>
      </c>
      <c r="F94" s="100">
        <v>8.4</v>
      </c>
      <c r="G94" s="100">
        <v>62.67</v>
      </c>
      <c r="H94" s="100">
        <v>16.18</v>
      </c>
      <c r="I94" s="100">
        <v>6.63</v>
      </c>
      <c r="J94" s="100">
        <v>0.17</v>
      </c>
      <c r="K94" s="100">
        <v>169.87</v>
      </c>
      <c r="L94" s="100">
        <v>29.81</v>
      </c>
      <c r="M94" s="100">
        <v>64.34</v>
      </c>
      <c r="N94" s="100">
        <v>1.7</v>
      </c>
      <c r="O94" s="100">
        <v>0</v>
      </c>
      <c r="P94" s="100">
        <v>0.43</v>
      </c>
      <c r="Q94" s="100">
        <v>9.9</v>
      </c>
      <c r="R94" s="6"/>
      <c r="S94" s="6"/>
      <c r="T94" s="156"/>
      <c r="U94" s="6"/>
    </row>
    <row r="95" spans="1:21" customFormat="1">
      <c r="A95" s="163" t="s">
        <v>2246</v>
      </c>
      <c r="B95" s="100">
        <v>4.0599999999999996</v>
      </c>
      <c r="C95" s="100">
        <v>8.18</v>
      </c>
      <c r="D95" s="100">
        <v>4.1100000000000003</v>
      </c>
      <c r="E95" s="100">
        <v>3.98</v>
      </c>
      <c r="F95" s="100">
        <v>10.57</v>
      </c>
      <c r="G95" s="100">
        <v>62.67</v>
      </c>
      <c r="H95" s="100">
        <v>16.18</v>
      </c>
      <c r="I95" s="100">
        <v>6.29</v>
      </c>
      <c r="J95" s="100">
        <v>0.1</v>
      </c>
      <c r="K95" s="100">
        <v>192.24</v>
      </c>
      <c r="L95" s="100">
        <v>29.77</v>
      </c>
      <c r="M95" s="100">
        <v>64.349999999999994</v>
      </c>
      <c r="N95" s="100">
        <v>1.8</v>
      </c>
      <c r="O95" s="100">
        <v>0</v>
      </c>
      <c r="P95" s="100">
        <v>0.42</v>
      </c>
      <c r="Q95" s="100">
        <v>9.9</v>
      </c>
      <c r="R95" s="6"/>
      <c r="S95" s="6"/>
      <c r="T95" s="156"/>
      <c r="U95" s="6"/>
    </row>
    <row r="96" spans="1:21" customFormat="1">
      <c r="A96" s="163" t="s">
        <v>2247</v>
      </c>
      <c r="B96" s="100">
        <v>4.05</v>
      </c>
      <c r="C96" s="100">
        <v>8.2899999999999991</v>
      </c>
      <c r="D96" s="100">
        <v>4.2300000000000004</v>
      </c>
      <c r="E96" s="100">
        <v>3.95</v>
      </c>
      <c r="F96" s="100">
        <v>12.4</v>
      </c>
      <c r="G96" s="100">
        <v>62.67</v>
      </c>
      <c r="H96" s="100">
        <v>16.18</v>
      </c>
      <c r="I96" s="100">
        <v>5.7</v>
      </c>
      <c r="J96" s="100">
        <v>0.12</v>
      </c>
      <c r="K96" s="100">
        <v>187.4</v>
      </c>
      <c r="L96" s="100">
        <v>29.86</v>
      </c>
      <c r="M96" s="100">
        <v>64</v>
      </c>
      <c r="N96" s="100">
        <v>1.7</v>
      </c>
      <c r="O96" s="100">
        <v>0</v>
      </c>
      <c r="P96" s="100">
        <v>0.42</v>
      </c>
      <c r="Q96" s="100">
        <v>9.9</v>
      </c>
      <c r="R96" s="6"/>
      <c r="S96" s="6"/>
      <c r="T96" s="156"/>
      <c r="U96" s="6"/>
    </row>
    <row r="97" spans="1:28" customFormat="1">
      <c r="A97" s="163" t="s">
        <v>2248</v>
      </c>
      <c r="B97" s="100">
        <v>4.0599999999999996</v>
      </c>
      <c r="C97" s="100">
        <v>8.32</v>
      </c>
      <c r="D97" s="100">
        <v>4.26</v>
      </c>
      <c r="E97" s="100">
        <v>3.82</v>
      </c>
      <c r="F97" s="100">
        <v>12</v>
      </c>
      <c r="G97" s="100">
        <v>63.6</v>
      </c>
      <c r="H97" s="100">
        <v>16.690000000000001</v>
      </c>
      <c r="I97" s="100">
        <v>5.0599999999999996</v>
      </c>
      <c r="J97" s="100">
        <v>0.16</v>
      </c>
      <c r="K97" s="100">
        <v>231.66</v>
      </c>
      <c r="L97" s="100">
        <v>29.81</v>
      </c>
      <c r="M97" s="100">
        <v>64.73</v>
      </c>
      <c r="N97" s="100">
        <v>1.7</v>
      </c>
      <c r="O97" s="100">
        <v>0</v>
      </c>
      <c r="P97" s="100">
        <v>0.42</v>
      </c>
      <c r="Q97" s="100">
        <v>9.92</v>
      </c>
      <c r="R97" s="6"/>
      <c r="S97" s="6"/>
      <c r="T97" s="156"/>
      <c r="U97" s="6"/>
    </row>
    <row r="98" spans="1:28" customFormat="1">
      <c r="A98" s="163" t="s">
        <v>2249</v>
      </c>
      <c r="B98" s="100">
        <v>4.2699999999999996</v>
      </c>
      <c r="C98" s="100">
        <v>8.83</v>
      </c>
      <c r="D98" s="100">
        <v>4.5599999999999996</v>
      </c>
      <c r="E98" s="100">
        <v>4.43</v>
      </c>
      <c r="F98" s="100">
        <v>4.05</v>
      </c>
      <c r="G98" s="100">
        <v>65.89</v>
      </c>
      <c r="H98" s="100">
        <v>18.78</v>
      </c>
      <c r="I98" s="100">
        <v>4.8899999999999997</v>
      </c>
      <c r="J98" s="100">
        <v>0.11</v>
      </c>
      <c r="K98" s="100">
        <v>219.7</v>
      </c>
      <c r="L98" s="100">
        <v>30.01</v>
      </c>
      <c r="M98" s="100">
        <v>63.66</v>
      </c>
      <c r="N98" s="100">
        <v>1.7</v>
      </c>
      <c r="O98" s="100">
        <v>0</v>
      </c>
      <c r="P98" s="100">
        <v>0.42</v>
      </c>
      <c r="Q98" s="100">
        <v>9.92</v>
      </c>
      <c r="R98" s="6"/>
      <c r="S98" s="6"/>
      <c r="T98" s="156"/>
      <c r="U98" s="6"/>
    </row>
    <row r="99" spans="1:28" customFormat="1">
      <c r="A99" s="163" t="s">
        <v>2250</v>
      </c>
      <c r="B99" s="100">
        <v>4.34</v>
      </c>
      <c r="C99" s="100">
        <v>9.34</v>
      </c>
      <c r="D99" s="100">
        <v>5</v>
      </c>
      <c r="E99" s="100">
        <v>5.03</v>
      </c>
      <c r="F99" s="100">
        <v>3.28</v>
      </c>
      <c r="G99" s="100">
        <v>65.89</v>
      </c>
      <c r="H99" s="100">
        <v>18.78</v>
      </c>
      <c r="I99" s="100">
        <v>4.95</v>
      </c>
      <c r="J99" s="100">
        <v>0.19</v>
      </c>
      <c r="K99" s="100">
        <v>250.42</v>
      </c>
      <c r="L99" s="100">
        <v>30.15</v>
      </c>
      <c r="M99" s="100">
        <v>62.4</v>
      </c>
      <c r="N99" s="100">
        <v>1.7</v>
      </c>
      <c r="O99" s="100">
        <v>0</v>
      </c>
      <c r="P99" s="100">
        <v>0.4</v>
      </c>
      <c r="Q99" s="100">
        <v>9.91</v>
      </c>
      <c r="R99" s="6"/>
      <c r="S99" s="6"/>
      <c r="T99" s="156"/>
      <c r="U99" s="6"/>
    </row>
    <row r="100" spans="1:28" customFormat="1">
      <c r="A100" s="163" t="s">
        <v>2251</v>
      </c>
      <c r="B100" s="100">
        <v>4.33</v>
      </c>
      <c r="C100" s="100">
        <v>9.31</v>
      </c>
      <c r="D100" s="100">
        <v>4.9800000000000004</v>
      </c>
      <c r="E100" s="100">
        <v>5.36</v>
      </c>
      <c r="F100" s="100">
        <v>3.24</v>
      </c>
      <c r="G100" s="100">
        <v>65.89</v>
      </c>
      <c r="H100" s="100">
        <v>18.78</v>
      </c>
      <c r="I100" s="100">
        <v>5.59</v>
      </c>
      <c r="J100" s="100">
        <v>0.46</v>
      </c>
      <c r="K100" s="100">
        <v>249.28</v>
      </c>
      <c r="L100" s="100">
        <v>30.43</v>
      </c>
      <c r="M100" s="100">
        <v>59.92</v>
      </c>
      <c r="N100" s="100">
        <v>1.6</v>
      </c>
      <c r="O100" s="100">
        <v>0</v>
      </c>
      <c r="P100" s="100">
        <v>0.39</v>
      </c>
      <c r="Q100" s="100">
        <v>9.91</v>
      </c>
      <c r="R100" s="6"/>
      <c r="S100" s="6"/>
      <c r="T100" s="156"/>
      <c r="U100" s="6"/>
      <c r="AB100" s="161"/>
    </row>
    <row r="101" spans="1:28" customFormat="1">
      <c r="A101" s="163" t="s">
        <v>2252</v>
      </c>
      <c r="B101" s="100">
        <v>4.3</v>
      </c>
      <c r="C101" s="100">
        <v>8.9700000000000006</v>
      </c>
      <c r="D101" s="100">
        <v>4.67</v>
      </c>
      <c r="E101" s="100">
        <v>5.53</v>
      </c>
      <c r="F101" s="100">
        <v>3.31</v>
      </c>
      <c r="G101" s="100">
        <v>63.46</v>
      </c>
      <c r="H101" s="100">
        <v>17.53</v>
      </c>
      <c r="I101" s="100">
        <v>5.8</v>
      </c>
      <c r="J101" s="100">
        <v>0.56999999999999995</v>
      </c>
      <c r="K101" s="100">
        <v>254.59</v>
      </c>
      <c r="L101" s="100">
        <v>30.29</v>
      </c>
      <c r="M101" s="100">
        <v>61.08</v>
      </c>
      <c r="N101" s="100">
        <v>1.9</v>
      </c>
      <c r="O101" s="100">
        <v>0</v>
      </c>
      <c r="P101" s="100">
        <v>0.39</v>
      </c>
      <c r="Q101" s="100">
        <v>9.91</v>
      </c>
      <c r="R101" s="6"/>
      <c r="S101" s="6"/>
      <c r="T101" s="156"/>
      <c r="U101" s="6"/>
    </row>
    <row r="102" spans="1:28" customFormat="1">
      <c r="A102" s="163" t="s">
        <v>2253</v>
      </c>
      <c r="B102" s="100">
        <v>4.26</v>
      </c>
      <c r="C102" s="100">
        <v>8.85</v>
      </c>
      <c r="D102" s="100">
        <v>4.59</v>
      </c>
      <c r="E102" s="100">
        <v>5.5</v>
      </c>
      <c r="F102" s="100">
        <v>3.19</v>
      </c>
      <c r="G102" s="100">
        <v>57.48</v>
      </c>
      <c r="H102" s="100">
        <v>15.49</v>
      </c>
      <c r="I102" s="100">
        <v>5.8</v>
      </c>
      <c r="J102" s="100">
        <v>0.76</v>
      </c>
      <c r="K102" s="100">
        <v>255.25</v>
      </c>
      <c r="L102" s="100">
        <v>30.26</v>
      </c>
      <c r="M102" s="100">
        <v>61.09</v>
      </c>
      <c r="N102" s="100">
        <v>1.6</v>
      </c>
      <c r="O102" s="100">
        <v>0</v>
      </c>
      <c r="P102" s="100">
        <v>0.37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2254</v>
      </c>
      <c r="B103" s="100">
        <v>4.21</v>
      </c>
      <c r="C103" s="100">
        <v>8.64</v>
      </c>
      <c r="D103" s="100">
        <v>4.4400000000000004</v>
      </c>
      <c r="E103" s="100">
        <v>5.6</v>
      </c>
      <c r="F103" s="100">
        <v>3.08</v>
      </c>
      <c r="G103" s="100">
        <v>57.48</v>
      </c>
      <c r="H103" s="100">
        <v>15.49</v>
      </c>
      <c r="I103" s="100">
        <v>5.66</v>
      </c>
      <c r="J103" s="100">
        <v>1.25</v>
      </c>
      <c r="K103" s="100">
        <v>253.29</v>
      </c>
      <c r="L103" s="100">
        <v>30.44</v>
      </c>
      <c r="M103" s="100">
        <v>59.99</v>
      </c>
      <c r="N103" s="100">
        <v>1.6</v>
      </c>
      <c r="O103" s="100">
        <v>0</v>
      </c>
      <c r="P103" s="100">
        <v>0.37</v>
      </c>
      <c r="Q103" s="100">
        <v>9.91</v>
      </c>
      <c r="R103" s="6"/>
      <c r="S103" s="6"/>
      <c r="T103" s="156"/>
      <c r="U103" s="6"/>
    </row>
    <row r="104" spans="1:28" customFormat="1">
      <c r="A104" s="163" t="s">
        <v>2255</v>
      </c>
      <c r="B104" s="100">
        <v>4.12</v>
      </c>
      <c r="C104" s="100">
        <v>8.57</v>
      </c>
      <c r="D104" s="100">
        <v>4.45</v>
      </c>
      <c r="E104" s="100">
        <v>5.69</v>
      </c>
      <c r="F104" s="100">
        <v>2.91</v>
      </c>
      <c r="G104" s="100">
        <v>57.48</v>
      </c>
      <c r="H104" s="100">
        <v>15.49</v>
      </c>
      <c r="I104" s="100">
        <v>5.47</v>
      </c>
      <c r="J104" s="100">
        <v>1.24</v>
      </c>
      <c r="K104" s="100">
        <v>267.98</v>
      </c>
      <c r="L104" s="100">
        <v>30.14</v>
      </c>
      <c r="M104" s="100">
        <v>61.46</v>
      </c>
      <c r="N104" s="100">
        <v>2.4</v>
      </c>
      <c r="O104" s="100">
        <v>0</v>
      </c>
      <c r="P104" s="100">
        <v>0.35</v>
      </c>
      <c r="Q104" s="100">
        <v>9.9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3.71</v>
      </c>
      <c r="C106" s="158">
        <f>MIN(C9:C104)</f>
        <v>7.58</v>
      </c>
      <c r="D106" s="158">
        <f t="shared" ref="D106:Q106" si="0">MIN(D9:D104)</f>
        <v>2.77</v>
      </c>
      <c r="E106" s="158">
        <f t="shared" si="0"/>
        <v>3.31</v>
      </c>
      <c r="F106" s="158">
        <f t="shared" si="0"/>
        <v>2.1</v>
      </c>
      <c r="G106" s="158">
        <f t="shared" si="0"/>
        <v>32.51</v>
      </c>
      <c r="H106" s="158">
        <f t="shared" si="0"/>
        <v>8.6199999999999992</v>
      </c>
      <c r="I106" s="158">
        <f t="shared" si="0"/>
        <v>4.51</v>
      </c>
      <c r="J106" s="158">
        <f t="shared" si="0"/>
        <v>0.09</v>
      </c>
      <c r="K106" s="158">
        <f t="shared" si="0"/>
        <v>169.87</v>
      </c>
      <c r="L106" s="158">
        <f t="shared" si="0"/>
        <v>26.34</v>
      </c>
      <c r="M106" s="158">
        <f t="shared" si="0"/>
        <v>38.47</v>
      </c>
      <c r="N106" s="158">
        <f t="shared" si="0"/>
        <v>1.6</v>
      </c>
      <c r="O106" s="158">
        <f t="shared" si="0"/>
        <v>0</v>
      </c>
      <c r="P106" s="158">
        <f t="shared" si="0"/>
        <v>0.34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6.29</v>
      </c>
      <c r="C107" s="157">
        <f t="shared" ref="C107:Q107" si="1">MAX(C9:C104)</f>
        <v>18.72</v>
      </c>
      <c r="D107" s="157">
        <f t="shared" si="1"/>
        <v>12.43</v>
      </c>
      <c r="E107" s="157">
        <f t="shared" si="1"/>
        <v>6.36</v>
      </c>
      <c r="F107" s="157">
        <f t="shared" si="1"/>
        <v>17.61</v>
      </c>
      <c r="G107" s="157">
        <f t="shared" si="1"/>
        <v>79.8</v>
      </c>
      <c r="H107" s="157">
        <f t="shared" si="1"/>
        <v>23.68</v>
      </c>
      <c r="I107" s="157">
        <f t="shared" si="1"/>
        <v>7.02</v>
      </c>
      <c r="J107" s="157">
        <f t="shared" si="1"/>
        <v>1.67</v>
      </c>
      <c r="K107" s="157">
        <f t="shared" si="1"/>
        <v>304.05</v>
      </c>
      <c r="L107" s="157">
        <f t="shared" si="1"/>
        <v>36.619999999999997</v>
      </c>
      <c r="M107" s="157">
        <f t="shared" si="1"/>
        <v>89.79</v>
      </c>
      <c r="N107" s="157">
        <f t="shared" si="1"/>
        <v>866.6</v>
      </c>
      <c r="O107" s="157">
        <f t="shared" si="1"/>
        <v>0</v>
      </c>
      <c r="P107" s="157">
        <f t="shared" si="1"/>
        <v>0.56999999999999995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4.7886458333333328</v>
      </c>
      <c r="C108" s="158">
        <f t="shared" ref="C108:Q108" si="2">AVERAGE(C9:C104)</f>
        <v>9.3287500000000012</v>
      </c>
      <c r="D108" s="158">
        <f t="shared" si="2"/>
        <v>4.5402083333333332</v>
      </c>
      <c r="E108" s="158">
        <f t="shared" si="2"/>
        <v>5.2012500000000017</v>
      </c>
      <c r="F108" s="158">
        <f t="shared" si="2"/>
        <v>6.3629166666666661</v>
      </c>
      <c r="G108" s="158">
        <f t="shared" si="2"/>
        <v>61.79458333333335</v>
      </c>
      <c r="H108" s="158">
        <f t="shared" si="2"/>
        <v>16.775520833333328</v>
      </c>
      <c r="I108" s="158">
        <f t="shared" si="2"/>
        <v>5.7972916666666654</v>
      </c>
      <c r="J108" s="158">
        <f t="shared" si="2"/>
        <v>0.71666666666666679</v>
      </c>
      <c r="K108" s="158">
        <f t="shared" si="2"/>
        <v>254.52104166666663</v>
      </c>
      <c r="L108" s="158">
        <f t="shared" si="2"/>
        <v>31.042291666666667</v>
      </c>
      <c r="M108" s="158">
        <f t="shared" si="2"/>
        <v>62.811145833333335</v>
      </c>
      <c r="N108" s="158">
        <f t="shared" si="2"/>
        <v>146.37500000000003</v>
      </c>
      <c r="O108" s="158">
        <f t="shared" si="2"/>
        <v>0</v>
      </c>
      <c r="P108" s="158">
        <f t="shared" si="2"/>
        <v>0.43166666666666692</v>
      </c>
      <c r="Q108" s="158">
        <f t="shared" si="2"/>
        <v>9.9162499999999874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0.76328737747589681</v>
      </c>
      <c r="C109" s="158">
        <f t="shared" ref="C109:Q109" si="3">STDEV(C9:C104)</f>
        <v>1.8945174361270611</v>
      </c>
      <c r="D109" s="158">
        <f t="shared" si="3"/>
        <v>1.6647623374977198</v>
      </c>
      <c r="E109" s="158">
        <f t="shared" si="3"/>
        <v>0.78184565713376342</v>
      </c>
      <c r="F109" s="158">
        <f t="shared" si="3"/>
        <v>4.3042179842731452</v>
      </c>
      <c r="G109" s="158">
        <f t="shared" si="3"/>
        <v>13.522637855144856</v>
      </c>
      <c r="H109" s="158">
        <f t="shared" si="3"/>
        <v>2.9613040761023326</v>
      </c>
      <c r="I109" s="158">
        <f t="shared" si="3"/>
        <v>0.6328340252457888</v>
      </c>
      <c r="J109" s="158">
        <f t="shared" si="3"/>
        <v>0.49760408414863627</v>
      </c>
      <c r="K109" s="158">
        <f t="shared" si="3"/>
        <v>27.802953060844839</v>
      </c>
      <c r="L109" s="158">
        <f t="shared" si="3"/>
        <v>3.5833082271662668</v>
      </c>
      <c r="M109" s="158">
        <f t="shared" si="3"/>
        <v>17.906975522333639</v>
      </c>
      <c r="N109" s="158">
        <f t="shared" si="3"/>
        <v>213.15930291932511</v>
      </c>
      <c r="O109" s="158">
        <f t="shared" si="3"/>
        <v>0</v>
      </c>
      <c r="P109" s="158">
        <f t="shared" si="3"/>
        <v>5.0776427739994918E-2</v>
      </c>
      <c r="Q109" s="158">
        <f t="shared" si="3"/>
        <v>1.3860204297119384E-2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E11" sqref="E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2256</v>
      </c>
      <c r="B9" s="100">
        <v>3.99</v>
      </c>
      <c r="C9" s="100">
        <v>9.1</v>
      </c>
      <c r="D9" s="100">
        <v>5.1100000000000003</v>
      </c>
      <c r="E9" s="100">
        <v>5.83</v>
      </c>
      <c r="F9" s="100">
        <v>3.24</v>
      </c>
      <c r="G9" s="100">
        <v>58.22</v>
      </c>
      <c r="H9" s="100">
        <v>14.91</v>
      </c>
      <c r="I9" s="100">
        <v>5.29</v>
      </c>
      <c r="J9" s="100">
        <v>1.31</v>
      </c>
      <c r="K9" s="100">
        <v>290.81</v>
      </c>
      <c r="L9" s="100">
        <v>29.32</v>
      </c>
      <c r="M9" s="100">
        <v>63.99</v>
      </c>
      <c r="N9" s="100">
        <v>3.1</v>
      </c>
      <c r="O9" s="100">
        <v>0</v>
      </c>
      <c r="P9" s="100">
        <v>0.35</v>
      </c>
      <c r="Q9" s="100">
        <v>9.9</v>
      </c>
      <c r="R9" s="6"/>
      <c r="S9" s="6"/>
      <c r="T9" s="156"/>
      <c r="U9" s="6"/>
    </row>
    <row r="10" spans="1:21" customFormat="1">
      <c r="A10" s="163" t="s">
        <v>2257</v>
      </c>
      <c r="B10" s="100">
        <v>4.1399999999999997</v>
      </c>
      <c r="C10" s="100">
        <v>9.15</v>
      </c>
      <c r="D10" s="100">
        <v>5</v>
      </c>
      <c r="E10" s="100">
        <v>5.72</v>
      </c>
      <c r="F10" s="100">
        <v>2.73</v>
      </c>
      <c r="G10" s="100">
        <v>60.05</v>
      </c>
      <c r="H10" s="100">
        <v>13.96</v>
      </c>
      <c r="I10" s="100">
        <v>5.16</v>
      </c>
      <c r="J10" s="100">
        <v>1</v>
      </c>
      <c r="K10" s="100">
        <v>287.42</v>
      </c>
      <c r="L10" s="100">
        <v>28.99</v>
      </c>
      <c r="M10" s="100">
        <v>67.2</v>
      </c>
      <c r="N10" s="100">
        <v>2.2999999999999998</v>
      </c>
      <c r="O10" s="100">
        <v>0</v>
      </c>
      <c r="P10" s="100">
        <v>0.35</v>
      </c>
      <c r="Q10" s="100">
        <v>9.91</v>
      </c>
      <c r="R10" s="6"/>
      <c r="S10" s="6"/>
      <c r="T10" s="156"/>
      <c r="U10" s="6"/>
    </row>
    <row r="11" spans="1:21" customFormat="1">
      <c r="A11" s="163" t="s">
        <v>2258</v>
      </c>
      <c r="B11" s="100">
        <v>4.2</v>
      </c>
      <c r="C11" s="100">
        <v>9.17</v>
      </c>
      <c r="D11" s="100">
        <v>4.97</v>
      </c>
      <c r="E11" s="100">
        <v>5.79</v>
      </c>
      <c r="F11" s="100">
        <v>2.7</v>
      </c>
      <c r="G11" s="100">
        <v>60.05</v>
      </c>
      <c r="H11" s="100">
        <v>13.96</v>
      </c>
      <c r="I11" s="100">
        <v>5.05</v>
      </c>
      <c r="J11" s="100">
        <v>0.52</v>
      </c>
      <c r="K11" s="100">
        <v>259.5</v>
      </c>
      <c r="L11" s="100">
        <v>28.93</v>
      </c>
      <c r="M11" s="100">
        <v>68.77</v>
      </c>
      <c r="N11" s="100">
        <v>2.1</v>
      </c>
      <c r="O11" s="100">
        <v>0</v>
      </c>
      <c r="P11" s="100">
        <v>0.34</v>
      </c>
      <c r="Q11" s="100">
        <v>9.91</v>
      </c>
      <c r="R11" s="6"/>
      <c r="S11" s="6"/>
      <c r="T11" s="156"/>
      <c r="U11" s="6"/>
    </row>
    <row r="12" spans="1:21" customFormat="1">
      <c r="A12" s="163" t="s">
        <v>2259</v>
      </c>
      <c r="B12" s="100">
        <v>4.17</v>
      </c>
      <c r="C12" s="100">
        <v>9</v>
      </c>
      <c r="D12" s="100">
        <v>4.83</v>
      </c>
      <c r="E12" s="100">
        <v>5.65</v>
      </c>
      <c r="F12" s="100">
        <v>3.03</v>
      </c>
      <c r="G12" s="100">
        <v>60.05</v>
      </c>
      <c r="H12" s="100">
        <v>13.96</v>
      </c>
      <c r="I12" s="100">
        <v>4.99</v>
      </c>
      <c r="J12" s="100">
        <v>0.56999999999999995</v>
      </c>
      <c r="K12" s="100">
        <v>249.68</v>
      </c>
      <c r="L12" s="100">
        <v>28.99</v>
      </c>
      <c r="M12" s="100">
        <v>68.680000000000007</v>
      </c>
      <c r="N12" s="100">
        <v>2</v>
      </c>
      <c r="O12" s="100">
        <v>0</v>
      </c>
      <c r="P12" s="100">
        <v>0.35</v>
      </c>
      <c r="Q12" s="100">
        <v>9.91</v>
      </c>
      <c r="R12" s="6"/>
      <c r="S12" s="6"/>
      <c r="T12" s="156"/>
      <c r="U12" s="6"/>
    </row>
    <row r="13" spans="1:21" customFormat="1">
      <c r="A13" s="163" t="s">
        <v>2260</v>
      </c>
      <c r="B13" s="100">
        <v>4.09</v>
      </c>
      <c r="C13" s="100">
        <v>8.74</v>
      </c>
      <c r="D13" s="100">
        <v>4.66</v>
      </c>
      <c r="E13" s="100">
        <v>5.94</v>
      </c>
      <c r="F13" s="100">
        <v>3.23</v>
      </c>
      <c r="G13" s="100">
        <v>57.84</v>
      </c>
      <c r="H13" s="100">
        <v>14.64</v>
      </c>
      <c r="I13" s="100">
        <v>4.97</v>
      </c>
      <c r="J13" s="100">
        <v>0.48</v>
      </c>
      <c r="K13" s="100">
        <v>247.74</v>
      </c>
      <c r="L13" s="100">
        <v>29.08</v>
      </c>
      <c r="M13" s="100">
        <v>68.47</v>
      </c>
      <c r="N13" s="100">
        <v>2</v>
      </c>
      <c r="O13" s="100">
        <v>0</v>
      </c>
      <c r="P13" s="100">
        <v>0.33</v>
      </c>
      <c r="Q13" s="100">
        <v>9.9</v>
      </c>
      <c r="R13" s="6"/>
      <c r="S13" s="6"/>
      <c r="T13" s="156"/>
      <c r="U13" s="6"/>
    </row>
    <row r="14" spans="1:21" customFormat="1">
      <c r="A14" s="163" t="s">
        <v>2261</v>
      </c>
      <c r="B14" s="100">
        <v>4.08</v>
      </c>
      <c r="C14" s="100">
        <v>8.86</v>
      </c>
      <c r="D14" s="100">
        <v>4.78</v>
      </c>
      <c r="E14" s="100">
        <v>6.06</v>
      </c>
      <c r="F14" s="100">
        <v>2.84</v>
      </c>
      <c r="G14" s="100">
        <v>52.39</v>
      </c>
      <c r="H14" s="100">
        <v>15.77</v>
      </c>
      <c r="I14" s="100">
        <v>4.82</v>
      </c>
      <c r="J14" s="100">
        <v>0.32</v>
      </c>
      <c r="K14" s="100">
        <v>240.03</v>
      </c>
      <c r="L14" s="100">
        <v>29</v>
      </c>
      <c r="M14" s="100">
        <v>69.290000000000006</v>
      </c>
      <c r="N14" s="100">
        <v>2.1</v>
      </c>
      <c r="O14" s="100">
        <v>0</v>
      </c>
      <c r="P14" s="100">
        <v>0.33</v>
      </c>
      <c r="Q14" s="100">
        <v>9.9</v>
      </c>
      <c r="R14" s="6"/>
      <c r="S14" s="6"/>
      <c r="T14" s="156"/>
      <c r="U14" s="6"/>
    </row>
    <row r="15" spans="1:21" customFormat="1">
      <c r="A15" s="163" t="s">
        <v>2262</v>
      </c>
      <c r="B15" s="100">
        <v>4.0999999999999996</v>
      </c>
      <c r="C15" s="100">
        <v>8.8000000000000007</v>
      </c>
      <c r="D15" s="100">
        <v>4.7</v>
      </c>
      <c r="E15" s="100">
        <v>6.1</v>
      </c>
      <c r="F15" s="100">
        <v>2.84</v>
      </c>
      <c r="G15" s="100">
        <v>52.39</v>
      </c>
      <c r="H15" s="100">
        <v>15.77</v>
      </c>
      <c r="I15" s="100">
        <v>4.7699999999999996</v>
      </c>
      <c r="J15" s="100">
        <v>0.34</v>
      </c>
      <c r="K15" s="100">
        <v>250.03</v>
      </c>
      <c r="L15" s="100">
        <v>28.72</v>
      </c>
      <c r="M15" s="100">
        <v>70.599999999999994</v>
      </c>
      <c r="N15" s="100">
        <v>2</v>
      </c>
      <c r="O15" s="100">
        <v>0</v>
      </c>
      <c r="P15" s="100">
        <v>0.33</v>
      </c>
      <c r="Q15" s="100">
        <v>9.92</v>
      </c>
      <c r="R15" s="6"/>
      <c r="S15" s="6"/>
      <c r="T15" s="156"/>
      <c r="U15" s="6"/>
    </row>
    <row r="16" spans="1:21" customFormat="1">
      <c r="A16" s="163" t="s">
        <v>2263</v>
      </c>
      <c r="B16" s="100">
        <v>4.1100000000000003</v>
      </c>
      <c r="C16" s="100">
        <v>8.58</v>
      </c>
      <c r="D16" s="100">
        <v>4.47</v>
      </c>
      <c r="E16" s="100">
        <v>6.08</v>
      </c>
      <c r="F16" s="100">
        <v>3.1</v>
      </c>
      <c r="G16" s="100">
        <v>52.39</v>
      </c>
      <c r="H16" s="100">
        <v>15.77</v>
      </c>
      <c r="I16" s="100">
        <v>4.72</v>
      </c>
      <c r="J16" s="100">
        <v>0.48</v>
      </c>
      <c r="K16" s="100">
        <v>249.32</v>
      </c>
      <c r="L16" s="100">
        <v>28.62</v>
      </c>
      <c r="M16" s="100">
        <v>71.11</v>
      </c>
      <c r="N16" s="100">
        <v>1.8</v>
      </c>
      <c r="O16" s="100">
        <v>0</v>
      </c>
      <c r="P16" s="100">
        <v>0.33</v>
      </c>
      <c r="Q16" s="100">
        <v>9.9</v>
      </c>
      <c r="R16" s="6"/>
      <c r="S16" s="6"/>
      <c r="T16" s="156"/>
      <c r="U16" s="6"/>
    </row>
    <row r="17" spans="1:21" customFormat="1">
      <c r="A17" s="163" t="s">
        <v>2264</v>
      </c>
      <c r="B17" s="100">
        <v>4.12</v>
      </c>
      <c r="C17" s="100">
        <v>8.24</v>
      </c>
      <c r="D17" s="100">
        <v>4.12</v>
      </c>
      <c r="E17" s="100">
        <v>3.92</v>
      </c>
      <c r="F17" s="100">
        <v>3.48</v>
      </c>
      <c r="G17" s="100">
        <v>50.75</v>
      </c>
      <c r="H17" s="100">
        <v>14.74</v>
      </c>
      <c r="I17" s="100">
        <v>4.67</v>
      </c>
      <c r="J17" s="100">
        <v>0.57999999999999996</v>
      </c>
      <c r="K17" s="100">
        <v>254.86</v>
      </c>
      <c r="L17" s="100">
        <v>28.55</v>
      </c>
      <c r="M17" s="100">
        <v>71.38</v>
      </c>
      <c r="N17" s="100">
        <v>2</v>
      </c>
      <c r="O17" s="100">
        <v>0</v>
      </c>
      <c r="P17" s="100">
        <v>0.32</v>
      </c>
      <c r="Q17" s="100">
        <v>9.89</v>
      </c>
      <c r="R17" s="6"/>
      <c r="S17" s="6"/>
      <c r="T17" s="156"/>
      <c r="U17" s="6"/>
    </row>
    <row r="18" spans="1:21" customFormat="1">
      <c r="A18" s="163" t="s">
        <v>2265</v>
      </c>
      <c r="B18" s="100">
        <v>4.09</v>
      </c>
      <c r="C18" s="100">
        <v>8.31</v>
      </c>
      <c r="D18" s="100">
        <v>4.22</v>
      </c>
      <c r="E18" s="100">
        <v>4.7300000000000004</v>
      </c>
      <c r="F18" s="100">
        <v>2.99</v>
      </c>
      <c r="G18" s="100">
        <v>46.71</v>
      </c>
      <c r="H18" s="100">
        <v>13.01</v>
      </c>
      <c r="I18" s="100">
        <v>4.74</v>
      </c>
      <c r="J18" s="100">
        <v>0.52</v>
      </c>
      <c r="K18" s="100">
        <v>254.17</v>
      </c>
      <c r="L18" s="100">
        <v>28.44</v>
      </c>
      <c r="M18" s="100">
        <v>71.91</v>
      </c>
      <c r="N18" s="100">
        <v>2</v>
      </c>
      <c r="O18" s="100">
        <v>0</v>
      </c>
      <c r="P18" s="100">
        <v>0.31</v>
      </c>
      <c r="Q18" s="100">
        <v>9.89</v>
      </c>
      <c r="R18" s="6"/>
      <c r="S18" s="6"/>
      <c r="T18" s="156"/>
      <c r="U18" s="6"/>
    </row>
    <row r="19" spans="1:21" customFormat="1">
      <c r="A19" s="163" t="s">
        <v>2266</v>
      </c>
      <c r="B19" s="100">
        <v>4.12</v>
      </c>
      <c r="C19" s="100">
        <v>8.36</v>
      </c>
      <c r="D19" s="100">
        <v>4.24</v>
      </c>
      <c r="E19" s="100">
        <v>3.83</v>
      </c>
      <c r="F19" s="100">
        <v>2.66</v>
      </c>
      <c r="G19" s="100">
        <v>46.71</v>
      </c>
      <c r="H19" s="100">
        <v>13.01</v>
      </c>
      <c r="I19" s="100">
        <v>4.68</v>
      </c>
      <c r="J19" s="100">
        <v>0.49</v>
      </c>
      <c r="K19" s="100">
        <v>253.95</v>
      </c>
      <c r="L19" s="100">
        <v>28.43</v>
      </c>
      <c r="M19" s="100">
        <v>72.23</v>
      </c>
      <c r="N19" s="100">
        <v>1.7</v>
      </c>
      <c r="O19" s="100">
        <v>0</v>
      </c>
      <c r="P19" s="100">
        <v>0.31</v>
      </c>
      <c r="Q19" s="100">
        <v>9.92</v>
      </c>
      <c r="R19" s="6"/>
      <c r="S19" s="6"/>
      <c r="T19" s="156"/>
      <c r="U19" s="6"/>
    </row>
    <row r="20" spans="1:21" customFormat="1">
      <c r="A20" s="163" t="s">
        <v>2267</v>
      </c>
      <c r="B20" s="100">
        <v>4.1500000000000004</v>
      </c>
      <c r="C20" s="100">
        <v>8.32</v>
      </c>
      <c r="D20" s="100">
        <v>4.16</v>
      </c>
      <c r="E20" s="100">
        <v>4.53</v>
      </c>
      <c r="F20" s="100">
        <v>3.06</v>
      </c>
      <c r="G20" s="100">
        <v>46.71</v>
      </c>
      <c r="H20" s="100">
        <v>13.01</v>
      </c>
      <c r="I20" s="100">
        <v>4.5599999999999996</v>
      </c>
      <c r="J20" s="100">
        <v>0.53</v>
      </c>
      <c r="K20" s="100">
        <v>252.33</v>
      </c>
      <c r="L20" s="100">
        <v>28.42</v>
      </c>
      <c r="M20" s="100">
        <v>72.5</v>
      </c>
      <c r="N20" s="100">
        <v>1.9</v>
      </c>
      <c r="O20" s="100">
        <v>0</v>
      </c>
      <c r="P20" s="100">
        <v>0.31</v>
      </c>
      <c r="Q20" s="100">
        <v>9.91</v>
      </c>
      <c r="R20" s="6"/>
      <c r="S20" s="6"/>
      <c r="T20" s="156"/>
      <c r="U20" s="6"/>
    </row>
    <row r="21" spans="1:21" customFormat="1">
      <c r="A21" s="163" t="s">
        <v>2268</v>
      </c>
      <c r="B21" s="100">
        <v>4.2</v>
      </c>
      <c r="C21" s="100">
        <v>8.1300000000000008</v>
      </c>
      <c r="D21" s="100">
        <v>3.93</v>
      </c>
      <c r="E21" s="100">
        <v>4.67</v>
      </c>
      <c r="F21" s="100">
        <v>3.81</v>
      </c>
      <c r="G21" s="100">
        <v>47.7</v>
      </c>
      <c r="H21" s="100">
        <v>11.86</v>
      </c>
      <c r="I21" s="100">
        <v>4.54</v>
      </c>
      <c r="J21" s="100">
        <v>0.59</v>
      </c>
      <c r="K21" s="100">
        <v>254.9</v>
      </c>
      <c r="L21" s="100">
        <v>28.41</v>
      </c>
      <c r="M21" s="100">
        <v>72.430000000000007</v>
      </c>
      <c r="N21" s="100">
        <v>2</v>
      </c>
      <c r="O21" s="100">
        <v>0</v>
      </c>
      <c r="P21" s="100">
        <v>0.31</v>
      </c>
      <c r="Q21" s="100">
        <v>9.91</v>
      </c>
      <c r="R21" s="6"/>
      <c r="S21" s="6"/>
      <c r="T21" s="156"/>
      <c r="U21" s="6"/>
    </row>
    <row r="22" spans="1:21" customFormat="1">
      <c r="A22" s="163" t="s">
        <v>2269</v>
      </c>
      <c r="B22" s="100">
        <v>4.18</v>
      </c>
      <c r="C22" s="100">
        <v>8.41</v>
      </c>
      <c r="D22" s="100">
        <v>4.2300000000000004</v>
      </c>
      <c r="E22" s="100">
        <v>4.57</v>
      </c>
      <c r="F22" s="100">
        <v>2.1</v>
      </c>
      <c r="G22" s="100">
        <v>50.12</v>
      </c>
      <c r="H22" s="100">
        <v>9.91</v>
      </c>
      <c r="I22" s="100">
        <v>4.5999999999999996</v>
      </c>
      <c r="J22" s="100">
        <v>0.68</v>
      </c>
      <c r="K22" s="100">
        <v>253.73</v>
      </c>
      <c r="L22" s="100">
        <v>28.38</v>
      </c>
      <c r="M22" s="100">
        <v>72.510000000000005</v>
      </c>
      <c r="N22" s="100">
        <v>2.1</v>
      </c>
      <c r="O22" s="100">
        <v>0</v>
      </c>
      <c r="P22" s="100">
        <v>0.32</v>
      </c>
      <c r="Q22" s="100">
        <v>9.91</v>
      </c>
      <c r="R22" s="6"/>
      <c r="S22" s="6"/>
      <c r="T22" s="156"/>
      <c r="U22" s="6"/>
    </row>
    <row r="23" spans="1:21" customFormat="1">
      <c r="A23" s="163" t="s">
        <v>2270</v>
      </c>
      <c r="B23" s="100">
        <v>4.26</v>
      </c>
      <c r="C23" s="100">
        <v>8.26</v>
      </c>
      <c r="D23" s="100">
        <v>4</v>
      </c>
      <c r="E23" s="100">
        <v>4.59</v>
      </c>
      <c r="F23" s="100">
        <v>2.44</v>
      </c>
      <c r="G23" s="100">
        <v>50.12</v>
      </c>
      <c r="H23" s="100">
        <v>9.91</v>
      </c>
      <c r="I23" s="100">
        <v>4.4000000000000004</v>
      </c>
      <c r="J23" s="100">
        <v>0.6</v>
      </c>
      <c r="K23" s="100">
        <v>258.7</v>
      </c>
      <c r="L23" s="100">
        <v>28.31</v>
      </c>
      <c r="M23" s="100">
        <v>72.86</v>
      </c>
      <c r="N23" s="100">
        <v>1.9</v>
      </c>
      <c r="O23" s="100">
        <v>0</v>
      </c>
      <c r="P23" s="100">
        <v>0.35</v>
      </c>
      <c r="Q23" s="100">
        <v>9.92</v>
      </c>
      <c r="R23" s="6"/>
      <c r="S23" s="6"/>
      <c r="T23" s="156"/>
      <c r="U23" s="6"/>
    </row>
    <row r="24" spans="1:21" customFormat="1">
      <c r="A24" s="163" t="s">
        <v>2271</v>
      </c>
      <c r="B24" s="100">
        <v>4.3600000000000003</v>
      </c>
      <c r="C24" s="100">
        <v>7.97</v>
      </c>
      <c r="D24" s="100">
        <v>3.61</v>
      </c>
      <c r="E24" s="100">
        <v>4.62</v>
      </c>
      <c r="F24" s="100">
        <v>4.09</v>
      </c>
      <c r="G24" s="100">
        <v>50.12</v>
      </c>
      <c r="H24" s="100">
        <v>9.91</v>
      </c>
      <c r="I24" s="100">
        <v>4.41</v>
      </c>
      <c r="J24" s="100">
        <v>0.53</v>
      </c>
      <c r="K24" s="100">
        <v>250.89</v>
      </c>
      <c r="L24" s="100">
        <v>28.28</v>
      </c>
      <c r="M24" s="100">
        <v>72.89</v>
      </c>
      <c r="N24" s="100">
        <v>2.1</v>
      </c>
      <c r="O24" s="100">
        <v>0</v>
      </c>
      <c r="P24" s="100">
        <v>0.37</v>
      </c>
      <c r="Q24" s="100">
        <v>9.92</v>
      </c>
      <c r="R24" s="6"/>
      <c r="S24" s="6"/>
      <c r="T24" s="156"/>
      <c r="U24" s="6"/>
    </row>
    <row r="25" spans="1:21" customFormat="1">
      <c r="A25" s="163" t="s">
        <v>2272</v>
      </c>
      <c r="B25" s="100">
        <v>4.3899999999999997</v>
      </c>
      <c r="C25" s="100">
        <v>7.94</v>
      </c>
      <c r="D25" s="100">
        <v>3.55</v>
      </c>
      <c r="E25" s="100">
        <v>4.93</v>
      </c>
      <c r="F25" s="100">
        <v>4.2699999999999996</v>
      </c>
      <c r="G25" s="100">
        <v>47.83</v>
      </c>
      <c r="H25" s="100">
        <v>10.25</v>
      </c>
      <c r="I25" s="100">
        <v>4.7300000000000004</v>
      </c>
      <c r="J25" s="100">
        <v>0.59</v>
      </c>
      <c r="K25" s="100">
        <v>256.58</v>
      </c>
      <c r="L25" s="100">
        <v>28.2</v>
      </c>
      <c r="M25" s="100">
        <v>72.849999999999994</v>
      </c>
      <c r="N25" s="100">
        <v>2.1</v>
      </c>
      <c r="O25" s="100">
        <v>0</v>
      </c>
      <c r="P25" s="100">
        <v>0.37</v>
      </c>
      <c r="Q25" s="100">
        <v>9.92</v>
      </c>
      <c r="R25" s="6"/>
      <c r="S25" s="6"/>
      <c r="T25" s="156"/>
      <c r="U25" s="6"/>
    </row>
    <row r="26" spans="1:21" customFormat="1">
      <c r="A26" s="163" t="s">
        <v>2273</v>
      </c>
      <c r="B26" s="100">
        <v>4.55</v>
      </c>
      <c r="C26" s="100">
        <v>7.82</v>
      </c>
      <c r="D26" s="100">
        <v>3.27</v>
      </c>
      <c r="E26" s="100">
        <v>4.67</v>
      </c>
      <c r="F26" s="100">
        <v>3.05</v>
      </c>
      <c r="G26" s="100">
        <v>42.18</v>
      </c>
      <c r="H26" s="100">
        <v>11.66</v>
      </c>
      <c r="I26" s="100">
        <v>5.34</v>
      </c>
      <c r="J26" s="100">
        <v>0.69</v>
      </c>
      <c r="K26" s="100">
        <v>255.24</v>
      </c>
      <c r="L26" s="100">
        <v>28.01</v>
      </c>
      <c r="M26" s="100">
        <v>72.67</v>
      </c>
      <c r="N26" s="100">
        <v>2.1</v>
      </c>
      <c r="O26" s="100">
        <v>0</v>
      </c>
      <c r="P26" s="100">
        <v>0.38</v>
      </c>
      <c r="Q26" s="100">
        <v>9.91</v>
      </c>
      <c r="R26" s="6"/>
      <c r="S26" s="6"/>
      <c r="T26" s="156"/>
      <c r="U26" s="6"/>
    </row>
    <row r="27" spans="1:21" customFormat="1">
      <c r="A27" s="163" t="s">
        <v>2274</v>
      </c>
      <c r="B27" s="100">
        <v>4.72</v>
      </c>
      <c r="C27" s="100">
        <v>7.93</v>
      </c>
      <c r="D27" s="100">
        <v>3.21</v>
      </c>
      <c r="E27" s="100">
        <v>4.13</v>
      </c>
      <c r="F27" s="100">
        <v>2.4</v>
      </c>
      <c r="G27" s="100">
        <v>42.18</v>
      </c>
      <c r="H27" s="100">
        <v>11.66</v>
      </c>
      <c r="I27" s="100">
        <v>5.41</v>
      </c>
      <c r="J27" s="100">
        <v>0.81</v>
      </c>
      <c r="K27" s="100">
        <v>252.96</v>
      </c>
      <c r="L27" s="100">
        <v>27.66</v>
      </c>
      <c r="M27" s="100">
        <v>72.569999999999993</v>
      </c>
      <c r="N27" s="100">
        <v>2.1</v>
      </c>
      <c r="O27" s="100">
        <v>0</v>
      </c>
      <c r="P27" s="100">
        <v>0.36</v>
      </c>
      <c r="Q27" s="100">
        <v>9.9</v>
      </c>
      <c r="R27" s="6"/>
      <c r="S27" s="6"/>
      <c r="T27" s="156"/>
      <c r="U27" s="6"/>
    </row>
    <row r="28" spans="1:21" customFormat="1">
      <c r="A28" s="163" t="s">
        <v>2275</v>
      </c>
      <c r="B28" s="100">
        <v>4.8</v>
      </c>
      <c r="C28" s="100">
        <v>7.58</v>
      </c>
      <c r="D28" s="100">
        <v>2.78</v>
      </c>
      <c r="E28" s="100">
        <v>3.7</v>
      </c>
      <c r="F28" s="100">
        <v>2.97</v>
      </c>
      <c r="G28" s="100">
        <v>42.18</v>
      </c>
      <c r="H28" s="100">
        <v>11.66</v>
      </c>
      <c r="I28" s="100">
        <v>5.23</v>
      </c>
      <c r="J28" s="100">
        <v>0.9</v>
      </c>
      <c r="K28" s="100">
        <v>258.25</v>
      </c>
      <c r="L28" s="100">
        <v>27.44</v>
      </c>
      <c r="M28" s="100">
        <v>72.37</v>
      </c>
      <c r="N28" s="100">
        <v>2.1</v>
      </c>
      <c r="O28" s="100">
        <v>0</v>
      </c>
      <c r="P28" s="100">
        <v>0.35</v>
      </c>
      <c r="Q28" s="100">
        <v>9.92</v>
      </c>
      <c r="R28" s="6"/>
      <c r="S28" s="6"/>
      <c r="T28" s="156"/>
      <c r="U28" s="6"/>
    </row>
    <row r="29" spans="1:21" customFormat="1">
      <c r="A29" s="163" t="s">
        <v>2276</v>
      </c>
      <c r="B29" s="100">
        <v>4.8099999999999996</v>
      </c>
      <c r="C29" s="100">
        <v>7.31</v>
      </c>
      <c r="D29" s="100">
        <v>2.5</v>
      </c>
      <c r="E29" s="100">
        <v>3.3</v>
      </c>
      <c r="F29" s="100">
        <v>3.96</v>
      </c>
      <c r="G29" s="100">
        <v>39.99</v>
      </c>
      <c r="H29" s="100">
        <v>10.8</v>
      </c>
      <c r="I29" s="100">
        <v>4.9800000000000004</v>
      </c>
      <c r="J29" s="100">
        <v>0.91</v>
      </c>
      <c r="K29" s="100">
        <v>257.23</v>
      </c>
      <c r="L29" s="100">
        <v>27.37</v>
      </c>
      <c r="M29" s="100">
        <v>73.02</v>
      </c>
      <c r="N29" s="100">
        <v>2.2000000000000002</v>
      </c>
      <c r="O29" s="100">
        <v>0</v>
      </c>
      <c r="P29" s="100">
        <v>0.33</v>
      </c>
      <c r="Q29" s="100">
        <v>9.92</v>
      </c>
      <c r="R29" s="6"/>
      <c r="S29" s="6"/>
      <c r="T29" s="156"/>
      <c r="U29" s="6"/>
    </row>
    <row r="30" spans="1:21" customFormat="1">
      <c r="A30" s="163" t="s">
        <v>2277</v>
      </c>
      <c r="B30" s="100">
        <v>4.74</v>
      </c>
      <c r="C30" s="100">
        <v>7.49</v>
      </c>
      <c r="D30" s="100">
        <v>2.75</v>
      </c>
      <c r="E30" s="100">
        <v>3.54</v>
      </c>
      <c r="F30" s="100">
        <v>2.85</v>
      </c>
      <c r="G30" s="100">
        <v>34.58</v>
      </c>
      <c r="H30" s="100">
        <v>9.4</v>
      </c>
      <c r="I30" s="100">
        <v>4.97</v>
      </c>
      <c r="J30" s="100">
        <v>1.07</v>
      </c>
      <c r="K30" s="100">
        <v>257.33</v>
      </c>
      <c r="L30" s="100">
        <v>27.06</v>
      </c>
      <c r="M30" s="100">
        <v>74.849999999999994</v>
      </c>
      <c r="N30" s="100">
        <v>4.5</v>
      </c>
      <c r="O30" s="100">
        <v>0</v>
      </c>
      <c r="P30" s="100">
        <v>0.36</v>
      </c>
      <c r="Q30" s="100">
        <v>9.92</v>
      </c>
      <c r="R30" s="6"/>
      <c r="S30" s="6"/>
      <c r="T30" s="156"/>
      <c r="U30" s="6"/>
    </row>
    <row r="31" spans="1:21" customFormat="1">
      <c r="A31" s="163" t="s">
        <v>2278</v>
      </c>
      <c r="B31" s="100">
        <v>4.7300000000000004</v>
      </c>
      <c r="C31" s="100">
        <v>7.54</v>
      </c>
      <c r="D31" s="100">
        <v>2.81</v>
      </c>
      <c r="E31" s="100">
        <v>3.74</v>
      </c>
      <c r="F31" s="100">
        <v>2.37</v>
      </c>
      <c r="G31" s="100">
        <v>34.58</v>
      </c>
      <c r="H31" s="100">
        <v>9.4</v>
      </c>
      <c r="I31" s="100">
        <v>4.72</v>
      </c>
      <c r="J31" s="100">
        <v>0.66</v>
      </c>
      <c r="K31" s="100">
        <v>263.14</v>
      </c>
      <c r="L31" s="100">
        <v>26.96</v>
      </c>
      <c r="M31" s="100">
        <v>76.180000000000007</v>
      </c>
      <c r="N31" s="100">
        <v>13.9</v>
      </c>
      <c r="O31" s="100">
        <v>0</v>
      </c>
      <c r="P31" s="100">
        <v>0.34</v>
      </c>
      <c r="Q31" s="100">
        <v>9.91</v>
      </c>
      <c r="R31" s="6"/>
      <c r="S31" s="6"/>
      <c r="T31" s="156"/>
      <c r="U31" s="6"/>
    </row>
    <row r="32" spans="1:21" customFormat="1">
      <c r="A32" s="163" t="s">
        <v>2279</v>
      </c>
      <c r="B32" s="100">
        <v>4.71</v>
      </c>
      <c r="C32" s="100">
        <v>7.06</v>
      </c>
      <c r="D32" s="100">
        <v>2.35</v>
      </c>
      <c r="E32" s="100">
        <v>3.39</v>
      </c>
      <c r="F32" s="100">
        <v>3.26</v>
      </c>
      <c r="G32" s="100">
        <v>34.58</v>
      </c>
      <c r="H32" s="100">
        <v>9.4</v>
      </c>
      <c r="I32" s="100">
        <v>4.88</v>
      </c>
      <c r="J32" s="100">
        <v>0.72</v>
      </c>
      <c r="K32" s="100">
        <v>255.58</v>
      </c>
      <c r="L32" s="100">
        <v>26.96</v>
      </c>
      <c r="M32" s="100">
        <v>76.45</v>
      </c>
      <c r="N32" s="100">
        <v>27</v>
      </c>
      <c r="O32" s="100">
        <v>0</v>
      </c>
      <c r="P32" s="100">
        <v>0.32</v>
      </c>
      <c r="Q32" s="100">
        <v>9.92</v>
      </c>
      <c r="R32" s="6"/>
      <c r="S32" s="6"/>
      <c r="T32" s="156"/>
      <c r="U32" s="6"/>
    </row>
    <row r="33" spans="1:21" customFormat="1">
      <c r="A33" s="163" t="s">
        <v>2280</v>
      </c>
      <c r="B33" s="100">
        <v>4.68</v>
      </c>
      <c r="C33" s="100">
        <v>7.1</v>
      </c>
      <c r="D33" s="100">
        <v>2.42</v>
      </c>
      <c r="E33" s="100">
        <v>3.22</v>
      </c>
      <c r="F33" s="100">
        <v>3.06</v>
      </c>
      <c r="G33" s="100">
        <v>32.96</v>
      </c>
      <c r="H33" s="100">
        <v>8.84</v>
      </c>
      <c r="I33" s="100">
        <v>4.62</v>
      </c>
      <c r="J33" s="100">
        <v>0.81</v>
      </c>
      <c r="K33" s="100">
        <v>254.07</v>
      </c>
      <c r="L33" s="100">
        <v>27.23</v>
      </c>
      <c r="M33" s="100">
        <v>76.3</v>
      </c>
      <c r="N33" s="100">
        <v>52.2</v>
      </c>
      <c r="O33" s="100">
        <v>0</v>
      </c>
      <c r="P33" s="100">
        <v>0.35</v>
      </c>
      <c r="Q33" s="100">
        <v>9.91</v>
      </c>
      <c r="R33" s="6"/>
      <c r="S33" s="6"/>
      <c r="T33" s="156"/>
      <c r="U33" s="6"/>
    </row>
    <row r="34" spans="1:21" customFormat="1">
      <c r="A34" s="163" t="s">
        <v>2281</v>
      </c>
      <c r="B34" s="100">
        <v>4.67</v>
      </c>
      <c r="C34" s="100">
        <v>7.46</v>
      </c>
      <c r="D34" s="100">
        <v>2.79</v>
      </c>
      <c r="E34" s="100">
        <v>3.29</v>
      </c>
      <c r="F34" s="100">
        <v>2.1</v>
      </c>
      <c r="G34" s="100">
        <v>28.96</v>
      </c>
      <c r="H34" s="100">
        <v>7.92</v>
      </c>
      <c r="I34" s="100">
        <v>4.53</v>
      </c>
      <c r="J34" s="100">
        <v>0.87</v>
      </c>
      <c r="K34" s="100">
        <v>252.99</v>
      </c>
      <c r="L34" s="100">
        <v>27.46</v>
      </c>
      <c r="M34" s="100">
        <v>75.430000000000007</v>
      </c>
      <c r="N34" s="100">
        <v>76</v>
      </c>
      <c r="O34" s="100">
        <v>0</v>
      </c>
      <c r="P34" s="100">
        <v>0.34</v>
      </c>
      <c r="Q34" s="100">
        <v>9.93</v>
      </c>
      <c r="R34" s="6"/>
      <c r="S34" s="6"/>
      <c r="T34" s="156"/>
      <c r="U34" s="6"/>
    </row>
    <row r="35" spans="1:21" customFormat="1">
      <c r="A35" s="163" t="s">
        <v>2282</v>
      </c>
      <c r="B35" s="100">
        <v>4.76</v>
      </c>
      <c r="C35" s="100">
        <v>7.18</v>
      </c>
      <c r="D35" s="100">
        <v>2.42</v>
      </c>
      <c r="E35" s="100">
        <v>3.16</v>
      </c>
      <c r="F35" s="100">
        <v>3.36</v>
      </c>
      <c r="G35" s="100">
        <v>28.96</v>
      </c>
      <c r="H35" s="100">
        <v>7.92</v>
      </c>
      <c r="I35" s="100">
        <v>4.62</v>
      </c>
      <c r="J35" s="100">
        <v>0.89</v>
      </c>
      <c r="K35" s="100">
        <v>253.56</v>
      </c>
      <c r="L35" s="100">
        <v>27.7</v>
      </c>
      <c r="M35" s="100">
        <v>74.400000000000006</v>
      </c>
      <c r="N35" s="100">
        <v>105</v>
      </c>
      <c r="O35" s="100">
        <v>0</v>
      </c>
      <c r="P35" s="100">
        <v>0.32</v>
      </c>
      <c r="Q35" s="100">
        <v>9.93</v>
      </c>
      <c r="R35" s="6"/>
      <c r="S35" s="6"/>
      <c r="T35" s="156"/>
      <c r="U35" s="6"/>
    </row>
    <row r="36" spans="1:21" customFormat="1">
      <c r="A36" s="163" t="s">
        <v>2283</v>
      </c>
      <c r="B36" s="100">
        <v>4.72</v>
      </c>
      <c r="C36" s="100">
        <v>6.93</v>
      </c>
      <c r="D36" s="100">
        <v>2.21</v>
      </c>
      <c r="E36" s="100">
        <v>3.03</v>
      </c>
      <c r="F36" s="100">
        <v>3.56</v>
      </c>
      <c r="G36" s="100">
        <v>28.96</v>
      </c>
      <c r="H36" s="100">
        <v>7.92</v>
      </c>
      <c r="I36" s="100">
        <v>4.5</v>
      </c>
      <c r="J36" s="100">
        <v>0.9</v>
      </c>
      <c r="K36" s="100">
        <v>256.45</v>
      </c>
      <c r="L36" s="100">
        <v>28.15</v>
      </c>
      <c r="M36" s="100">
        <v>72.81</v>
      </c>
      <c r="N36" s="100">
        <v>130.30000000000001</v>
      </c>
      <c r="O36" s="100">
        <v>0</v>
      </c>
      <c r="P36" s="100">
        <v>0.33</v>
      </c>
      <c r="Q36" s="100">
        <v>9.93</v>
      </c>
      <c r="R36" s="6"/>
      <c r="S36" s="6"/>
      <c r="T36" s="156"/>
      <c r="U36" s="6"/>
    </row>
    <row r="37" spans="1:21" customFormat="1">
      <c r="A37" s="163" t="s">
        <v>2284</v>
      </c>
      <c r="B37" s="100">
        <v>4.59</v>
      </c>
      <c r="C37" s="100">
        <v>7.2</v>
      </c>
      <c r="D37" s="100">
        <v>2.61</v>
      </c>
      <c r="E37" s="100">
        <v>3.44</v>
      </c>
      <c r="F37" s="100">
        <v>2.44</v>
      </c>
      <c r="G37" s="100">
        <v>29.99</v>
      </c>
      <c r="H37" s="100">
        <v>7.4</v>
      </c>
      <c r="I37" s="100">
        <v>4.42</v>
      </c>
      <c r="J37" s="100">
        <v>0.95</v>
      </c>
      <c r="K37" s="100">
        <v>253.38</v>
      </c>
      <c r="L37" s="100">
        <v>28.4</v>
      </c>
      <c r="M37" s="100">
        <v>72.2</v>
      </c>
      <c r="N37" s="100">
        <v>128.1</v>
      </c>
      <c r="O37" s="100">
        <v>0</v>
      </c>
      <c r="P37" s="100">
        <v>0.34</v>
      </c>
      <c r="Q37" s="100">
        <v>9.91</v>
      </c>
      <c r="R37" s="6"/>
      <c r="S37" s="6"/>
      <c r="T37" s="156"/>
      <c r="U37" s="6"/>
    </row>
    <row r="38" spans="1:21" customFormat="1">
      <c r="A38" s="163" t="s">
        <v>2285</v>
      </c>
      <c r="B38" s="100">
        <v>4.59</v>
      </c>
      <c r="C38" s="100">
        <v>6.99</v>
      </c>
      <c r="D38" s="100">
        <v>2.4</v>
      </c>
      <c r="E38" s="100">
        <v>3.21</v>
      </c>
      <c r="F38" s="100">
        <v>4.1399999999999997</v>
      </c>
      <c r="G38" s="100">
        <v>32.5</v>
      </c>
      <c r="H38" s="100">
        <v>6.55</v>
      </c>
      <c r="I38" s="100">
        <v>4.42</v>
      </c>
      <c r="J38" s="100">
        <v>0.68</v>
      </c>
      <c r="K38" s="100">
        <v>255.75</v>
      </c>
      <c r="L38" s="100">
        <v>28.65</v>
      </c>
      <c r="M38" s="100">
        <v>71.83</v>
      </c>
      <c r="N38" s="100">
        <v>127.1</v>
      </c>
      <c r="O38" s="100">
        <v>0</v>
      </c>
      <c r="P38" s="100">
        <v>0.32</v>
      </c>
      <c r="Q38" s="100">
        <v>9.91</v>
      </c>
      <c r="R38" s="6"/>
      <c r="S38" s="6"/>
      <c r="T38" s="156"/>
      <c r="U38" s="6"/>
    </row>
    <row r="39" spans="1:21" customFormat="1">
      <c r="A39" s="163" t="s">
        <v>2286</v>
      </c>
      <c r="B39" s="100">
        <v>4.47</v>
      </c>
      <c r="C39" s="100">
        <v>6.81</v>
      </c>
      <c r="D39" s="100">
        <v>2.34</v>
      </c>
      <c r="E39" s="100">
        <v>3.47</v>
      </c>
      <c r="F39" s="100">
        <v>3.08</v>
      </c>
      <c r="G39" s="100">
        <v>32.5</v>
      </c>
      <c r="H39" s="100">
        <v>6.55</v>
      </c>
      <c r="I39" s="100">
        <v>4.33</v>
      </c>
      <c r="J39" s="100">
        <v>1</v>
      </c>
      <c r="K39" s="100">
        <v>257.24</v>
      </c>
      <c r="L39" s="100">
        <v>28.77</v>
      </c>
      <c r="M39" s="100">
        <v>70.89</v>
      </c>
      <c r="N39" s="100">
        <v>135.6</v>
      </c>
      <c r="O39" s="100">
        <v>0</v>
      </c>
      <c r="P39" s="100">
        <v>0.31</v>
      </c>
      <c r="Q39" s="100">
        <v>9.91</v>
      </c>
      <c r="R39" s="6"/>
      <c r="S39" s="6"/>
      <c r="T39" s="156"/>
      <c r="U39" s="6"/>
    </row>
    <row r="40" spans="1:21" customFormat="1">
      <c r="A40" s="163" t="s">
        <v>2287</v>
      </c>
      <c r="B40" s="100">
        <v>4.3899999999999997</v>
      </c>
      <c r="C40" s="100">
        <v>7.13</v>
      </c>
      <c r="D40" s="100">
        <v>2.74</v>
      </c>
      <c r="E40" s="100">
        <v>3.24</v>
      </c>
      <c r="F40" s="100">
        <v>2.7</v>
      </c>
      <c r="G40" s="100">
        <v>32.5</v>
      </c>
      <c r="H40" s="100">
        <v>6.55</v>
      </c>
      <c r="I40" s="100">
        <v>4.29</v>
      </c>
      <c r="J40" s="100">
        <v>0.84</v>
      </c>
      <c r="K40" s="100">
        <v>256.14</v>
      </c>
      <c r="L40" s="100">
        <v>28.93</v>
      </c>
      <c r="M40" s="100">
        <v>70.48</v>
      </c>
      <c r="N40" s="100">
        <v>144.30000000000001</v>
      </c>
      <c r="O40" s="100">
        <v>0</v>
      </c>
      <c r="P40" s="100">
        <v>0.34</v>
      </c>
      <c r="Q40" s="100">
        <v>9.9</v>
      </c>
      <c r="R40" s="6"/>
      <c r="S40" s="6"/>
      <c r="T40" s="156"/>
      <c r="U40" s="6"/>
    </row>
    <row r="41" spans="1:21" customFormat="1">
      <c r="A41" s="163" t="s">
        <v>2288</v>
      </c>
      <c r="B41" s="100">
        <v>4.4800000000000004</v>
      </c>
      <c r="C41" s="100">
        <v>7.79</v>
      </c>
      <c r="D41" s="100">
        <v>3.31</v>
      </c>
      <c r="E41" s="100">
        <v>3.51</v>
      </c>
      <c r="F41" s="100">
        <v>2.58</v>
      </c>
      <c r="G41" s="100">
        <v>32.29</v>
      </c>
      <c r="H41" s="100">
        <v>7.74</v>
      </c>
      <c r="I41" s="100">
        <v>4.21</v>
      </c>
      <c r="J41" s="100">
        <v>0.72</v>
      </c>
      <c r="K41" s="100">
        <v>253.57</v>
      </c>
      <c r="L41" s="100">
        <v>29.3</v>
      </c>
      <c r="M41" s="100">
        <v>69.34</v>
      </c>
      <c r="N41" s="100">
        <v>176.7</v>
      </c>
      <c r="O41" s="100">
        <v>0</v>
      </c>
      <c r="P41" s="100">
        <v>0.32</v>
      </c>
      <c r="Q41" s="100">
        <v>9.9</v>
      </c>
      <c r="R41" s="6"/>
      <c r="S41" s="6"/>
      <c r="T41" s="156"/>
      <c r="U41" s="6"/>
    </row>
    <row r="42" spans="1:21" customFormat="1">
      <c r="A42" s="163" t="s">
        <v>2289</v>
      </c>
      <c r="B42" s="100">
        <v>4.4800000000000004</v>
      </c>
      <c r="C42" s="100">
        <v>8.69</v>
      </c>
      <c r="D42" s="100">
        <v>4.21</v>
      </c>
      <c r="E42" s="100">
        <v>3.63</v>
      </c>
      <c r="F42" s="100">
        <v>2.2200000000000002</v>
      </c>
      <c r="G42" s="100">
        <v>31.78</v>
      </c>
      <c r="H42" s="100">
        <v>9.6999999999999993</v>
      </c>
      <c r="I42" s="100">
        <v>4.3499999999999996</v>
      </c>
      <c r="J42" s="100">
        <v>0.9</v>
      </c>
      <c r="K42" s="100">
        <v>263.77999999999997</v>
      </c>
      <c r="L42" s="100">
        <v>29.28</v>
      </c>
      <c r="M42" s="100">
        <v>68.819999999999993</v>
      </c>
      <c r="N42" s="100">
        <v>187</v>
      </c>
      <c r="O42" s="100">
        <v>0</v>
      </c>
      <c r="P42" s="100">
        <v>0.3</v>
      </c>
      <c r="Q42" s="100">
        <v>9.89</v>
      </c>
      <c r="R42" s="6"/>
      <c r="S42" s="6"/>
      <c r="T42" s="156"/>
      <c r="U42" s="6"/>
    </row>
    <row r="43" spans="1:21" customFormat="1">
      <c r="A43" s="163" t="s">
        <v>2290</v>
      </c>
      <c r="B43" s="100">
        <v>4.43</v>
      </c>
      <c r="C43" s="100">
        <v>8.84</v>
      </c>
      <c r="D43" s="100">
        <v>4.4000000000000004</v>
      </c>
      <c r="E43" s="100">
        <v>3.5</v>
      </c>
      <c r="F43" s="100">
        <v>2.23</v>
      </c>
      <c r="G43" s="100">
        <v>31.78</v>
      </c>
      <c r="H43" s="100">
        <v>9.6999999999999993</v>
      </c>
      <c r="I43" s="100">
        <v>4.37</v>
      </c>
      <c r="J43" s="100">
        <v>1.1299999999999999</v>
      </c>
      <c r="K43" s="100">
        <v>252.56</v>
      </c>
      <c r="L43" s="100">
        <v>29.24</v>
      </c>
      <c r="M43" s="100">
        <v>68.27</v>
      </c>
      <c r="N43" s="100">
        <v>189.5</v>
      </c>
      <c r="O43" s="100">
        <v>0</v>
      </c>
      <c r="P43" s="100">
        <v>0.28999999999999998</v>
      </c>
      <c r="Q43" s="100">
        <v>9.91</v>
      </c>
      <c r="R43" s="6"/>
      <c r="S43" s="6"/>
      <c r="T43" s="156"/>
      <c r="U43" s="6"/>
    </row>
    <row r="44" spans="1:21" customFormat="1">
      <c r="A44" s="163" t="s">
        <v>2291</v>
      </c>
      <c r="B44" s="100">
        <v>4.37</v>
      </c>
      <c r="C44" s="100">
        <v>8.8800000000000008</v>
      </c>
      <c r="D44" s="100">
        <v>4.51</v>
      </c>
      <c r="E44" s="100">
        <v>3.71</v>
      </c>
      <c r="F44" s="100">
        <v>2.39</v>
      </c>
      <c r="G44" s="100">
        <v>31.78</v>
      </c>
      <c r="H44" s="100">
        <v>9.6999999999999993</v>
      </c>
      <c r="I44" s="100">
        <v>4.41</v>
      </c>
      <c r="J44" s="100">
        <v>1.23</v>
      </c>
      <c r="K44" s="100">
        <v>262.39</v>
      </c>
      <c r="L44" s="100">
        <v>29.7</v>
      </c>
      <c r="M44" s="100">
        <v>67.02</v>
      </c>
      <c r="N44" s="100">
        <v>248.1</v>
      </c>
      <c r="O44" s="100">
        <v>0</v>
      </c>
      <c r="P44" s="100">
        <v>0.31</v>
      </c>
      <c r="Q44" s="100">
        <v>9.91</v>
      </c>
      <c r="R44" s="6"/>
      <c r="S44" s="6"/>
      <c r="T44" s="156"/>
      <c r="U44" s="6"/>
    </row>
    <row r="45" spans="1:21" customFormat="1">
      <c r="A45" s="163" t="s">
        <v>2292</v>
      </c>
      <c r="B45" s="100">
        <v>4.41</v>
      </c>
      <c r="C45" s="100">
        <v>8.93</v>
      </c>
      <c r="D45" s="100">
        <v>4.5199999999999996</v>
      </c>
      <c r="E45" s="100">
        <v>3.76</v>
      </c>
      <c r="F45" s="100">
        <v>2.72</v>
      </c>
      <c r="G45" s="100">
        <v>34.56</v>
      </c>
      <c r="H45" s="100">
        <v>9.42</v>
      </c>
      <c r="I45" s="100">
        <v>4.55</v>
      </c>
      <c r="J45" s="100">
        <v>0.97</v>
      </c>
      <c r="K45" s="100">
        <v>261.58999999999997</v>
      </c>
      <c r="L45" s="100">
        <v>29.95</v>
      </c>
      <c r="M45" s="100">
        <v>67</v>
      </c>
      <c r="N45" s="100">
        <v>245.3</v>
      </c>
      <c r="O45" s="100">
        <v>0</v>
      </c>
      <c r="P45" s="100">
        <v>0.32</v>
      </c>
      <c r="Q45" s="100">
        <v>9.91</v>
      </c>
      <c r="R45" s="6"/>
      <c r="S45" s="6"/>
      <c r="T45" s="156"/>
      <c r="U45" s="6"/>
    </row>
    <row r="46" spans="1:21" customFormat="1">
      <c r="A46" s="163" t="s">
        <v>2293</v>
      </c>
      <c r="B46" s="100">
        <v>4.34</v>
      </c>
      <c r="C46" s="100">
        <v>8.98</v>
      </c>
      <c r="D46" s="100">
        <v>4.6399999999999997</v>
      </c>
      <c r="E46" s="100">
        <v>3.84</v>
      </c>
      <c r="F46" s="100">
        <v>3.04</v>
      </c>
      <c r="G46" s="100">
        <v>41.39</v>
      </c>
      <c r="H46" s="100">
        <v>8.9600000000000009</v>
      </c>
      <c r="I46" s="100">
        <v>4.72</v>
      </c>
      <c r="J46" s="100">
        <v>1.01</v>
      </c>
      <c r="K46" s="100">
        <v>258.83999999999997</v>
      </c>
      <c r="L46" s="100">
        <v>30</v>
      </c>
      <c r="M46" s="100">
        <v>66.83</v>
      </c>
      <c r="N46" s="100">
        <v>238.3</v>
      </c>
      <c r="O46" s="100">
        <v>0</v>
      </c>
      <c r="P46" s="100">
        <v>0.33</v>
      </c>
      <c r="Q46" s="100">
        <v>9.93</v>
      </c>
      <c r="R46" s="6"/>
      <c r="S46" s="6"/>
      <c r="T46" s="156"/>
      <c r="U46" s="6"/>
    </row>
    <row r="47" spans="1:21" customFormat="1">
      <c r="A47" s="163" t="s">
        <v>2294</v>
      </c>
      <c r="B47" s="100">
        <v>4.2300000000000004</v>
      </c>
      <c r="C47" s="100">
        <v>8.6999999999999993</v>
      </c>
      <c r="D47" s="100">
        <v>4.47</v>
      </c>
      <c r="E47" s="100">
        <v>3.96</v>
      </c>
      <c r="F47" s="100">
        <v>2.96</v>
      </c>
      <c r="G47" s="100">
        <v>41.39</v>
      </c>
      <c r="H47" s="100">
        <v>8.9600000000000009</v>
      </c>
      <c r="I47" s="100">
        <v>4.95</v>
      </c>
      <c r="J47" s="100">
        <v>1.33</v>
      </c>
      <c r="K47" s="100">
        <v>256.82</v>
      </c>
      <c r="L47" s="100">
        <v>30.83</v>
      </c>
      <c r="M47" s="100">
        <v>62.67</v>
      </c>
      <c r="N47" s="100">
        <v>289.60000000000002</v>
      </c>
      <c r="O47" s="100">
        <v>0</v>
      </c>
      <c r="P47" s="100">
        <v>0.33</v>
      </c>
      <c r="Q47" s="100">
        <v>9.93</v>
      </c>
      <c r="R47" s="6"/>
      <c r="S47" s="6"/>
      <c r="T47" s="156"/>
      <c r="U47" s="6"/>
    </row>
    <row r="48" spans="1:21" customFormat="1">
      <c r="A48" s="163" t="s">
        <v>2295</v>
      </c>
      <c r="B48" s="100">
        <v>4.12</v>
      </c>
      <c r="C48" s="100">
        <v>8.61</v>
      </c>
      <c r="D48" s="100">
        <v>4.49</v>
      </c>
      <c r="E48" s="100">
        <v>4.03</v>
      </c>
      <c r="F48" s="100">
        <v>2.72</v>
      </c>
      <c r="G48" s="100">
        <v>41.39</v>
      </c>
      <c r="H48" s="100">
        <v>8.9600000000000009</v>
      </c>
      <c r="I48" s="100">
        <v>4.92</v>
      </c>
      <c r="J48" s="100">
        <v>1.26</v>
      </c>
      <c r="K48" s="100">
        <v>268.43</v>
      </c>
      <c r="L48" s="100">
        <v>31</v>
      </c>
      <c r="M48" s="100">
        <v>61.12</v>
      </c>
      <c r="N48" s="100">
        <v>252.7</v>
      </c>
      <c r="O48" s="100">
        <v>0</v>
      </c>
      <c r="P48" s="100">
        <v>0.33</v>
      </c>
      <c r="Q48" s="100">
        <v>9.92</v>
      </c>
      <c r="R48" s="6"/>
      <c r="S48" s="6"/>
      <c r="T48" s="156"/>
      <c r="U48" s="6"/>
    </row>
    <row r="49" spans="1:21" customFormat="1">
      <c r="A49" s="163" t="s">
        <v>2296</v>
      </c>
      <c r="B49" s="100">
        <v>4.01</v>
      </c>
      <c r="C49" s="100">
        <v>8.56</v>
      </c>
      <c r="D49" s="100">
        <v>4.55</v>
      </c>
      <c r="E49" s="100">
        <v>3.83</v>
      </c>
      <c r="F49" s="100">
        <v>3.66</v>
      </c>
      <c r="G49" s="100">
        <v>39.770000000000003</v>
      </c>
      <c r="H49" s="100">
        <v>9.3000000000000007</v>
      </c>
      <c r="I49" s="100">
        <v>4.84</v>
      </c>
      <c r="J49" s="100">
        <v>1.47</v>
      </c>
      <c r="K49" s="100">
        <v>254.65</v>
      </c>
      <c r="L49" s="100">
        <v>31.26</v>
      </c>
      <c r="M49" s="100">
        <v>60.96</v>
      </c>
      <c r="N49" s="100">
        <v>286.7</v>
      </c>
      <c r="O49" s="100">
        <v>0</v>
      </c>
      <c r="P49" s="100">
        <v>0.33</v>
      </c>
      <c r="Q49" s="100">
        <v>9.9</v>
      </c>
      <c r="R49" s="6"/>
      <c r="S49" s="6"/>
      <c r="T49" s="156"/>
      <c r="U49" s="6"/>
    </row>
    <row r="50" spans="1:21" customFormat="1">
      <c r="A50" s="163" t="s">
        <v>2297</v>
      </c>
      <c r="B50" s="100">
        <v>3.95</v>
      </c>
      <c r="C50" s="100">
        <v>8.57</v>
      </c>
      <c r="D50" s="100">
        <v>4.63</v>
      </c>
      <c r="E50" s="100">
        <v>4.82</v>
      </c>
      <c r="F50" s="100">
        <v>3.15</v>
      </c>
      <c r="G50" s="100">
        <v>35.79</v>
      </c>
      <c r="H50" s="100">
        <v>10.69</v>
      </c>
      <c r="I50" s="100">
        <v>4.95</v>
      </c>
      <c r="J50" s="100">
        <v>1.61</v>
      </c>
      <c r="K50" s="100">
        <v>266.93</v>
      </c>
      <c r="L50" s="100">
        <v>31.61</v>
      </c>
      <c r="M50" s="100">
        <v>59.98</v>
      </c>
      <c r="N50" s="100">
        <v>317.2</v>
      </c>
      <c r="O50" s="100">
        <v>0</v>
      </c>
      <c r="P50" s="100">
        <v>0.34</v>
      </c>
      <c r="Q50" s="100">
        <v>9.91</v>
      </c>
      <c r="R50" s="6"/>
      <c r="S50" s="6"/>
      <c r="T50" s="156"/>
      <c r="U50" s="6"/>
    </row>
    <row r="51" spans="1:21" customFormat="1">
      <c r="A51" s="163" t="s">
        <v>2298</v>
      </c>
      <c r="B51" s="100">
        <v>3.98</v>
      </c>
      <c r="C51" s="100">
        <v>8.33</v>
      </c>
      <c r="D51" s="100">
        <v>4.3499999999999996</v>
      </c>
      <c r="E51" s="100">
        <v>4.8099999999999996</v>
      </c>
      <c r="F51" s="100">
        <v>3.64</v>
      </c>
      <c r="G51" s="100">
        <v>35.79</v>
      </c>
      <c r="H51" s="100">
        <v>10.69</v>
      </c>
      <c r="I51" s="100">
        <v>5.0199999999999996</v>
      </c>
      <c r="J51" s="100">
        <v>1.45</v>
      </c>
      <c r="K51" s="100">
        <v>268.01</v>
      </c>
      <c r="L51" s="100">
        <v>31.51</v>
      </c>
      <c r="M51" s="100">
        <v>60.64</v>
      </c>
      <c r="N51" s="100">
        <v>272.5</v>
      </c>
      <c r="O51" s="100">
        <v>0</v>
      </c>
      <c r="P51" s="100">
        <v>0.35</v>
      </c>
      <c r="Q51" s="100">
        <v>9.91</v>
      </c>
      <c r="R51" s="6"/>
      <c r="S51" s="6"/>
      <c r="T51" s="156"/>
      <c r="U51" s="6"/>
    </row>
    <row r="52" spans="1:21" customFormat="1">
      <c r="A52" s="163" t="s">
        <v>2299</v>
      </c>
      <c r="B52" s="100">
        <v>4.01</v>
      </c>
      <c r="C52" s="100">
        <v>8.4700000000000006</v>
      </c>
      <c r="D52" s="100">
        <v>4.46</v>
      </c>
      <c r="E52" s="100">
        <v>4.55</v>
      </c>
      <c r="F52" s="100">
        <v>3.18</v>
      </c>
      <c r="G52" s="100">
        <v>35.79</v>
      </c>
      <c r="H52" s="100">
        <v>10.69</v>
      </c>
      <c r="I52" s="100">
        <v>5.26</v>
      </c>
      <c r="J52" s="100">
        <v>1.51</v>
      </c>
      <c r="K52" s="100">
        <v>271.51</v>
      </c>
      <c r="L52" s="100">
        <v>31.5</v>
      </c>
      <c r="M52" s="100">
        <v>59.95</v>
      </c>
      <c r="N52" s="100">
        <v>262.60000000000002</v>
      </c>
      <c r="O52" s="100">
        <v>0</v>
      </c>
      <c r="P52" s="100">
        <v>0.36</v>
      </c>
      <c r="Q52" s="100">
        <v>9.89</v>
      </c>
      <c r="R52" s="6"/>
      <c r="S52" s="6"/>
      <c r="T52" s="156"/>
      <c r="U52" s="6"/>
    </row>
    <row r="53" spans="1:21" customFormat="1">
      <c r="A53" s="163" t="s">
        <v>2300</v>
      </c>
      <c r="B53" s="100">
        <v>4.03</v>
      </c>
      <c r="C53" s="100">
        <v>8.6199999999999992</v>
      </c>
      <c r="D53" s="100">
        <v>4.59</v>
      </c>
      <c r="E53" s="100">
        <v>4.67</v>
      </c>
      <c r="F53" s="100">
        <v>3.1</v>
      </c>
      <c r="G53" s="100">
        <v>38.03</v>
      </c>
      <c r="H53" s="100">
        <v>11.02</v>
      </c>
      <c r="I53" s="100">
        <v>5.46</v>
      </c>
      <c r="J53" s="100">
        <v>1.36</v>
      </c>
      <c r="K53" s="100">
        <v>270.39999999999998</v>
      </c>
      <c r="L53" s="100">
        <v>31.4</v>
      </c>
      <c r="M53" s="100">
        <v>59.34</v>
      </c>
      <c r="N53" s="100">
        <v>304.2</v>
      </c>
      <c r="O53" s="100">
        <v>0</v>
      </c>
      <c r="P53" s="100">
        <v>0.37</v>
      </c>
      <c r="Q53" s="100">
        <v>9.9</v>
      </c>
      <c r="R53" s="6"/>
      <c r="S53" s="6"/>
      <c r="T53" s="156"/>
      <c r="U53" s="6"/>
    </row>
    <row r="54" spans="1:21" customFormat="1">
      <c r="A54" s="163" t="s">
        <v>2301</v>
      </c>
      <c r="B54" s="100">
        <v>3.98</v>
      </c>
      <c r="C54" s="100">
        <v>8.58</v>
      </c>
      <c r="D54" s="100">
        <v>4.5999999999999996</v>
      </c>
      <c r="E54" s="100">
        <v>4.78</v>
      </c>
      <c r="F54" s="100">
        <v>2.9</v>
      </c>
      <c r="G54" s="100">
        <v>43.56</v>
      </c>
      <c r="H54" s="100">
        <v>11.57</v>
      </c>
      <c r="I54" s="100">
        <v>5.61</v>
      </c>
      <c r="J54" s="100">
        <v>1.36</v>
      </c>
      <c r="K54" s="100">
        <v>272.48</v>
      </c>
      <c r="L54" s="100">
        <v>31.56</v>
      </c>
      <c r="M54" s="100">
        <v>58.97</v>
      </c>
      <c r="N54" s="100">
        <v>312.10000000000002</v>
      </c>
      <c r="O54" s="100">
        <v>0</v>
      </c>
      <c r="P54" s="100">
        <v>0.37</v>
      </c>
      <c r="Q54" s="100">
        <v>9.9</v>
      </c>
      <c r="R54" s="6"/>
      <c r="S54" s="6"/>
      <c r="T54" s="156"/>
      <c r="U54" s="6"/>
    </row>
    <row r="55" spans="1:21" customFormat="1">
      <c r="A55" s="163" t="s">
        <v>2302</v>
      </c>
      <c r="B55" s="100">
        <v>3.95</v>
      </c>
      <c r="C55" s="100">
        <v>8.2200000000000006</v>
      </c>
      <c r="D55" s="100">
        <v>4.2699999999999996</v>
      </c>
      <c r="E55" s="100">
        <v>4.74</v>
      </c>
      <c r="F55" s="100">
        <v>3.67</v>
      </c>
      <c r="G55" s="100">
        <v>43.56</v>
      </c>
      <c r="H55" s="100">
        <v>11.57</v>
      </c>
      <c r="I55" s="100">
        <v>5.8</v>
      </c>
      <c r="J55" s="100">
        <v>1.72</v>
      </c>
      <c r="K55" s="100">
        <v>290.89999999999998</v>
      </c>
      <c r="L55" s="100">
        <v>31.3</v>
      </c>
      <c r="M55" s="100">
        <v>59.33</v>
      </c>
      <c r="N55" s="100">
        <v>257.8</v>
      </c>
      <c r="O55" s="100">
        <v>0</v>
      </c>
      <c r="P55" s="100">
        <v>0.37</v>
      </c>
      <c r="Q55" s="100">
        <v>9.9</v>
      </c>
      <c r="R55" s="6"/>
      <c r="S55" s="6"/>
      <c r="T55" s="156"/>
      <c r="U55" s="6"/>
    </row>
    <row r="56" spans="1:21" customFormat="1">
      <c r="A56" s="163" t="s">
        <v>2303</v>
      </c>
      <c r="B56" s="100">
        <v>3.95</v>
      </c>
      <c r="C56" s="100">
        <v>8.51</v>
      </c>
      <c r="D56" s="100">
        <v>4.5599999999999996</v>
      </c>
      <c r="E56" s="100">
        <v>4.51</v>
      </c>
      <c r="F56" s="100">
        <v>2.91</v>
      </c>
      <c r="G56" s="100">
        <v>43.56</v>
      </c>
      <c r="H56" s="100">
        <v>11.57</v>
      </c>
      <c r="I56" s="100">
        <v>5.71</v>
      </c>
      <c r="J56" s="100">
        <v>1.23</v>
      </c>
      <c r="K56" s="100">
        <v>274.76</v>
      </c>
      <c r="L56" s="100">
        <v>31.62</v>
      </c>
      <c r="M56" s="100">
        <v>59.05</v>
      </c>
      <c r="N56" s="100">
        <v>295.39999999999998</v>
      </c>
      <c r="O56" s="100">
        <v>0</v>
      </c>
      <c r="P56" s="100">
        <v>0.37</v>
      </c>
      <c r="Q56" s="100">
        <v>9.9</v>
      </c>
      <c r="R56" s="6"/>
      <c r="S56" s="6"/>
      <c r="T56" s="156"/>
      <c r="U56" s="6"/>
    </row>
    <row r="57" spans="1:21" customFormat="1">
      <c r="A57" s="163" t="s">
        <v>2304</v>
      </c>
      <c r="B57" s="100">
        <v>3.93</v>
      </c>
      <c r="C57" s="100">
        <v>8.43</v>
      </c>
      <c r="D57" s="100">
        <v>4.51</v>
      </c>
      <c r="E57" s="100">
        <v>4.5999999999999996</v>
      </c>
      <c r="F57" s="100">
        <v>2.99</v>
      </c>
      <c r="G57" s="100">
        <v>45.99</v>
      </c>
      <c r="H57" s="100">
        <v>12.7</v>
      </c>
      <c r="I57" s="100">
        <v>5.62</v>
      </c>
      <c r="J57" s="100">
        <v>1.37</v>
      </c>
      <c r="K57" s="100">
        <v>280.74</v>
      </c>
      <c r="L57" s="100">
        <v>31.74</v>
      </c>
      <c r="M57" s="100">
        <v>58.7</v>
      </c>
      <c r="N57" s="100">
        <v>402.9</v>
      </c>
      <c r="O57" s="100">
        <v>0</v>
      </c>
      <c r="P57" s="100">
        <v>0.38</v>
      </c>
      <c r="Q57" s="100">
        <v>9.91</v>
      </c>
      <c r="R57" s="6"/>
      <c r="S57" s="6"/>
      <c r="T57" s="156"/>
      <c r="U57" s="6"/>
    </row>
    <row r="58" spans="1:21" customFormat="1">
      <c r="A58" s="163" t="s">
        <v>2305</v>
      </c>
      <c r="B58" s="100">
        <v>4.01</v>
      </c>
      <c r="C58" s="100">
        <v>8.48</v>
      </c>
      <c r="D58" s="100">
        <v>4.47</v>
      </c>
      <c r="E58" s="100">
        <v>4.8600000000000003</v>
      </c>
      <c r="F58" s="100">
        <v>4.04</v>
      </c>
      <c r="G58" s="100">
        <v>51.98</v>
      </c>
      <c r="H58" s="100">
        <v>14.56</v>
      </c>
      <c r="I58" s="100">
        <v>5.66</v>
      </c>
      <c r="J58" s="100">
        <v>1.25</v>
      </c>
      <c r="K58" s="100">
        <v>283.5</v>
      </c>
      <c r="L58" s="100">
        <v>32.270000000000003</v>
      </c>
      <c r="M58" s="100">
        <v>57.14</v>
      </c>
      <c r="N58" s="100">
        <v>312.60000000000002</v>
      </c>
      <c r="O58" s="100">
        <v>0</v>
      </c>
      <c r="P58" s="100">
        <v>0.37</v>
      </c>
      <c r="Q58" s="100">
        <v>9.91</v>
      </c>
      <c r="R58" s="6"/>
      <c r="S58" s="6"/>
      <c r="T58" s="156"/>
      <c r="U58" s="6"/>
    </row>
    <row r="59" spans="1:21" customFormat="1">
      <c r="A59" s="163" t="s">
        <v>2306</v>
      </c>
      <c r="B59" s="100">
        <v>3.97</v>
      </c>
      <c r="C59" s="100">
        <v>8.5299999999999994</v>
      </c>
      <c r="D59" s="100">
        <v>4.5599999999999996</v>
      </c>
      <c r="E59" s="100">
        <v>4.7</v>
      </c>
      <c r="F59" s="100">
        <v>3.08</v>
      </c>
      <c r="G59" s="100">
        <v>51.98</v>
      </c>
      <c r="H59" s="100">
        <v>14.56</v>
      </c>
      <c r="I59" s="100">
        <v>5.86</v>
      </c>
      <c r="J59" s="100">
        <v>0.97</v>
      </c>
      <c r="K59" s="100">
        <v>255.95</v>
      </c>
      <c r="L59" s="100">
        <v>31.92</v>
      </c>
      <c r="M59" s="100">
        <v>58.15</v>
      </c>
      <c r="N59" s="100">
        <v>174.7</v>
      </c>
      <c r="O59" s="100">
        <v>0</v>
      </c>
      <c r="P59" s="100">
        <v>0.37</v>
      </c>
      <c r="Q59" s="100">
        <v>9.91</v>
      </c>
      <c r="R59" s="6"/>
      <c r="S59" s="6"/>
      <c r="T59" s="156"/>
      <c r="U59" s="6"/>
    </row>
    <row r="60" spans="1:21" customFormat="1">
      <c r="A60" s="163" t="s">
        <v>2307</v>
      </c>
      <c r="B60" s="100">
        <v>3.81</v>
      </c>
      <c r="C60" s="100">
        <v>8.2899999999999991</v>
      </c>
      <c r="D60" s="100">
        <v>4.4800000000000004</v>
      </c>
      <c r="E60" s="100">
        <v>4.55</v>
      </c>
      <c r="F60" s="100">
        <v>3.19</v>
      </c>
      <c r="G60" s="100">
        <v>51.98</v>
      </c>
      <c r="H60" s="100">
        <v>14.56</v>
      </c>
      <c r="I60" s="100">
        <v>5.88</v>
      </c>
      <c r="J60" s="100">
        <v>1.07</v>
      </c>
      <c r="K60" s="100">
        <v>263.39</v>
      </c>
      <c r="L60" s="100">
        <v>31.65</v>
      </c>
      <c r="M60" s="100">
        <v>58.61</v>
      </c>
      <c r="N60" s="100">
        <v>163.6</v>
      </c>
      <c r="O60" s="100">
        <v>0</v>
      </c>
      <c r="P60" s="100">
        <v>0.37</v>
      </c>
      <c r="Q60" s="100">
        <v>9.89</v>
      </c>
      <c r="R60" s="6"/>
      <c r="S60" s="6"/>
      <c r="T60" s="156"/>
      <c r="U60" s="6"/>
    </row>
    <row r="61" spans="1:21" customFormat="1">
      <c r="A61" s="163" t="s">
        <v>2308</v>
      </c>
      <c r="B61" s="100">
        <v>3.76</v>
      </c>
      <c r="C61" s="100">
        <v>7.9</v>
      </c>
      <c r="D61" s="100">
        <v>4.1399999999999997</v>
      </c>
      <c r="E61" s="100">
        <v>4.54</v>
      </c>
      <c r="F61" s="100">
        <v>4.33</v>
      </c>
      <c r="G61" s="100">
        <v>54.64</v>
      </c>
      <c r="H61" s="100">
        <v>15.27</v>
      </c>
      <c r="I61" s="100">
        <v>5.74</v>
      </c>
      <c r="J61" s="100">
        <v>1.1100000000000001</v>
      </c>
      <c r="K61" s="100">
        <v>271.52999999999997</v>
      </c>
      <c r="L61" s="100">
        <v>31.35</v>
      </c>
      <c r="M61" s="100">
        <v>59.98</v>
      </c>
      <c r="N61" s="100">
        <v>143.9</v>
      </c>
      <c r="O61" s="100">
        <v>0</v>
      </c>
      <c r="P61" s="100">
        <v>0.36</v>
      </c>
      <c r="Q61" s="100">
        <v>9.9</v>
      </c>
      <c r="R61" s="6"/>
      <c r="S61" s="6"/>
      <c r="T61" s="156"/>
      <c r="U61" s="6"/>
    </row>
    <row r="62" spans="1:21" customFormat="1">
      <c r="A62" s="163" t="s">
        <v>2309</v>
      </c>
      <c r="B62" s="100">
        <v>3.97</v>
      </c>
      <c r="C62" s="100">
        <v>8.4</v>
      </c>
      <c r="D62" s="100">
        <v>4.43</v>
      </c>
      <c r="E62" s="100">
        <v>5.2</v>
      </c>
      <c r="F62" s="100">
        <v>5.22</v>
      </c>
      <c r="G62" s="100">
        <v>61.18</v>
      </c>
      <c r="H62" s="100">
        <v>16.43</v>
      </c>
      <c r="I62" s="100">
        <v>5.66</v>
      </c>
      <c r="J62" s="100">
        <v>0.83</v>
      </c>
      <c r="K62" s="100">
        <v>289.82</v>
      </c>
      <c r="L62" s="100">
        <v>31.01</v>
      </c>
      <c r="M62" s="100">
        <v>62.5</v>
      </c>
      <c r="N62" s="100">
        <v>187.7</v>
      </c>
      <c r="O62" s="100">
        <v>0</v>
      </c>
      <c r="P62" s="100">
        <v>0.42</v>
      </c>
      <c r="Q62" s="100">
        <v>9.91</v>
      </c>
      <c r="R62" s="6"/>
      <c r="S62" s="6"/>
      <c r="T62" s="156"/>
      <c r="U62" s="6"/>
    </row>
    <row r="63" spans="1:21" customFormat="1">
      <c r="A63" s="163" t="s">
        <v>2310</v>
      </c>
      <c r="B63" s="100">
        <v>4.16</v>
      </c>
      <c r="C63" s="100">
        <v>8.4600000000000009</v>
      </c>
      <c r="D63" s="100">
        <v>4.3</v>
      </c>
      <c r="E63" s="100">
        <v>5.19</v>
      </c>
      <c r="F63" s="100">
        <v>6.29</v>
      </c>
      <c r="G63" s="100">
        <v>61.18</v>
      </c>
      <c r="H63" s="100">
        <v>16.43</v>
      </c>
      <c r="I63" s="100">
        <v>5.55</v>
      </c>
      <c r="J63" s="100">
        <v>0.98</v>
      </c>
      <c r="K63" s="100">
        <v>254.38</v>
      </c>
      <c r="L63" s="100">
        <v>31.62</v>
      </c>
      <c r="M63" s="100">
        <v>59.39</v>
      </c>
      <c r="N63" s="100">
        <v>213.3</v>
      </c>
      <c r="O63" s="100">
        <v>0</v>
      </c>
      <c r="P63" s="100">
        <v>0.41</v>
      </c>
      <c r="Q63" s="100">
        <v>9.91</v>
      </c>
      <c r="R63" s="6"/>
      <c r="S63" s="6"/>
      <c r="T63" s="156"/>
      <c r="U63" s="6"/>
    </row>
    <row r="64" spans="1:21" customFormat="1">
      <c r="A64" s="163" t="s">
        <v>2311</v>
      </c>
      <c r="B64" s="100">
        <v>4.1900000000000004</v>
      </c>
      <c r="C64" s="100">
        <v>8.0299999999999994</v>
      </c>
      <c r="D64" s="100">
        <v>3.84</v>
      </c>
      <c r="E64" s="100">
        <v>4.62</v>
      </c>
      <c r="F64" s="100">
        <v>5.49</v>
      </c>
      <c r="G64" s="100">
        <v>61.18</v>
      </c>
      <c r="H64" s="100">
        <v>16.43</v>
      </c>
      <c r="I64" s="100">
        <v>5.46</v>
      </c>
      <c r="J64" s="100">
        <v>1.41</v>
      </c>
      <c r="K64" s="100">
        <v>290.01</v>
      </c>
      <c r="L64" s="100">
        <v>31.43</v>
      </c>
      <c r="M64" s="100">
        <v>58.75</v>
      </c>
      <c r="N64" s="100">
        <v>156.30000000000001</v>
      </c>
      <c r="O64" s="100">
        <v>0</v>
      </c>
      <c r="P64" s="100">
        <v>0.41</v>
      </c>
      <c r="Q64" s="100">
        <v>9.92</v>
      </c>
      <c r="R64" s="6"/>
      <c r="S64" s="6"/>
      <c r="T64" s="156"/>
      <c r="U64" s="6"/>
    </row>
    <row r="65" spans="1:21" customFormat="1">
      <c r="A65" s="163" t="s">
        <v>2312</v>
      </c>
      <c r="B65" s="100">
        <v>4.49</v>
      </c>
      <c r="C65" s="100">
        <v>8.5500000000000007</v>
      </c>
      <c r="D65" s="100">
        <v>4.0599999999999996</v>
      </c>
      <c r="E65" s="100">
        <v>4.1100000000000003</v>
      </c>
      <c r="F65" s="100">
        <v>7.85</v>
      </c>
      <c r="G65" s="100">
        <v>61.21</v>
      </c>
      <c r="H65" s="100">
        <v>16.78</v>
      </c>
      <c r="I65" s="100">
        <v>5.48</v>
      </c>
      <c r="J65" s="100">
        <v>1.07</v>
      </c>
      <c r="K65" s="100">
        <v>287.43</v>
      </c>
      <c r="L65" s="100">
        <v>31.57</v>
      </c>
      <c r="M65" s="100">
        <v>58.13</v>
      </c>
      <c r="N65" s="100">
        <v>153.30000000000001</v>
      </c>
      <c r="O65" s="100">
        <v>0</v>
      </c>
      <c r="P65" s="100">
        <v>0.32</v>
      </c>
      <c r="Q65" s="100">
        <v>9.91</v>
      </c>
      <c r="R65" s="6"/>
      <c r="S65" s="6"/>
      <c r="T65" s="156"/>
      <c r="U65" s="6"/>
    </row>
    <row r="66" spans="1:21" customFormat="1">
      <c r="A66" s="163" t="s">
        <v>2313</v>
      </c>
      <c r="B66" s="100">
        <v>4.6500000000000004</v>
      </c>
      <c r="C66" s="100">
        <v>8.9</v>
      </c>
      <c r="D66" s="100">
        <v>4.25</v>
      </c>
      <c r="E66" s="100">
        <v>3.96</v>
      </c>
      <c r="F66" s="100">
        <v>7.07</v>
      </c>
      <c r="G66" s="100">
        <v>61.3</v>
      </c>
      <c r="H66" s="100">
        <v>17.34</v>
      </c>
      <c r="I66" s="100">
        <v>5.35</v>
      </c>
      <c r="J66" s="100">
        <v>1.05</v>
      </c>
      <c r="K66" s="100">
        <v>273.36</v>
      </c>
      <c r="L66" s="100">
        <v>31.78</v>
      </c>
      <c r="M66" s="100">
        <v>57.93</v>
      </c>
      <c r="N66" s="100">
        <v>261.60000000000002</v>
      </c>
      <c r="O66" s="100">
        <v>0</v>
      </c>
      <c r="P66" s="100">
        <v>0.3</v>
      </c>
      <c r="Q66" s="100">
        <v>9.92</v>
      </c>
      <c r="R66" s="6"/>
      <c r="S66" s="6"/>
      <c r="T66" s="156"/>
      <c r="U66" s="6"/>
    </row>
    <row r="67" spans="1:21" customFormat="1">
      <c r="A67" s="163" t="s">
        <v>2314</v>
      </c>
      <c r="B67" s="100">
        <v>4.59</v>
      </c>
      <c r="C67" s="100">
        <v>8.58</v>
      </c>
      <c r="D67" s="100">
        <v>3.99</v>
      </c>
      <c r="E67" s="100">
        <v>3.74</v>
      </c>
      <c r="F67" s="100">
        <v>7.02</v>
      </c>
      <c r="G67" s="100">
        <v>61.3</v>
      </c>
      <c r="H67" s="100">
        <v>17.34</v>
      </c>
      <c r="I67" s="100">
        <v>5.14</v>
      </c>
      <c r="J67" s="100">
        <v>0.97</v>
      </c>
      <c r="K67" s="100">
        <v>270.7</v>
      </c>
      <c r="L67" s="100">
        <v>32.08</v>
      </c>
      <c r="M67" s="100">
        <v>57.58</v>
      </c>
      <c r="N67" s="100">
        <v>225.6</v>
      </c>
      <c r="O67" s="100">
        <v>0</v>
      </c>
      <c r="P67" s="100">
        <v>0.31</v>
      </c>
      <c r="Q67" s="100">
        <v>9.92</v>
      </c>
      <c r="R67" s="6"/>
      <c r="S67" s="6"/>
      <c r="T67" s="156"/>
      <c r="U67" s="6"/>
    </row>
    <row r="68" spans="1:21" customFormat="1">
      <c r="A68" s="163" t="s">
        <v>2315</v>
      </c>
      <c r="B68" s="100">
        <v>4.54</v>
      </c>
      <c r="C68" s="100">
        <v>8.26</v>
      </c>
      <c r="D68" s="100">
        <v>3.72</v>
      </c>
      <c r="E68" s="100">
        <v>4.13</v>
      </c>
      <c r="F68" s="100">
        <v>5.71</v>
      </c>
      <c r="G68" s="100">
        <v>61.3</v>
      </c>
      <c r="H68" s="100">
        <v>17.34</v>
      </c>
      <c r="I68" s="100">
        <v>5.15</v>
      </c>
      <c r="J68" s="100">
        <v>1.02</v>
      </c>
      <c r="K68" s="100">
        <v>255.55</v>
      </c>
      <c r="L68" s="100">
        <v>31.68</v>
      </c>
      <c r="M68" s="100">
        <v>58.97</v>
      </c>
      <c r="N68" s="100">
        <v>151.5</v>
      </c>
      <c r="O68" s="100">
        <v>0</v>
      </c>
      <c r="P68" s="100">
        <v>0.32</v>
      </c>
      <c r="Q68" s="100">
        <v>9.91</v>
      </c>
      <c r="R68" s="6"/>
      <c r="S68" s="6"/>
      <c r="T68" s="156"/>
      <c r="U68" s="6"/>
    </row>
    <row r="69" spans="1:21" customFormat="1">
      <c r="A69" s="163" t="s">
        <v>2316</v>
      </c>
      <c r="B69" s="100">
        <v>4.4000000000000004</v>
      </c>
      <c r="C69" s="100">
        <v>8.1</v>
      </c>
      <c r="D69" s="100">
        <v>3.7</v>
      </c>
      <c r="E69" s="100">
        <v>4.1399999999999997</v>
      </c>
      <c r="F69" s="100">
        <v>7.83</v>
      </c>
      <c r="G69" s="100">
        <v>60.44</v>
      </c>
      <c r="H69" s="100">
        <v>16.78</v>
      </c>
      <c r="I69" s="100">
        <v>5.18</v>
      </c>
      <c r="J69" s="100">
        <v>0.94</v>
      </c>
      <c r="K69" s="100">
        <v>255.92</v>
      </c>
      <c r="L69" s="100">
        <v>31.13</v>
      </c>
      <c r="M69" s="100">
        <v>60.69</v>
      </c>
      <c r="N69" s="100">
        <v>90.1</v>
      </c>
      <c r="O69" s="100">
        <v>0</v>
      </c>
      <c r="P69" s="100">
        <v>0.34</v>
      </c>
      <c r="Q69" s="100">
        <v>9.9</v>
      </c>
      <c r="R69" s="6"/>
      <c r="S69" s="6"/>
      <c r="T69" s="156"/>
      <c r="U69" s="6"/>
    </row>
    <row r="70" spans="1:21" customFormat="1">
      <c r="A70" s="163" t="s">
        <v>2317</v>
      </c>
      <c r="B70" s="100">
        <v>4.33</v>
      </c>
      <c r="C70" s="100">
        <v>8.1</v>
      </c>
      <c r="D70" s="100">
        <v>3.77</v>
      </c>
      <c r="E70" s="100">
        <v>4.9000000000000004</v>
      </c>
      <c r="F70" s="100">
        <v>8.19</v>
      </c>
      <c r="G70" s="100">
        <v>58.32</v>
      </c>
      <c r="H70" s="100">
        <v>15.86</v>
      </c>
      <c r="I70" s="100">
        <v>5.42</v>
      </c>
      <c r="J70" s="100">
        <v>0.79</v>
      </c>
      <c r="K70" s="100">
        <v>258.14999999999998</v>
      </c>
      <c r="L70" s="100">
        <v>31.06</v>
      </c>
      <c r="M70" s="100">
        <v>61.09</v>
      </c>
      <c r="N70" s="100">
        <v>99.5</v>
      </c>
      <c r="O70" s="100">
        <v>0</v>
      </c>
      <c r="P70" s="100">
        <v>0.37</v>
      </c>
      <c r="Q70" s="100">
        <v>9.91</v>
      </c>
      <c r="R70" s="6"/>
      <c r="S70" s="6"/>
      <c r="T70" s="156"/>
      <c r="U70" s="6"/>
    </row>
    <row r="71" spans="1:21" customFormat="1">
      <c r="A71" s="163" t="s">
        <v>2318</v>
      </c>
      <c r="B71" s="100">
        <v>4.42</v>
      </c>
      <c r="C71" s="100">
        <v>8.9</v>
      </c>
      <c r="D71" s="100">
        <v>4.4800000000000004</v>
      </c>
      <c r="E71" s="100">
        <v>6.12</v>
      </c>
      <c r="F71" s="100">
        <v>8.52</v>
      </c>
      <c r="G71" s="100">
        <v>58.32</v>
      </c>
      <c r="H71" s="100">
        <v>15.86</v>
      </c>
      <c r="I71" s="100">
        <v>5.65</v>
      </c>
      <c r="J71" s="100">
        <v>0.79</v>
      </c>
      <c r="K71" s="100">
        <v>256.2</v>
      </c>
      <c r="L71" s="100">
        <v>30.53</v>
      </c>
      <c r="M71" s="100">
        <v>65.77</v>
      </c>
      <c r="N71" s="100">
        <v>32</v>
      </c>
      <c r="O71" s="100">
        <v>0</v>
      </c>
      <c r="P71" s="100">
        <v>0.38</v>
      </c>
      <c r="Q71" s="100">
        <v>9.92</v>
      </c>
      <c r="R71" s="6"/>
      <c r="S71" s="6"/>
      <c r="T71" s="156"/>
      <c r="U71" s="6"/>
    </row>
    <row r="72" spans="1:21" customFormat="1">
      <c r="A72" s="163" t="s">
        <v>2319</v>
      </c>
      <c r="B72" s="100">
        <v>4.42</v>
      </c>
      <c r="C72" s="100">
        <v>8.82</v>
      </c>
      <c r="D72" s="100">
        <v>4.4000000000000004</v>
      </c>
      <c r="E72" s="100">
        <v>4.8</v>
      </c>
      <c r="F72" s="100">
        <v>5.82</v>
      </c>
      <c r="G72" s="100">
        <v>58.32</v>
      </c>
      <c r="H72" s="100">
        <v>15.86</v>
      </c>
      <c r="I72" s="100">
        <v>5.87</v>
      </c>
      <c r="J72" s="100">
        <v>1.1200000000000001</v>
      </c>
      <c r="K72" s="100">
        <v>277.10000000000002</v>
      </c>
      <c r="L72" s="100">
        <v>28.62</v>
      </c>
      <c r="M72" s="100">
        <v>75.33</v>
      </c>
      <c r="N72" s="100">
        <v>20.2</v>
      </c>
      <c r="O72" s="100">
        <v>0.2</v>
      </c>
      <c r="P72" s="100">
        <v>0.38</v>
      </c>
      <c r="Q72" s="100">
        <v>9.93</v>
      </c>
      <c r="R72" s="6"/>
      <c r="S72" s="6"/>
      <c r="T72" s="156"/>
      <c r="U72" s="6"/>
    </row>
    <row r="73" spans="1:21" customFormat="1">
      <c r="A73" s="163" t="s">
        <v>2320</v>
      </c>
      <c r="B73" s="100">
        <v>4.6500000000000004</v>
      </c>
      <c r="C73" s="100">
        <v>9.5399999999999991</v>
      </c>
      <c r="D73" s="100">
        <v>4.8899999999999997</v>
      </c>
      <c r="E73" s="100">
        <v>4.54</v>
      </c>
      <c r="F73" s="100">
        <v>4.01</v>
      </c>
      <c r="G73" s="100">
        <v>60.1</v>
      </c>
      <c r="H73" s="100">
        <v>16.47</v>
      </c>
      <c r="I73" s="100">
        <v>5.94</v>
      </c>
      <c r="J73" s="100">
        <v>0.92</v>
      </c>
      <c r="K73" s="100">
        <v>293.02</v>
      </c>
      <c r="L73" s="100">
        <v>28.19</v>
      </c>
      <c r="M73" s="100">
        <v>77.89</v>
      </c>
      <c r="N73" s="100">
        <v>37.4</v>
      </c>
      <c r="O73" s="100">
        <v>0</v>
      </c>
      <c r="P73" s="100">
        <v>0.39</v>
      </c>
      <c r="Q73" s="100">
        <v>9.91</v>
      </c>
      <c r="R73" s="6"/>
      <c r="S73" s="6"/>
      <c r="T73" s="156"/>
      <c r="U73" s="6"/>
    </row>
    <row r="74" spans="1:21" customFormat="1">
      <c r="A74" s="163" t="s">
        <v>2321</v>
      </c>
      <c r="B74" s="100">
        <v>4.68</v>
      </c>
      <c r="C74" s="100">
        <v>9.4</v>
      </c>
      <c r="D74" s="100">
        <v>4.72</v>
      </c>
      <c r="E74" s="100">
        <v>4.18</v>
      </c>
      <c r="F74" s="100">
        <v>4.41</v>
      </c>
      <c r="G74" s="100">
        <v>64.5</v>
      </c>
      <c r="H74" s="100">
        <v>18.97</v>
      </c>
      <c r="I74" s="100">
        <v>5.95</v>
      </c>
      <c r="J74" s="100">
        <v>1.1599999999999999</v>
      </c>
      <c r="K74" s="100">
        <v>293.72000000000003</v>
      </c>
      <c r="L74" s="100">
        <v>28.12</v>
      </c>
      <c r="M74" s="100">
        <v>77.819999999999993</v>
      </c>
      <c r="N74" s="100">
        <v>35.5</v>
      </c>
      <c r="O74" s="100">
        <v>0</v>
      </c>
      <c r="P74" s="100">
        <v>0.4</v>
      </c>
      <c r="Q74" s="100">
        <v>9.9</v>
      </c>
      <c r="R74" s="6"/>
      <c r="S74" s="6"/>
      <c r="T74" s="156"/>
      <c r="U74" s="6"/>
    </row>
    <row r="75" spans="1:21" customFormat="1">
      <c r="A75" s="163" t="s">
        <v>2322</v>
      </c>
      <c r="B75" s="100">
        <v>5.05</v>
      </c>
      <c r="C75" s="100">
        <v>9.8000000000000007</v>
      </c>
      <c r="D75" s="100">
        <v>4.75</v>
      </c>
      <c r="E75" s="100">
        <v>3.84</v>
      </c>
      <c r="F75" s="100">
        <v>4.4000000000000004</v>
      </c>
      <c r="G75" s="100">
        <v>64.5</v>
      </c>
      <c r="H75" s="100">
        <v>18.97</v>
      </c>
      <c r="I75" s="100">
        <v>6.07</v>
      </c>
      <c r="J75" s="100">
        <v>1.0900000000000001</v>
      </c>
      <c r="K75" s="100">
        <v>303.01</v>
      </c>
      <c r="L75" s="100">
        <v>28.38</v>
      </c>
      <c r="M75" s="100">
        <v>75.2</v>
      </c>
      <c r="N75" s="100">
        <v>56</v>
      </c>
      <c r="O75" s="100">
        <v>0</v>
      </c>
      <c r="P75" s="100">
        <v>0.39</v>
      </c>
      <c r="Q75" s="100">
        <v>9.92</v>
      </c>
      <c r="R75" s="6"/>
      <c r="S75" s="6"/>
      <c r="T75" s="156"/>
      <c r="U75" s="6"/>
    </row>
    <row r="76" spans="1:21" customFormat="1">
      <c r="A76" s="163" t="s">
        <v>2323</v>
      </c>
      <c r="B76" s="100">
        <v>5.72</v>
      </c>
      <c r="C76" s="100">
        <v>10.85</v>
      </c>
      <c r="D76" s="100">
        <v>5.13</v>
      </c>
      <c r="E76" s="100">
        <v>3.97</v>
      </c>
      <c r="F76" s="100">
        <v>6.65</v>
      </c>
      <c r="G76" s="100">
        <v>64.5</v>
      </c>
      <c r="H76" s="100">
        <v>18.97</v>
      </c>
      <c r="I76" s="100">
        <v>5.9</v>
      </c>
      <c r="J76" s="100">
        <v>1.26</v>
      </c>
      <c r="K76" s="100">
        <v>305.81</v>
      </c>
      <c r="L76" s="100">
        <v>28.51</v>
      </c>
      <c r="M76" s="100">
        <v>74.7</v>
      </c>
      <c r="N76" s="100">
        <v>58.3</v>
      </c>
      <c r="O76" s="100">
        <v>0</v>
      </c>
      <c r="P76" s="100">
        <v>0.39</v>
      </c>
      <c r="Q76" s="100">
        <v>9.92</v>
      </c>
      <c r="R76" s="6"/>
      <c r="S76" s="6"/>
      <c r="T76" s="156"/>
      <c r="U76" s="6"/>
    </row>
    <row r="77" spans="1:21" customFormat="1">
      <c r="A77" s="163" t="s">
        <v>2324</v>
      </c>
      <c r="B77" s="100">
        <v>7.12</v>
      </c>
      <c r="C77" s="100">
        <v>13.01</v>
      </c>
      <c r="D77" s="100">
        <v>5.89</v>
      </c>
      <c r="E77" s="100">
        <v>3.8</v>
      </c>
      <c r="F77" s="100">
        <v>6.49</v>
      </c>
      <c r="G77" s="100">
        <v>67.31</v>
      </c>
      <c r="H77" s="100">
        <v>19.13</v>
      </c>
      <c r="I77" s="100">
        <v>5.75</v>
      </c>
      <c r="J77" s="100">
        <v>1.04</v>
      </c>
      <c r="K77" s="100">
        <v>305.45</v>
      </c>
      <c r="L77" s="100">
        <v>28.72</v>
      </c>
      <c r="M77" s="100">
        <v>73.08</v>
      </c>
      <c r="N77" s="100">
        <v>34.1</v>
      </c>
      <c r="O77" s="100">
        <v>0</v>
      </c>
      <c r="P77" s="100">
        <v>0.39</v>
      </c>
      <c r="Q77" s="100">
        <v>9.9499999999999993</v>
      </c>
      <c r="R77" s="6"/>
      <c r="S77" s="6"/>
      <c r="T77" s="156"/>
      <c r="U77" s="6"/>
    </row>
    <row r="78" spans="1:21" customFormat="1">
      <c r="A78" s="163" t="s">
        <v>2325</v>
      </c>
      <c r="B78" s="100">
        <v>6.57</v>
      </c>
      <c r="C78" s="100">
        <v>11.85</v>
      </c>
      <c r="D78" s="100">
        <v>5.28</v>
      </c>
      <c r="E78" s="100">
        <v>3.87</v>
      </c>
      <c r="F78" s="100">
        <v>3.45</v>
      </c>
      <c r="G78" s="100">
        <v>74.22</v>
      </c>
      <c r="H78" s="100">
        <v>19.399999999999999</v>
      </c>
      <c r="I78" s="100">
        <v>5.74</v>
      </c>
      <c r="J78" s="100">
        <v>0.7</v>
      </c>
      <c r="K78" s="100">
        <v>284.52999999999997</v>
      </c>
      <c r="L78" s="100">
        <v>28.82</v>
      </c>
      <c r="M78" s="100">
        <v>72.45</v>
      </c>
      <c r="N78" s="100">
        <v>26.6</v>
      </c>
      <c r="O78" s="100">
        <v>0</v>
      </c>
      <c r="P78" s="100">
        <v>0.41</v>
      </c>
      <c r="Q78" s="100">
        <v>9.92</v>
      </c>
      <c r="R78" s="6"/>
      <c r="S78" s="6"/>
      <c r="T78" s="156"/>
      <c r="U78" s="6"/>
    </row>
    <row r="79" spans="1:21" customFormat="1">
      <c r="A79" s="163" t="s">
        <v>2326</v>
      </c>
      <c r="B79" s="100">
        <v>5.78</v>
      </c>
      <c r="C79" s="100">
        <v>11.24</v>
      </c>
      <c r="D79" s="100">
        <v>5.46</v>
      </c>
      <c r="E79" s="100">
        <v>4.3</v>
      </c>
      <c r="F79" s="100">
        <v>4.5999999999999996</v>
      </c>
      <c r="G79" s="100">
        <v>74.22</v>
      </c>
      <c r="H79" s="100">
        <v>19.399999999999999</v>
      </c>
      <c r="I79" s="100">
        <v>5.94</v>
      </c>
      <c r="J79" s="100">
        <v>0.56999999999999995</v>
      </c>
      <c r="K79" s="100">
        <v>253.88</v>
      </c>
      <c r="L79" s="100">
        <v>28.88</v>
      </c>
      <c r="M79" s="100">
        <v>72.12</v>
      </c>
      <c r="N79" s="100">
        <v>26.1</v>
      </c>
      <c r="O79" s="100">
        <v>0</v>
      </c>
      <c r="P79" s="100">
        <v>0.43</v>
      </c>
      <c r="Q79" s="100">
        <v>9.92</v>
      </c>
      <c r="R79" s="6"/>
      <c r="S79" s="6"/>
      <c r="T79" s="156"/>
      <c r="U79" s="6"/>
    </row>
    <row r="80" spans="1:21" customFormat="1">
      <c r="A80" s="163" t="s">
        <v>2327</v>
      </c>
      <c r="B80" s="100">
        <v>5.61</v>
      </c>
      <c r="C80" s="100">
        <v>10.83</v>
      </c>
      <c r="D80" s="100">
        <v>5.21</v>
      </c>
      <c r="E80" s="100">
        <v>4.26</v>
      </c>
      <c r="F80" s="100">
        <v>4.7300000000000004</v>
      </c>
      <c r="G80" s="100">
        <v>74.22</v>
      </c>
      <c r="H80" s="100">
        <v>19.399999999999999</v>
      </c>
      <c r="I80" s="100">
        <v>5.9</v>
      </c>
      <c r="J80" s="100">
        <v>0.7</v>
      </c>
      <c r="K80" s="100">
        <v>295.36</v>
      </c>
      <c r="L80" s="100">
        <v>28.93</v>
      </c>
      <c r="M80" s="100">
        <v>71.239999999999995</v>
      </c>
      <c r="N80" s="100">
        <v>24.7</v>
      </c>
      <c r="O80" s="100">
        <v>0</v>
      </c>
      <c r="P80" s="100">
        <v>0.41</v>
      </c>
      <c r="Q80" s="100">
        <v>9.93</v>
      </c>
      <c r="R80" s="6"/>
      <c r="S80" s="6"/>
      <c r="T80" s="156"/>
      <c r="U80" s="6"/>
    </row>
    <row r="81" spans="1:21" customFormat="1">
      <c r="A81" s="163" t="s">
        <v>2328</v>
      </c>
      <c r="B81" s="100">
        <v>5.6</v>
      </c>
      <c r="C81" s="100">
        <v>12.27</v>
      </c>
      <c r="D81" s="100">
        <v>6.66</v>
      </c>
      <c r="E81" s="100">
        <v>4.57</v>
      </c>
      <c r="F81" s="100">
        <v>2.64</v>
      </c>
      <c r="G81" s="100">
        <v>73.28</v>
      </c>
      <c r="H81" s="100">
        <v>18.21</v>
      </c>
      <c r="I81" s="100">
        <v>5.96</v>
      </c>
      <c r="J81" s="100">
        <v>0.57999999999999996</v>
      </c>
      <c r="K81" s="100">
        <v>271.39</v>
      </c>
      <c r="L81" s="100">
        <v>28.9</v>
      </c>
      <c r="M81" s="100">
        <v>70.62</v>
      </c>
      <c r="N81" s="100">
        <v>13.3</v>
      </c>
      <c r="O81" s="100">
        <v>0</v>
      </c>
      <c r="P81" s="100">
        <v>0.38</v>
      </c>
      <c r="Q81" s="100">
        <v>9.92</v>
      </c>
      <c r="R81" s="6"/>
      <c r="S81" s="6"/>
      <c r="T81" s="156"/>
      <c r="U81" s="6"/>
    </row>
    <row r="82" spans="1:21" customFormat="1">
      <c r="A82" s="163" t="s">
        <v>2329</v>
      </c>
      <c r="B82" s="100">
        <v>5.39</v>
      </c>
      <c r="C82" s="100">
        <v>12.46</v>
      </c>
      <c r="D82" s="100">
        <v>7.07</v>
      </c>
      <c r="E82" s="100">
        <v>5.55</v>
      </c>
      <c r="F82" s="100">
        <v>2.14</v>
      </c>
      <c r="G82" s="100">
        <v>70.98</v>
      </c>
      <c r="H82" s="100">
        <v>16.25</v>
      </c>
      <c r="I82" s="100">
        <v>5.94</v>
      </c>
      <c r="J82" s="100">
        <v>0.51</v>
      </c>
      <c r="K82" s="100">
        <v>250.86</v>
      </c>
      <c r="L82" s="100">
        <v>29.02</v>
      </c>
      <c r="M82" s="100">
        <v>69.83</v>
      </c>
      <c r="N82" s="100">
        <v>9.8000000000000007</v>
      </c>
      <c r="O82" s="100">
        <v>0</v>
      </c>
      <c r="P82" s="100">
        <v>0.38</v>
      </c>
      <c r="Q82" s="100">
        <v>9.91</v>
      </c>
      <c r="R82" s="6"/>
      <c r="S82" s="6"/>
      <c r="T82" s="156"/>
      <c r="U82" s="6"/>
    </row>
    <row r="83" spans="1:21" customFormat="1">
      <c r="A83" s="163" t="s">
        <v>2330</v>
      </c>
      <c r="B83" s="100">
        <v>5.19</v>
      </c>
      <c r="C83" s="100">
        <v>12.29</v>
      </c>
      <c r="D83" s="100">
        <v>7.1</v>
      </c>
      <c r="E83" s="100">
        <v>6.01</v>
      </c>
      <c r="F83" s="100">
        <v>2.27</v>
      </c>
      <c r="G83" s="100">
        <v>70.98</v>
      </c>
      <c r="H83" s="100">
        <v>16.25</v>
      </c>
      <c r="I83" s="100">
        <v>5.91</v>
      </c>
      <c r="J83" s="100">
        <v>0.61</v>
      </c>
      <c r="K83" s="100">
        <v>250.81</v>
      </c>
      <c r="L83" s="100">
        <v>29.19</v>
      </c>
      <c r="M83" s="100">
        <v>69</v>
      </c>
      <c r="N83" s="100">
        <v>5.2</v>
      </c>
      <c r="O83" s="100">
        <v>0</v>
      </c>
      <c r="P83" s="100">
        <v>0.4</v>
      </c>
      <c r="Q83" s="100">
        <v>9.92</v>
      </c>
      <c r="R83" s="6"/>
      <c r="S83" s="6"/>
      <c r="T83" s="156"/>
      <c r="U83" s="6"/>
    </row>
    <row r="84" spans="1:21" customFormat="1">
      <c r="A84" s="163" t="s">
        <v>2331</v>
      </c>
      <c r="B84" s="100">
        <v>5.03</v>
      </c>
      <c r="C84" s="100">
        <v>12.18</v>
      </c>
      <c r="D84" s="100">
        <v>7.14</v>
      </c>
      <c r="E84" s="100">
        <v>6.45</v>
      </c>
      <c r="F84" s="100">
        <v>2.2599999999999998</v>
      </c>
      <c r="G84" s="100">
        <v>70.98</v>
      </c>
      <c r="H84" s="100">
        <v>16.25</v>
      </c>
      <c r="I84" s="100">
        <v>5.97</v>
      </c>
      <c r="J84" s="100">
        <v>0.5</v>
      </c>
      <c r="K84" s="100">
        <v>256.68</v>
      </c>
      <c r="L84" s="100">
        <v>29.24</v>
      </c>
      <c r="M84" s="100">
        <v>69.209999999999994</v>
      </c>
      <c r="N84" s="100">
        <v>2.2999999999999998</v>
      </c>
      <c r="O84" s="100">
        <v>0</v>
      </c>
      <c r="P84" s="100">
        <v>0.44</v>
      </c>
      <c r="Q84" s="100">
        <v>9.92</v>
      </c>
      <c r="R84" s="6"/>
      <c r="S84" s="6"/>
      <c r="T84" s="156"/>
      <c r="U84" s="6"/>
    </row>
    <row r="85" spans="1:21" customFormat="1">
      <c r="A85" s="163" t="s">
        <v>2332</v>
      </c>
      <c r="B85" s="100">
        <v>4.84</v>
      </c>
      <c r="C85" s="100">
        <v>11.68</v>
      </c>
      <c r="D85" s="100">
        <v>6.83</v>
      </c>
      <c r="E85" s="100">
        <v>6.49</v>
      </c>
      <c r="F85" s="100">
        <v>2.84</v>
      </c>
      <c r="G85" s="100">
        <v>72.97</v>
      </c>
      <c r="H85" s="100">
        <v>17.3</v>
      </c>
      <c r="I85" s="100">
        <v>6.23</v>
      </c>
      <c r="J85" s="100">
        <v>0.51</v>
      </c>
      <c r="K85" s="100">
        <v>304.81</v>
      </c>
      <c r="L85" s="100">
        <v>29.23</v>
      </c>
      <c r="M85" s="100">
        <v>69.47</v>
      </c>
      <c r="N85" s="100">
        <v>2.1</v>
      </c>
      <c r="O85" s="100">
        <v>0</v>
      </c>
      <c r="P85" s="100">
        <v>0.44</v>
      </c>
      <c r="Q85" s="100">
        <v>9.92</v>
      </c>
      <c r="R85" s="6"/>
      <c r="S85" s="6"/>
      <c r="T85" s="156"/>
      <c r="U85" s="6"/>
    </row>
    <row r="86" spans="1:21" customFormat="1">
      <c r="A86" s="163" t="s">
        <v>2333</v>
      </c>
      <c r="B86" s="100">
        <v>5.01</v>
      </c>
      <c r="C86" s="100">
        <v>11.99</v>
      </c>
      <c r="D86" s="100">
        <v>6.98</v>
      </c>
      <c r="E86" s="100">
        <v>6.56</v>
      </c>
      <c r="F86" s="100">
        <v>2.41</v>
      </c>
      <c r="G86" s="100">
        <v>77.849999999999994</v>
      </c>
      <c r="H86" s="100">
        <v>19.02</v>
      </c>
      <c r="I86" s="100">
        <v>6.57</v>
      </c>
      <c r="J86" s="100">
        <v>0.53</v>
      </c>
      <c r="K86" s="100">
        <v>283.61</v>
      </c>
      <c r="L86" s="100">
        <v>29.33</v>
      </c>
      <c r="M86" s="100">
        <v>69.64</v>
      </c>
      <c r="N86" s="100">
        <v>2</v>
      </c>
      <c r="O86" s="100">
        <v>0</v>
      </c>
      <c r="P86" s="100">
        <v>0.44</v>
      </c>
      <c r="Q86" s="100">
        <v>9.92</v>
      </c>
      <c r="R86" s="6"/>
      <c r="S86" s="6"/>
      <c r="T86" s="156"/>
      <c r="U86" s="6"/>
    </row>
    <row r="87" spans="1:21" customFormat="1">
      <c r="A87" s="163" t="s">
        <v>2334</v>
      </c>
      <c r="B87" s="100">
        <v>5.39</v>
      </c>
      <c r="C87" s="100">
        <v>12.76</v>
      </c>
      <c r="D87" s="100">
        <v>7.37</v>
      </c>
      <c r="E87" s="100">
        <v>6.2</v>
      </c>
      <c r="F87" s="100">
        <v>2.34</v>
      </c>
      <c r="G87" s="100">
        <v>77.849999999999994</v>
      </c>
      <c r="H87" s="100">
        <v>19.02</v>
      </c>
      <c r="I87" s="100">
        <v>6.51</v>
      </c>
      <c r="J87" s="100">
        <v>0.55000000000000004</v>
      </c>
      <c r="K87" s="100">
        <v>281.07</v>
      </c>
      <c r="L87" s="100">
        <v>29.36</v>
      </c>
      <c r="M87" s="100">
        <v>69.760000000000005</v>
      </c>
      <c r="N87" s="100">
        <v>2.1</v>
      </c>
      <c r="O87" s="100">
        <v>0</v>
      </c>
      <c r="P87" s="100">
        <v>0.45</v>
      </c>
      <c r="Q87" s="100">
        <v>9.93</v>
      </c>
      <c r="R87" s="6"/>
      <c r="S87" s="6"/>
      <c r="T87" s="156"/>
      <c r="U87" s="6"/>
    </row>
    <row r="88" spans="1:21" customFormat="1">
      <c r="A88" s="163" t="s">
        <v>2335</v>
      </c>
      <c r="B88" s="100">
        <v>5.69</v>
      </c>
      <c r="C88" s="100">
        <v>13.21</v>
      </c>
      <c r="D88" s="100">
        <v>7.52</v>
      </c>
      <c r="E88" s="100">
        <v>6.08</v>
      </c>
      <c r="F88" s="100">
        <v>2.2999999999999998</v>
      </c>
      <c r="G88" s="100">
        <v>77.849999999999994</v>
      </c>
      <c r="H88" s="100">
        <v>19.02</v>
      </c>
      <c r="I88" s="100">
        <v>6.52</v>
      </c>
      <c r="J88" s="100">
        <v>0.66</v>
      </c>
      <c r="K88" s="100">
        <v>292.81</v>
      </c>
      <c r="L88" s="100">
        <v>29.36</v>
      </c>
      <c r="M88" s="100">
        <v>69.91</v>
      </c>
      <c r="N88" s="100">
        <v>2.1</v>
      </c>
      <c r="O88" s="100">
        <v>0</v>
      </c>
      <c r="P88" s="100">
        <v>0.45</v>
      </c>
      <c r="Q88" s="100">
        <v>9.94</v>
      </c>
      <c r="R88" s="6"/>
      <c r="S88" s="6"/>
      <c r="T88" s="156"/>
      <c r="U88" s="6"/>
    </row>
    <row r="89" spans="1:21" customFormat="1">
      <c r="A89" s="163" t="s">
        <v>2336</v>
      </c>
      <c r="B89" s="100">
        <v>5.77</v>
      </c>
      <c r="C89" s="100">
        <v>13.35</v>
      </c>
      <c r="D89" s="100">
        <v>7.58</v>
      </c>
      <c r="E89" s="100">
        <v>6.41</v>
      </c>
      <c r="F89" s="100">
        <v>2.23</v>
      </c>
      <c r="G89" s="100">
        <v>81.56</v>
      </c>
      <c r="H89" s="100">
        <v>19.989999999999998</v>
      </c>
      <c r="I89" s="100">
        <v>6.46</v>
      </c>
      <c r="J89" s="100">
        <v>0.27</v>
      </c>
      <c r="K89" s="100">
        <v>259.66000000000003</v>
      </c>
      <c r="L89" s="100">
        <v>29.35</v>
      </c>
      <c r="M89" s="100">
        <v>70.28</v>
      </c>
      <c r="N89" s="100">
        <v>2.1</v>
      </c>
      <c r="O89" s="100">
        <v>0</v>
      </c>
      <c r="P89" s="100">
        <v>0.46</v>
      </c>
      <c r="Q89" s="100">
        <v>9.9499999999999993</v>
      </c>
      <c r="R89" s="6"/>
      <c r="S89" s="6"/>
      <c r="T89" s="156"/>
      <c r="U89" s="6"/>
    </row>
    <row r="90" spans="1:21" customFormat="1">
      <c r="A90" s="163" t="s">
        <v>2337</v>
      </c>
      <c r="B90" s="100">
        <v>5.8</v>
      </c>
      <c r="C90" s="100">
        <v>13.23</v>
      </c>
      <c r="D90" s="100">
        <v>7.43</v>
      </c>
      <c r="E90" s="100">
        <v>6.43</v>
      </c>
      <c r="F90" s="100">
        <v>2.2999999999999998</v>
      </c>
      <c r="G90" s="100">
        <v>90.67</v>
      </c>
      <c r="H90" s="100">
        <v>21.59</v>
      </c>
      <c r="I90" s="100">
        <v>6.48</v>
      </c>
      <c r="J90" s="100">
        <v>0.5</v>
      </c>
      <c r="K90" s="100">
        <v>276.74</v>
      </c>
      <c r="L90" s="100">
        <v>29.3</v>
      </c>
      <c r="M90" s="100">
        <v>69.67</v>
      </c>
      <c r="N90" s="100">
        <v>2.1</v>
      </c>
      <c r="O90" s="100">
        <v>0</v>
      </c>
      <c r="P90" s="100">
        <v>0.45</v>
      </c>
      <c r="Q90" s="100">
        <v>9.9499999999999993</v>
      </c>
      <c r="R90" s="6"/>
      <c r="S90" s="6"/>
      <c r="T90" s="156"/>
      <c r="U90" s="6"/>
    </row>
    <row r="91" spans="1:21" customFormat="1">
      <c r="A91" s="163" t="s">
        <v>2338</v>
      </c>
      <c r="B91" s="100">
        <v>5.97</v>
      </c>
      <c r="C91" s="100">
        <v>13.32</v>
      </c>
      <c r="D91" s="100">
        <v>7.36</v>
      </c>
      <c r="E91" s="100">
        <v>6.62</v>
      </c>
      <c r="F91" s="100">
        <v>2.4</v>
      </c>
      <c r="G91" s="100">
        <v>90.67</v>
      </c>
      <c r="H91" s="100">
        <v>21.59</v>
      </c>
      <c r="I91" s="100">
        <v>6.41</v>
      </c>
      <c r="J91" s="100">
        <v>0.42</v>
      </c>
      <c r="K91" s="100">
        <v>281.39999999999998</v>
      </c>
      <c r="L91" s="100">
        <v>29.33</v>
      </c>
      <c r="M91" s="100">
        <v>69.59</v>
      </c>
      <c r="N91" s="100">
        <v>2.1</v>
      </c>
      <c r="O91" s="100">
        <v>0</v>
      </c>
      <c r="P91" s="100">
        <v>0.44</v>
      </c>
      <c r="Q91" s="100">
        <v>9.94</v>
      </c>
      <c r="R91" s="6"/>
      <c r="S91" s="6"/>
      <c r="T91" s="156"/>
      <c r="U91" s="6"/>
    </row>
    <row r="92" spans="1:21" customFormat="1">
      <c r="A92" s="163" t="s">
        <v>2339</v>
      </c>
      <c r="B92" s="100">
        <v>6.11</v>
      </c>
      <c r="C92" s="100">
        <v>13.44</v>
      </c>
      <c r="D92" s="100">
        <v>7.32</v>
      </c>
      <c r="E92" s="100">
        <v>6.45</v>
      </c>
      <c r="F92" s="100">
        <v>2.5</v>
      </c>
      <c r="G92" s="100">
        <v>90.67</v>
      </c>
      <c r="H92" s="100">
        <v>21.59</v>
      </c>
      <c r="I92" s="100">
        <v>6.38</v>
      </c>
      <c r="J92" s="100">
        <v>0.36</v>
      </c>
      <c r="K92" s="100">
        <v>265.76</v>
      </c>
      <c r="L92" s="100">
        <v>29.22</v>
      </c>
      <c r="M92" s="100">
        <v>69.98</v>
      </c>
      <c r="N92" s="100">
        <v>2.1</v>
      </c>
      <c r="O92" s="100">
        <v>0</v>
      </c>
      <c r="P92" s="100">
        <v>0.45</v>
      </c>
      <c r="Q92" s="100">
        <v>9.9499999999999993</v>
      </c>
      <c r="R92" s="6"/>
      <c r="S92" s="6"/>
      <c r="T92" s="156"/>
      <c r="U92" s="6"/>
    </row>
    <row r="93" spans="1:21" customFormat="1">
      <c r="A93" s="163" t="s">
        <v>2340</v>
      </c>
      <c r="B93" s="100">
        <v>6.14</v>
      </c>
      <c r="C93" s="100">
        <v>13.31</v>
      </c>
      <c r="D93" s="100">
        <v>7.17</v>
      </c>
      <c r="E93" s="100">
        <v>6.52</v>
      </c>
      <c r="F93" s="100">
        <v>2.58</v>
      </c>
      <c r="G93" s="100">
        <v>88.86</v>
      </c>
      <c r="H93" s="100">
        <v>20.62</v>
      </c>
      <c r="I93" s="100">
        <v>6.46</v>
      </c>
      <c r="J93" s="100">
        <v>0.45</v>
      </c>
      <c r="K93" s="100">
        <v>305.13</v>
      </c>
      <c r="L93" s="100">
        <v>29.26</v>
      </c>
      <c r="M93" s="100">
        <v>69.92</v>
      </c>
      <c r="N93" s="100">
        <v>2.1</v>
      </c>
      <c r="O93" s="100">
        <v>0</v>
      </c>
      <c r="P93" s="100">
        <v>0.44</v>
      </c>
      <c r="Q93" s="100">
        <v>9.93</v>
      </c>
      <c r="R93" s="6"/>
      <c r="S93" s="6"/>
      <c r="T93" s="156"/>
      <c r="U93" s="6"/>
    </row>
    <row r="94" spans="1:21" customFormat="1">
      <c r="A94" s="163" t="s">
        <v>2341</v>
      </c>
      <c r="B94" s="100">
        <v>6.27</v>
      </c>
      <c r="C94" s="100">
        <v>13.46</v>
      </c>
      <c r="D94" s="100">
        <v>7.19</v>
      </c>
      <c r="E94" s="100">
        <v>6.64</v>
      </c>
      <c r="F94" s="100">
        <v>3.02</v>
      </c>
      <c r="G94" s="100">
        <v>84.4</v>
      </c>
      <c r="H94" s="100">
        <v>19.02</v>
      </c>
      <c r="I94" s="100">
        <v>6.38</v>
      </c>
      <c r="J94" s="100">
        <v>0.39</v>
      </c>
      <c r="K94" s="100">
        <v>280.33999999999997</v>
      </c>
      <c r="L94" s="100">
        <v>29.22</v>
      </c>
      <c r="M94" s="100">
        <v>70.209999999999994</v>
      </c>
      <c r="N94" s="100">
        <v>2.1</v>
      </c>
      <c r="O94" s="100">
        <v>0</v>
      </c>
      <c r="P94" s="100">
        <v>0.45</v>
      </c>
      <c r="Q94" s="100">
        <v>9.93</v>
      </c>
      <c r="R94" s="6"/>
      <c r="S94" s="6"/>
      <c r="T94" s="156"/>
      <c r="U94" s="6"/>
    </row>
    <row r="95" spans="1:21" customFormat="1">
      <c r="A95" s="163" t="s">
        <v>2342</v>
      </c>
      <c r="B95" s="100">
        <v>6.37</v>
      </c>
      <c r="C95" s="100">
        <v>13.5</v>
      </c>
      <c r="D95" s="100">
        <v>7.13</v>
      </c>
      <c r="E95" s="100">
        <v>6.23</v>
      </c>
      <c r="F95" s="100">
        <v>2.41</v>
      </c>
      <c r="G95" s="100">
        <v>84.4</v>
      </c>
      <c r="H95" s="100">
        <v>19.02</v>
      </c>
      <c r="I95" s="100">
        <v>6.31</v>
      </c>
      <c r="J95" s="100">
        <v>0.42</v>
      </c>
      <c r="K95" s="100">
        <v>273.33999999999997</v>
      </c>
      <c r="L95" s="100">
        <v>29.16</v>
      </c>
      <c r="M95" s="100">
        <v>70.03</v>
      </c>
      <c r="N95" s="100">
        <v>2.1</v>
      </c>
      <c r="O95" s="100">
        <v>0</v>
      </c>
      <c r="P95" s="100">
        <v>0.44</v>
      </c>
      <c r="Q95" s="100">
        <v>9.93</v>
      </c>
      <c r="R95" s="6"/>
      <c r="S95" s="6"/>
      <c r="T95" s="156"/>
      <c r="U95" s="6"/>
    </row>
    <row r="96" spans="1:21" customFormat="1">
      <c r="A96" s="163" t="s">
        <v>2343</v>
      </c>
      <c r="B96" s="100">
        <v>6.33</v>
      </c>
      <c r="C96" s="100">
        <v>13.08</v>
      </c>
      <c r="D96" s="100">
        <v>6.75</v>
      </c>
      <c r="E96" s="100">
        <v>6.23</v>
      </c>
      <c r="F96" s="100">
        <v>2.59</v>
      </c>
      <c r="G96" s="100">
        <v>84.4</v>
      </c>
      <c r="H96" s="100">
        <v>19.02</v>
      </c>
      <c r="I96" s="100">
        <v>6.31</v>
      </c>
      <c r="J96" s="100">
        <v>0.21</v>
      </c>
      <c r="K96" s="100">
        <v>237.17</v>
      </c>
      <c r="L96" s="100">
        <v>29.09</v>
      </c>
      <c r="M96" s="100">
        <v>70.790000000000006</v>
      </c>
      <c r="N96" s="100">
        <v>2.1</v>
      </c>
      <c r="O96" s="100">
        <v>0</v>
      </c>
      <c r="P96" s="100">
        <v>0.45</v>
      </c>
      <c r="Q96" s="100">
        <v>9.94</v>
      </c>
      <c r="R96" s="6"/>
      <c r="S96" s="6"/>
      <c r="T96" s="156"/>
      <c r="U96" s="6"/>
    </row>
    <row r="97" spans="1:28" customFormat="1">
      <c r="A97" s="163" t="s">
        <v>2344</v>
      </c>
      <c r="B97" s="100">
        <v>6.14</v>
      </c>
      <c r="C97" s="100">
        <v>12.49</v>
      </c>
      <c r="D97" s="100">
        <v>6.35</v>
      </c>
      <c r="E97" s="100">
        <v>6.4</v>
      </c>
      <c r="F97" s="100">
        <v>3.24</v>
      </c>
      <c r="G97" s="100">
        <v>83.85</v>
      </c>
      <c r="H97" s="100">
        <v>19.68</v>
      </c>
      <c r="I97" s="100">
        <v>6.48</v>
      </c>
      <c r="J97" s="100">
        <v>0.37</v>
      </c>
      <c r="K97" s="100">
        <v>251.73</v>
      </c>
      <c r="L97" s="100">
        <v>29.06</v>
      </c>
      <c r="M97" s="100">
        <v>70.31</v>
      </c>
      <c r="N97" s="100">
        <v>2.1</v>
      </c>
      <c r="O97" s="100">
        <v>0</v>
      </c>
      <c r="P97" s="100">
        <v>0.44</v>
      </c>
      <c r="Q97" s="100">
        <v>9.93</v>
      </c>
      <c r="R97" s="6"/>
      <c r="S97" s="6"/>
      <c r="T97" s="156"/>
      <c r="U97" s="6"/>
    </row>
    <row r="98" spans="1:28" customFormat="1">
      <c r="A98" s="163" t="s">
        <v>2345</v>
      </c>
      <c r="B98" s="100">
        <v>5.88</v>
      </c>
      <c r="C98" s="100">
        <v>12.29</v>
      </c>
      <c r="D98" s="100">
        <v>6.41</v>
      </c>
      <c r="E98" s="100">
        <v>6.38</v>
      </c>
      <c r="F98" s="100">
        <v>2.67</v>
      </c>
      <c r="G98" s="100">
        <v>82.49</v>
      </c>
      <c r="H98" s="100">
        <v>22.39</v>
      </c>
      <c r="I98" s="100">
        <v>6.41</v>
      </c>
      <c r="J98" s="100">
        <v>0.17</v>
      </c>
      <c r="K98" s="100">
        <v>170.83</v>
      </c>
      <c r="L98" s="100">
        <v>29.05</v>
      </c>
      <c r="M98" s="100">
        <v>72.89</v>
      </c>
      <c r="N98" s="100">
        <v>1.9</v>
      </c>
      <c r="O98" s="100">
        <v>0</v>
      </c>
      <c r="P98" s="100">
        <v>0.43</v>
      </c>
      <c r="Q98" s="100">
        <v>9.93</v>
      </c>
      <c r="R98" s="6"/>
      <c r="S98" s="6"/>
      <c r="T98" s="156"/>
      <c r="U98" s="6"/>
    </row>
    <row r="99" spans="1:28" customFormat="1">
      <c r="A99" s="163" t="s">
        <v>2346</v>
      </c>
      <c r="B99" s="100">
        <v>5.73</v>
      </c>
      <c r="C99" s="100">
        <v>11.74</v>
      </c>
      <c r="D99" s="100">
        <v>6.01</v>
      </c>
      <c r="E99" s="100">
        <v>6.4</v>
      </c>
      <c r="F99" s="100">
        <v>2.56</v>
      </c>
      <c r="G99" s="100">
        <v>82.49</v>
      </c>
      <c r="H99" s="100">
        <v>22.39</v>
      </c>
      <c r="I99" s="100">
        <v>6.31</v>
      </c>
      <c r="J99" s="100">
        <v>0.12</v>
      </c>
      <c r="K99" s="100">
        <v>155.88999999999999</v>
      </c>
      <c r="L99" s="100">
        <v>28.52</v>
      </c>
      <c r="M99" s="100">
        <v>77.92</v>
      </c>
      <c r="N99" s="100">
        <v>1.8</v>
      </c>
      <c r="O99" s="100">
        <v>0</v>
      </c>
      <c r="P99" s="100">
        <v>0.43</v>
      </c>
      <c r="Q99" s="100">
        <v>9.92</v>
      </c>
      <c r="R99" s="6"/>
      <c r="S99" s="6"/>
      <c r="T99" s="156"/>
      <c r="U99" s="6"/>
    </row>
    <row r="100" spans="1:28" customFormat="1">
      <c r="A100" s="163" t="s">
        <v>2347</v>
      </c>
      <c r="B100" s="100">
        <v>5.57</v>
      </c>
      <c r="C100" s="100">
        <v>11.05</v>
      </c>
      <c r="D100" s="100">
        <v>5.48</v>
      </c>
      <c r="E100" s="100">
        <v>6.43</v>
      </c>
      <c r="F100" s="100">
        <v>2.82</v>
      </c>
      <c r="G100" s="100">
        <v>82.49</v>
      </c>
      <c r="H100" s="100">
        <v>22.39</v>
      </c>
      <c r="I100" s="100">
        <v>6.29</v>
      </c>
      <c r="J100" s="100">
        <v>0.12</v>
      </c>
      <c r="K100" s="100">
        <v>217.71</v>
      </c>
      <c r="L100" s="100">
        <v>28.34</v>
      </c>
      <c r="M100" s="100">
        <v>76.650000000000006</v>
      </c>
      <c r="N100" s="100">
        <v>2.1</v>
      </c>
      <c r="O100" s="100">
        <v>0</v>
      </c>
      <c r="P100" s="100">
        <v>0.42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2348</v>
      </c>
      <c r="B101" s="100">
        <v>5.26</v>
      </c>
      <c r="C101" s="100">
        <v>10.36</v>
      </c>
      <c r="D101" s="100">
        <v>5.1100000000000003</v>
      </c>
      <c r="E101" s="100">
        <v>6.1</v>
      </c>
      <c r="F101" s="100">
        <v>4.8600000000000003</v>
      </c>
      <c r="G101" s="100">
        <v>80.02</v>
      </c>
      <c r="H101" s="100">
        <v>21.99</v>
      </c>
      <c r="I101" s="100">
        <v>6.16</v>
      </c>
      <c r="J101" s="100">
        <v>7.0000000000000007E-2</v>
      </c>
      <c r="K101" s="100">
        <v>217.95</v>
      </c>
      <c r="L101" s="100">
        <v>28.26</v>
      </c>
      <c r="M101" s="100">
        <v>77.400000000000006</v>
      </c>
      <c r="N101" s="100">
        <v>2.1</v>
      </c>
      <c r="O101" s="100">
        <v>0</v>
      </c>
      <c r="P101" s="100">
        <v>0.41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2349</v>
      </c>
      <c r="B102" s="100">
        <v>5.33</v>
      </c>
      <c r="C102" s="100">
        <v>9.65</v>
      </c>
      <c r="D102" s="100">
        <v>4.32</v>
      </c>
      <c r="E102" s="100">
        <v>5.72</v>
      </c>
      <c r="F102" s="100">
        <v>5.9</v>
      </c>
      <c r="G102" s="100">
        <v>73.91</v>
      </c>
      <c r="H102" s="100">
        <v>21.32</v>
      </c>
      <c r="I102" s="100">
        <v>6.1</v>
      </c>
      <c r="J102" s="100">
        <v>0.09</v>
      </c>
      <c r="K102" s="100">
        <v>222.22</v>
      </c>
      <c r="L102" s="100">
        <v>28.03</v>
      </c>
      <c r="M102" s="100">
        <v>77.040000000000006</v>
      </c>
      <c r="N102" s="100">
        <v>2.2000000000000002</v>
      </c>
      <c r="O102" s="100">
        <v>0</v>
      </c>
      <c r="P102" s="100">
        <v>0.39</v>
      </c>
      <c r="Q102" s="100">
        <v>9.9499999999999993</v>
      </c>
      <c r="R102" s="6"/>
      <c r="S102" s="6"/>
      <c r="T102" s="156"/>
      <c r="U102" s="6"/>
    </row>
    <row r="103" spans="1:28" customFormat="1">
      <c r="A103" s="163" t="s">
        <v>2350</v>
      </c>
      <c r="B103" s="100">
        <v>5.38</v>
      </c>
      <c r="C103" s="100">
        <v>9.0500000000000007</v>
      </c>
      <c r="D103" s="100">
        <v>3.67</v>
      </c>
      <c r="E103" s="100">
        <v>5.49</v>
      </c>
      <c r="F103" s="100">
        <v>5.31</v>
      </c>
      <c r="G103" s="100">
        <v>73.91</v>
      </c>
      <c r="H103" s="100">
        <v>21.32</v>
      </c>
      <c r="I103" s="100">
        <v>5.3</v>
      </c>
      <c r="J103" s="100">
        <v>0.2</v>
      </c>
      <c r="K103" s="100">
        <v>224.41</v>
      </c>
      <c r="L103" s="100">
        <v>27.9</v>
      </c>
      <c r="M103" s="100">
        <v>78.36</v>
      </c>
      <c r="N103" s="100">
        <v>2.1</v>
      </c>
      <c r="O103" s="100">
        <v>0</v>
      </c>
      <c r="P103" s="100">
        <v>0.37</v>
      </c>
      <c r="Q103" s="100">
        <v>9.9499999999999993</v>
      </c>
      <c r="R103" s="6"/>
      <c r="S103" s="6"/>
      <c r="T103" s="156"/>
      <c r="U103" s="6"/>
    </row>
    <row r="104" spans="1:28" customFormat="1">
      <c r="A104" s="163" t="s">
        <v>2351</v>
      </c>
      <c r="B104" s="100">
        <v>5.42</v>
      </c>
      <c r="C104" s="100">
        <v>8.6999999999999993</v>
      </c>
      <c r="D104" s="100">
        <v>3.28</v>
      </c>
      <c r="E104" s="100">
        <v>5.05</v>
      </c>
      <c r="F104" s="100">
        <v>5.63</v>
      </c>
      <c r="G104" s="100">
        <v>73.91</v>
      </c>
      <c r="H104" s="100">
        <v>21.32</v>
      </c>
      <c r="I104" s="100">
        <v>5.31</v>
      </c>
      <c r="J104" s="100">
        <v>0.22</v>
      </c>
      <c r="K104" s="100">
        <v>237.63</v>
      </c>
      <c r="L104" s="100">
        <v>27.83</v>
      </c>
      <c r="M104" s="100">
        <v>77.38</v>
      </c>
      <c r="N104" s="100">
        <v>2.1</v>
      </c>
      <c r="O104" s="100">
        <v>0</v>
      </c>
      <c r="P104" s="100">
        <v>0.35</v>
      </c>
      <c r="Q104" s="100">
        <v>9.9499999999999993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3.76</v>
      </c>
      <c r="C106" s="158">
        <f>MIN(C9:C104)</f>
        <v>6.81</v>
      </c>
      <c r="D106" s="158">
        <f t="shared" ref="D106:Q106" si="0">MIN(D9:D104)</f>
        <v>2.21</v>
      </c>
      <c r="E106" s="158">
        <f t="shared" si="0"/>
        <v>3.03</v>
      </c>
      <c r="F106" s="158">
        <f t="shared" si="0"/>
        <v>2.1</v>
      </c>
      <c r="G106" s="158">
        <f t="shared" si="0"/>
        <v>28.96</v>
      </c>
      <c r="H106" s="158">
        <f t="shared" si="0"/>
        <v>6.55</v>
      </c>
      <c r="I106" s="158">
        <f t="shared" si="0"/>
        <v>4.21</v>
      </c>
      <c r="J106" s="158">
        <f t="shared" si="0"/>
        <v>7.0000000000000007E-2</v>
      </c>
      <c r="K106" s="158">
        <f t="shared" si="0"/>
        <v>155.88999999999999</v>
      </c>
      <c r="L106" s="158">
        <f t="shared" si="0"/>
        <v>26.96</v>
      </c>
      <c r="M106" s="158">
        <f t="shared" si="0"/>
        <v>57.14</v>
      </c>
      <c r="N106" s="158">
        <f t="shared" si="0"/>
        <v>1.7</v>
      </c>
      <c r="O106" s="158">
        <f t="shared" si="0"/>
        <v>0</v>
      </c>
      <c r="P106" s="158">
        <f t="shared" si="0"/>
        <v>0.28999999999999998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7.12</v>
      </c>
      <c r="C107" s="157">
        <f t="shared" ref="C107:Q107" si="1">MAX(C9:C104)</f>
        <v>13.5</v>
      </c>
      <c r="D107" s="157">
        <f t="shared" si="1"/>
        <v>7.58</v>
      </c>
      <c r="E107" s="157">
        <f t="shared" si="1"/>
        <v>6.64</v>
      </c>
      <c r="F107" s="157">
        <f t="shared" si="1"/>
        <v>8.52</v>
      </c>
      <c r="G107" s="157">
        <f t="shared" si="1"/>
        <v>90.67</v>
      </c>
      <c r="H107" s="157">
        <f t="shared" si="1"/>
        <v>22.39</v>
      </c>
      <c r="I107" s="157">
        <f t="shared" si="1"/>
        <v>6.57</v>
      </c>
      <c r="J107" s="157">
        <f t="shared" si="1"/>
        <v>1.72</v>
      </c>
      <c r="K107" s="157">
        <f t="shared" si="1"/>
        <v>305.81</v>
      </c>
      <c r="L107" s="157">
        <f t="shared" si="1"/>
        <v>32.270000000000003</v>
      </c>
      <c r="M107" s="157">
        <f t="shared" si="1"/>
        <v>78.36</v>
      </c>
      <c r="N107" s="157">
        <f t="shared" si="1"/>
        <v>402.9</v>
      </c>
      <c r="O107" s="157">
        <f t="shared" si="1"/>
        <v>0.2</v>
      </c>
      <c r="P107" s="157">
        <f t="shared" si="1"/>
        <v>0.46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4.7482291666666647</v>
      </c>
      <c r="C108" s="158">
        <f t="shared" ref="C108:Q108" si="2">AVERAGE(C9:C104)</f>
        <v>9.4193750000000005</v>
      </c>
      <c r="D108" s="158">
        <f t="shared" si="2"/>
        <v>4.6708333333333334</v>
      </c>
      <c r="E108" s="158">
        <f t="shared" si="2"/>
        <v>4.8028125000000008</v>
      </c>
      <c r="F108" s="158">
        <f t="shared" si="2"/>
        <v>3.6310416666666665</v>
      </c>
      <c r="G108" s="158">
        <f t="shared" si="2"/>
        <v>56.204062499999985</v>
      </c>
      <c r="H108" s="158">
        <f t="shared" si="2"/>
        <v>14.579062499999994</v>
      </c>
      <c r="I108" s="158">
        <f t="shared" si="2"/>
        <v>5.3803125000000014</v>
      </c>
      <c r="J108" s="158">
        <f t="shared" si="2"/>
        <v>0.79270833333333324</v>
      </c>
      <c r="K108" s="158">
        <f t="shared" si="2"/>
        <v>262.29197916666675</v>
      </c>
      <c r="L108" s="158">
        <f t="shared" si="2"/>
        <v>29.368958333333335</v>
      </c>
      <c r="M108" s="158">
        <f t="shared" si="2"/>
        <v>68.754999999999981</v>
      </c>
      <c r="N108" s="158">
        <f t="shared" si="2"/>
        <v>86.281250000000057</v>
      </c>
      <c r="O108" s="158">
        <f t="shared" si="2"/>
        <v>2.0833333333333333E-3</v>
      </c>
      <c r="P108" s="158">
        <f t="shared" si="2"/>
        <v>0.36854166666666671</v>
      </c>
      <c r="Q108" s="158">
        <f t="shared" si="2"/>
        <v>9.9167708333333255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0.75205122276788905</v>
      </c>
      <c r="C109" s="158">
        <f t="shared" ref="C109:Q109" si="3">STDEV(C9:C104)</f>
        <v>1.94971134840654</v>
      </c>
      <c r="D109" s="158">
        <f t="shared" si="3"/>
        <v>1.4174184589313403</v>
      </c>
      <c r="E109" s="158">
        <f t="shared" si="3"/>
        <v>1.0724617064688575</v>
      </c>
      <c r="F109" s="158">
        <f t="shared" si="3"/>
        <v>1.5167982061716743</v>
      </c>
      <c r="G109" s="158">
        <f t="shared" si="3"/>
        <v>17.825565884757854</v>
      </c>
      <c r="H109" s="158">
        <f t="shared" si="3"/>
        <v>4.5337527335182601</v>
      </c>
      <c r="I109" s="158">
        <f t="shared" si="3"/>
        <v>0.68842375738845696</v>
      </c>
      <c r="J109" s="158">
        <f t="shared" si="3"/>
        <v>0.37906388620463577</v>
      </c>
      <c r="K109" s="158">
        <f t="shared" si="3"/>
        <v>23.63105528613573</v>
      </c>
      <c r="L109" s="158">
        <f t="shared" si="3"/>
        <v>1.3933922855404031</v>
      </c>
      <c r="M109" s="158">
        <f t="shared" si="3"/>
        <v>6.0476862909450118</v>
      </c>
      <c r="N109" s="158">
        <f t="shared" si="3"/>
        <v>109.24895501126137</v>
      </c>
      <c r="O109" s="158">
        <f t="shared" si="3"/>
        <v>2.0412414523193152E-2</v>
      </c>
      <c r="P109" s="158">
        <f t="shared" si="3"/>
        <v>4.5721794104566955E-2</v>
      </c>
      <c r="Q109" s="158">
        <f t="shared" si="3"/>
        <v>1.4902828531711843E-2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4" sqref="F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2352</v>
      </c>
      <c r="B9" s="100">
        <v>5.46</v>
      </c>
      <c r="C9" s="100">
        <v>8.61</v>
      </c>
      <c r="D9" s="100">
        <v>3.14</v>
      </c>
      <c r="E9" s="100">
        <v>5.36</v>
      </c>
      <c r="F9" s="100">
        <v>3.94</v>
      </c>
      <c r="G9" s="100">
        <v>71.239999999999995</v>
      </c>
      <c r="H9" s="100">
        <v>19</v>
      </c>
      <c r="I9" s="100">
        <v>5.16</v>
      </c>
      <c r="J9" s="100">
        <v>0.38</v>
      </c>
      <c r="K9" s="100">
        <v>248.64</v>
      </c>
      <c r="L9" s="100">
        <v>27.76</v>
      </c>
      <c r="M9" s="100">
        <v>77.27</v>
      </c>
      <c r="N9" s="100">
        <v>2.1</v>
      </c>
      <c r="O9" s="100">
        <v>0</v>
      </c>
      <c r="P9" s="100">
        <v>0.39</v>
      </c>
      <c r="Q9" s="100">
        <v>9.93</v>
      </c>
      <c r="R9" s="6"/>
      <c r="S9" s="6"/>
      <c r="T9" s="156"/>
      <c r="U9" s="6"/>
    </row>
    <row r="10" spans="1:21" customFormat="1">
      <c r="A10" s="163" t="s">
        <v>2353</v>
      </c>
      <c r="B10" s="100">
        <v>5.49</v>
      </c>
      <c r="C10" s="100">
        <v>8.84</v>
      </c>
      <c r="D10" s="100">
        <v>3.35</v>
      </c>
      <c r="E10" s="100">
        <v>5.59</v>
      </c>
      <c r="F10" s="100">
        <v>2.54</v>
      </c>
      <c r="G10" s="100">
        <v>64.66</v>
      </c>
      <c r="H10" s="100">
        <v>15.18</v>
      </c>
      <c r="I10" s="100">
        <v>5.18</v>
      </c>
      <c r="J10" s="100">
        <v>0.42</v>
      </c>
      <c r="K10" s="100">
        <v>255.74</v>
      </c>
      <c r="L10" s="100">
        <v>27.68</v>
      </c>
      <c r="M10" s="100">
        <v>77.59</v>
      </c>
      <c r="N10" s="100">
        <v>2.1</v>
      </c>
      <c r="O10" s="100">
        <v>0</v>
      </c>
      <c r="P10" s="100">
        <v>0.39</v>
      </c>
      <c r="Q10" s="100">
        <v>9.92</v>
      </c>
      <c r="R10" s="6"/>
      <c r="S10" s="6"/>
      <c r="T10" s="156"/>
      <c r="U10" s="6"/>
    </row>
    <row r="11" spans="1:21" customFormat="1">
      <c r="A11" s="163" t="s">
        <v>2354</v>
      </c>
      <c r="B11" s="100">
        <v>5.58</v>
      </c>
      <c r="C11" s="100">
        <v>8.44</v>
      </c>
      <c r="D11" s="100">
        <v>2.87</v>
      </c>
      <c r="E11" s="100">
        <v>5.57</v>
      </c>
      <c r="F11" s="100">
        <v>4.55</v>
      </c>
      <c r="G11" s="100">
        <v>64.66</v>
      </c>
      <c r="H11" s="100">
        <v>15.18</v>
      </c>
      <c r="I11" s="100">
        <v>5.68</v>
      </c>
      <c r="J11" s="100">
        <v>0.28000000000000003</v>
      </c>
      <c r="K11" s="100">
        <v>240.1</v>
      </c>
      <c r="L11" s="100">
        <v>27.62</v>
      </c>
      <c r="M11" s="100">
        <v>78.13</v>
      </c>
      <c r="N11" s="100">
        <v>2.1</v>
      </c>
      <c r="O11" s="100">
        <v>0</v>
      </c>
      <c r="P11" s="100">
        <v>0.36</v>
      </c>
      <c r="Q11" s="100">
        <v>9.93</v>
      </c>
      <c r="R11" s="6"/>
      <c r="S11" s="6"/>
      <c r="T11" s="156"/>
      <c r="U11" s="6"/>
    </row>
    <row r="12" spans="1:21" customFormat="1">
      <c r="A12" s="163" t="s">
        <v>2355</v>
      </c>
      <c r="B12" s="100">
        <v>5.44</v>
      </c>
      <c r="C12" s="100">
        <v>8.15</v>
      </c>
      <c r="D12" s="100">
        <v>2.71</v>
      </c>
      <c r="E12" s="100">
        <v>5.35</v>
      </c>
      <c r="F12" s="100">
        <v>2.96</v>
      </c>
      <c r="G12" s="100">
        <v>64.66</v>
      </c>
      <c r="H12" s="100">
        <v>15.18</v>
      </c>
      <c r="I12" s="100">
        <v>5.51</v>
      </c>
      <c r="J12" s="100">
        <v>0.17</v>
      </c>
      <c r="K12" s="100">
        <v>224.73</v>
      </c>
      <c r="L12" s="100">
        <v>27.49</v>
      </c>
      <c r="M12" s="100">
        <v>79.12</v>
      </c>
      <c r="N12" s="100">
        <v>2.1</v>
      </c>
      <c r="O12" s="100">
        <v>0</v>
      </c>
      <c r="P12" s="100">
        <v>0.36</v>
      </c>
      <c r="Q12" s="100">
        <v>9.93</v>
      </c>
      <c r="R12" s="6"/>
      <c r="S12" s="6"/>
      <c r="T12" s="156"/>
      <c r="U12" s="6"/>
    </row>
    <row r="13" spans="1:21" customFormat="1">
      <c r="A13" s="163" t="s">
        <v>2356</v>
      </c>
      <c r="B13" s="100">
        <v>5.39</v>
      </c>
      <c r="C13" s="100">
        <v>8.31</v>
      </c>
      <c r="D13" s="100">
        <v>2.91</v>
      </c>
      <c r="E13" s="100">
        <v>5.36</v>
      </c>
      <c r="F13" s="100">
        <v>4.46</v>
      </c>
      <c r="G13" s="100">
        <v>63.33</v>
      </c>
      <c r="H13" s="100">
        <v>14.26</v>
      </c>
      <c r="I13" s="100">
        <v>5.23</v>
      </c>
      <c r="J13" s="100">
        <v>0.15</v>
      </c>
      <c r="K13" s="100">
        <v>232.79</v>
      </c>
      <c r="L13" s="100">
        <v>27.29</v>
      </c>
      <c r="M13" s="100">
        <v>80.61</v>
      </c>
      <c r="N13" s="100">
        <v>2.1</v>
      </c>
      <c r="O13" s="100">
        <v>0</v>
      </c>
      <c r="P13" s="100">
        <v>0.36</v>
      </c>
      <c r="Q13" s="100">
        <v>9.93</v>
      </c>
      <c r="R13" s="6"/>
      <c r="S13" s="6"/>
      <c r="T13" s="156"/>
      <c r="U13" s="6"/>
    </row>
    <row r="14" spans="1:21" customFormat="1">
      <c r="A14" s="163" t="s">
        <v>2357</v>
      </c>
      <c r="B14" s="100">
        <v>5.34</v>
      </c>
      <c r="C14" s="100">
        <v>8.1300000000000008</v>
      </c>
      <c r="D14" s="100">
        <v>2.8</v>
      </c>
      <c r="E14" s="100">
        <v>5.24</v>
      </c>
      <c r="F14" s="100">
        <v>4.5999999999999996</v>
      </c>
      <c r="G14" s="100">
        <v>59.87</v>
      </c>
      <c r="H14" s="100">
        <v>12.71</v>
      </c>
      <c r="I14" s="100">
        <v>5.33</v>
      </c>
      <c r="J14" s="100">
        <v>0.16</v>
      </c>
      <c r="K14" s="100">
        <v>238.98</v>
      </c>
      <c r="L14" s="100">
        <v>27.15</v>
      </c>
      <c r="M14" s="100">
        <v>81.209999999999994</v>
      </c>
      <c r="N14" s="100">
        <v>2.1</v>
      </c>
      <c r="O14" s="100">
        <v>0</v>
      </c>
      <c r="P14" s="100">
        <v>0.33</v>
      </c>
      <c r="Q14" s="100">
        <v>9.94</v>
      </c>
      <c r="R14" s="6"/>
      <c r="S14" s="6"/>
      <c r="T14" s="156"/>
      <c r="U14" s="6"/>
    </row>
    <row r="15" spans="1:21" customFormat="1">
      <c r="A15" s="163" t="s">
        <v>2358</v>
      </c>
      <c r="B15" s="100">
        <v>5.46</v>
      </c>
      <c r="C15" s="100">
        <v>7.94</v>
      </c>
      <c r="D15" s="100">
        <v>2.48</v>
      </c>
      <c r="E15" s="100">
        <v>5.08</v>
      </c>
      <c r="F15" s="100">
        <v>3.19</v>
      </c>
      <c r="G15" s="100">
        <v>59.87</v>
      </c>
      <c r="H15" s="100">
        <v>12.71</v>
      </c>
      <c r="I15" s="100">
        <v>5.09</v>
      </c>
      <c r="J15" s="100">
        <v>0.17</v>
      </c>
      <c r="K15" s="100">
        <v>240.41</v>
      </c>
      <c r="L15" s="100">
        <v>27.15</v>
      </c>
      <c r="M15" s="100">
        <v>81.09</v>
      </c>
      <c r="N15" s="100">
        <v>2</v>
      </c>
      <c r="O15" s="100">
        <v>0</v>
      </c>
      <c r="P15" s="100">
        <v>0.33</v>
      </c>
      <c r="Q15" s="100">
        <v>9.94</v>
      </c>
      <c r="R15" s="6"/>
      <c r="S15" s="6"/>
      <c r="T15" s="156"/>
      <c r="U15" s="6"/>
    </row>
    <row r="16" spans="1:21" customFormat="1">
      <c r="A16" s="163" t="s">
        <v>2359</v>
      </c>
      <c r="B16" s="100">
        <v>5.55</v>
      </c>
      <c r="C16" s="100">
        <v>8.27</v>
      </c>
      <c r="D16" s="100">
        <v>2.72</v>
      </c>
      <c r="E16" s="100">
        <v>5.6</v>
      </c>
      <c r="F16" s="100">
        <v>2.36</v>
      </c>
      <c r="G16" s="100">
        <v>59.87</v>
      </c>
      <c r="H16" s="100">
        <v>12.71</v>
      </c>
      <c r="I16" s="100">
        <v>4.8499999999999996</v>
      </c>
      <c r="J16" s="100">
        <v>0.2</v>
      </c>
      <c r="K16" s="100">
        <v>243.53</v>
      </c>
      <c r="L16" s="100">
        <v>27.11</v>
      </c>
      <c r="M16" s="100">
        <v>81.47</v>
      </c>
      <c r="N16" s="100">
        <v>2</v>
      </c>
      <c r="O16" s="100">
        <v>0</v>
      </c>
      <c r="P16" s="100">
        <v>0.36</v>
      </c>
      <c r="Q16" s="100">
        <v>9.92</v>
      </c>
      <c r="R16" s="6"/>
      <c r="S16" s="6"/>
      <c r="T16" s="156"/>
      <c r="U16" s="6"/>
    </row>
    <row r="17" spans="1:21" customFormat="1">
      <c r="A17" s="163" t="s">
        <v>2360</v>
      </c>
      <c r="B17" s="100">
        <v>5.51</v>
      </c>
      <c r="C17" s="100">
        <v>8.24</v>
      </c>
      <c r="D17" s="100">
        <v>2.72</v>
      </c>
      <c r="E17" s="100">
        <v>4.05</v>
      </c>
      <c r="F17" s="100">
        <v>3.04</v>
      </c>
      <c r="G17" s="100">
        <v>56.29</v>
      </c>
      <c r="H17" s="100">
        <v>13.61</v>
      </c>
      <c r="I17" s="100">
        <v>5.04</v>
      </c>
      <c r="J17" s="100">
        <v>0.39</v>
      </c>
      <c r="K17" s="100">
        <v>253.17</v>
      </c>
      <c r="L17" s="100">
        <v>26.97</v>
      </c>
      <c r="M17" s="100">
        <v>81.81</v>
      </c>
      <c r="N17" s="100">
        <v>2.1</v>
      </c>
      <c r="O17" s="100">
        <v>0</v>
      </c>
      <c r="P17" s="100">
        <v>0.33</v>
      </c>
      <c r="Q17" s="100">
        <v>9.94</v>
      </c>
      <c r="R17" s="6"/>
      <c r="S17" s="6"/>
      <c r="T17" s="156"/>
      <c r="U17" s="6"/>
    </row>
    <row r="18" spans="1:21" customFormat="1">
      <c r="A18" s="163" t="s">
        <v>2361</v>
      </c>
      <c r="B18" s="100">
        <v>5.53</v>
      </c>
      <c r="C18" s="100">
        <v>8.17</v>
      </c>
      <c r="D18" s="100">
        <v>2.64</v>
      </c>
      <c r="E18" s="100">
        <v>5.57</v>
      </c>
      <c r="F18" s="100">
        <v>2.44</v>
      </c>
      <c r="G18" s="100">
        <v>47.48</v>
      </c>
      <c r="H18" s="100">
        <v>15.1</v>
      </c>
      <c r="I18" s="100">
        <v>5.15</v>
      </c>
      <c r="J18" s="100">
        <v>0.34</v>
      </c>
      <c r="K18" s="100">
        <v>252.43</v>
      </c>
      <c r="L18" s="100">
        <v>26.95</v>
      </c>
      <c r="M18" s="100">
        <v>81.819999999999993</v>
      </c>
      <c r="N18" s="100">
        <v>2</v>
      </c>
      <c r="O18" s="100">
        <v>0</v>
      </c>
      <c r="P18" s="100">
        <v>0.36</v>
      </c>
      <c r="Q18" s="100">
        <v>9.93</v>
      </c>
      <c r="R18" s="6"/>
      <c r="S18" s="6"/>
      <c r="T18" s="156"/>
      <c r="U18" s="6"/>
    </row>
    <row r="19" spans="1:21" customFormat="1">
      <c r="A19" s="163" t="s">
        <v>2362</v>
      </c>
      <c r="B19" s="100">
        <v>5.59</v>
      </c>
      <c r="C19" s="100">
        <v>8.26</v>
      </c>
      <c r="D19" s="100">
        <v>2.67</v>
      </c>
      <c r="E19" s="100">
        <v>5.26</v>
      </c>
      <c r="F19" s="100">
        <v>2.5299999999999998</v>
      </c>
      <c r="G19" s="100">
        <v>47.48</v>
      </c>
      <c r="H19" s="100">
        <v>15.1</v>
      </c>
      <c r="I19" s="100">
        <v>4.95</v>
      </c>
      <c r="J19" s="100">
        <v>0.23</v>
      </c>
      <c r="K19" s="100">
        <v>246.78</v>
      </c>
      <c r="L19" s="100">
        <v>27</v>
      </c>
      <c r="M19" s="100">
        <v>81.489999999999995</v>
      </c>
      <c r="N19" s="100">
        <v>2.1</v>
      </c>
      <c r="O19" s="100">
        <v>0</v>
      </c>
      <c r="P19" s="100">
        <v>0.33</v>
      </c>
      <c r="Q19" s="100">
        <v>9.92</v>
      </c>
      <c r="R19" s="6"/>
      <c r="S19" s="6"/>
      <c r="T19" s="156"/>
      <c r="U19" s="6"/>
    </row>
    <row r="20" spans="1:21" customFormat="1">
      <c r="A20" s="163" t="s">
        <v>2363</v>
      </c>
      <c r="B20" s="100">
        <v>5.57</v>
      </c>
      <c r="C20" s="100">
        <v>8.0299999999999994</v>
      </c>
      <c r="D20" s="100">
        <v>2.46</v>
      </c>
      <c r="E20" s="100">
        <v>4.88</v>
      </c>
      <c r="F20" s="100">
        <v>3.18</v>
      </c>
      <c r="G20" s="100">
        <v>47.48</v>
      </c>
      <c r="H20" s="100">
        <v>15.1</v>
      </c>
      <c r="I20" s="100">
        <v>5.01</v>
      </c>
      <c r="J20" s="100">
        <v>0.36</v>
      </c>
      <c r="K20" s="100">
        <v>252.75</v>
      </c>
      <c r="L20" s="100">
        <v>26.91</v>
      </c>
      <c r="M20" s="100">
        <v>81.75</v>
      </c>
      <c r="N20" s="100">
        <v>2.1</v>
      </c>
      <c r="O20" s="100">
        <v>0</v>
      </c>
      <c r="P20" s="100">
        <v>0.31</v>
      </c>
      <c r="Q20" s="100">
        <v>9.9499999999999993</v>
      </c>
      <c r="R20" s="6"/>
      <c r="S20" s="6"/>
      <c r="T20" s="156"/>
      <c r="U20" s="6"/>
    </row>
    <row r="21" spans="1:21" customFormat="1">
      <c r="A21" s="163" t="s">
        <v>2364</v>
      </c>
      <c r="B21" s="100">
        <v>5.66</v>
      </c>
      <c r="C21" s="100">
        <v>8.15</v>
      </c>
      <c r="D21" s="100">
        <v>2.4900000000000002</v>
      </c>
      <c r="E21" s="100">
        <v>5.04</v>
      </c>
      <c r="F21" s="100">
        <v>2.17</v>
      </c>
      <c r="G21" s="100">
        <v>46.35</v>
      </c>
      <c r="H21" s="100">
        <v>14.14</v>
      </c>
      <c r="I21" s="100">
        <v>4.7699999999999996</v>
      </c>
      <c r="J21" s="100">
        <v>0.22</v>
      </c>
      <c r="K21" s="100">
        <v>238.62</v>
      </c>
      <c r="L21" s="100">
        <v>26.86</v>
      </c>
      <c r="M21" s="100">
        <v>82.24</v>
      </c>
      <c r="N21" s="100">
        <v>2.1</v>
      </c>
      <c r="O21" s="100">
        <v>0</v>
      </c>
      <c r="P21" s="100">
        <v>0.34</v>
      </c>
      <c r="Q21" s="100">
        <v>9.93</v>
      </c>
      <c r="R21" s="6"/>
      <c r="S21" s="6"/>
      <c r="T21" s="156"/>
      <c r="U21" s="6"/>
    </row>
    <row r="22" spans="1:21" customFormat="1">
      <c r="A22" s="163" t="s">
        <v>2365</v>
      </c>
      <c r="B22" s="100">
        <v>5.62</v>
      </c>
      <c r="C22" s="100">
        <v>8.3699999999999992</v>
      </c>
      <c r="D22" s="100">
        <v>2.75</v>
      </c>
      <c r="E22" s="100">
        <v>5.35</v>
      </c>
      <c r="F22" s="100">
        <v>2.1</v>
      </c>
      <c r="G22" s="100">
        <v>43.59</v>
      </c>
      <c r="H22" s="100">
        <v>12.52</v>
      </c>
      <c r="I22" s="100">
        <v>4.79</v>
      </c>
      <c r="J22" s="100">
        <v>0.17</v>
      </c>
      <c r="K22" s="100">
        <v>239.16</v>
      </c>
      <c r="L22" s="100">
        <v>26.83</v>
      </c>
      <c r="M22" s="100">
        <v>82.71</v>
      </c>
      <c r="N22" s="100">
        <v>2.1</v>
      </c>
      <c r="O22" s="100">
        <v>0</v>
      </c>
      <c r="P22" s="100">
        <v>0.32</v>
      </c>
      <c r="Q22" s="100">
        <v>9.93</v>
      </c>
      <c r="R22" s="6"/>
      <c r="S22" s="6"/>
      <c r="T22" s="156"/>
      <c r="U22" s="6"/>
    </row>
    <row r="23" spans="1:21" customFormat="1">
      <c r="A23" s="163" t="s">
        <v>2366</v>
      </c>
      <c r="B23" s="100">
        <v>5.59</v>
      </c>
      <c r="C23" s="100">
        <v>8.19</v>
      </c>
      <c r="D23" s="100">
        <v>2.6</v>
      </c>
      <c r="E23" s="100">
        <v>5.09</v>
      </c>
      <c r="F23" s="100">
        <v>2.71</v>
      </c>
      <c r="G23" s="100">
        <v>43.59</v>
      </c>
      <c r="H23" s="100">
        <v>12.52</v>
      </c>
      <c r="I23" s="100">
        <v>4.8600000000000003</v>
      </c>
      <c r="J23" s="100">
        <v>0.2</v>
      </c>
      <c r="K23" s="100">
        <v>239.86</v>
      </c>
      <c r="L23" s="100">
        <v>26.77</v>
      </c>
      <c r="M23" s="100">
        <v>82.99</v>
      </c>
      <c r="N23" s="100">
        <v>2.1</v>
      </c>
      <c r="O23" s="100">
        <v>0</v>
      </c>
      <c r="P23" s="100">
        <v>0.3</v>
      </c>
      <c r="Q23" s="100">
        <v>9.93</v>
      </c>
      <c r="R23" s="6"/>
      <c r="S23" s="6"/>
      <c r="T23" s="156"/>
      <c r="U23" s="6"/>
    </row>
    <row r="24" spans="1:21" customFormat="1">
      <c r="A24" s="163" t="s">
        <v>2367</v>
      </c>
      <c r="B24" s="100">
        <v>5.69</v>
      </c>
      <c r="C24" s="100">
        <v>9.4600000000000009</v>
      </c>
      <c r="D24" s="100">
        <v>3.77</v>
      </c>
      <c r="E24" s="100">
        <v>5.01</v>
      </c>
      <c r="F24" s="100">
        <v>2.19</v>
      </c>
      <c r="G24" s="100">
        <v>43.59</v>
      </c>
      <c r="H24" s="100">
        <v>12.52</v>
      </c>
      <c r="I24" s="100">
        <v>4.71</v>
      </c>
      <c r="J24" s="100">
        <v>0.17</v>
      </c>
      <c r="K24" s="100">
        <v>218.03</v>
      </c>
      <c r="L24" s="100">
        <v>26.8</v>
      </c>
      <c r="M24" s="100">
        <v>82.93</v>
      </c>
      <c r="N24" s="100">
        <v>2.1</v>
      </c>
      <c r="O24" s="100">
        <v>0</v>
      </c>
      <c r="P24" s="100">
        <v>0.28000000000000003</v>
      </c>
      <c r="Q24" s="100">
        <v>9.92</v>
      </c>
      <c r="R24" s="6"/>
      <c r="S24" s="6"/>
      <c r="T24" s="156"/>
      <c r="U24" s="6"/>
    </row>
    <row r="25" spans="1:21" customFormat="1">
      <c r="A25" s="163" t="s">
        <v>2368</v>
      </c>
      <c r="B25" s="100">
        <v>5.53</v>
      </c>
      <c r="C25" s="100">
        <v>9.68</v>
      </c>
      <c r="D25" s="100">
        <v>4.1399999999999997</v>
      </c>
      <c r="E25" s="100">
        <v>5.08</v>
      </c>
      <c r="F25" s="100">
        <v>2.17</v>
      </c>
      <c r="G25" s="100">
        <v>41.28</v>
      </c>
      <c r="H25" s="100">
        <v>11.79</v>
      </c>
      <c r="I25" s="100">
        <v>4.58</v>
      </c>
      <c r="J25" s="100">
        <v>0.26</v>
      </c>
      <c r="K25" s="100">
        <v>237.71</v>
      </c>
      <c r="L25" s="100">
        <v>26.76</v>
      </c>
      <c r="M25" s="100">
        <v>83.1</v>
      </c>
      <c r="N25" s="100">
        <v>2.1</v>
      </c>
      <c r="O25" s="100">
        <v>0</v>
      </c>
      <c r="P25" s="100">
        <v>0.26</v>
      </c>
      <c r="Q25" s="100">
        <v>9.9</v>
      </c>
      <c r="R25" s="6"/>
      <c r="S25" s="6"/>
      <c r="T25" s="156"/>
      <c r="U25" s="6"/>
    </row>
    <row r="26" spans="1:21" customFormat="1">
      <c r="A26" s="163" t="s">
        <v>2369</v>
      </c>
      <c r="B26" s="100">
        <v>5.4</v>
      </c>
      <c r="C26" s="100">
        <v>9.43</v>
      </c>
      <c r="D26" s="100">
        <v>4.03</v>
      </c>
      <c r="E26" s="100">
        <v>5.0999999999999996</v>
      </c>
      <c r="F26" s="100">
        <v>2.21</v>
      </c>
      <c r="G26" s="100">
        <v>35.6</v>
      </c>
      <c r="H26" s="100">
        <v>8.83</v>
      </c>
      <c r="I26" s="100">
        <v>4.6100000000000003</v>
      </c>
      <c r="J26" s="100">
        <v>0.36</v>
      </c>
      <c r="K26" s="100">
        <v>255.91</v>
      </c>
      <c r="L26" s="100">
        <v>26.61</v>
      </c>
      <c r="M26" s="100">
        <v>83.44</v>
      </c>
      <c r="N26" s="100">
        <v>2.1</v>
      </c>
      <c r="O26" s="100">
        <v>0</v>
      </c>
      <c r="P26" s="100">
        <v>0.25</v>
      </c>
      <c r="Q26" s="100">
        <v>9.92</v>
      </c>
      <c r="R26" s="6"/>
      <c r="S26" s="6"/>
      <c r="T26" s="156"/>
      <c r="U26" s="6"/>
    </row>
    <row r="27" spans="1:21" customFormat="1">
      <c r="A27" s="163" t="s">
        <v>2370</v>
      </c>
      <c r="B27" s="100">
        <v>5.26</v>
      </c>
      <c r="C27" s="100">
        <v>9.2899999999999991</v>
      </c>
      <c r="D27" s="100">
        <v>4.03</v>
      </c>
      <c r="E27" s="100">
        <v>5.22</v>
      </c>
      <c r="F27" s="100">
        <v>2.12</v>
      </c>
      <c r="G27" s="100">
        <v>35.6</v>
      </c>
      <c r="H27" s="100">
        <v>8.83</v>
      </c>
      <c r="I27" s="100">
        <v>4.49</v>
      </c>
      <c r="J27" s="100">
        <v>0.48</v>
      </c>
      <c r="K27" s="100">
        <v>255.6</v>
      </c>
      <c r="L27" s="100">
        <v>26.53</v>
      </c>
      <c r="M27" s="100">
        <v>83.73</v>
      </c>
      <c r="N27" s="100">
        <v>2.1</v>
      </c>
      <c r="O27" s="100">
        <v>0</v>
      </c>
      <c r="P27" s="100">
        <v>0.24</v>
      </c>
      <c r="Q27" s="100">
        <v>9.92</v>
      </c>
      <c r="R27" s="6"/>
      <c r="S27" s="6"/>
      <c r="T27" s="156"/>
      <c r="U27" s="6"/>
    </row>
    <row r="28" spans="1:21" customFormat="1">
      <c r="A28" s="163" t="s">
        <v>2371</v>
      </c>
      <c r="B28" s="100">
        <v>5.1100000000000003</v>
      </c>
      <c r="C28" s="100">
        <v>9.1</v>
      </c>
      <c r="D28" s="100">
        <v>3.99</v>
      </c>
      <c r="E28" s="100">
        <v>5.46</v>
      </c>
      <c r="F28" s="100">
        <v>2.1</v>
      </c>
      <c r="G28" s="100">
        <v>35.6</v>
      </c>
      <c r="H28" s="100">
        <v>8.83</v>
      </c>
      <c r="I28" s="100">
        <v>4.3899999999999997</v>
      </c>
      <c r="J28" s="100">
        <v>0.38</v>
      </c>
      <c r="K28" s="100">
        <v>261.57</v>
      </c>
      <c r="L28" s="100">
        <v>26.48</v>
      </c>
      <c r="M28" s="100">
        <v>84.03</v>
      </c>
      <c r="N28" s="100">
        <v>2.1</v>
      </c>
      <c r="O28" s="100">
        <v>0</v>
      </c>
      <c r="P28" s="100">
        <v>0.23</v>
      </c>
      <c r="Q28" s="100">
        <v>9.92</v>
      </c>
      <c r="R28" s="6"/>
      <c r="S28" s="6"/>
      <c r="T28" s="156"/>
      <c r="U28" s="6"/>
    </row>
    <row r="29" spans="1:21" customFormat="1">
      <c r="A29" s="163" t="s">
        <v>2372</v>
      </c>
      <c r="B29" s="100">
        <v>4.9800000000000004</v>
      </c>
      <c r="C29" s="100">
        <v>8.98</v>
      </c>
      <c r="D29" s="100">
        <v>4</v>
      </c>
      <c r="E29" s="100">
        <v>5.04</v>
      </c>
      <c r="F29" s="100">
        <v>2.1</v>
      </c>
      <c r="G29" s="100">
        <v>35.28</v>
      </c>
      <c r="H29" s="100">
        <v>8.52</v>
      </c>
      <c r="I29" s="100">
        <v>4.3099999999999996</v>
      </c>
      <c r="J29" s="100">
        <v>0.3</v>
      </c>
      <c r="K29" s="100">
        <v>250.26</v>
      </c>
      <c r="L29" s="100">
        <v>26.54</v>
      </c>
      <c r="M29" s="100">
        <v>83.91</v>
      </c>
      <c r="N29" s="100">
        <v>2.1</v>
      </c>
      <c r="O29" s="100">
        <v>0</v>
      </c>
      <c r="P29" s="100">
        <v>0.23</v>
      </c>
      <c r="Q29" s="100">
        <v>9.92</v>
      </c>
      <c r="R29" s="6"/>
      <c r="S29" s="6"/>
      <c r="T29" s="156"/>
      <c r="U29" s="6"/>
    </row>
    <row r="30" spans="1:21" customFormat="1">
      <c r="A30" s="163" t="s">
        <v>2373</v>
      </c>
      <c r="B30" s="100">
        <v>4.93</v>
      </c>
      <c r="C30" s="100">
        <v>8.86</v>
      </c>
      <c r="D30" s="100">
        <v>3.93</v>
      </c>
      <c r="E30" s="100">
        <v>5.4</v>
      </c>
      <c r="F30" s="100">
        <v>2.42</v>
      </c>
      <c r="G30" s="100">
        <v>34.479999999999997</v>
      </c>
      <c r="H30" s="100">
        <v>8.02</v>
      </c>
      <c r="I30" s="100">
        <v>4.24</v>
      </c>
      <c r="J30" s="100">
        <v>0.35</v>
      </c>
      <c r="K30" s="100">
        <v>249.14</v>
      </c>
      <c r="L30" s="100">
        <v>26.66</v>
      </c>
      <c r="M30" s="100">
        <v>83.38</v>
      </c>
      <c r="N30" s="100">
        <v>2.6</v>
      </c>
      <c r="O30" s="100">
        <v>0</v>
      </c>
      <c r="P30" s="100">
        <v>0.23</v>
      </c>
      <c r="Q30" s="100">
        <v>9.91</v>
      </c>
      <c r="R30" s="6"/>
      <c r="S30" s="6"/>
      <c r="T30" s="156"/>
      <c r="U30" s="6"/>
    </row>
    <row r="31" spans="1:21" customFormat="1">
      <c r="A31" s="163" t="s">
        <v>2374</v>
      </c>
      <c r="B31" s="100">
        <v>4.88</v>
      </c>
      <c r="C31" s="100">
        <v>8.7799999999999994</v>
      </c>
      <c r="D31" s="100">
        <v>3.9</v>
      </c>
      <c r="E31" s="100">
        <v>5.45</v>
      </c>
      <c r="F31" s="100">
        <v>2.2200000000000002</v>
      </c>
      <c r="G31" s="100">
        <v>34.479999999999997</v>
      </c>
      <c r="H31" s="100">
        <v>8.02</v>
      </c>
      <c r="I31" s="100">
        <v>4.1500000000000004</v>
      </c>
      <c r="J31" s="100">
        <v>0.51</v>
      </c>
      <c r="K31" s="100">
        <v>256.56</v>
      </c>
      <c r="L31" s="100">
        <v>26.66</v>
      </c>
      <c r="M31" s="100">
        <v>83.23</v>
      </c>
      <c r="N31" s="100">
        <v>5.9</v>
      </c>
      <c r="O31" s="100">
        <v>0</v>
      </c>
      <c r="P31" s="100">
        <v>0.22</v>
      </c>
      <c r="Q31" s="100">
        <v>9.91</v>
      </c>
      <c r="R31" s="6"/>
      <c r="S31" s="6"/>
      <c r="T31" s="156"/>
      <c r="U31" s="6"/>
    </row>
    <row r="32" spans="1:21" customFormat="1">
      <c r="A32" s="163" t="s">
        <v>2375</v>
      </c>
      <c r="B32" s="100">
        <v>4.82</v>
      </c>
      <c r="C32" s="100">
        <v>8.68</v>
      </c>
      <c r="D32" s="100">
        <v>3.86</v>
      </c>
      <c r="E32" s="100">
        <v>5.43</v>
      </c>
      <c r="F32" s="100">
        <v>2.2400000000000002</v>
      </c>
      <c r="G32" s="100">
        <v>34.479999999999997</v>
      </c>
      <c r="H32" s="100">
        <v>8.02</v>
      </c>
      <c r="I32" s="100">
        <v>4.0599999999999996</v>
      </c>
      <c r="J32" s="100">
        <v>0.41</v>
      </c>
      <c r="K32" s="100">
        <v>254.87</v>
      </c>
      <c r="L32" s="100">
        <v>26.82</v>
      </c>
      <c r="M32" s="100">
        <v>82.36</v>
      </c>
      <c r="N32" s="100">
        <v>12.7</v>
      </c>
      <c r="O32" s="100">
        <v>0</v>
      </c>
      <c r="P32" s="100">
        <v>0.22</v>
      </c>
      <c r="Q32" s="100">
        <v>9.92</v>
      </c>
      <c r="R32" s="6"/>
      <c r="S32" s="6"/>
      <c r="T32" s="156"/>
      <c r="U32" s="6"/>
    </row>
    <row r="33" spans="1:21" customFormat="1">
      <c r="A33" s="163" t="s">
        <v>2376</v>
      </c>
      <c r="B33" s="100">
        <v>4.74</v>
      </c>
      <c r="C33" s="100">
        <v>8.58</v>
      </c>
      <c r="D33" s="100">
        <v>3.84</v>
      </c>
      <c r="E33" s="100">
        <v>5.46</v>
      </c>
      <c r="F33" s="100">
        <v>2.19</v>
      </c>
      <c r="G33" s="100">
        <v>33.39</v>
      </c>
      <c r="H33" s="100">
        <v>7.16</v>
      </c>
      <c r="I33" s="100">
        <v>4.0199999999999996</v>
      </c>
      <c r="J33" s="100">
        <v>0.5</v>
      </c>
      <c r="K33" s="100">
        <v>254.41</v>
      </c>
      <c r="L33" s="100">
        <v>26.91</v>
      </c>
      <c r="M33" s="100">
        <v>81.680000000000007</v>
      </c>
      <c r="N33" s="100">
        <v>23.9</v>
      </c>
      <c r="O33" s="100">
        <v>0</v>
      </c>
      <c r="P33" s="100">
        <v>0.22</v>
      </c>
      <c r="Q33" s="100">
        <v>9.92</v>
      </c>
      <c r="R33" s="6"/>
      <c r="S33" s="6"/>
      <c r="T33" s="156"/>
      <c r="U33" s="6"/>
    </row>
    <row r="34" spans="1:21" customFormat="1">
      <c r="A34" s="163" t="s">
        <v>2377</v>
      </c>
      <c r="B34" s="100">
        <v>4.66</v>
      </c>
      <c r="C34" s="100">
        <v>8.6</v>
      </c>
      <c r="D34" s="100">
        <v>3.94</v>
      </c>
      <c r="E34" s="100">
        <v>5.55</v>
      </c>
      <c r="F34" s="100">
        <v>2.4900000000000002</v>
      </c>
      <c r="G34" s="100">
        <v>30.69</v>
      </c>
      <c r="H34" s="100">
        <v>5.74</v>
      </c>
      <c r="I34" s="100">
        <v>4.01</v>
      </c>
      <c r="J34" s="100">
        <v>0.52</v>
      </c>
      <c r="K34" s="100">
        <v>262.91000000000003</v>
      </c>
      <c r="L34" s="100">
        <v>27.05</v>
      </c>
      <c r="M34" s="100">
        <v>80.569999999999993</v>
      </c>
      <c r="N34" s="100">
        <v>24.7</v>
      </c>
      <c r="O34" s="100">
        <v>0</v>
      </c>
      <c r="P34" s="100">
        <v>0.22</v>
      </c>
      <c r="Q34" s="100">
        <v>9.91</v>
      </c>
      <c r="R34" s="6"/>
      <c r="S34" s="6"/>
      <c r="T34" s="156"/>
      <c r="U34" s="6"/>
    </row>
    <row r="35" spans="1:21" customFormat="1">
      <c r="A35" s="163" t="s">
        <v>2378</v>
      </c>
      <c r="B35" s="100">
        <v>4.62</v>
      </c>
      <c r="C35" s="100">
        <v>8.4700000000000006</v>
      </c>
      <c r="D35" s="100">
        <v>3.85</v>
      </c>
      <c r="E35" s="100">
        <v>5.77</v>
      </c>
      <c r="F35" s="100">
        <v>2.78</v>
      </c>
      <c r="G35" s="100">
        <v>30.69</v>
      </c>
      <c r="H35" s="100">
        <v>5.74</v>
      </c>
      <c r="I35" s="100">
        <v>3.98</v>
      </c>
      <c r="J35" s="100">
        <v>0.73</v>
      </c>
      <c r="K35" s="100">
        <v>253.51</v>
      </c>
      <c r="L35" s="100">
        <v>27.06</v>
      </c>
      <c r="M35" s="100">
        <v>79.37</v>
      </c>
      <c r="N35" s="100">
        <v>35.6</v>
      </c>
      <c r="O35" s="100">
        <v>0</v>
      </c>
      <c r="P35" s="100">
        <v>0.21</v>
      </c>
      <c r="Q35" s="100">
        <v>9.9</v>
      </c>
      <c r="R35" s="6"/>
      <c r="S35" s="6"/>
      <c r="T35" s="156"/>
      <c r="U35" s="6"/>
    </row>
    <row r="36" spans="1:21" customFormat="1">
      <c r="A36" s="163" t="s">
        <v>2379</v>
      </c>
      <c r="B36" s="100">
        <v>4.58</v>
      </c>
      <c r="C36" s="100">
        <v>8.39</v>
      </c>
      <c r="D36" s="100">
        <v>3.82</v>
      </c>
      <c r="E36" s="100">
        <v>5.52</v>
      </c>
      <c r="F36" s="100">
        <v>2.42</v>
      </c>
      <c r="G36" s="100">
        <v>30.69</v>
      </c>
      <c r="H36" s="100">
        <v>5.74</v>
      </c>
      <c r="I36" s="100">
        <v>3.9</v>
      </c>
      <c r="J36" s="100">
        <v>0.67</v>
      </c>
      <c r="K36" s="100">
        <v>251.37</v>
      </c>
      <c r="L36" s="100">
        <v>27.21</v>
      </c>
      <c r="M36" s="100">
        <v>77.88</v>
      </c>
      <c r="N36" s="100">
        <v>47.3</v>
      </c>
      <c r="O36" s="100">
        <v>0</v>
      </c>
      <c r="P36" s="100">
        <v>0.21</v>
      </c>
      <c r="Q36" s="100">
        <v>9.9</v>
      </c>
      <c r="R36" s="6"/>
      <c r="S36" s="6"/>
      <c r="T36" s="156"/>
      <c r="U36" s="6"/>
    </row>
    <row r="37" spans="1:21" customFormat="1">
      <c r="A37" s="163" t="s">
        <v>2380</v>
      </c>
      <c r="B37" s="100">
        <v>4.5</v>
      </c>
      <c r="C37" s="100">
        <v>8.31</v>
      </c>
      <c r="D37" s="100">
        <v>3.81</v>
      </c>
      <c r="E37" s="100">
        <v>5.54</v>
      </c>
      <c r="F37" s="100">
        <v>2.4900000000000002</v>
      </c>
      <c r="G37" s="100">
        <v>30.95</v>
      </c>
      <c r="H37" s="100">
        <v>5.09</v>
      </c>
      <c r="I37" s="100">
        <v>4.04</v>
      </c>
      <c r="J37" s="100">
        <v>0.94</v>
      </c>
      <c r="K37" s="100">
        <v>253.32</v>
      </c>
      <c r="L37" s="100">
        <v>27.3</v>
      </c>
      <c r="M37" s="100">
        <v>76.41</v>
      </c>
      <c r="N37" s="100">
        <v>67</v>
      </c>
      <c r="O37" s="100">
        <v>0</v>
      </c>
      <c r="P37" s="100">
        <v>0.2</v>
      </c>
      <c r="Q37" s="100">
        <v>9.91</v>
      </c>
      <c r="R37" s="6"/>
      <c r="S37" s="6"/>
      <c r="T37" s="156"/>
      <c r="U37" s="6"/>
    </row>
    <row r="38" spans="1:21" customFormat="1">
      <c r="A38" s="163" t="s">
        <v>2381</v>
      </c>
      <c r="B38" s="100">
        <v>4.38</v>
      </c>
      <c r="C38" s="100">
        <v>8.36</v>
      </c>
      <c r="D38" s="100">
        <v>3.97</v>
      </c>
      <c r="E38" s="100">
        <v>5.8</v>
      </c>
      <c r="F38" s="100">
        <v>2.4700000000000002</v>
      </c>
      <c r="G38" s="100">
        <v>31.58</v>
      </c>
      <c r="H38" s="100">
        <v>4.0199999999999996</v>
      </c>
      <c r="I38" s="100">
        <v>4</v>
      </c>
      <c r="J38" s="100">
        <v>0.89</v>
      </c>
      <c r="K38" s="100">
        <v>257.81</v>
      </c>
      <c r="L38" s="100">
        <v>27.38</v>
      </c>
      <c r="M38" s="100">
        <v>75.959999999999994</v>
      </c>
      <c r="N38" s="100">
        <v>74.8</v>
      </c>
      <c r="O38" s="100">
        <v>0</v>
      </c>
      <c r="P38" s="100">
        <v>0.2</v>
      </c>
      <c r="Q38" s="100">
        <v>9.91</v>
      </c>
      <c r="R38" s="6"/>
      <c r="S38" s="6"/>
      <c r="T38" s="156"/>
      <c r="U38" s="6"/>
    </row>
    <row r="39" spans="1:21" customFormat="1">
      <c r="A39" s="163" t="s">
        <v>2382</v>
      </c>
      <c r="B39" s="100">
        <v>4.34</v>
      </c>
      <c r="C39" s="100">
        <v>8.3000000000000007</v>
      </c>
      <c r="D39" s="100">
        <v>3.96</v>
      </c>
      <c r="E39" s="100">
        <v>5.73</v>
      </c>
      <c r="F39" s="100">
        <v>2.88</v>
      </c>
      <c r="G39" s="100">
        <v>31.58</v>
      </c>
      <c r="H39" s="100">
        <v>4.0199999999999996</v>
      </c>
      <c r="I39" s="100">
        <v>3.92</v>
      </c>
      <c r="J39" s="100">
        <v>0.9</v>
      </c>
      <c r="K39" s="100">
        <v>254.9</v>
      </c>
      <c r="L39" s="100">
        <v>27.48</v>
      </c>
      <c r="M39" s="100">
        <v>74.66</v>
      </c>
      <c r="N39" s="100">
        <v>89.9</v>
      </c>
      <c r="O39" s="100">
        <v>0</v>
      </c>
      <c r="P39" s="100">
        <v>0.2</v>
      </c>
      <c r="Q39" s="100">
        <v>9.89</v>
      </c>
      <c r="R39" s="6"/>
      <c r="S39" s="6"/>
      <c r="T39" s="156"/>
      <c r="U39" s="6"/>
    </row>
    <row r="40" spans="1:21" customFormat="1">
      <c r="A40" s="163" t="s">
        <v>2383</v>
      </c>
      <c r="B40" s="100">
        <v>4.3</v>
      </c>
      <c r="C40" s="100">
        <v>8.26</v>
      </c>
      <c r="D40" s="100">
        <v>3.96</v>
      </c>
      <c r="E40" s="100">
        <v>5.95</v>
      </c>
      <c r="F40" s="100">
        <v>3</v>
      </c>
      <c r="G40" s="100">
        <v>31.58</v>
      </c>
      <c r="H40" s="100">
        <v>4.0199999999999996</v>
      </c>
      <c r="I40" s="100">
        <v>3.9</v>
      </c>
      <c r="J40" s="100">
        <v>1.1299999999999999</v>
      </c>
      <c r="K40" s="100">
        <v>259.33999999999997</v>
      </c>
      <c r="L40" s="100">
        <v>27.64</v>
      </c>
      <c r="M40" s="100">
        <v>73.69</v>
      </c>
      <c r="N40" s="100">
        <v>118.2</v>
      </c>
      <c r="O40" s="100">
        <v>0</v>
      </c>
      <c r="P40" s="100">
        <v>0.21</v>
      </c>
      <c r="Q40" s="100">
        <v>9.9</v>
      </c>
      <c r="R40" s="6"/>
      <c r="S40" s="6"/>
      <c r="T40" s="156"/>
      <c r="U40" s="6"/>
    </row>
    <row r="41" spans="1:21" customFormat="1">
      <c r="A41" s="163" t="s">
        <v>2384</v>
      </c>
      <c r="B41" s="100">
        <v>4.2300000000000004</v>
      </c>
      <c r="C41" s="100">
        <v>8.23</v>
      </c>
      <c r="D41" s="100">
        <v>4</v>
      </c>
      <c r="E41" s="100">
        <v>5.85</v>
      </c>
      <c r="F41" s="100">
        <v>3.4</v>
      </c>
      <c r="G41" s="100">
        <v>31.75</v>
      </c>
      <c r="H41" s="100">
        <v>4.63</v>
      </c>
      <c r="I41" s="100">
        <v>3.89</v>
      </c>
      <c r="J41" s="100">
        <v>1</v>
      </c>
      <c r="K41" s="100">
        <v>258.57</v>
      </c>
      <c r="L41" s="100">
        <v>27.87</v>
      </c>
      <c r="M41" s="100">
        <v>72.83</v>
      </c>
      <c r="N41" s="100">
        <v>129.4</v>
      </c>
      <c r="O41" s="100">
        <v>0</v>
      </c>
      <c r="P41" s="100">
        <v>0.21</v>
      </c>
      <c r="Q41" s="100">
        <v>9.91</v>
      </c>
      <c r="R41" s="6"/>
      <c r="S41" s="6"/>
      <c r="T41" s="156"/>
      <c r="U41" s="6"/>
    </row>
    <row r="42" spans="1:21" customFormat="1">
      <c r="A42" s="163" t="s">
        <v>2385</v>
      </c>
      <c r="B42" s="100">
        <v>4.1500000000000004</v>
      </c>
      <c r="C42" s="100">
        <v>8.14</v>
      </c>
      <c r="D42" s="100">
        <v>3.99</v>
      </c>
      <c r="E42" s="100">
        <v>5.95</v>
      </c>
      <c r="F42" s="100">
        <v>3.4</v>
      </c>
      <c r="G42" s="100">
        <v>32.15</v>
      </c>
      <c r="H42" s="100">
        <v>5.63</v>
      </c>
      <c r="I42" s="100">
        <v>3.9</v>
      </c>
      <c r="J42" s="100">
        <v>0.99</v>
      </c>
      <c r="K42" s="100">
        <v>260.7</v>
      </c>
      <c r="L42" s="100">
        <v>28.15</v>
      </c>
      <c r="M42" s="100">
        <v>72.16</v>
      </c>
      <c r="N42" s="100">
        <v>149.30000000000001</v>
      </c>
      <c r="O42" s="100">
        <v>0</v>
      </c>
      <c r="P42" s="100">
        <v>0.2</v>
      </c>
      <c r="Q42" s="100">
        <v>9.91</v>
      </c>
      <c r="R42" s="6"/>
      <c r="S42" s="6"/>
      <c r="T42" s="156"/>
      <c r="U42" s="6"/>
    </row>
    <row r="43" spans="1:21" customFormat="1">
      <c r="A43" s="163" t="s">
        <v>2386</v>
      </c>
      <c r="B43" s="100">
        <v>4.13</v>
      </c>
      <c r="C43" s="100">
        <v>8.0500000000000007</v>
      </c>
      <c r="D43" s="100">
        <v>3.92</v>
      </c>
      <c r="E43" s="100">
        <v>5.91</v>
      </c>
      <c r="F43" s="100">
        <v>3.39</v>
      </c>
      <c r="G43" s="100">
        <v>32.15</v>
      </c>
      <c r="H43" s="100">
        <v>5.63</v>
      </c>
      <c r="I43" s="100">
        <v>3.97</v>
      </c>
      <c r="J43" s="100">
        <v>1.0900000000000001</v>
      </c>
      <c r="K43" s="100">
        <v>261.02</v>
      </c>
      <c r="L43" s="100">
        <v>28.38</v>
      </c>
      <c r="M43" s="100">
        <v>71.77</v>
      </c>
      <c r="N43" s="100">
        <v>169.9</v>
      </c>
      <c r="O43" s="100">
        <v>0</v>
      </c>
      <c r="P43" s="100">
        <v>0.2</v>
      </c>
      <c r="Q43" s="100">
        <v>9.9</v>
      </c>
      <c r="R43" s="6"/>
      <c r="S43" s="6"/>
      <c r="T43" s="156"/>
      <c r="U43" s="6"/>
    </row>
    <row r="44" spans="1:21" customFormat="1">
      <c r="A44" s="163" t="s">
        <v>2387</v>
      </c>
      <c r="B44" s="100">
        <v>4.17</v>
      </c>
      <c r="C44" s="100">
        <v>8.35</v>
      </c>
      <c r="D44" s="100">
        <v>4.1900000000000004</v>
      </c>
      <c r="E44" s="100">
        <v>6.19</v>
      </c>
      <c r="F44" s="100">
        <v>2.78</v>
      </c>
      <c r="G44" s="100">
        <v>32.15</v>
      </c>
      <c r="H44" s="100">
        <v>5.63</v>
      </c>
      <c r="I44" s="100">
        <v>3.99</v>
      </c>
      <c r="J44" s="100">
        <v>1.1399999999999999</v>
      </c>
      <c r="K44" s="100">
        <v>257.16000000000003</v>
      </c>
      <c r="L44" s="100">
        <v>28.46</v>
      </c>
      <c r="M44" s="100">
        <v>71.56</v>
      </c>
      <c r="N44" s="100">
        <v>184.1</v>
      </c>
      <c r="O44" s="100">
        <v>0</v>
      </c>
      <c r="P44" s="100">
        <v>0.27</v>
      </c>
      <c r="Q44" s="100">
        <v>9.92</v>
      </c>
      <c r="R44" s="6"/>
      <c r="S44" s="6"/>
      <c r="T44" s="156"/>
      <c r="U44" s="6"/>
    </row>
    <row r="45" spans="1:21" customFormat="1">
      <c r="A45" s="163" t="s">
        <v>2388</v>
      </c>
      <c r="B45" s="100">
        <v>4.47</v>
      </c>
      <c r="C45" s="100">
        <v>8.5299999999999994</v>
      </c>
      <c r="D45" s="100">
        <v>4.0599999999999996</v>
      </c>
      <c r="E45" s="100">
        <v>6.46</v>
      </c>
      <c r="F45" s="100">
        <v>2.11</v>
      </c>
      <c r="G45" s="100">
        <v>32.909999999999997</v>
      </c>
      <c r="H45" s="100">
        <v>6.01</v>
      </c>
      <c r="I45" s="100">
        <v>4.0199999999999996</v>
      </c>
      <c r="J45" s="100">
        <v>0.93</v>
      </c>
      <c r="K45" s="100">
        <v>258.37</v>
      </c>
      <c r="L45" s="100">
        <v>28.93</v>
      </c>
      <c r="M45" s="100">
        <v>70.12</v>
      </c>
      <c r="N45" s="100">
        <v>194.6</v>
      </c>
      <c r="O45" s="100">
        <v>0</v>
      </c>
      <c r="P45" s="100">
        <v>0.31</v>
      </c>
      <c r="Q45" s="100">
        <v>9.93</v>
      </c>
      <c r="R45" s="6"/>
      <c r="S45" s="6"/>
      <c r="T45" s="156"/>
      <c r="U45" s="6"/>
    </row>
    <row r="46" spans="1:21" customFormat="1">
      <c r="A46" s="163" t="s">
        <v>2389</v>
      </c>
      <c r="B46" s="100">
        <v>4.6399999999999997</v>
      </c>
      <c r="C46" s="100">
        <v>8.31</v>
      </c>
      <c r="D46" s="100">
        <v>3.68</v>
      </c>
      <c r="E46" s="100">
        <v>6.11</v>
      </c>
      <c r="F46" s="100">
        <v>2.52</v>
      </c>
      <c r="G46" s="100">
        <v>34.880000000000003</v>
      </c>
      <c r="H46" s="100">
        <v>6.62</v>
      </c>
      <c r="I46" s="100">
        <v>4.55</v>
      </c>
      <c r="J46" s="100">
        <v>1.17</v>
      </c>
      <c r="K46" s="100">
        <v>255.06</v>
      </c>
      <c r="L46" s="100">
        <v>29.21</v>
      </c>
      <c r="M46" s="100">
        <v>68.91</v>
      </c>
      <c r="N46" s="100">
        <v>248.1</v>
      </c>
      <c r="O46" s="100">
        <v>0</v>
      </c>
      <c r="P46" s="100">
        <v>0.31</v>
      </c>
      <c r="Q46" s="100">
        <v>9.92</v>
      </c>
      <c r="R46" s="6"/>
      <c r="S46" s="6"/>
      <c r="T46" s="156"/>
      <c r="U46" s="6"/>
    </row>
    <row r="47" spans="1:21" customFormat="1">
      <c r="A47" s="163" t="s">
        <v>2390</v>
      </c>
      <c r="B47" s="100">
        <v>4.88</v>
      </c>
      <c r="C47" s="100">
        <v>8.4</v>
      </c>
      <c r="D47" s="100">
        <v>3.53</v>
      </c>
      <c r="E47" s="100">
        <v>6.23</v>
      </c>
      <c r="F47" s="100">
        <v>3.56</v>
      </c>
      <c r="G47" s="100">
        <v>34.880000000000003</v>
      </c>
      <c r="H47" s="100">
        <v>6.62</v>
      </c>
      <c r="I47" s="100">
        <v>5.0999999999999996</v>
      </c>
      <c r="J47" s="100">
        <v>1.1599999999999999</v>
      </c>
      <c r="K47" s="100">
        <v>279.3</v>
      </c>
      <c r="L47" s="100">
        <v>29.61</v>
      </c>
      <c r="M47" s="100">
        <v>67.38</v>
      </c>
      <c r="N47" s="100">
        <v>256.89999999999998</v>
      </c>
      <c r="O47" s="100">
        <v>0</v>
      </c>
      <c r="P47" s="100">
        <v>0.33</v>
      </c>
      <c r="Q47" s="100">
        <v>9.93</v>
      </c>
      <c r="R47" s="6"/>
      <c r="S47" s="6"/>
      <c r="T47" s="156"/>
      <c r="U47" s="6"/>
    </row>
    <row r="48" spans="1:21" customFormat="1">
      <c r="A48" s="163" t="s">
        <v>2391</v>
      </c>
      <c r="B48" s="100">
        <v>5.26</v>
      </c>
      <c r="C48" s="100">
        <v>8.89</v>
      </c>
      <c r="D48" s="100">
        <v>3.64</v>
      </c>
      <c r="E48" s="100">
        <v>6.06</v>
      </c>
      <c r="F48" s="100">
        <v>3.07</v>
      </c>
      <c r="G48" s="100">
        <v>34.880000000000003</v>
      </c>
      <c r="H48" s="100">
        <v>6.62</v>
      </c>
      <c r="I48" s="100">
        <v>5.53</v>
      </c>
      <c r="J48" s="100">
        <v>1.33</v>
      </c>
      <c r="K48" s="100">
        <v>281.77</v>
      </c>
      <c r="L48" s="100">
        <v>30.05</v>
      </c>
      <c r="M48" s="100">
        <v>65.260000000000005</v>
      </c>
      <c r="N48" s="100">
        <v>292.8</v>
      </c>
      <c r="O48" s="100">
        <v>0</v>
      </c>
      <c r="P48" s="100">
        <v>0.34</v>
      </c>
      <c r="Q48" s="100">
        <v>9.93</v>
      </c>
      <c r="R48" s="6"/>
      <c r="S48" s="6"/>
      <c r="T48" s="156"/>
      <c r="U48" s="6"/>
    </row>
    <row r="49" spans="1:21" customFormat="1">
      <c r="A49" s="163" t="s">
        <v>2392</v>
      </c>
      <c r="B49" s="100">
        <v>5.5</v>
      </c>
      <c r="C49" s="100">
        <v>9.26</v>
      </c>
      <c r="D49" s="100">
        <v>3.76</v>
      </c>
      <c r="E49" s="100">
        <v>4.97</v>
      </c>
      <c r="F49" s="100">
        <v>4.1100000000000003</v>
      </c>
      <c r="G49" s="100">
        <v>39.24</v>
      </c>
      <c r="H49" s="100">
        <v>7.56</v>
      </c>
      <c r="I49" s="100">
        <v>6.37</v>
      </c>
      <c r="J49" s="100">
        <v>1.42</v>
      </c>
      <c r="K49" s="100">
        <v>290.26</v>
      </c>
      <c r="L49" s="100">
        <v>30.29</v>
      </c>
      <c r="M49" s="100">
        <v>63.87</v>
      </c>
      <c r="N49" s="100">
        <v>279.3</v>
      </c>
      <c r="O49" s="100">
        <v>0</v>
      </c>
      <c r="P49" s="100">
        <v>0.34</v>
      </c>
      <c r="Q49" s="100">
        <v>9.93</v>
      </c>
      <c r="R49" s="6"/>
      <c r="S49" s="6"/>
      <c r="T49" s="156"/>
      <c r="U49" s="6"/>
    </row>
    <row r="50" spans="1:21" customFormat="1">
      <c r="A50" s="163" t="s">
        <v>2393</v>
      </c>
      <c r="B50" s="100">
        <v>5.59</v>
      </c>
      <c r="C50" s="100">
        <v>9.65</v>
      </c>
      <c r="D50" s="100">
        <v>4.0599999999999996</v>
      </c>
      <c r="E50" s="100">
        <v>5.87</v>
      </c>
      <c r="F50" s="100">
        <v>3.4</v>
      </c>
      <c r="G50" s="100">
        <v>49.96</v>
      </c>
      <c r="H50" s="100">
        <v>11.41</v>
      </c>
      <c r="I50" s="100">
        <v>6.96</v>
      </c>
      <c r="J50" s="100">
        <v>1.08</v>
      </c>
      <c r="K50" s="100">
        <v>278.77999999999997</v>
      </c>
      <c r="L50" s="100">
        <v>30.5</v>
      </c>
      <c r="M50" s="100">
        <v>63.21</v>
      </c>
      <c r="N50" s="100">
        <v>219.2</v>
      </c>
      <c r="O50" s="100">
        <v>0</v>
      </c>
      <c r="P50" s="100">
        <v>0.37</v>
      </c>
      <c r="Q50" s="100">
        <v>9.92</v>
      </c>
      <c r="R50" s="6"/>
      <c r="S50" s="6"/>
      <c r="T50" s="156"/>
      <c r="U50" s="6"/>
    </row>
    <row r="51" spans="1:21" customFormat="1">
      <c r="A51" s="163" t="s">
        <v>2394</v>
      </c>
      <c r="B51" s="100">
        <v>5.33</v>
      </c>
      <c r="C51" s="100">
        <v>9.52</v>
      </c>
      <c r="D51" s="100">
        <v>4.2</v>
      </c>
      <c r="E51" s="100">
        <v>6.06</v>
      </c>
      <c r="F51" s="100">
        <v>3.18</v>
      </c>
      <c r="G51" s="100">
        <v>49.96</v>
      </c>
      <c r="H51" s="100">
        <v>11.41</v>
      </c>
      <c r="I51" s="100">
        <v>6.63</v>
      </c>
      <c r="J51" s="100">
        <v>1.31</v>
      </c>
      <c r="K51" s="100">
        <v>274.29000000000002</v>
      </c>
      <c r="L51" s="100">
        <v>30.33</v>
      </c>
      <c r="M51" s="100">
        <v>63.63</v>
      </c>
      <c r="N51" s="100">
        <v>236</v>
      </c>
      <c r="O51" s="100">
        <v>0</v>
      </c>
      <c r="P51" s="100">
        <v>0.36</v>
      </c>
      <c r="Q51" s="100">
        <v>9.93</v>
      </c>
      <c r="R51" s="6"/>
      <c r="S51" s="6"/>
      <c r="T51" s="156"/>
      <c r="U51" s="6"/>
    </row>
    <row r="52" spans="1:21" customFormat="1">
      <c r="A52" s="163" t="s">
        <v>2395</v>
      </c>
      <c r="B52" s="100">
        <v>5.38</v>
      </c>
      <c r="C52" s="100">
        <v>9.36</v>
      </c>
      <c r="D52" s="100">
        <v>3.98</v>
      </c>
      <c r="E52" s="100">
        <v>5.92</v>
      </c>
      <c r="F52" s="100">
        <v>4.91</v>
      </c>
      <c r="G52" s="100">
        <v>49.96</v>
      </c>
      <c r="H52" s="100">
        <v>11.41</v>
      </c>
      <c r="I52" s="100">
        <v>6.74</v>
      </c>
      <c r="J52" s="100">
        <v>1.27</v>
      </c>
      <c r="K52" s="100">
        <v>283.48</v>
      </c>
      <c r="L52" s="100">
        <v>30.83</v>
      </c>
      <c r="M52" s="100">
        <v>62</v>
      </c>
      <c r="N52" s="100">
        <v>266.60000000000002</v>
      </c>
      <c r="O52" s="100">
        <v>0</v>
      </c>
      <c r="P52" s="100">
        <v>0.35</v>
      </c>
      <c r="Q52" s="100">
        <v>9.93</v>
      </c>
      <c r="R52" s="6"/>
      <c r="S52" s="6"/>
      <c r="T52" s="156"/>
      <c r="U52" s="6"/>
    </row>
    <row r="53" spans="1:21" customFormat="1">
      <c r="A53" s="163" t="s">
        <v>2396</v>
      </c>
      <c r="B53" s="100">
        <v>5.52</v>
      </c>
      <c r="C53" s="100">
        <v>9.6</v>
      </c>
      <c r="D53" s="100">
        <v>4.09</v>
      </c>
      <c r="E53" s="100">
        <v>6.12</v>
      </c>
      <c r="F53" s="100">
        <v>5.7</v>
      </c>
      <c r="G53" s="100">
        <v>53.02</v>
      </c>
      <c r="H53" s="100">
        <v>10.3</v>
      </c>
      <c r="I53" s="100">
        <v>6.51</v>
      </c>
      <c r="J53" s="100">
        <v>1.23</v>
      </c>
      <c r="K53" s="100">
        <v>284.33</v>
      </c>
      <c r="L53" s="100">
        <v>30.82</v>
      </c>
      <c r="M53" s="100">
        <v>61.88</v>
      </c>
      <c r="N53" s="100">
        <v>215.7</v>
      </c>
      <c r="O53" s="100">
        <v>0</v>
      </c>
      <c r="P53" s="100">
        <v>0.34</v>
      </c>
      <c r="Q53" s="100">
        <v>9.93</v>
      </c>
      <c r="R53" s="6"/>
      <c r="S53" s="6"/>
      <c r="T53" s="156"/>
      <c r="U53" s="6"/>
    </row>
    <row r="54" spans="1:21" customFormat="1">
      <c r="A54" s="163" t="s">
        <v>2397</v>
      </c>
      <c r="B54" s="100">
        <v>5.9</v>
      </c>
      <c r="C54" s="100">
        <v>10.55</v>
      </c>
      <c r="D54" s="100">
        <v>4.6399999999999997</v>
      </c>
      <c r="E54" s="100">
        <v>5.92</v>
      </c>
      <c r="F54" s="100">
        <v>4.58</v>
      </c>
      <c r="G54" s="100">
        <v>60.53</v>
      </c>
      <c r="H54" s="100">
        <v>8.4700000000000006</v>
      </c>
      <c r="I54" s="100">
        <v>6.39</v>
      </c>
      <c r="J54" s="100">
        <v>1.34</v>
      </c>
      <c r="K54" s="100">
        <v>289.73</v>
      </c>
      <c r="L54" s="100">
        <v>30.75</v>
      </c>
      <c r="M54" s="100">
        <v>62.08</v>
      </c>
      <c r="N54" s="100">
        <v>193.2</v>
      </c>
      <c r="O54" s="100">
        <v>0</v>
      </c>
      <c r="P54" s="100">
        <v>0.34</v>
      </c>
      <c r="Q54" s="100">
        <v>9.92</v>
      </c>
      <c r="R54" s="6"/>
      <c r="S54" s="6"/>
      <c r="T54" s="156"/>
      <c r="U54" s="6"/>
    </row>
    <row r="55" spans="1:21" customFormat="1">
      <c r="A55" s="163" t="s">
        <v>2398</v>
      </c>
      <c r="B55" s="100">
        <v>5.78</v>
      </c>
      <c r="C55" s="100">
        <v>10.01</v>
      </c>
      <c r="D55" s="100">
        <v>4.24</v>
      </c>
      <c r="E55" s="100">
        <v>5.78</v>
      </c>
      <c r="F55" s="100">
        <v>4.84</v>
      </c>
      <c r="G55" s="100">
        <v>60.53</v>
      </c>
      <c r="H55" s="100">
        <v>8.4700000000000006</v>
      </c>
      <c r="I55" s="100">
        <v>6.32</v>
      </c>
      <c r="J55" s="100">
        <v>1.27</v>
      </c>
      <c r="K55" s="100">
        <v>286.60000000000002</v>
      </c>
      <c r="L55" s="100">
        <v>31.5</v>
      </c>
      <c r="M55" s="100">
        <v>59.37</v>
      </c>
      <c r="N55" s="100">
        <v>332.4</v>
      </c>
      <c r="O55" s="100">
        <v>0</v>
      </c>
      <c r="P55" s="100">
        <v>0.32</v>
      </c>
      <c r="Q55" s="100">
        <v>9.92</v>
      </c>
      <c r="R55" s="6"/>
      <c r="S55" s="6"/>
      <c r="T55" s="156"/>
      <c r="U55" s="6"/>
    </row>
    <row r="56" spans="1:21" customFormat="1">
      <c r="A56" s="163" t="s">
        <v>2399</v>
      </c>
      <c r="B56" s="100">
        <v>5.52</v>
      </c>
      <c r="C56" s="100">
        <v>9.58</v>
      </c>
      <c r="D56" s="100">
        <v>4.0599999999999996</v>
      </c>
      <c r="E56" s="100">
        <v>5.55</v>
      </c>
      <c r="F56" s="100">
        <v>4.8899999999999997</v>
      </c>
      <c r="G56" s="100">
        <v>60.53</v>
      </c>
      <c r="H56" s="100">
        <v>8.4700000000000006</v>
      </c>
      <c r="I56" s="100">
        <v>6.25</v>
      </c>
      <c r="J56" s="100">
        <v>2.2200000000000002</v>
      </c>
      <c r="K56" s="100">
        <v>301.56</v>
      </c>
      <c r="L56" s="100">
        <v>31.4</v>
      </c>
      <c r="M56" s="100">
        <v>58.59</v>
      </c>
      <c r="N56" s="100">
        <v>261.39999999999998</v>
      </c>
      <c r="O56" s="100">
        <v>0</v>
      </c>
      <c r="P56" s="100">
        <v>0.32</v>
      </c>
      <c r="Q56" s="100">
        <v>9.92</v>
      </c>
      <c r="R56" s="6"/>
      <c r="S56" s="6"/>
      <c r="T56" s="156"/>
      <c r="U56" s="6"/>
    </row>
    <row r="57" spans="1:21" customFormat="1">
      <c r="A57" s="163" t="s">
        <v>2400</v>
      </c>
      <c r="B57" s="100">
        <v>5.44</v>
      </c>
      <c r="C57" s="100">
        <v>9.49</v>
      </c>
      <c r="D57" s="100">
        <v>4.04</v>
      </c>
      <c r="E57" s="100">
        <v>5.72</v>
      </c>
      <c r="F57" s="100">
        <v>5.93</v>
      </c>
      <c r="G57" s="100">
        <v>62.46</v>
      </c>
      <c r="H57" s="100">
        <v>9.23</v>
      </c>
      <c r="I57" s="100">
        <v>6.02</v>
      </c>
      <c r="J57" s="100">
        <v>1.33</v>
      </c>
      <c r="K57" s="100">
        <v>279.01</v>
      </c>
      <c r="L57" s="100">
        <v>31.4</v>
      </c>
      <c r="M57" s="100">
        <v>58.74</v>
      </c>
      <c r="N57" s="100">
        <v>274.10000000000002</v>
      </c>
      <c r="O57" s="100">
        <v>0</v>
      </c>
      <c r="P57" s="100">
        <v>0.32</v>
      </c>
      <c r="Q57" s="100">
        <v>9.92</v>
      </c>
      <c r="R57" s="6"/>
      <c r="S57" s="6"/>
      <c r="T57" s="156"/>
      <c r="U57" s="6"/>
    </row>
    <row r="58" spans="1:21" customFormat="1">
      <c r="A58" s="163" t="s">
        <v>2401</v>
      </c>
      <c r="B58" s="100">
        <v>5.23</v>
      </c>
      <c r="C58" s="100">
        <v>9.7100000000000009</v>
      </c>
      <c r="D58" s="100">
        <v>4.49</v>
      </c>
      <c r="E58" s="100">
        <v>5.31</v>
      </c>
      <c r="F58" s="100">
        <v>4.33</v>
      </c>
      <c r="G58" s="100">
        <v>67.47</v>
      </c>
      <c r="H58" s="100">
        <v>10.47</v>
      </c>
      <c r="I58" s="100">
        <v>6</v>
      </c>
      <c r="J58" s="100">
        <v>1.1100000000000001</v>
      </c>
      <c r="K58" s="100">
        <v>284.97000000000003</v>
      </c>
      <c r="L58" s="100">
        <v>31.71</v>
      </c>
      <c r="M58" s="100">
        <v>58.92</v>
      </c>
      <c r="N58" s="100">
        <v>261.89999999999998</v>
      </c>
      <c r="O58" s="100">
        <v>0</v>
      </c>
      <c r="P58" s="100">
        <v>0.35</v>
      </c>
      <c r="Q58" s="100">
        <v>9.92</v>
      </c>
      <c r="R58" s="6"/>
      <c r="S58" s="6"/>
      <c r="T58" s="156"/>
      <c r="U58" s="6"/>
    </row>
    <row r="59" spans="1:21" customFormat="1">
      <c r="A59" s="163" t="s">
        <v>2402</v>
      </c>
      <c r="B59" s="100">
        <v>5.12</v>
      </c>
      <c r="C59" s="100">
        <v>9.77</v>
      </c>
      <c r="D59" s="100">
        <v>4.6500000000000004</v>
      </c>
      <c r="E59" s="100">
        <v>5.43</v>
      </c>
      <c r="F59" s="100">
        <v>4.12</v>
      </c>
      <c r="G59" s="100">
        <v>67.47</v>
      </c>
      <c r="H59" s="100">
        <v>10.47</v>
      </c>
      <c r="I59" s="100">
        <v>5.87</v>
      </c>
      <c r="J59" s="100">
        <v>1</v>
      </c>
      <c r="K59" s="100">
        <v>263.91000000000003</v>
      </c>
      <c r="L59" s="100">
        <v>31.71</v>
      </c>
      <c r="M59" s="100">
        <v>59.39</v>
      </c>
      <c r="N59" s="100">
        <v>252.7</v>
      </c>
      <c r="O59" s="100">
        <v>0</v>
      </c>
      <c r="P59" s="100">
        <v>0.34</v>
      </c>
      <c r="Q59" s="100">
        <v>9.9</v>
      </c>
      <c r="R59" s="6"/>
      <c r="S59" s="6"/>
      <c r="T59" s="156"/>
      <c r="U59" s="6"/>
    </row>
    <row r="60" spans="1:21" customFormat="1">
      <c r="A60" s="163" t="s">
        <v>2403</v>
      </c>
      <c r="B60" s="100">
        <v>4.96</v>
      </c>
      <c r="C60" s="100">
        <v>9.02</v>
      </c>
      <c r="D60" s="100">
        <v>4.0599999999999996</v>
      </c>
      <c r="E60" s="100">
        <v>5.49</v>
      </c>
      <c r="F60" s="100">
        <v>5.76</v>
      </c>
      <c r="G60" s="100">
        <v>67.47</v>
      </c>
      <c r="H60" s="100">
        <v>10.47</v>
      </c>
      <c r="I60" s="100">
        <v>5.88</v>
      </c>
      <c r="J60" s="100">
        <v>1.06</v>
      </c>
      <c r="K60" s="100">
        <v>253.96</v>
      </c>
      <c r="L60" s="100">
        <v>31.67</v>
      </c>
      <c r="M60" s="100">
        <v>59.35</v>
      </c>
      <c r="N60" s="100">
        <v>297.39999999999998</v>
      </c>
      <c r="O60" s="100">
        <v>0</v>
      </c>
      <c r="P60" s="100">
        <v>0.34</v>
      </c>
      <c r="Q60" s="100">
        <v>9.92</v>
      </c>
      <c r="R60" s="6"/>
      <c r="S60" s="6"/>
      <c r="T60" s="156"/>
      <c r="U60" s="6"/>
    </row>
    <row r="61" spans="1:21" customFormat="1">
      <c r="A61" s="163" t="s">
        <v>2404</v>
      </c>
      <c r="B61" s="100">
        <v>4.75</v>
      </c>
      <c r="C61" s="100">
        <v>8.6199999999999992</v>
      </c>
      <c r="D61" s="100">
        <v>3.87</v>
      </c>
      <c r="E61" s="100">
        <v>5.41</v>
      </c>
      <c r="F61" s="100">
        <v>5.5</v>
      </c>
      <c r="G61" s="100">
        <v>66.42</v>
      </c>
      <c r="H61" s="100">
        <v>11.36</v>
      </c>
      <c r="I61" s="100">
        <v>5.82</v>
      </c>
      <c r="J61" s="100">
        <v>1.1299999999999999</v>
      </c>
      <c r="K61" s="100">
        <v>260.13</v>
      </c>
      <c r="L61" s="100">
        <v>31.66</v>
      </c>
      <c r="M61" s="100">
        <v>59.46</v>
      </c>
      <c r="N61" s="100">
        <v>254.5</v>
      </c>
      <c r="O61" s="100">
        <v>0</v>
      </c>
      <c r="P61" s="100">
        <v>0.34</v>
      </c>
      <c r="Q61" s="100">
        <v>9.93</v>
      </c>
      <c r="R61" s="6"/>
      <c r="S61" s="6"/>
      <c r="T61" s="156"/>
      <c r="U61" s="6"/>
    </row>
    <row r="62" spans="1:21" customFormat="1">
      <c r="A62" s="163" t="s">
        <v>2405</v>
      </c>
      <c r="B62" s="100">
        <v>4.5999999999999996</v>
      </c>
      <c r="C62" s="100">
        <v>8.49</v>
      </c>
      <c r="D62" s="100">
        <v>3.89</v>
      </c>
      <c r="E62" s="100">
        <v>5.33</v>
      </c>
      <c r="F62" s="100">
        <v>7.05</v>
      </c>
      <c r="G62" s="100">
        <v>63.83</v>
      </c>
      <c r="H62" s="100">
        <v>12.82</v>
      </c>
      <c r="I62" s="100">
        <v>5.76</v>
      </c>
      <c r="J62" s="100">
        <v>1.1599999999999999</v>
      </c>
      <c r="K62" s="100">
        <v>261.17</v>
      </c>
      <c r="L62" s="100">
        <v>31.94</v>
      </c>
      <c r="M62" s="100">
        <v>58.31</v>
      </c>
      <c r="N62" s="100">
        <v>586.9</v>
      </c>
      <c r="O62" s="100">
        <v>0</v>
      </c>
      <c r="P62" s="100">
        <v>0.38</v>
      </c>
      <c r="Q62" s="100">
        <v>9.94</v>
      </c>
      <c r="R62" s="6"/>
      <c r="S62" s="6"/>
      <c r="T62" s="156"/>
      <c r="U62" s="6"/>
    </row>
    <row r="63" spans="1:21" customFormat="1">
      <c r="A63" s="163" t="s">
        <v>2406</v>
      </c>
      <c r="B63" s="100">
        <v>4.47</v>
      </c>
      <c r="C63" s="100">
        <v>8.6199999999999992</v>
      </c>
      <c r="D63" s="100">
        <v>4.1399999999999997</v>
      </c>
      <c r="E63" s="100">
        <v>5.52</v>
      </c>
      <c r="F63" s="100">
        <v>5.65</v>
      </c>
      <c r="G63" s="100">
        <v>63.83</v>
      </c>
      <c r="H63" s="100">
        <v>12.82</v>
      </c>
      <c r="I63" s="100">
        <v>5.78</v>
      </c>
      <c r="J63" s="100">
        <v>1.07</v>
      </c>
      <c r="K63" s="100">
        <v>257.01</v>
      </c>
      <c r="L63" s="100">
        <v>32.840000000000003</v>
      </c>
      <c r="M63" s="100">
        <v>57.34</v>
      </c>
      <c r="N63" s="100">
        <v>390.8</v>
      </c>
      <c r="O63" s="100">
        <v>0</v>
      </c>
      <c r="P63" s="100">
        <v>0.36</v>
      </c>
      <c r="Q63" s="100">
        <v>9.91</v>
      </c>
      <c r="R63" s="6"/>
      <c r="S63" s="6"/>
      <c r="T63" s="156"/>
      <c r="U63" s="6"/>
    </row>
    <row r="64" spans="1:21" customFormat="1">
      <c r="A64" s="163" t="s">
        <v>2407</v>
      </c>
      <c r="B64" s="100">
        <v>4.1100000000000003</v>
      </c>
      <c r="C64" s="100">
        <v>8.52</v>
      </c>
      <c r="D64" s="100">
        <v>4.41</v>
      </c>
      <c r="E64" s="100">
        <v>4.74</v>
      </c>
      <c r="F64" s="100">
        <v>4.6500000000000004</v>
      </c>
      <c r="G64" s="100">
        <v>63.83</v>
      </c>
      <c r="H64" s="100">
        <v>12.82</v>
      </c>
      <c r="I64" s="100">
        <v>5.83</v>
      </c>
      <c r="J64" s="100">
        <v>1.1599999999999999</v>
      </c>
      <c r="K64" s="100">
        <v>259.49</v>
      </c>
      <c r="L64" s="100">
        <v>32.57</v>
      </c>
      <c r="M64" s="100">
        <v>57.1</v>
      </c>
      <c r="N64" s="100">
        <v>519.6</v>
      </c>
      <c r="O64" s="100">
        <v>0</v>
      </c>
      <c r="P64" s="100">
        <v>0.33</v>
      </c>
      <c r="Q64" s="100">
        <v>9.91</v>
      </c>
      <c r="R64" s="6"/>
      <c r="S64" s="6"/>
      <c r="T64" s="156"/>
      <c r="U64" s="6"/>
    </row>
    <row r="65" spans="1:21" customFormat="1">
      <c r="A65" s="163" t="s">
        <v>2408</v>
      </c>
      <c r="B65" s="100">
        <v>3.97</v>
      </c>
      <c r="C65" s="100">
        <v>8.48</v>
      </c>
      <c r="D65" s="100">
        <v>4.5199999999999996</v>
      </c>
      <c r="E65" s="100">
        <v>4.8499999999999996</v>
      </c>
      <c r="F65" s="100">
        <v>4.49</v>
      </c>
      <c r="G65" s="100">
        <v>65.16</v>
      </c>
      <c r="H65" s="100">
        <v>13.5</v>
      </c>
      <c r="I65" s="100">
        <v>5.98</v>
      </c>
      <c r="J65" s="100">
        <v>1.1599999999999999</v>
      </c>
      <c r="K65" s="100">
        <v>260.04000000000002</v>
      </c>
      <c r="L65" s="100">
        <v>33.130000000000003</v>
      </c>
      <c r="M65" s="100">
        <v>56.53</v>
      </c>
      <c r="N65" s="100">
        <v>347.5</v>
      </c>
      <c r="O65" s="100">
        <v>0</v>
      </c>
      <c r="P65" s="100">
        <v>0.37</v>
      </c>
      <c r="Q65" s="100">
        <v>9.9</v>
      </c>
      <c r="R65" s="6"/>
      <c r="S65" s="6"/>
      <c r="T65" s="156"/>
      <c r="U65" s="6"/>
    </row>
    <row r="66" spans="1:21" customFormat="1">
      <c r="A66" s="163" t="s">
        <v>2409</v>
      </c>
      <c r="B66" s="100">
        <v>3.9</v>
      </c>
      <c r="C66" s="100">
        <v>8.27</v>
      </c>
      <c r="D66" s="100">
        <v>4.37</v>
      </c>
      <c r="E66" s="100">
        <v>5.13</v>
      </c>
      <c r="F66" s="100">
        <v>4.8499999999999996</v>
      </c>
      <c r="G66" s="100">
        <v>68.430000000000007</v>
      </c>
      <c r="H66" s="100">
        <v>14.62</v>
      </c>
      <c r="I66" s="100">
        <v>5.84</v>
      </c>
      <c r="J66" s="100">
        <v>1.1399999999999999</v>
      </c>
      <c r="K66" s="100">
        <v>253.22</v>
      </c>
      <c r="L66" s="100">
        <v>32.909999999999997</v>
      </c>
      <c r="M66" s="100">
        <v>56.46</v>
      </c>
      <c r="N66" s="100">
        <v>307.89999999999998</v>
      </c>
      <c r="O66" s="100">
        <v>0</v>
      </c>
      <c r="P66" s="100">
        <v>0.38</v>
      </c>
      <c r="Q66" s="100">
        <v>9.9</v>
      </c>
      <c r="R66" s="6"/>
      <c r="S66" s="6"/>
      <c r="T66" s="156"/>
      <c r="U66" s="6"/>
    </row>
    <row r="67" spans="1:21" customFormat="1">
      <c r="A67" s="163" t="s">
        <v>2410</v>
      </c>
      <c r="B67" s="100">
        <v>3.82</v>
      </c>
      <c r="C67" s="100">
        <v>8.26</v>
      </c>
      <c r="D67" s="100">
        <v>4.4400000000000004</v>
      </c>
      <c r="E67" s="100">
        <v>5.35</v>
      </c>
      <c r="F67" s="100">
        <v>4.58</v>
      </c>
      <c r="G67" s="100">
        <v>68.430000000000007</v>
      </c>
      <c r="H67" s="100">
        <v>14.62</v>
      </c>
      <c r="I67" s="100">
        <v>5.77</v>
      </c>
      <c r="J67" s="100">
        <v>1.1599999999999999</v>
      </c>
      <c r="K67" s="100">
        <v>273.83</v>
      </c>
      <c r="L67" s="100">
        <v>32.979999999999997</v>
      </c>
      <c r="M67" s="100">
        <v>55.45</v>
      </c>
      <c r="N67" s="100">
        <v>274.39999999999998</v>
      </c>
      <c r="O67" s="100">
        <v>0</v>
      </c>
      <c r="P67" s="100">
        <v>0.38</v>
      </c>
      <c r="Q67" s="100">
        <v>9.89</v>
      </c>
      <c r="R67" s="6"/>
      <c r="S67" s="6"/>
      <c r="T67" s="156"/>
      <c r="U67" s="6"/>
    </row>
    <row r="68" spans="1:21" customFormat="1">
      <c r="A68" s="163" t="s">
        <v>2411</v>
      </c>
      <c r="B68" s="100">
        <v>3.83</v>
      </c>
      <c r="C68" s="100">
        <v>8.57</v>
      </c>
      <c r="D68" s="100">
        <v>4.74</v>
      </c>
      <c r="E68" s="100">
        <v>5.38</v>
      </c>
      <c r="F68" s="100">
        <v>4.3600000000000003</v>
      </c>
      <c r="G68" s="100">
        <v>68.430000000000007</v>
      </c>
      <c r="H68" s="100">
        <v>14.62</v>
      </c>
      <c r="I68" s="100">
        <v>5.64</v>
      </c>
      <c r="J68" s="100">
        <v>1.1399999999999999</v>
      </c>
      <c r="K68" s="100">
        <v>272.36</v>
      </c>
      <c r="L68" s="100">
        <v>31.81</v>
      </c>
      <c r="M68" s="100">
        <v>59.38</v>
      </c>
      <c r="N68" s="100">
        <v>65.400000000000006</v>
      </c>
      <c r="O68" s="100">
        <v>0</v>
      </c>
      <c r="P68" s="100">
        <v>0.38</v>
      </c>
      <c r="Q68" s="100">
        <v>9.9</v>
      </c>
      <c r="R68" s="6"/>
      <c r="S68" s="6"/>
      <c r="T68" s="156"/>
      <c r="U68" s="6"/>
    </row>
    <row r="69" spans="1:21" customFormat="1">
      <c r="A69" s="163" t="s">
        <v>2412</v>
      </c>
      <c r="B69" s="100">
        <v>3.93</v>
      </c>
      <c r="C69" s="100">
        <v>8.7799999999999994</v>
      </c>
      <c r="D69" s="100">
        <v>4.8499999999999996</v>
      </c>
      <c r="E69" s="100">
        <v>5.26</v>
      </c>
      <c r="F69" s="100">
        <v>3.91</v>
      </c>
      <c r="G69" s="100">
        <v>66.8</v>
      </c>
      <c r="H69" s="100">
        <v>15.6</v>
      </c>
      <c r="I69" s="100">
        <v>5.7</v>
      </c>
      <c r="J69" s="100">
        <v>1.35</v>
      </c>
      <c r="K69" s="100">
        <v>289.22000000000003</v>
      </c>
      <c r="L69" s="100">
        <v>31.5</v>
      </c>
      <c r="M69" s="100">
        <v>59.19</v>
      </c>
      <c r="N69" s="100">
        <v>122.8</v>
      </c>
      <c r="O69" s="100">
        <v>0</v>
      </c>
      <c r="P69" s="100">
        <v>0.39</v>
      </c>
      <c r="Q69" s="100">
        <v>9.91</v>
      </c>
      <c r="R69" s="6"/>
      <c r="S69" s="6"/>
      <c r="T69" s="156"/>
      <c r="U69" s="6"/>
    </row>
    <row r="70" spans="1:21" customFormat="1">
      <c r="A70" s="163" t="s">
        <v>2413</v>
      </c>
      <c r="B70" s="100">
        <v>4.0599999999999996</v>
      </c>
      <c r="C70" s="100">
        <v>9.14</v>
      </c>
      <c r="D70" s="100">
        <v>5.07</v>
      </c>
      <c r="E70" s="100">
        <v>5.55</v>
      </c>
      <c r="F70" s="100">
        <v>3.67</v>
      </c>
      <c r="G70" s="100">
        <v>62.81</v>
      </c>
      <c r="H70" s="100">
        <v>17.22</v>
      </c>
      <c r="I70" s="100">
        <v>5.83</v>
      </c>
      <c r="J70" s="100">
        <v>1.19</v>
      </c>
      <c r="K70" s="100">
        <v>272.83999999999997</v>
      </c>
      <c r="L70" s="100">
        <v>31.36</v>
      </c>
      <c r="M70" s="100">
        <v>60.03</v>
      </c>
      <c r="N70" s="100">
        <v>114.4</v>
      </c>
      <c r="O70" s="100">
        <v>0</v>
      </c>
      <c r="P70" s="100">
        <v>0.4</v>
      </c>
      <c r="Q70" s="100">
        <v>9.91</v>
      </c>
      <c r="R70" s="6"/>
      <c r="S70" s="6"/>
      <c r="T70" s="156"/>
      <c r="U70" s="6"/>
    </row>
    <row r="71" spans="1:21" customFormat="1">
      <c r="A71" s="163" t="s">
        <v>2414</v>
      </c>
      <c r="B71" s="100">
        <v>4.17</v>
      </c>
      <c r="C71" s="100">
        <v>9.4</v>
      </c>
      <c r="D71" s="100">
        <v>5.23</v>
      </c>
      <c r="E71" s="100">
        <v>5.27</v>
      </c>
      <c r="F71" s="100">
        <v>3.21</v>
      </c>
      <c r="G71" s="100">
        <v>62.81</v>
      </c>
      <c r="H71" s="100">
        <v>17.22</v>
      </c>
      <c r="I71" s="100">
        <v>5.78</v>
      </c>
      <c r="J71" s="100">
        <v>1.1399999999999999</v>
      </c>
      <c r="K71" s="100">
        <v>277.12</v>
      </c>
      <c r="L71" s="100">
        <v>30.75</v>
      </c>
      <c r="M71" s="100">
        <v>63.51</v>
      </c>
      <c r="N71" s="100">
        <v>79</v>
      </c>
      <c r="O71" s="100">
        <v>0</v>
      </c>
      <c r="P71" s="100">
        <v>0.4</v>
      </c>
      <c r="Q71" s="100">
        <v>9.91</v>
      </c>
      <c r="R71" s="6"/>
      <c r="S71" s="6"/>
      <c r="T71" s="156"/>
      <c r="U71" s="6"/>
    </row>
    <row r="72" spans="1:21" customFormat="1">
      <c r="A72" s="163" t="s">
        <v>2415</v>
      </c>
      <c r="B72" s="100">
        <v>4.1500000000000004</v>
      </c>
      <c r="C72" s="100">
        <v>9.57</v>
      </c>
      <c r="D72" s="100">
        <v>5.42</v>
      </c>
      <c r="E72" s="100">
        <v>5.4</v>
      </c>
      <c r="F72" s="100">
        <v>3.66</v>
      </c>
      <c r="G72" s="100">
        <v>62.81</v>
      </c>
      <c r="H72" s="100">
        <v>17.22</v>
      </c>
      <c r="I72" s="100">
        <v>5.67</v>
      </c>
      <c r="J72" s="100">
        <v>0.48</v>
      </c>
      <c r="K72" s="100">
        <v>260.41000000000003</v>
      </c>
      <c r="L72" s="100">
        <v>30.26</v>
      </c>
      <c r="M72" s="100">
        <v>66.400000000000006</v>
      </c>
      <c r="N72" s="100">
        <v>41</v>
      </c>
      <c r="O72" s="100">
        <v>0</v>
      </c>
      <c r="P72" s="100">
        <v>0.4</v>
      </c>
      <c r="Q72" s="100">
        <v>9.91</v>
      </c>
      <c r="R72" s="6"/>
      <c r="S72" s="6"/>
      <c r="T72" s="156"/>
      <c r="U72" s="6"/>
    </row>
    <row r="73" spans="1:21" customFormat="1">
      <c r="A73" s="163" t="s">
        <v>2416</v>
      </c>
      <c r="B73" s="100">
        <v>4.13</v>
      </c>
      <c r="C73" s="100">
        <v>9.69</v>
      </c>
      <c r="D73" s="100">
        <v>5.56</v>
      </c>
      <c r="E73" s="100">
        <v>5.52</v>
      </c>
      <c r="F73" s="100">
        <v>4.0199999999999996</v>
      </c>
      <c r="G73" s="100">
        <v>62.8</v>
      </c>
      <c r="H73" s="100">
        <v>17.22</v>
      </c>
      <c r="I73" s="100">
        <v>5.71</v>
      </c>
      <c r="J73" s="100">
        <v>0.69</v>
      </c>
      <c r="K73" s="100">
        <v>270.83</v>
      </c>
      <c r="L73" s="100">
        <v>30.54</v>
      </c>
      <c r="M73" s="100">
        <v>64.48</v>
      </c>
      <c r="N73" s="100">
        <v>22.4</v>
      </c>
      <c r="O73" s="100">
        <v>0</v>
      </c>
      <c r="P73" s="100">
        <v>0.41</v>
      </c>
      <c r="Q73" s="100">
        <v>9.91</v>
      </c>
      <c r="R73" s="6"/>
      <c r="S73" s="6"/>
      <c r="T73" s="156"/>
      <c r="U73" s="6"/>
    </row>
    <row r="74" spans="1:21" customFormat="1">
      <c r="A74" s="163" t="s">
        <v>2417</v>
      </c>
      <c r="B74" s="100">
        <v>4.17</v>
      </c>
      <c r="C74" s="100">
        <v>9.66</v>
      </c>
      <c r="D74" s="100">
        <v>5.49</v>
      </c>
      <c r="E74" s="100">
        <v>5.66</v>
      </c>
      <c r="F74" s="100">
        <v>3.33</v>
      </c>
      <c r="G74" s="100">
        <v>62.8</v>
      </c>
      <c r="H74" s="100">
        <v>17.23</v>
      </c>
      <c r="I74" s="100">
        <v>5.66</v>
      </c>
      <c r="J74" s="100">
        <v>0.74</v>
      </c>
      <c r="K74" s="100">
        <v>283.02999999999997</v>
      </c>
      <c r="L74" s="100">
        <v>30.27</v>
      </c>
      <c r="M74" s="100">
        <v>65.709999999999994</v>
      </c>
      <c r="N74" s="100">
        <v>11.9</v>
      </c>
      <c r="O74" s="100">
        <v>0</v>
      </c>
      <c r="P74" s="100">
        <v>0.41</v>
      </c>
      <c r="Q74" s="100">
        <v>9.9</v>
      </c>
      <c r="R74" s="6"/>
      <c r="S74" s="6"/>
      <c r="T74" s="156"/>
      <c r="U74" s="6"/>
    </row>
    <row r="75" spans="1:21" customFormat="1">
      <c r="A75" s="163" t="s">
        <v>2418</v>
      </c>
      <c r="B75" s="100">
        <v>4.2300000000000004</v>
      </c>
      <c r="C75" s="100">
        <v>9.8699999999999992</v>
      </c>
      <c r="D75" s="100">
        <v>5.64</v>
      </c>
      <c r="E75" s="100">
        <v>5.05</v>
      </c>
      <c r="F75" s="100">
        <v>2.76</v>
      </c>
      <c r="G75" s="100">
        <v>62.8</v>
      </c>
      <c r="H75" s="100">
        <v>17.23</v>
      </c>
      <c r="I75" s="100">
        <v>5.63</v>
      </c>
      <c r="J75" s="100">
        <v>0.78</v>
      </c>
      <c r="K75" s="100">
        <v>252.98</v>
      </c>
      <c r="L75" s="100">
        <v>30.57</v>
      </c>
      <c r="M75" s="100">
        <v>62.53</v>
      </c>
      <c r="N75" s="100">
        <v>20</v>
      </c>
      <c r="O75" s="100">
        <v>0</v>
      </c>
      <c r="P75" s="100">
        <v>0.42</v>
      </c>
      <c r="Q75" s="100">
        <v>9.91</v>
      </c>
      <c r="R75" s="6"/>
      <c r="S75" s="6"/>
      <c r="T75" s="156"/>
      <c r="U75" s="6"/>
    </row>
    <row r="76" spans="1:21" customFormat="1">
      <c r="A76" s="163" t="s">
        <v>2419</v>
      </c>
      <c r="B76" s="100">
        <v>4.17</v>
      </c>
      <c r="C76" s="100">
        <v>9.6</v>
      </c>
      <c r="D76" s="100">
        <v>5.42</v>
      </c>
      <c r="E76" s="100">
        <v>5.68</v>
      </c>
      <c r="F76" s="100">
        <v>3.34</v>
      </c>
      <c r="G76" s="100">
        <v>62.8</v>
      </c>
      <c r="H76" s="100">
        <v>17.23</v>
      </c>
      <c r="I76" s="100">
        <v>5.68</v>
      </c>
      <c r="J76" s="100">
        <v>0.75</v>
      </c>
      <c r="K76" s="100">
        <v>256.72000000000003</v>
      </c>
      <c r="L76" s="100">
        <v>30.54</v>
      </c>
      <c r="M76" s="100">
        <v>61.81</v>
      </c>
      <c r="N76" s="100">
        <v>28.9</v>
      </c>
      <c r="O76" s="100">
        <v>0</v>
      </c>
      <c r="P76" s="100">
        <v>0.41</v>
      </c>
      <c r="Q76" s="100">
        <v>9.93</v>
      </c>
      <c r="R76" s="6"/>
      <c r="S76" s="6"/>
      <c r="T76" s="156"/>
      <c r="U76" s="6"/>
    </row>
    <row r="77" spans="1:21" customFormat="1">
      <c r="A77" s="163" t="s">
        <v>2420</v>
      </c>
      <c r="B77" s="100">
        <v>4.1500000000000004</v>
      </c>
      <c r="C77" s="100">
        <v>9.32</v>
      </c>
      <c r="D77" s="100">
        <v>5.16</v>
      </c>
      <c r="E77" s="100">
        <v>5.75</v>
      </c>
      <c r="F77" s="100">
        <v>4.3499999999999996</v>
      </c>
      <c r="G77" s="100">
        <v>63.07</v>
      </c>
      <c r="H77" s="100">
        <v>17.260000000000002</v>
      </c>
      <c r="I77" s="100">
        <v>5.69</v>
      </c>
      <c r="J77" s="100">
        <v>0.78</v>
      </c>
      <c r="K77" s="100">
        <v>252.02</v>
      </c>
      <c r="L77" s="100">
        <v>30.38</v>
      </c>
      <c r="M77" s="100">
        <v>62.39</v>
      </c>
      <c r="N77" s="100">
        <v>22.3</v>
      </c>
      <c r="O77" s="100">
        <v>0</v>
      </c>
      <c r="P77" s="100">
        <v>0.41</v>
      </c>
      <c r="Q77" s="100">
        <v>9.92</v>
      </c>
      <c r="R77" s="6"/>
      <c r="S77" s="6"/>
      <c r="T77" s="156"/>
      <c r="U77" s="6"/>
    </row>
    <row r="78" spans="1:21" customFormat="1">
      <c r="A78" s="163" t="s">
        <v>2421</v>
      </c>
      <c r="B78" s="100">
        <v>4.1100000000000003</v>
      </c>
      <c r="C78" s="100">
        <v>9.0299999999999994</v>
      </c>
      <c r="D78" s="100">
        <v>4.91</v>
      </c>
      <c r="E78" s="100">
        <v>5.98</v>
      </c>
      <c r="F78" s="100">
        <v>3.39</v>
      </c>
      <c r="G78" s="100">
        <v>63.74</v>
      </c>
      <c r="H78" s="100">
        <v>17.309999999999999</v>
      </c>
      <c r="I78" s="100">
        <v>5.67</v>
      </c>
      <c r="J78" s="100">
        <v>1.05</v>
      </c>
      <c r="K78" s="100">
        <v>252.81</v>
      </c>
      <c r="L78" s="100">
        <v>30.34</v>
      </c>
      <c r="M78" s="100">
        <v>62.31</v>
      </c>
      <c r="N78" s="100">
        <v>16</v>
      </c>
      <c r="O78" s="100">
        <v>0</v>
      </c>
      <c r="P78" s="100">
        <v>0.4</v>
      </c>
      <c r="Q78" s="100">
        <v>9.89</v>
      </c>
      <c r="R78" s="6"/>
      <c r="S78" s="6"/>
      <c r="T78" s="156"/>
      <c r="U78" s="6"/>
    </row>
    <row r="79" spans="1:21" customFormat="1">
      <c r="A79" s="163" t="s">
        <v>2422</v>
      </c>
      <c r="B79" s="100">
        <v>4.03</v>
      </c>
      <c r="C79" s="100">
        <v>8.85</v>
      </c>
      <c r="D79" s="100">
        <v>4.82</v>
      </c>
      <c r="E79" s="100">
        <v>5.83</v>
      </c>
      <c r="F79" s="100">
        <v>2.79</v>
      </c>
      <c r="G79" s="100">
        <v>63.74</v>
      </c>
      <c r="H79" s="100">
        <v>17.309999999999999</v>
      </c>
      <c r="I79" s="100">
        <v>5.71</v>
      </c>
      <c r="J79" s="100">
        <v>1.1499999999999999</v>
      </c>
      <c r="K79" s="100">
        <v>252.96</v>
      </c>
      <c r="L79" s="100">
        <v>29.95</v>
      </c>
      <c r="M79" s="100">
        <v>63.63</v>
      </c>
      <c r="N79" s="100">
        <v>17.5</v>
      </c>
      <c r="O79" s="100">
        <v>0</v>
      </c>
      <c r="P79" s="100">
        <v>0.4</v>
      </c>
      <c r="Q79" s="100">
        <v>9.91</v>
      </c>
      <c r="R79" s="6"/>
      <c r="S79" s="6"/>
      <c r="T79" s="156"/>
      <c r="U79" s="6"/>
    </row>
    <row r="80" spans="1:21" customFormat="1">
      <c r="A80" s="163" t="s">
        <v>2423</v>
      </c>
      <c r="B80" s="100">
        <v>3.97</v>
      </c>
      <c r="C80" s="100">
        <v>8.58</v>
      </c>
      <c r="D80" s="100">
        <v>4.5999999999999996</v>
      </c>
      <c r="E80" s="100">
        <v>6.08</v>
      </c>
      <c r="F80" s="100">
        <v>3.02</v>
      </c>
      <c r="G80" s="100">
        <v>63.74</v>
      </c>
      <c r="H80" s="100">
        <v>17.309999999999999</v>
      </c>
      <c r="I80" s="100">
        <v>5.64</v>
      </c>
      <c r="J80" s="100">
        <v>1</v>
      </c>
      <c r="K80" s="100">
        <v>259.14999999999998</v>
      </c>
      <c r="L80" s="100">
        <v>29.57</v>
      </c>
      <c r="M80" s="100">
        <v>64.16</v>
      </c>
      <c r="N80" s="100">
        <v>16.100000000000001</v>
      </c>
      <c r="O80" s="100">
        <v>0</v>
      </c>
      <c r="P80" s="100">
        <v>0.41</v>
      </c>
      <c r="Q80" s="100">
        <v>9.9</v>
      </c>
      <c r="R80" s="6"/>
      <c r="S80" s="6"/>
      <c r="T80" s="156"/>
      <c r="U80" s="6"/>
    </row>
    <row r="81" spans="1:21" customFormat="1">
      <c r="A81" s="163" t="s">
        <v>2424</v>
      </c>
      <c r="B81" s="100">
        <v>3.89</v>
      </c>
      <c r="C81" s="100">
        <v>8.1999999999999993</v>
      </c>
      <c r="D81" s="100">
        <v>4.3099999999999996</v>
      </c>
      <c r="E81" s="100">
        <v>3.5</v>
      </c>
      <c r="F81" s="100">
        <v>3.87</v>
      </c>
      <c r="G81" s="100">
        <v>61.65</v>
      </c>
      <c r="H81" s="100">
        <v>17.63</v>
      </c>
      <c r="I81" s="100">
        <v>5.68</v>
      </c>
      <c r="J81" s="100">
        <v>0.94</v>
      </c>
      <c r="K81" s="100">
        <v>254.42</v>
      </c>
      <c r="L81" s="100">
        <v>29.18</v>
      </c>
      <c r="M81" s="100">
        <v>66.25</v>
      </c>
      <c r="N81" s="100">
        <v>11.1</v>
      </c>
      <c r="O81" s="100">
        <v>0</v>
      </c>
      <c r="P81" s="100">
        <v>0.42</v>
      </c>
      <c r="Q81" s="100">
        <v>9.91</v>
      </c>
      <c r="R81" s="6"/>
      <c r="S81" s="6"/>
      <c r="T81" s="156"/>
      <c r="U81" s="6"/>
    </row>
    <row r="82" spans="1:21" customFormat="1">
      <c r="A82" s="163" t="s">
        <v>2425</v>
      </c>
      <c r="B82" s="100">
        <v>3.82</v>
      </c>
      <c r="C82" s="100">
        <v>8.0399999999999991</v>
      </c>
      <c r="D82" s="100">
        <v>4.22</v>
      </c>
      <c r="E82" s="100">
        <v>4.03</v>
      </c>
      <c r="F82" s="100">
        <v>3.6</v>
      </c>
      <c r="G82" s="100">
        <v>56.5</v>
      </c>
      <c r="H82" s="100">
        <v>18.149999999999999</v>
      </c>
      <c r="I82" s="100">
        <v>5.69</v>
      </c>
      <c r="J82" s="100">
        <v>0.92</v>
      </c>
      <c r="K82" s="100">
        <v>253.58</v>
      </c>
      <c r="L82" s="100">
        <v>28.86</v>
      </c>
      <c r="M82" s="100">
        <v>68.739999999999995</v>
      </c>
      <c r="N82" s="100">
        <v>6.6</v>
      </c>
      <c r="O82" s="100">
        <v>0</v>
      </c>
      <c r="P82" s="100">
        <v>0.42</v>
      </c>
      <c r="Q82" s="100">
        <v>9.9</v>
      </c>
      <c r="R82" s="6"/>
      <c r="S82" s="6"/>
      <c r="T82" s="156"/>
      <c r="U82" s="6"/>
    </row>
    <row r="83" spans="1:21" customFormat="1">
      <c r="A83" s="163" t="s">
        <v>2426</v>
      </c>
      <c r="B83" s="100">
        <v>3.78</v>
      </c>
      <c r="C83" s="100">
        <v>8</v>
      </c>
      <c r="D83" s="100">
        <v>4.22</v>
      </c>
      <c r="E83" s="100">
        <v>4.0199999999999996</v>
      </c>
      <c r="F83" s="100">
        <v>3.1</v>
      </c>
      <c r="G83" s="100">
        <v>56.5</v>
      </c>
      <c r="H83" s="100">
        <v>18.149999999999999</v>
      </c>
      <c r="I83" s="100">
        <v>5.66</v>
      </c>
      <c r="J83" s="100">
        <v>1.06</v>
      </c>
      <c r="K83" s="100">
        <v>255.57</v>
      </c>
      <c r="L83" s="100">
        <v>28.69</v>
      </c>
      <c r="M83" s="100">
        <v>69.430000000000007</v>
      </c>
      <c r="N83" s="100">
        <v>3.6</v>
      </c>
      <c r="O83" s="100">
        <v>0</v>
      </c>
      <c r="P83" s="100">
        <v>0.44</v>
      </c>
      <c r="Q83" s="100">
        <v>9.91</v>
      </c>
      <c r="R83" s="6"/>
      <c r="S83" s="6"/>
      <c r="T83" s="156"/>
      <c r="U83" s="6"/>
    </row>
    <row r="84" spans="1:21" customFormat="1">
      <c r="A84" s="163" t="s">
        <v>2427</v>
      </c>
      <c r="B84" s="100">
        <v>3.82</v>
      </c>
      <c r="C84" s="100">
        <v>7.51</v>
      </c>
      <c r="D84" s="100">
        <v>3.69</v>
      </c>
      <c r="E84" s="100">
        <v>3.94</v>
      </c>
      <c r="F84" s="100">
        <v>3.04</v>
      </c>
      <c r="G84" s="100">
        <v>56.5</v>
      </c>
      <c r="H84" s="100">
        <v>18.149999999999999</v>
      </c>
      <c r="I84" s="100">
        <v>5.55</v>
      </c>
      <c r="J84" s="100">
        <v>1.07</v>
      </c>
      <c r="K84" s="100">
        <v>257.89999999999998</v>
      </c>
      <c r="L84" s="100">
        <v>28.66</v>
      </c>
      <c r="M84" s="100">
        <v>69.13</v>
      </c>
      <c r="N84" s="100">
        <v>2.2999999999999998</v>
      </c>
      <c r="O84" s="100">
        <v>0</v>
      </c>
      <c r="P84" s="100">
        <v>0.45</v>
      </c>
      <c r="Q84" s="100">
        <v>9.91</v>
      </c>
      <c r="R84" s="6"/>
      <c r="S84" s="6"/>
      <c r="T84" s="156"/>
      <c r="U84" s="6"/>
    </row>
    <row r="85" spans="1:21" customFormat="1">
      <c r="A85" s="163" t="s">
        <v>2428</v>
      </c>
      <c r="B85" s="100">
        <v>3.9</v>
      </c>
      <c r="C85" s="100">
        <v>6.98</v>
      </c>
      <c r="D85" s="100">
        <v>3.08</v>
      </c>
      <c r="E85" s="100">
        <v>3.46</v>
      </c>
      <c r="F85" s="100">
        <v>5.0199999999999996</v>
      </c>
      <c r="G85" s="100">
        <v>56.91</v>
      </c>
      <c r="H85" s="100">
        <v>17.34</v>
      </c>
      <c r="I85" s="100">
        <v>5.54</v>
      </c>
      <c r="J85" s="100">
        <v>0.78</v>
      </c>
      <c r="K85" s="100">
        <v>257.32</v>
      </c>
      <c r="L85" s="100">
        <v>28.67</v>
      </c>
      <c r="M85" s="100">
        <v>68.53</v>
      </c>
      <c r="N85" s="100">
        <v>2.1</v>
      </c>
      <c r="O85" s="100">
        <v>0</v>
      </c>
      <c r="P85" s="100">
        <v>0.44</v>
      </c>
      <c r="Q85" s="100">
        <v>9.93</v>
      </c>
      <c r="R85" s="6"/>
      <c r="S85" s="6"/>
      <c r="T85" s="156"/>
      <c r="U85" s="6"/>
    </row>
    <row r="86" spans="1:21" customFormat="1">
      <c r="A86" s="163" t="s">
        <v>2429</v>
      </c>
      <c r="B86" s="100">
        <v>3.96</v>
      </c>
      <c r="C86" s="100">
        <v>6.76</v>
      </c>
      <c r="D86" s="100">
        <v>2.79</v>
      </c>
      <c r="E86" s="100">
        <v>2.99</v>
      </c>
      <c r="F86" s="100">
        <v>4.26</v>
      </c>
      <c r="G86" s="100">
        <v>57.92</v>
      </c>
      <c r="H86" s="100">
        <v>16.010000000000002</v>
      </c>
      <c r="I86" s="100">
        <v>5.43</v>
      </c>
      <c r="J86" s="100">
        <v>0.93</v>
      </c>
      <c r="K86" s="100">
        <v>255.81</v>
      </c>
      <c r="L86" s="100">
        <v>28.66</v>
      </c>
      <c r="M86" s="100">
        <v>68.27</v>
      </c>
      <c r="N86" s="100">
        <v>2.1</v>
      </c>
      <c r="O86" s="100">
        <v>0</v>
      </c>
      <c r="P86" s="100">
        <v>0.42</v>
      </c>
      <c r="Q86" s="100">
        <v>9.92</v>
      </c>
      <c r="R86" s="6"/>
      <c r="S86" s="6"/>
      <c r="T86" s="156"/>
      <c r="U86" s="6"/>
    </row>
    <row r="87" spans="1:21" customFormat="1">
      <c r="A87" s="163" t="s">
        <v>2430</v>
      </c>
      <c r="B87" s="100">
        <v>4.05</v>
      </c>
      <c r="C87" s="100">
        <v>6.63</v>
      </c>
      <c r="D87" s="100">
        <v>2.58</v>
      </c>
      <c r="E87" s="100">
        <v>2.36</v>
      </c>
      <c r="F87" s="100">
        <v>5.0199999999999996</v>
      </c>
      <c r="G87" s="100">
        <v>57.92</v>
      </c>
      <c r="H87" s="100">
        <v>16.010000000000002</v>
      </c>
      <c r="I87" s="100">
        <v>5.44</v>
      </c>
      <c r="J87" s="100">
        <v>0.76</v>
      </c>
      <c r="K87" s="100">
        <v>254.5</v>
      </c>
      <c r="L87" s="100">
        <v>28.69</v>
      </c>
      <c r="M87" s="100">
        <v>68.180000000000007</v>
      </c>
      <c r="N87" s="100">
        <v>1.9</v>
      </c>
      <c r="O87" s="100">
        <v>0</v>
      </c>
      <c r="P87" s="100">
        <v>0.41</v>
      </c>
      <c r="Q87" s="100">
        <v>9.92</v>
      </c>
      <c r="R87" s="6"/>
      <c r="S87" s="6"/>
      <c r="T87" s="156"/>
      <c r="U87" s="6"/>
    </row>
    <row r="88" spans="1:21" customFormat="1">
      <c r="A88" s="163" t="s">
        <v>2431</v>
      </c>
      <c r="B88" s="100">
        <v>3.99</v>
      </c>
      <c r="C88" s="100">
        <v>6.66</v>
      </c>
      <c r="D88" s="100">
        <v>2.67</v>
      </c>
      <c r="E88" s="100">
        <v>2.88</v>
      </c>
      <c r="F88" s="100">
        <v>3.02</v>
      </c>
      <c r="G88" s="100">
        <v>57.92</v>
      </c>
      <c r="H88" s="100">
        <v>16.010000000000002</v>
      </c>
      <c r="I88" s="100">
        <v>5.44</v>
      </c>
      <c r="J88" s="100">
        <v>0.74</v>
      </c>
      <c r="K88" s="100">
        <v>254.78</v>
      </c>
      <c r="L88" s="100">
        <v>28.6</v>
      </c>
      <c r="M88" s="100">
        <v>68.739999999999995</v>
      </c>
      <c r="N88" s="100">
        <v>2.2000000000000002</v>
      </c>
      <c r="O88" s="100">
        <v>0</v>
      </c>
      <c r="P88" s="100">
        <v>0.44</v>
      </c>
      <c r="Q88" s="100">
        <v>9.92</v>
      </c>
      <c r="R88" s="6"/>
      <c r="S88" s="6"/>
      <c r="T88" s="156"/>
      <c r="U88" s="6"/>
    </row>
    <row r="89" spans="1:21" customFormat="1">
      <c r="A89" s="163" t="s">
        <v>2432</v>
      </c>
      <c r="B89" s="100">
        <v>3.97</v>
      </c>
      <c r="C89" s="100">
        <v>6.86</v>
      </c>
      <c r="D89" s="100">
        <v>2.9</v>
      </c>
      <c r="E89" s="100">
        <v>2.85</v>
      </c>
      <c r="F89" s="100">
        <v>4.66</v>
      </c>
      <c r="G89" s="100">
        <v>58.36</v>
      </c>
      <c r="H89" s="100">
        <v>14.37</v>
      </c>
      <c r="I89" s="100">
        <v>5.4</v>
      </c>
      <c r="J89" s="100">
        <v>0.81</v>
      </c>
      <c r="K89" s="100">
        <v>259.87</v>
      </c>
      <c r="L89" s="100">
        <v>28.49</v>
      </c>
      <c r="M89" s="100">
        <v>69.5</v>
      </c>
      <c r="N89" s="100">
        <v>1.8</v>
      </c>
      <c r="O89" s="100">
        <v>0</v>
      </c>
      <c r="P89" s="100">
        <v>0.43</v>
      </c>
      <c r="Q89" s="100">
        <v>9.9</v>
      </c>
      <c r="R89" s="6"/>
      <c r="S89" s="6"/>
      <c r="T89" s="156"/>
      <c r="U89" s="6"/>
    </row>
    <row r="90" spans="1:21" customFormat="1">
      <c r="A90" s="163" t="s">
        <v>2433</v>
      </c>
      <c r="B90" s="100">
        <v>4.1100000000000003</v>
      </c>
      <c r="C90" s="100">
        <v>6.74</v>
      </c>
      <c r="D90" s="100">
        <v>2.63</v>
      </c>
      <c r="E90" s="100">
        <v>3.01</v>
      </c>
      <c r="F90" s="100">
        <v>4.6900000000000004</v>
      </c>
      <c r="G90" s="100">
        <v>59.43</v>
      </c>
      <c r="H90" s="100">
        <v>11.68</v>
      </c>
      <c r="I90" s="100">
        <v>5.55</v>
      </c>
      <c r="J90" s="100">
        <v>0.88</v>
      </c>
      <c r="K90" s="100">
        <v>254.5</v>
      </c>
      <c r="L90" s="100">
        <v>28.37</v>
      </c>
      <c r="M90" s="100">
        <v>70.14</v>
      </c>
      <c r="N90" s="100">
        <v>1.3</v>
      </c>
      <c r="O90" s="100">
        <v>0</v>
      </c>
      <c r="P90" s="100">
        <v>0.42</v>
      </c>
      <c r="Q90" s="100">
        <v>9.9</v>
      </c>
      <c r="R90" s="6"/>
      <c r="S90" s="6"/>
      <c r="T90" s="156"/>
      <c r="U90" s="6"/>
    </row>
    <row r="91" spans="1:21" customFormat="1">
      <c r="A91" s="163" t="s">
        <v>2434</v>
      </c>
      <c r="B91" s="100">
        <v>4.05</v>
      </c>
      <c r="C91" s="100">
        <v>6.5</v>
      </c>
      <c r="D91" s="100">
        <v>2.4500000000000002</v>
      </c>
      <c r="E91" s="100">
        <v>2.74</v>
      </c>
      <c r="F91" s="100">
        <v>4.8600000000000003</v>
      </c>
      <c r="G91" s="100">
        <v>59.43</v>
      </c>
      <c r="H91" s="100">
        <v>11.68</v>
      </c>
      <c r="I91" s="100">
        <v>5.32</v>
      </c>
      <c r="J91" s="100">
        <v>0.71</v>
      </c>
      <c r="K91" s="100">
        <v>257.07</v>
      </c>
      <c r="L91" s="100">
        <v>28.34</v>
      </c>
      <c r="M91" s="100">
        <v>70.16</v>
      </c>
      <c r="N91" s="100">
        <v>1.7</v>
      </c>
      <c r="O91" s="100">
        <v>0</v>
      </c>
      <c r="P91" s="100">
        <v>0.4</v>
      </c>
      <c r="Q91" s="100">
        <v>9.9</v>
      </c>
      <c r="R91" s="6"/>
      <c r="S91" s="6"/>
      <c r="T91" s="156"/>
      <c r="U91" s="6"/>
    </row>
    <row r="92" spans="1:21" customFormat="1">
      <c r="A92" s="163" t="s">
        <v>2435</v>
      </c>
      <c r="B92" s="100">
        <v>4.0999999999999996</v>
      </c>
      <c r="C92" s="100">
        <v>6.5</v>
      </c>
      <c r="D92" s="100">
        <v>2.4</v>
      </c>
      <c r="E92" s="100">
        <v>2.68</v>
      </c>
      <c r="F92" s="100">
        <v>4.9000000000000004</v>
      </c>
      <c r="G92" s="100">
        <v>59.43</v>
      </c>
      <c r="H92" s="100">
        <v>11.68</v>
      </c>
      <c r="I92" s="100">
        <v>5.35</v>
      </c>
      <c r="J92" s="100">
        <v>0.55000000000000004</v>
      </c>
      <c r="K92" s="100">
        <v>257.55</v>
      </c>
      <c r="L92" s="100">
        <v>28.29</v>
      </c>
      <c r="M92" s="100">
        <v>70.78</v>
      </c>
      <c r="N92" s="100">
        <v>1.9</v>
      </c>
      <c r="O92" s="100">
        <v>0</v>
      </c>
      <c r="P92" s="100">
        <v>0.4</v>
      </c>
      <c r="Q92" s="100">
        <v>9.9</v>
      </c>
      <c r="R92" s="6"/>
      <c r="S92" s="6"/>
      <c r="T92" s="156"/>
      <c r="U92" s="6"/>
    </row>
    <row r="93" spans="1:21" customFormat="1">
      <c r="A93" s="163" t="s">
        <v>2436</v>
      </c>
      <c r="B93" s="100">
        <v>4.04</v>
      </c>
      <c r="C93" s="100">
        <v>6.79</v>
      </c>
      <c r="D93" s="100">
        <v>2.75</v>
      </c>
      <c r="E93" s="100">
        <v>2.74</v>
      </c>
      <c r="F93" s="100">
        <v>4.91</v>
      </c>
      <c r="G93" s="100">
        <v>55.32</v>
      </c>
      <c r="H93" s="100">
        <v>11.79</v>
      </c>
      <c r="I93" s="100">
        <v>5.26</v>
      </c>
      <c r="J93" s="100">
        <v>0.43</v>
      </c>
      <c r="K93" s="100">
        <v>254.29</v>
      </c>
      <c r="L93" s="100">
        <v>28.27</v>
      </c>
      <c r="M93" s="100">
        <v>70.959999999999994</v>
      </c>
      <c r="N93" s="100">
        <v>2</v>
      </c>
      <c r="O93" s="100">
        <v>0</v>
      </c>
      <c r="P93" s="100">
        <v>0.42</v>
      </c>
      <c r="Q93" s="100">
        <v>9.8800000000000008</v>
      </c>
      <c r="R93" s="6"/>
      <c r="S93" s="6"/>
      <c r="T93" s="156"/>
      <c r="U93" s="6"/>
    </row>
    <row r="94" spans="1:21" customFormat="1">
      <c r="A94" s="163" t="s">
        <v>2437</v>
      </c>
      <c r="B94" s="100">
        <v>4.16</v>
      </c>
      <c r="C94" s="100">
        <v>6.67</v>
      </c>
      <c r="D94" s="100">
        <v>2.5099999999999998</v>
      </c>
      <c r="E94" s="100">
        <v>2.72</v>
      </c>
      <c r="F94" s="100">
        <v>4.88</v>
      </c>
      <c r="G94" s="100">
        <v>45.19</v>
      </c>
      <c r="H94" s="100">
        <v>11.97</v>
      </c>
      <c r="I94" s="100">
        <v>5.27</v>
      </c>
      <c r="J94" s="100">
        <v>0.46</v>
      </c>
      <c r="K94" s="100">
        <v>246.08</v>
      </c>
      <c r="L94" s="100">
        <v>28.17</v>
      </c>
      <c r="M94" s="100">
        <v>71.63</v>
      </c>
      <c r="N94" s="100">
        <v>2.1</v>
      </c>
      <c r="O94" s="100">
        <v>0</v>
      </c>
      <c r="P94" s="100">
        <v>0.4</v>
      </c>
      <c r="Q94" s="100">
        <v>9.91</v>
      </c>
      <c r="R94" s="6"/>
      <c r="S94" s="6"/>
      <c r="T94" s="156"/>
      <c r="U94" s="6"/>
    </row>
    <row r="95" spans="1:21" customFormat="1">
      <c r="A95" s="163" t="s">
        <v>2438</v>
      </c>
      <c r="B95" s="100">
        <v>4.1900000000000004</v>
      </c>
      <c r="C95" s="100">
        <v>6.51</v>
      </c>
      <c r="D95" s="100">
        <v>2.3199999999999998</v>
      </c>
      <c r="E95" s="100">
        <v>2.66</v>
      </c>
      <c r="F95" s="100">
        <v>5.1100000000000003</v>
      </c>
      <c r="G95" s="100">
        <v>45.19</v>
      </c>
      <c r="H95" s="100">
        <v>11.97</v>
      </c>
      <c r="I95" s="100">
        <v>5.16</v>
      </c>
      <c r="J95" s="100">
        <v>0.52</v>
      </c>
      <c r="K95" s="100">
        <v>252.3</v>
      </c>
      <c r="L95" s="100">
        <v>28.02</v>
      </c>
      <c r="M95" s="100">
        <v>72.819999999999993</v>
      </c>
      <c r="N95" s="100">
        <v>2.1</v>
      </c>
      <c r="O95" s="100">
        <v>0</v>
      </c>
      <c r="P95" s="100">
        <v>0.38</v>
      </c>
      <c r="Q95" s="100">
        <v>9.9</v>
      </c>
      <c r="R95" s="6"/>
      <c r="S95" s="6"/>
      <c r="T95" s="156"/>
      <c r="U95" s="6"/>
    </row>
    <row r="96" spans="1:21" customFormat="1">
      <c r="A96" s="163" t="s">
        <v>2439</v>
      </c>
      <c r="B96" s="100">
        <v>4.18</v>
      </c>
      <c r="C96" s="100">
        <v>6.66</v>
      </c>
      <c r="D96" s="100">
        <v>2.48</v>
      </c>
      <c r="E96" s="100">
        <v>3.08</v>
      </c>
      <c r="F96" s="100">
        <v>3.04</v>
      </c>
      <c r="G96" s="100">
        <v>45.19</v>
      </c>
      <c r="H96" s="100">
        <v>11.97</v>
      </c>
      <c r="I96" s="100">
        <v>5.0999999999999996</v>
      </c>
      <c r="J96" s="100">
        <v>0.56999999999999995</v>
      </c>
      <c r="K96" s="100">
        <v>259.83999999999997</v>
      </c>
      <c r="L96" s="100">
        <v>27.92</v>
      </c>
      <c r="M96" s="100">
        <v>73.45</v>
      </c>
      <c r="N96" s="100">
        <v>2.1</v>
      </c>
      <c r="O96" s="100">
        <v>0</v>
      </c>
      <c r="P96" s="100">
        <v>0.42</v>
      </c>
      <c r="Q96" s="100">
        <v>9.9</v>
      </c>
      <c r="R96" s="6"/>
      <c r="S96" s="6"/>
      <c r="T96" s="156"/>
      <c r="U96" s="6"/>
    </row>
    <row r="97" spans="1:28" customFormat="1">
      <c r="A97" s="163" t="s">
        <v>2440</v>
      </c>
      <c r="B97" s="100">
        <v>4.2699999999999996</v>
      </c>
      <c r="C97" s="100">
        <v>6.85</v>
      </c>
      <c r="D97" s="100">
        <v>2.57</v>
      </c>
      <c r="E97" s="100">
        <v>3.37</v>
      </c>
      <c r="F97" s="100">
        <v>4.8099999999999996</v>
      </c>
      <c r="G97" s="100">
        <v>45.79</v>
      </c>
      <c r="H97" s="100">
        <v>12.04</v>
      </c>
      <c r="I97" s="100">
        <v>5.13</v>
      </c>
      <c r="J97" s="100">
        <v>0.61</v>
      </c>
      <c r="K97" s="100">
        <v>256.23</v>
      </c>
      <c r="L97" s="100">
        <v>27.87</v>
      </c>
      <c r="M97" s="100">
        <v>73.44</v>
      </c>
      <c r="N97" s="100">
        <v>2.1</v>
      </c>
      <c r="O97" s="100">
        <v>0</v>
      </c>
      <c r="P97" s="100">
        <v>0.39</v>
      </c>
      <c r="Q97" s="100">
        <v>9.91</v>
      </c>
      <c r="R97" s="6"/>
      <c r="S97" s="6"/>
      <c r="T97" s="156"/>
      <c r="U97" s="6"/>
    </row>
    <row r="98" spans="1:28" customFormat="1">
      <c r="A98" s="163" t="s">
        <v>2441</v>
      </c>
      <c r="B98" s="100">
        <v>4.3499999999999996</v>
      </c>
      <c r="C98" s="100">
        <v>6.68</v>
      </c>
      <c r="D98" s="100">
        <v>2.33</v>
      </c>
      <c r="E98" s="100">
        <v>3.04</v>
      </c>
      <c r="F98" s="100">
        <v>4.62</v>
      </c>
      <c r="G98" s="100">
        <v>47.27</v>
      </c>
      <c r="H98" s="100">
        <v>12.31</v>
      </c>
      <c r="I98" s="100">
        <v>5.28</v>
      </c>
      <c r="J98" s="100">
        <v>0.48</v>
      </c>
      <c r="K98" s="100">
        <v>253.64</v>
      </c>
      <c r="L98" s="100">
        <v>27.79</v>
      </c>
      <c r="M98" s="100">
        <v>73.989999999999995</v>
      </c>
      <c r="N98" s="100">
        <v>2.1</v>
      </c>
      <c r="O98" s="100">
        <v>0</v>
      </c>
      <c r="P98" s="100">
        <v>0.37</v>
      </c>
      <c r="Q98" s="100">
        <v>9.91</v>
      </c>
      <c r="R98" s="6"/>
      <c r="S98" s="6"/>
      <c r="T98" s="156"/>
      <c r="U98" s="6"/>
    </row>
    <row r="99" spans="1:28" customFormat="1">
      <c r="A99" s="163" t="s">
        <v>2442</v>
      </c>
      <c r="B99" s="100">
        <v>4.2699999999999996</v>
      </c>
      <c r="C99" s="100">
        <v>6.7</v>
      </c>
      <c r="D99" s="100">
        <v>2.44</v>
      </c>
      <c r="E99" s="100">
        <v>3.1</v>
      </c>
      <c r="F99" s="100">
        <v>2.44</v>
      </c>
      <c r="G99" s="100">
        <v>47.27</v>
      </c>
      <c r="H99" s="100">
        <v>12.31</v>
      </c>
      <c r="I99" s="100">
        <v>4.9800000000000004</v>
      </c>
      <c r="J99" s="100">
        <v>0.7</v>
      </c>
      <c r="K99" s="100">
        <v>252.63</v>
      </c>
      <c r="L99" s="100">
        <v>27.68</v>
      </c>
      <c r="M99" s="100">
        <v>74.92</v>
      </c>
      <c r="N99" s="100">
        <v>2.1</v>
      </c>
      <c r="O99" s="100">
        <v>0</v>
      </c>
      <c r="P99" s="100">
        <v>0.41</v>
      </c>
      <c r="Q99" s="100">
        <v>9.91</v>
      </c>
      <c r="R99" s="6"/>
      <c r="S99" s="6"/>
      <c r="T99" s="156"/>
      <c r="U99" s="6"/>
    </row>
    <row r="100" spans="1:28" customFormat="1">
      <c r="A100" s="163" t="s">
        <v>2443</v>
      </c>
      <c r="B100" s="100">
        <v>4.25</v>
      </c>
      <c r="C100" s="100">
        <v>6.85</v>
      </c>
      <c r="D100" s="100">
        <v>2.61</v>
      </c>
      <c r="E100" s="100">
        <v>3.27</v>
      </c>
      <c r="F100" s="100">
        <v>2.79</v>
      </c>
      <c r="G100" s="100">
        <v>47.27</v>
      </c>
      <c r="H100" s="100">
        <v>12.31</v>
      </c>
      <c r="I100" s="100">
        <v>4.91</v>
      </c>
      <c r="J100" s="100">
        <v>0.68</v>
      </c>
      <c r="K100" s="100">
        <v>252.88</v>
      </c>
      <c r="L100" s="100">
        <v>27.6</v>
      </c>
      <c r="M100" s="100">
        <v>75.45</v>
      </c>
      <c r="N100" s="100">
        <v>2.1</v>
      </c>
      <c r="O100" s="100">
        <v>0</v>
      </c>
      <c r="P100" s="100">
        <v>0.39</v>
      </c>
      <c r="Q100" s="100">
        <v>9.91</v>
      </c>
      <c r="R100" s="6"/>
      <c r="S100" s="6"/>
      <c r="T100" s="156"/>
      <c r="U100" s="6"/>
      <c r="AB100" s="161"/>
    </row>
    <row r="101" spans="1:28" customFormat="1">
      <c r="A101" s="163" t="s">
        <v>2444</v>
      </c>
      <c r="B101" s="100">
        <v>4.25</v>
      </c>
      <c r="C101" s="100">
        <v>6.57</v>
      </c>
      <c r="D101" s="100">
        <v>2.3199999999999998</v>
      </c>
      <c r="E101" s="100">
        <v>2.77</v>
      </c>
      <c r="F101" s="100">
        <v>4.88</v>
      </c>
      <c r="G101" s="100">
        <v>45.11</v>
      </c>
      <c r="H101" s="100">
        <v>10.91</v>
      </c>
      <c r="I101" s="100">
        <v>5.2</v>
      </c>
      <c r="J101" s="100">
        <v>0.68</v>
      </c>
      <c r="K101" s="100">
        <v>254.84</v>
      </c>
      <c r="L101" s="100">
        <v>27.39</v>
      </c>
      <c r="M101" s="100">
        <v>77.84</v>
      </c>
      <c r="N101" s="100">
        <v>1.8</v>
      </c>
      <c r="O101" s="100">
        <v>0</v>
      </c>
      <c r="P101" s="100">
        <v>0.37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2445</v>
      </c>
      <c r="B102" s="100">
        <v>4.25</v>
      </c>
      <c r="C102" s="100">
        <v>6.84</v>
      </c>
      <c r="D102" s="100">
        <v>2.59</v>
      </c>
      <c r="E102" s="100">
        <v>2.93</v>
      </c>
      <c r="F102" s="100">
        <v>2.44</v>
      </c>
      <c r="G102" s="100">
        <v>39.79</v>
      </c>
      <c r="H102" s="100">
        <v>8.6199999999999992</v>
      </c>
      <c r="I102" s="100">
        <v>4.9800000000000004</v>
      </c>
      <c r="J102" s="100">
        <v>0.67</v>
      </c>
      <c r="K102" s="100">
        <v>253.45</v>
      </c>
      <c r="L102" s="100">
        <v>27.12</v>
      </c>
      <c r="M102" s="100">
        <v>79.63</v>
      </c>
      <c r="N102" s="100">
        <v>0.6</v>
      </c>
      <c r="O102" s="100">
        <v>0</v>
      </c>
      <c r="P102" s="100">
        <v>0.36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2446</v>
      </c>
      <c r="B103" s="100">
        <v>4.21</v>
      </c>
      <c r="C103" s="100">
        <v>7.24</v>
      </c>
      <c r="D103" s="100">
        <v>3.02</v>
      </c>
      <c r="E103" s="100">
        <v>3.37</v>
      </c>
      <c r="F103" s="100">
        <v>2.2400000000000002</v>
      </c>
      <c r="G103" s="100">
        <v>39.79</v>
      </c>
      <c r="H103" s="100">
        <v>8.6199999999999992</v>
      </c>
      <c r="I103" s="100">
        <v>4.63</v>
      </c>
      <c r="J103" s="100">
        <v>0.75</v>
      </c>
      <c r="K103" s="100">
        <v>257.2</v>
      </c>
      <c r="L103" s="100">
        <v>27.16</v>
      </c>
      <c r="M103" s="100">
        <v>78.900000000000006</v>
      </c>
      <c r="N103" s="100">
        <v>1.2</v>
      </c>
      <c r="O103" s="100">
        <v>0</v>
      </c>
      <c r="P103" s="100">
        <v>0.33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2447</v>
      </c>
      <c r="B104" s="100">
        <v>4.1100000000000003</v>
      </c>
      <c r="C104" s="100">
        <v>7.21</v>
      </c>
      <c r="D104" s="100">
        <v>3.11</v>
      </c>
      <c r="E104" s="100">
        <v>3.15</v>
      </c>
      <c r="F104" s="100">
        <v>2.2200000000000002</v>
      </c>
      <c r="G104" s="100">
        <v>39.79</v>
      </c>
      <c r="H104" s="100">
        <v>8.6199999999999992</v>
      </c>
      <c r="I104" s="100">
        <v>4.82</v>
      </c>
      <c r="J104" s="100">
        <v>0.92</v>
      </c>
      <c r="K104" s="100">
        <v>254.5</v>
      </c>
      <c r="L104" s="100">
        <v>27.26</v>
      </c>
      <c r="M104" s="100">
        <v>78.16</v>
      </c>
      <c r="N104" s="100">
        <v>1.6</v>
      </c>
      <c r="O104" s="100">
        <v>0</v>
      </c>
      <c r="P104" s="100">
        <v>0.32</v>
      </c>
      <c r="Q104" s="100">
        <v>9.9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3.78</v>
      </c>
      <c r="C106" s="158">
        <f>MIN(C9:C104)</f>
        <v>6.5</v>
      </c>
      <c r="D106" s="158">
        <f t="shared" ref="D106:Q106" si="0">MIN(D9:D104)</f>
        <v>2.3199999999999998</v>
      </c>
      <c r="E106" s="158">
        <f t="shared" si="0"/>
        <v>2.36</v>
      </c>
      <c r="F106" s="158">
        <f t="shared" si="0"/>
        <v>2.1</v>
      </c>
      <c r="G106" s="158">
        <f t="shared" si="0"/>
        <v>30.69</v>
      </c>
      <c r="H106" s="158">
        <f t="shared" si="0"/>
        <v>4.0199999999999996</v>
      </c>
      <c r="I106" s="158">
        <f t="shared" si="0"/>
        <v>3.89</v>
      </c>
      <c r="J106" s="158">
        <f t="shared" si="0"/>
        <v>0.15</v>
      </c>
      <c r="K106" s="158">
        <f t="shared" si="0"/>
        <v>218.03</v>
      </c>
      <c r="L106" s="158">
        <f t="shared" si="0"/>
        <v>26.48</v>
      </c>
      <c r="M106" s="158">
        <f t="shared" si="0"/>
        <v>55.45</v>
      </c>
      <c r="N106" s="158">
        <f t="shared" si="0"/>
        <v>0.6</v>
      </c>
      <c r="O106" s="158">
        <f t="shared" si="0"/>
        <v>0</v>
      </c>
      <c r="P106" s="158">
        <f t="shared" si="0"/>
        <v>0.2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5.9</v>
      </c>
      <c r="C107" s="157">
        <f t="shared" ref="C107:Q107" si="1">MAX(C9:C104)</f>
        <v>10.55</v>
      </c>
      <c r="D107" s="157">
        <f t="shared" si="1"/>
        <v>5.64</v>
      </c>
      <c r="E107" s="157">
        <f t="shared" si="1"/>
        <v>6.46</v>
      </c>
      <c r="F107" s="157">
        <f t="shared" si="1"/>
        <v>7.05</v>
      </c>
      <c r="G107" s="157">
        <f t="shared" si="1"/>
        <v>71.239999999999995</v>
      </c>
      <c r="H107" s="157">
        <f t="shared" si="1"/>
        <v>19</v>
      </c>
      <c r="I107" s="157">
        <f t="shared" si="1"/>
        <v>6.96</v>
      </c>
      <c r="J107" s="157">
        <f t="shared" si="1"/>
        <v>2.2200000000000002</v>
      </c>
      <c r="K107" s="157">
        <f t="shared" si="1"/>
        <v>301.56</v>
      </c>
      <c r="L107" s="157">
        <f t="shared" si="1"/>
        <v>33.130000000000003</v>
      </c>
      <c r="M107" s="157">
        <f t="shared" si="1"/>
        <v>84.03</v>
      </c>
      <c r="N107" s="157">
        <f t="shared" si="1"/>
        <v>586.9</v>
      </c>
      <c r="O107" s="157">
        <f t="shared" si="1"/>
        <v>0</v>
      </c>
      <c r="P107" s="157">
        <f t="shared" si="1"/>
        <v>0.45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4.6603125000000007</v>
      </c>
      <c r="C108" s="158">
        <f t="shared" ref="C108:Q108" si="2">AVERAGE(C9:C104)</f>
        <v>8.3575000000000017</v>
      </c>
      <c r="D108" s="158">
        <f t="shared" si="2"/>
        <v>3.6971874999999996</v>
      </c>
      <c r="E108" s="158">
        <f t="shared" si="2"/>
        <v>4.9083333333333341</v>
      </c>
      <c r="F108" s="158">
        <f t="shared" si="2"/>
        <v>3.5858333333333352</v>
      </c>
      <c r="G108" s="158">
        <f t="shared" si="2"/>
        <v>51.112812499999997</v>
      </c>
      <c r="H108" s="158">
        <f t="shared" si="2"/>
        <v>11.857291666666663</v>
      </c>
      <c r="I108" s="158">
        <f t="shared" si="2"/>
        <v>5.2120833333333332</v>
      </c>
      <c r="J108" s="158">
        <f t="shared" si="2"/>
        <v>0.78781249999999992</v>
      </c>
      <c r="K108" s="158">
        <f t="shared" si="2"/>
        <v>258.49822916666676</v>
      </c>
      <c r="L108" s="158">
        <f t="shared" si="2"/>
        <v>28.860624999999988</v>
      </c>
      <c r="M108" s="158">
        <f t="shared" si="2"/>
        <v>71.019479166666642</v>
      </c>
      <c r="N108" s="158">
        <f t="shared" si="2"/>
        <v>89.387500000000003</v>
      </c>
      <c r="O108" s="158">
        <f t="shared" si="2"/>
        <v>0</v>
      </c>
      <c r="P108" s="158">
        <f t="shared" si="2"/>
        <v>0.34052083333333338</v>
      </c>
      <c r="Q108" s="158">
        <f t="shared" si="2"/>
        <v>9.9148958333333219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0.64361062620024834</v>
      </c>
      <c r="C109" s="158">
        <f t="shared" ref="C109:Q109" si="3">STDEV(C9:C104)</f>
        <v>0.99604798024357954</v>
      </c>
      <c r="D109" s="158">
        <f t="shared" si="3"/>
        <v>0.8928295683711992</v>
      </c>
      <c r="E109" s="158">
        <f t="shared" si="3"/>
        <v>1.121723923879443</v>
      </c>
      <c r="F109" s="158">
        <f t="shared" si="3"/>
        <v>1.135357737888125</v>
      </c>
      <c r="G109" s="158">
        <f t="shared" si="3"/>
        <v>12.739878104277295</v>
      </c>
      <c r="H109" s="158">
        <f t="shared" si="3"/>
        <v>4.0653642237725656</v>
      </c>
      <c r="I109" s="158">
        <f t="shared" si="3"/>
        <v>0.74174320519715575</v>
      </c>
      <c r="J109" s="158">
        <f t="shared" si="3"/>
        <v>0.38987232221790136</v>
      </c>
      <c r="K109" s="158">
        <f t="shared" si="3"/>
        <v>14.155106424318118</v>
      </c>
      <c r="L109" s="158">
        <f t="shared" si="3"/>
        <v>1.8858407660077883</v>
      </c>
      <c r="M109" s="158">
        <f t="shared" si="3"/>
        <v>8.7135191234859963</v>
      </c>
      <c r="N109" s="158">
        <f t="shared" si="3"/>
        <v>129.82350468394029</v>
      </c>
      <c r="O109" s="158">
        <f t="shared" si="3"/>
        <v>0</v>
      </c>
      <c r="P109" s="158">
        <f t="shared" si="3"/>
        <v>7.1456571892770229E-2</v>
      </c>
      <c r="Q109" s="158">
        <f t="shared" si="3"/>
        <v>1.3218391626554835E-2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2" sqref="F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2448</v>
      </c>
      <c r="B9" s="100">
        <v>3.99</v>
      </c>
      <c r="C9" s="100">
        <v>7.51</v>
      </c>
      <c r="D9" s="100">
        <v>3.52</v>
      </c>
      <c r="E9" s="100">
        <v>3.68</v>
      </c>
      <c r="F9" s="100">
        <v>2.35</v>
      </c>
      <c r="G9" s="100">
        <v>38.99</v>
      </c>
      <c r="H9" s="100">
        <v>7.81</v>
      </c>
      <c r="I9" s="100">
        <v>4.6900000000000004</v>
      </c>
      <c r="J9" s="100">
        <v>0.95</v>
      </c>
      <c r="K9" s="100">
        <v>255.5</v>
      </c>
      <c r="L9" s="100">
        <v>27.27</v>
      </c>
      <c r="M9" s="100">
        <v>78.02</v>
      </c>
      <c r="N9" s="100">
        <v>2</v>
      </c>
      <c r="O9" s="100">
        <v>0</v>
      </c>
      <c r="P9" s="100">
        <v>0.31</v>
      </c>
      <c r="Q9" s="100">
        <v>9.91</v>
      </c>
      <c r="R9" s="6"/>
      <c r="S9" s="6"/>
      <c r="T9" s="156"/>
      <c r="U9" s="6"/>
    </row>
    <row r="10" spans="1:21" customFormat="1">
      <c r="A10" s="163" t="s">
        <v>2449</v>
      </c>
      <c r="B10" s="100">
        <v>4.01</v>
      </c>
      <c r="C10" s="100">
        <v>7.39</v>
      </c>
      <c r="D10" s="100">
        <v>3.38</v>
      </c>
      <c r="E10" s="100">
        <v>3.6</v>
      </c>
      <c r="F10" s="100">
        <v>2.29</v>
      </c>
      <c r="G10" s="100">
        <v>37.03</v>
      </c>
      <c r="H10" s="100">
        <v>6.48</v>
      </c>
      <c r="I10" s="100">
        <v>4.5599999999999996</v>
      </c>
      <c r="J10" s="100">
        <v>0.92</v>
      </c>
      <c r="K10" s="100">
        <v>254.75</v>
      </c>
      <c r="L10" s="100">
        <v>27.19</v>
      </c>
      <c r="M10" s="100">
        <v>78.760000000000005</v>
      </c>
      <c r="N10" s="100">
        <v>2.1</v>
      </c>
      <c r="O10" s="100">
        <v>0</v>
      </c>
      <c r="P10" s="100">
        <v>0.32</v>
      </c>
      <c r="Q10" s="100">
        <v>9.9</v>
      </c>
      <c r="R10" s="6"/>
      <c r="S10" s="6"/>
      <c r="T10" s="156"/>
      <c r="U10" s="6"/>
    </row>
    <row r="11" spans="1:21" customFormat="1">
      <c r="A11" s="163" t="s">
        <v>2450</v>
      </c>
      <c r="B11" s="100">
        <v>4.01</v>
      </c>
      <c r="C11" s="100">
        <v>7.29</v>
      </c>
      <c r="D11" s="100">
        <v>3.27</v>
      </c>
      <c r="E11" s="100">
        <v>3.45</v>
      </c>
      <c r="F11" s="100">
        <v>2.4900000000000002</v>
      </c>
      <c r="G11" s="100">
        <v>37.03</v>
      </c>
      <c r="H11" s="100">
        <v>6.48</v>
      </c>
      <c r="I11" s="100">
        <v>4.4800000000000004</v>
      </c>
      <c r="J11" s="100">
        <v>0.94</v>
      </c>
      <c r="K11" s="100">
        <v>256.91000000000003</v>
      </c>
      <c r="L11" s="100">
        <v>26.83</v>
      </c>
      <c r="M11" s="100">
        <v>81.040000000000006</v>
      </c>
      <c r="N11" s="100">
        <v>1.7</v>
      </c>
      <c r="O11" s="100">
        <v>0</v>
      </c>
      <c r="P11" s="100">
        <v>0.28999999999999998</v>
      </c>
      <c r="Q11" s="100">
        <v>9.9</v>
      </c>
      <c r="R11" s="6"/>
      <c r="S11" s="6"/>
      <c r="T11" s="156"/>
      <c r="U11" s="6"/>
    </row>
    <row r="12" spans="1:21" customFormat="1">
      <c r="A12" s="163" t="s">
        <v>2451</v>
      </c>
      <c r="B12" s="100">
        <v>3.99</v>
      </c>
      <c r="C12" s="100">
        <v>7.29</v>
      </c>
      <c r="D12" s="100">
        <v>3.3</v>
      </c>
      <c r="E12" s="100">
        <v>3.64</v>
      </c>
      <c r="F12" s="100">
        <v>2.39</v>
      </c>
      <c r="G12" s="100">
        <v>37.03</v>
      </c>
      <c r="H12" s="100">
        <v>6.48</v>
      </c>
      <c r="I12" s="100">
        <v>4.4000000000000004</v>
      </c>
      <c r="J12" s="100">
        <v>1.05</v>
      </c>
      <c r="K12" s="100">
        <v>257.24</v>
      </c>
      <c r="L12" s="100">
        <v>26.62</v>
      </c>
      <c r="M12" s="100">
        <v>82.17</v>
      </c>
      <c r="N12" s="100">
        <v>1.3</v>
      </c>
      <c r="O12" s="100">
        <v>0</v>
      </c>
      <c r="P12" s="100">
        <v>0.3</v>
      </c>
      <c r="Q12" s="100">
        <v>9.8800000000000008</v>
      </c>
      <c r="R12" s="6"/>
      <c r="S12" s="6"/>
      <c r="T12" s="156"/>
      <c r="U12" s="6"/>
    </row>
    <row r="13" spans="1:21" customFormat="1">
      <c r="A13" s="163" t="s">
        <v>2452</v>
      </c>
      <c r="B13" s="100">
        <v>3.9</v>
      </c>
      <c r="C13" s="100">
        <v>7.22</v>
      </c>
      <c r="D13" s="100">
        <v>3.32</v>
      </c>
      <c r="E13" s="100">
        <v>3.79</v>
      </c>
      <c r="F13" s="100">
        <v>2.81</v>
      </c>
      <c r="G13" s="100">
        <v>36.799999999999997</v>
      </c>
      <c r="H13" s="100">
        <v>6.53</v>
      </c>
      <c r="I13" s="100">
        <v>4.17</v>
      </c>
      <c r="J13" s="100">
        <v>0.72</v>
      </c>
      <c r="K13" s="100">
        <v>256.17</v>
      </c>
      <c r="L13" s="100">
        <v>26.61</v>
      </c>
      <c r="M13" s="100">
        <v>82.33</v>
      </c>
      <c r="N13" s="100">
        <v>1.5</v>
      </c>
      <c r="O13" s="100">
        <v>0</v>
      </c>
      <c r="P13" s="100">
        <v>0.28999999999999998</v>
      </c>
      <c r="Q13" s="100">
        <v>9.89</v>
      </c>
      <c r="R13" s="6"/>
      <c r="S13" s="6"/>
      <c r="T13" s="156"/>
      <c r="U13" s="6"/>
    </row>
    <row r="14" spans="1:21" customFormat="1">
      <c r="A14" s="163" t="s">
        <v>2453</v>
      </c>
      <c r="B14" s="100">
        <v>3.88</v>
      </c>
      <c r="C14" s="100">
        <v>7.23</v>
      </c>
      <c r="D14" s="100">
        <v>3.35</v>
      </c>
      <c r="E14" s="100">
        <v>3.84</v>
      </c>
      <c r="F14" s="100">
        <v>2.76</v>
      </c>
      <c r="G14" s="100">
        <v>36.229999999999997</v>
      </c>
      <c r="H14" s="100">
        <v>6.62</v>
      </c>
      <c r="I14" s="100">
        <v>4.26</v>
      </c>
      <c r="J14" s="100">
        <v>0.88</v>
      </c>
      <c r="K14" s="100">
        <v>257.58999999999997</v>
      </c>
      <c r="L14" s="100">
        <v>26.64</v>
      </c>
      <c r="M14" s="100">
        <v>82.12</v>
      </c>
      <c r="N14" s="100">
        <v>2</v>
      </c>
      <c r="O14" s="100">
        <v>0</v>
      </c>
      <c r="P14" s="100">
        <v>0.28999999999999998</v>
      </c>
      <c r="Q14" s="100">
        <v>9.89</v>
      </c>
      <c r="R14" s="6"/>
      <c r="S14" s="6"/>
      <c r="T14" s="156"/>
      <c r="U14" s="6"/>
    </row>
    <row r="15" spans="1:21" customFormat="1">
      <c r="A15" s="163" t="s">
        <v>2454</v>
      </c>
      <c r="B15" s="100">
        <v>3.88</v>
      </c>
      <c r="C15" s="100">
        <v>7.17</v>
      </c>
      <c r="D15" s="100">
        <v>3.29</v>
      </c>
      <c r="E15" s="100">
        <v>4.22</v>
      </c>
      <c r="F15" s="100">
        <v>2.86</v>
      </c>
      <c r="G15" s="100">
        <v>36.229999999999997</v>
      </c>
      <c r="H15" s="100">
        <v>6.62</v>
      </c>
      <c r="I15" s="100">
        <v>3.98</v>
      </c>
      <c r="J15" s="100">
        <v>0.79</v>
      </c>
      <c r="K15" s="100">
        <v>250.51</v>
      </c>
      <c r="L15" s="100">
        <v>26.62</v>
      </c>
      <c r="M15" s="100">
        <v>82.46</v>
      </c>
      <c r="N15" s="100">
        <v>2.1</v>
      </c>
      <c r="O15" s="100">
        <v>0</v>
      </c>
      <c r="P15" s="100">
        <v>0.28999999999999998</v>
      </c>
      <c r="Q15" s="100">
        <v>9.89</v>
      </c>
      <c r="R15" s="6"/>
      <c r="S15" s="6"/>
      <c r="T15" s="156"/>
      <c r="U15" s="6"/>
    </row>
    <row r="16" spans="1:21" customFormat="1">
      <c r="A16" s="163" t="s">
        <v>2455</v>
      </c>
      <c r="B16" s="100">
        <v>3.83</v>
      </c>
      <c r="C16" s="100">
        <v>7.16</v>
      </c>
      <c r="D16" s="100">
        <v>3.33</v>
      </c>
      <c r="E16" s="100">
        <v>4.08</v>
      </c>
      <c r="F16" s="100">
        <v>2.85</v>
      </c>
      <c r="G16" s="100">
        <v>36.229999999999997</v>
      </c>
      <c r="H16" s="100">
        <v>6.62</v>
      </c>
      <c r="I16" s="100">
        <v>3.83</v>
      </c>
      <c r="J16" s="100">
        <v>0.8</v>
      </c>
      <c r="K16" s="100">
        <v>252.98</v>
      </c>
      <c r="L16" s="100">
        <v>26.59</v>
      </c>
      <c r="M16" s="100">
        <v>82.84</v>
      </c>
      <c r="N16" s="100">
        <v>2.2000000000000002</v>
      </c>
      <c r="O16" s="100">
        <v>0</v>
      </c>
      <c r="P16" s="100">
        <v>0.27</v>
      </c>
      <c r="Q16" s="100">
        <v>9.91</v>
      </c>
      <c r="R16" s="6"/>
      <c r="S16" s="6"/>
      <c r="T16" s="156"/>
      <c r="U16" s="6"/>
    </row>
    <row r="17" spans="1:21" customFormat="1">
      <c r="A17" s="163" t="s">
        <v>2456</v>
      </c>
      <c r="B17" s="100">
        <v>3.83</v>
      </c>
      <c r="C17" s="100">
        <v>7.04</v>
      </c>
      <c r="D17" s="100">
        <v>3.21</v>
      </c>
      <c r="E17" s="100">
        <v>3.65</v>
      </c>
      <c r="F17" s="100">
        <v>3.36</v>
      </c>
      <c r="G17" s="100">
        <v>34.200000000000003</v>
      </c>
      <c r="H17" s="100">
        <v>6</v>
      </c>
      <c r="I17" s="100">
        <v>3.76</v>
      </c>
      <c r="J17" s="100">
        <v>0.75</v>
      </c>
      <c r="K17" s="100">
        <v>259.04000000000002</v>
      </c>
      <c r="L17" s="100">
        <v>26.49</v>
      </c>
      <c r="M17" s="100">
        <v>83.49</v>
      </c>
      <c r="N17" s="100">
        <v>2.5</v>
      </c>
      <c r="O17" s="100">
        <v>0</v>
      </c>
      <c r="P17" s="100">
        <v>0.27</v>
      </c>
      <c r="Q17" s="100">
        <v>9.9</v>
      </c>
      <c r="R17" s="6"/>
      <c r="S17" s="6"/>
      <c r="T17" s="156"/>
      <c r="U17" s="6"/>
    </row>
    <row r="18" spans="1:21" customFormat="1">
      <c r="A18" s="163" t="s">
        <v>2457</v>
      </c>
      <c r="B18" s="100">
        <v>3.84</v>
      </c>
      <c r="C18" s="100">
        <v>7.09</v>
      </c>
      <c r="D18" s="100">
        <v>3.24</v>
      </c>
      <c r="E18" s="100">
        <v>4.58</v>
      </c>
      <c r="F18" s="100">
        <v>3.12</v>
      </c>
      <c r="G18" s="100">
        <v>29.18</v>
      </c>
      <c r="H18" s="100">
        <v>4.9800000000000004</v>
      </c>
      <c r="I18" s="100">
        <v>3.66</v>
      </c>
      <c r="J18" s="100">
        <v>0.49</v>
      </c>
      <c r="K18" s="100">
        <v>251.45</v>
      </c>
      <c r="L18" s="100">
        <v>25.99</v>
      </c>
      <c r="M18" s="100">
        <v>88.45</v>
      </c>
      <c r="N18" s="100">
        <v>3</v>
      </c>
      <c r="O18" s="100">
        <v>0.2</v>
      </c>
      <c r="P18" s="100">
        <v>0.27</v>
      </c>
      <c r="Q18" s="100">
        <v>9.9</v>
      </c>
      <c r="R18" s="6"/>
      <c r="S18" s="6"/>
      <c r="T18" s="156"/>
      <c r="U18" s="6"/>
    </row>
    <row r="19" spans="1:21" customFormat="1">
      <c r="A19" s="163" t="s">
        <v>2458</v>
      </c>
      <c r="B19" s="100">
        <v>3.9</v>
      </c>
      <c r="C19" s="100">
        <v>7.09</v>
      </c>
      <c r="D19" s="100">
        <v>3.19</v>
      </c>
      <c r="E19" s="100">
        <v>4.67</v>
      </c>
      <c r="F19" s="100">
        <v>3.02</v>
      </c>
      <c r="G19" s="100">
        <v>29.18</v>
      </c>
      <c r="H19" s="100">
        <v>4.9800000000000004</v>
      </c>
      <c r="I19" s="100">
        <v>3.57</v>
      </c>
      <c r="J19" s="100">
        <v>0.88</v>
      </c>
      <c r="K19" s="100">
        <v>255.42</v>
      </c>
      <c r="L19" s="100">
        <v>25.5</v>
      </c>
      <c r="M19" s="100">
        <v>91.42</v>
      </c>
      <c r="N19" s="100">
        <v>2.8</v>
      </c>
      <c r="O19" s="100">
        <v>0.2</v>
      </c>
      <c r="P19" s="100">
        <v>0.26</v>
      </c>
      <c r="Q19" s="100">
        <v>9.91</v>
      </c>
      <c r="R19" s="6"/>
      <c r="S19" s="6"/>
      <c r="T19" s="156"/>
      <c r="U19" s="6"/>
    </row>
    <row r="20" spans="1:21" customFormat="1">
      <c r="A20" s="163" t="s">
        <v>2459</v>
      </c>
      <c r="B20" s="100">
        <v>3.9</v>
      </c>
      <c r="C20" s="100">
        <v>7.05</v>
      </c>
      <c r="D20" s="100">
        <v>3.15</v>
      </c>
      <c r="E20" s="100">
        <v>4.6100000000000003</v>
      </c>
      <c r="F20" s="100">
        <v>3.07</v>
      </c>
      <c r="G20" s="100">
        <v>29.18</v>
      </c>
      <c r="H20" s="100">
        <v>4.9800000000000004</v>
      </c>
      <c r="I20" s="100">
        <v>3.52</v>
      </c>
      <c r="J20" s="100">
        <v>0.69</v>
      </c>
      <c r="K20" s="100">
        <v>250.85</v>
      </c>
      <c r="L20" s="100">
        <v>25.27</v>
      </c>
      <c r="M20" s="100">
        <v>92.28</v>
      </c>
      <c r="N20" s="100">
        <v>2.1</v>
      </c>
      <c r="O20" s="100">
        <v>0</v>
      </c>
      <c r="P20" s="100">
        <v>0.27</v>
      </c>
      <c r="Q20" s="100">
        <v>9.9</v>
      </c>
      <c r="R20" s="6"/>
      <c r="S20" s="6"/>
      <c r="T20" s="156"/>
      <c r="U20" s="6"/>
    </row>
    <row r="21" spans="1:21" customFormat="1">
      <c r="A21" s="163" t="s">
        <v>2460</v>
      </c>
      <c r="B21" s="100">
        <v>3.89</v>
      </c>
      <c r="C21" s="100">
        <v>7.08</v>
      </c>
      <c r="D21" s="100">
        <v>3.19</v>
      </c>
      <c r="E21" s="100">
        <v>4.8</v>
      </c>
      <c r="F21" s="100">
        <v>2.98</v>
      </c>
      <c r="G21" s="100">
        <v>26.8</v>
      </c>
      <c r="H21" s="100">
        <v>4.84</v>
      </c>
      <c r="I21" s="100">
        <v>3.6</v>
      </c>
      <c r="J21" s="100">
        <v>0.63</v>
      </c>
      <c r="K21" s="100">
        <v>252.56</v>
      </c>
      <c r="L21" s="100">
        <v>25.2</v>
      </c>
      <c r="M21" s="100">
        <v>93.11</v>
      </c>
      <c r="N21" s="100">
        <v>2.2000000000000002</v>
      </c>
      <c r="O21" s="100">
        <v>0</v>
      </c>
      <c r="P21" s="100">
        <v>0.26</v>
      </c>
      <c r="Q21" s="100">
        <v>9.9</v>
      </c>
      <c r="R21" s="6"/>
      <c r="S21" s="6"/>
      <c r="T21" s="156"/>
      <c r="U21" s="6"/>
    </row>
    <row r="22" spans="1:21" customFormat="1">
      <c r="A22" s="163" t="s">
        <v>2461</v>
      </c>
      <c r="B22" s="100">
        <v>3.93</v>
      </c>
      <c r="C22" s="100">
        <v>7.14</v>
      </c>
      <c r="D22" s="100">
        <v>3.21</v>
      </c>
      <c r="E22" s="100">
        <v>4.8600000000000003</v>
      </c>
      <c r="F22" s="100">
        <v>3.32</v>
      </c>
      <c r="G22" s="100">
        <v>20.96</v>
      </c>
      <c r="H22" s="100">
        <v>4.62</v>
      </c>
      <c r="I22" s="100">
        <v>3.37</v>
      </c>
      <c r="J22" s="100">
        <v>0.5</v>
      </c>
      <c r="K22" s="100">
        <v>250.49</v>
      </c>
      <c r="L22" s="100">
        <v>25.17</v>
      </c>
      <c r="M22" s="100">
        <v>93.23</v>
      </c>
      <c r="N22" s="100">
        <v>2</v>
      </c>
      <c r="O22" s="100">
        <v>0</v>
      </c>
      <c r="P22" s="100">
        <v>0.26</v>
      </c>
      <c r="Q22" s="100">
        <v>9.91</v>
      </c>
      <c r="R22" s="6"/>
      <c r="S22" s="6"/>
      <c r="T22" s="156"/>
      <c r="U22" s="6"/>
    </row>
    <row r="23" spans="1:21" customFormat="1">
      <c r="A23" s="163" t="s">
        <v>2462</v>
      </c>
      <c r="B23" s="100">
        <v>3.97</v>
      </c>
      <c r="C23" s="100">
        <v>7.08</v>
      </c>
      <c r="D23" s="100">
        <v>3.11</v>
      </c>
      <c r="E23" s="100">
        <v>4.9800000000000004</v>
      </c>
      <c r="F23" s="100">
        <v>3.14</v>
      </c>
      <c r="G23" s="100">
        <v>20.96</v>
      </c>
      <c r="H23" s="100">
        <v>4.62</v>
      </c>
      <c r="I23" s="100">
        <v>3.31</v>
      </c>
      <c r="J23" s="100">
        <v>0.54</v>
      </c>
      <c r="K23" s="100">
        <v>255.57</v>
      </c>
      <c r="L23" s="100">
        <v>25.2</v>
      </c>
      <c r="M23" s="100">
        <v>92.95</v>
      </c>
      <c r="N23" s="100">
        <v>2.1</v>
      </c>
      <c r="O23" s="100">
        <v>0</v>
      </c>
      <c r="P23" s="100">
        <v>0.26</v>
      </c>
      <c r="Q23" s="100">
        <v>9.9</v>
      </c>
      <c r="R23" s="6"/>
      <c r="S23" s="6"/>
      <c r="T23" s="156"/>
      <c r="U23" s="6"/>
    </row>
    <row r="24" spans="1:21" customFormat="1">
      <c r="A24" s="163" t="s">
        <v>2463</v>
      </c>
      <c r="B24" s="100">
        <v>3.98</v>
      </c>
      <c r="C24" s="100">
        <v>7.03</v>
      </c>
      <c r="D24" s="100">
        <v>3.05</v>
      </c>
      <c r="E24" s="100">
        <v>5.04</v>
      </c>
      <c r="F24" s="100">
        <v>3.19</v>
      </c>
      <c r="G24" s="100">
        <v>20.96</v>
      </c>
      <c r="H24" s="100">
        <v>4.62</v>
      </c>
      <c r="I24" s="100">
        <v>3.34</v>
      </c>
      <c r="J24" s="100">
        <v>0.65</v>
      </c>
      <c r="K24" s="100">
        <v>253</v>
      </c>
      <c r="L24" s="100">
        <v>25.27</v>
      </c>
      <c r="M24" s="100">
        <v>92.01</v>
      </c>
      <c r="N24" s="100">
        <v>2.5</v>
      </c>
      <c r="O24" s="100">
        <v>0</v>
      </c>
      <c r="P24" s="100">
        <v>0.26</v>
      </c>
      <c r="Q24" s="100">
        <v>9.91</v>
      </c>
      <c r="R24" s="6"/>
      <c r="S24" s="6"/>
      <c r="T24" s="156"/>
      <c r="U24" s="6"/>
    </row>
    <row r="25" spans="1:21" customFormat="1">
      <c r="A25" s="163" t="s">
        <v>2464</v>
      </c>
      <c r="B25" s="100">
        <v>3.95</v>
      </c>
      <c r="C25" s="100">
        <v>7.01</v>
      </c>
      <c r="D25" s="100">
        <v>3.06</v>
      </c>
      <c r="E25" s="100">
        <v>4.97</v>
      </c>
      <c r="F25" s="100">
        <v>3.57</v>
      </c>
      <c r="G25" s="100">
        <v>19.32</v>
      </c>
      <c r="H25" s="100">
        <v>4.3899999999999997</v>
      </c>
      <c r="I25" s="100">
        <v>3.33</v>
      </c>
      <c r="J25" s="100">
        <v>0.49</v>
      </c>
      <c r="K25" s="100">
        <v>251.77</v>
      </c>
      <c r="L25" s="100">
        <v>25.35</v>
      </c>
      <c r="M25" s="100">
        <v>91.17</v>
      </c>
      <c r="N25" s="100">
        <v>2.6</v>
      </c>
      <c r="O25" s="100">
        <v>0</v>
      </c>
      <c r="P25" s="100">
        <v>0.26</v>
      </c>
      <c r="Q25" s="100">
        <v>9.89</v>
      </c>
      <c r="R25" s="6"/>
      <c r="S25" s="6"/>
      <c r="T25" s="156"/>
      <c r="U25" s="6"/>
    </row>
    <row r="26" spans="1:21" customFormat="1">
      <c r="A26" s="163" t="s">
        <v>2465</v>
      </c>
      <c r="B26" s="100">
        <v>3.98</v>
      </c>
      <c r="C26" s="100">
        <v>6.99</v>
      </c>
      <c r="D26" s="100">
        <v>3.01</v>
      </c>
      <c r="E26" s="100">
        <v>5</v>
      </c>
      <c r="F26" s="100">
        <v>3.52</v>
      </c>
      <c r="G26" s="100">
        <v>15.3</v>
      </c>
      <c r="H26" s="100">
        <v>3.41</v>
      </c>
      <c r="I26" s="100">
        <v>3.29</v>
      </c>
      <c r="J26" s="100">
        <v>0.56999999999999995</v>
      </c>
      <c r="K26" s="100">
        <v>251.16</v>
      </c>
      <c r="L26" s="100">
        <v>25.39</v>
      </c>
      <c r="M26" s="100">
        <v>90.64</v>
      </c>
      <c r="N26" s="100">
        <v>2.9</v>
      </c>
      <c r="O26" s="100">
        <v>0</v>
      </c>
      <c r="P26" s="100">
        <v>0.27</v>
      </c>
      <c r="Q26" s="100">
        <v>9.9</v>
      </c>
      <c r="R26" s="6"/>
      <c r="S26" s="6"/>
      <c r="T26" s="156"/>
      <c r="U26" s="6"/>
    </row>
    <row r="27" spans="1:21" customFormat="1">
      <c r="A27" s="163" t="s">
        <v>2466</v>
      </c>
      <c r="B27" s="100">
        <v>4.1500000000000004</v>
      </c>
      <c r="C27" s="100">
        <v>7.08</v>
      </c>
      <c r="D27" s="100">
        <v>2.93</v>
      </c>
      <c r="E27" s="100">
        <v>5.21</v>
      </c>
      <c r="F27" s="100">
        <v>2.1</v>
      </c>
      <c r="G27" s="100">
        <v>15.3</v>
      </c>
      <c r="H27" s="100">
        <v>3.41</v>
      </c>
      <c r="I27" s="100">
        <v>3.27</v>
      </c>
      <c r="J27" s="100">
        <v>0.64</v>
      </c>
      <c r="K27" s="100">
        <v>255.27</v>
      </c>
      <c r="L27" s="100">
        <v>25.45</v>
      </c>
      <c r="M27" s="100">
        <v>89.82</v>
      </c>
      <c r="N27" s="100">
        <v>2.9</v>
      </c>
      <c r="O27" s="100">
        <v>0</v>
      </c>
      <c r="P27" s="100">
        <v>0.28999999999999998</v>
      </c>
      <c r="Q27" s="100">
        <v>9.9</v>
      </c>
      <c r="R27" s="6"/>
      <c r="S27" s="6"/>
      <c r="T27" s="156"/>
      <c r="U27" s="6"/>
    </row>
    <row r="28" spans="1:21" customFormat="1">
      <c r="A28" s="163" t="s">
        <v>2467</v>
      </c>
      <c r="B28" s="100">
        <v>4.34</v>
      </c>
      <c r="C28" s="100">
        <v>6.73</v>
      </c>
      <c r="D28" s="100">
        <v>2.39</v>
      </c>
      <c r="E28" s="100">
        <v>4.84</v>
      </c>
      <c r="F28" s="100">
        <v>2.2799999999999998</v>
      </c>
      <c r="G28" s="100">
        <v>15.3</v>
      </c>
      <c r="H28" s="100">
        <v>3.41</v>
      </c>
      <c r="I28" s="100">
        <v>3.2</v>
      </c>
      <c r="J28" s="100">
        <v>0.79</v>
      </c>
      <c r="K28" s="100">
        <v>255.41</v>
      </c>
      <c r="L28" s="100">
        <v>25.49</v>
      </c>
      <c r="M28" s="100">
        <v>89.3</v>
      </c>
      <c r="N28" s="100">
        <v>3</v>
      </c>
      <c r="O28" s="100">
        <v>0</v>
      </c>
      <c r="P28" s="100">
        <v>0.27</v>
      </c>
      <c r="Q28" s="100">
        <v>9.92</v>
      </c>
      <c r="R28" s="6"/>
      <c r="S28" s="6"/>
      <c r="T28" s="156"/>
      <c r="U28" s="6"/>
    </row>
    <row r="29" spans="1:21" customFormat="1">
      <c r="A29" s="163" t="s">
        <v>2468</v>
      </c>
      <c r="B29" s="100">
        <v>4.3</v>
      </c>
      <c r="C29" s="100">
        <v>6.44</v>
      </c>
      <c r="D29" s="100">
        <v>2.15</v>
      </c>
      <c r="E29" s="100">
        <v>4.0199999999999996</v>
      </c>
      <c r="F29" s="100">
        <v>2.86</v>
      </c>
      <c r="G29" s="100">
        <v>14.1</v>
      </c>
      <c r="H29" s="100">
        <v>3.08</v>
      </c>
      <c r="I29" s="100">
        <v>3.19</v>
      </c>
      <c r="J29" s="100">
        <v>0.82</v>
      </c>
      <c r="K29" s="100">
        <v>253.94</v>
      </c>
      <c r="L29" s="100">
        <v>25.52</v>
      </c>
      <c r="M29" s="100">
        <v>89.15</v>
      </c>
      <c r="N29" s="100">
        <v>3</v>
      </c>
      <c r="O29" s="100">
        <v>0</v>
      </c>
      <c r="P29" s="100">
        <v>0.27</v>
      </c>
      <c r="Q29" s="100">
        <v>9.92</v>
      </c>
      <c r="R29" s="6"/>
      <c r="S29" s="6"/>
      <c r="T29" s="156"/>
      <c r="U29" s="6"/>
    </row>
    <row r="30" spans="1:21" customFormat="1">
      <c r="A30" s="163" t="s">
        <v>2469</v>
      </c>
      <c r="B30" s="100">
        <v>4.2699999999999996</v>
      </c>
      <c r="C30" s="100">
        <v>6.57</v>
      </c>
      <c r="D30" s="100">
        <v>2.31</v>
      </c>
      <c r="E30" s="100">
        <v>4.2</v>
      </c>
      <c r="F30" s="100">
        <v>2.76</v>
      </c>
      <c r="G30" s="100">
        <v>10.96</v>
      </c>
      <c r="H30" s="100">
        <v>2.5099999999999998</v>
      </c>
      <c r="I30" s="100">
        <v>3.16</v>
      </c>
      <c r="J30" s="100">
        <v>0.73</v>
      </c>
      <c r="K30" s="100">
        <v>253.97</v>
      </c>
      <c r="L30" s="100">
        <v>25.53</v>
      </c>
      <c r="M30" s="100">
        <v>88.64</v>
      </c>
      <c r="N30" s="100">
        <v>3.1</v>
      </c>
      <c r="O30" s="100">
        <v>0</v>
      </c>
      <c r="P30" s="100">
        <v>0.3</v>
      </c>
      <c r="Q30" s="100">
        <v>9.89</v>
      </c>
      <c r="R30" s="6"/>
      <c r="S30" s="6"/>
      <c r="T30" s="156"/>
      <c r="U30" s="6"/>
    </row>
    <row r="31" spans="1:21" customFormat="1">
      <c r="A31" s="163" t="s">
        <v>2470</v>
      </c>
      <c r="B31" s="100">
        <v>4.37</v>
      </c>
      <c r="C31" s="100">
        <v>6.74</v>
      </c>
      <c r="D31" s="100">
        <v>2.37</v>
      </c>
      <c r="E31" s="100">
        <v>4.32</v>
      </c>
      <c r="F31" s="100">
        <v>2.1</v>
      </c>
      <c r="G31" s="100">
        <v>10.96</v>
      </c>
      <c r="H31" s="100">
        <v>2.5099999999999998</v>
      </c>
      <c r="I31" s="100">
        <v>3.17</v>
      </c>
      <c r="J31" s="100">
        <v>0.75</v>
      </c>
      <c r="K31" s="100">
        <v>258.49</v>
      </c>
      <c r="L31" s="100">
        <v>25.58</v>
      </c>
      <c r="M31" s="100">
        <v>88.3</v>
      </c>
      <c r="N31" s="100">
        <v>5.9</v>
      </c>
      <c r="O31" s="100">
        <v>0</v>
      </c>
      <c r="P31" s="100">
        <v>0.28000000000000003</v>
      </c>
      <c r="Q31" s="100">
        <v>9.9</v>
      </c>
      <c r="R31" s="6"/>
      <c r="S31" s="6"/>
      <c r="T31" s="156"/>
      <c r="U31" s="6"/>
    </row>
    <row r="32" spans="1:21" customFormat="1">
      <c r="A32" s="163" t="s">
        <v>2471</v>
      </c>
      <c r="B32" s="100">
        <v>4.41</v>
      </c>
      <c r="C32" s="100">
        <v>6.61</v>
      </c>
      <c r="D32" s="100">
        <v>2.2000000000000002</v>
      </c>
      <c r="E32" s="100">
        <v>4</v>
      </c>
      <c r="F32" s="100">
        <v>2.4</v>
      </c>
      <c r="G32" s="100">
        <v>10.96</v>
      </c>
      <c r="H32" s="100">
        <v>2.5099999999999998</v>
      </c>
      <c r="I32" s="100">
        <v>3.34</v>
      </c>
      <c r="J32" s="100">
        <v>0.87</v>
      </c>
      <c r="K32" s="100">
        <v>255.61</v>
      </c>
      <c r="L32" s="100">
        <v>25.6</v>
      </c>
      <c r="M32" s="100">
        <v>88.37</v>
      </c>
      <c r="N32" s="100">
        <v>10.5</v>
      </c>
      <c r="O32" s="100">
        <v>0</v>
      </c>
      <c r="P32" s="100">
        <v>0.27</v>
      </c>
      <c r="Q32" s="100">
        <v>9.91</v>
      </c>
      <c r="R32" s="6"/>
      <c r="S32" s="6"/>
      <c r="T32" s="156"/>
      <c r="U32" s="6"/>
    </row>
    <row r="33" spans="1:21" customFormat="1">
      <c r="A33" s="163" t="s">
        <v>2472</v>
      </c>
      <c r="B33" s="100">
        <v>4.3499999999999996</v>
      </c>
      <c r="C33" s="100">
        <v>6.6</v>
      </c>
      <c r="D33" s="100">
        <v>2.2599999999999998</v>
      </c>
      <c r="E33" s="100">
        <v>3.79</v>
      </c>
      <c r="F33" s="100">
        <v>2.74</v>
      </c>
      <c r="G33" s="100">
        <v>10.15</v>
      </c>
      <c r="H33" s="100">
        <v>2.42</v>
      </c>
      <c r="I33" s="100">
        <v>3.27</v>
      </c>
      <c r="J33" s="100">
        <v>0.69</v>
      </c>
      <c r="K33" s="100">
        <v>252.4</v>
      </c>
      <c r="L33" s="100">
        <v>25.66</v>
      </c>
      <c r="M33" s="100">
        <v>88.45</v>
      </c>
      <c r="N33" s="100">
        <v>14.9</v>
      </c>
      <c r="O33" s="100">
        <v>0</v>
      </c>
      <c r="P33" s="100">
        <v>0.28999999999999998</v>
      </c>
      <c r="Q33" s="100">
        <v>9.91</v>
      </c>
      <c r="R33" s="6"/>
      <c r="S33" s="6"/>
      <c r="T33" s="156"/>
      <c r="U33" s="6"/>
    </row>
    <row r="34" spans="1:21" customFormat="1">
      <c r="A34" s="163" t="s">
        <v>2473</v>
      </c>
      <c r="B34" s="100">
        <v>4.4400000000000004</v>
      </c>
      <c r="C34" s="100">
        <v>6.9</v>
      </c>
      <c r="D34" s="100">
        <v>2.46</v>
      </c>
      <c r="E34" s="100">
        <v>4.37</v>
      </c>
      <c r="F34" s="100">
        <v>2.1</v>
      </c>
      <c r="G34" s="100">
        <v>8.15</v>
      </c>
      <c r="H34" s="100">
        <v>2.2599999999999998</v>
      </c>
      <c r="I34" s="100">
        <v>3.26</v>
      </c>
      <c r="J34" s="100">
        <v>0.65</v>
      </c>
      <c r="K34" s="100">
        <v>251.12</v>
      </c>
      <c r="L34" s="100">
        <v>25.73</v>
      </c>
      <c r="M34" s="100">
        <v>88.73</v>
      </c>
      <c r="N34" s="100">
        <v>16.8</v>
      </c>
      <c r="O34" s="100">
        <v>0</v>
      </c>
      <c r="P34" s="100">
        <v>0.28999999999999998</v>
      </c>
      <c r="Q34" s="100">
        <v>9.91</v>
      </c>
      <c r="R34" s="6"/>
      <c r="S34" s="6"/>
      <c r="T34" s="156"/>
      <c r="U34" s="6"/>
    </row>
    <row r="35" spans="1:21" customFormat="1">
      <c r="A35" s="163" t="s">
        <v>2474</v>
      </c>
      <c r="B35" s="100">
        <v>4.57</v>
      </c>
      <c r="C35" s="100">
        <v>6.54</v>
      </c>
      <c r="D35" s="100">
        <v>1.97</v>
      </c>
      <c r="E35" s="100">
        <v>4.01</v>
      </c>
      <c r="F35" s="100">
        <v>2.58</v>
      </c>
      <c r="G35" s="100">
        <v>8.15</v>
      </c>
      <c r="H35" s="100">
        <v>2.2599999999999998</v>
      </c>
      <c r="I35" s="100">
        <v>3.35</v>
      </c>
      <c r="J35" s="100">
        <v>0.39</v>
      </c>
      <c r="K35" s="100">
        <v>254.33</v>
      </c>
      <c r="L35" s="100">
        <v>25.78</v>
      </c>
      <c r="M35" s="100">
        <v>89.38</v>
      </c>
      <c r="N35" s="100">
        <v>18.7</v>
      </c>
      <c r="O35" s="100">
        <v>0</v>
      </c>
      <c r="P35" s="100">
        <v>0.27</v>
      </c>
      <c r="Q35" s="100">
        <v>9.92</v>
      </c>
      <c r="R35" s="6"/>
      <c r="S35" s="6"/>
      <c r="T35" s="156"/>
      <c r="U35" s="6"/>
    </row>
    <row r="36" spans="1:21" customFormat="1">
      <c r="A36" s="163" t="s">
        <v>2475</v>
      </c>
      <c r="B36" s="100">
        <v>4.55</v>
      </c>
      <c r="C36" s="100">
        <v>6.45</v>
      </c>
      <c r="D36" s="100">
        <v>1.9</v>
      </c>
      <c r="E36" s="100">
        <v>3.77</v>
      </c>
      <c r="F36" s="100">
        <v>2.56</v>
      </c>
      <c r="G36" s="100">
        <v>8.15</v>
      </c>
      <c r="H36" s="100">
        <v>2.2599999999999998</v>
      </c>
      <c r="I36" s="100">
        <v>3.39</v>
      </c>
      <c r="J36" s="100">
        <v>0.52</v>
      </c>
      <c r="K36" s="100">
        <v>255.03</v>
      </c>
      <c r="L36" s="100">
        <v>25.86</v>
      </c>
      <c r="M36" s="100">
        <v>89.34</v>
      </c>
      <c r="N36" s="100">
        <v>34.1</v>
      </c>
      <c r="O36" s="100">
        <v>0</v>
      </c>
      <c r="P36" s="100">
        <v>0.28000000000000003</v>
      </c>
      <c r="Q36" s="100">
        <v>9.91</v>
      </c>
      <c r="R36" s="6"/>
      <c r="S36" s="6"/>
      <c r="T36" s="156"/>
      <c r="U36" s="6"/>
    </row>
    <row r="37" spans="1:21" customFormat="1">
      <c r="A37" s="163" t="s">
        <v>2476</v>
      </c>
      <c r="B37" s="100">
        <v>4.54</v>
      </c>
      <c r="C37" s="100">
        <v>6.87</v>
      </c>
      <c r="D37" s="100">
        <v>2.34</v>
      </c>
      <c r="E37" s="100">
        <v>4.03</v>
      </c>
      <c r="F37" s="100">
        <v>2.31</v>
      </c>
      <c r="G37" s="100">
        <v>8.19</v>
      </c>
      <c r="H37" s="100">
        <v>3.3</v>
      </c>
      <c r="I37" s="100">
        <v>3.38</v>
      </c>
      <c r="J37" s="100">
        <v>0.56999999999999995</v>
      </c>
      <c r="K37" s="100">
        <v>255.33</v>
      </c>
      <c r="L37" s="100">
        <v>26.04</v>
      </c>
      <c r="M37" s="100">
        <v>88.34</v>
      </c>
      <c r="N37" s="100">
        <v>41.9</v>
      </c>
      <c r="O37" s="100">
        <v>0</v>
      </c>
      <c r="P37" s="100">
        <v>0.28999999999999998</v>
      </c>
      <c r="Q37" s="100">
        <v>9.91</v>
      </c>
      <c r="R37" s="6"/>
      <c r="S37" s="6"/>
      <c r="T37" s="156"/>
      <c r="U37" s="6"/>
    </row>
    <row r="38" spans="1:21" customFormat="1">
      <c r="A38" s="163" t="s">
        <v>2477</v>
      </c>
      <c r="B38" s="100">
        <v>4.59</v>
      </c>
      <c r="C38" s="100">
        <v>6.76</v>
      </c>
      <c r="D38" s="100">
        <v>2.17</v>
      </c>
      <c r="E38" s="100">
        <v>4.08</v>
      </c>
      <c r="F38" s="100">
        <v>2.5299999999999998</v>
      </c>
      <c r="G38" s="100">
        <v>8.3000000000000007</v>
      </c>
      <c r="H38" s="100">
        <v>5</v>
      </c>
      <c r="I38" s="100">
        <v>3.39</v>
      </c>
      <c r="J38" s="100">
        <v>0.54</v>
      </c>
      <c r="K38" s="100">
        <v>249.05</v>
      </c>
      <c r="L38" s="100">
        <v>26.19</v>
      </c>
      <c r="M38" s="100">
        <v>86.88</v>
      </c>
      <c r="N38" s="100">
        <v>41.1</v>
      </c>
      <c r="O38" s="100">
        <v>0</v>
      </c>
      <c r="P38" s="100">
        <v>0.26</v>
      </c>
      <c r="Q38" s="100">
        <v>9.91</v>
      </c>
      <c r="R38" s="6"/>
      <c r="S38" s="6"/>
      <c r="T38" s="156"/>
      <c r="U38" s="6"/>
    </row>
    <row r="39" spans="1:21" customFormat="1">
      <c r="A39" s="163" t="s">
        <v>2478</v>
      </c>
      <c r="B39" s="100">
        <v>4.5599999999999996</v>
      </c>
      <c r="C39" s="100">
        <v>6.63</v>
      </c>
      <c r="D39" s="100">
        <v>2.0699999999999998</v>
      </c>
      <c r="E39" s="100">
        <v>4</v>
      </c>
      <c r="F39" s="100">
        <v>2.38</v>
      </c>
      <c r="G39" s="100">
        <v>8.3000000000000007</v>
      </c>
      <c r="H39" s="100">
        <v>5</v>
      </c>
      <c r="I39" s="100">
        <v>3.49</v>
      </c>
      <c r="J39" s="100">
        <v>0.6</v>
      </c>
      <c r="K39" s="100">
        <v>262.19</v>
      </c>
      <c r="L39" s="100">
        <v>26.3</v>
      </c>
      <c r="M39" s="100">
        <v>86.8</v>
      </c>
      <c r="N39" s="100">
        <v>62.6</v>
      </c>
      <c r="O39" s="100">
        <v>0</v>
      </c>
      <c r="P39" s="100">
        <v>0.27</v>
      </c>
      <c r="Q39" s="100">
        <v>9.91</v>
      </c>
      <c r="R39" s="6"/>
      <c r="S39" s="6"/>
      <c r="T39" s="156"/>
      <c r="U39" s="6"/>
    </row>
    <row r="40" spans="1:21" customFormat="1">
      <c r="A40" s="163" t="s">
        <v>2479</v>
      </c>
      <c r="B40" s="100">
        <v>4.54</v>
      </c>
      <c r="C40" s="100">
        <v>7</v>
      </c>
      <c r="D40" s="100">
        <v>2.46</v>
      </c>
      <c r="E40" s="100">
        <v>4.22</v>
      </c>
      <c r="F40" s="100">
        <v>2.19</v>
      </c>
      <c r="G40" s="100">
        <v>8.3000000000000007</v>
      </c>
      <c r="H40" s="100">
        <v>5</v>
      </c>
      <c r="I40" s="100">
        <v>3.59</v>
      </c>
      <c r="J40" s="100">
        <v>0.82</v>
      </c>
      <c r="K40" s="100">
        <v>254.05</v>
      </c>
      <c r="L40" s="100">
        <v>26.41</v>
      </c>
      <c r="M40" s="100">
        <v>86.44</v>
      </c>
      <c r="N40" s="100">
        <v>84.3</v>
      </c>
      <c r="O40" s="100">
        <v>0</v>
      </c>
      <c r="P40" s="100">
        <v>0.28999999999999998</v>
      </c>
      <c r="Q40" s="100">
        <v>9.9</v>
      </c>
      <c r="R40" s="6"/>
      <c r="S40" s="6"/>
      <c r="T40" s="156"/>
      <c r="U40" s="6"/>
    </row>
    <row r="41" spans="1:21" customFormat="1">
      <c r="A41" s="163" t="s">
        <v>2480</v>
      </c>
      <c r="B41" s="100">
        <v>4.6399999999999997</v>
      </c>
      <c r="C41" s="100">
        <v>7.02</v>
      </c>
      <c r="D41" s="100">
        <v>2.38</v>
      </c>
      <c r="E41" s="100">
        <v>4.13</v>
      </c>
      <c r="F41" s="100">
        <v>2.42</v>
      </c>
      <c r="G41" s="100">
        <v>10.16</v>
      </c>
      <c r="H41" s="100">
        <v>4.8899999999999997</v>
      </c>
      <c r="I41" s="100">
        <v>3.42</v>
      </c>
      <c r="J41" s="100">
        <v>0.92</v>
      </c>
      <c r="K41" s="100">
        <v>256.55</v>
      </c>
      <c r="L41" s="100">
        <v>26.5</v>
      </c>
      <c r="M41" s="100">
        <v>86.59</v>
      </c>
      <c r="N41" s="100">
        <v>103.1</v>
      </c>
      <c r="O41" s="100">
        <v>0</v>
      </c>
      <c r="P41" s="100">
        <v>0.28999999999999998</v>
      </c>
      <c r="Q41" s="100">
        <v>9.92</v>
      </c>
      <c r="R41" s="6"/>
      <c r="S41" s="6"/>
      <c r="T41" s="156"/>
      <c r="U41" s="6"/>
    </row>
    <row r="42" spans="1:21" customFormat="1">
      <c r="A42" s="163" t="s">
        <v>2481</v>
      </c>
      <c r="B42" s="100">
        <v>4.58</v>
      </c>
      <c r="C42" s="100">
        <v>6.99</v>
      </c>
      <c r="D42" s="100">
        <v>2.4</v>
      </c>
      <c r="E42" s="100">
        <v>4.05</v>
      </c>
      <c r="F42" s="100">
        <v>2.59</v>
      </c>
      <c r="G42" s="100">
        <v>14.76</v>
      </c>
      <c r="H42" s="100">
        <v>4.72</v>
      </c>
      <c r="I42" s="100">
        <v>3.56</v>
      </c>
      <c r="J42" s="100">
        <v>0.8</v>
      </c>
      <c r="K42" s="100">
        <v>259.83999999999997</v>
      </c>
      <c r="L42" s="100">
        <v>26.45</v>
      </c>
      <c r="M42" s="100">
        <v>87.28</v>
      </c>
      <c r="N42" s="100">
        <v>79.5</v>
      </c>
      <c r="O42" s="100">
        <v>0</v>
      </c>
      <c r="P42" s="100">
        <v>0.3</v>
      </c>
      <c r="Q42" s="100">
        <v>9.92</v>
      </c>
      <c r="R42" s="6"/>
      <c r="S42" s="6"/>
      <c r="T42" s="156"/>
      <c r="U42" s="6"/>
    </row>
    <row r="43" spans="1:21" customFormat="1">
      <c r="A43" s="163" t="s">
        <v>2482</v>
      </c>
      <c r="B43" s="100">
        <v>4.6500000000000004</v>
      </c>
      <c r="C43" s="100">
        <v>7.22</v>
      </c>
      <c r="D43" s="100">
        <v>2.57</v>
      </c>
      <c r="E43" s="100">
        <v>4.1100000000000003</v>
      </c>
      <c r="F43" s="100">
        <v>2.1</v>
      </c>
      <c r="G43" s="100">
        <v>14.76</v>
      </c>
      <c r="H43" s="100">
        <v>4.72</v>
      </c>
      <c r="I43" s="100">
        <v>3.68</v>
      </c>
      <c r="J43" s="100">
        <v>0.76</v>
      </c>
      <c r="K43" s="100">
        <v>251.87</v>
      </c>
      <c r="L43" s="100">
        <v>26.39</v>
      </c>
      <c r="M43" s="100">
        <v>87.45</v>
      </c>
      <c r="N43" s="100">
        <v>61.1</v>
      </c>
      <c r="O43" s="100">
        <v>0</v>
      </c>
      <c r="P43" s="100">
        <v>0.28999999999999998</v>
      </c>
      <c r="Q43" s="100">
        <v>9.91</v>
      </c>
      <c r="R43" s="6"/>
      <c r="S43" s="6"/>
      <c r="T43" s="156"/>
      <c r="U43" s="6"/>
    </row>
    <row r="44" spans="1:21" customFormat="1">
      <c r="A44" s="163" t="s">
        <v>2483</v>
      </c>
      <c r="B44" s="100">
        <v>4.7</v>
      </c>
      <c r="C44" s="100">
        <v>7</v>
      </c>
      <c r="D44" s="100">
        <v>2.2999999999999998</v>
      </c>
      <c r="E44" s="100">
        <v>4.0199999999999996</v>
      </c>
      <c r="F44" s="100">
        <v>2.35</v>
      </c>
      <c r="G44" s="100">
        <v>14.76</v>
      </c>
      <c r="H44" s="100">
        <v>4.72</v>
      </c>
      <c r="I44" s="100">
        <v>3.66</v>
      </c>
      <c r="J44" s="100">
        <v>0.9</v>
      </c>
      <c r="K44" s="100">
        <v>257.06</v>
      </c>
      <c r="L44" s="100">
        <v>26.25</v>
      </c>
      <c r="M44" s="100">
        <v>87.84</v>
      </c>
      <c r="N44" s="100">
        <v>51.5</v>
      </c>
      <c r="O44" s="100">
        <v>0</v>
      </c>
      <c r="P44" s="100">
        <v>0.28000000000000003</v>
      </c>
      <c r="Q44" s="100">
        <v>9.91</v>
      </c>
      <c r="R44" s="6"/>
      <c r="S44" s="6"/>
      <c r="T44" s="156"/>
      <c r="U44" s="6"/>
    </row>
    <row r="45" spans="1:21" customFormat="1">
      <c r="A45" s="163" t="s">
        <v>2484</v>
      </c>
      <c r="B45" s="100">
        <v>4.59</v>
      </c>
      <c r="C45" s="100">
        <v>6.96</v>
      </c>
      <c r="D45" s="100">
        <v>2.38</v>
      </c>
      <c r="E45" s="100">
        <v>3.8</v>
      </c>
      <c r="F45" s="100">
        <v>2.4700000000000002</v>
      </c>
      <c r="G45" s="100">
        <v>14.97</v>
      </c>
      <c r="H45" s="100">
        <v>4.3099999999999996</v>
      </c>
      <c r="I45" s="100">
        <v>3.69</v>
      </c>
      <c r="J45" s="100">
        <v>0.77</v>
      </c>
      <c r="K45" s="100">
        <v>263.33999999999997</v>
      </c>
      <c r="L45" s="100">
        <v>25.76</v>
      </c>
      <c r="M45" s="100">
        <v>92.41</v>
      </c>
      <c r="N45" s="100">
        <v>73.599999999999994</v>
      </c>
      <c r="O45" s="100">
        <v>0.2</v>
      </c>
      <c r="P45" s="100">
        <v>0.3</v>
      </c>
      <c r="Q45" s="100">
        <v>9.89</v>
      </c>
      <c r="R45" s="6"/>
      <c r="S45" s="6"/>
      <c r="T45" s="156"/>
      <c r="U45" s="6"/>
    </row>
    <row r="46" spans="1:21" customFormat="1">
      <c r="A46" s="163" t="s">
        <v>2485</v>
      </c>
      <c r="B46" s="100">
        <v>4.5199999999999996</v>
      </c>
      <c r="C46" s="100">
        <v>7.36</v>
      </c>
      <c r="D46" s="100">
        <v>2.84</v>
      </c>
      <c r="E46" s="100">
        <v>4</v>
      </c>
      <c r="F46" s="100">
        <v>2.13</v>
      </c>
      <c r="G46" s="100">
        <v>15.52</v>
      </c>
      <c r="H46" s="100">
        <v>3.63</v>
      </c>
      <c r="I46" s="100">
        <v>3.85</v>
      </c>
      <c r="J46" s="100">
        <v>0.67</v>
      </c>
      <c r="K46" s="100">
        <v>255.21</v>
      </c>
      <c r="L46" s="100">
        <v>25.76</v>
      </c>
      <c r="M46" s="100">
        <v>94.84</v>
      </c>
      <c r="N46" s="100">
        <v>81.7</v>
      </c>
      <c r="O46" s="100">
        <v>0</v>
      </c>
      <c r="P46" s="100">
        <v>0.26</v>
      </c>
      <c r="Q46" s="100">
        <v>9.8800000000000008</v>
      </c>
      <c r="R46" s="6"/>
      <c r="S46" s="6"/>
      <c r="T46" s="156"/>
      <c r="U46" s="6"/>
    </row>
    <row r="47" spans="1:21" customFormat="1">
      <c r="A47" s="163" t="s">
        <v>2486</v>
      </c>
      <c r="B47" s="100">
        <v>4.46</v>
      </c>
      <c r="C47" s="100">
        <v>7.58</v>
      </c>
      <c r="D47" s="100">
        <v>3.13</v>
      </c>
      <c r="E47" s="100">
        <v>4.2</v>
      </c>
      <c r="F47" s="100">
        <v>2.2000000000000002</v>
      </c>
      <c r="G47" s="100">
        <v>15.52</v>
      </c>
      <c r="H47" s="100">
        <v>3.63</v>
      </c>
      <c r="I47" s="100">
        <v>3.72</v>
      </c>
      <c r="J47" s="100">
        <v>0.55000000000000004</v>
      </c>
      <c r="K47" s="100">
        <v>258.63</v>
      </c>
      <c r="L47" s="100">
        <v>25.71</v>
      </c>
      <c r="M47" s="100">
        <v>94.8</v>
      </c>
      <c r="N47" s="100">
        <v>64.599999999999994</v>
      </c>
      <c r="O47" s="100">
        <v>0</v>
      </c>
      <c r="P47" s="100">
        <v>0.26</v>
      </c>
      <c r="Q47" s="100">
        <v>9.89</v>
      </c>
      <c r="R47" s="6"/>
      <c r="S47" s="6"/>
      <c r="T47" s="156"/>
      <c r="U47" s="6"/>
    </row>
    <row r="48" spans="1:21" customFormat="1">
      <c r="A48" s="163" t="s">
        <v>2487</v>
      </c>
      <c r="B48" s="100">
        <v>4.4000000000000004</v>
      </c>
      <c r="C48" s="100">
        <v>7.69</v>
      </c>
      <c r="D48" s="100">
        <v>3.29</v>
      </c>
      <c r="E48" s="100">
        <v>4.26</v>
      </c>
      <c r="F48" s="100">
        <v>2.1</v>
      </c>
      <c r="G48" s="100">
        <v>15.52</v>
      </c>
      <c r="H48" s="100">
        <v>3.63</v>
      </c>
      <c r="I48" s="100">
        <v>3.73</v>
      </c>
      <c r="J48" s="100">
        <v>0.57999999999999996</v>
      </c>
      <c r="K48" s="100">
        <v>255.07</v>
      </c>
      <c r="L48" s="100">
        <v>25.91</v>
      </c>
      <c r="M48" s="100">
        <v>94.92</v>
      </c>
      <c r="N48" s="100">
        <v>120.9</v>
      </c>
      <c r="O48" s="100">
        <v>0</v>
      </c>
      <c r="P48" s="100">
        <v>0.27</v>
      </c>
      <c r="Q48" s="100">
        <v>9.9</v>
      </c>
      <c r="R48" s="6"/>
      <c r="S48" s="6"/>
      <c r="T48" s="156"/>
      <c r="U48" s="6"/>
    </row>
    <row r="49" spans="1:21" customFormat="1">
      <c r="A49" s="163" t="s">
        <v>2488</v>
      </c>
      <c r="B49" s="100">
        <v>4.38</v>
      </c>
      <c r="C49" s="100">
        <v>7.73</v>
      </c>
      <c r="D49" s="100">
        <v>3.35</v>
      </c>
      <c r="E49" s="100">
        <v>3.21</v>
      </c>
      <c r="F49" s="100">
        <v>2.3199999999999998</v>
      </c>
      <c r="G49" s="100">
        <v>19.05</v>
      </c>
      <c r="H49" s="100">
        <v>4.13</v>
      </c>
      <c r="I49" s="100">
        <v>3.72</v>
      </c>
      <c r="J49" s="100">
        <v>0.62</v>
      </c>
      <c r="K49" s="100">
        <v>266.37</v>
      </c>
      <c r="L49" s="100">
        <v>26.4</v>
      </c>
      <c r="M49" s="100">
        <v>93.91</v>
      </c>
      <c r="N49" s="100">
        <v>283</v>
      </c>
      <c r="O49" s="100">
        <v>0.2</v>
      </c>
      <c r="P49" s="100">
        <v>0.27</v>
      </c>
      <c r="Q49" s="100">
        <v>9.9</v>
      </c>
      <c r="R49" s="6"/>
      <c r="S49" s="6"/>
      <c r="T49" s="156"/>
      <c r="U49" s="6"/>
    </row>
    <row r="50" spans="1:21" customFormat="1">
      <c r="A50" s="163" t="s">
        <v>2489</v>
      </c>
      <c r="B50" s="100">
        <v>4.3600000000000003</v>
      </c>
      <c r="C50" s="100">
        <v>7.78</v>
      </c>
      <c r="D50" s="100">
        <v>3.42</v>
      </c>
      <c r="E50" s="100">
        <v>4.33</v>
      </c>
      <c r="F50" s="100">
        <v>2.4900000000000002</v>
      </c>
      <c r="G50" s="100">
        <v>27.72</v>
      </c>
      <c r="H50" s="100">
        <v>6.2</v>
      </c>
      <c r="I50" s="100">
        <v>3.74</v>
      </c>
      <c r="J50" s="100">
        <v>0.88</v>
      </c>
      <c r="K50" s="100">
        <v>265.36</v>
      </c>
      <c r="L50" s="100">
        <v>27.07</v>
      </c>
      <c r="M50" s="100">
        <v>89.14</v>
      </c>
      <c r="N50" s="100">
        <v>214.6</v>
      </c>
      <c r="O50" s="100">
        <v>0</v>
      </c>
      <c r="P50" s="100">
        <v>0.27</v>
      </c>
      <c r="Q50" s="100">
        <v>9.89</v>
      </c>
      <c r="R50" s="6"/>
      <c r="S50" s="6"/>
      <c r="T50" s="156"/>
      <c r="U50" s="6"/>
    </row>
    <row r="51" spans="1:21" customFormat="1">
      <c r="A51" s="163" t="s">
        <v>2490</v>
      </c>
      <c r="B51" s="100">
        <v>4.38</v>
      </c>
      <c r="C51" s="100">
        <v>7.81</v>
      </c>
      <c r="D51" s="100">
        <v>3.43</v>
      </c>
      <c r="E51" s="100">
        <v>4.62</v>
      </c>
      <c r="F51" s="100">
        <v>2.64</v>
      </c>
      <c r="G51" s="100">
        <v>27.72</v>
      </c>
      <c r="H51" s="100">
        <v>6.2</v>
      </c>
      <c r="I51" s="100">
        <v>3.73</v>
      </c>
      <c r="J51" s="100">
        <v>0.87</v>
      </c>
      <c r="K51" s="100">
        <v>260.49</v>
      </c>
      <c r="L51" s="100">
        <v>27.02</v>
      </c>
      <c r="M51" s="100">
        <v>88</v>
      </c>
      <c r="N51" s="100">
        <v>179</v>
      </c>
      <c r="O51" s="100">
        <v>0</v>
      </c>
      <c r="P51" s="100">
        <v>0.28999999999999998</v>
      </c>
      <c r="Q51" s="100">
        <v>9.91</v>
      </c>
      <c r="R51" s="6"/>
      <c r="S51" s="6"/>
      <c r="T51" s="156"/>
      <c r="U51" s="6"/>
    </row>
    <row r="52" spans="1:21" customFormat="1">
      <c r="A52" s="163" t="s">
        <v>2491</v>
      </c>
      <c r="B52" s="100">
        <v>4.3600000000000003</v>
      </c>
      <c r="C52" s="100">
        <v>7.88</v>
      </c>
      <c r="D52" s="100">
        <v>3.52</v>
      </c>
      <c r="E52" s="100">
        <v>4.3</v>
      </c>
      <c r="F52" s="100">
        <v>2.79</v>
      </c>
      <c r="G52" s="100">
        <v>27.72</v>
      </c>
      <c r="H52" s="100">
        <v>6.2</v>
      </c>
      <c r="I52" s="100">
        <v>3.76</v>
      </c>
      <c r="J52" s="100">
        <v>0.64</v>
      </c>
      <c r="K52" s="100">
        <v>256.51</v>
      </c>
      <c r="L52" s="100">
        <v>26.96</v>
      </c>
      <c r="M52" s="100">
        <v>88.63</v>
      </c>
      <c r="N52" s="100">
        <v>141.5</v>
      </c>
      <c r="O52" s="100">
        <v>0</v>
      </c>
      <c r="P52" s="100">
        <v>0.28999999999999998</v>
      </c>
      <c r="Q52" s="100">
        <v>9.91</v>
      </c>
      <c r="R52" s="6"/>
      <c r="S52" s="6"/>
      <c r="T52" s="156"/>
      <c r="U52" s="6"/>
    </row>
    <row r="53" spans="1:21" customFormat="1">
      <c r="A53" s="163" t="s">
        <v>2492</v>
      </c>
      <c r="B53" s="100">
        <v>4.33</v>
      </c>
      <c r="C53" s="100">
        <v>8.08</v>
      </c>
      <c r="D53" s="100">
        <v>3.74</v>
      </c>
      <c r="E53" s="100">
        <v>3.66</v>
      </c>
      <c r="F53" s="100">
        <v>11.06</v>
      </c>
      <c r="G53" s="100">
        <v>27.72</v>
      </c>
      <c r="H53" s="100">
        <v>6.2</v>
      </c>
      <c r="I53" s="100">
        <v>3.88</v>
      </c>
      <c r="J53" s="100">
        <v>0.83</v>
      </c>
      <c r="K53" s="100">
        <v>260.02</v>
      </c>
      <c r="L53" s="100">
        <v>27</v>
      </c>
      <c r="M53" s="100">
        <v>88.64</v>
      </c>
      <c r="N53" s="100">
        <v>116.8</v>
      </c>
      <c r="O53" s="100">
        <v>0</v>
      </c>
      <c r="P53" s="100">
        <v>0.3</v>
      </c>
      <c r="Q53" s="100">
        <v>9.89</v>
      </c>
      <c r="R53" s="6"/>
      <c r="S53" s="6"/>
      <c r="T53" s="156"/>
      <c r="U53" s="6"/>
    </row>
    <row r="54" spans="1:21" customFormat="1">
      <c r="A54" s="163" t="s">
        <v>2493</v>
      </c>
      <c r="B54" s="100">
        <v>156.28</v>
      </c>
      <c r="C54" s="100">
        <v>157.62</v>
      </c>
      <c r="D54" s="100">
        <v>1.37</v>
      </c>
      <c r="E54" s="100">
        <v>2.98</v>
      </c>
      <c r="F54" s="100">
        <v>7.3</v>
      </c>
      <c r="G54" s="100">
        <v>27.72</v>
      </c>
      <c r="H54" s="100">
        <v>6.2</v>
      </c>
      <c r="I54" s="100">
        <v>3.92</v>
      </c>
      <c r="J54" s="100">
        <v>0.49</v>
      </c>
      <c r="K54" s="100">
        <v>252.79</v>
      </c>
      <c r="L54" s="100">
        <v>26.89</v>
      </c>
      <c r="M54" s="100">
        <v>90.7</v>
      </c>
      <c r="N54" s="100">
        <v>70.7</v>
      </c>
      <c r="O54" s="100">
        <v>0</v>
      </c>
      <c r="P54" s="100">
        <v>0.33</v>
      </c>
      <c r="Q54" s="100">
        <v>9.9</v>
      </c>
      <c r="R54" s="6"/>
      <c r="S54" s="6"/>
      <c r="T54" s="156"/>
      <c r="U54" s="6"/>
    </row>
    <row r="55" spans="1:21" customFormat="1">
      <c r="A55" s="163" t="s">
        <v>2494</v>
      </c>
      <c r="B55" s="100">
        <v>192.12</v>
      </c>
      <c r="C55" s="100">
        <v>196.18</v>
      </c>
      <c r="D55" s="100">
        <v>4.05</v>
      </c>
      <c r="E55" s="100">
        <v>3.24</v>
      </c>
      <c r="F55" s="100">
        <v>5.8</v>
      </c>
      <c r="G55" s="100">
        <v>0</v>
      </c>
      <c r="H55" s="100">
        <v>0</v>
      </c>
      <c r="I55" s="100">
        <v>4.55</v>
      </c>
      <c r="J55" s="100">
        <v>0.34</v>
      </c>
      <c r="K55" s="100">
        <v>242.45</v>
      </c>
      <c r="L55" s="100">
        <v>26.59</v>
      </c>
      <c r="M55" s="100">
        <v>93.21</v>
      </c>
      <c r="N55" s="100">
        <v>79.900000000000006</v>
      </c>
      <c r="O55" s="100">
        <v>0</v>
      </c>
      <c r="P55" s="100">
        <v>0.33</v>
      </c>
      <c r="Q55" s="100">
        <v>9.9</v>
      </c>
      <c r="R55" s="6"/>
      <c r="S55" s="6"/>
      <c r="T55" s="156"/>
      <c r="U55" s="6"/>
    </row>
    <row r="56" spans="1:21" customFormat="1">
      <c r="A56" s="163" t="s">
        <v>2495</v>
      </c>
      <c r="B56" s="100">
        <v>4.26</v>
      </c>
      <c r="C56" s="100">
        <v>6.91</v>
      </c>
      <c r="D56" s="100">
        <v>4.04</v>
      </c>
      <c r="E56" s="100">
        <v>2.64</v>
      </c>
      <c r="F56" s="100">
        <v>12.71</v>
      </c>
      <c r="G56" s="100">
        <v>0</v>
      </c>
      <c r="H56" s="100">
        <v>0</v>
      </c>
      <c r="I56" s="100">
        <v>7.9</v>
      </c>
      <c r="J56" s="100">
        <v>0.41</v>
      </c>
      <c r="K56" s="100">
        <v>254.73</v>
      </c>
      <c r="L56" s="100">
        <v>26.89</v>
      </c>
      <c r="M56" s="100">
        <v>92.63</v>
      </c>
      <c r="N56" s="100">
        <v>183.9</v>
      </c>
      <c r="O56" s="100">
        <v>0</v>
      </c>
      <c r="P56" s="100">
        <v>0.31</v>
      </c>
      <c r="Q56" s="100">
        <v>9.91</v>
      </c>
      <c r="R56" s="6"/>
      <c r="S56" s="6"/>
      <c r="T56" s="156"/>
      <c r="U56" s="6"/>
    </row>
    <row r="57" spans="1:21" customFormat="1">
      <c r="A57" s="163" t="s">
        <v>2496</v>
      </c>
      <c r="B57" s="100">
        <v>3.81</v>
      </c>
      <c r="C57" s="100">
        <v>6.47</v>
      </c>
      <c r="D57" s="100">
        <v>3.95</v>
      </c>
      <c r="E57" s="100">
        <v>331.81</v>
      </c>
      <c r="F57" s="100">
        <v>10.8</v>
      </c>
      <c r="G57" s="100">
        <v>0</v>
      </c>
      <c r="H57" s="100">
        <v>0</v>
      </c>
      <c r="I57" s="100">
        <v>9.15</v>
      </c>
      <c r="J57" s="100">
        <v>0.59</v>
      </c>
      <c r="K57" s="100">
        <v>250.24</v>
      </c>
      <c r="L57" s="100">
        <v>28.11</v>
      </c>
      <c r="M57" s="100">
        <v>86.47</v>
      </c>
      <c r="N57" s="100">
        <v>258.89999999999998</v>
      </c>
      <c r="O57" s="100">
        <v>0</v>
      </c>
      <c r="P57" s="100">
        <v>0.35</v>
      </c>
      <c r="Q57" s="100">
        <v>9.9</v>
      </c>
      <c r="R57" s="6"/>
      <c r="S57" s="6"/>
      <c r="T57" s="156"/>
      <c r="U57" s="6"/>
    </row>
    <row r="58" spans="1:21" customFormat="1">
      <c r="A58" s="163" t="s">
        <v>2497</v>
      </c>
      <c r="B58" s="100">
        <v>3.56</v>
      </c>
      <c r="C58" s="100">
        <v>6.34</v>
      </c>
      <c r="D58" s="100">
        <v>4.08</v>
      </c>
      <c r="E58" s="100">
        <v>6.47</v>
      </c>
      <c r="F58" s="100">
        <v>12.98</v>
      </c>
      <c r="G58" s="100">
        <v>0</v>
      </c>
      <c r="H58" s="100">
        <v>0</v>
      </c>
      <c r="I58" s="100">
        <v>11.82</v>
      </c>
      <c r="J58" s="100">
        <v>0.69</v>
      </c>
      <c r="K58" s="100">
        <v>253.71</v>
      </c>
      <c r="L58" s="100">
        <v>27.68</v>
      </c>
      <c r="M58" s="100">
        <v>86.07</v>
      </c>
      <c r="N58" s="100">
        <v>123</v>
      </c>
      <c r="O58" s="100">
        <v>0</v>
      </c>
      <c r="P58" s="100">
        <v>0.34</v>
      </c>
      <c r="Q58" s="100">
        <v>9.89</v>
      </c>
      <c r="R58" s="6"/>
      <c r="S58" s="6"/>
      <c r="T58" s="156"/>
      <c r="U58" s="6"/>
    </row>
    <row r="59" spans="1:21" customFormat="1">
      <c r="A59" s="163" t="s">
        <v>2498</v>
      </c>
      <c r="B59" s="100">
        <v>3.38</v>
      </c>
      <c r="C59" s="100">
        <v>6.1</v>
      </c>
      <c r="D59" s="100">
        <v>3.9</v>
      </c>
      <c r="E59" s="100">
        <v>3.37</v>
      </c>
      <c r="F59" s="100">
        <v>12.45</v>
      </c>
      <c r="G59" s="100">
        <v>25.17</v>
      </c>
      <c r="H59" s="100">
        <v>0</v>
      </c>
      <c r="I59" s="100">
        <v>14.71</v>
      </c>
      <c r="J59" s="100">
        <v>0.77</v>
      </c>
      <c r="K59" s="100">
        <v>254.66</v>
      </c>
      <c r="L59" s="100">
        <v>27.63</v>
      </c>
      <c r="M59" s="100">
        <v>84.72</v>
      </c>
      <c r="N59" s="100">
        <v>118.7</v>
      </c>
      <c r="O59" s="100">
        <v>0</v>
      </c>
      <c r="P59" s="100">
        <v>2.52</v>
      </c>
      <c r="Q59" s="100">
        <v>9.9</v>
      </c>
      <c r="R59" s="6"/>
      <c r="S59" s="6"/>
      <c r="T59" s="156"/>
      <c r="U59" s="6"/>
    </row>
    <row r="60" spans="1:21" customFormat="1">
      <c r="A60" s="163" t="s">
        <v>2499</v>
      </c>
      <c r="B60" s="100">
        <v>3.23</v>
      </c>
      <c r="C60" s="100">
        <v>5.84</v>
      </c>
      <c r="D60" s="100">
        <v>3.64</v>
      </c>
      <c r="E60" s="100">
        <v>2.93</v>
      </c>
      <c r="F60" s="100">
        <v>20.12</v>
      </c>
      <c r="G60" s="100">
        <v>44.41</v>
      </c>
      <c r="H60" s="100">
        <v>0</v>
      </c>
      <c r="I60" s="100">
        <v>16.02</v>
      </c>
      <c r="J60" s="100">
        <v>0.65</v>
      </c>
      <c r="K60" s="100">
        <v>265.64999999999998</v>
      </c>
      <c r="L60" s="100">
        <v>27.75</v>
      </c>
      <c r="M60" s="100">
        <v>83.63</v>
      </c>
      <c r="N60" s="100">
        <v>91.6</v>
      </c>
      <c r="O60" s="100">
        <v>0</v>
      </c>
      <c r="P60" s="100">
        <v>0.12</v>
      </c>
      <c r="Q60" s="100">
        <v>9.92</v>
      </c>
      <c r="R60" s="6"/>
      <c r="S60" s="6"/>
      <c r="T60" s="156"/>
      <c r="U60" s="6"/>
    </row>
    <row r="61" spans="1:21" customFormat="1">
      <c r="A61" s="163" t="s">
        <v>2500</v>
      </c>
      <c r="B61" s="100">
        <v>3.08</v>
      </c>
      <c r="C61" s="100">
        <v>5.6</v>
      </c>
      <c r="D61" s="100">
        <v>3.4</v>
      </c>
      <c r="E61" s="100">
        <v>2.78</v>
      </c>
      <c r="F61" s="100">
        <v>15.7</v>
      </c>
      <c r="G61" s="100">
        <v>44.41</v>
      </c>
      <c r="H61" s="100">
        <v>0</v>
      </c>
      <c r="I61" s="100">
        <v>16.309999999999999</v>
      </c>
      <c r="J61" s="100">
        <v>0.86</v>
      </c>
      <c r="K61" s="100">
        <v>258.47000000000003</v>
      </c>
      <c r="L61" s="100">
        <v>28.04</v>
      </c>
      <c r="M61" s="100">
        <v>81.17</v>
      </c>
      <c r="N61" s="100">
        <v>156.4</v>
      </c>
      <c r="O61" s="100">
        <v>0</v>
      </c>
      <c r="P61" s="100">
        <v>0.34</v>
      </c>
      <c r="Q61" s="100">
        <v>9.9</v>
      </c>
      <c r="R61" s="6"/>
      <c r="S61" s="6"/>
      <c r="T61" s="156"/>
      <c r="U61" s="6"/>
    </row>
    <row r="62" spans="1:21" customFormat="1">
      <c r="A62" s="163" t="s">
        <v>2501</v>
      </c>
      <c r="B62" s="100">
        <v>3.11</v>
      </c>
      <c r="C62" s="100">
        <v>5.61</v>
      </c>
      <c r="D62" s="100">
        <v>3.37</v>
      </c>
      <c r="E62" s="100">
        <v>3.33</v>
      </c>
      <c r="F62" s="100">
        <v>21.08</v>
      </c>
      <c r="G62" s="100">
        <v>44.41</v>
      </c>
      <c r="H62" s="100">
        <v>0</v>
      </c>
      <c r="I62" s="100">
        <v>13.43</v>
      </c>
      <c r="J62" s="100">
        <v>0.95</v>
      </c>
      <c r="K62" s="100">
        <v>256.69</v>
      </c>
      <c r="L62" s="100">
        <v>28.53</v>
      </c>
      <c r="M62" s="100">
        <v>78.260000000000005</v>
      </c>
      <c r="N62" s="100">
        <v>185.1</v>
      </c>
      <c r="O62" s="100">
        <v>0</v>
      </c>
      <c r="P62" s="100">
        <v>0.34</v>
      </c>
      <c r="Q62" s="100">
        <v>9.91</v>
      </c>
      <c r="R62" s="6"/>
      <c r="S62" s="6"/>
      <c r="T62" s="156"/>
      <c r="U62" s="6"/>
    </row>
    <row r="63" spans="1:21" customFormat="1">
      <c r="A63" s="163" t="s">
        <v>2502</v>
      </c>
      <c r="B63" s="100">
        <v>3.18</v>
      </c>
      <c r="C63" s="100">
        <v>5.64</v>
      </c>
      <c r="D63" s="100">
        <v>3.34</v>
      </c>
      <c r="E63" s="100">
        <v>3.07</v>
      </c>
      <c r="F63" s="100">
        <v>15.62</v>
      </c>
      <c r="G63" s="100">
        <v>48.12</v>
      </c>
      <c r="H63" s="100">
        <v>3.52</v>
      </c>
      <c r="I63" s="100">
        <v>12</v>
      </c>
      <c r="J63" s="100">
        <v>0.85</v>
      </c>
      <c r="K63" s="100">
        <v>256.47000000000003</v>
      </c>
      <c r="L63" s="100">
        <v>28.86</v>
      </c>
      <c r="M63" s="100">
        <v>78.650000000000006</v>
      </c>
      <c r="N63" s="100">
        <v>264.10000000000002</v>
      </c>
      <c r="O63" s="100">
        <v>0</v>
      </c>
      <c r="P63" s="100">
        <v>0.34</v>
      </c>
      <c r="Q63" s="100">
        <v>9.89</v>
      </c>
      <c r="R63" s="6"/>
      <c r="S63" s="6"/>
      <c r="T63" s="156"/>
      <c r="U63" s="6"/>
    </row>
    <row r="64" spans="1:21" customFormat="1">
      <c r="A64" s="163" t="s">
        <v>2503</v>
      </c>
      <c r="B64" s="100">
        <v>3.2</v>
      </c>
      <c r="C64" s="100">
        <v>5.68</v>
      </c>
      <c r="D64" s="100">
        <v>3.38</v>
      </c>
      <c r="E64" s="100">
        <v>3.3</v>
      </c>
      <c r="F64" s="100">
        <v>16.53</v>
      </c>
      <c r="G64" s="100">
        <v>50.96</v>
      </c>
      <c r="H64" s="100">
        <v>4.63</v>
      </c>
      <c r="I64" s="100">
        <v>10.28</v>
      </c>
      <c r="J64" s="100">
        <v>0.93</v>
      </c>
      <c r="K64" s="100">
        <v>257.02</v>
      </c>
      <c r="L64" s="100">
        <v>29.4</v>
      </c>
      <c r="M64" s="100">
        <v>75.540000000000006</v>
      </c>
      <c r="N64" s="100">
        <v>225.8</v>
      </c>
      <c r="O64" s="100">
        <v>0</v>
      </c>
      <c r="P64" s="100">
        <v>0.34</v>
      </c>
      <c r="Q64" s="100">
        <v>9.9</v>
      </c>
      <c r="R64" s="6"/>
      <c r="S64" s="6"/>
      <c r="T64" s="156"/>
      <c r="U64" s="6"/>
    </row>
    <row r="65" spans="1:21" customFormat="1">
      <c r="A65" s="163" t="s">
        <v>2504</v>
      </c>
      <c r="B65" s="100">
        <v>3.17</v>
      </c>
      <c r="C65" s="100">
        <v>5.71</v>
      </c>
      <c r="D65" s="100">
        <v>3.47</v>
      </c>
      <c r="E65" s="100">
        <v>3.47</v>
      </c>
      <c r="F65" s="100">
        <v>16.100000000000001</v>
      </c>
      <c r="G65" s="100">
        <v>50.96</v>
      </c>
      <c r="H65" s="100">
        <v>4.63</v>
      </c>
      <c r="I65" s="100">
        <v>9.42</v>
      </c>
      <c r="J65" s="100">
        <v>0.92</v>
      </c>
      <c r="K65" s="100">
        <v>256.02</v>
      </c>
      <c r="L65" s="100">
        <v>28.94</v>
      </c>
      <c r="M65" s="100">
        <v>76.78</v>
      </c>
      <c r="N65" s="100">
        <v>140.1</v>
      </c>
      <c r="O65" s="100">
        <v>0</v>
      </c>
      <c r="P65" s="100">
        <v>0.36</v>
      </c>
      <c r="Q65" s="100">
        <v>9.91</v>
      </c>
      <c r="R65" s="6"/>
      <c r="S65" s="6"/>
      <c r="T65" s="156"/>
      <c r="U65" s="6"/>
    </row>
    <row r="66" spans="1:21" customFormat="1">
      <c r="A66" s="163" t="s">
        <v>2505</v>
      </c>
      <c r="B66" s="100">
        <v>3.2</v>
      </c>
      <c r="C66" s="100">
        <v>5.72</v>
      </c>
      <c r="D66" s="100">
        <v>3.46</v>
      </c>
      <c r="E66" s="100">
        <v>3.31</v>
      </c>
      <c r="F66" s="100">
        <v>12.07</v>
      </c>
      <c r="G66" s="100">
        <v>50.96</v>
      </c>
      <c r="H66" s="100">
        <v>4.63</v>
      </c>
      <c r="I66" s="100">
        <v>8.67</v>
      </c>
      <c r="J66" s="100">
        <v>0.87</v>
      </c>
      <c r="K66" s="100">
        <v>254.1</v>
      </c>
      <c r="L66" s="100">
        <v>28.55</v>
      </c>
      <c r="M66" s="100">
        <v>78.59</v>
      </c>
      <c r="N66" s="100">
        <v>99</v>
      </c>
      <c r="O66" s="100">
        <v>0</v>
      </c>
      <c r="P66" s="100">
        <v>0.41</v>
      </c>
      <c r="Q66" s="100">
        <v>9.91</v>
      </c>
      <c r="R66" s="6"/>
      <c r="S66" s="6"/>
      <c r="T66" s="156"/>
      <c r="U66" s="6"/>
    </row>
    <row r="67" spans="1:21" customFormat="1">
      <c r="A67" s="163" t="s">
        <v>2506</v>
      </c>
      <c r="B67" s="100">
        <v>3.28</v>
      </c>
      <c r="C67" s="100">
        <v>5.88</v>
      </c>
      <c r="D67" s="100">
        <v>3.63</v>
      </c>
      <c r="E67" s="100">
        <v>3.36</v>
      </c>
      <c r="F67" s="100">
        <v>21.45</v>
      </c>
      <c r="G67" s="100">
        <v>51.43</v>
      </c>
      <c r="H67" s="100">
        <v>7.12</v>
      </c>
      <c r="I67" s="100">
        <v>8.1999999999999993</v>
      </c>
      <c r="J67" s="100">
        <v>0.86</v>
      </c>
      <c r="K67" s="100">
        <v>257.07</v>
      </c>
      <c r="L67" s="100">
        <v>28.98</v>
      </c>
      <c r="M67" s="100">
        <v>75.89</v>
      </c>
      <c r="N67" s="100">
        <v>187.6</v>
      </c>
      <c r="O67" s="100">
        <v>0</v>
      </c>
      <c r="P67" s="100">
        <v>0.43</v>
      </c>
      <c r="Q67" s="100">
        <v>9.92</v>
      </c>
      <c r="R67" s="6"/>
      <c r="S67" s="6"/>
      <c r="T67" s="156"/>
      <c r="U67" s="6"/>
    </row>
    <row r="68" spans="1:21" customFormat="1">
      <c r="A68" s="163" t="s">
        <v>2507</v>
      </c>
      <c r="B68" s="100">
        <v>3.39</v>
      </c>
      <c r="C68" s="100">
        <v>6.08</v>
      </c>
      <c r="D68" s="100">
        <v>3.85</v>
      </c>
      <c r="E68" s="100">
        <v>3.38</v>
      </c>
      <c r="F68" s="100">
        <v>22.32</v>
      </c>
      <c r="G68" s="100">
        <v>51.79</v>
      </c>
      <c r="H68" s="100">
        <v>7.91</v>
      </c>
      <c r="I68" s="100">
        <v>7.39</v>
      </c>
      <c r="J68" s="100">
        <v>0.72</v>
      </c>
      <c r="K68" s="100">
        <v>254.12</v>
      </c>
      <c r="L68" s="100">
        <v>29.5</v>
      </c>
      <c r="M68" s="100">
        <v>74.150000000000006</v>
      </c>
      <c r="N68" s="100">
        <v>215.4</v>
      </c>
      <c r="O68" s="100">
        <v>0</v>
      </c>
      <c r="P68" s="100">
        <v>0.44</v>
      </c>
      <c r="Q68" s="100">
        <v>9.91</v>
      </c>
      <c r="R68" s="6"/>
      <c r="S68" s="6"/>
      <c r="T68" s="156"/>
      <c r="U68" s="6"/>
    </row>
    <row r="69" spans="1:21" customFormat="1">
      <c r="A69" s="163" t="s">
        <v>2508</v>
      </c>
      <c r="B69" s="100">
        <v>3.43</v>
      </c>
      <c r="C69" s="100">
        <v>5.87</v>
      </c>
      <c r="D69" s="100">
        <v>3.39</v>
      </c>
      <c r="E69" s="100">
        <v>3.16</v>
      </c>
      <c r="F69" s="100">
        <v>19.82</v>
      </c>
      <c r="G69" s="100">
        <v>51.79</v>
      </c>
      <c r="H69" s="100">
        <v>7.91</v>
      </c>
      <c r="I69" s="100">
        <v>7.15</v>
      </c>
      <c r="J69" s="100">
        <v>1.03</v>
      </c>
      <c r="K69" s="100">
        <v>255.63</v>
      </c>
      <c r="L69" s="100">
        <v>29.51</v>
      </c>
      <c r="M69" s="100">
        <v>74.19</v>
      </c>
      <c r="N69" s="100">
        <v>213.1</v>
      </c>
      <c r="O69" s="100">
        <v>0</v>
      </c>
      <c r="P69" s="100">
        <v>0.4</v>
      </c>
      <c r="Q69" s="100">
        <v>9.92</v>
      </c>
      <c r="R69" s="6"/>
      <c r="S69" s="6"/>
      <c r="T69" s="156"/>
      <c r="U69" s="6"/>
    </row>
    <row r="70" spans="1:21" customFormat="1">
      <c r="A70" s="163" t="s">
        <v>2509</v>
      </c>
      <c r="B70" s="100">
        <v>3.45</v>
      </c>
      <c r="C70" s="100">
        <v>5.76</v>
      </c>
      <c r="D70" s="100">
        <v>3.14</v>
      </c>
      <c r="E70" s="100">
        <v>2.79</v>
      </c>
      <c r="F70" s="100">
        <v>22.17</v>
      </c>
      <c r="G70" s="100">
        <v>51.79</v>
      </c>
      <c r="H70" s="100">
        <v>7.91</v>
      </c>
      <c r="I70" s="100">
        <v>7.32</v>
      </c>
      <c r="J70" s="100">
        <v>0.94</v>
      </c>
      <c r="K70" s="100">
        <v>256.06</v>
      </c>
      <c r="L70" s="100">
        <v>30.01</v>
      </c>
      <c r="M70" s="100">
        <v>72.3</v>
      </c>
      <c r="N70" s="100">
        <v>318</v>
      </c>
      <c r="O70" s="100">
        <v>0</v>
      </c>
      <c r="P70" s="100">
        <v>0.39</v>
      </c>
      <c r="Q70" s="100">
        <v>9.91</v>
      </c>
      <c r="R70" s="6"/>
      <c r="S70" s="6"/>
      <c r="T70" s="156"/>
      <c r="U70" s="6"/>
    </row>
    <row r="71" spans="1:21" customFormat="1">
      <c r="A71" s="163" t="s">
        <v>2510</v>
      </c>
      <c r="B71" s="100">
        <v>3.34</v>
      </c>
      <c r="C71" s="100">
        <v>5.65</v>
      </c>
      <c r="D71" s="100">
        <v>3.1</v>
      </c>
      <c r="E71" s="100">
        <v>2.61</v>
      </c>
      <c r="F71" s="100">
        <v>21.78</v>
      </c>
      <c r="G71" s="100">
        <v>43.63</v>
      </c>
      <c r="H71" s="100">
        <v>7.99</v>
      </c>
      <c r="I71" s="100">
        <v>6.16</v>
      </c>
      <c r="J71" s="100">
        <v>0.85</v>
      </c>
      <c r="K71" s="100">
        <v>255.25</v>
      </c>
      <c r="L71" s="100">
        <v>29.77</v>
      </c>
      <c r="M71" s="100">
        <v>72.599999999999994</v>
      </c>
      <c r="N71" s="100">
        <v>199.8</v>
      </c>
      <c r="O71" s="100">
        <v>0</v>
      </c>
      <c r="P71" s="100">
        <v>0.39</v>
      </c>
      <c r="Q71" s="100">
        <v>9.91</v>
      </c>
      <c r="R71" s="6"/>
      <c r="S71" s="6"/>
      <c r="T71" s="156"/>
      <c r="U71" s="6"/>
    </row>
    <row r="72" spans="1:21" customFormat="1">
      <c r="A72" s="163" t="s">
        <v>2511</v>
      </c>
      <c r="B72" s="100">
        <v>3.33</v>
      </c>
      <c r="C72" s="100">
        <v>5.67</v>
      </c>
      <c r="D72" s="100">
        <v>3.16</v>
      </c>
      <c r="E72" s="100">
        <v>1.74</v>
      </c>
      <c r="F72" s="100">
        <v>163.02000000000001</v>
      </c>
      <c r="G72" s="100">
        <v>37.380000000000003</v>
      </c>
      <c r="H72" s="100">
        <v>8.02</v>
      </c>
      <c r="I72" s="100">
        <v>5.54</v>
      </c>
      <c r="J72" s="100">
        <v>0.78</v>
      </c>
      <c r="K72" s="100">
        <v>257.14999999999998</v>
      </c>
      <c r="L72" s="100">
        <v>29.81</v>
      </c>
      <c r="M72" s="100">
        <v>72.37</v>
      </c>
      <c r="N72" s="100">
        <v>179.3</v>
      </c>
      <c r="O72" s="100">
        <v>0</v>
      </c>
      <c r="P72" s="100">
        <v>0.38</v>
      </c>
      <c r="Q72" s="100">
        <v>9.89</v>
      </c>
      <c r="R72" s="6"/>
      <c r="S72" s="6"/>
      <c r="T72" s="156"/>
      <c r="U72" s="6"/>
    </row>
    <row r="73" spans="1:21" customFormat="1">
      <c r="A73" s="163" t="s">
        <v>2512</v>
      </c>
      <c r="B73" s="100">
        <v>3.38</v>
      </c>
      <c r="C73" s="100">
        <v>5.7</v>
      </c>
      <c r="D73" s="100">
        <v>3.13</v>
      </c>
      <c r="E73" s="100">
        <v>2.39</v>
      </c>
      <c r="F73" s="100">
        <v>18.690000000000001</v>
      </c>
      <c r="G73" s="100">
        <v>37.380000000000003</v>
      </c>
      <c r="H73" s="100">
        <v>8.02</v>
      </c>
      <c r="I73" s="100">
        <v>5.17</v>
      </c>
      <c r="J73" s="100">
        <v>1.04</v>
      </c>
      <c r="K73" s="100">
        <v>254.05</v>
      </c>
      <c r="L73" s="100">
        <v>30.01</v>
      </c>
      <c r="M73" s="100">
        <v>72.08</v>
      </c>
      <c r="N73" s="100">
        <v>277.10000000000002</v>
      </c>
      <c r="O73" s="100">
        <v>0</v>
      </c>
      <c r="P73" s="100">
        <v>0.37</v>
      </c>
      <c r="Q73" s="100">
        <v>9.89</v>
      </c>
      <c r="R73" s="6"/>
      <c r="S73" s="6"/>
      <c r="T73" s="156"/>
      <c r="U73" s="6"/>
    </row>
    <row r="74" spans="1:21" customFormat="1">
      <c r="A74" s="163" t="s">
        <v>2513</v>
      </c>
      <c r="B74" s="100">
        <v>3.44</v>
      </c>
      <c r="C74" s="100">
        <v>5.71</v>
      </c>
      <c r="D74" s="100">
        <v>3.06</v>
      </c>
      <c r="E74" s="100">
        <v>2.0099999999999998</v>
      </c>
      <c r="F74" s="100">
        <v>10.91</v>
      </c>
      <c r="G74" s="100">
        <v>37.380000000000003</v>
      </c>
      <c r="H74" s="100">
        <v>8.02</v>
      </c>
      <c r="I74" s="100">
        <v>4.55</v>
      </c>
      <c r="J74" s="100">
        <v>0.91</v>
      </c>
      <c r="K74" s="100">
        <v>256.19</v>
      </c>
      <c r="L74" s="100">
        <v>29.98</v>
      </c>
      <c r="M74" s="100">
        <v>72.38</v>
      </c>
      <c r="N74" s="100">
        <v>182.3</v>
      </c>
      <c r="O74" s="100">
        <v>0</v>
      </c>
      <c r="P74" s="100">
        <v>0.36</v>
      </c>
      <c r="Q74" s="100">
        <v>9.9</v>
      </c>
      <c r="R74" s="6"/>
      <c r="S74" s="6"/>
      <c r="T74" s="156"/>
      <c r="U74" s="6"/>
    </row>
    <row r="75" spans="1:21" customFormat="1">
      <c r="A75" s="163" t="s">
        <v>2514</v>
      </c>
      <c r="B75" s="100">
        <v>3.41</v>
      </c>
      <c r="C75" s="100">
        <v>5.63</v>
      </c>
      <c r="D75" s="100">
        <v>2.96</v>
      </c>
      <c r="E75" s="100">
        <v>1.93</v>
      </c>
      <c r="F75" s="100">
        <v>7.6</v>
      </c>
      <c r="G75" s="100">
        <v>34.53</v>
      </c>
      <c r="H75" s="100">
        <v>12.46</v>
      </c>
      <c r="I75" s="100">
        <v>4</v>
      </c>
      <c r="J75" s="100">
        <v>0.98</v>
      </c>
      <c r="K75" s="100">
        <v>257.22000000000003</v>
      </c>
      <c r="L75" s="100">
        <v>29.84</v>
      </c>
      <c r="M75" s="100">
        <v>73.08</v>
      </c>
      <c r="N75" s="100">
        <v>157.69999999999999</v>
      </c>
      <c r="O75" s="100">
        <v>0</v>
      </c>
      <c r="P75" s="100">
        <v>0.34</v>
      </c>
      <c r="Q75" s="100">
        <v>9.92</v>
      </c>
      <c r="R75" s="6"/>
      <c r="S75" s="6"/>
      <c r="T75" s="156"/>
      <c r="U75" s="6"/>
    </row>
    <row r="76" spans="1:21" customFormat="1">
      <c r="A76" s="163" t="s">
        <v>2515</v>
      </c>
      <c r="B76" s="100">
        <v>3.51</v>
      </c>
      <c r="C76" s="100">
        <v>5.58</v>
      </c>
      <c r="D76" s="100">
        <v>2.71</v>
      </c>
      <c r="E76" s="100">
        <v>1.37</v>
      </c>
      <c r="F76" s="100">
        <v>5.44</v>
      </c>
      <c r="G76" s="100">
        <v>32.36</v>
      </c>
      <c r="H76" s="100">
        <v>13.85</v>
      </c>
      <c r="I76" s="100">
        <v>4.0599999999999996</v>
      </c>
      <c r="J76" s="100">
        <v>0.84</v>
      </c>
      <c r="K76" s="100">
        <v>252.9</v>
      </c>
      <c r="L76" s="100">
        <v>29.3</v>
      </c>
      <c r="M76" s="100">
        <v>75.55</v>
      </c>
      <c r="N76" s="100">
        <v>110.5</v>
      </c>
      <c r="O76" s="100">
        <v>0</v>
      </c>
      <c r="P76" s="100">
        <v>0.33</v>
      </c>
      <c r="Q76" s="100">
        <v>9.9</v>
      </c>
      <c r="R76" s="6"/>
      <c r="S76" s="6"/>
      <c r="T76" s="156"/>
      <c r="U76" s="6"/>
    </row>
    <row r="77" spans="1:21" customFormat="1">
      <c r="A77" s="163" t="s">
        <v>2516</v>
      </c>
      <c r="B77" s="100">
        <v>3.57</v>
      </c>
      <c r="C77" s="100">
        <v>5.57</v>
      </c>
      <c r="D77" s="100">
        <v>2.6</v>
      </c>
      <c r="E77" s="100">
        <v>1.9</v>
      </c>
      <c r="F77" s="100">
        <v>5.48</v>
      </c>
      <c r="G77" s="100">
        <v>32.36</v>
      </c>
      <c r="H77" s="100">
        <v>13.85</v>
      </c>
      <c r="I77" s="100">
        <v>2.89</v>
      </c>
      <c r="J77" s="100">
        <v>0.73</v>
      </c>
      <c r="K77" s="100">
        <v>251.06</v>
      </c>
      <c r="L77" s="100">
        <v>28.95</v>
      </c>
      <c r="M77" s="100">
        <v>77.59</v>
      </c>
      <c r="N77" s="100">
        <v>68.3</v>
      </c>
      <c r="O77" s="100">
        <v>0</v>
      </c>
      <c r="P77" s="100">
        <v>0.32</v>
      </c>
      <c r="Q77" s="100">
        <v>9.91</v>
      </c>
      <c r="R77" s="6"/>
      <c r="S77" s="6"/>
      <c r="T77" s="156"/>
      <c r="U77" s="6"/>
    </row>
    <row r="78" spans="1:21" customFormat="1">
      <c r="A78" s="163" t="s">
        <v>2517</v>
      </c>
      <c r="B78" s="100">
        <v>3.74</v>
      </c>
      <c r="C78" s="100">
        <v>5.58</v>
      </c>
      <c r="D78" s="100">
        <v>2.35</v>
      </c>
      <c r="E78" s="100">
        <v>2.0099999999999998</v>
      </c>
      <c r="F78" s="100">
        <v>5.12</v>
      </c>
      <c r="G78" s="100">
        <v>32.36</v>
      </c>
      <c r="H78" s="100">
        <v>13.85</v>
      </c>
      <c r="I78" s="100">
        <v>2.98</v>
      </c>
      <c r="J78" s="100">
        <v>0.73</v>
      </c>
      <c r="K78" s="100">
        <v>255.52</v>
      </c>
      <c r="L78" s="100">
        <v>28.8</v>
      </c>
      <c r="M78" s="100">
        <v>77.09</v>
      </c>
      <c r="N78" s="100">
        <v>48.5</v>
      </c>
      <c r="O78" s="100">
        <v>0</v>
      </c>
      <c r="P78" s="100">
        <v>0.31</v>
      </c>
      <c r="Q78" s="100">
        <v>9.91</v>
      </c>
      <c r="R78" s="6"/>
      <c r="S78" s="6"/>
      <c r="T78" s="156"/>
      <c r="U78" s="6"/>
    </row>
    <row r="79" spans="1:21" customFormat="1">
      <c r="A79" s="163" t="s">
        <v>2518</v>
      </c>
      <c r="B79" s="100">
        <v>3.88</v>
      </c>
      <c r="C79" s="100">
        <v>5.61</v>
      </c>
      <c r="D79" s="100">
        <v>2.2000000000000002</v>
      </c>
      <c r="E79" s="100">
        <v>1.73</v>
      </c>
      <c r="F79" s="100">
        <v>6.27</v>
      </c>
      <c r="G79" s="100">
        <v>36.25</v>
      </c>
      <c r="H79" s="100">
        <v>13.74</v>
      </c>
      <c r="I79" s="100">
        <v>3.91</v>
      </c>
      <c r="J79" s="100">
        <v>0.83</v>
      </c>
      <c r="K79" s="100">
        <v>256.99</v>
      </c>
      <c r="L79" s="100">
        <v>28.67</v>
      </c>
      <c r="M79" s="100">
        <v>76.709999999999994</v>
      </c>
      <c r="N79" s="100">
        <v>38.799999999999997</v>
      </c>
      <c r="O79" s="100">
        <v>0</v>
      </c>
      <c r="P79" s="100">
        <v>0.31</v>
      </c>
      <c r="Q79" s="100">
        <v>9.91</v>
      </c>
      <c r="R79" s="6"/>
      <c r="S79" s="6"/>
      <c r="T79" s="156"/>
      <c r="U79" s="6"/>
    </row>
    <row r="80" spans="1:21" customFormat="1">
      <c r="A80" s="163" t="s">
        <v>2519</v>
      </c>
      <c r="B80" s="100">
        <v>3.7</v>
      </c>
      <c r="C80" s="100">
        <v>5.53</v>
      </c>
      <c r="D80" s="100">
        <v>2.3199999999999998</v>
      </c>
      <c r="E80" s="100">
        <v>2.0099999999999998</v>
      </c>
      <c r="F80" s="100">
        <v>3.82</v>
      </c>
      <c r="G80" s="100">
        <v>39.229999999999997</v>
      </c>
      <c r="H80" s="100">
        <v>13.68</v>
      </c>
      <c r="I80" s="100">
        <v>3.91</v>
      </c>
      <c r="J80" s="100">
        <v>0.64</v>
      </c>
      <c r="K80" s="100">
        <v>256.47000000000003</v>
      </c>
      <c r="L80" s="100">
        <v>28.64</v>
      </c>
      <c r="M80" s="100">
        <v>76.010000000000005</v>
      </c>
      <c r="N80" s="100">
        <v>30.2</v>
      </c>
      <c r="O80" s="100">
        <v>0</v>
      </c>
      <c r="P80" s="100">
        <v>0.34</v>
      </c>
      <c r="Q80" s="100">
        <v>9.89</v>
      </c>
      <c r="R80" s="6"/>
      <c r="S80" s="6"/>
      <c r="T80" s="156"/>
      <c r="U80" s="6"/>
    </row>
    <row r="81" spans="1:21" customFormat="1">
      <c r="A81" s="163" t="s">
        <v>2520</v>
      </c>
      <c r="B81" s="100">
        <v>3.72</v>
      </c>
      <c r="C81" s="100">
        <v>5.61</v>
      </c>
      <c r="D81" s="100">
        <v>2.44</v>
      </c>
      <c r="E81" s="100">
        <v>2.78</v>
      </c>
      <c r="F81" s="100">
        <v>4.32</v>
      </c>
      <c r="G81" s="100">
        <v>39.229999999999997</v>
      </c>
      <c r="H81" s="100">
        <v>13.68</v>
      </c>
      <c r="I81" s="100">
        <v>4.01</v>
      </c>
      <c r="J81" s="100">
        <v>0.72</v>
      </c>
      <c r="K81" s="100">
        <v>255</v>
      </c>
      <c r="L81" s="100">
        <v>28.5</v>
      </c>
      <c r="M81" s="100">
        <v>76.400000000000006</v>
      </c>
      <c r="N81" s="100">
        <v>20.8</v>
      </c>
      <c r="O81" s="100">
        <v>0</v>
      </c>
      <c r="P81" s="100">
        <v>0.34</v>
      </c>
      <c r="Q81" s="100">
        <v>9.9</v>
      </c>
      <c r="R81" s="6"/>
      <c r="S81" s="6"/>
      <c r="T81" s="156"/>
      <c r="U81" s="6"/>
    </row>
    <row r="82" spans="1:21" customFormat="1">
      <c r="A82" s="163" t="s">
        <v>2521</v>
      </c>
      <c r="B82" s="100">
        <v>3.92</v>
      </c>
      <c r="C82" s="100">
        <v>5.62</v>
      </c>
      <c r="D82" s="100">
        <v>2.15</v>
      </c>
      <c r="E82" s="100">
        <v>3.18</v>
      </c>
      <c r="F82" s="100">
        <v>5.0999999999999996</v>
      </c>
      <c r="G82" s="100">
        <v>39.229999999999997</v>
      </c>
      <c r="H82" s="100">
        <v>13.68</v>
      </c>
      <c r="I82" s="100">
        <v>4.1399999999999997</v>
      </c>
      <c r="J82" s="100">
        <v>0.62</v>
      </c>
      <c r="K82" s="100">
        <v>250.05</v>
      </c>
      <c r="L82" s="100">
        <v>28.35</v>
      </c>
      <c r="M82" s="100">
        <v>77.36</v>
      </c>
      <c r="N82" s="100">
        <v>13.5</v>
      </c>
      <c r="O82" s="100">
        <v>0</v>
      </c>
      <c r="P82" s="100">
        <v>0.32</v>
      </c>
      <c r="Q82" s="100">
        <v>9.91</v>
      </c>
      <c r="R82" s="6"/>
      <c r="S82" s="6"/>
      <c r="T82" s="156"/>
      <c r="U82" s="6"/>
    </row>
    <row r="83" spans="1:21" customFormat="1">
      <c r="A83" s="163" t="s">
        <v>2522</v>
      </c>
      <c r="B83" s="100">
        <v>3.93</v>
      </c>
      <c r="C83" s="100">
        <v>5.61</v>
      </c>
      <c r="D83" s="100">
        <v>2.11</v>
      </c>
      <c r="E83" s="100">
        <v>3.23</v>
      </c>
      <c r="F83" s="100">
        <v>5.74</v>
      </c>
      <c r="G83" s="100">
        <v>36.74</v>
      </c>
      <c r="H83" s="100">
        <v>12.46</v>
      </c>
      <c r="I83" s="100">
        <v>4.03</v>
      </c>
      <c r="J83" s="100">
        <v>0.5</v>
      </c>
      <c r="K83" s="100">
        <v>254.33</v>
      </c>
      <c r="L83" s="100">
        <v>28.23</v>
      </c>
      <c r="M83" s="100">
        <v>78</v>
      </c>
      <c r="N83" s="100">
        <v>5.8</v>
      </c>
      <c r="O83" s="100">
        <v>0</v>
      </c>
      <c r="P83" s="100">
        <v>0.33</v>
      </c>
      <c r="Q83" s="100">
        <v>9.92</v>
      </c>
      <c r="R83" s="6"/>
      <c r="S83" s="6"/>
      <c r="T83" s="156"/>
      <c r="U83" s="6"/>
    </row>
    <row r="84" spans="1:21" customFormat="1">
      <c r="A84" s="163" t="s">
        <v>2523</v>
      </c>
      <c r="B84" s="100">
        <v>3.84</v>
      </c>
      <c r="C84" s="100">
        <v>5.65</v>
      </c>
      <c r="D84" s="100">
        <v>2.33</v>
      </c>
      <c r="E84" s="100">
        <v>3.67</v>
      </c>
      <c r="F84" s="100">
        <v>4.58</v>
      </c>
      <c r="G84" s="100">
        <v>34.83</v>
      </c>
      <c r="H84" s="100">
        <v>12.07</v>
      </c>
      <c r="I84" s="100">
        <v>4.03</v>
      </c>
      <c r="J84" s="100">
        <v>0.28000000000000003</v>
      </c>
      <c r="K84" s="100">
        <v>246.5</v>
      </c>
      <c r="L84" s="100">
        <v>28.18</v>
      </c>
      <c r="M84" s="100">
        <v>79.16</v>
      </c>
      <c r="N84" s="100">
        <v>2.5</v>
      </c>
      <c r="O84" s="100">
        <v>0</v>
      </c>
      <c r="P84" s="100">
        <v>0.35</v>
      </c>
      <c r="Q84" s="100">
        <v>9.9</v>
      </c>
      <c r="R84" s="6"/>
      <c r="S84" s="6"/>
      <c r="T84" s="156"/>
      <c r="U84" s="6"/>
    </row>
    <row r="85" spans="1:21" customFormat="1">
      <c r="A85" s="163" t="s">
        <v>2524</v>
      </c>
      <c r="B85" s="100">
        <v>3.87</v>
      </c>
      <c r="C85" s="100">
        <v>6.03</v>
      </c>
      <c r="D85" s="100">
        <v>3.02</v>
      </c>
      <c r="E85" s="100">
        <v>3.7</v>
      </c>
      <c r="F85" s="100">
        <v>2.76</v>
      </c>
      <c r="G85" s="100">
        <v>34.83</v>
      </c>
      <c r="H85" s="100">
        <v>12.07</v>
      </c>
      <c r="I85" s="100">
        <v>4.01</v>
      </c>
      <c r="J85" s="100">
        <v>0.4</v>
      </c>
      <c r="K85" s="100">
        <v>250.94</v>
      </c>
      <c r="L85" s="100">
        <v>27.98</v>
      </c>
      <c r="M85" s="100">
        <v>82.04</v>
      </c>
      <c r="N85" s="100">
        <v>2.2000000000000002</v>
      </c>
      <c r="O85" s="100">
        <v>0</v>
      </c>
      <c r="P85" s="100">
        <v>0.33</v>
      </c>
      <c r="Q85" s="100">
        <v>9.89</v>
      </c>
      <c r="R85" s="6"/>
      <c r="S85" s="6"/>
      <c r="T85" s="156"/>
      <c r="U85" s="6"/>
    </row>
    <row r="86" spans="1:21" customFormat="1">
      <c r="A86" s="163" t="s">
        <v>2525</v>
      </c>
      <c r="B86" s="100">
        <v>3.88</v>
      </c>
      <c r="C86" s="100">
        <v>5.94</v>
      </c>
      <c r="D86" s="100">
        <v>2.83</v>
      </c>
      <c r="E86" s="100">
        <v>4.04</v>
      </c>
      <c r="F86" s="100">
        <v>3.06</v>
      </c>
      <c r="G86" s="100">
        <v>34.83</v>
      </c>
      <c r="H86" s="100">
        <v>12.07</v>
      </c>
      <c r="I86" s="100">
        <v>4.24</v>
      </c>
      <c r="J86" s="100">
        <v>0.25</v>
      </c>
      <c r="K86" s="100">
        <v>260.57</v>
      </c>
      <c r="L86" s="100">
        <v>27.69</v>
      </c>
      <c r="M86" s="100">
        <v>83.53</v>
      </c>
      <c r="N86" s="100">
        <v>2.2000000000000002</v>
      </c>
      <c r="O86" s="100">
        <v>0</v>
      </c>
      <c r="P86" s="100">
        <v>0.31</v>
      </c>
      <c r="Q86" s="100">
        <v>9.91</v>
      </c>
      <c r="R86" s="6"/>
      <c r="S86" s="6"/>
      <c r="T86" s="156"/>
      <c r="U86" s="6"/>
    </row>
    <row r="87" spans="1:21" customFormat="1">
      <c r="A87" s="163" t="s">
        <v>2526</v>
      </c>
      <c r="B87" s="100">
        <v>3.88</v>
      </c>
      <c r="C87" s="100">
        <v>5.99</v>
      </c>
      <c r="D87" s="100">
        <v>2.91</v>
      </c>
      <c r="E87" s="100">
        <v>4.51</v>
      </c>
      <c r="F87" s="100">
        <v>3.05</v>
      </c>
      <c r="G87" s="100">
        <v>35.43</v>
      </c>
      <c r="H87" s="100">
        <v>11.64</v>
      </c>
      <c r="I87" s="100">
        <v>4.22</v>
      </c>
      <c r="J87" s="100">
        <v>0.25</v>
      </c>
      <c r="K87" s="100">
        <v>249.78</v>
      </c>
      <c r="L87" s="100">
        <v>27.58</v>
      </c>
      <c r="M87" s="100">
        <v>83.74</v>
      </c>
      <c r="N87" s="100">
        <v>2</v>
      </c>
      <c r="O87" s="100">
        <v>0</v>
      </c>
      <c r="P87" s="100">
        <v>0.32</v>
      </c>
      <c r="Q87" s="100">
        <v>9.91</v>
      </c>
      <c r="R87" s="6"/>
      <c r="S87" s="6"/>
      <c r="T87" s="156"/>
      <c r="U87" s="6"/>
    </row>
    <row r="88" spans="1:21" customFormat="1">
      <c r="A88" s="163" t="s">
        <v>2527</v>
      </c>
      <c r="B88" s="100">
        <v>3.93</v>
      </c>
      <c r="C88" s="100">
        <v>5.98</v>
      </c>
      <c r="D88" s="100">
        <v>2.81</v>
      </c>
      <c r="E88" s="100">
        <v>4.76</v>
      </c>
      <c r="F88" s="100">
        <v>2.5</v>
      </c>
      <c r="G88" s="100">
        <v>35.880000000000003</v>
      </c>
      <c r="H88" s="100">
        <v>11.51</v>
      </c>
      <c r="I88" s="100">
        <v>4.0999999999999996</v>
      </c>
      <c r="J88" s="100">
        <v>0.39</v>
      </c>
      <c r="K88" s="100">
        <v>256.13</v>
      </c>
      <c r="L88" s="100">
        <v>27.39</v>
      </c>
      <c r="M88" s="100">
        <v>84.7</v>
      </c>
      <c r="N88" s="100">
        <v>2</v>
      </c>
      <c r="O88" s="100">
        <v>0</v>
      </c>
      <c r="P88" s="100">
        <v>0.32</v>
      </c>
      <c r="Q88" s="100">
        <v>9.9</v>
      </c>
      <c r="R88" s="6"/>
      <c r="S88" s="6"/>
      <c r="T88" s="156"/>
      <c r="U88" s="6"/>
    </row>
    <row r="89" spans="1:21" customFormat="1">
      <c r="A89" s="163" t="s">
        <v>2528</v>
      </c>
      <c r="B89" s="100">
        <v>3.96</v>
      </c>
      <c r="C89" s="100">
        <v>5.95</v>
      </c>
      <c r="D89" s="100">
        <v>2.73</v>
      </c>
      <c r="E89" s="100">
        <v>4.95</v>
      </c>
      <c r="F89" s="100">
        <v>2.56</v>
      </c>
      <c r="G89" s="100">
        <v>35.880000000000003</v>
      </c>
      <c r="H89" s="100">
        <v>11.51</v>
      </c>
      <c r="I89" s="100">
        <v>4.0199999999999996</v>
      </c>
      <c r="J89" s="100">
        <v>0.4</v>
      </c>
      <c r="K89" s="100">
        <v>257.45</v>
      </c>
      <c r="L89" s="100">
        <v>27.29</v>
      </c>
      <c r="M89" s="100">
        <v>85.07</v>
      </c>
      <c r="N89" s="100">
        <v>2</v>
      </c>
      <c r="O89" s="100">
        <v>0</v>
      </c>
      <c r="P89" s="100">
        <v>0.32</v>
      </c>
      <c r="Q89" s="100">
        <v>9.89</v>
      </c>
      <c r="R89" s="6"/>
      <c r="S89" s="6"/>
      <c r="T89" s="156"/>
      <c r="U89" s="6"/>
    </row>
    <row r="90" spans="1:21" customFormat="1">
      <c r="A90" s="163" t="s">
        <v>2529</v>
      </c>
      <c r="B90" s="100">
        <v>3.98</v>
      </c>
      <c r="C90" s="100">
        <v>5.93</v>
      </c>
      <c r="D90" s="100">
        <v>2.66</v>
      </c>
      <c r="E90" s="100">
        <v>4.84</v>
      </c>
      <c r="F90" s="100">
        <v>3.04</v>
      </c>
      <c r="G90" s="100">
        <v>35.880000000000003</v>
      </c>
      <c r="H90" s="100">
        <v>11.51</v>
      </c>
      <c r="I90" s="100">
        <v>3.98</v>
      </c>
      <c r="J90" s="100">
        <v>0.49</v>
      </c>
      <c r="K90" s="100">
        <v>250.7</v>
      </c>
      <c r="L90" s="100">
        <v>27.2</v>
      </c>
      <c r="M90" s="100">
        <v>85.2</v>
      </c>
      <c r="N90" s="100">
        <v>2</v>
      </c>
      <c r="O90" s="100">
        <v>0</v>
      </c>
      <c r="P90" s="100">
        <v>0.32</v>
      </c>
      <c r="Q90" s="100">
        <v>9.91</v>
      </c>
      <c r="R90" s="6"/>
      <c r="S90" s="6"/>
      <c r="T90" s="156"/>
      <c r="U90" s="6"/>
    </row>
    <row r="91" spans="1:21" customFormat="1">
      <c r="A91" s="163" t="s">
        <v>2530</v>
      </c>
      <c r="B91" s="100">
        <v>4</v>
      </c>
      <c r="C91" s="100">
        <v>6</v>
      </c>
      <c r="D91" s="100">
        <v>2.75</v>
      </c>
      <c r="E91" s="100">
        <v>5.07</v>
      </c>
      <c r="F91" s="100">
        <v>2.9</v>
      </c>
      <c r="G91" s="100">
        <v>37.049999999999997</v>
      </c>
      <c r="H91" s="100">
        <v>9.9600000000000009</v>
      </c>
      <c r="I91" s="100">
        <v>4.01</v>
      </c>
      <c r="J91" s="100">
        <v>0.48</v>
      </c>
      <c r="K91" s="100">
        <v>252.33</v>
      </c>
      <c r="L91" s="100">
        <v>27.12</v>
      </c>
      <c r="M91" s="100">
        <v>85.28</v>
      </c>
      <c r="N91" s="100">
        <v>2</v>
      </c>
      <c r="O91" s="100">
        <v>0</v>
      </c>
      <c r="P91" s="100">
        <v>0.32</v>
      </c>
      <c r="Q91" s="100">
        <v>9.9</v>
      </c>
      <c r="R91" s="6"/>
      <c r="S91" s="6"/>
      <c r="T91" s="156"/>
      <c r="U91" s="6"/>
    </row>
    <row r="92" spans="1:21" customFormat="1">
      <c r="A92" s="163" t="s">
        <v>2531</v>
      </c>
      <c r="B92" s="100">
        <v>4</v>
      </c>
      <c r="C92" s="100">
        <v>5.97</v>
      </c>
      <c r="D92" s="100">
        <v>2.71</v>
      </c>
      <c r="E92" s="100">
        <v>5.19</v>
      </c>
      <c r="F92" s="100">
        <v>2.34</v>
      </c>
      <c r="G92" s="100">
        <v>37.94</v>
      </c>
      <c r="H92" s="100">
        <v>9.4700000000000006</v>
      </c>
      <c r="I92" s="100">
        <v>3.98</v>
      </c>
      <c r="J92" s="100">
        <v>0.46</v>
      </c>
      <c r="K92" s="100">
        <v>258.82</v>
      </c>
      <c r="L92" s="100">
        <v>27.02</v>
      </c>
      <c r="M92" s="100">
        <v>86.25</v>
      </c>
      <c r="N92" s="100">
        <v>2.1</v>
      </c>
      <c r="O92" s="100">
        <v>0</v>
      </c>
      <c r="P92" s="100">
        <v>0.31</v>
      </c>
      <c r="Q92" s="100">
        <v>9.9</v>
      </c>
      <c r="R92" s="6"/>
      <c r="S92" s="6"/>
      <c r="T92" s="156"/>
      <c r="U92" s="6"/>
    </row>
    <row r="93" spans="1:21" customFormat="1">
      <c r="A93" s="163" t="s">
        <v>2532</v>
      </c>
      <c r="B93" s="100">
        <v>3.97</v>
      </c>
      <c r="C93" s="100">
        <v>5.96</v>
      </c>
      <c r="D93" s="100">
        <v>2.72</v>
      </c>
      <c r="E93" s="100">
        <v>5.27</v>
      </c>
      <c r="F93" s="100">
        <v>2.72</v>
      </c>
      <c r="G93" s="100">
        <v>37.94</v>
      </c>
      <c r="H93" s="100">
        <v>9.4700000000000006</v>
      </c>
      <c r="I93" s="100">
        <v>3.87</v>
      </c>
      <c r="J93" s="100">
        <v>0.48</v>
      </c>
      <c r="K93" s="100">
        <v>253.74</v>
      </c>
      <c r="L93" s="100">
        <v>26.94</v>
      </c>
      <c r="M93" s="100">
        <v>87</v>
      </c>
      <c r="N93" s="100">
        <v>2</v>
      </c>
      <c r="O93" s="100">
        <v>0</v>
      </c>
      <c r="P93" s="100">
        <v>0.33</v>
      </c>
      <c r="Q93" s="100">
        <v>9.9</v>
      </c>
      <c r="R93" s="6"/>
      <c r="S93" s="6"/>
      <c r="T93" s="156"/>
      <c r="U93" s="6"/>
    </row>
    <row r="94" spans="1:21" customFormat="1">
      <c r="A94" s="163" t="s">
        <v>2533</v>
      </c>
      <c r="B94" s="100">
        <v>4</v>
      </c>
      <c r="C94" s="100">
        <v>5.94</v>
      </c>
      <c r="D94" s="100">
        <v>2.63</v>
      </c>
      <c r="E94" s="100">
        <v>5.38</v>
      </c>
      <c r="F94" s="100">
        <v>3.29</v>
      </c>
      <c r="G94" s="100">
        <v>37.94</v>
      </c>
      <c r="H94" s="100">
        <v>9.4700000000000006</v>
      </c>
      <c r="I94" s="100">
        <v>3.82</v>
      </c>
      <c r="J94" s="100">
        <v>0.47</v>
      </c>
      <c r="K94" s="100">
        <v>254.57</v>
      </c>
      <c r="L94" s="100">
        <v>26.81</v>
      </c>
      <c r="M94" s="100">
        <v>87.22</v>
      </c>
      <c r="N94" s="100">
        <v>2</v>
      </c>
      <c r="O94" s="100">
        <v>0</v>
      </c>
      <c r="P94" s="100">
        <v>0.33</v>
      </c>
      <c r="Q94" s="100">
        <v>9.89</v>
      </c>
      <c r="R94" s="6"/>
      <c r="S94" s="6"/>
      <c r="T94" s="156"/>
      <c r="U94" s="6"/>
    </row>
    <row r="95" spans="1:21" customFormat="1">
      <c r="A95" s="163" t="s">
        <v>2534</v>
      </c>
      <c r="B95" s="100">
        <v>4.03</v>
      </c>
      <c r="C95" s="100">
        <v>5.91</v>
      </c>
      <c r="D95" s="100">
        <v>2.5499999999999998</v>
      </c>
      <c r="E95" s="100">
        <v>5.23</v>
      </c>
      <c r="F95" s="100">
        <v>3.46</v>
      </c>
      <c r="G95" s="100">
        <v>35.880000000000003</v>
      </c>
      <c r="H95" s="100">
        <v>11.11</v>
      </c>
      <c r="I95" s="100">
        <v>3.84</v>
      </c>
      <c r="J95" s="100">
        <v>0.36</v>
      </c>
      <c r="K95" s="100">
        <v>250.61</v>
      </c>
      <c r="L95" s="100">
        <v>26.77</v>
      </c>
      <c r="M95" s="100">
        <v>87.66</v>
      </c>
      <c r="N95" s="100">
        <v>2</v>
      </c>
      <c r="O95" s="100">
        <v>0</v>
      </c>
      <c r="P95" s="100">
        <v>0.31</v>
      </c>
      <c r="Q95" s="100">
        <v>9.9</v>
      </c>
      <c r="R95" s="6"/>
      <c r="S95" s="6"/>
      <c r="T95" s="156"/>
      <c r="U95" s="6"/>
    </row>
    <row r="96" spans="1:21" customFormat="1">
      <c r="A96" s="163" t="s">
        <v>2535</v>
      </c>
      <c r="B96" s="100">
        <v>4.07</v>
      </c>
      <c r="C96" s="100">
        <v>5.92</v>
      </c>
      <c r="D96" s="100">
        <v>2.4900000000000002</v>
      </c>
      <c r="E96" s="100">
        <v>5.58</v>
      </c>
      <c r="F96" s="100">
        <v>2.5099999999999998</v>
      </c>
      <c r="G96" s="100">
        <v>34.31</v>
      </c>
      <c r="H96" s="100">
        <v>11.62</v>
      </c>
      <c r="I96" s="100">
        <v>3.78</v>
      </c>
      <c r="J96" s="100">
        <v>0.44</v>
      </c>
      <c r="K96" s="100">
        <v>251.95</v>
      </c>
      <c r="L96" s="100">
        <v>26.74</v>
      </c>
      <c r="M96" s="100">
        <v>88.16</v>
      </c>
      <c r="N96" s="100">
        <v>1.9</v>
      </c>
      <c r="O96" s="100">
        <v>0</v>
      </c>
      <c r="P96" s="100">
        <v>0.32</v>
      </c>
      <c r="Q96" s="100">
        <v>9.9</v>
      </c>
      <c r="R96" s="6"/>
      <c r="S96" s="6"/>
      <c r="T96" s="156"/>
      <c r="U96" s="6"/>
    </row>
    <row r="97" spans="1:28" customFormat="1">
      <c r="A97" s="163" t="s">
        <v>2536</v>
      </c>
      <c r="B97" s="100">
        <v>4.09</v>
      </c>
      <c r="C97" s="100">
        <v>5.9</v>
      </c>
      <c r="D97" s="100">
        <v>2.44</v>
      </c>
      <c r="E97" s="100">
        <v>5.77</v>
      </c>
      <c r="F97" s="100">
        <v>2.75</v>
      </c>
      <c r="G97" s="100">
        <v>34.31</v>
      </c>
      <c r="H97" s="100">
        <v>11.62</v>
      </c>
      <c r="I97" s="100">
        <v>3.69</v>
      </c>
      <c r="J97" s="100">
        <v>0.41</v>
      </c>
      <c r="K97" s="100">
        <v>246.6</v>
      </c>
      <c r="L97" s="100">
        <v>26.68</v>
      </c>
      <c r="M97" s="100">
        <v>88.58</v>
      </c>
      <c r="N97" s="100">
        <v>2</v>
      </c>
      <c r="O97" s="100">
        <v>0</v>
      </c>
      <c r="P97" s="100">
        <v>0.33</v>
      </c>
      <c r="Q97" s="100">
        <v>9.9</v>
      </c>
      <c r="R97" s="6"/>
      <c r="S97" s="6"/>
      <c r="T97" s="156"/>
      <c r="U97" s="6"/>
    </row>
    <row r="98" spans="1:28" customFormat="1">
      <c r="A98" s="163" t="s">
        <v>2537</v>
      </c>
      <c r="B98" s="100">
        <v>4.12</v>
      </c>
      <c r="C98" s="100">
        <v>5.88</v>
      </c>
      <c r="D98" s="100">
        <v>2.35</v>
      </c>
      <c r="E98" s="100">
        <v>5.72</v>
      </c>
      <c r="F98" s="100">
        <v>3.08</v>
      </c>
      <c r="G98" s="100">
        <v>34.31</v>
      </c>
      <c r="H98" s="100">
        <v>11.62</v>
      </c>
      <c r="I98" s="100">
        <v>3.65</v>
      </c>
      <c r="J98" s="100">
        <v>0.48</v>
      </c>
      <c r="K98" s="100">
        <v>254.08</v>
      </c>
      <c r="L98" s="100">
        <v>26.68</v>
      </c>
      <c r="M98" s="100">
        <v>88.15</v>
      </c>
      <c r="N98" s="100">
        <v>2</v>
      </c>
      <c r="O98" s="100">
        <v>0</v>
      </c>
      <c r="P98" s="100">
        <v>0.32</v>
      </c>
      <c r="Q98" s="100">
        <v>9.89</v>
      </c>
      <c r="R98" s="6"/>
      <c r="S98" s="6"/>
      <c r="T98" s="156"/>
      <c r="U98" s="6"/>
    </row>
    <row r="99" spans="1:28" customFormat="1">
      <c r="A99" s="163" t="s">
        <v>2538</v>
      </c>
      <c r="B99" s="100">
        <v>4.1500000000000004</v>
      </c>
      <c r="C99" s="100">
        <v>5.92</v>
      </c>
      <c r="D99" s="100">
        <v>2.37</v>
      </c>
      <c r="E99" s="100">
        <v>5.68</v>
      </c>
      <c r="F99" s="100">
        <v>2.94</v>
      </c>
      <c r="G99" s="100">
        <v>34.47</v>
      </c>
      <c r="H99" s="100">
        <v>10.79</v>
      </c>
      <c r="I99" s="100">
        <v>3.67</v>
      </c>
      <c r="J99" s="100">
        <v>0.45</v>
      </c>
      <c r="K99" s="100">
        <v>250.49</v>
      </c>
      <c r="L99" s="100">
        <v>26.73</v>
      </c>
      <c r="M99" s="100">
        <v>87.44</v>
      </c>
      <c r="N99" s="100">
        <v>2</v>
      </c>
      <c r="O99" s="100">
        <v>0</v>
      </c>
      <c r="P99" s="100">
        <v>0.31</v>
      </c>
      <c r="Q99" s="100">
        <v>9.89</v>
      </c>
      <c r="R99" s="6"/>
      <c r="S99" s="6"/>
      <c r="T99" s="156"/>
      <c r="U99" s="6"/>
    </row>
    <row r="100" spans="1:28" customFormat="1">
      <c r="A100" s="163" t="s">
        <v>2539</v>
      </c>
      <c r="B100" s="100">
        <v>4.2300000000000004</v>
      </c>
      <c r="C100" s="100">
        <v>5.96</v>
      </c>
      <c r="D100" s="100">
        <v>2.3199999999999998</v>
      </c>
      <c r="E100" s="100">
        <v>5.7</v>
      </c>
      <c r="F100" s="100">
        <v>2.61</v>
      </c>
      <c r="G100" s="100">
        <v>34.58</v>
      </c>
      <c r="H100" s="100">
        <v>10.52</v>
      </c>
      <c r="I100" s="100">
        <v>3.6</v>
      </c>
      <c r="J100" s="100">
        <v>0.5</v>
      </c>
      <c r="K100" s="100">
        <v>251.33</v>
      </c>
      <c r="L100" s="100">
        <v>26.8</v>
      </c>
      <c r="M100" s="100">
        <v>87.19</v>
      </c>
      <c r="N100" s="100">
        <v>2</v>
      </c>
      <c r="O100" s="100">
        <v>0</v>
      </c>
      <c r="P100" s="100">
        <v>0.32</v>
      </c>
      <c r="Q100" s="100">
        <v>9.89</v>
      </c>
      <c r="R100" s="6"/>
      <c r="S100" s="6"/>
      <c r="T100" s="156"/>
      <c r="U100" s="6"/>
      <c r="AB100" s="161"/>
    </row>
    <row r="101" spans="1:28" customFormat="1">
      <c r="A101" s="163" t="s">
        <v>2540</v>
      </c>
      <c r="B101" s="100">
        <v>4.2699999999999996</v>
      </c>
      <c r="C101" s="100">
        <v>6.02</v>
      </c>
      <c r="D101" s="100">
        <v>2.37</v>
      </c>
      <c r="E101" s="100">
        <v>5.61</v>
      </c>
      <c r="F101" s="100">
        <v>2.7</v>
      </c>
      <c r="G101" s="100">
        <v>34.58</v>
      </c>
      <c r="H101" s="100">
        <v>10.52</v>
      </c>
      <c r="I101" s="100">
        <v>3.48</v>
      </c>
      <c r="J101" s="100">
        <v>0.6</v>
      </c>
      <c r="K101" s="100">
        <v>256.76</v>
      </c>
      <c r="L101" s="100">
        <v>26.76</v>
      </c>
      <c r="M101" s="100">
        <v>87.53</v>
      </c>
      <c r="N101" s="100">
        <v>2.1</v>
      </c>
      <c r="O101" s="100">
        <v>0</v>
      </c>
      <c r="P101" s="100">
        <v>0.32</v>
      </c>
      <c r="Q101" s="100">
        <v>9.9</v>
      </c>
      <c r="R101" s="6"/>
      <c r="S101" s="6"/>
      <c r="T101" s="156"/>
      <c r="U101" s="6"/>
    </row>
    <row r="102" spans="1:28" customFormat="1">
      <c r="A102" s="163" t="s">
        <v>2541</v>
      </c>
      <c r="B102" s="100">
        <v>4.28</v>
      </c>
      <c r="C102" s="100">
        <v>5.98</v>
      </c>
      <c r="D102" s="100">
        <v>2.2999999999999998</v>
      </c>
      <c r="E102" s="100">
        <v>5.45</v>
      </c>
      <c r="F102" s="100">
        <v>3.33</v>
      </c>
      <c r="G102" s="100">
        <v>34.58</v>
      </c>
      <c r="H102" s="100">
        <v>10.52</v>
      </c>
      <c r="I102" s="100">
        <v>3.48</v>
      </c>
      <c r="J102" s="100">
        <v>0.55000000000000004</v>
      </c>
      <c r="K102" s="100">
        <v>255.18</v>
      </c>
      <c r="L102" s="100">
        <v>26.67</v>
      </c>
      <c r="M102" s="100">
        <v>87.88</v>
      </c>
      <c r="N102" s="100">
        <v>2.1</v>
      </c>
      <c r="O102" s="100">
        <v>0</v>
      </c>
      <c r="P102" s="100">
        <v>0.32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2542</v>
      </c>
      <c r="B103" s="100">
        <v>4.2699999999999996</v>
      </c>
      <c r="C103" s="100">
        <v>5.98</v>
      </c>
      <c r="D103" s="100">
        <v>2.2999999999999998</v>
      </c>
      <c r="E103" s="100">
        <v>5.67</v>
      </c>
      <c r="F103" s="100">
        <v>3.22</v>
      </c>
      <c r="G103" s="100">
        <v>34.01</v>
      </c>
      <c r="H103" s="100">
        <v>12.28</v>
      </c>
      <c r="I103" s="100">
        <v>3.54</v>
      </c>
      <c r="J103" s="100">
        <v>0.48</v>
      </c>
      <c r="K103" s="100">
        <v>253.41</v>
      </c>
      <c r="L103" s="100">
        <v>26.69</v>
      </c>
      <c r="M103" s="100">
        <v>87.7</v>
      </c>
      <c r="N103" s="100">
        <v>2.1</v>
      </c>
      <c r="O103" s="100">
        <v>0</v>
      </c>
      <c r="P103" s="100">
        <v>0.31</v>
      </c>
      <c r="Q103" s="100">
        <v>9.91</v>
      </c>
      <c r="R103" s="6"/>
      <c r="S103" s="6"/>
      <c r="T103" s="156"/>
      <c r="U103" s="6"/>
    </row>
    <row r="104" spans="1:28" customFormat="1">
      <c r="A104" s="163" t="s">
        <v>2543</v>
      </c>
      <c r="B104" s="100">
        <v>4.29</v>
      </c>
      <c r="C104" s="100">
        <v>6.01</v>
      </c>
      <c r="D104" s="100">
        <v>2.33</v>
      </c>
      <c r="E104" s="100">
        <v>5.96</v>
      </c>
      <c r="F104" s="100">
        <v>2.72</v>
      </c>
      <c r="G104" s="100">
        <v>33.590000000000003</v>
      </c>
      <c r="H104" s="100">
        <v>13.36</v>
      </c>
      <c r="I104" s="100">
        <v>3.45</v>
      </c>
      <c r="J104" s="100">
        <v>0.62</v>
      </c>
      <c r="K104" s="100">
        <v>255.92</v>
      </c>
      <c r="L104" s="100">
        <v>26.66</v>
      </c>
      <c r="M104" s="100">
        <v>87.78</v>
      </c>
      <c r="N104" s="100">
        <v>2.1</v>
      </c>
      <c r="O104" s="100">
        <v>0</v>
      </c>
      <c r="P104" s="100">
        <v>0.32</v>
      </c>
      <c r="Q104" s="100">
        <v>9.9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3.08</v>
      </c>
      <c r="C106" s="158">
        <f>MIN(C9:C104)</f>
        <v>5.53</v>
      </c>
      <c r="D106" s="158">
        <f t="shared" ref="D106:Q106" si="0">MIN(D9:D104)</f>
        <v>1.37</v>
      </c>
      <c r="E106" s="158">
        <f t="shared" si="0"/>
        <v>1.37</v>
      </c>
      <c r="F106" s="158">
        <f t="shared" si="0"/>
        <v>2.1</v>
      </c>
      <c r="G106" s="158">
        <f t="shared" si="0"/>
        <v>0</v>
      </c>
      <c r="H106" s="158">
        <f t="shared" si="0"/>
        <v>0</v>
      </c>
      <c r="I106" s="158">
        <f t="shared" si="0"/>
        <v>2.89</v>
      </c>
      <c r="J106" s="158">
        <f t="shared" si="0"/>
        <v>0.25</v>
      </c>
      <c r="K106" s="158">
        <f t="shared" si="0"/>
        <v>242.45</v>
      </c>
      <c r="L106" s="158">
        <f t="shared" si="0"/>
        <v>25.17</v>
      </c>
      <c r="M106" s="158">
        <f t="shared" si="0"/>
        <v>72.08</v>
      </c>
      <c r="N106" s="158">
        <f t="shared" si="0"/>
        <v>1.3</v>
      </c>
      <c r="O106" s="158">
        <f t="shared" si="0"/>
        <v>0</v>
      </c>
      <c r="P106" s="158">
        <f t="shared" si="0"/>
        <v>0.12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192.12</v>
      </c>
      <c r="C107" s="157">
        <f t="shared" ref="C107:Q107" si="1">MAX(C9:C104)</f>
        <v>196.18</v>
      </c>
      <c r="D107" s="157">
        <f t="shared" si="1"/>
        <v>4.08</v>
      </c>
      <c r="E107" s="157">
        <f t="shared" si="1"/>
        <v>331.81</v>
      </c>
      <c r="F107" s="157">
        <f t="shared" si="1"/>
        <v>163.02000000000001</v>
      </c>
      <c r="G107" s="157">
        <f t="shared" si="1"/>
        <v>51.79</v>
      </c>
      <c r="H107" s="157">
        <f t="shared" si="1"/>
        <v>13.85</v>
      </c>
      <c r="I107" s="157">
        <f t="shared" si="1"/>
        <v>16.309999999999999</v>
      </c>
      <c r="J107" s="157">
        <f t="shared" si="1"/>
        <v>1.05</v>
      </c>
      <c r="K107" s="157">
        <f t="shared" si="1"/>
        <v>266.37</v>
      </c>
      <c r="L107" s="157">
        <f t="shared" si="1"/>
        <v>30.01</v>
      </c>
      <c r="M107" s="157">
        <f t="shared" si="1"/>
        <v>94.92</v>
      </c>
      <c r="N107" s="157">
        <f t="shared" si="1"/>
        <v>318</v>
      </c>
      <c r="O107" s="157">
        <f t="shared" si="1"/>
        <v>0.2</v>
      </c>
      <c r="P107" s="157">
        <f t="shared" si="1"/>
        <v>2.52</v>
      </c>
      <c r="Q107" s="157">
        <f t="shared" si="1"/>
        <v>9.92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7.5218750000000014</v>
      </c>
      <c r="C108" s="158">
        <f t="shared" ref="C108:Q108" si="2">AVERAGE(C9:C104)</f>
        <v>10.008125000000005</v>
      </c>
      <c r="D108" s="158">
        <f t="shared" si="2"/>
        <v>2.8810416666666669</v>
      </c>
      <c r="E108" s="158">
        <f t="shared" si="2"/>
        <v>7.4066666666666672</v>
      </c>
      <c r="F108" s="158">
        <f t="shared" si="2"/>
        <v>7.4694791666666704</v>
      </c>
      <c r="G108" s="158">
        <f t="shared" si="2"/>
        <v>28.623020833333339</v>
      </c>
      <c r="H108" s="158">
        <f t="shared" si="2"/>
        <v>6.7881249999999982</v>
      </c>
      <c r="I108" s="158">
        <f t="shared" si="2"/>
        <v>4.8725000000000005</v>
      </c>
      <c r="J108" s="158">
        <f t="shared" si="2"/>
        <v>0.67385416666666664</v>
      </c>
      <c r="K108" s="158">
        <f t="shared" si="2"/>
        <v>254.91031250000012</v>
      </c>
      <c r="L108" s="158">
        <f t="shared" si="2"/>
        <v>27.110520833333325</v>
      </c>
      <c r="M108" s="158">
        <f t="shared" si="2"/>
        <v>84.774062499999971</v>
      </c>
      <c r="N108" s="158">
        <f t="shared" si="2"/>
        <v>65.2135416666667</v>
      </c>
      <c r="O108" s="158">
        <f t="shared" si="2"/>
        <v>8.3333333333333332E-3</v>
      </c>
      <c r="P108" s="158">
        <f t="shared" si="2"/>
        <v>0.33187499999999981</v>
      </c>
      <c r="Q108" s="158">
        <f t="shared" si="2"/>
        <v>9.9029166666666555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24.581557327758851</v>
      </c>
      <c r="C109" s="158">
        <f t="shared" ref="C109:Q109" si="3">STDEV(C9:C104)</f>
        <v>24.64076153610004</v>
      </c>
      <c r="D109" s="158">
        <f t="shared" si="3"/>
        <v>0.56338353612075998</v>
      </c>
      <c r="E109" s="158">
        <f t="shared" si="3"/>
        <v>33.475185205781969</v>
      </c>
      <c r="F109" s="158">
        <f t="shared" si="3"/>
        <v>17.047194513423868</v>
      </c>
      <c r="G109" s="158">
        <f t="shared" si="3"/>
        <v>13.588019577615656</v>
      </c>
      <c r="H109" s="158">
        <f t="shared" si="3"/>
        <v>4.0205514972582197</v>
      </c>
      <c r="I109" s="158">
        <f t="shared" si="3"/>
        <v>2.8276987109662151</v>
      </c>
      <c r="J109" s="158">
        <f t="shared" si="3"/>
        <v>0.1962671101044999</v>
      </c>
      <c r="K109" s="158">
        <f t="shared" si="3"/>
        <v>3.8587337582561019</v>
      </c>
      <c r="L109" s="158">
        <f t="shared" si="3"/>
        <v>1.3386413927967313</v>
      </c>
      <c r="M109" s="158">
        <f t="shared" si="3"/>
        <v>6.1839445047766954</v>
      </c>
      <c r="N109" s="158">
        <f t="shared" si="3"/>
        <v>84.026663211640454</v>
      </c>
      <c r="O109" s="158">
        <f t="shared" si="3"/>
        <v>4.0175055540960972E-2</v>
      </c>
      <c r="P109" s="158">
        <f t="shared" si="3"/>
        <v>0.22979767989301081</v>
      </c>
      <c r="Q109" s="158">
        <f t="shared" si="3"/>
        <v>9.8319208025015401E-3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2544</v>
      </c>
      <c r="B9" s="100">
        <v>4.37</v>
      </c>
      <c r="C9" s="100">
        <v>5.87</v>
      </c>
      <c r="D9" s="100">
        <v>1.95</v>
      </c>
      <c r="E9" s="100">
        <v>5.88</v>
      </c>
      <c r="F9" s="100">
        <v>2.78</v>
      </c>
      <c r="G9" s="100">
        <v>33.590000000000003</v>
      </c>
      <c r="H9" s="100">
        <v>13.36</v>
      </c>
      <c r="I9" s="100">
        <v>3.35</v>
      </c>
      <c r="J9" s="100">
        <v>0.37</v>
      </c>
      <c r="K9" s="100">
        <v>249.07</v>
      </c>
      <c r="L9" s="100">
        <v>26.55</v>
      </c>
      <c r="M9" s="100">
        <v>88.64</v>
      </c>
      <c r="N9" s="100">
        <v>2.1</v>
      </c>
      <c r="O9" s="100">
        <v>0</v>
      </c>
      <c r="P9" s="100">
        <v>0.34</v>
      </c>
      <c r="Q9" s="100">
        <v>9.9</v>
      </c>
      <c r="R9" s="6"/>
      <c r="S9" s="6"/>
      <c r="T9" s="156"/>
      <c r="U9" s="6"/>
    </row>
    <row r="10" spans="1:21" customFormat="1">
      <c r="A10" s="163" t="s">
        <v>2545</v>
      </c>
      <c r="B10" s="100">
        <v>4.5199999999999996</v>
      </c>
      <c r="C10" s="100">
        <v>6.01</v>
      </c>
      <c r="D10" s="100">
        <v>1.99</v>
      </c>
      <c r="E10" s="100">
        <v>5.74</v>
      </c>
      <c r="F10" s="100">
        <v>2.1</v>
      </c>
      <c r="G10" s="100">
        <v>33.590000000000003</v>
      </c>
      <c r="H10" s="100">
        <v>13.36</v>
      </c>
      <c r="I10" s="100">
        <v>3.42</v>
      </c>
      <c r="J10" s="100">
        <v>0.46</v>
      </c>
      <c r="K10" s="100">
        <v>254.18</v>
      </c>
      <c r="L10" s="100">
        <v>26.47</v>
      </c>
      <c r="M10" s="100">
        <v>89.26</v>
      </c>
      <c r="N10" s="100">
        <v>2.1</v>
      </c>
      <c r="O10" s="100">
        <v>0</v>
      </c>
      <c r="P10" s="100">
        <v>0.33</v>
      </c>
      <c r="Q10" s="100">
        <v>9.91</v>
      </c>
      <c r="R10" s="6"/>
      <c r="S10" s="6"/>
      <c r="T10" s="156"/>
      <c r="U10" s="6"/>
    </row>
    <row r="11" spans="1:21" customFormat="1">
      <c r="A11" s="163" t="s">
        <v>2546</v>
      </c>
      <c r="B11" s="100">
        <v>4.62</v>
      </c>
      <c r="C11" s="100">
        <v>6.01</v>
      </c>
      <c r="D11" s="100">
        <v>1.84</v>
      </c>
      <c r="E11" s="100">
        <v>4.91</v>
      </c>
      <c r="F11" s="100">
        <v>4.26</v>
      </c>
      <c r="G11" s="100">
        <v>28.04</v>
      </c>
      <c r="H11" s="100">
        <v>10.5</v>
      </c>
      <c r="I11" s="100">
        <v>3.42</v>
      </c>
      <c r="J11" s="100">
        <v>0.39</v>
      </c>
      <c r="K11" s="100">
        <v>254.97</v>
      </c>
      <c r="L11" s="100">
        <v>26.44</v>
      </c>
      <c r="M11" s="100">
        <v>89.97</v>
      </c>
      <c r="N11" s="100">
        <v>2</v>
      </c>
      <c r="O11" s="100">
        <v>0</v>
      </c>
      <c r="P11" s="100">
        <v>0.33</v>
      </c>
      <c r="Q11" s="100">
        <v>9.91</v>
      </c>
      <c r="R11" s="6"/>
      <c r="S11" s="6"/>
      <c r="T11" s="156"/>
      <c r="U11" s="6"/>
    </row>
    <row r="12" spans="1:21" customFormat="1">
      <c r="A12" s="163" t="s">
        <v>2547</v>
      </c>
      <c r="B12" s="100">
        <v>4.66</v>
      </c>
      <c r="C12" s="100">
        <v>6.04</v>
      </c>
      <c r="D12" s="100">
        <v>1.83</v>
      </c>
      <c r="E12" s="100">
        <v>5.21</v>
      </c>
      <c r="F12" s="100">
        <v>2.67</v>
      </c>
      <c r="G12" s="100">
        <v>23.98</v>
      </c>
      <c r="H12" s="100">
        <v>9.58</v>
      </c>
      <c r="I12" s="100">
        <v>3.39</v>
      </c>
      <c r="J12" s="100">
        <v>0.34</v>
      </c>
      <c r="K12" s="100">
        <v>250.88</v>
      </c>
      <c r="L12" s="100">
        <v>26.35</v>
      </c>
      <c r="M12" s="100">
        <v>89.77</v>
      </c>
      <c r="N12" s="100">
        <v>2.1</v>
      </c>
      <c r="O12" s="100">
        <v>0</v>
      </c>
      <c r="P12" s="100">
        <v>0.35</v>
      </c>
      <c r="Q12" s="100">
        <v>9.89</v>
      </c>
      <c r="R12" s="6"/>
      <c r="S12" s="6"/>
      <c r="T12" s="156"/>
      <c r="U12" s="6"/>
    </row>
    <row r="13" spans="1:21" customFormat="1">
      <c r="A13" s="163" t="s">
        <v>2548</v>
      </c>
      <c r="B13" s="100">
        <v>4.8099999999999996</v>
      </c>
      <c r="C13" s="100">
        <v>6.14</v>
      </c>
      <c r="D13" s="100">
        <v>1.77</v>
      </c>
      <c r="E13" s="100">
        <v>5.09</v>
      </c>
      <c r="F13" s="100">
        <v>2.1</v>
      </c>
      <c r="G13" s="100">
        <v>23.98</v>
      </c>
      <c r="H13" s="100">
        <v>9.58</v>
      </c>
      <c r="I13" s="100">
        <v>3.32</v>
      </c>
      <c r="J13" s="100">
        <v>0.5</v>
      </c>
      <c r="K13" s="100">
        <v>255.99</v>
      </c>
      <c r="L13" s="100">
        <v>26.24</v>
      </c>
      <c r="M13" s="100">
        <v>89.99</v>
      </c>
      <c r="N13" s="100">
        <v>2.1</v>
      </c>
      <c r="O13" s="100">
        <v>0</v>
      </c>
      <c r="P13" s="100">
        <v>0.33</v>
      </c>
      <c r="Q13" s="100">
        <v>9.9</v>
      </c>
      <c r="R13" s="6"/>
      <c r="S13" s="6"/>
      <c r="T13" s="156"/>
      <c r="U13" s="6"/>
    </row>
    <row r="14" spans="1:21" customFormat="1">
      <c r="A14" s="163" t="s">
        <v>2549</v>
      </c>
      <c r="B14" s="100">
        <v>4.91</v>
      </c>
      <c r="C14" s="100">
        <v>6.2</v>
      </c>
      <c r="D14" s="100">
        <v>1.74</v>
      </c>
      <c r="E14" s="100">
        <v>4.87</v>
      </c>
      <c r="F14" s="100">
        <v>2.35</v>
      </c>
      <c r="G14" s="100">
        <v>23.98</v>
      </c>
      <c r="H14" s="100">
        <v>9.58</v>
      </c>
      <c r="I14" s="100">
        <v>3.6</v>
      </c>
      <c r="J14" s="100">
        <v>0.57999999999999996</v>
      </c>
      <c r="K14" s="100">
        <v>254.57</v>
      </c>
      <c r="L14" s="100">
        <v>26.28</v>
      </c>
      <c r="M14" s="100">
        <v>90</v>
      </c>
      <c r="N14" s="100">
        <v>2</v>
      </c>
      <c r="O14" s="100">
        <v>0</v>
      </c>
      <c r="P14" s="100">
        <v>0.32</v>
      </c>
      <c r="Q14" s="100">
        <v>9.91</v>
      </c>
      <c r="R14" s="6"/>
      <c r="S14" s="6"/>
      <c r="T14" s="156"/>
      <c r="U14" s="6"/>
    </row>
    <row r="15" spans="1:21" customFormat="1">
      <c r="A15" s="163" t="s">
        <v>2550</v>
      </c>
      <c r="B15" s="100">
        <v>5.0199999999999996</v>
      </c>
      <c r="C15" s="100">
        <v>6.28</v>
      </c>
      <c r="D15" s="100">
        <v>1.72</v>
      </c>
      <c r="E15" s="100">
        <v>4.99</v>
      </c>
      <c r="F15" s="100">
        <v>2.72</v>
      </c>
      <c r="G15" s="100">
        <v>22</v>
      </c>
      <c r="H15" s="100">
        <v>8.61</v>
      </c>
      <c r="I15" s="100">
        <v>3.47</v>
      </c>
      <c r="J15" s="100">
        <v>0.43</v>
      </c>
      <c r="K15" s="100">
        <v>254.41</v>
      </c>
      <c r="L15" s="100">
        <v>26.31</v>
      </c>
      <c r="M15" s="100">
        <v>90.26</v>
      </c>
      <c r="N15" s="100">
        <v>2.1</v>
      </c>
      <c r="O15" s="100">
        <v>0</v>
      </c>
      <c r="P15" s="100">
        <v>0.35</v>
      </c>
      <c r="Q15" s="100">
        <v>9.9</v>
      </c>
      <c r="R15" s="6"/>
      <c r="S15" s="6"/>
      <c r="T15" s="156"/>
      <c r="U15" s="6"/>
    </row>
    <row r="16" spans="1:21" customFormat="1">
      <c r="A16" s="163" t="s">
        <v>2551</v>
      </c>
      <c r="B16" s="100">
        <v>5.16</v>
      </c>
      <c r="C16" s="100">
        <v>6.45</v>
      </c>
      <c r="D16" s="100">
        <v>1.83</v>
      </c>
      <c r="E16" s="100">
        <v>5.12</v>
      </c>
      <c r="F16" s="100">
        <v>2.1</v>
      </c>
      <c r="G16" s="100">
        <v>20.49</v>
      </c>
      <c r="H16" s="100">
        <v>8.3000000000000007</v>
      </c>
      <c r="I16" s="100">
        <v>3.48</v>
      </c>
      <c r="J16" s="100">
        <v>0.45</v>
      </c>
      <c r="K16" s="100">
        <v>255.25</v>
      </c>
      <c r="L16" s="100">
        <v>26.37</v>
      </c>
      <c r="M16" s="100">
        <v>90.15</v>
      </c>
      <c r="N16" s="100">
        <v>2.1</v>
      </c>
      <c r="O16" s="100">
        <v>0</v>
      </c>
      <c r="P16" s="100">
        <v>0.33</v>
      </c>
      <c r="Q16" s="100">
        <v>9.9</v>
      </c>
      <c r="R16" s="6"/>
      <c r="S16" s="6"/>
      <c r="T16" s="156"/>
      <c r="U16" s="6"/>
    </row>
    <row r="17" spans="1:21" customFormat="1">
      <c r="A17" s="163" t="s">
        <v>2552</v>
      </c>
      <c r="B17" s="100">
        <v>5.15</v>
      </c>
      <c r="C17" s="100">
        <v>6.44</v>
      </c>
      <c r="D17" s="100">
        <v>1.83</v>
      </c>
      <c r="E17" s="100">
        <v>4.3</v>
      </c>
      <c r="F17" s="100">
        <v>2.63</v>
      </c>
      <c r="G17" s="100">
        <v>20.49</v>
      </c>
      <c r="H17" s="100">
        <v>8.3000000000000007</v>
      </c>
      <c r="I17" s="100">
        <v>3.69</v>
      </c>
      <c r="J17" s="100">
        <v>0.45</v>
      </c>
      <c r="K17" s="100">
        <v>253.93</v>
      </c>
      <c r="L17" s="100">
        <v>26.36</v>
      </c>
      <c r="M17" s="100">
        <v>89.97</v>
      </c>
      <c r="N17" s="100">
        <v>2.1</v>
      </c>
      <c r="O17" s="100">
        <v>0</v>
      </c>
      <c r="P17" s="100">
        <v>0.31</v>
      </c>
      <c r="Q17" s="100">
        <v>9.9</v>
      </c>
      <c r="R17" s="6"/>
      <c r="S17" s="6"/>
      <c r="T17" s="156"/>
      <c r="U17" s="6"/>
    </row>
    <row r="18" spans="1:21" customFormat="1">
      <c r="A18" s="163" t="s">
        <v>2553</v>
      </c>
      <c r="B18" s="100">
        <v>5.19</v>
      </c>
      <c r="C18" s="100">
        <v>6.44</v>
      </c>
      <c r="D18" s="100">
        <v>1.77</v>
      </c>
      <c r="E18" s="100">
        <v>5.21</v>
      </c>
      <c r="F18" s="100">
        <v>2.38</v>
      </c>
      <c r="G18" s="100">
        <v>20.49</v>
      </c>
      <c r="H18" s="100">
        <v>8.3000000000000007</v>
      </c>
      <c r="I18" s="100">
        <v>3.48</v>
      </c>
      <c r="J18" s="100">
        <v>0.54</v>
      </c>
      <c r="K18" s="100">
        <v>249.86</v>
      </c>
      <c r="L18" s="100">
        <v>26.32</v>
      </c>
      <c r="M18" s="100">
        <v>89.11</v>
      </c>
      <c r="N18" s="100">
        <v>2.2000000000000002</v>
      </c>
      <c r="O18" s="100">
        <v>0</v>
      </c>
      <c r="P18" s="100">
        <v>0.34</v>
      </c>
      <c r="Q18" s="100">
        <v>9.91</v>
      </c>
      <c r="R18" s="6"/>
      <c r="S18" s="6"/>
      <c r="T18" s="156"/>
      <c r="U18" s="6"/>
    </row>
    <row r="19" spans="1:21" customFormat="1">
      <c r="A19" s="163" t="s">
        <v>2554</v>
      </c>
      <c r="B19" s="100">
        <v>5.3</v>
      </c>
      <c r="C19" s="100">
        <v>6.58</v>
      </c>
      <c r="D19" s="100">
        <v>1.88</v>
      </c>
      <c r="E19" s="100">
        <v>5.45</v>
      </c>
      <c r="F19" s="100">
        <v>2.12</v>
      </c>
      <c r="G19" s="100">
        <v>22.12</v>
      </c>
      <c r="H19" s="100">
        <v>8.23</v>
      </c>
      <c r="I19" s="100">
        <v>3.43</v>
      </c>
      <c r="J19" s="100">
        <v>0.69</v>
      </c>
      <c r="K19" s="100">
        <v>260.13</v>
      </c>
      <c r="L19" s="100">
        <v>26.2</v>
      </c>
      <c r="M19" s="100">
        <v>87.26</v>
      </c>
      <c r="N19" s="100">
        <v>2.2999999999999998</v>
      </c>
      <c r="O19" s="100">
        <v>0</v>
      </c>
      <c r="P19" s="100">
        <v>0.33</v>
      </c>
      <c r="Q19" s="100">
        <v>9.92</v>
      </c>
      <c r="R19" s="6"/>
      <c r="S19" s="6"/>
      <c r="T19" s="156"/>
      <c r="U19" s="6"/>
    </row>
    <row r="20" spans="1:21" customFormat="1">
      <c r="A20" s="163" t="s">
        <v>2555</v>
      </c>
      <c r="B20" s="100">
        <v>5.42</v>
      </c>
      <c r="C20" s="100">
        <v>6.6</v>
      </c>
      <c r="D20" s="100">
        <v>1.72</v>
      </c>
      <c r="E20" s="100">
        <v>5.41</v>
      </c>
      <c r="F20" s="100">
        <v>2.14</v>
      </c>
      <c r="G20" s="100">
        <v>23.36</v>
      </c>
      <c r="H20" s="100">
        <v>8.2100000000000009</v>
      </c>
      <c r="I20" s="100">
        <v>3.52</v>
      </c>
      <c r="J20" s="100">
        <v>0.65</v>
      </c>
      <c r="K20" s="100">
        <v>256.18</v>
      </c>
      <c r="L20" s="100">
        <v>26.08</v>
      </c>
      <c r="M20" s="100">
        <v>87.66</v>
      </c>
      <c r="N20" s="100">
        <v>2.2000000000000002</v>
      </c>
      <c r="O20" s="100">
        <v>0</v>
      </c>
      <c r="P20" s="100">
        <v>0.32</v>
      </c>
      <c r="Q20" s="100">
        <v>9.93</v>
      </c>
      <c r="R20" s="6"/>
      <c r="S20" s="6"/>
      <c r="T20" s="156"/>
      <c r="U20" s="6"/>
    </row>
    <row r="21" spans="1:21" customFormat="1">
      <c r="A21" s="163" t="s">
        <v>2556</v>
      </c>
      <c r="B21" s="100">
        <v>5.34</v>
      </c>
      <c r="C21" s="100">
        <v>6.58</v>
      </c>
      <c r="D21" s="100">
        <v>1.8</v>
      </c>
      <c r="E21" s="100">
        <v>5.22</v>
      </c>
      <c r="F21" s="100">
        <v>2.59</v>
      </c>
      <c r="G21" s="100">
        <v>23.36</v>
      </c>
      <c r="H21" s="100">
        <v>8.2100000000000009</v>
      </c>
      <c r="I21" s="100">
        <v>3.5</v>
      </c>
      <c r="J21" s="100">
        <v>0.51</v>
      </c>
      <c r="K21" s="100">
        <v>254.86</v>
      </c>
      <c r="L21" s="100">
        <v>25.96</v>
      </c>
      <c r="M21" s="100">
        <v>88.33</v>
      </c>
      <c r="N21" s="100">
        <v>2.1</v>
      </c>
      <c r="O21" s="100">
        <v>0</v>
      </c>
      <c r="P21" s="100">
        <v>0.34</v>
      </c>
      <c r="Q21" s="100">
        <v>9.93</v>
      </c>
      <c r="R21" s="6"/>
      <c r="S21" s="6"/>
      <c r="T21" s="156"/>
      <c r="U21" s="6"/>
    </row>
    <row r="22" spans="1:21" customFormat="1">
      <c r="A22" s="163" t="s">
        <v>2557</v>
      </c>
      <c r="B22" s="100">
        <v>5.37</v>
      </c>
      <c r="C22" s="100">
        <v>6.67</v>
      </c>
      <c r="D22" s="100">
        <v>1.95</v>
      </c>
      <c r="E22" s="100">
        <v>5.47</v>
      </c>
      <c r="F22" s="100">
        <v>2.1</v>
      </c>
      <c r="G22" s="100">
        <v>23.36</v>
      </c>
      <c r="H22" s="100">
        <v>8.2100000000000009</v>
      </c>
      <c r="I22" s="100">
        <v>3.53</v>
      </c>
      <c r="J22" s="100">
        <v>0.56999999999999995</v>
      </c>
      <c r="K22" s="100">
        <v>256.06</v>
      </c>
      <c r="L22" s="100">
        <v>25.93</v>
      </c>
      <c r="M22" s="100">
        <v>88.65</v>
      </c>
      <c r="N22" s="100">
        <v>2.1</v>
      </c>
      <c r="O22" s="100">
        <v>0</v>
      </c>
      <c r="P22" s="100">
        <v>0.34</v>
      </c>
      <c r="Q22" s="100">
        <v>9.92</v>
      </c>
      <c r="R22" s="6"/>
      <c r="S22" s="6"/>
      <c r="T22" s="156"/>
      <c r="U22" s="6"/>
    </row>
    <row r="23" spans="1:21" customFormat="1">
      <c r="A23" s="163" t="s">
        <v>2558</v>
      </c>
      <c r="B23" s="100">
        <v>5.38</v>
      </c>
      <c r="C23" s="100">
        <v>6.61</v>
      </c>
      <c r="D23" s="100">
        <v>1.82</v>
      </c>
      <c r="E23" s="100">
        <v>5.45</v>
      </c>
      <c r="F23" s="100">
        <v>2.38</v>
      </c>
      <c r="G23" s="100">
        <v>21.83</v>
      </c>
      <c r="H23" s="100">
        <v>6.59</v>
      </c>
      <c r="I23" s="100">
        <v>3.56</v>
      </c>
      <c r="J23" s="100">
        <v>0.64</v>
      </c>
      <c r="K23" s="100">
        <v>259.87</v>
      </c>
      <c r="L23" s="100">
        <v>25.9</v>
      </c>
      <c r="M23" s="100">
        <v>88.9</v>
      </c>
      <c r="N23" s="100">
        <v>2.1</v>
      </c>
      <c r="O23" s="100">
        <v>0</v>
      </c>
      <c r="P23" s="100">
        <v>0.33</v>
      </c>
      <c r="Q23" s="100">
        <v>9.93</v>
      </c>
      <c r="R23" s="6"/>
      <c r="S23" s="6"/>
      <c r="T23" s="156"/>
      <c r="U23" s="6"/>
    </row>
    <row r="24" spans="1:21" customFormat="1">
      <c r="A24" s="163" t="s">
        <v>2559</v>
      </c>
      <c r="B24" s="100">
        <v>5.32</v>
      </c>
      <c r="C24" s="100">
        <v>6.66</v>
      </c>
      <c r="D24" s="100">
        <v>1.99</v>
      </c>
      <c r="E24" s="100">
        <v>5.26</v>
      </c>
      <c r="F24" s="100">
        <v>2.3199999999999998</v>
      </c>
      <c r="G24" s="100">
        <v>20.66</v>
      </c>
      <c r="H24" s="100">
        <v>6.08</v>
      </c>
      <c r="I24" s="100">
        <v>3.51</v>
      </c>
      <c r="J24" s="100">
        <v>0.6</v>
      </c>
      <c r="K24" s="100">
        <v>256.39</v>
      </c>
      <c r="L24" s="100">
        <v>25.94</v>
      </c>
      <c r="M24" s="100">
        <v>88.71</v>
      </c>
      <c r="N24" s="100">
        <v>2.1</v>
      </c>
      <c r="O24" s="100">
        <v>0</v>
      </c>
      <c r="P24" s="100">
        <v>0.35</v>
      </c>
      <c r="Q24" s="100">
        <v>9.91</v>
      </c>
      <c r="R24" s="6"/>
      <c r="S24" s="6"/>
      <c r="T24" s="156"/>
      <c r="U24" s="6"/>
    </row>
    <row r="25" spans="1:21" customFormat="1">
      <c r="A25" s="163" t="s">
        <v>2560</v>
      </c>
      <c r="B25" s="100">
        <v>5.44</v>
      </c>
      <c r="C25" s="100">
        <v>6.76</v>
      </c>
      <c r="D25" s="100">
        <v>1.99</v>
      </c>
      <c r="E25" s="100">
        <v>5.47</v>
      </c>
      <c r="F25" s="100">
        <v>2.1</v>
      </c>
      <c r="G25" s="100">
        <v>20.66</v>
      </c>
      <c r="H25" s="100">
        <v>6.08</v>
      </c>
      <c r="I25" s="100">
        <v>3.45</v>
      </c>
      <c r="J25" s="100">
        <v>0.5</v>
      </c>
      <c r="K25" s="100">
        <v>255.2</v>
      </c>
      <c r="L25" s="100">
        <v>25.98</v>
      </c>
      <c r="M25" s="100">
        <v>88.07</v>
      </c>
      <c r="N25" s="100">
        <v>2.1</v>
      </c>
      <c r="O25" s="100">
        <v>0</v>
      </c>
      <c r="P25" s="100">
        <v>0.33</v>
      </c>
      <c r="Q25" s="100">
        <v>9.92</v>
      </c>
      <c r="R25" s="6"/>
      <c r="S25" s="6"/>
      <c r="T25" s="156"/>
      <c r="U25" s="6"/>
    </row>
    <row r="26" spans="1:21" customFormat="1">
      <c r="A26" s="163" t="s">
        <v>2561</v>
      </c>
      <c r="B26" s="100">
        <v>5.46</v>
      </c>
      <c r="C26" s="100">
        <v>6.7</v>
      </c>
      <c r="D26" s="100">
        <v>1.85</v>
      </c>
      <c r="E26" s="100">
        <v>5.18</v>
      </c>
      <c r="F26" s="100">
        <v>2.25</v>
      </c>
      <c r="G26" s="100">
        <v>20.66</v>
      </c>
      <c r="H26" s="100">
        <v>6.08</v>
      </c>
      <c r="I26" s="100">
        <v>3.57</v>
      </c>
      <c r="J26" s="100">
        <v>0.6</v>
      </c>
      <c r="K26" s="100">
        <v>255.1</v>
      </c>
      <c r="L26" s="100">
        <v>26.06</v>
      </c>
      <c r="M26" s="100">
        <v>87.83</v>
      </c>
      <c r="N26" s="100">
        <v>2.1</v>
      </c>
      <c r="O26" s="100">
        <v>0</v>
      </c>
      <c r="P26" s="100">
        <v>0.33</v>
      </c>
      <c r="Q26" s="100">
        <v>9.92</v>
      </c>
      <c r="R26" s="6"/>
      <c r="S26" s="6"/>
      <c r="T26" s="156"/>
      <c r="U26" s="6"/>
    </row>
    <row r="27" spans="1:21" customFormat="1">
      <c r="A27" s="163" t="s">
        <v>2562</v>
      </c>
      <c r="B27" s="100">
        <v>5.34</v>
      </c>
      <c r="C27" s="100">
        <v>6.73</v>
      </c>
      <c r="D27" s="100">
        <v>2.09</v>
      </c>
      <c r="E27" s="100">
        <v>5.5</v>
      </c>
      <c r="F27" s="100">
        <v>2.23</v>
      </c>
      <c r="G27" s="100">
        <v>17.28</v>
      </c>
      <c r="H27" s="100">
        <v>7.04</v>
      </c>
      <c r="I27" s="100">
        <v>3.61</v>
      </c>
      <c r="J27" s="100">
        <v>0.53</v>
      </c>
      <c r="K27" s="100">
        <v>254.78</v>
      </c>
      <c r="L27" s="100">
        <v>26.09</v>
      </c>
      <c r="M27" s="100">
        <v>88.07</v>
      </c>
      <c r="N27" s="100">
        <v>2.1</v>
      </c>
      <c r="O27" s="100">
        <v>0</v>
      </c>
      <c r="P27" s="100">
        <v>0.35</v>
      </c>
      <c r="Q27" s="100">
        <v>9.91</v>
      </c>
      <c r="R27" s="6"/>
      <c r="S27" s="6"/>
      <c r="T27" s="156"/>
      <c r="U27" s="6"/>
    </row>
    <row r="28" spans="1:21" customFormat="1">
      <c r="A28" s="163" t="s">
        <v>2563</v>
      </c>
      <c r="B28" s="100">
        <v>5.42</v>
      </c>
      <c r="C28" s="100">
        <v>7.29</v>
      </c>
      <c r="D28" s="100">
        <v>3.06</v>
      </c>
      <c r="E28" s="100">
        <v>5.59</v>
      </c>
      <c r="F28" s="100">
        <v>2.1</v>
      </c>
      <c r="G28" s="100">
        <v>14.69</v>
      </c>
      <c r="H28" s="100">
        <v>7.35</v>
      </c>
      <c r="I28" s="100">
        <v>3.59</v>
      </c>
      <c r="J28" s="100">
        <v>0.51</v>
      </c>
      <c r="K28" s="100">
        <v>256.93</v>
      </c>
      <c r="L28" s="100">
        <v>26.07</v>
      </c>
      <c r="M28" s="100">
        <v>88.47</v>
      </c>
      <c r="N28" s="100">
        <v>2.2000000000000002</v>
      </c>
      <c r="O28" s="100">
        <v>0</v>
      </c>
      <c r="P28" s="100">
        <v>0.33</v>
      </c>
      <c r="Q28" s="100">
        <v>9.91</v>
      </c>
      <c r="R28" s="6"/>
      <c r="S28" s="6"/>
      <c r="T28" s="156"/>
      <c r="U28" s="6"/>
    </row>
    <row r="29" spans="1:21" customFormat="1">
      <c r="A29" s="163" t="s">
        <v>2564</v>
      </c>
      <c r="B29" s="100">
        <v>5.31</v>
      </c>
      <c r="C29" s="100">
        <v>7.6</v>
      </c>
      <c r="D29" s="100">
        <v>3.81</v>
      </c>
      <c r="E29" s="100">
        <v>5.83</v>
      </c>
      <c r="F29" s="100">
        <v>2.15</v>
      </c>
      <c r="G29" s="100">
        <v>14.69</v>
      </c>
      <c r="H29" s="100">
        <v>7.35</v>
      </c>
      <c r="I29" s="100">
        <v>3.75</v>
      </c>
      <c r="J29" s="100">
        <v>0.61</v>
      </c>
      <c r="K29" s="100">
        <v>257.33</v>
      </c>
      <c r="L29" s="100">
        <v>26.13</v>
      </c>
      <c r="M29" s="100">
        <v>87.94</v>
      </c>
      <c r="N29" s="100">
        <v>2.2999999999999998</v>
      </c>
      <c r="O29" s="100">
        <v>0</v>
      </c>
      <c r="P29" s="100">
        <v>0.32</v>
      </c>
      <c r="Q29" s="100">
        <v>9.91</v>
      </c>
      <c r="R29" s="6"/>
      <c r="S29" s="6"/>
      <c r="T29" s="156"/>
      <c r="U29" s="6"/>
    </row>
    <row r="30" spans="1:21" customFormat="1">
      <c r="A30" s="163" t="s">
        <v>2565</v>
      </c>
      <c r="B30" s="100">
        <v>5.18</v>
      </c>
      <c r="C30" s="100">
        <v>7.5</v>
      </c>
      <c r="D30" s="100">
        <v>3.82</v>
      </c>
      <c r="E30" s="100">
        <v>5.84</v>
      </c>
      <c r="F30" s="100">
        <v>2.29</v>
      </c>
      <c r="G30" s="100">
        <v>14.69</v>
      </c>
      <c r="H30" s="100">
        <v>7.35</v>
      </c>
      <c r="I30" s="100">
        <v>3.7</v>
      </c>
      <c r="J30" s="100">
        <v>0.41</v>
      </c>
      <c r="K30" s="100">
        <v>250.9</v>
      </c>
      <c r="L30" s="100">
        <v>26.16</v>
      </c>
      <c r="M30" s="100">
        <v>87.04</v>
      </c>
      <c r="N30" s="100">
        <v>3.1</v>
      </c>
      <c r="O30" s="100">
        <v>0</v>
      </c>
      <c r="P30" s="100">
        <v>0.32</v>
      </c>
      <c r="Q30" s="100">
        <v>9.92</v>
      </c>
      <c r="R30" s="6"/>
      <c r="S30" s="6"/>
      <c r="T30" s="156"/>
      <c r="U30" s="6"/>
    </row>
    <row r="31" spans="1:21" customFormat="1">
      <c r="A31" s="163" t="s">
        <v>2566</v>
      </c>
      <c r="B31" s="100">
        <v>5.08</v>
      </c>
      <c r="C31" s="100">
        <v>7.42</v>
      </c>
      <c r="D31" s="100">
        <v>3.82</v>
      </c>
      <c r="E31" s="100">
        <v>6.07</v>
      </c>
      <c r="F31" s="100">
        <v>2.25</v>
      </c>
      <c r="G31" s="100">
        <v>19.260000000000002</v>
      </c>
      <c r="H31" s="100">
        <v>7.76</v>
      </c>
      <c r="I31" s="100">
        <v>3.79</v>
      </c>
      <c r="J31" s="100">
        <v>0.35</v>
      </c>
      <c r="K31" s="100">
        <v>246.19</v>
      </c>
      <c r="L31" s="100">
        <v>26.2</v>
      </c>
      <c r="M31" s="100">
        <v>86.97</v>
      </c>
      <c r="N31" s="100">
        <v>7.2</v>
      </c>
      <c r="O31" s="100">
        <v>0</v>
      </c>
      <c r="P31" s="100">
        <v>0.33</v>
      </c>
      <c r="Q31" s="100">
        <v>9.9</v>
      </c>
      <c r="R31" s="6"/>
      <c r="S31" s="6"/>
      <c r="T31" s="156"/>
      <c r="U31" s="6"/>
    </row>
    <row r="32" spans="1:21" customFormat="1">
      <c r="A32" s="163" t="s">
        <v>2567</v>
      </c>
      <c r="B32" s="100">
        <v>5.05</v>
      </c>
      <c r="C32" s="100">
        <v>7.37</v>
      </c>
      <c r="D32" s="100">
        <v>3.77</v>
      </c>
      <c r="E32" s="100">
        <v>6.14</v>
      </c>
      <c r="F32" s="100">
        <v>2.81</v>
      </c>
      <c r="G32" s="100">
        <v>22.75</v>
      </c>
      <c r="H32" s="100">
        <v>8.01</v>
      </c>
      <c r="I32" s="100">
        <v>3.78</v>
      </c>
      <c r="J32" s="100">
        <v>0.63</v>
      </c>
      <c r="K32" s="100">
        <v>256.2</v>
      </c>
      <c r="L32" s="100">
        <v>26.11</v>
      </c>
      <c r="M32" s="100">
        <v>87.21</v>
      </c>
      <c r="N32" s="100">
        <v>10.6</v>
      </c>
      <c r="O32" s="100">
        <v>0</v>
      </c>
      <c r="P32" s="100">
        <v>0.33</v>
      </c>
      <c r="Q32" s="100">
        <v>9.89</v>
      </c>
      <c r="R32" s="6"/>
      <c r="S32" s="6"/>
      <c r="T32" s="156"/>
      <c r="U32" s="6"/>
    </row>
    <row r="33" spans="1:21" customFormat="1">
      <c r="A33" s="163" t="s">
        <v>2568</v>
      </c>
      <c r="B33" s="100">
        <v>4.99</v>
      </c>
      <c r="C33" s="100">
        <v>7.28</v>
      </c>
      <c r="D33" s="100">
        <v>3.7</v>
      </c>
      <c r="E33" s="100">
        <v>6.34</v>
      </c>
      <c r="F33" s="100">
        <v>2.84</v>
      </c>
      <c r="G33" s="100">
        <v>22.75</v>
      </c>
      <c r="H33" s="100">
        <v>8.01</v>
      </c>
      <c r="I33" s="100">
        <v>3.78</v>
      </c>
      <c r="J33" s="100">
        <v>0.53</v>
      </c>
      <c r="K33" s="100">
        <v>258.94</v>
      </c>
      <c r="L33" s="100">
        <v>26.12</v>
      </c>
      <c r="M33" s="100">
        <v>87.16</v>
      </c>
      <c r="N33" s="100">
        <v>20.5</v>
      </c>
      <c r="O33" s="100">
        <v>0</v>
      </c>
      <c r="P33" s="100">
        <v>0.33</v>
      </c>
      <c r="Q33" s="100">
        <v>9.91</v>
      </c>
      <c r="R33" s="6"/>
      <c r="S33" s="6"/>
      <c r="T33" s="156"/>
      <c r="U33" s="6"/>
    </row>
    <row r="34" spans="1:21" customFormat="1">
      <c r="A34" s="163" t="s">
        <v>2569</v>
      </c>
      <c r="B34" s="100">
        <v>4.91</v>
      </c>
      <c r="C34" s="100">
        <v>7.2</v>
      </c>
      <c r="D34" s="100">
        <v>3.65</v>
      </c>
      <c r="E34" s="100">
        <v>5.95</v>
      </c>
      <c r="F34" s="100">
        <v>2.69</v>
      </c>
      <c r="G34" s="100">
        <v>22.75</v>
      </c>
      <c r="H34" s="100">
        <v>8.01</v>
      </c>
      <c r="I34" s="100">
        <v>3.83</v>
      </c>
      <c r="J34" s="100">
        <v>0.56999999999999995</v>
      </c>
      <c r="K34" s="100">
        <v>252.27</v>
      </c>
      <c r="L34" s="100">
        <v>26.22</v>
      </c>
      <c r="M34" s="100">
        <v>86.83</v>
      </c>
      <c r="N34" s="100">
        <v>33.9</v>
      </c>
      <c r="O34" s="100">
        <v>0</v>
      </c>
      <c r="P34" s="100">
        <v>0.33</v>
      </c>
      <c r="Q34" s="100">
        <v>9.89</v>
      </c>
      <c r="R34" s="6"/>
      <c r="S34" s="6"/>
      <c r="T34" s="156"/>
      <c r="U34" s="6"/>
    </row>
    <row r="35" spans="1:21" customFormat="1">
      <c r="A35" s="163" t="s">
        <v>2570</v>
      </c>
      <c r="B35" s="100">
        <v>4.88</v>
      </c>
      <c r="C35" s="100">
        <v>7.14</v>
      </c>
      <c r="D35" s="100">
        <v>3.58</v>
      </c>
      <c r="E35" s="100">
        <v>5.53</v>
      </c>
      <c r="F35" s="100">
        <v>2.95</v>
      </c>
      <c r="G35" s="100">
        <v>19.46</v>
      </c>
      <c r="H35" s="100">
        <v>6.3</v>
      </c>
      <c r="I35" s="100">
        <v>3.77</v>
      </c>
      <c r="J35" s="100">
        <v>0.47</v>
      </c>
      <c r="K35" s="100">
        <v>258.56</v>
      </c>
      <c r="L35" s="100">
        <v>26.26</v>
      </c>
      <c r="M35" s="100">
        <v>86.97</v>
      </c>
      <c r="N35" s="100">
        <v>51.1</v>
      </c>
      <c r="O35" s="100">
        <v>0</v>
      </c>
      <c r="P35" s="100">
        <v>0.34</v>
      </c>
      <c r="Q35" s="100">
        <v>9.89</v>
      </c>
      <c r="R35" s="6"/>
      <c r="S35" s="6"/>
      <c r="T35" s="156"/>
      <c r="U35" s="6"/>
    </row>
    <row r="36" spans="1:21" customFormat="1">
      <c r="A36" s="163" t="s">
        <v>2571</v>
      </c>
      <c r="B36" s="100">
        <v>4.8899999999999997</v>
      </c>
      <c r="C36" s="100">
        <v>7.01</v>
      </c>
      <c r="D36" s="100">
        <v>3.32</v>
      </c>
      <c r="E36" s="100">
        <v>6.4</v>
      </c>
      <c r="F36" s="100">
        <v>3.53</v>
      </c>
      <c r="G36" s="100">
        <v>16.940000000000001</v>
      </c>
      <c r="H36" s="100">
        <v>5.76</v>
      </c>
      <c r="I36" s="100">
        <v>3.79</v>
      </c>
      <c r="J36" s="100">
        <v>0.81</v>
      </c>
      <c r="K36" s="100">
        <v>256.29000000000002</v>
      </c>
      <c r="L36" s="100">
        <v>26.35</v>
      </c>
      <c r="M36" s="100">
        <v>86.09</v>
      </c>
      <c r="N36" s="100">
        <v>64.2</v>
      </c>
      <c r="O36" s="100">
        <v>0</v>
      </c>
      <c r="P36" s="100">
        <v>0.33</v>
      </c>
      <c r="Q36" s="100">
        <v>9.9</v>
      </c>
      <c r="R36" s="6"/>
      <c r="S36" s="6"/>
      <c r="T36" s="156"/>
      <c r="U36" s="6"/>
    </row>
    <row r="37" spans="1:21" customFormat="1">
      <c r="A37" s="163" t="s">
        <v>2572</v>
      </c>
      <c r="B37" s="100">
        <v>4.8499999999999996</v>
      </c>
      <c r="C37" s="100">
        <v>6.97</v>
      </c>
      <c r="D37" s="100">
        <v>3.32</v>
      </c>
      <c r="E37" s="100">
        <v>6.41</v>
      </c>
      <c r="F37" s="100">
        <v>2.73</v>
      </c>
      <c r="G37" s="100">
        <v>16.940000000000001</v>
      </c>
      <c r="H37" s="100">
        <v>5.76</v>
      </c>
      <c r="I37" s="100">
        <v>3.81</v>
      </c>
      <c r="J37" s="100">
        <v>0.63</v>
      </c>
      <c r="K37" s="100">
        <v>249.61</v>
      </c>
      <c r="L37" s="100">
        <v>26.6</v>
      </c>
      <c r="M37" s="100">
        <v>85.25</v>
      </c>
      <c r="N37" s="100">
        <v>70.099999999999994</v>
      </c>
      <c r="O37" s="100">
        <v>0</v>
      </c>
      <c r="P37" s="100">
        <v>0.32</v>
      </c>
      <c r="Q37" s="100">
        <v>9.91</v>
      </c>
      <c r="R37" s="6"/>
      <c r="S37" s="6"/>
      <c r="T37" s="156"/>
      <c r="U37" s="6"/>
    </row>
    <row r="38" spans="1:21" customFormat="1">
      <c r="A38" s="163" t="s">
        <v>2573</v>
      </c>
      <c r="B38" s="100">
        <v>4.8099999999999996</v>
      </c>
      <c r="C38" s="100">
        <v>6.92</v>
      </c>
      <c r="D38" s="100">
        <v>3.28</v>
      </c>
      <c r="E38" s="100">
        <v>6.37</v>
      </c>
      <c r="F38" s="100">
        <v>2.68</v>
      </c>
      <c r="G38" s="100">
        <v>16.940000000000001</v>
      </c>
      <c r="H38" s="100">
        <v>5.76</v>
      </c>
      <c r="I38" s="100">
        <v>3.81</v>
      </c>
      <c r="J38" s="100">
        <v>0.57999999999999996</v>
      </c>
      <c r="K38" s="100">
        <v>254.73</v>
      </c>
      <c r="L38" s="100">
        <v>26.62</v>
      </c>
      <c r="M38" s="100">
        <v>85.03</v>
      </c>
      <c r="N38" s="100">
        <v>56.1</v>
      </c>
      <c r="O38" s="100">
        <v>0</v>
      </c>
      <c r="P38" s="100">
        <v>0.33</v>
      </c>
      <c r="Q38" s="100">
        <v>9.92</v>
      </c>
      <c r="R38" s="6"/>
      <c r="S38" s="6"/>
      <c r="T38" s="156"/>
      <c r="U38" s="6"/>
    </row>
    <row r="39" spans="1:21" customFormat="1">
      <c r="A39" s="163" t="s">
        <v>2574</v>
      </c>
      <c r="B39" s="100">
        <v>4.78</v>
      </c>
      <c r="C39" s="100">
        <v>6.92</v>
      </c>
      <c r="D39" s="100">
        <v>3.32</v>
      </c>
      <c r="E39" s="100">
        <v>6.38</v>
      </c>
      <c r="F39" s="100">
        <v>2.97</v>
      </c>
      <c r="G39" s="100">
        <v>15.52</v>
      </c>
      <c r="H39" s="100">
        <v>7.09</v>
      </c>
      <c r="I39" s="100">
        <v>3.76</v>
      </c>
      <c r="J39" s="100">
        <v>0.62</v>
      </c>
      <c r="K39" s="100">
        <v>259.66000000000003</v>
      </c>
      <c r="L39" s="100">
        <v>26.51</v>
      </c>
      <c r="M39" s="100">
        <v>85.43</v>
      </c>
      <c r="N39" s="100">
        <v>55.4</v>
      </c>
      <c r="O39" s="100">
        <v>0</v>
      </c>
      <c r="P39" s="100">
        <v>0.34</v>
      </c>
      <c r="Q39" s="100">
        <v>9.91</v>
      </c>
      <c r="R39" s="6"/>
      <c r="S39" s="6"/>
      <c r="T39" s="156"/>
      <c r="U39" s="6"/>
    </row>
    <row r="40" spans="1:21" customFormat="1">
      <c r="A40" s="163" t="s">
        <v>2575</v>
      </c>
      <c r="B40" s="100">
        <v>4.84</v>
      </c>
      <c r="C40" s="100">
        <v>6.9</v>
      </c>
      <c r="D40" s="100">
        <v>3.19</v>
      </c>
      <c r="E40" s="100">
        <v>6.58</v>
      </c>
      <c r="F40" s="100">
        <v>3.18</v>
      </c>
      <c r="G40" s="100">
        <v>14.43</v>
      </c>
      <c r="H40" s="100">
        <v>7.51</v>
      </c>
      <c r="I40" s="100">
        <v>3.78</v>
      </c>
      <c r="J40" s="100">
        <v>0.64</v>
      </c>
      <c r="K40" s="100">
        <v>259.66000000000003</v>
      </c>
      <c r="L40" s="100">
        <v>26.58</v>
      </c>
      <c r="M40" s="100">
        <v>85.37</v>
      </c>
      <c r="N40" s="100">
        <v>62.7</v>
      </c>
      <c r="O40" s="100">
        <v>0</v>
      </c>
      <c r="P40" s="100">
        <v>0.36</v>
      </c>
      <c r="Q40" s="100">
        <v>9.91</v>
      </c>
      <c r="R40" s="6"/>
      <c r="S40" s="6"/>
      <c r="T40" s="156"/>
      <c r="U40" s="6"/>
    </row>
    <row r="41" spans="1:21" customFormat="1">
      <c r="A41" s="163" t="s">
        <v>2576</v>
      </c>
      <c r="B41" s="100">
        <v>4.88</v>
      </c>
      <c r="C41" s="100">
        <v>6.98</v>
      </c>
      <c r="D41" s="100">
        <v>3.28</v>
      </c>
      <c r="E41" s="100">
        <v>6.41</v>
      </c>
      <c r="F41" s="100">
        <v>3.47</v>
      </c>
      <c r="G41" s="100">
        <v>14.43</v>
      </c>
      <c r="H41" s="100">
        <v>7.51</v>
      </c>
      <c r="I41" s="100">
        <v>4.05</v>
      </c>
      <c r="J41" s="100">
        <v>0.7</v>
      </c>
      <c r="K41" s="100">
        <v>255.58</v>
      </c>
      <c r="L41" s="100">
        <v>26.74</v>
      </c>
      <c r="M41" s="100">
        <v>84.93</v>
      </c>
      <c r="N41" s="100">
        <v>76.099999999999994</v>
      </c>
      <c r="O41" s="100">
        <v>0</v>
      </c>
      <c r="P41" s="100">
        <v>0.37</v>
      </c>
      <c r="Q41" s="100">
        <v>9.9</v>
      </c>
      <c r="R41" s="6"/>
      <c r="S41" s="6"/>
      <c r="T41" s="156"/>
      <c r="U41" s="6"/>
    </row>
    <row r="42" spans="1:21" customFormat="1">
      <c r="A42" s="163" t="s">
        <v>2577</v>
      </c>
      <c r="B42" s="100">
        <v>4.91</v>
      </c>
      <c r="C42" s="100">
        <v>7.03</v>
      </c>
      <c r="D42" s="100">
        <v>3.34</v>
      </c>
      <c r="E42" s="100">
        <v>6.48</v>
      </c>
      <c r="F42" s="100">
        <v>2.64</v>
      </c>
      <c r="G42" s="100">
        <v>14.43</v>
      </c>
      <c r="H42" s="100">
        <v>7.51</v>
      </c>
      <c r="I42" s="100">
        <v>4.63</v>
      </c>
      <c r="J42" s="100">
        <v>0.57999999999999996</v>
      </c>
      <c r="K42" s="100">
        <v>255.78</v>
      </c>
      <c r="L42" s="100">
        <v>27.1</v>
      </c>
      <c r="M42" s="100">
        <v>83.57</v>
      </c>
      <c r="N42" s="100">
        <v>116.8</v>
      </c>
      <c r="O42" s="100">
        <v>0</v>
      </c>
      <c r="P42" s="100">
        <v>0.38</v>
      </c>
      <c r="Q42" s="100">
        <v>9.91</v>
      </c>
      <c r="R42" s="6"/>
      <c r="S42" s="6"/>
      <c r="T42" s="156"/>
      <c r="U42" s="6"/>
    </row>
    <row r="43" spans="1:21" customFormat="1">
      <c r="A43" s="163" t="s">
        <v>2578</v>
      </c>
      <c r="B43" s="100">
        <v>4.93</v>
      </c>
      <c r="C43" s="100">
        <v>7.09</v>
      </c>
      <c r="D43" s="100">
        <v>3.42</v>
      </c>
      <c r="E43" s="100">
        <v>6.43</v>
      </c>
      <c r="F43" s="100">
        <v>2.98</v>
      </c>
      <c r="G43" s="100">
        <v>23.39</v>
      </c>
      <c r="H43" s="100">
        <v>9.2799999999999994</v>
      </c>
      <c r="I43" s="100">
        <v>5.26</v>
      </c>
      <c r="J43" s="100">
        <v>0.56999999999999995</v>
      </c>
      <c r="K43" s="100">
        <v>251.05</v>
      </c>
      <c r="L43" s="100">
        <v>27.47</v>
      </c>
      <c r="M43" s="100">
        <v>81.92</v>
      </c>
      <c r="N43" s="100">
        <v>152.19999999999999</v>
      </c>
      <c r="O43" s="100">
        <v>0</v>
      </c>
      <c r="P43" s="100">
        <v>0.4</v>
      </c>
      <c r="Q43" s="100">
        <v>9.92</v>
      </c>
      <c r="R43" s="6"/>
      <c r="S43" s="6"/>
      <c r="T43" s="156"/>
      <c r="U43" s="6"/>
    </row>
    <row r="44" spans="1:21" customFormat="1">
      <c r="A44" s="163" t="s">
        <v>2579</v>
      </c>
      <c r="B44" s="100">
        <v>5</v>
      </c>
      <c r="C44" s="100">
        <v>7.1</v>
      </c>
      <c r="D44" s="100">
        <v>3.33</v>
      </c>
      <c r="E44" s="100">
        <v>6.62</v>
      </c>
      <c r="F44" s="100">
        <v>3.33</v>
      </c>
      <c r="G44" s="100">
        <v>30.23</v>
      </c>
      <c r="H44" s="100">
        <v>9.85</v>
      </c>
      <c r="I44" s="100">
        <v>5.82</v>
      </c>
      <c r="J44" s="100">
        <v>0.56000000000000005</v>
      </c>
      <c r="K44" s="100">
        <v>257.06</v>
      </c>
      <c r="L44" s="100">
        <v>28.34</v>
      </c>
      <c r="M44" s="100">
        <v>78.84</v>
      </c>
      <c r="N44" s="100">
        <v>244.1</v>
      </c>
      <c r="O44" s="100">
        <v>0</v>
      </c>
      <c r="P44" s="100">
        <v>0.41</v>
      </c>
      <c r="Q44" s="100">
        <v>9.94</v>
      </c>
      <c r="R44" s="6"/>
      <c r="S44" s="6"/>
      <c r="T44" s="156"/>
      <c r="U44" s="6"/>
    </row>
    <row r="45" spans="1:21" customFormat="1">
      <c r="A45" s="163" t="s">
        <v>2580</v>
      </c>
      <c r="B45" s="100">
        <v>5.09</v>
      </c>
      <c r="C45" s="100">
        <v>7.13</v>
      </c>
      <c r="D45" s="100">
        <v>3.25</v>
      </c>
      <c r="E45" s="100">
        <v>6.62</v>
      </c>
      <c r="F45" s="100">
        <v>2.96</v>
      </c>
      <c r="G45" s="100">
        <v>30.23</v>
      </c>
      <c r="H45" s="100">
        <v>9.85</v>
      </c>
      <c r="I45" s="100">
        <v>6.32</v>
      </c>
      <c r="J45" s="100">
        <v>0.84</v>
      </c>
      <c r="K45" s="100">
        <v>264.08999999999997</v>
      </c>
      <c r="L45" s="100">
        <v>29.37</v>
      </c>
      <c r="M45" s="100">
        <v>74.75</v>
      </c>
      <c r="N45" s="100">
        <v>256.10000000000002</v>
      </c>
      <c r="O45" s="100">
        <v>0</v>
      </c>
      <c r="P45" s="100">
        <v>0.42</v>
      </c>
      <c r="Q45" s="100">
        <v>9.92</v>
      </c>
      <c r="R45" s="6"/>
      <c r="S45" s="6"/>
      <c r="T45" s="156"/>
      <c r="U45" s="6"/>
    </row>
    <row r="46" spans="1:21" customFormat="1">
      <c r="A46" s="163" t="s">
        <v>2581</v>
      </c>
      <c r="B46" s="100">
        <v>5.1100000000000003</v>
      </c>
      <c r="C46" s="100">
        <v>7.2</v>
      </c>
      <c r="D46" s="100">
        <v>3.34</v>
      </c>
      <c r="E46" s="100">
        <v>6.38</v>
      </c>
      <c r="F46" s="100">
        <v>2.44</v>
      </c>
      <c r="G46" s="100">
        <v>30.23</v>
      </c>
      <c r="H46" s="100">
        <v>9.85</v>
      </c>
      <c r="I46" s="100">
        <v>6.77</v>
      </c>
      <c r="J46" s="100">
        <v>0.69</v>
      </c>
      <c r="K46" s="100">
        <v>260.94</v>
      </c>
      <c r="L46" s="100">
        <v>29.19</v>
      </c>
      <c r="M46" s="100">
        <v>75.22</v>
      </c>
      <c r="N46" s="100">
        <v>214.8</v>
      </c>
      <c r="O46" s="100">
        <v>0</v>
      </c>
      <c r="P46" s="100">
        <v>0.43</v>
      </c>
      <c r="Q46" s="100">
        <v>9.91</v>
      </c>
      <c r="R46" s="6"/>
      <c r="S46" s="6"/>
      <c r="T46" s="156"/>
      <c r="U46" s="6"/>
    </row>
    <row r="47" spans="1:21" customFormat="1">
      <c r="A47" s="163" t="s">
        <v>2582</v>
      </c>
      <c r="B47" s="100">
        <v>5.0599999999999996</v>
      </c>
      <c r="C47" s="100">
        <v>7.19</v>
      </c>
      <c r="D47" s="100">
        <v>3.41</v>
      </c>
      <c r="E47" s="100">
        <v>6.4</v>
      </c>
      <c r="F47" s="100">
        <v>3.51</v>
      </c>
      <c r="G47" s="100">
        <v>33.64</v>
      </c>
      <c r="H47" s="100">
        <v>13.8</v>
      </c>
      <c r="I47" s="100">
        <v>7.03</v>
      </c>
      <c r="J47" s="100">
        <v>0.63</v>
      </c>
      <c r="K47" s="100">
        <v>260.45</v>
      </c>
      <c r="L47" s="100">
        <v>29.6</v>
      </c>
      <c r="M47" s="100">
        <v>73.819999999999993</v>
      </c>
      <c r="N47" s="100">
        <v>264.8</v>
      </c>
      <c r="O47" s="100">
        <v>0</v>
      </c>
      <c r="P47" s="100">
        <v>0.46</v>
      </c>
      <c r="Q47" s="100">
        <v>9.91</v>
      </c>
      <c r="R47" s="6"/>
      <c r="S47" s="6"/>
      <c r="T47" s="156"/>
      <c r="U47" s="6"/>
    </row>
    <row r="48" spans="1:21" customFormat="1">
      <c r="A48" s="163" t="s">
        <v>2583</v>
      </c>
      <c r="B48" s="100">
        <v>5.03</v>
      </c>
      <c r="C48" s="100">
        <v>7.27</v>
      </c>
      <c r="D48" s="100">
        <v>3.62</v>
      </c>
      <c r="E48" s="100">
        <v>6.49</v>
      </c>
      <c r="F48" s="100">
        <v>2.1</v>
      </c>
      <c r="G48" s="100">
        <v>36.25</v>
      </c>
      <c r="H48" s="100">
        <v>15.04</v>
      </c>
      <c r="I48" s="100">
        <v>7.39</v>
      </c>
      <c r="J48" s="100">
        <v>0.75</v>
      </c>
      <c r="K48" s="100">
        <v>271.64999999999998</v>
      </c>
      <c r="L48" s="100">
        <v>30.26</v>
      </c>
      <c r="M48" s="100">
        <v>71.09</v>
      </c>
      <c r="N48" s="100">
        <v>245.2</v>
      </c>
      <c r="O48" s="100">
        <v>0</v>
      </c>
      <c r="P48" s="100">
        <v>0.49</v>
      </c>
      <c r="Q48" s="100">
        <v>9.91</v>
      </c>
      <c r="R48" s="6"/>
      <c r="S48" s="6"/>
      <c r="T48" s="156"/>
      <c r="U48" s="6"/>
    </row>
    <row r="49" spans="1:21" customFormat="1">
      <c r="A49" s="163" t="s">
        <v>2584</v>
      </c>
      <c r="B49" s="100">
        <v>5.18</v>
      </c>
      <c r="C49" s="100">
        <v>7.41</v>
      </c>
      <c r="D49" s="100">
        <v>3.64</v>
      </c>
      <c r="E49" s="100">
        <v>4.6900000000000004</v>
      </c>
      <c r="F49" s="100">
        <v>2.12</v>
      </c>
      <c r="G49" s="100">
        <v>36.25</v>
      </c>
      <c r="H49" s="100">
        <v>15.04</v>
      </c>
      <c r="I49" s="100">
        <v>7.74</v>
      </c>
      <c r="J49" s="100">
        <v>0.65</v>
      </c>
      <c r="K49" s="100">
        <v>273.39</v>
      </c>
      <c r="L49" s="100">
        <v>29.59</v>
      </c>
      <c r="M49" s="100">
        <v>73.08</v>
      </c>
      <c r="N49" s="100">
        <v>181.8</v>
      </c>
      <c r="O49" s="100">
        <v>0</v>
      </c>
      <c r="P49" s="100">
        <v>0.55000000000000004</v>
      </c>
      <c r="Q49" s="100">
        <v>9.92</v>
      </c>
      <c r="R49" s="6"/>
      <c r="S49" s="6"/>
      <c r="T49" s="156"/>
      <c r="U49" s="6"/>
    </row>
    <row r="50" spans="1:21" customFormat="1">
      <c r="A50" s="163" t="s">
        <v>2585</v>
      </c>
      <c r="B50" s="100">
        <v>5.27</v>
      </c>
      <c r="C50" s="100">
        <v>7.33</v>
      </c>
      <c r="D50" s="100">
        <v>3.34</v>
      </c>
      <c r="E50" s="100">
        <v>5.19</v>
      </c>
      <c r="F50" s="100">
        <v>2.84</v>
      </c>
      <c r="G50" s="100">
        <v>36.25</v>
      </c>
      <c r="H50" s="100">
        <v>15.04</v>
      </c>
      <c r="I50" s="100">
        <v>8.1999999999999993</v>
      </c>
      <c r="J50" s="100">
        <v>0.78</v>
      </c>
      <c r="K50" s="100">
        <v>254.14</v>
      </c>
      <c r="L50" s="100">
        <v>29.63</v>
      </c>
      <c r="M50" s="100">
        <v>73.14</v>
      </c>
      <c r="N50" s="100">
        <v>203.1</v>
      </c>
      <c r="O50" s="100">
        <v>0</v>
      </c>
      <c r="P50" s="100">
        <v>0.55000000000000004</v>
      </c>
      <c r="Q50" s="100">
        <v>9.93</v>
      </c>
      <c r="R50" s="6"/>
      <c r="S50" s="6"/>
      <c r="T50" s="156"/>
      <c r="U50" s="6"/>
    </row>
    <row r="51" spans="1:21" customFormat="1">
      <c r="A51" s="163" t="s">
        <v>2586</v>
      </c>
      <c r="B51" s="100">
        <v>5.69</v>
      </c>
      <c r="C51" s="100">
        <v>7.91</v>
      </c>
      <c r="D51" s="100">
        <v>3.81</v>
      </c>
      <c r="E51" s="100">
        <v>4.87</v>
      </c>
      <c r="F51" s="100">
        <v>3.56</v>
      </c>
      <c r="G51" s="100">
        <v>39.31</v>
      </c>
      <c r="H51" s="100">
        <v>15.73</v>
      </c>
      <c r="I51" s="100">
        <v>8.6300000000000008</v>
      </c>
      <c r="J51" s="100">
        <v>0.96</v>
      </c>
      <c r="K51" s="100">
        <v>277.08999999999997</v>
      </c>
      <c r="L51" s="100">
        <v>29.81</v>
      </c>
      <c r="M51" s="100">
        <v>72.3</v>
      </c>
      <c r="N51" s="100">
        <v>259.10000000000002</v>
      </c>
      <c r="O51" s="100">
        <v>0</v>
      </c>
      <c r="P51" s="100">
        <v>0.57999999999999996</v>
      </c>
      <c r="Q51" s="100">
        <v>9.91</v>
      </c>
      <c r="R51" s="6"/>
      <c r="S51" s="6"/>
      <c r="T51" s="156"/>
      <c r="U51" s="6"/>
    </row>
    <row r="52" spans="1:21" customFormat="1">
      <c r="A52" s="163" t="s">
        <v>2587</v>
      </c>
      <c r="B52" s="100">
        <v>5.71</v>
      </c>
      <c r="C52" s="100">
        <v>8</v>
      </c>
      <c r="D52" s="100">
        <v>3.96</v>
      </c>
      <c r="E52" s="100">
        <v>5.09</v>
      </c>
      <c r="F52" s="100">
        <v>3.87</v>
      </c>
      <c r="G52" s="100">
        <v>41.64</v>
      </c>
      <c r="H52" s="100">
        <v>15.95</v>
      </c>
      <c r="I52" s="100">
        <v>8.9600000000000009</v>
      </c>
      <c r="J52" s="100">
        <v>0.68</v>
      </c>
      <c r="K52" s="100">
        <v>263.36</v>
      </c>
      <c r="L52" s="100">
        <v>30.07</v>
      </c>
      <c r="M52" s="100">
        <v>71.33</v>
      </c>
      <c r="N52" s="100">
        <v>227.9</v>
      </c>
      <c r="O52" s="100">
        <v>0</v>
      </c>
      <c r="P52" s="100">
        <v>0.57999999999999996</v>
      </c>
      <c r="Q52" s="100">
        <v>9.92</v>
      </c>
      <c r="R52" s="6"/>
      <c r="S52" s="6"/>
      <c r="T52" s="156"/>
      <c r="U52" s="6"/>
    </row>
    <row r="53" spans="1:21" customFormat="1">
      <c r="A53" s="163" t="s">
        <v>2588</v>
      </c>
      <c r="B53" s="100">
        <v>5.63</v>
      </c>
      <c r="C53" s="100">
        <v>7.62</v>
      </c>
      <c r="D53" s="100">
        <v>3.35</v>
      </c>
      <c r="E53" s="100">
        <v>4.93</v>
      </c>
      <c r="F53" s="100">
        <v>3.94</v>
      </c>
      <c r="G53" s="100">
        <v>41.64</v>
      </c>
      <c r="H53" s="100">
        <v>15.95</v>
      </c>
      <c r="I53" s="100">
        <v>9.6</v>
      </c>
      <c r="J53" s="100">
        <v>0.64</v>
      </c>
      <c r="K53" s="100">
        <v>264.22000000000003</v>
      </c>
      <c r="L53" s="100">
        <v>30.3</v>
      </c>
      <c r="M53" s="100">
        <v>70.599999999999994</v>
      </c>
      <c r="N53" s="100">
        <v>205.6</v>
      </c>
      <c r="O53" s="100">
        <v>0</v>
      </c>
      <c r="P53" s="100">
        <v>0.56999999999999995</v>
      </c>
      <c r="Q53" s="100">
        <v>9.9499999999999993</v>
      </c>
      <c r="R53" s="6"/>
      <c r="S53" s="6"/>
      <c r="T53" s="156"/>
      <c r="U53" s="6"/>
    </row>
    <row r="54" spans="1:21" customFormat="1">
      <c r="A54" s="163" t="s">
        <v>2589</v>
      </c>
      <c r="B54" s="100">
        <v>5.69</v>
      </c>
      <c r="C54" s="100">
        <v>7.7</v>
      </c>
      <c r="D54" s="100">
        <v>3.41</v>
      </c>
      <c r="E54" s="100">
        <v>4.43</v>
      </c>
      <c r="F54" s="100">
        <v>5.55</v>
      </c>
      <c r="G54" s="100">
        <v>41.64</v>
      </c>
      <c r="H54" s="100">
        <v>15.95</v>
      </c>
      <c r="I54" s="100">
        <v>9.5</v>
      </c>
      <c r="J54" s="100">
        <v>0.77</v>
      </c>
      <c r="K54" s="100">
        <v>287.95</v>
      </c>
      <c r="L54" s="100">
        <v>30.4</v>
      </c>
      <c r="M54" s="100">
        <v>70.05</v>
      </c>
      <c r="N54" s="100">
        <v>208.4</v>
      </c>
      <c r="O54" s="100">
        <v>0</v>
      </c>
      <c r="P54" s="100">
        <v>0.56999999999999995</v>
      </c>
      <c r="Q54" s="100">
        <v>9.94</v>
      </c>
      <c r="R54" s="6"/>
      <c r="S54" s="6"/>
      <c r="T54" s="156"/>
      <c r="U54" s="6"/>
    </row>
    <row r="55" spans="1:21" customFormat="1">
      <c r="A55" s="163" t="s">
        <v>2590</v>
      </c>
      <c r="B55" s="100">
        <v>5.52</v>
      </c>
      <c r="C55" s="100">
        <v>7.59</v>
      </c>
      <c r="D55" s="100">
        <v>3.46</v>
      </c>
      <c r="E55" s="100">
        <v>4.32</v>
      </c>
      <c r="F55" s="100">
        <v>6.03</v>
      </c>
      <c r="G55" s="100">
        <v>44.91</v>
      </c>
      <c r="H55" s="100">
        <v>13.91</v>
      </c>
      <c r="I55" s="100">
        <v>9.74</v>
      </c>
      <c r="J55" s="100">
        <v>0.49</v>
      </c>
      <c r="K55" s="100">
        <v>257.52999999999997</v>
      </c>
      <c r="L55" s="100">
        <v>30.37</v>
      </c>
      <c r="M55" s="100">
        <v>70.45</v>
      </c>
      <c r="N55" s="100">
        <v>172.9</v>
      </c>
      <c r="O55" s="100">
        <v>0</v>
      </c>
      <c r="P55" s="100">
        <v>0.56000000000000005</v>
      </c>
      <c r="Q55" s="100">
        <v>9.91</v>
      </c>
      <c r="R55" s="6"/>
      <c r="S55" s="6"/>
      <c r="T55" s="156"/>
      <c r="U55" s="6"/>
    </row>
    <row r="56" spans="1:21" customFormat="1">
      <c r="A56" s="163" t="s">
        <v>2591</v>
      </c>
      <c r="B56" s="100">
        <v>5.17</v>
      </c>
      <c r="C56" s="100">
        <v>7.31</v>
      </c>
      <c r="D56" s="100">
        <v>3.46</v>
      </c>
      <c r="E56" s="100">
        <v>4.55</v>
      </c>
      <c r="F56" s="100">
        <v>3.18</v>
      </c>
      <c r="G56" s="100">
        <v>47.41</v>
      </c>
      <c r="H56" s="100">
        <v>12.74</v>
      </c>
      <c r="I56" s="100">
        <v>9.59</v>
      </c>
      <c r="J56" s="100">
        <v>0.71</v>
      </c>
      <c r="K56" s="100">
        <v>261.01</v>
      </c>
      <c r="L56" s="100">
        <v>30.2</v>
      </c>
      <c r="M56" s="100">
        <v>71.45</v>
      </c>
      <c r="N56" s="100">
        <v>189.3</v>
      </c>
      <c r="O56" s="100">
        <v>0</v>
      </c>
      <c r="P56" s="100">
        <v>0.6</v>
      </c>
      <c r="Q56" s="100">
        <v>9.92</v>
      </c>
      <c r="R56" s="6"/>
      <c r="S56" s="6"/>
      <c r="T56" s="156"/>
      <c r="U56" s="6"/>
    </row>
    <row r="57" spans="1:21" customFormat="1">
      <c r="A57" s="163" t="s">
        <v>2592</v>
      </c>
      <c r="B57" s="100">
        <v>5.19</v>
      </c>
      <c r="C57" s="100">
        <v>7.46</v>
      </c>
      <c r="D57" s="100">
        <v>3.72</v>
      </c>
      <c r="E57" s="100">
        <v>5.15</v>
      </c>
      <c r="F57" s="100">
        <v>4.1500000000000004</v>
      </c>
      <c r="G57" s="100">
        <v>47.41</v>
      </c>
      <c r="H57" s="100">
        <v>12.74</v>
      </c>
      <c r="I57" s="100">
        <v>9.2899999999999991</v>
      </c>
      <c r="J57" s="100">
        <v>0.65</v>
      </c>
      <c r="K57" s="100">
        <v>269.39</v>
      </c>
      <c r="L57" s="100">
        <v>30.57</v>
      </c>
      <c r="M57" s="100">
        <v>70.66</v>
      </c>
      <c r="N57" s="100">
        <v>257.10000000000002</v>
      </c>
      <c r="O57" s="100">
        <v>0</v>
      </c>
      <c r="P57" s="100">
        <v>0.61</v>
      </c>
      <c r="Q57" s="100">
        <v>9.92</v>
      </c>
      <c r="R57" s="6"/>
      <c r="S57" s="6"/>
      <c r="T57" s="156"/>
      <c r="U57" s="6"/>
    </row>
    <row r="58" spans="1:21" customFormat="1">
      <c r="A58" s="163" t="s">
        <v>2593</v>
      </c>
      <c r="B58" s="100">
        <v>5.21</v>
      </c>
      <c r="C58" s="100">
        <v>7.38</v>
      </c>
      <c r="D58" s="100">
        <v>3.54</v>
      </c>
      <c r="E58" s="100">
        <v>5.13</v>
      </c>
      <c r="F58" s="100">
        <v>4.51</v>
      </c>
      <c r="G58" s="100">
        <v>47.41</v>
      </c>
      <c r="H58" s="100">
        <v>12.74</v>
      </c>
      <c r="I58" s="100">
        <v>9.89</v>
      </c>
      <c r="J58" s="100">
        <v>0.75</v>
      </c>
      <c r="K58" s="100">
        <v>261.7</v>
      </c>
      <c r="L58" s="100">
        <v>30.93</v>
      </c>
      <c r="M58" s="100">
        <v>69.23</v>
      </c>
      <c r="N58" s="100">
        <v>303.89999999999998</v>
      </c>
      <c r="O58" s="100">
        <v>0</v>
      </c>
      <c r="P58" s="100">
        <v>0.61</v>
      </c>
      <c r="Q58" s="100">
        <v>9.94</v>
      </c>
      <c r="R58" s="6"/>
      <c r="S58" s="6"/>
      <c r="T58" s="156"/>
      <c r="U58" s="6"/>
    </row>
    <row r="59" spans="1:21" customFormat="1">
      <c r="A59" s="163" t="s">
        <v>2594</v>
      </c>
      <c r="B59" s="100">
        <v>5</v>
      </c>
      <c r="C59" s="100">
        <v>7.25</v>
      </c>
      <c r="D59" s="100">
        <v>3.63</v>
      </c>
      <c r="E59" s="100">
        <v>5.08</v>
      </c>
      <c r="F59" s="100">
        <v>5.43</v>
      </c>
      <c r="G59" s="100">
        <v>45.4</v>
      </c>
      <c r="H59" s="100">
        <v>13.87</v>
      </c>
      <c r="I59" s="100">
        <v>9.94</v>
      </c>
      <c r="J59" s="100">
        <v>0.85</v>
      </c>
      <c r="K59" s="100">
        <v>266.42</v>
      </c>
      <c r="L59" s="100">
        <v>31.03</v>
      </c>
      <c r="M59" s="100">
        <v>68.94</v>
      </c>
      <c r="N59" s="100">
        <v>362.7</v>
      </c>
      <c r="O59" s="100">
        <v>0</v>
      </c>
      <c r="P59" s="100">
        <v>0.62</v>
      </c>
      <c r="Q59" s="100">
        <v>9.93</v>
      </c>
      <c r="R59" s="6"/>
      <c r="S59" s="6"/>
      <c r="T59" s="156"/>
      <c r="U59" s="6"/>
    </row>
    <row r="60" spans="1:21" customFormat="1">
      <c r="A60" s="163" t="s">
        <v>2595</v>
      </c>
      <c r="B60" s="100">
        <v>4.95</v>
      </c>
      <c r="C60" s="100">
        <v>7.15</v>
      </c>
      <c r="D60" s="100">
        <v>3.5</v>
      </c>
      <c r="E60" s="100">
        <v>5.15</v>
      </c>
      <c r="F60" s="100">
        <v>4.91</v>
      </c>
      <c r="G60" s="100">
        <v>43.87</v>
      </c>
      <c r="H60" s="100">
        <v>14.23</v>
      </c>
      <c r="I60" s="100">
        <v>10.210000000000001</v>
      </c>
      <c r="J60" s="100">
        <v>1.01</v>
      </c>
      <c r="K60" s="100">
        <v>277.76</v>
      </c>
      <c r="L60" s="100">
        <v>31.47</v>
      </c>
      <c r="M60" s="100">
        <v>67.03</v>
      </c>
      <c r="N60" s="100">
        <v>357.8</v>
      </c>
      <c r="O60" s="100">
        <v>0</v>
      </c>
      <c r="P60" s="100">
        <v>0.61</v>
      </c>
      <c r="Q60" s="100">
        <v>9.92</v>
      </c>
      <c r="R60" s="6"/>
      <c r="S60" s="6"/>
      <c r="T60" s="156"/>
      <c r="U60" s="6"/>
    </row>
    <row r="61" spans="1:21" customFormat="1">
      <c r="A61" s="163" t="s">
        <v>2596</v>
      </c>
      <c r="B61" s="100">
        <v>4.95</v>
      </c>
      <c r="C61" s="100">
        <v>7.24</v>
      </c>
      <c r="D61" s="100">
        <v>3.68</v>
      </c>
      <c r="E61" s="100">
        <v>4.62</v>
      </c>
      <c r="F61" s="100">
        <v>4.0999999999999996</v>
      </c>
      <c r="G61" s="100">
        <v>43.87</v>
      </c>
      <c r="H61" s="100">
        <v>14.23</v>
      </c>
      <c r="I61" s="100">
        <v>10.210000000000001</v>
      </c>
      <c r="J61" s="100">
        <v>1.01</v>
      </c>
      <c r="K61" s="100">
        <v>280.14</v>
      </c>
      <c r="L61" s="100">
        <v>31.32</v>
      </c>
      <c r="M61" s="100">
        <v>67.239999999999995</v>
      </c>
      <c r="N61" s="100">
        <v>393.5</v>
      </c>
      <c r="O61" s="100">
        <v>0</v>
      </c>
      <c r="P61" s="100">
        <v>0.64</v>
      </c>
      <c r="Q61" s="100">
        <v>9.92</v>
      </c>
      <c r="R61" s="6"/>
      <c r="S61" s="6"/>
      <c r="T61" s="156"/>
      <c r="U61" s="6"/>
    </row>
    <row r="62" spans="1:21" customFormat="1">
      <c r="A62" s="163" t="s">
        <v>2597</v>
      </c>
      <c r="B62" s="100">
        <v>4.93</v>
      </c>
      <c r="C62" s="100">
        <v>7.18</v>
      </c>
      <c r="D62" s="100">
        <v>3.58</v>
      </c>
      <c r="E62" s="100">
        <v>4.55</v>
      </c>
      <c r="F62" s="100">
        <v>4.76</v>
      </c>
      <c r="G62" s="100">
        <v>43.87</v>
      </c>
      <c r="H62" s="100">
        <v>14.23</v>
      </c>
      <c r="I62" s="100">
        <v>10.16</v>
      </c>
      <c r="J62" s="100">
        <v>0.86</v>
      </c>
      <c r="K62" s="100">
        <v>254.1</v>
      </c>
      <c r="L62" s="100">
        <v>31.33</v>
      </c>
      <c r="M62" s="100">
        <v>67.739999999999995</v>
      </c>
      <c r="N62" s="100">
        <v>337.8</v>
      </c>
      <c r="O62" s="100">
        <v>0</v>
      </c>
      <c r="P62" s="100">
        <v>0.63</v>
      </c>
      <c r="Q62" s="100">
        <v>9.92</v>
      </c>
      <c r="R62" s="6"/>
      <c r="S62" s="6"/>
      <c r="T62" s="156"/>
      <c r="U62" s="6"/>
    </row>
    <row r="63" spans="1:21" customFormat="1">
      <c r="A63" s="163" t="s">
        <v>2598</v>
      </c>
      <c r="B63" s="100">
        <v>4.9800000000000004</v>
      </c>
      <c r="C63" s="100">
        <v>7.26</v>
      </c>
      <c r="D63" s="100">
        <v>3.66</v>
      </c>
      <c r="E63" s="100">
        <v>4.3899999999999997</v>
      </c>
      <c r="F63" s="100">
        <v>6.25</v>
      </c>
      <c r="G63" s="100">
        <v>50.5</v>
      </c>
      <c r="H63" s="100">
        <v>13.46</v>
      </c>
      <c r="I63" s="100">
        <v>10.31</v>
      </c>
      <c r="J63" s="100">
        <v>0.95</v>
      </c>
      <c r="K63" s="100">
        <v>284.75</v>
      </c>
      <c r="L63" s="100">
        <v>31.67</v>
      </c>
      <c r="M63" s="100">
        <v>66.2</v>
      </c>
      <c r="N63" s="100">
        <v>274.89999999999998</v>
      </c>
      <c r="O63" s="100">
        <v>0</v>
      </c>
      <c r="P63" s="100">
        <v>0.65</v>
      </c>
      <c r="Q63" s="100">
        <v>9.92</v>
      </c>
      <c r="R63" s="6"/>
      <c r="S63" s="6"/>
      <c r="T63" s="156"/>
      <c r="U63" s="6"/>
    </row>
    <row r="64" spans="1:21" customFormat="1">
      <c r="A64" s="163" t="s">
        <v>2599</v>
      </c>
      <c r="B64" s="100">
        <v>4.78</v>
      </c>
      <c r="C64" s="100">
        <v>7.19</v>
      </c>
      <c r="D64" s="100">
        <v>3.84</v>
      </c>
      <c r="E64" s="100">
        <v>4.49</v>
      </c>
      <c r="F64" s="100">
        <v>6.5</v>
      </c>
      <c r="G64" s="100">
        <v>55.57</v>
      </c>
      <c r="H64" s="100">
        <v>13.21</v>
      </c>
      <c r="I64" s="100">
        <v>10.44</v>
      </c>
      <c r="J64" s="100">
        <v>0.62</v>
      </c>
      <c r="K64" s="100">
        <v>267.79000000000002</v>
      </c>
      <c r="L64" s="100">
        <v>31.49</v>
      </c>
      <c r="M64" s="100">
        <v>66.94</v>
      </c>
      <c r="N64" s="100">
        <v>269.5</v>
      </c>
      <c r="O64" s="100">
        <v>0</v>
      </c>
      <c r="P64" s="100">
        <v>0.64</v>
      </c>
      <c r="Q64" s="100">
        <v>9.91</v>
      </c>
      <c r="R64" s="6"/>
      <c r="S64" s="6"/>
      <c r="T64" s="156"/>
      <c r="U64" s="6"/>
    </row>
    <row r="65" spans="1:21" customFormat="1">
      <c r="A65" s="163" t="s">
        <v>2600</v>
      </c>
      <c r="B65" s="100">
        <v>4.4400000000000004</v>
      </c>
      <c r="C65" s="100">
        <v>6.82</v>
      </c>
      <c r="D65" s="100">
        <v>3.64</v>
      </c>
      <c r="E65" s="100">
        <v>4.1399999999999997</v>
      </c>
      <c r="F65" s="100">
        <v>4.53</v>
      </c>
      <c r="G65" s="100">
        <v>55.57</v>
      </c>
      <c r="H65" s="100">
        <v>13.21</v>
      </c>
      <c r="I65" s="100">
        <v>10.210000000000001</v>
      </c>
      <c r="J65" s="100">
        <v>0.9</v>
      </c>
      <c r="K65" s="100">
        <v>246</v>
      </c>
      <c r="L65" s="100">
        <v>31.52</v>
      </c>
      <c r="M65" s="100">
        <v>66.150000000000006</v>
      </c>
      <c r="N65" s="100">
        <v>266</v>
      </c>
      <c r="O65" s="100">
        <v>0</v>
      </c>
      <c r="P65" s="100">
        <v>0.46</v>
      </c>
      <c r="Q65" s="100">
        <v>9.9</v>
      </c>
      <c r="R65" s="6"/>
      <c r="S65" s="6"/>
      <c r="T65" s="156"/>
      <c r="U65" s="6"/>
    </row>
    <row r="66" spans="1:21" customFormat="1">
      <c r="A66" s="163" t="s">
        <v>2601</v>
      </c>
      <c r="B66" s="100">
        <v>4.43</v>
      </c>
      <c r="C66" s="100">
        <v>6.72</v>
      </c>
      <c r="D66" s="100">
        <v>3.48</v>
      </c>
      <c r="E66" s="100">
        <v>4.3</v>
      </c>
      <c r="F66" s="100">
        <v>7.26</v>
      </c>
      <c r="G66" s="100">
        <v>55.57</v>
      </c>
      <c r="H66" s="100">
        <v>13.21</v>
      </c>
      <c r="I66" s="100">
        <v>10.050000000000001</v>
      </c>
      <c r="J66" s="100">
        <v>0.77</v>
      </c>
      <c r="K66" s="100">
        <v>259.64999999999998</v>
      </c>
      <c r="L66" s="100">
        <v>31.79</v>
      </c>
      <c r="M66" s="100">
        <v>65.569999999999993</v>
      </c>
      <c r="N66" s="100">
        <v>252.3</v>
      </c>
      <c r="O66" s="100">
        <v>0</v>
      </c>
      <c r="P66" s="100">
        <v>0.49</v>
      </c>
      <c r="Q66" s="100">
        <v>9.91</v>
      </c>
      <c r="R66" s="6"/>
      <c r="S66" s="6"/>
      <c r="T66" s="156"/>
      <c r="U66" s="6"/>
    </row>
    <row r="67" spans="1:21" customFormat="1">
      <c r="A67" s="163" t="s">
        <v>2602</v>
      </c>
      <c r="B67" s="100">
        <v>4.28</v>
      </c>
      <c r="C67" s="100">
        <v>6.83</v>
      </c>
      <c r="D67" s="100">
        <v>3.93</v>
      </c>
      <c r="E67" s="100">
        <v>4.25</v>
      </c>
      <c r="F67" s="100">
        <v>4.76</v>
      </c>
      <c r="G67" s="100">
        <v>53.33</v>
      </c>
      <c r="H67" s="100">
        <v>15.65</v>
      </c>
      <c r="I67" s="100">
        <v>9.9600000000000009</v>
      </c>
      <c r="J67" s="100">
        <v>0.99</v>
      </c>
      <c r="K67" s="100">
        <v>280.95999999999998</v>
      </c>
      <c r="L67" s="100">
        <v>31.84</v>
      </c>
      <c r="M67" s="100">
        <v>65.3</v>
      </c>
      <c r="N67" s="100">
        <v>305.8</v>
      </c>
      <c r="O67" s="100">
        <v>0</v>
      </c>
      <c r="P67" s="100">
        <v>0.48</v>
      </c>
      <c r="Q67" s="100">
        <v>9.91</v>
      </c>
      <c r="R67" s="6"/>
      <c r="S67" s="6"/>
      <c r="T67" s="156"/>
      <c r="U67" s="6"/>
    </row>
    <row r="68" spans="1:21" customFormat="1">
      <c r="A68" s="163" t="s">
        <v>2603</v>
      </c>
      <c r="B68" s="100">
        <v>4.21</v>
      </c>
      <c r="C68" s="100">
        <v>7.14</v>
      </c>
      <c r="D68" s="100">
        <v>4.62</v>
      </c>
      <c r="E68" s="100">
        <v>4.09</v>
      </c>
      <c r="F68" s="100">
        <v>3.01</v>
      </c>
      <c r="G68" s="100">
        <v>51.61</v>
      </c>
      <c r="H68" s="100">
        <v>16.41</v>
      </c>
      <c r="I68" s="100">
        <v>9.94</v>
      </c>
      <c r="J68" s="100">
        <v>1.08</v>
      </c>
      <c r="K68" s="100">
        <v>279.77999999999997</v>
      </c>
      <c r="L68" s="100">
        <v>32.03</v>
      </c>
      <c r="M68" s="100">
        <v>64.319999999999993</v>
      </c>
      <c r="N68" s="100">
        <v>295.89999999999998</v>
      </c>
      <c r="O68" s="100">
        <v>0</v>
      </c>
      <c r="P68" s="100">
        <v>0.46</v>
      </c>
      <c r="Q68" s="100">
        <v>9.91</v>
      </c>
      <c r="R68" s="6"/>
      <c r="S68" s="6"/>
      <c r="T68" s="156"/>
      <c r="U68" s="6"/>
    </row>
    <row r="69" spans="1:21" customFormat="1">
      <c r="A69" s="163" t="s">
        <v>2604</v>
      </c>
      <c r="B69" s="100">
        <v>4.09</v>
      </c>
      <c r="C69" s="100">
        <v>7.2</v>
      </c>
      <c r="D69" s="100">
        <v>4.93</v>
      </c>
      <c r="E69" s="100">
        <v>4.43</v>
      </c>
      <c r="F69" s="100">
        <v>3.19</v>
      </c>
      <c r="G69" s="100">
        <v>51.61</v>
      </c>
      <c r="H69" s="100">
        <v>16.41</v>
      </c>
      <c r="I69" s="100">
        <v>10.07</v>
      </c>
      <c r="J69" s="100">
        <v>0.87</v>
      </c>
      <c r="K69" s="100">
        <v>274.77</v>
      </c>
      <c r="L69" s="100">
        <v>32.07</v>
      </c>
      <c r="M69" s="100">
        <v>63.98</v>
      </c>
      <c r="N69" s="100">
        <v>246.2</v>
      </c>
      <c r="O69" s="100">
        <v>0</v>
      </c>
      <c r="P69" s="100">
        <v>0.45</v>
      </c>
      <c r="Q69" s="100">
        <v>9.91</v>
      </c>
      <c r="R69" s="6"/>
      <c r="S69" s="6"/>
      <c r="T69" s="156"/>
      <c r="U69" s="6"/>
    </row>
    <row r="70" spans="1:21" customFormat="1">
      <c r="A70" s="163" t="s">
        <v>2605</v>
      </c>
      <c r="B70" s="100">
        <v>4.08</v>
      </c>
      <c r="C70" s="100">
        <v>7.28</v>
      </c>
      <c r="D70" s="100">
        <v>5.09</v>
      </c>
      <c r="E70" s="100">
        <v>4.43</v>
      </c>
      <c r="F70" s="100">
        <v>2.6</v>
      </c>
      <c r="G70" s="100">
        <v>51.61</v>
      </c>
      <c r="H70" s="100">
        <v>16.41</v>
      </c>
      <c r="I70" s="100">
        <v>10.15</v>
      </c>
      <c r="J70" s="100">
        <v>0.75</v>
      </c>
      <c r="K70" s="100">
        <v>262.79000000000002</v>
      </c>
      <c r="L70" s="100">
        <v>31.57</v>
      </c>
      <c r="M70" s="100">
        <v>65.069999999999993</v>
      </c>
      <c r="N70" s="100">
        <v>146.1</v>
      </c>
      <c r="O70" s="100">
        <v>0</v>
      </c>
      <c r="P70" s="100">
        <v>0.46</v>
      </c>
      <c r="Q70" s="100">
        <v>9.89</v>
      </c>
      <c r="R70" s="6"/>
      <c r="S70" s="6"/>
      <c r="T70" s="156"/>
      <c r="U70" s="6"/>
    </row>
    <row r="71" spans="1:21" customFormat="1">
      <c r="A71" s="163" t="s">
        <v>2606</v>
      </c>
      <c r="B71" s="100">
        <v>4.07</v>
      </c>
      <c r="C71" s="100">
        <v>7.26</v>
      </c>
      <c r="D71" s="100">
        <v>5.05</v>
      </c>
      <c r="E71" s="100">
        <v>4.03</v>
      </c>
      <c r="F71" s="100">
        <v>3.4</v>
      </c>
      <c r="G71" s="100">
        <v>50.84</v>
      </c>
      <c r="H71" s="100">
        <v>13.23</v>
      </c>
      <c r="I71" s="100">
        <v>10.38</v>
      </c>
      <c r="J71" s="100">
        <v>0.74</v>
      </c>
      <c r="K71" s="100">
        <v>258.64999999999998</v>
      </c>
      <c r="L71" s="100">
        <v>31.18</v>
      </c>
      <c r="M71" s="100">
        <v>66.459999999999994</v>
      </c>
      <c r="N71" s="100">
        <v>84.8</v>
      </c>
      <c r="O71" s="100">
        <v>0</v>
      </c>
      <c r="P71" s="100">
        <v>0.47</v>
      </c>
      <c r="Q71" s="100">
        <v>9.89</v>
      </c>
      <c r="R71" s="6"/>
      <c r="S71" s="6"/>
      <c r="T71" s="156"/>
      <c r="U71" s="6"/>
    </row>
    <row r="72" spans="1:21" customFormat="1">
      <c r="A72" s="163" t="s">
        <v>2607</v>
      </c>
      <c r="B72" s="100">
        <v>4.07</v>
      </c>
      <c r="C72" s="100">
        <v>7.14</v>
      </c>
      <c r="D72" s="100">
        <v>4.84</v>
      </c>
      <c r="E72" s="100">
        <v>4.54</v>
      </c>
      <c r="F72" s="100">
        <v>3.26</v>
      </c>
      <c r="G72" s="100">
        <v>50.26</v>
      </c>
      <c r="H72" s="100">
        <v>12.23</v>
      </c>
      <c r="I72" s="100">
        <v>10.3</v>
      </c>
      <c r="J72" s="100">
        <v>0.42</v>
      </c>
      <c r="K72" s="100">
        <v>255.11</v>
      </c>
      <c r="L72" s="100">
        <v>31.02</v>
      </c>
      <c r="M72" s="100">
        <v>67.400000000000006</v>
      </c>
      <c r="N72" s="100">
        <v>31.1</v>
      </c>
      <c r="O72" s="100">
        <v>0</v>
      </c>
      <c r="P72" s="100">
        <v>0.48</v>
      </c>
      <c r="Q72" s="100">
        <v>9.89</v>
      </c>
      <c r="R72" s="6"/>
      <c r="S72" s="6"/>
      <c r="T72" s="156"/>
      <c r="U72" s="6"/>
    </row>
    <row r="73" spans="1:21" customFormat="1">
      <c r="A73" s="163" t="s">
        <v>2608</v>
      </c>
      <c r="B73" s="100">
        <v>4.04</v>
      </c>
      <c r="C73" s="100">
        <v>7.14</v>
      </c>
      <c r="D73" s="100">
        <v>4.88</v>
      </c>
      <c r="E73" s="100">
        <v>4.45</v>
      </c>
      <c r="F73" s="100">
        <v>2.9</v>
      </c>
      <c r="G73" s="100">
        <v>50.26</v>
      </c>
      <c r="H73" s="100">
        <v>12.23</v>
      </c>
      <c r="I73" s="100">
        <v>10.17</v>
      </c>
      <c r="J73" s="100">
        <v>1.17</v>
      </c>
      <c r="K73" s="100">
        <v>256.49</v>
      </c>
      <c r="L73" s="100">
        <v>29.99</v>
      </c>
      <c r="M73" s="100">
        <v>71.25</v>
      </c>
      <c r="N73" s="100">
        <v>20.100000000000001</v>
      </c>
      <c r="O73" s="100">
        <v>0</v>
      </c>
      <c r="P73" s="100">
        <v>0.48</v>
      </c>
      <c r="Q73" s="100">
        <v>9.89</v>
      </c>
      <c r="R73" s="6"/>
      <c r="S73" s="6"/>
      <c r="T73" s="156"/>
      <c r="U73" s="6"/>
    </row>
    <row r="74" spans="1:21" customFormat="1">
      <c r="A74" s="163" t="s">
        <v>2609</v>
      </c>
      <c r="B74" s="100">
        <v>3.97</v>
      </c>
      <c r="C74" s="100">
        <v>6.96</v>
      </c>
      <c r="D74" s="100">
        <v>4.6500000000000004</v>
      </c>
      <c r="E74" s="100">
        <v>4.71</v>
      </c>
      <c r="F74" s="100">
        <v>2.69</v>
      </c>
      <c r="G74" s="100">
        <v>50.26</v>
      </c>
      <c r="H74" s="100">
        <v>12.23</v>
      </c>
      <c r="I74" s="100">
        <v>10.1</v>
      </c>
      <c r="J74" s="100">
        <v>0.82</v>
      </c>
      <c r="K74" s="100">
        <v>252.04</v>
      </c>
      <c r="L74" s="100">
        <v>28.96</v>
      </c>
      <c r="M74" s="100">
        <v>76.86</v>
      </c>
      <c r="N74" s="100">
        <v>31.4</v>
      </c>
      <c r="O74" s="100">
        <v>0</v>
      </c>
      <c r="P74" s="100">
        <v>0.46</v>
      </c>
      <c r="Q74" s="100">
        <v>9.91</v>
      </c>
      <c r="R74" s="6"/>
      <c r="S74" s="6"/>
      <c r="T74" s="156"/>
      <c r="U74" s="6"/>
    </row>
    <row r="75" spans="1:21" customFormat="1">
      <c r="A75" s="163" t="s">
        <v>2610</v>
      </c>
      <c r="B75" s="100">
        <v>3.96</v>
      </c>
      <c r="C75" s="100">
        <v>6.74</v>
      </c>
      <c r="D75" s="100">
        <v>4.2300000000000004</v>
      </c>
      <c r="E75" s="100">
        <v>4.46</v>
      </c>
      <c r="F75" s="100">
        <v>3.61</v>
      </c>
      <c r="G75" s="100">
        <v>46.64</v>
      </c>
      <c r="H75" s="100">
        <v>15.68</v>
      </c>
      <c r="I75" s="100">
        <v>10</v>
      </c>
      <c r="J75" s="100">
        <v>0.77</v>
      </c>
      <c r="K75" s="100">
        <v>254.71</v>
      </c>
      <c r="L75" s="100">
        <v>28.32</v>
      </c>
      <c r="M75" s="100">
        <v>81.819999999999993</v>
      </c>
      <c r="N75" s="100">
        <v>28.8</v>
      </c>
      <c r="O75" s="100">
        <v>0</v>
      </c>
      <c r="P75" s="100">
        <v>0.43</v>
      </c>
      <c r="Q75" s="100">
        <v>9.91</v>
      </c>
      <c r="R75" s="6"/>
      <c r="S75" s="6"/>
      <c r="T75" s="156"/>
      <c r="U75" s="6"/>
    </row>
    <row r="76" spans="1:21" customFormat="1">
      <c r="A76" s="163" t="s">
        <v>2611</v>
      </c>
      <c r="B76" s="100">
        <v>3.99</v>
      </c>
      <c r="C76" s="100">
        <v>6.59</v>
      </c>
      <c r="D76" s="100">
        <v>3.9</v>
      </c>
      <c r="E76" s="100">
        <v>4.41</v>
      </c>
      <c r="F76" s="100">
        <v>3.69</v>
      </c>
      <c r="G76" s="100">
        <v>44</v>
      </c>
      <c r="H76" s="100">
        <v>16.79</v>
      </c>
      <c r="I76" s="100">
        <v>9.56</v>
      </c>
      <c r="J76" s="100">
        <v>0.76</v>
      </c>
      <c r="K76" s="100">
        <v>252.44</v>
      </c>
      <c r="L76" s="100">
        <v>28.34</v>
      </c>
      <c r="M76" s="100">
        <v>80.25</v>
      </c>
      <c r="N76" s="100">
        <v>22.6</v>
      </c>
      <c r="O76" s="100">
        <v>0</v>
      </c>
      <c r="P76" s="100">
        <v>0.41</v>
      </c>
      <c r="Q76" s="100">
        <v>9.91</v>
      </c>
      <c r="R76" s="6"/>
      <c r="S76" s="6"/>
      <c r="T76" s="156"/>
      <c r="U76" s="6"/>
    </row>
    <row r="77" spans="1:21" customFormat="1">
      <c r="A77" s="163" t="s">
        <v>2612</v>
      </c>
      <c r="B77" s="100">
        <v>4</v>
      </c>
      <c r="C77" s="100">
        <v>6.56</v>
      </c>
      <c r="D77" s="100">
        <v>3.84</v>
      </c>
      <c r="E77" s="100">
        <v>4.46</v>
      </c>
      <c r="F77" s="100">
        <v>2.57</v>
      </c>
      <c r="G77" s="100">
        <v>44</v>
      </c>
      <c r="H77" s="100">
        <v>16.79</v>
      </c>
      <c r="I77" s="100">
        <v>9.19</v>
      </c>
      <c r="J77" s="100">
        <v>0.66</v>
      </c>
      <c r="K77" s="100">
        <v>259.74</v>
      </c>
      <c r="L77" s="100">
        <v>28.45</v>
      </c>
      <c r="M77" s="100">
        <v>78.58</v>
      </c>
      <c r="N77" s="100">
        <v>15.4</v>
      </c>
      <c r="O77" s="100">
        <v>0</v>
      </c>
      <c r="P77" s="100">
        <v>0.39</v>
      </c>
      <c r="Q77" s="100">
        <v>9.91</v>
      </c>
      <c r="R77" s="6"/>
      <c r="S77" s="6"/>
      <c r="T77" s="156"/>
      <c r="U77" s="6"/>
    </row>
    <row r="78" spans="1:21" customFormat="1">
      <c r="A78" s="163" t="s">
        <v>2613</v>
      </c>
      <c r="B78" s="100">
        <v>4.01</v>
      </c>
      <c r="C78" s="100">
        <v>6.49</v>
      </c>
      <c r="D78" s="100">
        <v>3.68</v>
      </c>
      <c r="E78" s="100">
        <v>4.58</v>
      </c>
      <c r="F78" s="100">
        <v>2.85</v>
      </c>
      <c r="G78" s="100">
        <v>44</v>
      </c>
      <c r="H78" s="100">
        <v>16.79</v>
      </c>
      <c r="I78" s="100">
        <v>8.73</v>
      </c>
      <c r="J78" s="100">
        <v>0.66</v>
      </c>
      <c r="K78" s="100">
        <v>262.02999999999997</v>
      </c>
      <c r="L78" s="100">
        <v>28.05</v>
      </c>
      <c r="M78" s="100">
        <v>82.34</v>
      </c>
      <c r="N78" s="100">
        <v>14.2</v>
      </c>
      <c r="O78" s="100">
        <v>0.4</v>
      </c>
      <c r="P78" s="100">
        <v>0.39</v>
      </c>
      <c r="Q78" s="100">
        <v>9.89</v>
      </c>
      <c r="R78" s="6"/>
      <c r="S78" s="6"/>
      <c r="T78" s="156"/>
      <c r="U78" s="6"/>
    </row>
    <row r="79" spans="1:21" customFormat="1">
      <c r="A79" s="163" t="s">
        <v>2614</v>
      </c>
      <c r="B79" s="100">
        <v>4.03</v>
      </c>
      <c r="C79" s="100">
        <v>6.38</v>
      </c>
      <c r="D79" s="100">
        <v>3.44</v>
      </c>
      <c r="E79" s="100">
        <v>4.9800000000000004</v>
      </c>
      <c r="F79" s="100">
        <v>4.26</v>
      </c>
      <c r="G79" s="100">
        <v>42.81</v>
      </c>
      <c r="H79" s="100">
        <v>17.12</v>
      </c>
      <c r="I79" s="100">
        <v>8.34</v>
      </c>
      <c r="J79" s="100">
        <v>0.47</v>
      </c>
      <c r="K79" s="100">
        <v>250.06</v>
      </c>
      <c r="L79" s="100">
        <v>27.17</v>
      </c>
      <c r="M79" s="100">
        <v>89.08</v>
      </c>
      <c r="N79" s="100">
        <v>7</v>
      </c>
      <c r="O79" s="100">
        <v>0</v>
      </c>
      <c r="P79" s="100">
        <v>0.38</v>
      </c>
      <c r="Q79" s="100">
        <v>9.91</v>
      </c>
      <c r="R79" s="6"/>
      <c r="S79" s="6"/>
      <c r="T79" s="156"/>
      <c r="U79" s="6"/>
    </row>
    <row r="80" spans="1:21" customFormat="1">
      <c r="A80" s="163" t="s">
        <v>2615</v>
      </c>
      <c r="B80" s="100">
        <v>4.0199999999999996</v>
      </c>
      <c r="C80" s="100">
        <v>6.4</v>
      </c>
      <c r="D80" s="100">
        <v>3.49</v>
      </c>
      <c r="E80" s="100">
        <v>4.7699999999999996</v>
      </c>
      <c r="F80" s="100">
        <v>3.41</v>
      </c>
      <c r="G80" s="100">
        <v>41.9</v>
      </c>
      <c r="H80" s="100">
        <v>17.32</v>
      </c>
      <c r="I80" s="100">
        <v>8.15</v>
      </c>
      <c r="J80" s="100">
        <v>0.24</v>
      </c>
      <c r="K80" s="100">
        <v>225.45</v>
      </c>
      <c r="L80" s="100">
        <v>27.14</v>
      </c>
      <c r="M80" s="100">
        <v>89.78</v>
      </c>
      <c r="N80" s="100">
        <v>3.8</v>
      </c>
      <c r="O80" s="100">
        <v>0</v>
      </c>
      <c r="P80" s="100">
        <v>0.37</v>
      </c>
      <c r="Q80" s="100">
        <v>9.91</v>
      </c>
      <c r="R80" s="6"/>
      <c r="S80" s="6"/>
      <c r="T80" s="156"/>
      <c r="U80" s="6"/>
    </row>
    <row r="81" spans="1:21" customFormat="1">
      <c r="A81" s="163" t="s">
        <v>2616</v>
      </c>
      <c r="B81" s="100">
        <v>3.92</v>
      </c>
      <c r="C81" s="100">
        <v>6.29</v>
      </c>
      <c r="D81" s="100">
        <v>3.43</v>
      </c>
      <c r="E81" s="100">
        <v>3.85</v>
      </c>
      <c r="F81" s="100">
        <v>3.05</v>
      </c>
      <c r="G81" s="100">
        <v>41.9</v>
      </c>
      <c r="H81" s="100">
        <v>17.32</v>
      </c>
      <c r="I81" s="100">
        <v>7.83</v>
      </c>
      <c r="J81" s="100">
        <v>0.38</v>
      </c>
      <c r="K81" s="100">
        <v>236.94</v>
      </c>
      <c r="L81" s="100">
        <v>26.84</v>
      </c>
      <c r="M81" s="100">
        <v>92.48</v>
      </c>
      <c r="N81" s="100">
        <v>3.4</v>
      </c>
      <c r="O81" s="100">
        <v>1.2</v>
      </c>
      <c r="P81" s="100">
        <v>0.35</v>
      </c>
      <c r="Q81" s="100">
        <v>9.9</v>
      </c>
      <c r="R81" s="6"/>
      <c r="S81" s="6"/>
      <c r="T81" s="156"/>
      <c r="U81" s="6"/>
    </row>
    <row r="82" spans="1:21" customFormat="1">
      <c r="A82" s="163" t="s">
        <v>2617</v>
      </c>
      <c r="B82" s="100">
        <v>4.01</v>
      </c>
      <c r="C82" s="100">
        <v>6.28</v>
      </c>
      <c r="D82" s="100">
        <v>3.27</v>
      </c>
      <c r="E82" s="100">
        <v>4.62</v>
      </c>
      <c r="F82" s="100">
        <v>3.13</v>
      </c>
      <c r="G82" s="100">
        <v>41.9</v>
      </c>
      <c r="H82" s="100">
        <v>17.32</v>
      </c>
      <c r="I82" s="100">
        <v>7.55</v>
      </c>
      <c r="J82" s="100">
        <v>0.4</v>
      </c>
      <c r="K82" s="100">
        <v>257.39999999999998</v>
      </c>
      <c r="L82" s="100">
        <v>26.13</v>
      </c>
      <c r="M82" s="100">
        <v>98.43</v>
      </c>
      <c r="N82" s="100">
        <v>3.5</v>
      </c>
      <c r="O82" s="100">
        <v>1.2</v>
      </c>
      <c r="P82" s="100">
        <v>0.36</v>
      </c>
      <c r="Q82" s="100">
        <v>9.9</v>
      </c>
      <c r="R82" s="6"/>
      <c r="S82" s="6"/>
      <c r="T82" s="156"/>
      <c r="U82" s="6"/>
    </row>
    <row r="83" spans="1:21" customFormat="1">
      <c r="A83" s="163" t="s">
        <v>2618</v>
      </c>
      <c r="B83" s="100">
        <v>4.1100000000000003</v>
      </c>
      <c r="C83" s="100">
        <v>6.3</v>
      </c>
      <c r="D83" s="100">
        <v>3.16</v>
      </c>
      <c r="E83" s="100">
        <v>4.6500000000000004</v>
      </c>
      <c r="F83" s="100">
        <v>3.75</v>
      </c>
      <c r="G83" s="100">
        <v>41.49</v>
      </c>
      <c r="H83" s="100">
        <v>17.54</v>
      </c>
      <c r="I83" s="100">
        <v>7.43</v>
      </c>
      <c r="J83" s="100">
        <v>0.37</v>
      </c>
      <c r="K83" s="100">
        <v>256.85000000000002</v>
      </c>
      <c r="L83" s="100">
        <v>26.05</v>
      </c>
      <c r="M83" s="100">
        <v>100.7</v>
      </c>
      <c r="N83" s="100">
        <v>3.2</v>
      </c>
      <c r="O83" s="100">
        <v>0</v>
      </c>
      <c r="P83" s="100">
        <v>0.34</v>
      </c>
      <c r="Q83" s="100">
        <v>9.9</v>
      </c>
      <c r="R83" s="6"/>
      <c r="S83" s="6"/>
      <c r="T83" s="156"/>
      <c r="U83" s="6"/>
    </row>
    <row r="84" spans="1:21" customFormat="1">
      <c r="A84" s="163" t="s">
        <v>2619</v>
      </c>
      <c r="B84" s="100">
        <v>4.12</v>
      </c>
      <c r="C84" s="100">
        <v>6.29</v>
      </c>
      <c r="D84" s="100">
        <v>3.12</v>
      </c>
      <c r="E84" s="100">
        <v>4.7699999999999996</v>
      </c>
      <c r="F84" s="100">
        <v>3.19</v>
      </c>
      <c r="G84" s="100">
        <v>41.2</v>
      </c>
      <c r="H84" s="100">
        <v>17.61</v>
      </c>
      <c r="I84" s="100">
        <v>7.25</v>
      </c>
      <c r="J84" s="100">
        <v>0.36</v>
      </c>
      <c r="K84" s="100">
        <v>257.48</v>
      </c>
      <c r="L84" s="100">
        <v>26.02</v>
      </c>
      <c r="M84" s="100">
        <v>100.61</v>
      </c>
      <c r="N84" s="100">
        <v>2.8</v>
      </c>
      <c r="O84" s="100">
        <v>0</v>
      </c>
      <c r="P84" s="100">
        <v>0.33</v>
      </c>
      <c r="Q84" s="100">
        <v>9.92</v>
      </c>
      <c r="R84" s="6"/>
      <c r="S84" s="6"/>
      <c r="T84" s="156"/>
      <c r="U84" s="6"/>
    </row>
    <row r="85" spans="1:21" customFormat="1">
      <c r="A85" s="163" t="s">
        <v>2620</v>
      </c>
      <c r="B85" s="100">
        <v>4.1399999999999997</v>
      </c>
      <c r="C85" s="100">
        <v>6.29</v>
      </c>
      <c r="D85" s="100">
        <v>3.09</v>
      </c>
      <c r="E85" s="100">
        <v>4.97</v>
      </c>
      <c r="F85" s="100">
        <v>3.19</v>
      </c>
      <c r="G85" s="100">
        <v>41.2</v>
      </c>
      <c r="H85" s="100">
        <v>17.61</v>
      </c>
      <c r="I85" s="100">
        <v>6.96</v>
      </c>
      <c r="J85" s="100">
        <v>0.28999999999999998</v>
      </c>
      <c r="K85" s="100">
        <v>254.68</v>
      </c>
      <c r="L85" s="100">
        <v>26</v>
      </c>
      <c r="M85" s="100">
        <v>100.23</v>
      </c>
      <c r="N85" s="100">
        <v>2.5</v>
      </c>
      <c r="O85" s="100">
        <v>0</v>
      </c>
      <c r="P85" s="100">
        <v>0.32</v>
      </c>
      <c r="Q85" s="100">
        <v>9.91</v>
      </c>
      <c r="R85" s="6"/>
      <c r="S85" s="6"/>
      <c r="T85" s="156"/>
      <c r="U85" s="6"/>
    </row>
    <row r="86" spans="1:21" customFormat="1">
      <c r="A86" s="163" t="s">
        <v>2621</v>
      </c>
      <c r="B86" s="100">
        <v>4.25</v>
      </c>
      <c r="C86" s="100">
        <v>6.34</v>
      </c>
      <c r="D86" s="100">
        <v>3.01</v>
      </c>
      <c r="E86" s="100">
        <v>4.97</v>
      </c>
      <c r="F86" s="100">
        <v>2.76</v>
      </c>
      <c r="G86" s="100">
        <v>41.2</v>
      </c>
      <c r="H86" s="100">
        <v>17.61</v>
      </c>
      <c r="I86" s="100">
        <v>6.65</v>
      </c>
      <c r="J86" s="100">
        <v>0.26</v>
      </c>
      <c r="K86" s="100">
        <v>240.02</v>
      </c>
      <c r="L86" s="100">
        <v>26.01</v>
      </c>
      <c r="M86" s="100">
        <v>99.78</v>
      </c>
      <c r="N86" s="100">
        <v>2.5</v>
      </c>
      <c r="O86" s="100">
        <v>0</v>
      </c>
      <c r="P86" s="100">
        <v>0.31</v>
      </c>
      <c r="Q86" s="100">
        <v>9.9</v>
      </c>
      <c r="R86" s="6"/>
      <c r="S86" s="6"/>
      <c r="T86" s="156"/>
      <c r="U86" s="6"/>
    </row>
    <row r="87" spans="1:21" customFormat="1">
      <c r="A87" s="163" t="s">
        <v>2622</v>
      </c>
      <c r="B87" s="100">
        <v>4.21</v>
      </c>
      <c r="C87" s="100">
        <v>6.29</v>
      </c>
      <c r="D87" s="100">
        <v>2.99</v>
      </c>
      <c r="E87" s="100">
        <v>5.09</v>
      </c>
      <c r="F87" s="100">
        <v>3.61</v>
      </c>
      <c r="G87" s="100">
        <v>38.03</v>
      </c>
      <c r="H87" s="100">
        <v>16.38</v>
      </c>
      <c r="I87" s="100">
        <v>6.56</v>
      </c>
      <c r="J87" s="100">
        <v>0.38</v>
      </c>
      <c r="K87" s="100">
        <v>250.9</v>
      </c>
      <c r="L87" s="100">
        <v>25.98</v>
      </c>
      <c r="M87" s="100">
        <v>99.36</v>
      </c>
      <c r="N87" s="100">
        <v>2.7</v>
      </c>
      <c r="O87" s="100">
        <v>0</v>
      </c>
      <c r="P87" s="100">
        <v>0.33</v>
      </c>
      <c r="Q87" s="100">
        <v>9.91</v>
      </c>
      <c r="R87" s="6"/>
      <c r="S87" s="6"/>
      <c r="T87" s="156"/>
      <c r="U87" s="6"/>
    </row>
    <row r="88" spans="1:21" customFormat="1">
      <c r="A88" s="163" t="s">
        <v>2623</v>
      </c>
      <c r="B88" s="100">
        <v>4.3499999999999996</v>
      </c>
      <c r="C88" s="100">
        <v>6.42</v>
      </c>
      <c r="D88" s="100">
        <v>3.04</v>
      </c>
      <c r="E88" s="100">
        <v>4.79</v>
      </c>
      <c r="F88" s="100">
        <v>2.1</v>
      </c>
      <c r="G88" s="100">
        <v>35.6</v>
      </c>
      <c r="H88" s="100">
        <v>15.99</v>
      </c>
      <c r="I88" s="100">
        <v>6.38</v>
      </c>
      <c r="J88" s="100">
        <v>0.25</v>
      </c>
      <c r="K88" s="100">
        <v>246.36</v>
      </c>
      <c r="L88" s="100">
        <v>26.01</v>
      </c>
      <c r="M88" s="100">
        <v>98.91</v>
      </c>
      <c r="N88" s="100">
        <v>2.6</v>
      </c>
      <c r="O88" s="100">
        <v>0</v>
      </c>
      <c r="P88" s="100">
        <v>0.34</v>
      </c>
      <c r="Q88" s="100">
        <v>9.91</v>
      </c>
      <c r="R88" s="6"/>
      <c r="S88" s="6"/>
      <c r="T88" s="156"/>
      <c r="U88" s="6"/>
    </row>
    <row r="89" spans="1:21" customFormat="1">
      <c r="A89" s="163" t="s">
        <v>2624</v>
      </c>
      <c r="B89" s="100">
        <v>4.53</v>
      </c>
      <c r="C89" s="100">
        <v>6.4</v>
      </c>
      <c r="D89" s="100">
        <v>2.71</v>
      </c>
      <c r="E89" s="100">
        <v>4.55</v>
      </c>
      <c r="F89" s="100">
        <v>2.99</v>
      </c>
      <c r="G89" s="100">
        <v>35.6</v>
      </c>
      <c r="H89" s="100">
        <v>15.99</v>
      </c>
      <c r="I89" s="100">
        <v>6.26</v>
      </c>
      <c r="J89" s="100">
        <v>0.16</v>
      </c>
      <c r="K89" s="100">
        <v>189.41</v>
      </c>
      <c r="L89" s="100">
        <v>26.07</v>
      </c>
      <c r="M89" s="100">
        <v>98.99</v>
      </c>
      <c r="N89" s="100">
        <v>2.2999999999999998</v>
      </c>
      <c r="O89" s="100">
        <v>0</v>
      </c>
      <c r="P89" s="100">
        <v>0.32</v>
      </c>
      <c r="Q89" s="100">
        <v>9.93</v>
      </c>
      <c r="R89" s="6"/>
      <c r="S89" s="6"/>
      <c r="T89" s="156"/>
      <c r="U89" s="6"/>
    </row>
    <row r="90" spans="1:21" customFormat="1">
      <c r="A90" s="163" t="s">
        <v>2625</v>
      </c>
      <c r="B90" s="100">
        <v>4.68</v>
      </c>
      <c r="C90" s="100">
        <v>6.43</v>
      </c>
      <c r="D90" s="100">
        <v>2.5299999999999998</v>
      </c>
      <c r="E90" s="100">
        <v>4.29</v>
      </c>
      <c r="F90" s="100">
        <v>2.5299999999999998</v>
      </c>
      <c r="G90" s="100">
        <v>35.6</v>
      </c>
      <c r="H90" s="100">
        <v>15.99</v>
      </c>
      <c r="I90" s="100">
        <v>6.16</v>
      </c>
      <c r="J90" s="100">
        <v>0.2</v>
      </c>
      <c r="K90" s="100">
        <v>225.39</v>
      </c>
      <c r="L90" s="100">
        <v>26.1</v>
      </c>
      <c r="M90" s="100">
        <v>100.07</v>
      </c>
      <c r="N90" s="100">
        <v>2.5</v>
      </c>
      <c r="O90" s="100">
        <v>0</v>
      </c>
      <c r="P90" s="100">
        <v>0.3</v>
      </c>
      <c r="Q90" s="100">
        <v>9.93</v>
      </c>
      <c r="R90" s="6"/>
      <c r="S90" s="6"/>
      <c r="T90" s="156"/>
      <c r="U90" s="6"/>
    </row>
    <row r="91" spans="1:21" customFormat="1">
      <c r="A91" s="163" t="s">
        <v>2626</v>
      </c>
      <c r="B91" s="100">
        <v>4.82</v>
      </c>
      <c r="C91" s="100">
        <v>6.37</v>
      </c>
      <c r="D91" s="100">
        <v>2.2200000000000002</v>
      </c>
      <c r="E91" s="100">
        <v>3.94</v>
      </c>
      <c r="F91" s="100">
        <v>3.03</v>
      </c>
      <c r="G91" s="100">
        <v>34.159999999999997</v>
      </c>
      <c r="H91" s="100">
        <v>16.440000000000001</v>
      </c>
      <c r="I91" s="100">
        <v>5.94</v>
      </c>
      <c r="J91" s="100">
        <v>0.16</v>
      </c>
      <c r="K91" s="100">
        <v>214.37</v>
      </c>
      <c r="L91" s="100">
        <v>26.14</v>
      </c>
      <c r="M91" s="100">
        <v>99.6</v>
      </c>
      <c r="N91" s="100">
        <v>2.4</v>
      </c>
      <c r="O91" s="100">
        <v>0</v>
      </c>
      <c r="P91" s="100">
        <v>0.31</v>
      </c>
      <c r="Q91" s="100">
        <v>9.92</v>
      </c>
      <c r="R91" s="6"/>
      <c r="S91" s="6"/>
      <c r="T91" s="156"/>
      <c r="U91" s="6"/>
    </row>
    <row r="92" spans="1:21" customFormat="1">
      <c r="A92" s="163" t="s">
        <v>2627</v>
      </c>
      <c r="B92" s="100">
        <v>4.7699999999999996</v>
      </c>
      <c r="C92" s="100">
        <v>6.4</v>
      </c>
      <c r="D92" s="100">
        <v>2.35</v>
      </c>
      <c r="E92" s="100">
        <v>3.93</v>
      </c>
      <c r="F92" s="100">
        <v>2.2799999999999998</v>
      </c>
      <c r="G92" s="100">
        <v>33.06</v>
      </c>
      <c r="H92" s="100">
        <v>16.579999999999998</v>
      </c>
      <c r="I92" s="100">
        <v>5.95</v>
      </c>
      <c r="J92" s="100">
        <v>0.32</v>
      </c>
      <c r="K92" s="100">
        <v>258.04000000000002</v>
      </c>
      <c r="L92" s="100">
        <v>26.08</v>
      </c>
      <c r="M92" s="100">
        <v>99.52</v>
      </c>
      <c r="N92" s="100">
        <v>2.6</v>
      </c>
      <c r="O92" s="100">
        <v>0</v>
      </c>
      <c r="P92" s="100">
        <v>0.32</v>
      </c>
      <c r="Q92" s="100">
        <v>9.91</v>
      </c>
      <c r="R92" s="6"/>
      <c r="S92" s="6"/>
      <c r="T92" s="156"/>
      <c r="U92" s="6"/>
    </row>
    <row r="93" spans="1:21" customFormat="1">
      <c r="A93" s="163" t="s">
        <v>2628</v>
      </c>
      <c r="B93" s="100">
        <v>4.87</v>
      </c>
      <c r="C93" s="100">
        <v>6.42</v>
      </c>
      <c r="D93" s="100">
        <v>2.2200000000000002</v>
      </c>
      <c r="E93" s="100">
        <v>4.13</v>
      </c>
      <c r="F93" s="100">
        <v>2.5</v>
      </c>
      <c r="G93" s="100">
        <v>33.06</v>
      </c>
      <c r="H93" s="100">
        <v>16.579999999999998</v>
      </c>
      <c r="I93" s="100">
        <v>5.98</v>
      </c>
      <c r="J93" s="100">
        <v>0.51</v>
      </c>
      <c r="K93" s="100">
        <v>255.34</v>
      </c>
      <c r="L93" s="100">
        <v>26.06</v>
      </c>
      <c r="M93" s="100">
        <v>98.24</v>
      </c>
      <c r="N93" s="100">
        <v>2.7</v>
      </c>
      <c r="O93" s="100">
        <v>0</v>
      </c>
      <c r="P93" s="100">
        <v>0.31</v>
      </c>
      <c r="Q93" s="100">
        <v>9.93</v>
      </c>
      <c r="R93" s="6"/>
      <c r="S93" s="6"/>
      <c r="T93" s="156"/>
      <c r="U93" s="6"/>
    </row>
    <row r="94" spans="1:21" customFormat="1">
      <c r="A94" s="163" t="s">
        <v>2629</v>
      </c>
      <c r="B94" s="100">
        <v>5.0599999999999996</v>
      </c>
      <c r="C94" s="100">
        <v>6.47</v>
      </c>
      <c r="D94" s="100">
        <v>2.04</v>
      </c>
      <c r="E94" s="100">
        <v>3.81</v>
      </c>
      <c r="F94" s="100">
        <v>2.78</v>
      </c>
      <c r="G94" s="100">
        <v>33.06</v>
      </c>
      <c r="H94" s="100">
        <v>16.579999999999998</v>
      </c>
      <c r="I94" s="100">
        <v>6</v>
      </c>
      <c r="J94" s="100">
        <v>0.46</v>
      </c>
      <c r="K94" s="100">
        <v>253.67</v>
      </c>
      <c r="L94" s="100">
        <v>26.04</v>
      </c>
      <c r="M94" s="100">
        <v>97.6</v>
      </c>
      <c r="N94" s="100">
        <v>2.7</v>
      </c>
      <c r="O94" s="100">
        <v>0</v>
      </c>
      <c r="P94" s="100">
        <v>0.3</v>
      </c>
      <c r="Q94" s="100">
        <v>9.92</v>
      </c>
      <c r="R94" s="6"/>
      <c r="S94" s="6"/>
      <c r="T94" s="156"/>
      <c r="U94" s="6"/>
    </row>
    <row r="95" spans="1:21" customFormat="1">
      <c r="A95" s="163" t="s">
        <v>2630</v>
      </c>
      <c r="B95" s="100">
        <v>5.03</v>
      </c>
      <c r="C95" s="100">
        <v>6.56</v>
      </c>
      <c r="D95" s="100">
        <v>2.2400000000000002</v>
      </c>
      <c r="E95" s="100">
        <v>3.85</v>
      </c>
      <c r="F95" s="100">
        <v>2.74</v>
      </c>
      <c r="G95" s="100">
        <v>33.65</v>
      </c>
      <c r="H95" s="100">
        <v>14.89</v>
      </c>
      <c r="I95" s="100">
        <v>5.99</v>
      </c>
      <c r="J95" s="100">
        <v>0.42</v>
      </c>
      <c r="K95" s="100">
        <v>253.92</v>
      </c>
      <c r="L95" s="100">
        <v>25.88</v>
      </c>
      <c r="M95" s="100">
        <v>98.13</v>
      </c>
      <c r="N95" s="100">
        <v>2.4</v>
      </c>
      <c r="O95" s="100">
        <v>0.2</v>
      </c>
      <c r="P95" s="100">
        <v>0.32</v>
      </c>
      <c r="Q95" s="100">
        <v>9.92</v>
      </c>
      <c r="R95" s="6"/>
      <c r="S95" s="6"/>
      <c r="T95" s="156"/>
      <c r="U95" s="6"/>
    </row>
    <row r="96" spans="1:21" customFormat="1">
      <c r="A96" s="163" t="s">
        <v>2631</v>
      </c>
      <c r="B96" s="100">
        <v>5.1100000000000003</v>
      </c>
      <c r="C96" s="100">
        <v>6.56</v>
      </c>
      <c r="D96" s="100">
        <v>2.12</v>
      </c>
      <c r="E96" s="100">
        <v>3.85</v>
      </c>
      <c r="F96" s="100">
        <v>2.46</v>
      </c>
      <c r="G96" s="100">
        <v>34.1</v>
      </c>
      <c r="H96" s="100">
        <v>14.36</v>
      </c>
      <c r="I96" s="100">
        <v>5.86</v>
      </c>
      <c r="J96" s="100">
        <v>0.31</v>
      </c>
      <c r="K96" s="100">
        <v>247.94</v>
      </c>
      <c r="L96" s="100">
        <v>25.9</v>
      </c>
      <c r="M96" s="100">
        <v>98.78</v>
      </c>
      <c r="N96" s="100">
        <v>2.2999999999999998</v>
      </c>
      <c r="O96" s="100">
        <v>0</v>
      </c>
      <c r="P96" s="100">
        <v>0.28000000000000003</v>
      </c>
      <c r="Q96" s="100">
        <v>9.93</v>
      </c>
      <c r="R96" s="6"/>
      <c r="S96" s="6"/>
      <c r="T96" s="156"/>
      <c r="U96" s="6"/>
    </row>
    <row r="97" spans="1:28" customFormat="1">
      <c r="A97" s="163" t="s">
        <v>2632</v>
      </c>
      <c r="B97" s="100">
        <v>5.22</v>
      </c>
      <c r="C97" s="100">
        <v>6.58</v>
      </c>
      <c r="D97" s="100">
        <v>1.98</v>
      </c>
      <c r="E97" s="100">
        <v>3.96</v>
      </c>
      <c r="F97" s="100">
        <v>2.59</v>
      </c>
      <c r="G97" s="100">
        <v>34.1</v>
      </c>
      <c r="H97" s="100">
        <v>14.36</v>
      </c>
      <c r="I97" s="100">
        <v>5.89</v>
      </c>
      <c r="J97" s="100">
        <v>0.24</v>
      </c>
      <c r="K97" s="100">
        <v>242.79</v>
      </c>
      <c r="L97" s="100">
        <v>25.99</v>
      </c>
      <c r="M97" s="100">
        <v>98.1</v>
      </c>
      <c r="N97" s="100">
        <v>2.2999999999999998</v>
      </c>
      <c r="O97" s="100">
        <v>0</v>
      </c>
      <c r="P97" s="100">
        <v>0.32</v>
      </c>
      <c r="Q97" s="100">
        <v>9.93</v>
      </c>
      <c r="R97" s="6"/>
      <c r="S97" s="6"/>
      <c r="T97" s="156"/>
      <c r="U97" s="6"/>
    </row>
    <row r="98" spans="1:28" customFormat="1">
      <c r="A98" s="163" t="s">
        <v>2633</v>
      </c>
      <c r="B98" s="100">
        <v>5.31</v>
      </c>
      <c r="C98" s="100">
        <v>6.71</v>
      </c>
      <c r="D98" s="100">
        <v>2.11</v>
      </c>
      <c r="E98" s="100">
        <v>4.21</v>
      </c>
      <c r="F98" s="100">
        <v>2.1</v>
      </c>
      <c r="G98" s="100">
        <v>34.1</v>
      </c>
      <c r="H98" s="100">
        <v>14.36</v>
      </c>
      <c r="I98" s="100">
        <v>5.66</v>
      </c>
      <c r="J98" s="100">
        <v>0.19</v>
      </c>
      <c r="K98" s="100">
        <v>233.56</v>
      </c>
      <c r="L98" s="100">
        <v>26.01</v>
      </c>
      <c r="M98" s="100">
        <v>97.56</v>
      </c>
      <c r="N98" s="100">
        <v>2.2999999999999998</v>
      </c>
      <c r="O98" s="100">
        <v>0</v>
      </c>
      <c r="P98" s="100">
        <v>0.31</v>
      </c>
      <c r="Q98" s="100">
        <v>9.93</v>
      </c>
      <c r="R98" s="6"/>
      <c r="S98" s="6"/>
      <c r="T98" s="156"/>
      <c r="U98" s="6"/>
    </row>
    <row r="99" spans="1:28" customFormat="1">
      <c r="A99" s="163" t="s">
        <v>2634</v>
      </c>
      <c r="B99" s="100">
        <v>5.38</v>
      </c>
      <c r="C99" s="100">
        <v>6.71</v>
      </c>
      <c r="D99" s="100">
        <v>2</v>
      </c>
      <c r="E99" s="100">
        <v>3.84</v>
      </c>
      <c r="F99" s="100">
        <v>4.1500000000000004</v>
      </c>
      <c r="G99" s="100">
        <v>30.98</v>
      </c>
      <c r="H99" s="100">
        <v>15.65</v>
      </c>
      <c r="I99" s="100">
        <v>5.93</v>
      </c>
      <c r="J99" s="100">
        <v>0.13</v>
      </c>
      <c r="K99" s="100">
        <v>235.49</v>
      </c>
      <c r="L99" s="100">
        <v>25.99</v>
      </c>
      <c r="M99" s="100">
        <v>97.62</v>
      </c>
      <c r="N99" s="100">
        <v>2.2000000000000002</v>
      </c>
      <c r="O99" s="100">
        <v>0</v>
      </c>
      <c r="P99" s="100">
        <v>0.3</v>
      </c>
      <c r="Q99" s="100">
        <v>9.92</v>
      </c>
      <c r="R99" s="6"/>
      <c r="S99" s="6"/>
      <c r="T99" s="156"/>
      <c r="U99" s="6"/>
    </row>
    <row r="100" spans="1:28" customFormat="1">
      <c r="A100" s="163" t="s">
        <v>2635</v>
      </c>
      <c r="B100" s="100">
        <v>5.41</v>
      </c>
      <c r="C100" s="100">
        <v>6.76</v>
      </c>
      <c r="D100" s="100">
        <v>2.0499999999999998</v>
      </c>
      <c r="E100" s="100">
        <v>4.07</v>
      </c>
      <c r="F100" s="100">
        <v>2.39</v>
      </c>
      <c r="G100" s="100">
        <v>28.6</v>
      </c>
      <c r="H100" s="100">
        <v>16.059999999999999</v>
      </c>
      <c r="I100" s="100">
        <v>5.49</v>
      </c>
      <c r="J100" s="100">
        <v>0.27</v>
      </c>
      <c r="K100" s="100">
        <v>244.47</v>
      </c>
      <c r="L100" s="100">
        <v>25.97</v>
      </c>
      <c r="M100" s="100">
        <v>98.13</v>
      </c>
      <c r="N100" s="100">
        <v>2.2000000000000002</v>
      </c>
      <c r="O100" s="100">
        <v>0</v>
      </c>
      <c r="P100" s="100">
        <v>0.31</v>
      </c>
      <c r="Q100" s="100">
        <v>9.92</v>
      </c>
      <c r="R100" s="6"/>
      <c r="S100" s="6"/>
      <c r="T100" s="156"/>
      <c r="U100" s="6"/>
      <c r="AB100" s="161"/>
    </row>
    <row r="101" spans="1:28" customFormat="1">
      <c r="A101" s="163" t="s">
        <v>2636</v>
      </c>
      <c r="B101" s="100">
        <v>5.65</v>
      </c>
      <c r="C101" s="100">
        <v>6.93</v>
      </c>
      <c r="D101" s="100">
        <v>2</v>
      </c>
      <c r="E101" s="100">
        <v>4.01</v>
      </c>
      <c r="F101" s="100">
        <v>2.29</v>
      </c>
      <c r="G101" s="100">
        <v>28.6</v>
      </c>
      <c r="H101" s="100">
        <v>16.059999999999999</v>
      </c>
      <c r="I101" s="100">
        <v>5.34</v>
      </c>
      <c r="J101" s="100">
        <v>0.24</v>
      </c>
      <c r="K101" s="100">
        <v>248.25</v>
      </c>
      <c r="L101" s="100">
        <v>25.91</v>
      </c>
      <c r="M101" s="100">
        <v>98.49</v>
      </c>
      <c r="N101" s="100">
        <v>2.2000000000000002</v>
      </c>
      <c r="O101" s="100">
        <v>0</v>
      </c>
      <c r="P101" s="100">
        <v>0.28999999999999998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2637</v>
      </c>
      <c r="B102" s="100">
        <v>5.77</v>
      </c>
      <c r="C102" s="100">
        <v>6.94</v>
      </c>
      <c r="D102" s="100">
        <v>1.85</v>
      </c>
      <c r="E102" s="100">
        <v>3.66</v>
      </c>
      <c r="F102" s="100">
        <v>2.89</v>
      </c>
      <c r="G102" s="100">
        <v>28.6</v>
      </c>
      <c r="H102" s="100">
        <v>16.059999999999999</v>
      </c>
      <c r="I102" s="100">
        <v>5.58</v>
      </c>
      <c r="J102" s="100">
        <v>0.13</v>
      </c>
      <c r="K102" s="100">
        <v>249.06</v>
      </c>
      <c r="L102" s="100">
        <v>25.87</v>
      </c>
      <c r="M102" s="100">
        <v>98.84</v>
      </c>
      <c r="N102" s="100">
        <v>2.1</v>
      </c>
      <c r="O102" s="100">
        <v>0</v>
      </c>
      <c r="P102" s="100">
        <v>0.28000000000000003</v>
      </c>
      <c r="Q102" s="100">
        <v>9.93</v>
      </c>
      <c r="R102" s="6"/>
      <c r="S102" s="6"/>
      <c r="T102" s="156"/>
      <c r="U102" s="6"/>
    </row>
    <row r="103" spans="1:28" customFormat="1">
      <c r="A103" s="163" t="s">
        <v>2638</v>
      </c>
      <c r="B103" s="100">
        <v>5.55</v>
      </c>
      <c r="C103" s="100">
        <v>6.86</v>
      </c>
      <c r="D103" s="100">
        <v>2.02</v>
      </c>
      <c r="E103" s="100">
        <v>4.21</v>
      </c>
      <c r="F103" s="100">
        <v>2.4900000000000002</v>
      </c>
      <c r="G103" s="100">
        <v>28.88</v>
      </c>
      <c r="H103" s="100">
        <v>15.47</v>
      </c>
      <c r="I103" s="100">
        <v>5.46</v>
      </c>
      <c r="J103" s="100">
        <v>0.09</v>
      </c>
      <c r="K103" s="100">
        <v>198.95</v>
      </c>
      <c r="L103" s="100">
        <v>25.89</v>
      </c>
      <c r="M103" s="100">
        <v>99.17</v>
      </c>
      <c r="N103" s="100">
        <v>2.1</v>
      </c>
      <c r="O103" s="100">
        <v>0</v>
      </c>
      <c r="P103" s="100">
        <v>0.31</v>
      </c>
      <c r="Q103" s="100">
        <v>9.92</v>
      </c>
      <c r="R103" s="6"/>
      <c r="S103" s="6"/>
      <c r="T103" s="156"/>
      <c r="U103" s="6"/>
    </row>
    <row r="104" spans="1:28" customFormat="1">
      <c r="A104" s="163" t="s">
        <v>2639</v>
      </c>
      <c r="B104" s="100">
        <v>5.63</v>
      </c>
      <c r="C104" s="100">
        <v>7.02</v>
      </c>
      <c r="D104" s="100">
        <v>2.21</v>
      </c>
      <c r="E104" s="100">
        <v>4.4800000000000004</v>
      </c>
      <c r="F104" s="100">
        <v>2.1</v>
      </c>
      <c r="G104" s="100">
        <v>29.09</v>
      </c>
      <c r="H104" s="100">
        <v>15.11</v>
      </c>
      <c r="I104" s="100">
        <v>5.36</v>
      </c>
      <c r="J104" s="100">
        <v>0.21</v>
      </c>
      <c r="K104" s="100">
        <v>240.7</v>
      </c>
      <c r="L104" s="100">
        <v>25.83</v>
      </c>
      <c r="M104" s="100">
        <v>99.19</v>
      </c>
      <c r="N104" s="100">
        <v>2.2999999999999998</v>
      </c>
      <c r="O104" s="100">
        <v>0</v>
      </c>
      <c r="P104" s="100">
        <v>0.3</v>
      </c>
      <c r="Q104" s="100">
        <v>9.93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3.92</v>
      </c>
      <c r="C106" s="158">
        <f>MIN(C9:C104)</f>
        <v>5.87</v>
      </c>
      <c r="D106" s="158">
        <f t="shared" ref="D106:Q106" si="0">MIN(D9:D104)</f>
        <v>1.72</v>
      </c>
      <c r="E106" s="158">
        <f t="shared" si="0"/>
        <v>3.66</v>
      </c>
      <c r="F106" s="158">
        <f t="shared" si="0"/>
        <v>2.1</v>
      </c>
      <c r="G106" s="158">
        <f t="shared" si="0"/>
        <v>14.43</v>
      </c>
      <c r="H106" s="158">
        <f t="shared" si="0"/>
        <v>5.76</v>
      </c>
      <c r="I106" s="158">
        <f t="shared" si="0"/>
        <v>3.32</v>
      </c>
      <c r="J106" s="158">
        <f t="shared" si="0"/>
        <v>0.09</v>
      </c>
      <c r="K106" s="158">
        <f t="shared" si="0"/>
        <v>189.41</v>
      </c>
      <c r="L106" s="158">
        <f t="shared" si="0"/>
        <v>25.83</v>
      </c>
      <c r="M106" s="158">
        <f t="shared" si="0"/>
        <v>63.98</v>
      </c>
      <c r="N106" s="158">
        <f t="shared" si="0"/>
        <v>2</v>
      </c>
      <c r="O106" s="158">
        <f t="shared" si="0"/>
        <v>0</v>
      </c>
      <c r="P106" s="158">
        <f t="shared" si="0"/>
        <v>0.28000000000000003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5.77</v>
      </c>
      <c r="C107" s="157">
        <f t="shared" ref="C107:Q107" si="1">MAX(C9:C104)</f>
        <v>8</v>
      </c>
      <c r="D107" s="157">
        <f t="shared" si="1"/>
        <v>5.09</v>
      </c>
      <c r="E107" s="157">
        <f t="shared" si="1"/>
        <v>6.62</v>
      </c>
      <c r="F107" s="157">
        <f t="shared" si="1"/>
        <v>7.26</v>
      </c>
      <c r="G107" s="157">
        <f t="shared" si="1"/>
        <v>55.57</v>
      </c>
      <c r="H107" s="157">
        <f t="shared" si="1"/>
        <v>17.61</v>
      </c>
      <c r="I107" s="157">
        <f t="shared" si="1"/>
        <v>10.44</v>
      </c>
      <c r="J107" s="157">
        <f t="shared" si="1"/>
        <v>1.17</v>
      </c>
      <c r="K107" s="157">
        <f t="shared" si="1"/>
        <v>287.95</v>
      </c>
      <c r="L107" s="157">
        <f t="shared" si="1"/>
        <v>32.07</v>
      </c>
      <c r="M107" s="157">
        <f t="shared" si="1"/>
        <v>100.7</v>
      </c>
      <c r="N107" s="157">
        <f t="shared" si="1"/>
        <v>393.5</v>
      </c>
      <c r="O107" s="157">
        <f t="shared" si="1"/>
        <v>1.2</v>
      </c>
      <c r="P107" s="157">
        <f t="shared" si="1"/>
        <v>0.65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4.8668749999999985</v>
      </c>
      <c r="C108" s="158">
        <f t="shared" ref="C108:Q108" si="2">AVERAGE(C9:C104)</f>
        <v>6.8492708333333283</v>
      </c>
      <c r="D108" s="158">
        <f t="shared" si="2"/>
        <v>3.0522916666666684</v>
      </c>
      <c r="E108" s="158">
        <f t="shared" si="2"/>
        <v>5.0119791666666664</v>
      </c>
      <c r="F108" s="158">
        <f t="shared" si="2"/>
        <v>3.1427083333333319</v>
      </c>
      <c r="G108" s="158">
        <f t="shared" si="2"/>
        <v>33.516041666666659</v>
      </c>
      <c r="H108" s="158">
        <f t="shared" si="2"/>
        <v>12.474583333333333</v>
      </c>
      <c r="I108" s="158">
        <f t="shared" si="2"/>
        <v>6.455000000000001</v>
      </c>
      <c r="J108" s="158">
        <f t="shared" si="2"/>
        <v>0.55895833333333345</v>
      </c>
      <c r="K108" s="158">
        <f t="shared" si="2"/>
        <v>254.7806250000001</v>
      </c>
      <c r="L108" s="158">
        <f t="shared" si="2"/>
        <v>27.731458333333332</v>
      </c>
      <c r="M108" s="158">
        <f t="shared" si="2"/>
        <v>84.371041666666599</v>
      </c>
      <c r="N108" s="158">
        <f t="shared" si="2"/>
        <v>84.241666666666674</v>
      </c>
      <c r="O108" s="158">
        <f t="shared" si="2"/>
        <v>3.125E-2</v>
      </c>
      <c r="P108" s="158">
        <f t="shared" si="2"/>
        <v>0.39802083333333343</v>
      </c>
      <c r="Q108" s="158">
        <f t="shared" si="2"/>
        <v>9.9133333333333198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0.51664568435040215</v>
      </c>
      <c r="C109" s="158">
        <f t="shared" ref="C109:Q109" si="3">STDEV(C9:C104)</f>
        <v>0.45678336404324821</v>
      </c>
      <c r="D109" s="158">
        <f t="shared" si="3"/>
        <v>0.90863515828806862</v>
      </c>
      <c r="E109" s="158">
        <f t="shared" si="3"/>
        <v>0.81783490779222467</v>
      </c>
      <c r="F109" s="158">
        <f t="shared" si="3"/>
        <v>1.0606050697762557</v>
      </c>
      <c r="G109" s="158">
        <f t="shared" si="3"/>
        <v>11.855385405546109</v>
      </c>
      <c r="H109" s="158">
        <f t="shared" si="3"/>
        <v>3.8791317304850761</v>
      </c>
      <c r="I109" s="158">
        <f t="shared" si="3"/>
        <v>2.561908006072612</v>
      </c>
      <c r="J109" s="158">
        <f t="shared" si="3"/>
        <v>0.23481002025900588</v>
      </c>
      <c r="K109" s="158">
        <f t="shared" si="3"/>
        <v>14.655098470641898</v>
      </c>
      <c r="L109" s="158">
        <f t="shared" si="3"/>
        <v>2.1330220613099828</v>
      </c>
      <c r="M109" s="158">
        <f t="shared" si="3"/>
        <v>11.540894381028172</v>
      </c>
      <c r="N109" s="158">
        <f t="shared" si="3"/>
        <v>115.87090063529796</v>
      </c>
      <c r="O109" s="158">
        <f t="shared" si="3"/>
        <v>0.17729695577283833</v>
      </c>
      <c r="P109" s="158">
        <f t="shared" si="3"/>
        <v>0.10460572382111935</v>
      </c>
      <c r="Q109" s="158">
        <f t="shared" si="3"/>
        <v>1.2869111666611343E-2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5" sqref="E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2640</v>
      </c>
      <c r="B9" s="100">
        <v>5.16</v>
      </c>
      <c r="C9" s="100">
        <v>6.23</v>
      </c>
      <c r="D9" s="100">
        <v>1.42</v>
      </c>
      <c r="E9" s="100">
        <v>4.42</v>
      </c>
      <c r="F9" s="100">
        <v>2.17</v>
      </c>
      <c r="G9" s="100">
        <v>29.09</v>
      </c>
      <c r="H9" s="100">
        <v>15.11</v>
      </c>
      <c r="I9" s="100">
        <v>5.45</v>
      </c>
      <c r="J9" s="100">
        <v>0.37</v>
      </c>
      <c r="K9" s="100">
        <v>252.1</v>
      </c>
      <c r="L9" s="100">
        <v>25.8</v>
      </c>
      <c r="M9" s="100">
        <v>99.27</v>
      </c>
      <c r="N9" s="100">
        <v>2.5</v>
      </c>
      <c r="O9" s="100">
        <v>0</v>
      </c>
      <c r="P9" s="100">
        <v>0.28000000000000003</v>
      </c>
      <c r="Q9" s="100">
        <v>9.94</v>
      </c>
      <c r="R9" s="6"/>
      <c r="S9" s="6"/>
      <c r="T9" s="156"/>
      <c r="U9" s="6"/>
    </row>
    <row r="10" spans="1:21" customFormat="1">
      <c r="A10" s="163" t="s">
        <v>2641</v>
      </c>
      <c r="B10" s="100">
        <v>4.8</v>
      </c>
      <c r="C10" s="100">
        <v>6.27</v>
      </c>
      <c r="D10" s="100">
        <v>2.0499999999999998</v>
      </c>
      <c r="E10" s="100">
        <v>4.08</v>
      </c>
      <c r="F10" s="100">
        <v>2.3199999999999998</v>
      </c>
      <c r="G10" s="100">
        <v>29.09</v>
      </c>
      <c r="H10" s="100">
        <v>15.11</v>
      </c>
      <c r="I10" s="100">
        <v>5.35</v>
      </c>
      <c r="J10" s="100">
        <v>0.17</v>
      </c>
      <c r="K10" s="100">
        <v>234.36</v>
      </c>
      <c r="L10" s="100">
        <v>25.8</v>
      </c>
      <c r="M10" s="100">
        <v>99.59</v>
      </c>
      <c r="N10" s="100">
        <v>2.1</v>
      </c>
      <c r="O10" s="100">
        <v>0.2</v>
      </c>
      <c r="P10" s="100">
        <v>0.3</v>
      </c>
      <c r="Q10" s="100">
        <v>9.92</v>
      </c>
      <c r="R10" s="6"/>
      <c r="S10" s="6"/>
      <c r="T10" s="156"/>
      <c r="U10" s="6"/>
    </row>
    <row r="11" spans="1:21" customFormat="1">
      <c r="A11" s="163" t="s">
        <v>2642</v>
      </c>
      <c r="B11" s="100">
        <v>4.72</v>
      </c>
      <c r="C11" s="100">
        <v>6.63</v>
      </c>
      <c r="D11" s="100">
        <v>2.85</v>
      </c>
      <c r="E11" s="100">
        <v>4.47</v>
      </c>
      <c r="F11" s="100">
        <v>2.1</v>
      </c>
      <c r="G11" s="100">
        <v>27.6</v>
      </c>
      <c r="H11" s="100">
        <v>15.85</v>
      </c>
      <c r="I11" s="100">
        <v>5.35</v>
      </c>
      <c r="J11" s="100">
        <v>0.17</v>
      </c>
      <c r="K11" s="100">
        <v>227.79</v>
      </c>
      <c r="L11" s="100">
        <v>25.81</v>
      </c>
      <c r="M11" s="100">
        <v>98.7</v>
      </c>
      <c r="N11" s="100">
        <v>2.1</v>
      </c>
      <c r="O11" s="100">
        <v>0.4</v>
      </c>
      <c r="P11" s="100">
        <v>0.27</v>
      </c>
      <c r="Q11" s="100">
        <v>9.91</v>
      </c>
      <c r="R11" s="6"/>
      <c r="S11" s="6"/>
      <c r="T11" s="156"/>
      <c r="U11" s="6"/>
    </row>
    <row r="12" spans="1:21" customFormat="1">
      <c r="A12" s="163" t="s">
        <v>2643</v>
      </c>
      <c r="B12" s="100">
        <v>4.6100000000000003</v>
      </c>
      <c r="C12" s="100">
        <v>6.75</v>
      </c>
      <c r="D12" s="100">
        <v>3.25</v>
      </c>
      <c r="E12" s="100">
        <v>4.5199999999999996</v>
      </c>
      <c r="F12" s="100">
        <v>2.2799999999999998</v>
      </c>
      <c r="G12" s="100">
        <v>26.46</v>
      </c>
      <c r="H12" s="100">
        <v>16.079999999999998</v>
      </c>
      <c r="I12" s="100">
        <v>5.4</v>
      </c>
      <c r="J12" s="100">
        <v>0.14000000000000001</v>
      </c>
      <c r="K12" s="100">
        <v>209.31</v>
      </c>
      <c r="L12" s="100">
        <v>25.75</v>
      </c>
      <c r="M12" s="100">
        <v>98.71</v>
      </c>
      <c r="N12" s="100">
        <v>2.2999999999999998</v>
      </c>
      <c r="O12" s="100">
        <v>0.6</v>
      </c>
      <c r="P12" s="100">
        <v>0.26</v>
      </c>
      <c r="Q12" s="100">
        <v>9.92</v>
      </c>
      <c r="R12" s="6"/>
      <c r="S12" s="6"/>
      <c r="T12" s="156"/>
      <c r="U12" s="6"/>
    </row>
    <row r="13" spans="1:21" customFormat="1">
      <c r="A13" s="163" t="s">
        <v>2644</v>
      </c>
      <c r="B13" s="100">
        <v>4.53</v>
      </c>
      <c r="C13" s="100">
        <v>6.71</v>
      </c>
      <c r="D13" s="100">
        <v>3.3</v>
      </c>
      <c r="E13" s="100">
        <v>4.9000000000000004</v>
      </c>
      <c r="F13" s="100">
        <v>2.58</v>
      </c>
      <c r="G13" s="100">
        <v>26.46</v>
      </c>
      <c r="H13" s="100">
        <v>16.079999999999998</v>
      </c>
      <c r="I13" s="100">
        <v>5.3</v>
      </c>
      <c r="J13" s="100">
        <v>0.17</v>
      </c>
      <c r="K13" s="100">
        <v>238.36</v>
      </c>
      <c r="L13" s="100">
        <v>25.68</v>
      </c>
      <c r="M13" s="100">
        <v>99.26</v>
      </c>
      <c r="N13" s="100">
        <v>2.2999999999999998</v>
      </c>
      <c r="O13" s="100">
        <v>0.4</v>
      </c>
      <c r="P13" s="100">
        <v>0.25</v>
      </c>
      <c r="Q13" s="100">
        <v>9.92</v>
      </c>
      <c r="R13" s="6"/>
      <c r="S13" s="6"/>
      <c r="T13" s="156"/>
      <c r="U13" s="6"/>
    </row>
    <row r="14" spans="1:21" customFormat="1">
      <c r="A14" s="163" t="s">
        <v>2645</v>
      </c>
      <c r="B14" s="100">
        <v>4.51</v>
      </c>
      <c r="C14" s="100">
        <v>6.65</v>
      </c>
      <c r="D14" s="100">
        <v>3.22</v>
      </c>
      <c r="E14" s="100">
        <v>4.82</v>
      </c>
      <c r="F14" s="100">
        <v>2.5</v>
      </c>
      <c r="G14" s="100">
        <v>26.46</v>
      </c>
      <c r="H14" s="100">
        <v>16.079999999999998</v>
      </c>
      <c r="I14" s="100">
        <v>5.16</v>
      </c>
      <c r="J14" s="100">
        <v>0.13</v>
      </c>
      <c r="K14" s="100">
        <v>210.92</v>
      </c>
      <c r="L14" s="100">
        <v>25.65</v>
      </c>
      <c r="M14" s="100">
        <v>99.62</v>
      </c>
      <c r="N14" s="100">
        <v>2.2999999999999998</v>
      </c>
      <c r="O14" s="100">
        <v>0.4</v>
      </c>
      <c r="P14" s="100">
        <v>0.25</v>
      </c>
      <c r="Q14" s="100">
        <v>9.92</v>
      </c>
      <c r="R14" s="6"/>
      <c r="S14" s="6"/>
      <c r="T14" s="156"/>
      <c r="U14" s="6"/>
    </row>
    <row r="15" spans="1:21" customFormat="1">
      <c r="A15" s="163" t="s">
        <v>2646</v>
      </c>
      <c r="B15" s="100">
        <v>4.4400000000000004</v>
      </c>
      <c r="C15" s="100">
        <v>6.62</v>
      </c>
      <c r="D15" s="100">
        <v>3.27</v>
      </c>
      <c r="E15" s="100">
        <v>4.53</v>
      </c>
      <c r="F15" s="100">
        <v>2.57</v>
      </c>
      <c r="G15" s="100">
        <v>27.43</v>
      </c>
      <c r="H15" s="100">
        <v>15.02</v>
      </c>
      <c r="I15" s="100">
        <v>5.07</v>
      </c>
      <c r="J15" s="100">
        <v>0.31</v>
      </c>
      <c r="K15" s="100">
        <v>248.13</v>
      </c>
      <c r="L15" s="100">
        <v>25.57</v>
      </c>
      <c r="M15" s="100">
        <v>99.63</v>
      </c>
      <c r="N15" s="100">
        <v>2.2999999999999998</v>
      </c>
      <c r="O15" s="100">
        <v>0.4</v>
      </c>
      <c r="P15" s="100">
        <v>0.24</v>
      </c>
      <c r="Q15" s="100">
        <v>9.92</v>
      </c>
      <c r="R15" s="6"/>
      <c r="S15" s="6"/>
      <c r="T15" s="156"/>
      <c r="U15" s="6"/>
    </row>
    <row r="16" spans="1:21" customFormat="1">
      <c r="A16" s="163" t="s">
        <v>2647</v>
      </c>
      <c r="B16" s="100">
        <v>4.38</v>
      </c>
      <c r="C16" s="100">
        <v>6.54</v>
      </c>
      <c r="D16" s="100">
        <v>3.22</v>
      </c>
      <c r="E16" s="100">
        <v>4.9800000000000004</v>
      </c>
      <c r="F16" s="100">
        <v>2.63</v>
      </c>
      <c r="G16" s="100">
        <v>28.16</v>
      </c>
      <c r="H16" s="100">
        <v>14.68</v>
      </c>
      <c r="I16" s="100">
        <v>5</v>
      </c>
      <c r="J16" s="100">
        <v>0.22</v>
      </c>
      <c r="K16" s="100">
        <v>235.63</v>
      </c>
      <c r="L16" s="100">
        <v>25.62</v>
      </c>
      <c r="M16" s="100">
        <v>99.68</v>
      </c>
      <c r="N16" s="100">
        <v>2.2000000000000002</v>
      </c>
      <c r="O16" s="100">
        <v>0.4</v>
      </c>
      <c r="P16" s="100">
        <v>0.23</v>
      </c>
      <c r="Q16" s="100">
        <v>9.92</v>
      </c>
      <c r="R16" s="6"/>
      <c r="S16" s="6"/>
      <c r="T16" s="156"/>
      <c r="U16" s="6"/>
    </row>
    <row r="17" spans="1:21" customFormat="1">
      <c r="A17" s="163" t="s">
        <v>2648</v>
      </c>
      <c r="B17" s="100">
        <v>4.32</v>
      </c>
      <c r="C17" s="100">
        <v>6.49</v>
      </c>
      <c r="D17" s="100">
        <v>3.21</v>
      </c>
      <c r="E17" s="100">
        <v>4.97</v>
      </c>
      <c r="F17" s="100">
        <v>2.77</v>
      </c>
      <c r="G17" s="100">
        <v>28.16</v>
      </c>
      <c r="H17" s="100">
        <v>14.68</v>
      </c>
      <c r="I17" s="100">
        <v>5.01</v>
      </c>
      <c r="J17" s="100">
        <v>0.32</v>
      </c>
      <c r="K17" s="100">
        <v>253.13</v>
      </c>
      <c r="L17" s="100">
        <v>25.57</v>
      </c>
      <c r="M17" s="100">
        <v>99.68</v>
      </c>
      <c r="N17" s="100">
        <v>2.4</v>
      </c>
      <c r="O17" s="100">
        <v>0.4</v>
      </c>
      <c r="P17" s="100">
        <v>0.23</v>
      </c>
      <c r="Q17" s="100">
        <v>9.92</v>
      </c>
      <c r="R17" s="6"/>
      <c r="S17" s="6"/>
      <c r="T17" s="156"/>
      <c r="U17" s="6"/>
    </row>
    <row r="18" spans="1:21" customFormat="1">
      <c r="A18" s="163" t="s">
        <v>2649</v>
      </c>
      <c r="B18" s="100">
        <v>4.25</v>
      </c>
      <c r="C18" s="100">
        <v>6.39</v>
      </c>
      <c r="D18" s="100">
        <v>3.13</v>
      </c>
      <c r="E18" s="100">
        <v>5.83</v>
      </c>
      <c r="F18" s="100">
        <v>2.94</v>
      </c>
      <c r="G18" s="100">
        <v>28.16</v>
      </c>
      <c r="H18" s="100">
        <v>14.68</v>
      </c>
      <c r="I18" s="100">
        <v>4.7</v>
      </c>
      <c r="J18" s="100">
        <v>0.11</v>
      </c>
      <c r="K18" s="100">
        <v>220</v>
      </c>
      <c r="L18" s="100">
        <v>25.6</v>
      </c>
      <c r="M18" s="100">
        <v>99.68</v>
      </c>
      <c r="N18" s="100">
        <v>2.2999999999999998</v>
      </c>
      <c r="O18" s="100">
        <v>0.2</v>
      </c>
      <c r="P18" s="100">
        <v>0.24</v>
      </c>
      <c r="Q18" s="100">
        <v>9.9</v>
      </c>
      <c r="R18" s="6"/>
      <c r="S18" s="6"/>
      <c r="T18" s="156"/>
      <c r="U18" s="6"/>
    </row>
    <row r="19" spans="1:21" customFormat="1">
      <c r="A19" s="163" t="s">
        <v>2650</v>
      </c>
      <c r="B19" s="100">
        <v>4.18</v>
      </c>
      <c r="C19" s="100">
        <v>6.33</v>
      </c>
      <c r="D19" s="100">
        <v>3.1</v>
      </c>
      <c r="E19" s="100">
        <v>5.84</v>
      </c>
      <c r="F19" s="100">
        <v>3.09</v>
      </c>
      <c r="G19" s="100">
        <v>26.73</v>
      </c>
      <c r="H19" s="100">
        <v>13.77</v>
      </c>
      <c r="I19" s="100">
        <v>4.63</v>
      </c>
      <c r="J19" s="100">
        <v>0.23</v>
      </c>
      <c r="K19" s="100">
        <v>236.97</v>
      </c>
      <c r="L19" s="100">
        <v>25.6</v>
      </c>
      <c r="M19" s="100">
        <v>99.7</v>
      </c>
      <c r="N19" s="100">
        <v>2.2999999999999998</v>
      </c>
      <c r="O19" s="100">
        <v>0</v>
      </c>
      <c r="P19" s="100">
        <v>0.23</v>
      </c>
      <c r="Q19" s="100">
        <v>9.9</v>
      </c>
      <c r="R19" s="6"/>
      <c r="S19" s="6"/>
      <c r="T19" s="156"/>
      <c r="U19" s="6"/>
    </row>
    <row r="20" spans="1:21" customFormat="1">
      <c r="A20" s="163" t="s">
        <v>2651</v>
      </c>
      <c r="B20" s="100">
        <v>4.1500000000000004</v>
      </c>
      <c r="C20" s="100">
        <v>6.3</v>
      </c>
      <c r="D20" s="100">
        <v>3.09</v>
      </c>
      <c r="E20" s="100">
        <v>6.11</v>
      </c>
      <c r="F20" s="100">
        <v>2.94</v>
      </c>
      <c r="G20" s="100">
        <v>25.64</v>
      </c>
      <c r="H20" s="100">
        <v>13.48</v>
      </c>
      <c r="I20" s="100">
        <v>4.74</v>
      </c>
      <c r="J20" s="100">
        <v>0.28000000000000003</v>
      </c>
      <c r="K20" s="100">
        <v>247.63</v>
      </c>
      <c r="L20" s="100">
        <v>25.57</v>
      </c>
      <c r="M20" s="100">
        <v>99.7</v>
      </c>
      <c r="N20" s="100">
        <v>2.2999999999999998</v>
      </c>
      <c r="O20" s="100">
        <v>0</v>
      </c>
      <c r="P20" s="100">
        <v>0.22</v>
      </c>
      <c r="Q20" s="100">
        <v>9.91</v>
      </c>
      <c r="R20" s="6"/>
      <c r="S20" s="6"/>
      <c r="T20" s="156"/>
      <c r="U20" s="6"/>
    </row>
    <row r="21" spans="1:21" customFormat="1">
      <c r="A21" s="163" t="s">
        <v>2652</v>
      </c>
      <c r="B21" s="100">
        <v>4.0999999999999996</v>
      </c>
      <c r="C21" s="100">
        <v>6.22</v>
      </c>
      <c r="D21" s="100">
        <v>3.02</v>
      </c>
      <c r="E21" s="100">
        <v>6.21</v>
      </c>
      <c r="F21" s="100">
        <v>2.82</v>
      </c>
      <c r="G21" s="100">
        <v>25.64</v>
      </c>
      <c r="H21" s="100">
        <v>13.48</v>
      </c>
      <c r="I21" s="100">
        <v>4.6900000000000004</v>
      </c>
      <c r="J21" s="100">
        <v>0.3</v>
      </c>
      <c r="K21" s="100">
        <v>246.48</v>
      </c>
      <c r="L21" s="100">
        <v>25.56</v>
      </c>
      <c r="M21" s="100">
        <v>99.7</v>
      </c>
      <c r="N21" s="100">
        <v>2.4</v>
      </c>
      <c r="O21" s="100">
        <v>0</v>
      </c>
      <c r="P21" s="100">
        <v>0.22</v>
      </c>
      <c r="Q21" s="100">
        <v>9.92</v>
      </c>
      <c r="R21" s="6"/>
      <c r="S21" s="6"/>
      <c r="T21" s="156"/>
      <c r="U21" s="6"/>
    </row>
    <row r="22" spans="1:21" customFormat="1">
      <c r="A22" s="163" t="s">
        <v>2653</v>
      </c>
      <c r="B22" s="100">
        <v>4.0599999999999996</v>
      </c>
      <c r="C22" s="100">
        <v>6.15</v>
      </c>
      <c r="D22" s="100">
        <v>2.96</v>
      </c>
      <c r="E22" s="100">
        <v>6</v>
      </c>
      <c r="F22" s="100">
        <v>2.65</v>
      </c>
      <c r="G22" s="100">
        <v>25.64</v>
      </c>
      <c r="H22" s="100">
        <v>13.48</v>
      </c>
      <c r="I22" s="100">
        <v>4.59</v>
      </c>
      <c r="J22" s="100">
        <v>0.33</v>
      </c>
      <c r="K22" s="100">
        <v>250.58</v>
      </c>
      <c r="L22" s="100">
        <v>25.57</v>
      </c>
      <c r="M22" s="100">
        <v>99.7</v>
      </c>
      <c r="N22" s="100">
        <v>2.2999999999999998</v>
      </c>
      <c r="O22" s="100">
        <v>0</v>
      </c>
      <c r="P22" s="100">
        <v>0.22</v>
      </c>
      <c r="Q22" s="100">
        <v>9.91</v>
      </c>
      <c r="R22" s="6"/>
      <c r="S22" s="6"/>
      <c r="T22" s="156"/>
      <c r="U22" s="6"/>
    </row>
    <row r="23" spans="1:21" customFormat="1">
      <c r="A23" s="163" t="s">
        <v>2654</v>
      </c>
      <c r="B23" s="100">
        <v>4.03</v>
      </c>
      <c r="C23" s="100">
        <v>6.09</v>
      </c>
      <c r="D23" s="100">
        <v>2.88</v>
      </c>
      <c r="E23" s="100">
        <v>6</v>
      </c>
      <c r="F23" s="100">
        <v>2.92</v>
      </c>
      <c r="G23" s="100">
        <v>27.15</v>
      </c>
      <c r="H23" s="100">
        <v>13.3</v>
      </c>
      <c r="I23" s="100">
        <v>4.54</v>
      </c>
      <c r="J23" s="100">
        <v>0.3</v>
      </c>
      <c r="K23" s="100">
        <v>251.49</v>
      </c>
      <c r="L23" s="100">
        <v>25.55</v>
      </c>
      <c r="M23" s="100">
        <v>99.72</v>
      </c>
      <c r="N23" s="100">
        <v>2.2999999999999998</v>
      </c>
      <c r="O23" s="100">
        <v>0.2</v>
      </c>
      <c r="P23" s="100">
        <v>0.22</v>
      </c>
      <c r="Q23" s="100">
        <v>9.91</v>
      </c>
      <c r="R23" s="6"/>
      <c r="S23" s="6"/>
      <c r="T23" s="156"/>
      <c r="U23" s="6"/>
    </row>
    <row r="24" spans="1:21" customFormat="1">
      <c r="A24" s="163" t="s">
        <v>2655</v>
      </c>
      <c r="B24" s="100">
        <v>4.01</v>
      </c>
      <c r="C24" s="100">
        <v>6.03</v>
      </c>
      <c r="D24" s="100">
        <v>2.81</v>
      </c>
      <c r="E24" s="100">
        <v>5.75</v>
      </c>
      <c r="F24" s="100">
        <v>3.36</v>
      </c>
      <c r="G24" s="100">
        <v>28.29</v>
      </c>
      <c r="H24" s="100">
        <v>13.24</v>
      </c>
      <c r="I24" s="100">
        <v>4.4800000000000004</v>
      </c>
      <c r="J24" s="100">
        <v>0.3</v>
      </c>
      <c r="K24" s="100">
        <v>234.11</v>
      </c>
      <c r="L24" s="100">
        <v>25.61</v>
      </c>
      <c r="M24" s="100">
        <v>99.73</v>
      </c>
      <c r="N24" s="100">
        <v>2.2000000000000002</v>
      </c>
      <c r="O24" s="100">
        <v>0</v>
      </c>
      <c r="P24" s="100">
        <v>0.21</v>
      </c>
      <c r="Q24" s="100">
        <v>9.91</v>
      </c>
      <c r="R24" s="6"/>
      <c r="S24" s="6"/>
      <c r="T24" s="156"/>
      <c r="U24" s="6"/>
    </row>
    <row r="25" spans="1:21" customFormat="1">
      <c r="A25" s="163" t="s">
        <v>2656</v>
      </c>
      <c r="B25" s="100">
        <v>3.99</v>
      </c>
      <c r="C25" s="100">
        <v>5.98</v>
      </c>
      <c r="D25" s="100">
        <v>2.75</v>
      </c>
      <c r="E25" s="100">
        <v>6.07</v>
      </c>
      <c r="F25" s="100">
        <v>3.1</v>
      </c>
      <c r="G25" s="100">
        <v>28.29</v>
      </c>
      <c r="H25" s="100">
        <v>13.24</v>
      </c>
      <c r="I25" s="100">
        <v>4.42</v>
      </c>
      <c r="J25" s="100">
        <v>0.4</v>
      </c>
      <c r="K25" s="100">
        <v>256.58</v>
      </c>
      <c r="L25" s="100">
        <v>25.63</v>
      </c>
      <c r="M25" s="100">
        <v>99.73</v>
      </c>
      <c r="N25" s="100">
        <v>2.4</v>
      </c>
      <c r="O25" s="100">
        <v>0</v>
      </c>
      <c r="P25" s="100">
        <v>0.21</v>
      </c>
      <c r="Q25" s="100">
        <v>9.92</v>
      </c>
      <c r="R25" s="6"/>
      <c r="S25" s="6"/>
      <c r="T25" s="156"/>
      <c r="U25" s="6"/>
    </row>
    <row r="26" spans="1:21" customFormat="1">
      <c r="A26" s="163" t="s">
        <v>2657</v>
      </c>
      <c r="B26" s="100">
        <v>3.93</v>
      </c>
      <c r="C26" s="100">
        <v>5.97</v>
      </c>
      <c r="D26" s="100">
        <v>2.82</v>
      </c>
      <c r="E26" s="100">
        <v>6.15</v>
      </c>
      <c r="F26" s="100">
        <v>2.76</v>
      </c>
      <c r="G26" s="100">
        <v>28.29</v>
      </c>
      <c r="H26" s="100">
        <v>13.24</v>
      </c>
      <c r="I26" s="100">
        <v>4.26</v>
      </c>
      <c r="J26" s="100">
        <v>0.39</v>
      </c>
      <c r="K26" s="100">
        <v>256.83999999999997</v>
      </c>
      <c r="L26" s="100">
        <v>25.59</v>
      </c>
      <c r="M26" s="100">
        <v>99.74</v>
      </c>
      <c r="N26" s="100">
        <v>2.4</v>
      </c>
      <c r="O26" s="100">
        <v>0</v>
      </c>
      <c r="P26" s="100">
        <v>0.2</v>
      </c>
      <c r="Q26" s="100">
        <v>9.91</v>
      </c>
      <c r="R26" s="6"/>
      <c r="S26" s="6"/>
      <c r="T26" s="156"/>
      <c r="U26" s="6"/>
    </row>
    <row r="27" spans="1:21" customFormat="1">
      <c r="A27" s="163" t="s">
        <v>2658</v>
      </c>
      <c r="B27" s="100">
        <v>3.84</v>
      </c>
      <c r="C27" s="100">
        <v>5.9</v>
      </c>
      <c r="D27" s="100">
        <v>2.81</v>
      </c>
      <c r="E27" s="100">
        <v>6.14</v>
      </c>
      <c r="F27" s="100">
        <v>3.34</v>
      </c>
      <c r="G27" s="100">
        <v>28.52</v>
      </c>
      <c r="H27" s="100">
        <v>13.08</v>
      </c>
      <c r="I27" s="100">
        <v>4.22</v>
      </c>
      <c r="J27" s="100">
        <v>0.22</v>
      </c>
      <c r="K27" s="100">
        <v>239.78</v>
      </c>
      <c r="L27" s="100">
        <v>25.65</v>
      </c>
      <c r="M27" s="100">
        <v>99.74</v>
      </c>
      <c r="N27" s="100">
        <v>2.2000000000000002</v>
      </c>
      <c r="O27" s="100">
        <v>0</v>
      </c>
      <c r="P27" s="100">
        <v>0.22</v>
      </c>
      <c r="Q27" s="100">
        <v>9.9</v>
      </c>
      <c r="R27" s="6"/>
      <c r="S27" s="6"/>
      <c r="T27" s="156"/>
      <c r="U27" s="6"/>
    </row>
    <row r="28" spans="1:21" customFormat="1">
      <c r="A28" s="163" t="s">
        <v>2659</v>
      </c>
      <c r="B28" s="100">
        <v>3.83</v>
      </c>
      <c r="C28" s="100">
        <v>5.86</v>
      </c>
      <c r="D28" s="100">
        <v>2.75</v>
      </c>
      <c r="E28" s="100">
        <v>6.28</v>
      </c>
      <c r="F28" s="100">
        <v>3.62</v>
      </c>
      <c r="G28" s="100">
        <v>28.7</v>
      </c>
      <c r="H28" s="100">
        <v>13.02</v>
      </c>
      <c r="I28" s="100">
        <v>4.22</v>
      </c>
      <c r="J28" s="100">
        <v>0.26</v>
      </c>
      <c r="K28" s="100">
        <v>254.84</v>
      </c>
      <c r="L28" s="100">
        <v>25.59</v>
      </c>
      <c r="M28" s="100">
        <v>99.27</v>
      </c>
      <c r="N28" s="100">
        <v>2.2999999999999998</v>
      </c>
      <c r="O28" s="100">
        <v>0</v>
      </c>
      <c r="P28" s="100">
        <v>0.2</v>
      </c>
      <c r="Q28" s="100">
        <v>9.9</v>
      </c>
      <c r="R28" s="6"/>
      <c r="S28" s="6"/>
      <c r="T28" s="156"/>
      <c r="U28" s="6"/>
    </row>
    <row r="29" spans="1:21" customFormat="1">
      <c r="A29" s="163" t="s">
        <v>2660</v>
      </c>
      <c r="B29" s="100">
        <v>3.85</v>
      </c>
      <c r="C29" s="100">
        <v>5.85</v>
      </c>
      <c r="D29" s="100">
        <v>2.71</v>
      </c>
      <c r="E29" s="100">
        <v>6.27</v>
      </c>
      <c r="F29" s="100">
        <v>2.92</v>
      </c>
      <c r="G29" s="100">
        <v>28.7</v>
      </c>
      <c r="H29" s="100">
        <v>13.02</v>
      </c>
      <c r="I29" s="100">
        <v>4.1500000000000004</v>
      </c>
      <c r="J29" s="100">
        <v>0.24</v>
      </c>
      <c r="K29" s="100">
        <v>246.19</v>
      </c>
      <c r="L29" s="100">
        <v>25.67</v>
      </c>
      <c r="M29" s="100">
        <v>99.14</v>
      </c>
      <c r="N29" s="100">
        <v>2.4</v>
      </c>
      <c r="O29" s="100">
        <v>0</v>
      </c>
      <c r="P29" s="100">
        <v>0.19</v>
      </c>
      <c r="Q29" s="100">
        <v>9.91</v>
      </c>
      <c r="R29" s="6"/>
      <c r="S29" s="6"/>
      <c r="T29" s="156"/>
      <c r="U29" s="6"/>
    </row>
    <row r="30" spans="1:21" customFormat="1">
      <c r="A30" s="163" t="s">
        <v>2661</v>
      </c>
      <c r="B30" s="100">
        <v>3.83</v>
      </c>
      <c r="C30" s="100">
        <v>5.81</v>
      </c>
      <c r="D30" s="100">
        <v>2.67</v>
      </c>
      <c r="E30" s="100">
        <v>6.15</v>
      </c>
      <c r="F30" s="100">
        <v>2.75</v>
      </c>
      <c r="G30" s="100">
        <v>28.7</v>
      </c>
      <c r="H30" s="100">
        <v>13.02</v>
      </c>
      <c r="I30" s="100">
        <v>3.97</v>
      </c>
      <c r="J30" s="100">
        <v>0.22</v>
      </c>
      <c r="K30" s="100">
        <v>248.9</v>
      </c>
      <c r="L30" s="100">
        <v>25.61</v>
      </c>
      <c r="M30" s="100">
        <v>99.13</v>
      </c>
      <c r="N30" s="100">
        <v>2.6</v>
      </c>
      <c r="O30" s="100">
        <v>0</v>
      </c>
      <c r="P30" s="100">
        <v>0.21</v>
      </c>
      <c r="Q30" s="100">
        <v>9.91</v>
      </c>
      <c r="R30" s="6"/>
      <c r="S30" s="6"/>
      <c r="T30" s="156"/>
      <c r="U30" s="6"/>
    </row>
    <row r="31" spans="1:21" customFormat="1">
      <c r="A31" s="163" t="s">
        <v>2662</v>
      </c>
      <c r="B31" s="100">
        <v>3.8</v>
      </c>
      <c r="C31" s="100">
        <v>5.76</v>
      </c>
      <c r="D31" s="100">
        <v>2.6</v>
      </c>
      <c r="E31" s="100">
        <v>5.87</v>
      </c>
      <c r="F31" s="100">
        <v>3.13</v>
      </c>
      <c r="G31" s="100">
        <v>26.98</v>
      </c>
      <c r="H31" s="100">
        <v>13.97</v>
      </c>
      <c r="I31" s="100">
        <v>4.0199999999999996</v>
      </c>
      <c r="J31" s="100">
        <v>0.15</v>
      </c>
      <c r="K31" s="100">
        <v>239.37</v>
      </c>
      <c r="L31" s="100">
        <v>25.62</v>
      </c>
      <c r="M31" s="100">
        <v>99.75</v>
      </c>
      <c r="N31" s="100">
        <v>3.6</v>
      </c>
      <c r="O31" s="100">
        <v>0</v>
      </c>
      <c r="P31" s="100">
        <v>0.23</v>
      </c>
      <c r="Q31" s="100">
        <v>9.91</v>
      </c>
      <c r="R31" s="6"/>
      <c r="S31" s="6"/>
      <c r="T31" s="156"/>
      <c r="U31" s="6"/>
    </row>
    <row r="32" spans="1:21" customFormat="1">
      <c r="A32" s="163" t="s">
        <v>2663</v>
      </c>
      <c r="B32" s="100">
        <v>4.05</v>
      </c>
      <c r="C32" s="100">
        <v>5.83</v>
      </c>
      <c r="D32" s="100">
        <v>2.36</v>
      </c>
      <c r="E32" s="100">
        <v>5.8</v>
      </c>
      <c r="F32" s="100">
        <v>2.12</v>
      </c>
      <c r="G32" s="100">
        <v>25.67</v>
      </c>
      <c r="H32" s="100">
        <v>14.53</v>
      </c>
      <c r="I32" s="100">
        <v>4.01</v>
      </c>
      <c r="J32" s="100">
        <v>0.21</v>
      </c>
      <c r="K32" s="100">
        <v>253.23</v>
      </c>
      <c r="L32" s="100">
        <v>25.58</v>
      </c>
      <c r="M32" s="100">
        <v>99.17</v>
      </c>
      <c r="N32" s="100">
        <v>6.1</v>
      </c>
      <c r="O32" s="100">
        <v>0</v>
      </c>
      <c r="P32" s="100">
        <v>0.21</v>
      </c>
      <c r="Q32" s="100">
        <v>9.91</v>
      </c>
      <c r="R32" s="6"/>
      <c r="S32" s="6"/>
      <c r="T32" s="156"/>
      <c r="U32" s="6"/>
    </row>
    <row r="33" spans="1:21" customFormat="1">
      <c r="A33" s="163" t="s">
        <v>2664</v>
      </c>
      <c r="B33" s="100">
        <v>4.3</v>
      </c>
      <c r="C33" s="100">
        <v>5.81</v>
      </c>
      <c r="D33" s="100">
        <v>1.94</v>
      </c>
      <c r="E33" s="100">
        <v>5.36</v>
      </c>
      <c r="F33" s="100">
        <v>2.46</v>
      </c>
      <c r="G33" s="100">
        <v>25.67</v>
      </c>
      <c r="H33" s="100">
        <v>14.53</v>
      </c>
      <c r="I33" s="100">
        <v>3.88</v>
      </c>
      <c r="J33" s="100">
        <v>0.31</v>
      </c>
      <c r="K33" s="100">
        <v>22.98</v>
      </c>
      <c r="L33" s="100">
        <v>25.64</v>
      </c>
      <c r="M33" s="100">
        <v>99.19</v>
      </c>
      <c r="N33" s="100">
        <v>5.2</v>
      </c>
      <c r="O33" s="100">
        <v>2.2000000000000002</v>
      </c>
      <c r="P33" s="100">
        <v>0.22</v>
      </c>
      <c r="Q33" s="100">
        <v>9.93</v>
      </c>
      <c r="R33" s="6"/>
      <c r="S33" s="6"/>
      <c r="T33" s="156"/>
      <c r="U33" s="6"/>
    </row>
    <row r="34" spans="1:21" customFormat="1">
      <c r="A34" s="163" t="s">
        <v>2665</v>
      </c>
      <c r="B34" s="100">
        <v>4.5</v>
      </c>
      <c r="C34" s="100">
        <v>6.02</v>
      </c>
      <c r="D34" s="100">
        <v>2.0299999999999998</v>
      </c>
      <c r="E34" s="100">
        <v>5.31</v>
      </c>
      <c r="F34" s="100">
        <v>2.17</v>
      </c>
      <c r="G34" s="100">
        <v>25.67</v>
      </c>
      <c r="H34" s="100">
        <v>14.53</v>
      </c>
      <c r="I34" s="100">
        <v>3.95</v>
      </c>
      <c r="J34" s="100">
        <v>0.15</v>
      </c>
      <c r="K34" s="100">
        <v>125.62</v>
      </c>
      <c r="L34" s="100">
        <v>24.91</v>
      </c>
      <c r="M34" s="100">
        <v>99.28</v>
      </c>
      <c r="N34" s="100">
        <v>3.7</v>
      </c>
      <c r="O34" s="100">
        <v>10.4</v>
      </c>
      <c r="P34" s="100">
        <v>0.23</v>
      </c>
      <c r="Q34" s="100">
        <v>9.93</v>
      </c>
      <c r="R34" s="6"/>
      <c r="S34" s="6"/>
      <c r="T34" s="156"/>
      <c r="U34" s="6"/>
    </row>
    <row r="35" spans="1:21" customFormat="1">
      <c r="A35" s="163" t="s">
        <v>2666</v>
      </c>
      <c r="B35" s="100">
        <v>5.13</v>
      </c>
      <c r="C35" s="100">
        <v>6.62</v>
      </c>
      <c r="D35" s="100">
        <v>2.21</v>
      </c>
      <c r="E35" s="100">
        <v>5.16</v>
      </c>
      <c r="F35" s="100">
        <v>2.2200000000000002</v>
      </c>
      <c r="G35" s="100">
        <v>21.57</v>
      </c>
      <c r="H35" s="100">
        <v>15.29</v>
      </c>
      <c r="I35" s="100">
        <v>4.05</v>
      </c>
      <c r="J35" s="100">
        <v>0.13</v>
      </c>
      <c r="K35" s="100">
        <v>285.20999999999998</v>
      </c>
      <c r="L35" s="100">
        <v>24.68</v>
      </c>
      <c r="M35" s="100">
        <v>99.75</v>
      </c>
      <c r="N35" s="100">
        <v>6.1</v>
      </c>
      <c r="O35" s="100">
        <v>6.4</v>
      </c>
      <c r="P35" s="100">
        <v>0.22</v>
      </c>
      <c r="Q35" s="100">
        <v>9.93</v>
      </c>
      <c r="R35" s="6"/>
      <c r="S35" s="6"/>
      <c r="T35" s="156"/>
      <c r="U35" s="6"/>
    </row>
    <row r="36" spans="1:21" customFormat="1">
      <c r="A36" s="163" t="s">
        <v>2667</v>
      </c>
      <c r="B36" s="100">
        <v>5.0599999999999996</v>
      </c>
      <c r="C36" s="100">
        <v>6.52</v>
      </c>
      <c r="D36" s="100">
        <v>2.13</v>
      </c>
      <c r="E36" s="100">
        <v>5.36</v>
      </c>
      <c r="F36" s="100">
        <v>2.2400000000000002</v>
      </c>
      <c r="G36" s="100">
        <v>18.43</v>
      </c>
      <c r="H36" s="100">
        <v>15.53</v>
      </c>
      <c r="I36" s="100">
        <v>4.1900000000000004</v>
      </c>
      <c r="J36" s="100">
        <v>0.13</v>
      </c>
      <c r="K36" s="100">
        <v>123.83</v>
      </c>
      <c r="L36" s="100">
        <v>24.52</v>
      </c>
      <c r="M36" s="100">
        <v>99.24</v>
      </c>
      <c r="N36" s="100">
        <v>6.7</v>
      </c>
      <c r="O36" s="100">
        <v>3</v>
      </c>
      <c r="P36" s="100">
        <v>0.25</v>
      </c>
      <c r="Q36" s="100">
        <v>9.93</v>
      </c>
      <c r="R36" s="6"/>
      <c r="S36" s="6"/>
      <c r="T36" s="156"/>
      <c r="U36" s="6"/>
    </row>
    <row r="37" spans="1:21" customFormat="1">
      <c r="A37" s="163" t="s">
        <v>2668</v>
      </c>
      <c r="B37" s="100">
        <v>5.22</v>
      </c>
      <c r="C37" s="100">
        <v>6.64</v>
      </c>
      <c r="D37" s="100">
        <v>2.1</v>
      </c>
      <c r="E37" s="100">
        <v>5.2</v>
      </c>
      <c r="F37" s="100">
        <v>2.1</v>
      </c>
      <c r="G37" s="100">
        <v>18.43</v>
      </c>
      <c r="H37" s="100">
        <v>15.53</v>
      </c>
      <c r="I37" s="100">
        <v>4.1500000000000004</v>
      </c>
      <c r="J37" s="100">
        <v>0.23</v>
      </c>
      <c r="K37" s="100">
        <v>245.04</v>
      </c>
      <c r="L37" s="100">
        <v>24.52</v>
      </c>
      <c r="M37" s="100">
        <v>99.27</v>
      </c>
      <c r="N37" s="100">
        <v>8</v>
      </c>
      <c r="O37" s="100">
        <v>0.2</v>
      </c>
      <c r="P37" s="100">
        <v>0.22</v>
      </c>
      <c r="Q37" s="100">
        <v>9.9499999999999993</v>
      </c>
      <c r="R37" s="6"/>
      <c r="S37" s="6"/>
      <c r="T37" s="156"/>
      <c r="U37" s="6"/>
    </row>
    <row r="38" spans="1:21" customFormat="1">
      <c r="A38" s="163" t="s">
        <v>2669</v>
      </c>
      <c r="B38" s="100">
        <v>5.33</v>
      </c>
      <c r="C38" s="100">
        <v>6.68</v>
      </c>
      <c r="D38" s="100">
        <v>2.0099999999999998</v>
      </c>
      <c r="E38" s="100">
        <v>5.24</v>
      </c>
      <c r="F38" s="100">
        <v>2.4</v>
      </c>
      <c r="G38" s="100">
        <v>18.43</v>
      </c>
      <c r="H38" s="100">
        <v>15.53</v>
      </c>
      <c r="I38" s="100">
        <v>4.13</v>
      </c>
      <c r="J38" s="100">
        <v>0.22</v>
      </c>
      <c r="K38" s="100">
        <v>252.09</v>
      </c>
      <c r="L38" s="100">
        <v>24.35</v>
      </c>
      <c r="M38" s="100">
        <v>99.65</v>
      </c>
      <c r="N38" s="100">
        <v>10.5</v>
      </c>
      <c r="O38" s="100">
        <v>0.8</v>
      </c>
      <c r="P38" s="100">
        <v>0.24</v>
      </c>
      <c r="Q38" s="100">
        <v>9.93</v>
      </c>
      <c r="R38" s="6"/>
      <c r="S38" s="6"/>
      <c r="T38" s="156"/>
      <c r="U38" s="6"/>
    </row>
    <row r="39" spans="1:21" customFormat="1">
      <c r="A39" s="163" t="s">
        <v>2670</v>
      </c>
      <c r="B39" s="100">
        <v>5.46</v>
      </c>
      <c r="C39" s="100">
        <v>6.83</v>
      </c>
      <c r="D39" s="100">
        <v>2.11</v>
      </c>
      <c r="E39" s="100">
        <v>5.38</v>
      </c>
      <c r="F39" s="100">
        <v>2.1</v>
      </c>
      <c r="G39" s="100">
        <v>15.69</v>
      </c>
      <c r="H39" s="100">
        <v>12.36</v>
      </c>
      <c r="I39" s="100">
        <v>4.08</v>
      </c>
      <c r="J39" s="100">
        <v>0.28000000000000003</v>
      </c>
      <c r="K39" s="100">
        <v>245.17</v>
      </c>
      <c r="L39" s="100">
        <v>24.39</v>
      </c>
      <c r="M39" s="100">
        <v>99.55</v>
      </c>
      <c r="N39" s="100">
        <v>13.8</v>
      </c>
      <c r="O39" s="100">
        <v>0.6</v>
      </c>
      <c r="P39" s="100">
        <v>0.23</v>
      </c>
      <c r="Q39" s="100">
        <v>9.92</v>
      </c>
      <c r="R39" s="6"/>
      <c r="S39" s="6"/>
      <c r="T39" s="156"/>
      <c r="U39" s="6"/>
    </row>
    <row r="40" spans="1:21" customFormat="1">
      <c r="A40" s="163" t="s">
        <v>2671</v>
      </c>
      <c r="B40" s="100">
        <v>5.61</v>
      </c>
      <c r="C40" s="100">
        <v>6.87</v>
      </c>
      <c r="D40" s="100">
        <v>1.95</v>
      </c>
      <c r="E40" s="100">
        <v>5.2</v>
      </c>
      <c r="F40" s="100">
        <v>2.1800000000000002</v>
      </c>
      <c r="G40" s="100">
        <v>13.59</v>
      </c>
      <c r="H40" s="100">
        <v>11.37</v>
      </c>
      <c r="I40" s="100">
        <v>4.17</v>
      </c>
      <c r="J40" s="100">
        <v>0.27</v>
      </c>
      <c r="K40" s="100">
        <v>248.45</v>
      </c>
      <c r="L40" s="100">
        <v>24.43</v>
      </c>
      <c r="M40" s="100">
        <v>99.31</v>
      </c>
      <c r="N40" s="100">
        <v>23</v>
      </c>
      <c r="O40" s="100">
        <v>0.4</v>
      </c>
      <c r="P40" s="100">
        <v>0.23</v>
      </c>
      <c r="Q40" s="100">
        <v>9.93</v>
      </c>
      <c r="R40" s="6"/>
      <c r="S40" s="6"/>
      <c r="T40" s="156"/>
      <c r="U40" s="6"/>
    </row>
    <row r="41" spans="1:21" customFormat="1">
      <c r="A41" s="163" t="s">
        <v>2672</v>
      </c>
      <c r="B41" s="100">
        <v>5.52</v>
      </c>
      <c r="C41" s="100">
        <v>6.87</v>
      </c>
      <c r="D41" s="100">
        <v>2.09</v>
      </c>
      <c r="E41" s="100">
        <v>5.54</v>
      </c>
      <c r="F41" s="100">
        <v>2.17</v>
      </c>
      <c r="G41" s="100">
        <v>13.59</v>
      </c>
      <c r="H41" s="100">
        <v>11.37</v>
      </c>
      <c r="I41" s="100">
        <v>4.17</v>
      </c>
      <c r="J41" s="100">
        <v>0.46</v>
      </c>
      <c r="K41" s="100">
        <v>255.82</v>
      </c>
      <c r="L41" s="100">
        <v>24.32</v>
      </c>
      <c r="M41" s="100">
        <v>99.33</v>
      </c>
      <c r="N41" s="100">
        <v>23.2</v>
      </c>
      <c r="O41" s="100">
        <v>0.4</v>
      </c>
      <c r="P41" s="100">
        <v>0.25</v>
      </c>
      <c r="Q41" s="100">
        <v>9.94</v>
      </c>
      <c r="R41" s="6"/>
      <c r="S41" s="6"/>
      <c r="T41" s="156"/>
      <c r="U41" s="6"/>
    </row>
    <row r="42" spans="1:21" customFormat="1">
      <c r="A42" s="163" t="s">
        <v>2673</v>
      </c>
      <c r="B42" s="100">
        <v>5.74</v>
      </c>
      <c r="C42" s="100">
        <v>7.03</v>
      </c>
      <c r="D42" s="100">
        <v>2.06</v>
      </c>
      <c r="E42" s="100">
        <v>5.18</v>
      </c>
      <c r="F42" s="100">
        <v>2.11</v>
      </c>
      <c r="G42" s="100">
        <v>13.59</v>
      </c>
      <c r="H42" s="100">
        <v>11.37</v>
      </c>
      <c r="I42" s="100">
        <v>4.17</v>
      </c>
      <c r="J42" s="100">
        <v>0.38</v>
      </c>
      <c r="K42" s="100">
        <v>247.66</v>
      </c>
      <c r="L42" s="100">
        <v>24.18</v>
      </c>
      <c r="M42" s="100">
        <v>99.92</v>
      </c>
      <c r="N42" s="100">
        <v>31.4</v>
      </c>
      <c r="O42" s="100">
        <v>0.2</v>
      </c>
      <c r="P42" s="100">
        <v>0.24</v>
      </c>
      <c r="Q42" s="100">
        <v>9.9499999999999993</v>
      </c>
      <c r="R42" s="6"/>
      <c r="S42" s="6"/>
      <c r="T42" s="156"/>
      <c r="U42" s="6"/>
    </row>
    <row r="43" spans="1:21" customFormat="1">
      <c r="A43" s="163" t="s">
        <v>2674</v>
      </c>
      <c r="B43" s="100">
        <v>5.57</v>
      </c>
      <c r="C43" s="100">
        <v>6.93</v>
      </c>
      <c r="D43" s="100">
        <v>2.13</v>
      </c>
      <c r="E43" s="100">
        <v>5.28</v>
      </c>
      <c r="F43" s="100">
        <v>2.27</v>
      </c>
      <c r="G43" s="100">
        <v>14.08</v>
      </c>
      <c r="H43" s="100">
        <v>9.32</v>
      </c>
      <c r="I43" s="100">
        <v>4.26</v>
      </c>
      <c r="J43" s="100">
        <v>0.35</v>
      </c>
      <c r="K43" s="100">
        <v>249.63</v>
      </c>
      <c r="L43" s="100">
        <v>24.28</v>
      </c>
      <c r="M43" s="100">
        <v>99.4</v>
      </c>
      <c r="N43" s="100">
        <v>51.1</v>
      </c>
      <c r="O43" s="100">
        <v>0.2</v>
      </c>
      <c r="P43" s="100">
        <v>0.26</v>
      </c>
      <c r="Q43" s="100">
        <v>9.93</v>
      </c>
      <c r="R43" s="6"/>
      <c r="S43" s="6"/>
      <c r="T43" s="156"/>
      <c r="U43" s="6"/>
    </row>
    <row r="44" spans="1:21" customFormat="1">
      <c r="A44" s="163" t="s">
        <v>2675</v>
      </c>
      <c r="B44" s="100">
        <v>5.6</v>
      </c>
      <c r="C44" s="100">
        <v>7.05</v>
      </c>
      <c r="D44" s="100">
        <v>2.2999999999999998</v>
      </c>
      <c r="E44" s="100">
        <v>5.67</v>
      </c>
      <c r="F44" s="100">
        <v>2.1</v>
      </c>
      <c r="G44" s="100">
        <v>14.46</v>
      </c>
      <c r="H44" s="100">
        <v>8.67</v>
      </c>
      <c r="I44" s="100">
        <v>4.24</v>
      </c>
      <c r="J44" s="100">
        <v>0.61</v>
      </c>
      <c r="K44" s="100">
        <v>256.48</v>
      </c>
      <c r="L44" s="100">
        <v>24.6</v>
      </c>
      <c r="M44" s="100">
        <v>99.37</v>
      </c>
      <c r="N44" s="100">
        <v>81.7</v>
      </c>
      <c r="O44" s="100">
        <v>0.2</v>
      </c>
      <c r="P44" s="100">
        <v>0.24</v>
      </c>
      <c r="Q44" s="100">
        <v>9.93</v>
      </c>
      <c r="R44" s="6"/>
      <c r="S44" s="6"/>
      <c r="T44" s="156"/>
      <c r="U44" s="6"/>
    </row>
    <row r="45" spans="1:21" customFormat="1">
      <c r="A45" s="163" t="s">
        <v>2676</v>
      </c>
      <c r="B45" s="100">
        <v>5.72</v>
      </c>
      <c r="C45" s="100">
        <v>7</v>
      </c>
      <c r="D45" s="100">
        <v>2.02</v>
      </c>
      <c r="E45" s="100">
        <v>5.2</v>
      </c>
      <c r="F45" s="100">
        <v>2.12</v>
      </c>
      <c r="G45" s="100">
        <v>14.46</v>
      </c>
      <c r="H45" s="100">
        <v>8.67</v>
      </c>
      <c r="I45" s="100">
        <v>4.41</v>
      </c>
      <c r="J45" s="100">
        <v>0.59</v>
      </c>
      <c r="K45" s="100">
        <v>256.32</v>
      </c>
      <c r="L45" s="100">
        <v>24.72</v>
      </c>
      <c r="M45" s="100">
        <v>99.42</v>
      </c>
      <c r="N45" s="100">
        <v>76.400000000000006</v>
      </c>
      <c r="O45" s="100">
        <v>0</v>
      </c>
      <c r="P45" s="100">
        <v>0.24</v>
      </c>
      <c r="Q45" s="100">
        <v>9.93</v>
      </c>
      <c r="R45" s="6"/>
      <c r="S45" s="6"/>
      <c r="T45" s="156"/>
      <c r="U45" s="6"/>
    </row>
    <row r="46" spans="1:21" customFormat="1">
      <c r="A46" s="163" t="s">
        <v>2677</v>
      </c>
      <c r="B46" s="100">
        <v>5.4</v>
      </c>
      <c r="C46" s="100">
        <v>6.84</v>
      </c>
      <c r="D46" s="100">
        <v>2.21</v>
      </c>
      <c r="E46" s="100">
        <v>5.16</v>
      </c>
      <c r="F46" s="100">
        <v>2.17</v>
      </c>
      <c r="G46" s="100">
        <v>14.46</v>
      </c>
      <c r="H46" s="100">
        <v>8.67</v>
      </c>
      <c r="I46" s="100">
        <v>4.41</v>
      </c>
      <c r="J46" s="100">
        <v>0.54</v>
      </c>
      <c r="K46" s="100">
        <v>256.47000000000003</v>
      </c>
      <c r="L46" s="100">
        <v>24.85</v>
      </c>
      <c r="M46" s="100">
        <v>99.97</v>
      </c>
      <c r="N46" s="100">
        <v>76.3</v>
      </c>
      <c r="O46" s="100">
        <v>0.2</v>
      </c>
      <c r="P46" s="100">
        <v>0.26</v>
      </c>
      <c r="Q46" s="100">
        <v>9.93</v>
      </c>
      <c r="R46" s="6"/>
      <c r="S46" s="6"/>
      <c r="T46" s="156"/>
      <c r="U46" s="6"/>
    </row>
    <row r="47" spans="1:21" customFormat="1">
      <c r="A47" s="163" t="s">
        <v>2678</v>
      </c>
      <c r="B47" s="100">
        <v>5.29</v>
      </c>
      <c r="C47" s="100">
        <v>6.78</v>
      </c>
      <c r="D47" s="100">
        <v>2.2599999999999998</v>
      </c>
      <c r="E47" s="100">
        <v>5.01</v>
      </c>
      <c r="F47" s="100">
        <v>2.85</v>
      </c>
      <c r="G47" s="100">
        <v>13.43</v>
      </c>
      <c r="H47" s="100">
        <v>6.95</v>
      </c>
      <c r="I47" s="100">
        <v>4.3099999999999996</v>
      </c>
      <c r="J47" s="100">
        <v>0.56000000000000005</v>
      </c>
      <c r="K47" s="100">
        <v>251.85</v>
      </c>
      <c r="L47" s="100">
        <v>24.91</v>
      </c>
      <c r="M47" s="100">
        <v>99.42</v>
      </c>
      <c r="N47" s="100">
        <v>68.400000000000006</v>
      </c>
      <c r="O47" s="100">
        <v>0</v>
      </c>
      <c r="P47" s="100">
        <v>0.24</v>
      </c>
      <c r="Q47" s="100">
        <v>9.94</v>
      </c>
      <c r="R47" s="6"/>
      <c r="S47" s="6"/>
      <c r="T47" s="156"/>
      <c r="U47" s="6"/>
    </row>
    <row r="48" spans="1:21" customFormat="1">
      <c r="A48" s="163" t="s">
        <v>2679</v>
      </c>
      <c r="B48" s="100">
        <v>5.23</v>
      </c>
      <c r="C48" s="100">
        <v>6.73</v>
      </c>
      <c r="D48" s="100">
        <v>2.2599999999999998</v>
      </c>
      <c r="E48" s="100">
        <v>5.1100000000000003</v>
      </c>
      <c r="F48" s="100">
        <v>2.2599999999999998</v>
      </c>
      <c r="G48" s="100">
        <v>12.64</v>
      </c>
      <c r="H48" s="100">
        <v>6.4</v>
      </c>
      <c r="I48" s="100">
        <v>4.37</v>
      </c>
      <c r="J48" s="100">
        <v>0.37</v>
      </c>
      <c r="K48" s="100">
        <v>255.17</v>
      </c>
      <c r="L48" s="100">
        <v>25.24</v>
      </c>
      <c r="M48" s="100">
        <v>99.44</v>
      </c>
      <c r="N48" s="100">
        <v>79.900000000000006</v>
      </c>
      <c r="O48" s="100">
        <v>0.2</v>
      </c>
      <c r="P48" s="100">
        <v>0.26</v>
      </c>
      <c r="Q48" s="100">
        <v>9.94</v>
      </c>
      <c r="R48" s="6"/>
      <c r="S48" s="6"/>
      <c r="T48" s="156"/>
      <c r="U48" s="6"/>
    </row>
    <row r="49" spans="1:21" customFormat="1">
      <c r="A49" s="163" t="s">
        <v>2680</v>
      </c>
      <c r="B49" s="100">
        <v>5.35</v>
      </c>
      <c r="C49" s="100">
        <v>6.78</v>
      </c>
      <c r="D49" s="100">
        <v>2.19</v>
      </c>
      <c r="E49" s="100">
        <v>4.34</v>
      </c>
      <c r="F49" s="100">
        <v>2.1</v>
      </c>
      <c r="G49" s="100">
        <v>12.64</v>
      </c>
      <c r="H49" s="100">
        <v>6.4</v>
      </c>
      <c r="I49" s="100">
        <v>4.22</v>
      </c>
      <c r="J49" s="100">
        <v>0.42</v>
      </c>
      <c r="K49" s="100">
        <v>252.49</v>
      </c>
      <c r="L49" s="100">
        <v>25.32</v>
      </c>
      <c r="M49" s="100">
        <v>100.08</v>
      </c>
      <c r="N49" s="100">
        <v>73.900000000000006</v>
      </c>
      <c r="O49" s="100">
        <v>0</v>
      </c>
      <c r="P49" s="100">
        <v>0.24</v>
      </c>
      <c r="Q49" s="100">
        <v>9.93</v>
      </c>
      <c r="R49" s="6"/>
      <c r="S49" s="6"/>
      <c r="T49" s="156"/>
      <c r="U49" s="6"/>
    </row>
    <row r="50" spans="1:21" customFormat="1">
      <c r="A50" s="163" t="s">
        <v>2681</v>
      </c>
      <c r="B50" s="100">
        <v>5.21</v>
      </c>
      <c r="C50" s="100">
        <v>7.19</v>
      </c>
      <c r="D50" s="100">
        <v>3.19</v>
      </c>
      <c r="E50" s="100">
        <v>5.26</v>
      </c>
      <c r="F50" s="100">
        <v>2.1</v>
      </c>
      <c r="G50" s="100">
        <v>12.64</v>
      </c>
      <c r="H50" s="100">
        <v>6.4</v>
      </c>
      <c r="I50" s="100">
        <v>4.3499999999999996</v>
      </c>
      <c r="J50" s="100">
        <v>0.47</v>
      </c>
      <c r="K50" s="100">
        <v>255.41</v>
      </c>
      <c r="L50" s="100">
        <v>25.62</v>
      </c>
      <c r="M50" s="100">
        <v>100.09</v>
      </c>
      <c r="N50" s="100">
        <v>100.5</v>
      </c>
      <c r="O50" s="100">
        <v>0</v>
      </c>
      <c r="P50" s="100">
        <v>0.22</v>
      </c>
      <c r="Q50" s="100">
        <v>9.92</v>
      </c>
      <c r="R50" s="6"/>
      <c r="S50" s="6"/>
      <c r="T50" s="156"/>
      <c r="U50" s="6"/>
    </row>
    <row r="51" spans="1:21" customFormat="1">
      <c r="A51" s="163" t="s">
        <v>2682</v>
      </c>
      <c r="B51" s="100">
        <v>4.88</v>
      </c>
      <c r="C51" s="100">
        <v>7.3</v>
      </c>
      <c r="D51" s="100">
        <v>3.9</v>
      </c>
      <c r="E51" s="100">
        <v>5.35</v>
      </c>
      <c r="F51" s="100">
        <v>2.12</v>
      </c>
      <c r="G51" s="100">
        <v>10.78</v>
      </c>
      <c r="H51" s="100">
        <v>5.58</v>
      </c>
      <c r="I51" s="100">
        <v>4.3</v>
      </c>
      <c r="J51" s="100">
        <v>0.66</v>
      </c>
      <c r="K51" s="100">
        <v>259.35000000000002</v>
      </c>
      <c r="L51" s="100">
        <v>25.83</v>
      </c>
      <c r="M51" s="100">
        <v>100.14</v>
      </c>
      <c r="N51" s="100">
        <v>120.1</v>
      </c>
      <c r="O51" s="100">
        <v>0</v>
      </c>
      <c r="P51" s="100">
        <v>0.21</v>
      </c>
      <c r="Q51" s="100">
        <v>9.91</v>
      </c>
      <c r="R51" s="6"/>
      <c r="S51" s="6"/>
      <c r="T51" s="156"/>
      <c r="U51" s="6"/>
    </row>
    <row r="52" spans="1:21" customFormat="1">
      <c r="A52" s="163" t="s">
        <v>2683</v>
      </c>
      <c r="B52" s="100">
        <v>4.53</v>
      </c>
      <c r="C52" s="100">
        <v>7.06</v>
      </c>
      <c r="D52" s="100">
        <v>3.97</v>
      </c>
      <c r="E52" s="100">
        <v>5.52</v>
      </c>
      <c r="F52" s="100">
        <v>2.48</v>
      </c>
      <c r="G52" s="100">
        <v>9.35</v>
      </c>
      <c r="H52" s="100">
        <v>5.32</v>
      </c>
      <c r="I52" s="100">
        <v>4.25</v>
      </c>
      <c r="J52" s="100">
        <v>0.53</v>
      </c>
      <c r="K52" s="100">
        <v>261.39</v>
      </c>
      <c r="L52" s="100">
        <v>26.01</v>
      </c>
      <c r="M52" s="100">
        <v>100.16</v>
      </c>
      <c r="N52" s="100">
        <v>136.6</v>
      </c>
      <c r="O52" s="100">
        <v>0</v>
      </c>
      <c r="P52" s="100">
        <v>0.21</v>
      </c>
      <c r="Q52" s="100">
        <v>9.91</v>
      </c>
      <c r="R52" s="6"/>
      <c r="S52" s="6"/>
      <c r="T52" s="156"/>
      <c r="U52" s="6"/>
    </row>
    <row r="53" spans="1:21" customFormat="1">
      <c r="A53" s="163" t="s">
        <v>2684</v>
      </c>
      <c r="B53" s="100">
        <v>4.1100000000000003</v>
      </c>
      <c r="C53" s="100">
        <v>6.61</v>
      </c>
      <c r="D53" s="100">
        <v>3.75</v>
      </c>
      <c r="E53" s="100">
        <v>4.9800000000000004</v>
      </c>
      <c r="F53" s="100">
        <v>7.66</v>
      </c>
      <c r="G53" s="100">
        <v>9.35</v>
      </c>
      <c r="H53" s="100">
        <v>5.32</v>
      </c>
      <c r="I53" s="100">
        <v>4.1100000000000003</v>
      </c>
      <c r="J53" s="100">
        <v>0.38</v>
      </c>
      <c r="K53" s="100">
        <v>263.62</v>
      </c>
      <c r="L53" s="100">
        <v>26.47</v>
      </c>
      <c r="M53" s="100">
        <v>100.16</v>
      </c>
      <c r="N53" s="100">
        <v>147.4</v>
      </c>
      <c r="O53" s="100">
        <v>0</v>
      </c>
      <c r="P53" s="100">
        <v>0.21</v>
      </c>
      <c r="Q53" s="100">
        <v>9.91</v>
      </c>
      <c r="R53" s="6"/>
      <c r="S53" s="6"/>
      <c r="T53" s="156"/>
      <c r="U53" s="6"/>
    </row>
    <row r="54" spans="1:21" customFormat="1">
      <c r="A54" s="163" t="s">
        <v>2685</v>
      </c>
      <c r="B54" s="100">
        <v>3.52</v>
      </c>
      <c r="C54" s="100">
        <v>6.2</v>
      </c>
      <c r="D54" s="100">
        <v>3.88</v>
      </c>
      <c r="E54" s="100">
        <v>4.76</v>
      </c>
      <c r="F54" s="100">
        <v>5.92</v>
      </c>
      <c r="G54" s="100">
        <v>9.35</v>
      </c>
      <c r="H54" s="100">
        <v>5.32</v>
      </c>
      <c r="I54" s="100">
        <v>4.0599999999999996</v>
      </c>
      <c r="J54" s="100">
        <v>0.55000000000000004</v>
      </c>
      <c r="K54" s="100">
        <v>257.77</v>
      </c>
      <c r="L54" s="100">
        <v>27.1</v>
      </c>
      <c r="M54" s="100">
        <v>98.82</v>
      </c>
      <c r="N54" s="100">
        <v>269.8</v>
      </c>
      <c r="O54" s="100">
        <v>0</v>
      </c>
      <c r="P54" s="100">
        <v>0.21</v>
      </c>
      <c r="Q54" s="100">
        <v>9.92</v>
      </c>
      <c r="R54" s="6"/>
      <c r="S54" s="6"/>
      <c r="T54" s="156"/>
      <c r="U54" s="6"/>
    </row>
    <row r="55" spans="1:21" customFormat="1">
      <c r="A55" s="163" t="s">
        <v>2686</v>
      </c>
      <c r="B55" s="100">
        <v>2.86</v>
      </c>
      <c r="C55" s="100">
        <v>5.69</v>
      </c>
      <c r="D55" s="100">
        <v>3.91</v>
      </c>
      <c r="E55" s="100">
        <v>4.2699999999999996</v>
      </c>
      <c r="F55" s="100">
        <v>9.7799999999999994</v>
      </c>
      <c r="G55" s="100">
        <v>11.59</v>
      </c>
      <c r="H55" s="100">
        <v>4.54</v>
      </c>
      <c r="I55" s="100">
        <v>3.97</v>
      </c>
      <c r="J55" s="100">
        <v>0.66</v>
      </c>
      <c r="K55" s="100">
        <v>266.72000000000003</v>
      </c>
      <c r="L55" s="100">
        <v>27.42</v>
      </c>
      <c r="M55" s="100">
        <v>91.62</v>
      </c>
      <c r="N55" s="100">
        <v>235.8</v>
      </c>
      <c r="O55" s="100">
        <v>0</v>
      </c>
      <c r="P55" s="100">
        <v>0.23</v>
      </c>
      <c r="Q55" s="100">
        <v>9.91</v>
      </c>
      <c r="R55" s="6"/>
      <c r="S55" s="6"/>
      <c r="T55" s="156"/>
      <c r="U55" s="6"/>
    </row>
    <row r="56" spans="1:21" customFormat="1">
      <c r="A56" s="163" t="s">
        <v>2687</v>
      </c>
      <c r="B56" s="100">
        <v>2.73</v>
      </c>
      <c r="C56" s="100">
        <v>5.38</v>
      </c>
      <c r="D56" s="100">
        <v>3.52</v>
      </c>
      <c r="E56" s="100">
        <v>4.1900000000000004</v>
      </c>
      <c r="F56" s="100">
        <v>9.31</v>
      </c>
      <c r="G56" s="100">
        <v>13.3</v>
      </c>
      <c r="H56" s="100">
        <v>4.08</v>
      </c>
      <c r="I56" s="100">
        <v>3.79</v>
      </c>
      <c r="J56" s="100">
        <v>0.4</v>
      </c>
      <c r="K56" s="100">
        <v>253.65</v>
      </c>
      <c r="L56" s="100">
        <v>27.64</v>
      </c>
      <c r="M56" s="100">
        <v>90.54</v>
      </c>
      <c r="N56" s="100">
        <v>127.5</v>
      </c>
      <c r="O56" s="100">
        <v>0</v>
      </c>
      <c r="P56" s="100">
        <v>0.23</v>
      </c>
      <c r="Q56" s="100">
        <v>9.93</v>
      </c>
      <c r="R56" s="6"/>
      <c r="S56" s="6"/>
      <c r="T56" s="156"/>
      <c r="U56" s="6"/>
    </row>
    <row r="57" spans="1:21" customFormat="1">
      <c r="A57" s="163" t="s">
        <v>2688</v>
      </c>
      <c r="B57" s="100">
        <v>2.77</v>
      </c>
      <c r="C57" s="100">
        <v>5.24</v>
      </c>
      <c r="D57" s="100">
        <v>3.19</v>
      </c>
      <c r="E57" s="100">
        <v>4.0599999999999996</v>
      </c>
      <c r="F57" s="100">
        <v>13.82</v>
      </c>
      <c r="G57" s="100">
        <v>13.3</v>
      </c>
      <c r="H57" s="100">
        <v>4.08</v>
      </c>
      <c r="I57" s="100">
        <v>3.73</v>
      </c>
      <c r="J57" s="100">
        <v>0.66</v>
      </c>
      <c r="K57" s="100">
        <v>255.87</v>
      </c>
      <c r="L57" s="100">
        <v>27.32</v>
      </c>
      <c r="M57" s="100">
        <v>89.58</v>
      </c>
      <c r="N57" s="100">
        <v>76.900000000000006</v>
      </c>
      <c r="O57" s="100">
        <v>0</v>
      </c>
      <c r="P57" s="100">
        <v>0.2</v>
      </c>
      <c r="Q57" s="100">
        <v>9.92</v>
      </c>
      <c r="R57" s="6"/>
      <c r="S57" s="6"/>
      <c r="T57" s="156"/>
      <c r="U57" s="6"/>
    </row>
    <row r="58" spans="1:21" customFormat="1">
      <c r="A58" s="163" t="s">
        <v>2689</v>
      </c>
      <c r="B58" s="100">
        <v>2.83</v>
      </c>
      <c r="C58" s="100">
        <v>5.21</v>
      </c>
      <c r="D58" s="100">
        <v>3.06</v>
      </c>
      <c r="E58" s="100">
        <v>4.1900000000000004</v>
      </c>
      <c r="F58" s="100">
        <v>13.52</v>
      </c>
      <c r="G58" s="100">
        <v>13.3</v>
      </c>
      <c r="H58" s="100">
        <v>4.08</v>
      </c>
      <c r="I58" s="100">
        <v>3.64</v>
      </c>
      <c r="J58" s="100">
        <v>0.54</v>
      </c>
      <c r="K58" s="100">
        <v>264.27</v>
      </c>
      <c r="L58" s="100">
        <v>27.47</v>
      </c>
      <c r="M58" s="100">
        <v>89</v>
      </c>
      <c r="N58" s="100">
        <v>213.2</v>
      </c>
      <c r="O58" s="100">
        <v>0</v>
      </c>
      <c r="P58" s="100">
        <v>0.2</v>
      </c>
      <c r="Q58" s="100">
        <v>9.91</v>
      </c>
      <c r="R58" s="6"/>
      <c r="S58" s="6"/>
      <c r="T58" s="156"/>
      <c r="U58" s="6"/>
    </row>
    <row r="59" spans="1:21" customFormat="1">
      <c r="A59" s="163" t="s">
        <v>2690</v>
      </c>
      <c r="B59" s="100">
        <v>2.84</v>
      </c>
      <c r="C59" s="100">
        <v>5.15</v>
      </c>
      <c r="D59" s="100">
        <v>2.92</v>
      </c>
      <c r="E59" s="100">
        <v>3.99</v>
      </c>
      <c r="F59" s="100">
        <v>11.07</v>
      </c>
      <c r="G59" s="100">
        <v>13.83</v>
      </c>
      <c r="H59" s="100">
        <v>6.85</v>
      </c>
      <c r="I59" s="100">
        <v>3.34</v>
      </c>
      <c r="J59" s="100">
        <v>0.71</v>
      </c>
      <c r="K59" s="100">
        <v>255.07</v>
      </c>
      <c r="L59" s="100">
        <v>28.21</v>
      </c>
      <c r="M59" s="100">
        <v>85.42</v>
      </c>
      <c r="N59" s="100">
        <v>253.4</v>
      </c>
      <c r="O59" s="100">
        <v>0</v>
      </c>
      <c r="P59" s="100">
        <v>0.18</v>
      </c>
      <c r="Q59" s="100">
        <v>9.92</v>
      </c>
      <c r="R59" s="6"/>
      <c r="S59" s="6"/>
      <c r="T59" s="156"/>
      <c r="U59" s="6"/>
    </row>
    <row r="60" spans="1:21" customFormat="1">
      <c r="A60" s="163" t="s">
        <v>2691</v>
      </c>
      <c r="B60" s="100">
        <v>2.85</v>
      </c>
      <c r="C60" s="100">
        <v>5.15</v>
      </c>
      <c r="D60" s="100">
        <v>2.9</v>
      </c>
      <c r="E60" s="100">
        <v>4.42</v>
      </c>
      <c r="F60" s="100">
        <v>15.33</v>
      </c>
      <c r="G60" s="100">
        <v>14.23</v>
      </c>
      <c r="H60" s="100">
        <v>7.74</v>
      </c>
      <c r="I60" s="100">
        <v>3.23</v>
      </c>
      <c r="J60" s="100">
        <v>0.71</v>
      </c>
      <c r="K60" s="100">
        <v>252.15</v>
      </c>
      <c r="L60" s="100">
        <v>28.67</v>
      </c>
      <c r="M60" s="100">
        <v>84.01</v>
      </c>
      <c r="N60" s="100">
        <v>339.8</v>
      </c>
      <c r="O60" s="100">
        <v>0</v>
      </c>
      <c r="P60" s="100">
        <v>0.17</v>
      </c>
      <c r="Q60" s="100">
        <v>9.94</v>
      </c>
      <c r="R60" s="6"/>
      <c r="S60" s="6"/>
      <c r="T60" s="156"/>
      <c r="U60" s="6"/>
    </row>
    <row r="61" spans="1:21" customFormat="1">
      <c r="A61" s="163" t="s">
        <v>2692</v>
      </c>
      <c r="B61" s="100">
        <v>2.83</v>
      </c>
      <c r="C61" s="100">
        <v>5.08</v>
      </c>
      <c r="D61" s="100">
        <v>2.78</v>
      </c>
      <c r="E61" s="100">
        <v>4.3899999999999997</v>
      </c>
      <c r="F61" s="100">
        <v>13.45</v>
      </c>
      <c r="G61" s="100">
        <v>14.23</v>
      </c>
      <c r="H61" s="100">
        <v>7.74</v>
      </c>
      <c r="I61" s="100">
        <v>3.26</v>
      </c>
      <c r="J61" s="100">
        <v>0.71</v>
      </c>
      <c r="K61" s="100">
        <v>254.1</v>
      </c>
      <c r="L61" s="100">
        <v>29.74</v>
      </c>
      <c r="M61" s="100">
        <v>79.75</v>
      </c>
      <c r="N61" s="100">
        <v>674.8</v>
      </c>
      <c r="O61" s="100">
        <v>0</v>
      </c>
      <c r="P61" s="100">
        <v>0.19</v>
      </c>
      <c r="Q61" s="100">
        <v>9.94</v>
      </c>
      <c r="R61" s="6"/>
      <c r="S61" s="6"/>
      <c r="T61" s="156"/>
      <c r="U61" s="6"/>
    </row>
    <row r="62" spans="1:21" customFormat="1">
      <c r="A62" s="163" t="s">
        <v>2693</v>
      </c>
      <c r="B62" s="100">
        <v>2.75</v>
      </c>
      <c r="C62" s="100">
        <v>4.99</v>
      </c>
      <c r="D62" s="100">
        <v>2.74</v>
      </c>
      <c r="E62" s="100">
        <v>4.3099999999999996</v>
      </c>
      <c r="F62" s="100">
        <v>19.03</v>
      </c>
      <c r="G62" s="100">
        <v>14.23</v>
      </c>
      <c r="H62" s="100">
        <v>7.74</v>
      </c>
      <c r="I62" s="100">
        <v>3.08</v>
      </c>
      <c r="J62" s="100">
        <v>0.83</v>
      </c>
      <c r="K62" s="100">
        <v>255.87</v>
      </c>
      <c r="L62" s="100">
        <v>30.16</v>
      </c>
      <c r="M62" s="100">
        <v>77.53</v>
      </c>
      <c r="N62" s="100">
        <v>557.5</v>
      </c>
      <c r="O62" s="100">
        <v>0</v>
      </c>
      <c r="P62" s="100">
        <v>0.15</v>
      </c>
      <c r="Q62" s="100">
        <v>9.92</v>
      </c>
      <c r="R62" s="6"/>
      <c r="S62" s="6"/>
      <c r="T62" s="156"/>
      <c r="U62" s="6"/>
    </row>
    <row r="63" spans="1:21" customFormat="1">
      <c r="A63" s="163" t="s">
        <v>2694</v>
      </c>
      <c r="B63" s="100">
        <v>2.61</v>
      </c>
      <c r="C63" s="100">
        <v>4.82</v>
      </c>
      <c r="D63" s="100">
        <v>2.64</v>
      </c>
      <c r="E63" s="100">
        <v>4.3899999999999997</v>
      </c>
      <c r="F63" s="100">
        <v>11.76</v>
      </c>
      <c r="G63" s="100">
        <v>14.7</v>
      </c>
      <c r="H63" s="100">
        <v>6.04</v>
      </c>
      <c r="I63" s="100">
        <v>3.07</v>
      </c>
      <c r="J63" s="100">
        <v>0.57999999999999996</v>
      </c>
      <c r="K63" s="100">
        <v>247.78</v>
      </c>
      <c r="L63" s="100">
        <v>30.21</v>
      </c>
      <c r="M63" s="100">
        <v>76.83</v>
      </c>
      <c r="N63" s="100">
        <v>420.2</v>
      </c>
      <c r="O63" s="100">
        <v>0</v>
      </c>
      <c r="P63" s="100">
        <v>0.17</v>
      </c>
      <c r="Q63" s="100">
        <v>9.92</v>
      </c>
      <c r="R63" s="6"/>
      <c r="S63" s="6"/>
      <c r="T63" s="156"/>
      <c r="U63" s="6"/>
    </row>
    <row r="64" spans="1:21" customFormat="1">
      <c r="A64" s="163" t="s">
        <v>2695</v>
      </c>
      <c r="B64" s="100">
        <v>2.57</v>
      </c>
      <c r="C64" s="100">
        <v>4.83</v>
      </c>
      <c r="D64" s="100">
        <v>2.71</v>
      </c>
      <c r="E64" s="100">
        <v>4.3899999999999997</v>
      </c>
      <c r="F64" s="100">
        <v>16.16</v>
      </c>
      <c r="G64" s="100">
        <v>15.06</v>
      </c>
      <c r="H64" s="100">
        <v>5.5</v>
      </c>
      <c r="I64" s="100">
        <v>2.85</v>
      </c>
      <c r="J64" s="100">
        <v>0.62</v>
      </c>
      <c r="K64" s="100">
        <v>252.97</v>
      </c>
      <c r="L64" s="100">
        <v>30.07</v>
      </c>
      <c r="M64" s="100">
        <v>76.510000000000005</v>
      </c>
      <c r="N64" s="100">
        <v>239.8</v>
      </c>
      <c r="O64" s="100">
        <v>0</v>
      </c>
      <c r="P64" s="100">
        <v>0.17</v>
      </c>
      <c r="Q64" s="100">
        <v>9.92</v>
      </c>
      <c r="R64" s="6"/>
      <c r="S64" s="6"/>
      <c r="T64" s="156"/>
      <c r="U64" s="6"/>
    </row>
    <row r="65" spans="1:21" customFormat="1">
      <c r="A65" s="163" t="s">
        <v>2696</v>
      </c>
      <c r="B65" s="100">
        <v>2.62</v>
      </c>
      <c r="C65" s="100">
        <v>4.83</v>
      </c>
      <c r="D65" s="100">
        <v>2.63</v>
      </c>
      <c r="E65" s="100">
        <v>4.05</v>
      </c>
      <c r="F65" s="100">
        <v>16.79</v>
      </c>
      <c r="G65" s="100">
        <v>15.06</v>
      </c>
      <c r="H65" s="100">
        <v>5.5</v>
      </c>
      <c r="I65" s="100">
        <v>2.87</v>
      </c>
      <c r="J65" s="100">
        <v>0.68</v>
      </c>
      <c r="K65" s="100">
        <v>255.29</v>
      </c>
      <c r="L65" s="100">
        <v>29.7</v>
      </c>
      <c r="M65" s="100">
        <v>77.11</v>
      </c>
      <c r="N65" s="100">
        <v>242.9</v>
      </c>
      <c r="O65" s="100">
        <v>0</v>
      </c>
      <c r="P65" s="100">
        <v>0.28000000000000003</v>
      </c>
      <c r="Q65" s="100">
        <v>9.92</v>
      </c>
      <c r="R65" s="6"/>
      <c r="S65" s="6"/>
      <c r="T65" s="156"/>
      <c r="U65" s="6"/>
    </row>
    <row r="66" spans="1:21" customFormat="1">
      <c r="A66" s="163" t="s">
        <v>2697</v>
      </c>
      <c r="B66" s="100">
        <v>2.56</v>
      </c>
      <c r="C66" s="100">
        <v>4.75</v>
      </c>
      <c r="D66" s="100">
        <v>2.58</v>
      </c>
      <c r="E66" s="100">
        <v>4.29</v>
      </c>
      <c r="F66" s="100">
        <v>17.399999999999999</v>
      </c>
      <c r="G66" s="100">
        <v>15.06</v>
      </c>
      <c r="H66" s="100">
        <v>5.5</v>
      </c>
      <c r="I66" s="100">
        <v>2.71</v>
      </c>
      <c r="J66" s="100">
        <v>0.72</v>
      </c>
      <c r="K66" s="100">
        <v>261.70999999999998</v>
      </c>
      <c r="L66" s="100">
        <v>29.73</v>
      </c>
      <c r="M66" s="100">
        <v>76.790000000000006</v>
      </c>
      <c r="N66" s="100">
        <v>244.6</v>
      </c>
      <c r="O66" s="100">
        <v>0</v>
      </c>
      <c r="P66" s="100">
        <v>0.32</v>
      </c>
      <c r="Q66" s="100">
        <v>9.91</v>
      </c>
      <c r="R66" s="6"/>
      <c r="S66" s="6"/>
      <c r="T66" s="156"/>
      <c r="U66" s="6"/>
    </row>
    <row r="67" spans="1:21" customFormat="1">
      <c r="A67" s="163" t="s">
        <v>2698</v>
      </c>
      <c r="B67" s="100">
        <v>2.48</v>
      </c>
      <c r="C67" s="100">
        <v>4.62</v>
      </c>
      <c r="D67" s="100">
        <v>2.44</v>
      </c>
      <c r="E67" s="100">
        <v>3.86</v>
      </c>
      <c r="F67" s="100">
        <v>19</v>
      </c>
      <c r="G67" s="100">
        <v>14.81</v>
      </c>
      <c r="H67" s="100">
        <v>4.38</v>
      </c>
      <c r="I67" s="100">
        <v>2.68</v>
      </c>
      <c r="J67" s="100">
        <v>0.55000000000000004</v>
      </c>
      <c r="K67" s="100">
        <v>247.99</v>
      </c>
      <c r="L67" s="100">
        <v>29.87</v>
      </c>
      <c r="M67" s="100">
        <v>77.33</v>
      </c>
      <c r="N67" s="100">
        <v>197.2</v>
      </c>
      <c r="O67" s="100">
        <v>0</v>
      </c>
      <c r="P67" s="100">
        <v>0.3</v>
      </c>
      <c r="Q67" s="100">
        <v>9.93</v>
      </c>
      <c r="R67" s="6"/>
      <c r="S67" s="6"/>
      <c r="T67" s="156"/>
      <c r="U67" s="6"/>
    </row>
    <row r="68" spans="1:21" customFormat="1">
      <c r="A68" s="163" t="s">
        <v>2699</v>
      </c>
      <c r="B68" s="100">
        <v>2.48</v>
      </c>
      <c r="C68" s="100">
        <v>4.63</v>
      </c>
      <c r="D68" s="100">
        <v>2.46</v>
      </c>
      <c r="E68" s="100">
        <v>4.13</v>
      </c>
      <c r="F68" s="100">
        <v>19.3</v>
      </c>
      <c r="G68" s="100">
        <v>14.62</v>
      </c>
      <c r="H68" s="100">
        <v>4.03</v>
      </c>
      <c r="I68" s="100">
        <v>2.66</v>
      </c>
      <c r="J68" s="100">
        <v>0.39</v>
      </c>
      <c r="K68" s="100">
        <v>241.21</v>
      </c>
      <c r="L68" s="100">
        <v>30.06</v>
      </c>
      <c r="M68" s="100">
        <v>76.39</v>
      </c>
      <c r="N68" s="100">
        <v>213.9</v>
      </c>
      <c r="O68" s="100">
        <v>0</v>
      </c>
      <c r="P68" s="100">
        <v>0.3</v>
      </c>
      <c r="Q68" s="100">
        <v>9.92</v>
      </c>
      <c r="R68" s="6"/>
      <c r="S68" s="6"/>
      <c r="T68" s="156"/>
      <c r="U68" s="6"/>
    </row>
    <row r="69" spans="1:21" customFormat="1">
      <c r="A69" s="163" t="s">
        <v>2700</v>
      </c>
      <c r="B69" s="100">
        <v>2.5299999999999998</v>
      </c>
      <c r="C69" s="100">
        <v>4.5599999999999996</v>
      </c>
      <c r="D69" s="100">
        <v>2.2599999999999998</v>
      </c>
      <c r="E69" s="100">
        <v>4.17</v>
      </c>
      <c r="F69" s="100">
        <v>18.489999999999998</v>
      </c>
      <c r="G69" s="100">
        <v>14.62</v>
      </c>
      <c r="H69" s="100">
        <v>4.03</v>
      </c>
      <c r="I69" s="100">
        <v>2.4900000000000002</v>
      </c>
      <c r="J69" s="100">
        <v>0.5</v>
      </c>
      <c r="K69" s="100">
        <v>246.29</v>
      </c>
      <c r="L69" s="100">
        <v>29.46</v>
      </c>
      <c r="M69" s="100">
        <v>80.260000000000005</v>
      </c>
      <c r="N69" s="100">
        <v>103.2</v>
      </c>
      <c r="O69" s="100">
        <v>3.2</v>
      </c>
      <c r="P69" s="100">
        <v>0.28000000000000003</v>
      </c>
      <c r="Q69" s="100">
        <v>9.91</v>
      </c>
      <c r="R69" s="6"/>
      <c r="S69" s="6"/>
      <c r="T69" s="156"/>
      <c r="U69" s="6"/>
    </row>
    <row r="70" spans="1:21" customFormat="1">
      <c r="A70" s="163" t="s">
        <v>2701</v>
      </c>
      <c r="B70" s="100">
        <v>2.54</v>
      </c>
      <c r="C70" s="100">
        <v>4.72</v>
      </c>
      <c r="D70" s="100">
        <v>2.5499999999999998</v>
      </c>
      <c r="E70" s="100">
        <v>4.2</v>
      </c>
      <c r="F70" s="100">
        <v>8.0500000000000007</v>
      </c>
      <c r="G70" s="100">
        <v>14.62</v>
      </c>
      <c r="H70" s="100">
        <v>4.03</v>
      </c>
      <c r="I70" s="100">
        <v>2.46</v>
      </c>
      <c r="J70" s="100">
        <v>0.12</v>
      </c>
      <c r="K70" s="100">
        <v>215.02</v>
      </c>
      <c r="L70" s="100">
        <v>26.45</v>
      </c>
      <c r="M70" s="100">
        <v>99.8</v>
      </c>
      <c r="N70" s="100">
        <v>47.4</v>
      </c>
      <c r="O70" s="100">
        <v>1.6</v>
      </c>
      <c r="P70" s="100">
        <v>0.33</v>
      </c>
      <c r="Q70" s="100">
        <v>9.92</v>
      </c>
      <c r="R70" s="6"/>
      <c r="S70" s="6"/>
      <c r="T70" s="156"/>
      <c r="U70" s="6"/>
    </row>
    <row r="71" spans="1:21" customFormat="1">
      <c r="A71" s="163" t="s">
        <v>2702</v>
      </c>
      <c r="B71" s="100">
        <v>2.61</v>
      </c>
      <c r="C71" s="100">
        <v>4.91</v>
      </c>
      <c r="D71" s="100">
        <v>2.81</v>
      </c>
      <c r="E71" s="100">
        <v>3.96</v>
      </c>
      <c r="F71" s="100">
        <v>18.91</v>
      </c>
      <c r="G71" s="100">
        <v>12.3</v>
      </c>
      <c r="H71" s="100">
        <v>6.23</v>
      </c>
      <c r="I71" s="100">
        <v>2.36</v>
      </c>
      <c r="J71" s="100">
        <v>0.15</v>
      </c>
      <c r="K71" s="100">
        <v>193.12</v>
      </c>
      <c r="L71" s="100">
        <v>26.76</v>
      </c>
      <c r="M71" s="100">
        <v>100.41</v>
      </c>
      <c r="N71" s="100">
        <v>114.3</v>
      </c>
      <c r="O71" s="100">
        <v>0.2</v>
      </c>
      <c r="P71" s="100">
        <v>0.36</v>
      </c>
      <c r="Q71" s="100">
        <v>9.92</v>
      </c>
      <c r="R71" s="6"/>
      <c r="S71" s="6"/>
      <c r="T71" s="156"/>
      <c r="U71" s="6"/>
    </row>
    <row r="72" spans="1:21" customFormat="1">
      <c r="A72" s="163" t="s">
        <v>2703</v>
      </c>
      <c r="B72" s="100">
        <v>2.73</v>
      </c>
      <c r="C72" s="100">
        <v>4.82</v>
      </c>
      <c r="D72" s="100">
        <v>2.4500000000000002</v>
      </c>
      <c r="E72" s="100">
        <v>3.66</v>
      </c>
      <c r="F72" s="100">
        <v>16.059999999999999</v>
      </c>
      <c r="G72" s="100">
        <v>10.53</v>
      </c>
      <c r="H72" s="100">
        <v>6.93</v>
      </c>
      <c r="I72" s="100">
        <v>2.4300000000000002</v>
      </c>
      <c r="J72" s="100">
        <v>0.33</v>
      </c>
      <c r="K72" s="100">
        <v>243.97</v>
      </c>
      <c r="L72" s="100">
        <v>26.87</v>
      </c>
      <c r="M72" s="100">
        <v>100.5</v>
      </c>
      <c r="N72" s="100">
        <v>83</v>
      </c>
      <c r="O72" s="100">
        <v>0</v>
      </c>
      <c r="P72" s="100">
        <v>0.35</v>
      </c>
      <c r="Q72" s="100">
        <v>9.93</v>
      </c>
      <c r="R72" s="6"/>
      <c r="S72" s="6"/>
      <c r="T72" s="156"/>
      <c r="U72" s="6"/>
    </row>
    <row r="73" spans="1:21" customFormat="1">
      <c r="A73" s="163" t="s">
        <v>2704</v>
      </c>
      <c r="B73" s="100">
        <v>2.59</v>
      </c>
      <c r="C73" s="100">
        <v>4.6500000000000004</v>
      </c>
      <c r="D73" s="100">
        <v>2.33</v>
      </c>
      <c r="E73" s="100">
        <v>3.16</v>
      </c>
      <c r="F73" s="100">
        <v>19.03</v>
      </c>
      <c r="G73" s="100">
        <v>10.53</v>
      </c>
      <c r="H73" s="100">
        <v>6.93</v>
      </c>
      <c r="I73" s="100">
        <v>2.25</v>
      </c>
      <c r="J73" s="100">
        <v>0.49</v>
      </c>
      <c r="K73" s="100">
        <v>249.47</v>
      </c>
      <c r="L73" s="100">
        <v>26.96</v>
      </c>
      <c r="M73" s="100">
        <v>100.53</v>
      </c>
      <c r="N73" s="100">
        <v>92.5</v>
      </c>
      <c r="O73" s="100">
        <v>0</v>
      </c>
      <c r="P73" s="100">
        <v>0.34</v>
      </c>
      <c r="Q73" s="100">
        <v>9.9</v>
      </c>
      <c r="R73" s="6"/>
      <c r="S73" s="6"/>
      <c r="T73" s="156"/>
      <c r="U73" s="6"/>
    </row>
    <row r="74" spans="1:21" customFormat="1">
      <c r="A74" s="163" t="s">
        <v>2705</v>
      </c>
      <c r="B74" s="100">
        <v>2.3199999999999998</v>
      </c>
      <c r="C74" s="100">
        <v>4.47</v>
      </c>
      <c r="D74" s="100">
        <v>2.42</v>
      </c>
      <c r="E74" s="100">
        <v>3.06</v>
      </c>
      <c r="F74" s="100">
        <v>21.65</v>
      </c>
      <c r="G74" s="100">
        <v>10.53</v>
      </c>
      <c r="H74" s="100">
        <v>6.93</v>
      </c>
      <c r="I74" s="100">
        <v>2.2599999999999998</v>
      </c>
      <c r="J74" s="100">
        <v>0.46</v>
      </c>
      <c r="K74" s="100">
        <v>253.47</v>
      </c>
      <c r="L74" s="100">
        <v>27.07</v>
      </c>
      <c r="M74" s="100">
        <v>99.53</v>
      </c>
      <c r="N74" s="100">
        <v>70.7</v>
      </c>
      <c r="O74" s="100">
        <v>0</v>
      </c>
      <c r="P74" s="100">
        <v>0.33</v>
      </c>
      <c r="Q74" s="100">
        <v>9.8800000000000008</v>
      </c>
      <c r="R74" s="6"/>
      <c r="S74" s="6"/>
      <c r="T74" s="156"/>
      <c r="U74" s="6"/>
    </row>
    <row r="75" spans="1:21" customFormat="1">
      <c r="A75" s="163" t="s">
        <v>2706</v>
      </c>
      <c r="B75" s="100">
        <v>2.27</v>
      </c>
      <c r="C75" s="100">
        <v>4.41</v>
      </c>
      <c r="D75" s="100">
        <v>2.37</v>
      </c>
      <c r="E75" s="100">
        <v>2.76</v>
      </c>
      <c r="F75" s="100">
        <v>24.08</v>
      </c>
      <c r="G75" s="100">
        <v>11.36</v>
      </c>
      <c r="H75" s="100">
        <v>9.27</v>
      </c>
      <c r="I75" s="100">
        <v>2.13</v>
      </c>
      <c r="J75" s="100">
        <v>0.41</v>
      </c>
      <c r="K75" s="100">
        <v>254.8</v>
      </c>
      <c r="L75" s="100">
        <v>27.22</v>
      </c>
      <c r="M75" s="100">
        <v>96.1</v>
      </c>
      <c r="N75" s="100">
        <v>97.5</v>
      </c>
      <c r="O75" s="100">
        <v>0</v>
      </c>
      <c r="P75" s="100">
        <v>0.34</v>
      </c>
      <c r="Q75" s="100">
        <v>9.89</v>
      </c>
      <c r="R75" s="6"/>
      <c r="S75" s="6"/>
      <c r="T75" s="156"/>
      <c r="U75" s="6"/>
    </row>
    <row r="76" spans="1:21" customFormat="1">
      <c r="A76" s="163" t="s">
        <v>2707</v>
      </c>
      <c r="B76" s="100">
        <v>2.35</v>
      </c>
      <c r="C76" s="100">
        <v>4.58</v>
      </c>
      <c r="D76" s="100">
        <v>2.56</v>
      </c>
      <c r="E76" s="100">
        <v>3.06</v>
      </c>
      <c r="F76" s="100">
        <v>17.63</v>
      </c>
      <c r="G76" s="100">
        <v>11.97</v>
      </c>
      <c r="H76" s="100">
        <v>10</v>
      </c>
      <c r="I76" s="100">
        <v>1.61</v>
      </c>
      <c r="J76" s="100">
        <v>0.76</v>
      </c>
      <c r="K76" s="100">
        <v>254.85</v>
      </c>
      <c r="L76" s="100">
        <v>27.37</v>
      </c>
      <c r="M76" s="100">
        <v>91.63</v>
      </c>
      <c r="N76" s="100">
        <v>95.7</v>
      </c>
      <c r="O76" s="100">
        <v>0</v>
      </c>
      <c r="P76" s="100">
        <v>0.34</v>
      </c>
      <c r="Q76" s="100">
        <v>9.89</v>
      </c>
      <c r="R76" s="6"/>
      <c r="S76" s="6"/>
      <c r="T76" s="156"/>
      <c r="U76" s="6"/>
    </row>
    <row r="77" spans="1:21" customFormat="1">
      <c r="A77" s="163" t="s">
        <v>2708</v>
      </c>
      <c r="B77" s="100">
        <v>2.38</v>
      </c>
      <c r="C77" s="100">
        <v>4.68</v>
      </c>
      <c r="D77" s="100">
        <v>2.71</v>
      </c>
      <c r="E77" s="100">
        <v>3.03</v>
      </c>
      <c r="F77" s="100">
        <v>5.84</v>
      </c>
      <c r="G77" s="100">
        <v>11.97</v>
      </c>
      <c r="H77" s="100">
        <v>10</v>
      </c>
      <c r="I77" s="100">
        <v>2.36</v>
      </c>
      <c r="J77" s="100">
        <v>0.67</v>
      </c>
      <c r="K77" s="100">
        <v>255.88</v>
      </c>
      <c r="L77" s="100">
        <v>27.33</v>
      </c>
      <c r="M77" s="100">
        <v>90.03</v>
      </c>
      <c r="N77" s="100">
        <v>83.4</v>
      </c>
      <c r="O77" s="100">
        <v>0</v>
      </c>
      <c r="P77" s="100">
        <v>0.33</v>
      </c>
      <c r="Q77" s="100">
        <v>9.9</v>
      </c>
      <c r="R77" s="6"/>
      <c r="S77" s="6"/>
      <c r="T77" s="156"/>
      <c r="U77" s="6"/>
    </row>
    <row r="78" spans="1:21" customFormat="1">
      <c r="A78" s="163" t="s">
        <v>2709</v>
      </c>
      <c r="B78" s="100">
        <v>2.71</v>
      </c>
      <c r="C78" s="100">
        <v>4.88</v>
      </c>
      <c r="D78" s="100">
        <v>2.59</v>
      </c>
      <c r="E78" s="100">
        <v>2.96</v>
      </c>
      <c r="F78" s="100">
        <v>3.96</v>
      </c>
      <c r="G78" s="100">
        <v>11.97</v>
      </c>
      <c r="H78" s="100">
        <v>10</v>
      </c>
      <c r="I78" s="100">
        <v>1.6</v>
      </c>
      <c r="J78" s="100">
        <v>0.43</v>
      </c>
      <c r="K78" s="100">
        <v>245.8</v>
      </c>
      <c r="L78" s="100">
        <v>27.25</v>
      </c>
      <c r="M78" s="100">
        <v>90.07</v>
      </c>
      <c r="N78" s="100">
        <v>55.7</v>
      </c>
      <c r="O78" s="100">
        <v>0</v>
      </c>
      <c r="P78" s="100">
        <v>0.32</v>
      </c>
      <c r="Q78" s="100">
        <v>9.9</v>
      </c>
      <c r="R78" s="6"/>
      <c r="S78" s="6"/>
      <c r="T78" s="156"/>
      <c r="U78" s="6"/>
    </row>
    <row r="79" spans="1:21" customFormat="1">
      <c r="A79" s="163" t="s">
        <v>2710</v>
      </c>
      <c r="B79" s="100">
        <v>3.02</v>
      </c>
      <c r="C79" s="100">
        <v>4.8899999999999997</v>
      </c>
      <c r="D79" s="100">
        <v>2.13</v>
      </c>
      <c r="E79" s="100">
        <v>2.8</v>
      </c>
      <c r="F79" s="100">
        <v>3.49</v>
      </c>
      <c r="G79" s="100">
        <v>10.36</v>
      </c>
      <c r="H79" s="100">
        <v>8.1999999999999993</v>
      </c>
      <c r="I79" s="100">
        <v>1.7</v>
      </c>
      <c r="J79" s="100">
        <v>0.63</v>
      </c>
      <c r="K79" s="100">
        <v>256.07</v>
      </c>
      <c r="L79" s="100">
        <v>27.1</v>
      </c>
      <c r="M79" s="100">
        <v>88.8</v>
      </c>
      <c r="N79" s="100">
        <v>30.3</v>
      </c>
      <c r="O79" s="100">
        <v>0</v>
      </c>
      <c r="P79" s="100">
        <v>0.31</v>
      </c>
      <c r="Q79" s="100">
        <v>9.91</v>
      </c>
      <c r="R79" s="6"/>
      <c r="S79" s="6"/>
      <c r="T79" s="156"/>
      <c r="U79" s="6"/>
    </row>
    <row r="80" spans="1:21" customFormat="1">
      <c r="A80" s="163" t="s">
        <v>2711</v>
      </c>
      <c r="B80" s="100">
        <v>2.58</v>
      </c>
      <c r="C80" s="100">
        <v>4.53</v>
      </c>
      <c r="D80" s="100">
        <v>2.13</v>
      </c>
      <c r="E80" s="100">
        <v>2.88</v>
      </c>
      <c r="F80" s="100">
        <v>1.28</v>
      </c>
      <c r="G80" s="100">
        <v>9.17</v>
      </c>
      <c r="H80" s="100">
        <v>7.08</v>
      </c>
      <c r="I80" s="100">
        <v>2.58</v>
      </c>
      <c r="J80" s="100">
        <v>0.47</v>
      </c>
      <c r="K80" s="100">
        <v>253.45</v>
      </c>
      <c r="L80" s="100">
        <v>26.98</v>
      </c>
      <c r="M80" s="100">
        <v>89.31</v>
      </c>
      <c r="N80" s="100">
        <v>25.3</v>
      </c>
      <c r="O80" s="100">
        <v>0</v>
      </c>
      <c r="P80" s="100">
        <v>0.35</v>
      </c>
      <c r="Q80" s="100">
        <v>9.9</v>
      </c>
      <c r="R80" s="6"/>
      <c r="S80" s="6"/>
      <c r="T80" s="156"/>
      <c r="U80" s="6"/>
    </row>
    <row r="81" spans="1:21" customFormat="1">
      <c r="A81" s="163" t="s">
        <v>2712</v>
      </c>
      <c r="B81" s="100">
        <v>2.62</v>
      </c>
      <c r="C81" s="100">
        <v>4.6100000000000003</v>
      </c>
      <c r="D81" s="100">
        <v>2.21</v>
      </c>
      <c r="E81" s="100">
        <v>3.4</v>
      </c>
      <c r="F81" s="100">
        <v>0.91</v>
      </c>
      <c r="G81" s="100">
        <v>9.17</v>
      </c>
      <c r="H81" s="100">
        <v>7.08</v>
      </c>
      <c r="I81" s="100">
        <v>2.67</v>
      </c>
      <c r="J81" s="100">
        <v>0.54</v>
      </c>
      <c r="K81" s="100">
        <v>257.62</v>
      </c>
      <c r="L81" s="100">
        <v>26.87</v>
      </c>
      <c r="M81" s="100">
        <v>88.22</v>
      </c>
      <c r="N81" s="100">
        <v>18.2</v>
      </c>
      <c r="O81" s="100">
        <v>0</v>
      </c>
      <c r="P81" s="100">
        <v>0.33</v>
      </c>
      <c r="Q81" s="100">
        <v>9.9</v>
      </c>
      <c r="R81" s="6"/>
      <c r="S81" s="6"/>
      <c r="T81" s="156"/>
      <c r="U81" s="6"/>
    </row>
    <row r="82" spans="1:21" customFormat="1">
      <c r="A82" s="163" t="s">
        <v>2713</v>
      </c>
      <c r="B82" s="100">
        <v>2.77</v>
      </c>
      <c r="C82" s="100">
        <v>4.59</v>
      </c>
      <c r="D82" s="100">
        <v>1.95</v>
      </c>
      <c r="E82" s="100">
        <v>3.33</v>
      </c>
      <c r="F82" s="100">
        <v>1.28</v>
      </c>
      <c r="G82" s="100">
        <v>9.17</v>
      </c>
      <c r="H82" s="100">
        <v>7.08</v>
      </c>
      <c r="I82" s="100">
        <v>2.89</v>
      </c>
      <c r="J82" s="100">
        <v>0.61</v>
      </c>
      <c r="K82" s="100">
        <v>255.11</v>
      </c>
      <c r="L82" s="100">
        <v>26.74</v>
      </c>
      <c r="M82" s="100">
        <v>84.39</v>
      </c>
      <c r="N82" s="100">
        <v>11.6</v>
      </c>
      <c r="O82" s="100">
        <v>0</v>
      </c>
      <c r="P82" s="100">
        <v>0.32</v>
      </c>
      <c r="Q82" s="100">
        <v>9.91</v>
      </c>
      <c r="R82" s="6"/>
      <c r="S82" s="6"/>
      <c r="T82" s="156"/>
      <c r="U82" s="6"/>
    </row>
    <row r="83" spans="1:21" customFormat="1">
      <c r="A83" s="163" t="s">
        <v>2714</v>
      </c>
      <c r="B83" s="100">
        <v>2.73</v>
      </c>
      <c r="C83" s="100">
        <v>4.55</v>
      </c>
      <c r="D83" s="100">
        <v>1.92</v>
      </c>
      <c r="E83" s="100">
        <v>3.67</v>
      </c>
      <c r="F83" s="100">
        <v>0.88</v>
      </c>
      <c r="G83" s="100">
        <v>8.74</v>
      </c>
      <c r="H83" s="100">
        <v>5.81</v>
      </c>
      <c r="I83" s="100">
        <v>2.89</v>
      </c>
      <c r="J83" s="100">
        <v>0.38</v>
      </c>
      <c r="K83" s="100">
        <v>251.67</v>
      </c>
      <c r="L83" s="100">
        <v>26.51</v>
      </c>
      <c r="M83" s="100">
        <v>86.15</v>
      </c>
      <c r="N83" s="100">
        <v>6.3</v>
      </c>
      <c r="O83" s="100">
        <v>0</v>
      </c>
      <c r="P83" s="100">
        <v>0.35</v>
      </c>
      <c r="Q83" s="100">
        <v>9.89</v>
      </c>
      <c r="R83" s="6"/>
      <c r="S83" s="6"/>
      <c r="T83" s="156"/>
      <c r="U83" s="6"/>
    </row>
    <row r="84" spans="1:21" customFormat="1">
      <c r="A84" s="163" t="s">
        <v>2715</v>
      </c>
      <c r="B84" s="100">
        <v>2.85</v>
      </c>
      <c r="C84" s="100">
        <v>4.67</v>
      </c>
      <c r="D84" s="100">
        <v>1.98</v>
      </c>
      <c r="E84" s="100">
        <v>4</v>
      </c>
      <c r="F84" s="100">
        <v>0.92</v>
      </c>
      <c r="G84" s="100">
        <v>8.42</v>
      </c>
      <c r="H84" s="100">
        <v>5.4</v>
      </c>
      <c r="I84" s="100">
        <v>2.89</v>
      </c>
      <c r="J84" s="100">
        <v>-0.2</v>
      </c>
      <c r="K84" s="100">
        <v>-0.1</v>
      </c>
      <c r="L84" s="100">
        <v>26.35</v>
      </c>
      <c r="M84" s="100">
        <v>88.31</v>
      </c>
      <c r="N84" s="100">
        <v>2.9</v>
      </c>
      <c r="O84" s="100">
        <v>0</v>
      </c>
      <c r="P84" s="100">
        <v>0.34</v>
      </c>
      <c r="Q84" s="100">
        <v>9.8800000000000008</v>
      </c>
      <c r="R84" s="6"/>
      <c r="S84" s="6"/>
      <c r="T84" s="156"/>
      <c r="U84" s="6"/>
    </row>
    <row r="85" spans="1:21" customFormat="1">
      <c r="A85" s="163" t="s">
        <v>2716</v>
      </c>
      <c r="B85" s="100">
        <v>2.93</v>
      </c>
      <c r="C85" s="100">
        <v>4.75</v>
      </c>
      <c r="D85" s="100">
        <v>2.0099999999999998</v>
      </c>
      <c r="E85" s="100">
        <v>3.87</v>
      </c>
      <c r="F85" s="100">
        <v>2</v>
      </c>
      <c r="G85" s="100">
        <v>8.42</v>
      </c>
      <c r="H85" s="100">
        <v>5.4</v>
      </c>
      <c r="I85" s="100">
        <v>3.09</v>
      </c>
      <c r="J85" s="100">
        <v>0.17</v>
      </c>
      <c r="K85" s="100">
        <v>235.41</v>
      </c>
      <c r="L85" s="100">
        <v>26.18</v>
      </c>
      <c r="M85" s="100">
        <v>89.64</v>
      </c>
      <c r="N85" s="100">
        <v>2.2000000000000002</v>
      </c>
      <c r="O85" s="100">
        <v>0</v>
      </c>
      <c r="P85" s="100">
        <v>0.33</v>
      </c>
      <c r="Q85" s="100">
        <v>9.91</v>
      </c>
      <c r="R85" s="6"/>
      <c r="S85" s="6"/>
      <c r="T85" s="156"/>
      <c r="U85" s="6"/>
    </row>
    <row r="86" spans="1:21" customFormat="1">
      <c r="A86" s="163" t="s">
        <v>2717</v>
      </c>
      <c r="B86" s="100">
        <v>3.01</v>
      </c>
      <c r="C86" s="100">
        <v>4.7300000000000004</v>
      </c>
      <c r="D86" s="100">
        <v>1.85</v>
      </c>
      <c r="E86" s="100">
        <v>3.96</v>
      </c>
      <c r="F86" s="100">
        <v>0.26</v>
      </c>
      <c r="G86" s="100">
        <v>8.42</v>
      </c>
      <c r="H86" s="100">
        <v>5.4</v>
      </c>
      <c r="I86" s="100">
        <v>3.11</v>
      </c>
      <c r="J86" s="100">
        <v>0.13</v>
      </c>
      <c r="K86" s="100">
        <v>177.95</v>
      </c>
      <c r="L86" s="100">
        <v>26.06</v>
      </c>
      <c r="M86" s="100">
        <v>91.33</v>
      </c>
      <c r="N86" s="100">
        <v>2.2999999999999998</v>
      </c>
      <c r="O86" s="100">
        <v>0</v>
      </c>
      <c r="P86" s="100">
        <v>0.35</v>
      </c>
      <c r="Q86" s="100">
        <v>9.92</v>
      </c>
      <c r="R86" s="6"/>
      <c r="S86" s="6"/>
      <c r="T86" s="156"/>
      <c r="U86" s="6"/>
    </row>
    <row r="87" spans="1:21" customFormat="1">
      <c r="A87" s="163" t="s">
        <v>2718</v>
      </c>
      <c r="B87" s="100">
        <v>3.14</v>
      </c>
      <c r="C87" s="100">
        <v>4.93</v>
      </c>
      <c r="D87" s="100">
        <v>2.0299999999999998</v>
      </c>
      <c r="E87" s="100">
        <v>3.88</v>
      </c>
      <c r="F87" s="100">
        <v>1.72</v>
      </c>
      <c r="G87" s="100">
        <v>12.92</v>
      </c>
      <c r="H87" s="100">
        <v>4.4400000000000004</v>
      </c>
      <c r="I87" s="100">
        <v>3.27</v>
      </c>
      <c r="J87" s="100">
        <v>0.16</v>
      </c>
      <c r="K87" s="100">
        <v>160.94</v>
      </c>
      <c r="L87" s="100">
        <v>25.94</v>
      </c>
      <c r="M87" s="100">
        <v>91.37</v>
      </c>
      <c r="N87" s="100">
        <v>2.2000000000000002</v>
      </c>
      <c r="O87" s="100">
        <v>0</v>
      </c>
      <c r="P87" s="100">
        <v>0.36</v>
      </c>
      <c r="Q87" s="100">
        <v>9.92</v>
      </c>
      <c r="R87" s="6"/>
      <c r="S87" s="6"/>
      <c r="T87" s="156"/>
      <c r="U87" s="6"/>
    </row>
    <row r="88" spans="1:21" customFormat="1">
      <c r="A88" s="163" t="s">
        <v>2719</v>
      </c>
      <c r="B88" s="100">
        <v>3.24</v>
      </c>
      <c r="C88" s="100">
        <v>4.96</v>
      </c>
      <c r="D88" s="100">
        <v>1.93</v>
      </c>
      <c r="E88" s="100">
        <v>3.8</v>
      </c>
      <c r="F88" s="100">
        <v>0.95</v>
      </c>
      <c r="G88" s="100">
        <v>16.37</v>
      </c>
      <c r="H88" s="100">
        <v>4.13</v>
      </c>
      <c r="I88" s="100">
        <v>3.34</v>
      </c>
      <c r="J88" s="100">
        <v>0.1</v>
      </c>
      <c r="K88" s="100">
        <v>150.77000000000001</v>
      </c>
      <c r="L88" s="100">
        <v>25.82</v>
      </c>
      <c r="M88" s="100">
        <v>92.57</v>
      </c>
      <c r="N88" s="100">
        <v>2.1</v>
      </c>
      <c r="O88" s="100">
        <v>0</v>
      </c>
      <c r="P88" s="100">
        <v>0.34</v>
      </c>
      <c r="Q88" s="100">
        <v>9.91</v>
      </c>
      <c r="R88" s="6"/>
      <c r="S88" s="6"/>
      <c r="T88" s="156"/>
      <c r="U88" s="6"/>
    </row>
    <row r="89" spans="1:21" customFormat="1">
      <c r="A89" s="163" t="s">
        <v>2720</v>
      </c>
      <c r="B89" s="100">
        <v>3.26</v>
      </c>
      <c r="C89" s="100">
        <v>5.05</v>
      </c>
      <c r="D89" s="100">
        <v>2.09</v>
      </c>
      <c r="E89" s="100">
        <v>4</v>
      </c>
      <c r="F89" s="100">
        <v>0.7</v>
      </c>
      <c r="G89" s="100">
        <v>16.37</v>
      </c>
      <c r="H89" s="100">
        <v>4.13</v>
      </c>
      <c r="I89" s="100">
        <v>3.75</v>
      </c>
      <c r="J89" s="100">
        <v>0.11</v>
      </c>
      <c r="K89" s="100">
        <v>202.14</v>
      </c>
      <c r="L89" s="100">
        <v>25.72</v>
      </c>
      <c r="M89" s="100">
        <v>93.86</v>
      </c>
      <c r="N89" s="100">
        <v>2.1</v>
      </c>
      <c r="O89" s="100">
        <v>0</v>
      </c>
      <c r="P89" s="100">
        <v>0.37</v>
      </c>
      <c r="Q89" s="100">
        <v>9.8800000000000008</v>
      </c>
      <c r="R89" s="6"/>
      <c r="S89" s="6"/>
      <c r="T89" s="156"/>
      <c r="U89" s="6"/>
    </row>
    <row r="90" spans="1:21" customFormat="1">
      <c r="A90" s="163" t="s">
        <v>2721</v>
      </c>
      <c r="B90" s="100">
        <v>3.31</v>
      </c>
      <c r="C90" s="100">
        <v>5.18</v>
      </c>
      <c r="D90" s="100">
        <v>2.25</v>
      </c>
      <c r="E90" s="100">
        <v>4.3099999999999996</v>
      </c>
      <c r="F90" s="100">
        <v>0.25</v>
      </c>
      <c r="G90" s="100">
        <v>16.37</v>
      </c>
      <c r="H90" s="100">
        <v>4.13</v>
      </c>
      <c r="I90" s="100">
        <v>3.58</v>
      </c>
      <c r="J90" s="100">
        <v>0.14000000000000001</v>
      </c>
      <c r="K90" s="100">
        <v>226.87</v>
      </c>
      <c r="L90" s="100">
        <v>25.78</v>
      </c>
      <c r="M90" s="100">
        <v>94.35</v>
      </c>
      <c r="N90" s="100">
        <v>1.9</v>
      </c>
      <c r="O90" s="100">
        <v>0</v>
      </c>
      <c r="P90" s="100">
        <v>0.34</v>
      </c>
      <c r="Q90" s="100">
        <v>9.89</v>
      </c>
      <c r="R90" s="6"/>
      <c r="S90" s="6"/>
      <c r="T90" s="156"/>
      <c r="U90" s="6"/>
    </row>
    <row r="91" spans="1:21" customFormat="1">
      <c r="A91" s="163" t="s">
        <v>2722</v>
      </c>
      <c r="B91" s="100">
        <v>3.28</v>
      </c>
      <c r="C91" s="100">
        <v>5.29</v>
      </c>
      <c r="D91" s="100">
        <v>2.5</v>
      </c>
      <c r="E91" s="100">
        <v>4.18</v>
      </c>
      <c r="F91" s="100">
        <v>0.14000000000000001</v>
      </c>
      <c r="G91" s="100">
        <v>16.93</v>
      </c>
      <c r="H91" s="100">
        <v>6.45</v>
      </c>
      <c r="I91" s="100">
        <v>3.65</v>
      </c>
      <c r="J91" s="100">
        <v>0.18</v>
      </c>
      <c r="K91" s="100">
        <v>230.25</v>
      </c>
      <c r="L91" s="100">
        <v>25.87</v>
      </c>
      <c r="M91" s="100">
        <v>93.1</v>
      </c>
      <c r="N91" s="100">
        <v>1.9</v>
      </c>
      <c r="O91" s="100">
        <v>0</v>
      </c>
      <c r="P91" s="100">
        <v>0.35</v>
      </c>
      <c r="Q91" s="100">
        <v>9.9</v>
      </c>
      <c r="R91" s="6"/>
      <c r="S91" s="6"/>
      <c r="T91" s="156"/>
      <c r="U91" s="6"/>
    </row>
    <row r="92" spans="1:21" customFormat="1">
      <c r="A92" s="163" t="s">
        <v>2723</v>
      </c>
      <c r="B92" s="100">
        <v>3.28</v>
      </c>
      <c r="C92" s="100">
        <v>5.34</v>
      </c>
      <c r="D92" s="100">
        <v>2.59</v>
      </c>
      <c r="E92" s="100">
        <v>4.91</v>
      </c>
      <c r="F92" s="100">
        <v>0.26</v>
      </c>
      <c r="G92" s="100">
        <v>17.350000000000001</v>
      </c>
      <c r="H92" s="100">
        <v>7.19</v>
      </c>
      <c r="I92" s="100">
        <v>3.65</v>
      </c>
      <c r="J92" s="100">
        <v>0.32</v>
      </c>
      <c r="K92" s="100">
        <v>253.31</v>
      </c>
      <c r="L92" s="100">
        <v>25.95</v>
      </c>
      <c r="M92" s="100">
        <v>92.1</v>
      </c>
      <c r="N92" s="100">
        <v>1.8</v>
      </c>
      <c r="O92" s="100">
        <v>0</v>
      </c>
      <c r="P92" s="100">
        <v>0.36</v>
      </c>
      <c r="Q92" s="100">
        <v>9.9</v>
      </c>
      <c r="R92" s="6"/>
      <c r="S92" s="6"/>
      <c r="T92" s="156"/>
      <c r="U92" s="6"/>
    </row>
    <row r="93" spans="1:21" customFormat="1">
      <c r="A93" s="163" t="s">
        <v>2724</v>
      </c>
      <c r="B93" s="100">
        <v>3.22</v>
      </c>
      <c r="C93" s="100">
        <v>5.29</v>
      </c>
      <c r="D93" s="100">
        <v>2.6</v>
      </c>
      <c r="E93" s="100">
        <v>4.99</v>
      </c>
      <c r="F93" s="100">
        <v>0.5</v>
      </c>
      <c r="G93" s="100">
        <v>17.350000000000001</v>
      </c>
      <c r="H93" s="100">
        <v>7.19</v>
      </c>
      <c r="I93" s="100">
        <v>3.69</v>
      </c>
      <c r="J93" s="100">
        <v>0.57999999999999996</v>
      </c>
      <c r="K93" s="100">
        <v>254.06</v>
      </c>
      <c r="L93" s="100">
        <v>26.27</v>
      </c>
      <c r="M93" s="100">
        <v>88.41</v>
      </c>
      <c r="N93" s="100">
        <v>1.5</v>
      </c>
      <c r="O93" s="100">
        <v>0</v>
      </c>
      <c r="P93" s="100">
        <v>0.36</v>
      </c>
      <c r="Q93" s="100">
        <v>9.9</v>
      </c>
      <c r="R93" s="6"/>
      <c r="S93" s="6"/>
      <c r="T93" s="156"/>
      <c r="U93" s="6"/>
    </row>
    <row r="94" spans="1:21" customFormat="1">
      <c r="A94" s="163" t="s">
        <v>2725</v>
      </c>
      <c r="B94" s="100">
        <v>3.16</v>
      </c>
      <c r="C94" s="100">
        <v>5.21</v>
      </c>
      <c r="D94" s="100">
        <v>2.54</v>
      </c>
      <c r="E94" s="100">
        <v>5.17</v>
      </c>
      <c r="F94" s="100">
        <v>0.72</v>
      </c>
      <c r="G94" s="100">
        <v>17.350000000000001</v>
      </c>
      <c r="H94" s="100">
        <v>7.19</v>
      </c>
      <c r="I94" s="100">
        <v>3.75</v>
      </c>
      <c r="J94" s="100">
        <v>0.56000000000000005</v>
      </c>
      <c r="K94" s="100">
        <v>253.8</v>
      </c>
      <c r="L94" s="100">
        <v>26.31</v>
      </c>
      <c r="M94" s="100">
        <v>86.56</v>
      </c>
      <c r="N94" s="100">
        <v>2</v>
      </c>
      <c r="O94" s="100">
        <v>0</v>
      </c>
      <c r="P94" s="100">
        <v>0.37</v>
      </c>
      <c r="Q94" s="100">
        <v>9.9</v>
      </c>
      <c r="R94" s="6"/>
      <c r="S94" s="6"/>
      <c r="T94" s="156"/>
      <c r="U94" s="6"/>
    </row>
    <row r="95" spans="1:21" customFormat="1">
      <c r="A95" s="163" t="s">
        <v>2726</v>
      </c>
      <c r="B95" s="100">
        <v>3.08</v>
      </c>
      <c r="C95" s="100">
        <v>5.14</v>
      </c>
      <c r="D95" s="100">
        <v>2.5299999999999998</v>
      </c>
      <c r="E95" s="100">
        <v>5.28</v>
      </c>
      <c r="F95" s="100">
        <v>0.68</v>
      </c>
      <c r="G95" s="100">
        <v>18.47</v>
      </c>
      <c r="H95" s="100">
        <v>5.55</v>
      </c>
      <c r="I95" s="100">
        <v>3.83</v>
      </c>
      <c r="J95" s="100">
        <v>0.6</v>
      </c>
      <c r="K95" s="100">
        <v>253.8</v>
      </c>
      <c r="L95" s="100">
        <v>26.3</v>
      </c>
      <c r="M95" s="100">
        <v>85.32</v>
      </c>
      <c r="N95" s="100">
        <v>2.1</v>
      </c>
      <c r="O95" s="100">
        <v>0</v>
      </c>
      <c r="P95" s="100">
        <v>0.35</v>
      </c>
      <c r="Q95" s="100">
        <v>9.92</v>
      </c>
      <c r="R95" s="6"/>
      <c r="S95" s="6"/>
      <c r="T95" s="156"/>
      <c r="U95" s="6"/>
    </row>
    <row r="96" spans="1:21" customFormat="1">
      <c r="A96" s="163" t="s">
        <v>2727</v>
      </c>
      <c r="B96" s="100">
        <v>2.98</v>
      </c>
      <c r="C96" s="100">
        <v>5.08</v>
      </c>
      <c r="D96" s="100">
        <v>2.56</v>
      </c>
      <c r="E96" s="100">
        <v>5.27</v>
      </c>
      <c r="F96" s="100">
        <v>0.55000000000000004</v>
      </c>
      <c r="G96" s="100">
        <v>19.329999999999998</v>
      </c>
      <c r="H96" s="100">
        <v>5.03</v>
      </c>
      <c r="I96" s="100">
        <v>3.78</v>
      </c>
      <c r="J96" s="100">
        <v>0.41</v>
      </c>
      <c r="K96" s="100">
        <v>249.81</v>
      </c>
      <c r="L96" s="100">
        <v>26.22</v>
      </c>
      <c r="M96" s="100">
        <v>85.93</v>
      </c>
      <c r="N96" s="100">
        <v>2.1</v>
      </c>
      <c r="O96" s="100">
        <v>0</v>
      </c>
      <c r="P96" s="100">
        <v>0.36</v>
      </c>
      <c r="Q96" s="100">
        <v>9.91</v>
      </c>
      <c r="R96" s="6"/>
      <c r="S96" s="6"/>
      <c r="T96" s="156"/>
      <c r="U96" s="6"/>
    </row>
    <row r="97" spans="1:28" customFormat="1">
      <c r="A97" s="163" t="s">
        <v>2728</v>
      </c>
      <c r="B97" s="100">
        <v>2.93</v>
      </c>
      <c r="C97" s="100">
        <v>5.0199999999999996</v>
      </c>
      <c r="D97" s="100">
        <v>2.54</v>
      </c>
      <c r="E97" s="100">
        <v>5.33</v>
      </c>
      <c r="F97" s="100">
        <v>0.6</v>
      </c>
      <c r="G97" s="100">
        <v>19.329999999999998</v>
      </c>
      <c r="H97" s="100">
        <v>5.03</v>
      </c>
      <c r="I97" s="100">
        <v>3.71</v>
      </c>
      <c r="J97" s="100">
        <v>0.47</v>
      </c>
      <c r="K97" s="100">
        <v>255.68</v>
      </c>
      <c r="L97" s="100">
        <v>26.19</v>
      </c>
      <c r="M97" s="100">
        <v>85.93</v>
      </c>
      <c r="N97" s="100">
        <v>2.1</v>
      </c>
      <c r="O97" s="100">
        <v>0</v>
      </c>
      <c r="P97" s="100">
        <v>0.36</v>
      </c>
      <c r="Q97" s="100">
        <v>9.91</v>
      </c>
      <c r="R97" s="6"/>
      <c r="S97" s="6"/>
      <c r="T97" s="156"/>
      <c r="U97" s="6"/>
    </row>
    <row r="98" spans="1:28" customFormat="1">
      <c r="A98" s="163" t="s">
        <v>2729</v>
      </c>
      <c r="B98" s="100">
        <v>2.87</v>
      </c>
      <c r="C98" s="100">
        <v>4.97</v>
      </c>
      <c r="D98" s="100">
        <v>2.5099999999999998</v>
      </c>
      <c r="E98" s="100">
        <v>5.59</v>
      </c>
      <c r="F98" s="100">
        <v>0.52</v>
      </c>
      <c r="G98" s="100">
        <v>19.329999999999998</v>
      </c>
      <c r="H98" s="100">
        <v>5.03</v>
      </c>
      <c r="I98" s="100">
        <v>3.66</v>
      </c>
      <c r="J98" s="100">
        <v>0.43</v>
      </c>
      <c r="K98" s="100">
        <v>252.85</v>
      </c>
      <c r="L98" s="100">
        <v>26.06</v>
      </c>
      <c r="M98" s="100">
        <v>86.98</v>
      </c>
      <c r="N98" s="100">
        <v>2.2000000000000002</v>
      </c>
      <c r="O98" s="100">
        <v>0</v>
      </c>
      <c r="P98" s="100">
        <v>0.36</v>
      </c>
      <c r="Q98" s="100">
        <v>9.9</v>
      </c>
      <c r="R98" s="6"/>
      <c r="S98" s="6"/>
      <c r="T98" s="156"/>
      <c r="U98" s="6"/>
    </row>
    <row r="99" spans="1:28" customFormat="1">
      <c r="A99" s="163" t="s">
        <v>2730</v>
      </c>
      <c r="B99" s="100">
        <v>2.88</v>
      </c>
      <c r="C99" s="100">
        <v>4.92</v>
      </c>
      <c r="D99" s="100">
        <v>2.42</v>
      </c>
      <c r="E99" s="100">
        <v>5.41</v>
      </c>
      <c r="F99" s="100">
        <v>0.52</v>
      </c>
      <c r="G99" s="100">
        <v>17.989999999999998</v>
      </c>
      <c r="H99" s="100">
        <v>3.89</v>
      </c>
      <c r="I99" s="100">
        <v>3.66</v>
      </c>
      <c r="J99" s="100">
        <v>0.28000000000000003</v>
      </c>
      <c r="K99" s="100">
        <v>251.62</v>
      </c>
      <c r="L99" s="100">
        <v>26.01</v>
      </c>
      <c r="M99" s="100">
        <v>87.65</v>
      </c>
      <c r="N99" s="100">
        <v>2.2000000000000002</v>
      </c>
      <c r="O99" s="100">
        <v>0</v>
      </c>
      <c r="P99" s="100">
        <v>0.35</v>
      </c>
      <c r="Q99" s="100">
        <v>9.91</v>
      </c>
      <c r="R99" s="6"/>
      <c r="S99" s="6"/>
      <c r="T99" s="156"/>
      <c r="U99" s="6"/>
    </row>
    <row r="100" spans="1:28" customFormat="1">
      <c r="A100" s="163" t="s">
        <v>2731</v>
      </c>
      <c r="B100" s="100">
        <v>2.89</v>
      </c>
      <c r="C100" s="100">
        <v>4.9400000000000004</v>
      </c>
      <c r="D100" s="100">
        <v>2.4300000000000002</v>
      </c>
      <c r="E100" s="100">
        <v>5.64</v>
      </c>
      <c r="F100" s="100">
        <v>0.24</v>
      </c>
      <c r="G100" s="100">
        <v>16.98</v>
      </c>
      <c r="H100" s="100">
        <v>3.52</v>
      </c>
      <c r="I100" s="100">
        <v>3.6</v>
      </c>
      <c r="J100" s="100">
        <v>0.28000000000000003</v>
      </c>
      <c r="K100" s="100">
        <v>245.95</v>
      </c>
      <c r="L100" s="100">
        <v>25.92</v>
      </c>
      <c r="M100" s="100">
        <v>88.69</v>
      </c>
      <c r="N100" s="100">
        <v>2.1</v>
      </c>
      <c r="O100" s="100">
        <v>0</v>
      </c>
      <c r="P100" s="100">
        <v>0.35</v>
      </c>
      <c r="Q100" s="100">
        <v>9.91</v>
      </c>
      <c r="R100" s="6"/>
      <c r="S100" s="6"/>
      <c r="T100" s="156"/>
      <c r="U100" s="6"/>
      <c r="AB100" s="161"/>
    </row>
    <row r="101" spans="1:28" customFormat="1">
      <c r="A101" s="163" t="s">
        <v>2732</v>
      </c>
      <c r="B101" s="100">
        <v>2.91</v>
      </c>
      <c r="C101" s="100">
        <v>4.93</v>
      </c>
      <c r="D101" s="100">
        <v>2.39</v>
      </c>
      <c r="E101" s="100">
        <v>5.81</v>
      </c>
      <c r="F101" s="100">
        <v>0.53</v>
      </c>
      <c r="G101" s="100">
        <v>16.98</v>
      </c>
      <c r="H101" s="100">
        <v>3.52</v>
      </c>
      <c r="I101" s="100">
        <v>3.47</v>
      </c>
      <c r="J101" s="100">
        <v>0.35</v>
      </c>
      <c r="K101" s="100">
        <v>246.99</v>
      </c>
      <c r="L101" s="100">
        <v>25.88</v>
      </c>
      <c r="M101" s="100">
        <v>89.23</v>
      </c>
      <c r="N101" s="100">
        <v>2</v>
      </c>
      <c r="O101" s="100">
        <v>0</v>
      </c>
      <c r="P101" s="100">
        <v>0.35</v>
      </c>
      <c r="Q101" s="100">
        <v>9.89</v>
      </c>
      <c r="R101" s="6"/>
      <c r="S101" s="6"/>
      <c r="T101" s="156"/>
      <c r="U101" s="6"/>
    </row>
    <row r="102" spans="1:28" customFormat="1">
      <c r="A102" s="163" t="s">
        <v>2733</v>
      </c>
      <c r="B102" s="100">
        <v>2.92</v>
      </c>
      <c r="C102" s="100">
        <v>4.9000000000000004</v>
      </c>
      <c r="D102" s="100">
        <v>2.2999999999999998</v>
      </c>
      <c r="E102" s="100">
        <v>5.58</v>
      </c>
      <c r="F102" s="100">
        <v>1.0900000000000001</v>
      </c>
      <c r="G102" s="100">
        <v>16.98</v>
      </c>
      <c r="H102" s="100">
        <v>3.52</v>
      </c>
      <c r="I102" s="100">
        <v>3.45</v>
      </c>
      <c r="J102" s="100">
        <v>0.3</v>
      </c>
      <c r="K102" s="100">
        <v>251.02</v>
      </c>
      <c r="L102" s="100">
        <v>25.92</v>
      </c>
      <c r="M102" s="100">
        <v>89.13</v>
      </c>
      <c r="N102" s="100">
        <v>2.1</v>
      </c>
      <c r="O102" s="100">
        <v>0</v>
      </c>
      <c r="P102" s="100">
        <v>0.34</v>
      </c>
      <c r="Q102" s="100">
        <v>9.9</v>
      </c>
      <c r="R102" s="6"/>
      <c r="S102" s="6"/>
      <c r="T102" s="156"/>
      <c r="U102" s="6"/>
    </row>
    <row r="103" spans="1:28" customFormat="1">
      <c r="A103" s="163" t="s">
        <v>2734</v>
      </c>
      <c r="B103" s="100">
        <v>2.93</v>
      </c>
      <c r="C103" s="100">
        <v>4.9400000000000004</v>
      </c>
      <c r="D103" s="100">
        <v>2.37</v>
      </c>
      <c r="E103" s="100">
        <v>5.93</v>
      </c>
      <c r="F103" s="100">
        <v>0.63</v>
      </c>
      <c r="G103" s="100">
        <v>16.34</v>
      </c>
      <c r="H103" s="100">
        <v>5.44</v>
      </c>
      <c r="I103" s="100">
        <v>3.48</v>
      </c>
      <c r="J103" s="100">
        <v>0.32</v>
      </c>
      <c r="K103" s="100">
        <v>261.02999999999997</v>
      </c>
      <c r="L103" s="100">
        <v>25.82</v>
      </c>
      <c r="M103" s="100">
        <v>90.54</v>
      </c>
      <c r="N103" s="100">
        <v>2.1</v>
      </c>
      <c r="O103" s="100">
        <v>0</v>
      </c>
      <c r="P103" s="100">
        <v>0.34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2735</v>
      </c>
      <c r="B104" s="100">
        <v>3.02</v>
      </c>
      <c r="C104" s="100">
        <v>5.09</v>
      </c>
      <c r="D104" s="100">
        <v>2.5099999999999998</v>
      </c>
      <c r="E104" s="100">
        <v>5.94</v>
      </c>
      <c r="F104" s="100">
        <v>0.53</v>
      </c>
      <c r="G104" s="100">
        <v>15.85</v>
      </c>
      <c r="H104" s="100">
        <v>6.58</v>
      </c>
      <c r="I104" s="100">
        <v>3.44</v>
      </c>
      <c r="J104" s="100">
        <v>0.34</v>
      </c>
      <c r="K104" s="100">
        <v>238.58</v>
      </c>
      <c r="L104" s="100">
        <v>25.87</v>
      </c>
      <c r="M104" s="100">
        <v>91.9</v>
      </c>
      <c r="N104" s="100">
        <v>1.6</v>
      </c>
      <c r="O104" s="100">
        <v>0</v>
      </c>
      <c r="P104" s="100">
        <v>0.35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2.27</v>
      </c>
      <c r="C106" s="158">
        <f>MIN(C9:C104)</f>
        <v>4.41</v>
      </c>
      <c r="D106" s="158">
        <f t="shared" ref="D106:Q106" si="0">MIN(D9:D104)</f>
        <v>1.42</v>
      </c>
      <c r="E106" s="158">
        <f t="shared" si="0"/>
        <v>2.76</v>
      </c>
      <c r="F106" s="158">
        <f t="shared" si="0"/>
        <v>0.14000000000000001</v>
      </c>
      <c r="G106" s="158">
        <f t="shared" si="0"/>
        <v>8.42</v>
      </c>
      <c r="H106" s="158">
        <f t="shared" si="0"/>
        <v>3.52</v>
      </c>
      <c r="I106" s="158">
        <f t="shared" si="0"/>
        <v>1.6</v>
      </c>
      <c r="J106" s="158">
        <f t="shared" si="0"/>
        <v>-0.2</v>
      </c>
      <c r="K106" s="158">
        <f t="shared" si="0"/>
        <v>-0.1</v>
      </c>
      <c r="L106" s="158">
        <f t="shared" si="0"/>
        <v>24.18</v>
      </c>
      <c r="M106" s="158">
        <f t="shared" si="0"/>
        <v>76.39</v>
      </c>
      <c r="N106" s="158">
        <f t="shared" si="0"/>
        <v>1.5</v>
      </c>
      <c r="O106" s="158">
        <f t="shared" si="0"/>
        <v>0</v>
      </c>
      <c r="P106" s="158">
        <f t="shared" si="0"/>
        <v>0.15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5.74</v>
      </c>
      <c r="C107" s="157">
        <f t="shared" ref="C107:Q107" si="1">MAX(C9:C104)</f>
        <v>7.3</v>
      </c>
      <c r="D107" s="157">
        <f t="shared" si="1"/>
        <v>3.97</v>
      </c>
      <c r="E107" s="157">
        <f t="shared" si="1"/>
        <v>6.28</v>
      </c>
      <c r="F107" s="157">
        <f t="shared" si="1"/>
        <v>24.08</v>
      </c>
      <c r="G107" s="157">
        <f t="shared" si="1"/>
        <v>29.09</v>
      </c>
      <c r="H107" s="157">
        <f t="shared" si="1"/>
        <v>16.079999999999998</v>
      </c>
      <c r="I107" s="157">
        <f t="shared" si="1"/>
        <v>5.45</v>
      </c>
      <c r="J107" s="157">
        <f t="shared" si="1"/>
        <v>0.83</v>
      </c>
      <c r="K107" s="157">
        <f t="shared" si="1"/>
        <v>285.20999999999998</v>
      </c>
      <c r="L107" s="157">
        <f t="shared" si="1"/>
        <v>30.21</v>
      </c>
      <c r="M107" s="157">
        <f t="shared" si="1"/>
        <v>100.53</v>
      </c>
      <c r="N107" s="157">
        <f t="shared" si="1"/>
        <v>674.8</v>
      </c>
      <c r="O107" s="157">
        <f t="shared" si="1"/>
        <v>10.4</v>
      </c>
      <c r="P107" s="157">
        <f t="shared" si="1"/>
        <v>0.37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3.6903125000000006</v>
      </c>
      <c r="C108" s="158">
        <f t="shared" ref="C108:Q108" si="2">AVERAGE(C9:C104)</f>
        <v>5.6590625000000001</v>
      </c>
      <c r="D108" s="158">
        <f t="shared" si="2"/>
        <v>2.5806249999999995</v>
      </c>
      <c r="E108" s="158">
        <f t="shared" si="2"/>
        <v>4.7771874999999993</v>
      </c>
      <c r="F108" s="158">
        <f t="shared" si="2"/>
        <v>5.2734374999999991</v>
      </c>
      <c r="G108" s="158">
        <f t="shared" si="2"/>
        <v>17.609270833333323</v>
      </c>
      <c r="H108" s="158">
        <f t="shared" si="2"/>
        <v>8.9294791666666686</v>
      </c>
      <c r="I108" s="158">
        <f t="shared" si="2"/>
        <v>3.7330208333333328</v>
      </c>
      <c r="J108" s="158">
        <f t="shared" si="2"/>
        <v>0.37781249999999994</v>
      </c>
      <c r="K108" s="158">
        <f t="shared" si="2"/>
        <v>237.75531249999997</v>
      </c>
      <c r="L108" s="158">
        <f t="shared" si="2"/>
        <v>26.310312499999998</v>
      </c>
      <c r="M108" s="158">
        <f t="shared" si="2"/>
        <v>93.705625000000012</v>
      </c>
      <c r="N108" s="158">
        <f t="shared" si="2"/>
        <v>67.608333333333334</v>
      </c>
      <c r="O108" s="158">
        <f t="shared" si="2"/>
        <v>0.35416666666666669</v>
      </c>
      <c r="P108" s="158">
        <f t="shared" si="2"/>
        <v>0.27208333333333345</v>
      </c>
      <c r="Q108" s="158">
        <f t="shared" si="2"/>
        <v>9.9144791666666574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1.0398516626246064</v>
      </c>
      <c r="C109" s="158">
        <f t="shared" ref="C109:Q109" si="3">STDEV(C9:C104)</f>
        <v>0.85940870508066336</v>
      </c>
      <c r="D109" s="158">
        <f t="shared" si="3"/>
        <v>0.50946579349044185</v>
      </c>
      <c r="E109" s="158">
        <f t="shared" si="3"/>
        <v>0.92944318715986796</v>
      </c>
      <c r="F109" s="158">
        <f t="shared" si="3"/>
        <v>6.2499874236715582</v>
      </c>
      <c r="G109" s="158">
        <f t="shared" si="3"/>
        <v>6.5867983189329928</v>
      </c>
      <c r="H109" s="158">
        <f t="shared" si="3"/>
        <v>4.1596314031519199</v>
      </c>
      <c r="I109" s="158">
        <f t="shared" si="3"/>
        <v>0.88285675036592282</v>
      </c>
      <c r="J109" s="158">
        <f t="shared" si="3"/>
        <v>0.19535233014923792</v>
      </c>
      <c r="K109" s="158">
        <f t="shared" si="3"/>
        <v>42.482838143695382</v>
      </c>
      <c r="L109" s="158">
        <f t="shared" si="3"/>
        <v>1.448029116547185</v>
      </c>
      <c r="M109" s="158">
        <f t="shared" si="3"/>
        <v>7.319188021186072</v>
      </c>
      <c r="N109" s="158">
        <f t="shared" si="3"/>
        <v>118.00818853538728</v>
      </c>
      <c r="O109" s="158">
        <f t="shared" si="3"/>
        <v>1.3248965533931252</v>
      </c>
      <c r="P109" s="158">
        <f t="shared" si="3"/>
        <v>6.2355798559836972E-2</v>
      </c>
      <c r="Q109" s="158">
        <f t="shared" si="3"/>
        <v>1.4858617323692012E-2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2736</v>
      </c>
      <c r="B9" s="100">
        <v>4.24</v>
      </c>
      <c r="C9" s="100">
        <v>6.13</v>
      </c>
      <c r="D9" s="100">
        <v>2.63</v>
      </c>
      <c r="E9" s="100">
        <v>5.99</v>
      </c>
      <c r="F9" s="100">
        <v>0.93</v>
      </c>
      <c r="G9" s="100">
        <v>15.85</v>
      </c>
      <c r="H9" s="100">
        <v>6.58</v>
      </c>
      <c r="I9" s="100">
        <v>3.37</v>
      </c>
      <c r="J9" s="100">
        <v>0.3</v>
      </c>
      <c r="K9" s="100">
        <v>249.63</v>
      </c>
      <c r="L9" s="100">
        <v>25.64</v>
      </c>
      <c r="M9" s="100">
        <v>92.27</v>
      </c>
      <c r="N9" s="100">
        <v>1.4</v>
      </c>
      <c r="O9" s="100">
        <v>0</v>
      </c>
      <c r="P9" s="100">
        <v>0.34</v>
      </c>
      <c r="Q9" s="100">
        <v>9.9</v>
      </c>
      <c r="R9" s="6"/>
      <c r="S9" s="6"/>
      <c r="T9" s="156"/>
      <c r="U9" s="6"/>
    </row>
    <row r="10" spans="1:21" customFormat="1">
      <c r="A10" s="163" t="s">
        <v>2737</v>
      </c>
      <c r="B10" s="100">
        <v>4.37</v>
      </c>
      <c r="C10" s="100">
        <v>6.16</v>
      </c>
      <c r="D10" s="100">
        <v>2.48</v>
      </c>
      <c r="E10" s="100">
        <v>5.95</v>
      </c>
      <c r="F10" s="100">
        <v>0.93</v>
      </c>
      <c r="G10" s="100">
        <v>15.85</v>
      </c>
      <c r="H10" s="100">
        <v>6.58</v>
      </c>
      <c r="I10" s="100">
        <v>3.42</v>
      </c>
      <c r="J10" s="100">
        <v>0.23</v>
      </c>
      <c r="K10" s="100">
        <v>249.48</v>
      </c>
      <c r="L10" s="100">
        <v>25.63</v>
      </c>
      <c r="M10" s="100">
        <v>91.81</v>
      </c>
      <c r="N10" s="100">
        <v>1.4</v>
      </c>
      <c r="O10" s="100">
        <v>0</v>
      </c>
      <c r="P10" s="100">
        <v>0.35</v>
      </c>
      <c r="Q10" s="100">
        <v>9.9</v>
      </c>
      <c r="R10" s="6"/>
      <c r="S10" s="6"/>
      <c r="T10" s="156"/>
      <c r="U10" s="6"/>
    </row>
    <row r="11" spans="1:21" customFormat="1">
      <c r="A11" s="163" t="s">
        <v>2738</v>
      </c>
      <c r="B11" s="100">
        <v>4.38</v>
      </c>
      <c r="C11" s="100">
        <v>6.14</v>
      </c>
      <c r="D11" s="100">
        <v>2.44</v>
      </c>
      <c r="E11" s="100">
        <v>6.11</v>
      </c>
      <c r="F11" s="100">
        <v>0.52</v>
      </c>
      <c r="G11" s="100">
        <v>16.93</v>
      </c>
      <c r="H11" s="100">
        <v>7.37</v>
      </c>
      <c r="I11" s="100">
        <v>3.5</v>
      </c>
      <c r="J11" s="100">
        <v>0.35</v>
      </c>
      <c r="K11" s="100">
        <v>248.33</v>
      </c>
      <c r="L11" s="100">
        <v>25.76</v>
      </c>
      <c r="M11" s="100">
        <v>90.98</v>
      </c>
      <c r="N11" s="100">
        <v>1.4</v>
      </c>
      <c r="O11" s="100">
        <v>0</v>
      </c>
      <c r="P11" s="100">
        <v>0.34</v>
      </c>
      <c r="Q11" s="100">
        <v>9.91</v>
      </c>
      <c r="R11" s="6"/>
      <c r="S11" s="6"/>
      <c r="T11" s="156"/>
      <c r="U11" s="6"/>
    </row>
    <row r="12" spans="1:21" customFormat="1">
      <c r="A12" s="163" t="s">
        <v>2739</v>
      </c>
      <c r="B12" s="100">
        <v>4.38</v>
      </c>
      <c r="C12" s="100">
        <v>6.15</v>
      </c>
      <c r="D12" s="100">
        <v>2.4700000000000002</v>
      </c>
      <c r="E12" s="100">
        <v>6.09</v>
      </c>
      <c r="F12" s="100">
        <v>0.31</v>
      </c>
      <c r="G12" s="100">
        <v>17.75</v>
      </c>
      <c r="H12" s="100">
        <v>7.62</v>
      </c>
      <c r="I12" s="100">
        <v>3.35</v>
      </c>
      <c r="J12" s="100">
        <v>0.36</v>
      </c>
      <c r="K12" s="100">
        <v>251</v>
      </c>
      <c r="L12" s="100">
        <v>25.84</v>
      </c>
      <c r="M12" s="100">
        <v>90.42</v>
      </c>
      <c r="N12" s="100">
        <v>1.7</v>
      </c>
      <c r="O12" s="100">
        <v>0</v>
      </c>
      <c r="P12" s="100">
        <v>0.34</v>
      </c>
      <c r="Q12" s="100">
        <v>9.93</v>
      </c>
      <c r="R12" s="6"/>
      <c r="S12" s="6"/>
      <c r="T12" s="156"/>
      <c r="U12" s="6"/>
    </row>
    <row r="13" spans="1:21" customFormat="1">
      <c r="A13" s="163" t="s">
        <v>2740</v>
      </c>
      <c r="B13" s="100">
        <v>4.3499999999999996</v>
      </c>
      <c r="C13" s="100">
        <v>6.08</v>
      </c>
      <c r="D13" s="100">
        <v>2.37</v>
      </c>
      <c r="E13" s="100">
        <v>5.88</v>
      </c>
      <c r="F13" s="100">
        <v>0.95</v>
      </c>
      <c r="G13" s="100">
        <v>17.75</v>
      </c>
      <c r="H13" s="100">
        <v>7.62</v>
      </c>
      <c r="I13" s="100">
        <v>3.33</v>
      </c>
      <c r="J13" s="100">
        <v>0.42</v>
      </c>
      <c r="K13" s="100">
        <v>256.58</v>
      </c>
      <c r="L13" s="100">
        <v>25.88</v>
      </c>
      <c r="M13" s="100">
        <v>89.62</v>
      </c>
      <c r="N13" s="100">
        <v>1.9</v>
      </c>
      <c r="O13" s="100">
        <v>0</v>
      </c>
      <c r="P13" s="100">
        <v>0.37</v>
      </c>
      <c r="Q13" s="100">
        <v>9.91</v>
      </c>
      <c r="R13" s="6"/>
      <c r="S13" s="6"/>
      <c r="T13" s="156"/>
      <c r="U13" s="6"/>
    </row>
    <row r="14" spans="1:21" customFormat="1">
      <c r="A14" s="163" t="s">
        <v>2741</v>
      </c>
      <c r="B14" s="100">
        <v>4.49</v>
      </c>
      <c r="C14" s="100">
        <v>6.17</v>
      </c>
      <c r="D14" s="100">
        <v>2.33</v>
      </c>
      <c r="E14" s="100">
        <v>6.28</v>
      </c>
      <c r="F14" s="100">
        <v>0.95</v>
      </c>
      <c r="G14" s="100">
        <v>17.75</v>
      </c>
      <c r="H14" s="100">
        <v>7.62</v>
      </c>
      <c r="I14" s="100">
        <v>3.38</v>
      </c>
      <c r="J14" s="100">
        <v>0.41</v>
      </c>
      <c r="K14" s="100">
        <v>251.08</v>
      </c>
      <c r="L14" s="100">
        <v>25.92</v>
      </c>
      <c r="M14" s="100">
        <v>89.47</v>
      </c>
      <c r="N14" s="100">
        <v>2.2000000000000002</v>
      </c>
      <c r="O14" s="100">
        <v>0</v>
      </c>
      <c r="P14" s="100">
        <v>0.36</v>
      </c>
      <c r="Q14" s="100">
        <v>9.91</v>
      </c>
      <c r="R14" s="6"/>
      <c r="S14" s="6"/>
      <c r="T14" s="156"/>
      <c r="U14" s="6"/>
    </row>
    <row r="15" spans="1:21" customFormat="1">
      <c r="A15" s="163" t="s">
        <v>2742</v>
      </c>
      <c r="B15" s="100">
        <v>4.67</v>
      </c>
      <c r="C15" s="100">
        <v>6.18</v>
      </c>
      <c r="D15" s="100">
        <v>2.08</v>
      </c>
      <c r="E15" s="100">
        <v>5.67</v>
      </c>
      <c r="F15" s="100">
        <v>0.79</v>
      </c>
      <c r="G15" s="100">
        <v>16.23</v>
      </c>
      <c r="H15" s="100">
        <v>8.09</v>
      </c>
      <c r="I15" s="100">
        <v>3.37</v>
      </c>
      <c r="J15" s="100">
        <v>0.48</v>
      </c>
      <c r="K15" s="100">
        <v>255.14</v>
      </c>
      <c r="L15" s="100">
        <v>25.91</v>
      </c>
      <c r="M15" s="100">
        <v>89.29</v>
      </c>
      <c r="N15" s="100">
        <v>2.2999999999999998</v>
      </c>
      <c r="O15" s="100">
        <v>0</v>
      </c>
      <c r="P15" s="100">
        <v>0.35</v>
      </c>
      <c r="Q15" s="100">
        <v>9.91</v>
      </c>
      <c r="R15" s="6"/>
      <c r="S15" s="6"/>
      <c r="T15" s="156"/>
      <c r="U15" s="6"/>
    </row>
    <row r="16" spans="1:21" customFormat="1">
      <c r="A16" s="163" t="s">
        <v>2743</v>
      </c>
      <c r="B16" s="100">
        <v>4.72</v>
      </c>
      <c r="C16" s="100">
        <v>6.12</v>
      </c>
      <c r="D16" s="100">
        <v>1.87</v>
      </c>
      <c r="E16" s="100">
        <v>5.28</v>
      </c>
      <c r="F16" s="100">
        <v>0.6</v>
      </c>
      <c r="G16" s="100">
        <v>15.07</v>
      </c>
      <c r="H16" s="100">
        <v>8.24</v>
      </c>
      <c r="I16" s="100">
        <v>3.3</v>
      </c>
      <c r="J16" s="100">
        <v>0.52</v>
      </c>
      <c r="K16" s="100">
        <v>257.38</v>
      </c>
      <c r="L16" s="100">
        <v>25.87</v>
      </c>
      <c r="M16" s="100">
        <v>89.35</v>
      </c>
      <c r="N16" s="100">
        <v>2.4</v>
      </c>
      <c r="O16" s="100">
        <v>0</v>
      </c>
      <c r="P16" s="100">
        <v>0.37</v>
      </c>
      <c r="Q16" s="100">
        <v>9.9</v>
      </c>
      <c r="R16" s="6"/>
      <c r="S16" s="6"/>
      <c r="T16" s="156"/>
      <c r="U16" s="6"/>
    </row>
    <row r="17" spans="1:21" customFormat="1">
      <c r="A17" s="163" t="s">
        <v>2744</v>
      </c>
      <c r="B17" s="100">
        <v>4.8600000000000003</v>
      </c>
      <c r="C17" s="100">
        <v>6.21</v>
      </c>
      <c r="D17" s="100">
        <v>1.85</v>
      </c>
      <c r="E17" s="100">
        <v>4.38</v>
      </c>
      <c r="F17" s="100">
        <v>0.6</v>
      </c>
      <c r="G17" s="100">
        <v>15.07</v>
      </c>
      <c r="H17" s="100">
        <v>8.24</v>
      </c>
      <c r="I17" s="100">
        <v>3.3</v>
      </c>
      <c r="J17" s="100">
        <v>0.41</v>
      </c>
      <c r="K17" s="100">
        <v>249.14</v>
      </c>
      <c r="L17" s="100">
        <v>25.85</v>
      </c>
      <c r="M17" s="100">
        <v>89.69</v>
      </c>
      <c r="N17" s="100">
        <v>2.4</v>
      </c>
      <c r="O17" s="100">
        <v>0</v>
      </c>
      <c r="P17" s="100">
        <v>0.36</v>
      </c>
      <c r="Q17" s="100">
        <v>9.91</v>
      </c>
      <c r="R17" s="6"/>
      <c r="S17" s="6"/>
      <c r="T17" s="156"/>
      <c r="U17" s="6"/>
    </row>
    <row r="18" spans="1:21" customFormat="1">
      <c r="A18" s="163" t="s">
        <v>2745</v>
      </c>
      <c r="B18" s="100">
        <v>5.1100000000000003</v>
      </c>
      <c r="C18" s="100">
        <v>6.3</v>
      </c>
      <c r="D18" s="100">
        <v>1.64</v>
      </c>
      <c r="E18" s="100">
        <v>5.09</v>
      </c>
      <c r="F18" s="100">
        <v>0.87</v>
      </c>
      <c r="G18" s="100">
        <v>15.07</v>
      </c>
      <c r="H18" s="100">
        <v>8.24</v>
      </c>
      <c r="I18" s="100">
        <v>3.54</v>
      </c>
      <c r="J18" s="100">
        <v>0.46</v>
      </c>
      <c r="K18" s="100">
        <v>251.7</v>
      </c>
      <c r="L18" s="100">
        <v>25.8</v>
      </c>
      <c r="M18" s="100">
        <v>89.67</v>
      </c>
      <c r="N18" s="100">
        <v>2.2999999999999998</v>
      </c>
      <c r="O18" s="100">
        <v>0</v>
      </c>
      <c r="P18" s="100">
        <v>0.35</v>
      </c>
      <c r="Q18" s="100">
        <v>9.92</v>
      </c>
      <c r="R18" s="6"/>
      <c r="S18" s="6"/>
      <c r="T18" s="156"/>
      <c r="U18" s="6"/>
    </row>
    <row r="19" spans="1:21" customFormat="1">
      <c r="A19" s="163" t="s">
        <v>2746</v>
      </c>
      <c r="B19" s="100">
        <v>4.97</v>
      </c>
      <c r="C19" s="100">
        <v>6.23</v>
      </c>
      <c r="D19" s="100">
        <v>1.7</v>
      </c>
      <c r="E19" s="100">
        <v>4.97</v>
      </c>
      <c r="F19" s="100">
        <v>0.68</v>
      </c>
      <c r="G19" s="100">
        <v>14.52</v>
      </c>
      <c r="H19" s="100">
        <v>6.96</v>
      </c>
      <c r="I19" s="100">
        <v>3.51</v>
      </c>
      <c r="J19" s="100">
        <v>0.34</v>
      </c>
      <c r="K19" s="100">
        <v>247.55</v>
      </c>
      <c r="L19" s="100">
        <v>25.77</v>
      </c>
      <c r="M19" s="100">
        <v>89.89</v>
      </c>
      <c r="N19" s="100">
        <v>2.2999999999999998</v>
      </c>
      <c r="O19" s="100">
        <v>0</v>
      </c>
      <c r="P19" s="100">
        <v>0.38</v>
      </c>
      <c r="Q19" s="100">
        <v>9.91</v>
      </c>
      <c r="R19" s="6"/>
      <c r="S19" s="6"/>
      <c r="T19" s="156"/>
      <c r="U19" s="6"/>
    </row>
    <row r="20" spans="1:21" customFormat="1">
      <c r="A20" s="163" t="s">
        <v>2747</v>
      </c>
      <c r="B20" s="100">
        <v>5.18</v>
      </c>
      <c r="C20" s="100">
        <v>6.4</v>
      </c>
      <c r="D20" s="100">
        <v>1.72</v>
      </c>
      <c r="E20" s="100">
        <v>5.34</v>
      </c>
      <c r="F20" s="100">
        <v>0.68</v>
      </c>
      <c r="G20" s="100">
        <v>14.1</v>
      </c>
      <c r="H20" s="100">
        <v>6.55</v>
      </c>
      <c r="I20" s="100">
        <v>3.41</v>
      </c>
      <c r="J20" s="100">
        <v>0.57999999999999996</v>
      </c>
      <c r="K20" s="100">
        <v>258.70999999999998</v>
      </c>
      <c r="L20" s="100">
        <v>25.73</v>
      </c>
      <c r="M20" s="100">
        <v>89.49</v>
      </c>
      <c r="N20" s="100">
        <v>2.2999999999999998</v>
      </c>
      <c r="O20" s="100">
        <v>0</v>
      </c>
      <c r="P20" s="100">
        <v>0.35</v>
      </c>
      <c r="Q20" s="100">
        <v>9.91</v>
      </c>
      <c r="R20" s="6"/>
      <c r="S20" s="6"/>
      <c r="T20" s="156"/>
      <c r="U20" s="6"/>
    </row>
    <row r="21" spans="1:21" customFormat="1">
      <c r="A21" s="163" t="s">
        <v>2748</v>
      </c>
      <c r="B21" s="100">
        <v>5.18</v>
      </c>
      <c r="C21" s="100">
        <v>6.35</v>
      </c>
      <c r="D21" s="100">
        <v>1.62</v>
      </c>
      <c r="E21" s="100">
        <v>4.99</v>
      </c>
      <c r="F21" s="100">
        <v>0.21</v>
      </c>
      <c r="G21" s="100">
        <v>14.1</v>
      </c>
      <c r="H21" s="100">
        <v>6.55</v>
      </c>
      <c r="I21" s="100">
        <v>3.63</v>
      </c>
      <c r="J21" s="100">
        <v>0.54</v>
      </c>
      <c r="K21" s="100">
        <v>251.47</v>
      </c>
      <c r="L21" s="100">
        <v>25.77</v>
      </c>
      <c r="M21" s="100">
        <v>88.47</v>
      </c>
      <c r="N21" s="100">
        <v>2.2000000000000002</v>
      </c>
      <c r="O21" s="100">
        <v>0</v>
      </c>
      <c r="P21" s="100">
        <v>0.35</v>
      </c>
      <c r="Q21" s="100">
        <v>9.92</v>
      </c>
      <c r="R21" s="6"/>
      <c r="S21" s="6"/>
      <c r="T21" s="156"/>
      <c r="U21" s="6"/>
    </row>
    <row r="22" spans="1:21" customFormat="1">
      <c r="A22" s="163" t="s">
        <v>2749</v>
      </c>
      <c r="B22" s="100">
        <v>5.12</v>
      </c>
      <c r="C22" s="100">
        <v>6.35</v>
      </c>
      <c r="D22" s="100">
        <v>1.71</v>
      </c>
      <c r="E22" s="100">
        <v>4.83</v>
      </c>
      <c r="F22" s="100">
        <v>0.28999999999999998</v>
      </c>
      <c r="G22" s="100">
        <v>14.1</v>
      </c>
      <c r="H22" s="100">
        <v>6.55</v>
      </c>
      <c r="I22" s="100">
        <v>3.56</v>
      </c>
      <c r="J22" s="100">
        <v>0.59</v>
      </c>
      <c r="K22" s="100">
        <v>252.25</v>
      </c>
      <c r="L22" s="100">
        <v>25.77</v>
      </c>
      <c r="M22" s="100">
        <v>88.52</v>
      </c>
      <c r="N22" s="100">
        <v>2.2999999999999998</v>
      </c>
      <c r="O22" s="100">
        <v>0</v>
      </c>
      <c r="P22" s="100">
        <v>0.37</v>
      </c>
      <c r="Q22" s="100">
        <v>9.91</v>
      </c>
      <c r="R22" s="6"/>
      <c r="S22" s="6"/>
      <c r="T22" s="156"/>
      <c r="U22" s="6"/>
    </row>
    <row r="23" spans="1:21" customFormat="1">
      <c r="A23" s="163" t="s">
        <v>2750</v>
      </c>
      <c r="B23" s="100">
        <v>5.46</v>
      </c>
      <c r="C23" s="100">
        <v>6.6</v>
      </c>
      <c r="D23" s="100">
        <v>1.67</v>
      </c>
      <c r="E23" s="100">
        <v>5.09</v>
      </c>
      <c r="F23" s="100">
        <v>0.03</v>
      </c>
      <c r="G23" s="100">
        <v>15.7</v>
      </c>
      <c r="H23" s="100">
        <v>6.44</v>
      </c>
      <c r="I23" s="100">
        <v>3.43</v>
      </c>
      <c r="J23" s="100">
        <v>0.73</v>
      </c>
      <c r="K23" s="100">
        <v>252.93</v>
      </c>
      <c r="L23" s="100">
        <v>25.67</v>
      </c>
      <c r="M23" s="100">
        <v>87.65</v>
      </c>
      <c r="N23" s="100">
        <v>2.7</v>
      </c>
      <c r="O23" s="100">
        <v>0</v>
      </c>
      <c r="P23" s="100">
        <v>0.35</v>
      </c>
      <c r="Q23" s="100">
        <v>9.91</v>
      </c>
      <c r="R23" s="6"/>
      <c r="S23" s="6"/>
      <c r="T23" s="156"/>
      <c r="U23" s="6"/>
    </row>
    <row r="24" spans="1:21" customFormat="1">
      <c r="A24" s="163" t="s">
        <v>2751</v>
      </c>
      <c r="B24" s="100">
        <v>5.29</v>
      </c>
      <c r="C24" s="100">
        <v>6.48</v>
      </c>
      <c r="D24" s="100">
        <v>1.7</v>
      </c>
      <c r="E24" s="100">
        <v>5.03</v>
      </c>
      <c r="F24" s="100">
        <v>0.3</v>
      </c>
      <c r="G24" s="100">
        <v>16.920000000000002</v>
      </c>
      <c r="H24" s="100">
        <v>6.4</v>
      </c>
      <c r="I24" s="100">
        <v>3.47</v>
      </c>
      <c r="J24" s="100">
        <v>0.66</v>
      </c>
      <c r="K24" s="100">
        <v>258.74</v>
      </c>
      <c r="L24" s="100">
        <v>24.96</v>
      </c>
      <c r="M24" s="100">
        <v>92.44</v>
      </c>
      <c r="N24" s="100">
        <v>2.7</v>
      </c>
      <c r="O24" s="100">
        <v>0.2</v>
      </c>
      <c r="P24" s="100">
        <v>0.36</v>
      </c>
      <c r="Q24" s="100">
        <v>9.9</v>
      </c>
      <c r="R24" s="6"/>
      <c r="S24" s="6"/>
      <c r="T24" s="156"/>
      <c r="U24" s="6"/>
    </row>
    <row r="25" spans="1:21" customFormat="1">
      <c r="A25" s="163" t="s">
        <v>2752</v>
      </c>
      <c r="B25" s="100">
        <v>5.33</v>
      </c>
      <c r="C25" s="100">
        <v>6.52</v>
      </c>
      <c r="D25" s="100">
        <v>1.71</v>
      </c>
      <c r="E25" s="100">
        <v>5.36</v>
      </c>
      <c r="F25" s="100">
        <v>0.3</v>
      </c>
      <c r="G25" s="100">
        <v>16.920000000000002</v>
      </c>
      <c r="H25" s="100">
        <v>6.4</v>
      </c>
      <c r="I25" s="100">
        <v>3.36</v>
      </c>
      <c r="J25" s="100">
        <v>0.59</v>
      </c>
      <c r="K25" s="100">
        <v>252.42</v>
      </c>
      <c r="L25" s="100">
        <v>24.87</v>
      </c>
      <c r="M25" s="100">
        <v>94.05</v>
      </c>
      <c r="N25" s="100">
        <v>1.5</v>
      </c>
      <c r="O25" s="100">
        <v>0</v>
      </c>
      <c r="P25" s="100">
        <v>0.36</v>
      </c>
      <c r="Q25" s="100">
        <v>9.91</v>
      </c>
      <c r="R25" s="6"/>
      <c r="S25" s="6"/>
      <c r="T25" s="156"/>
      <c r="U25" s="6"/>
    </row>
    <row r="26" spans="1:21" customFormat="1">
      <c r="A26" s="163" t="s">
        <v>2753</v>
      </c>
      <c r="B26" s="100">
        <v>5.37</v>
      </c>
      <c r="C26" s="100">
        <v>6.51</v>
      </c>
      <c r="D26" s="100">
        <v>1.63</v>
      </c>
      <c r="E26" s="100">
        <v>5.14</v>
      </c>
      <c r="F26" s="100">
        <v>0.06</v>
      </c>
      <c r="G26" s="100">
        <v>16.920000000000002</v>
      </c>
      <c r="H26" s="100">
        <v>6.4</v>
      </c>
      <c r="I26" s="100">
        <v>3.64</v>
      </c>
      <c r="J26" s="100">
        <v>0.55000000000000004</v>
      </c>
      <c r="K26" s="100">
        <v>254.03</v>
      </c>
      <c r="L26" s="100">
        <v>25.06</v>
      </c>
      <c r="M26" s="100">
        <v>91.61</v>
      </c>
      <c r="N26" s="100">
        <v>1.7</v>
      </c>
      <c r="O26" s="100">
        <v>0</v>
      </c>
      <c r="P26" s="100">
        <v>0.34</v>
      </c>
      <c r="Q26" s="100">
        <v>9.93</v>
      </c>
      <c r="R26" s="6"/>
      <c r="S26" s="6"/>
      <c r="T26" s="156"/>
      <c r="U26" s="6"/>
    </row>
    <row r="27" spans="1:21" customFormat="1">
      <c r="A27" s="163" t="s">
        <v>2754</v>
      </c>
      <c r="B27" s="100">
        <v>5.17</v>
      </c>
      <c r="C27" s="100">
        <v>6.47</v>
      </c>
      <c r="D27" s="100">
        <v>1.87</v>
      </c>
      <c r="E27" s="100">
        <v>5</v>
      </c>
      <c r="F27" s="100">
        <v>0.15</v>
      </c>
      <c r="G27" s="100">
        <v>14.46</v>
      </c>
      <c r="H27" s="100">
        <v>5.09</v>
      </c>
      <c r="I27" s="100">
        <v>3.4</v>
      </c>
      <c r="J27" s="100">
        <v>0.6</v>
      </c>
      <c r="K27" s="100">
        <v>250.09</v>
      </c>
      <c r="L27" s="100">
        <v>25.08</v>
      </c>
      <c r="M27" s="100">
        <v>90.18</v>
      </c>
      <c r="N27" s="100">
        <v>2</v>
      </c>
      <c r="O27" s="100">
        <v>0</v>
      </c>
      <c r="P27" s="100">
        <v>0.36</v>
      </c>
      <c r="Q27" s="100">
        <v>9.91</v>
      </c>
      <c r="R27" s="6"/>
      <c r="S27" s="6"/>
      <c r="T27" s="156"/>
      <c r="U27" s="6"/>
    </row>
    <row r="28" spans="1:21" customFormat="1">
      <c r="A28" s="163" t="s">
        <v>2755</v>
      </c>
      <c r="B28" s="100">
        <v>5.34</v>
      </c>
      <c r="C28" s="100">
        <v>6.62</v>
      </c>
      <c r="D28" s="100">
        <v>1.9</v>
      </c>
      <c r="E28" s="100">
        <v>5.3</v>
      </c>
      <c r="F28" s="100">
        <v>0.15</v>
      </c>
      <c r="G28" s="100">
        <v>12.58</v>
      </c>
      <c r="H28" s="100">
        <v>4.67</v>
      </c>
      <c r="I28" s="100">
        <v>3.34</v>
      </c>
      <c r="J28" s="100">
        <v>0.69</v>
      </c>
      <c r="K28" s="100">
        <v>257.01</v>
      </c>
      <c r="L28" s="100">
        <v>25.05</v>
      </c>
      <c r="M28" s="100">
        <v>88.96</v>
      </c>
      <c r="N28" s="100">
        <v>1.9</v>
      </c>
      <c r="O28" s="100">
        <v>0</v>
      </c>
      <c r="P28" s="100">
        <v>0.34</v>
      </c>
      <c r="Q28" s="100">
        <v>9.92</v>
      </c>
      <c r="R28" s="6"/>
      <c r="S28" s="6"/>
      <c r="T28" s="156"/>
      <c r="U28" s="6"/>
    </row>
    <row r="29" spans="1:21" customFormat="1">
      <c r="A29" s="163" t="s">
        <v>2756</v>
      </c>
      <c r="B29" s="100">
        <v>5.22</v>
      </c>
      <c r="C29" s="100">
        <v>6.47</v>
      </c>
      <c r="D29" s="100">
        <v>1.79</v>
      </c>
      <c r="E29" s="100">
        <v>5.0599999999999996</v>
      </c>
      <c r="F29" s="100">
        <v>0.18</v>
      </c>
      <c r="G29" s="100">
        <v>12.58</v>
      </c>
      <c r="H29" s="100">
        <v>4.67</v>
      </c>
      <c r="I29" s="100">
        <v>3.44</v>
      </c>
      <c r="J29" s="100">
        <v>0.72</v>
      </c>
      <c r="K29" s="100">
        <v>255.55</v>
      </c>
      <c r="L29" s="100">
        <v>25.03</v>
      </c>
      <c r="M29" s="100">
        <v>88.66</v>
      </c>
      <c r="N29" s="100">
        <v>2.1</v>
      </c>
      <c r="O29" s="100">
        <v>0</v>
      </c>
      <c r="P29" s="100">
        <v>0.35</v>
      </c>
      <c r="Q29" s="100">
        <v>9.92</v>
      </c>
      <c r="R29" s="6"/>
      <c r="S29" s="6"/>
      <c r="T29" s="156"/>
      <c r="U29" s="6"/>
    </row>
    <row r="30" spans="1:21" customFormat="1">
      <c r="A30" s="163" t="s">
        <v>2757</v>
      </c>
      <c r="B30" s="100">
        <v>5.31</v>
      </c>
      <c r="C30" s="100">
        <v>6.56</v>
      </c>
      <c r="D30" s="100">
        <v>1.82</v>
      </c>
      <c r="E30" s="100">
        <v>5.12</v>
      </c>
      <c r="F30" s="100">
        <v>0.18</v>
      </c>
      <c r="G30" s="100">
        <v>12.58</v>
      </c>
      <c r="H30" s="100">
        <v>4.67</v>
      </c>
      <c r="I30" s="100">
        <v>3.35</v>
      </c>
      <c r="J30" s="100">
        <v>0.54</v>
      </c>
      <c r="K30" s="100">
        <v>258.86</v>
      </c>
      <c r="L30" s="100">
        <v>24.99</v>
      </c>
      <c r="M30" s="100">
        <v>89.24</v>
      </c>
      <c r="N30" s="100">
        <v>3.2</v>
      </c>
      <c r="O30" s="100">
        <v>0</v>
      </c>
      <c r="P30" s="100">
        <v>0.34</v>
      </c>
      <c r="Q30" s="100">
        <v>9.91</v>
      </c>
      <c r="R30" s="6"/>
      <c r="S30" s="6"/>
      <c r="T30" s="156"/>
      <c r="U30" s="6"/>
    </row>
    <row r="31" spans="1:21" customFormat="1">
      <c r="A31" s="163" t="s">
        <v>2758</v>
      </c>
      <c r="B31" s="100">
        <v>5.33</v>
      </c>
      <c r="C31" s="100">
        <v>6.52</v>
      </c>
      <c r="D31" s="100">
        <v>1.71</v>
      </c>
      <c r="E31" s="100">
        <v>4.9400000000000004</v>
      </c>
      <c r="F31" s="100">
        <v>0.05</v>
      </c>
      <c r="G31" s="100">
        <v>11.07</v>
      </c>
      <c r="H31" s="100">
        <v>5.0599999999999996</v>
      </c>
      <c r="I31" s="100">
        <v>3.42</v>
      </c>
      <c r="J31" s="100">
        <v>0.46</v>
      </c>
      <c r="K31" s="100">
        <v>256.48</v>
      </c>
      <c r="L31" s="100">
        <v>24.98</v>
      </c>
      <c r="M31" s="100">
        <v>89.68</v>
      </c>
      <c r="N31" s="100">
        <v>8.1</v>
      </c>
      <c r="O31" s="100">
        <v>0</v>
      </c>
      <c r="P31" s="100">
        <v>0.34</v>
      </c>
      <c r="Q31" s="100">
        <v>9.92</v>
      </c>
      <c r="R31" s="6"/>
      <c r="S31" s="6"/>
      <c r="T31" s="156"/>
      <c r="U31" s="6"/>
    </row>
    <row r="32" spans="1:21" customFormat="1">
      <c r="A32" s="163" t="s">
        <v>2759</v>
      </c>
      <c r="B32" s="100">
        <v>5.17</v>
      </c>
      <c r="C32" s="100">
        <v>6.54</v>
      </c>
      <c r="D32" s="100">
        <v>1.99</v>
      </c>
      <c r="E32" s="100">
        <v>5.19</v>
      </c>
      <c r="F32" s="100">
        <v>0.09</v>
      </c>
      <c r="G32" s="100">
        <v>9.91</v>
      </c>
      <c r="H32" s="100">
        <v>5.28</v>
      </c>
      <c r="I32" s="100">
        <v>3.42</v>
      </c>
      <c r="J32" s="100">
        <v>0.39</v>
      </c>
      <c r="K32" s="100">
        <v>254.41</v>
      </c>
      <c r="L32" s="100">
        <v>25.02</v>
      </c>
      <c r="M32" s="100">
        <v>90.26</v>
      </c>
      <c r="N32" s="100">
        <v>15.5</v>
      </c>
      <c r="O32" s="100">
        <v>0</v>
      </c>
      <c r="P32" s="100">
        <v>0.36</v>
      </c>
      <c r="Q32" s="100">
        <v>9.91</v>
      </c>
      <c r="R32" s="6"/>
      <c r="S32" s="6"/>
      <c r="T32" s="156"/>
      <c r="U32" s="6"/>
    </row>
    <row r="33" spans="1:21" customFormat="1">
      <c r="A33" s="163" t="s">
        <v>2760</v>
      </c>
      <c r="B33" s="100">
        <v>5.12</v>
      </c>
      <c r="C33" s="100">
        <v>6.71</v>
      </c>
      <c r="D33" s="100">
        <v>2.41</v>
      </c>
      <c r="E33" s="100">
        <v>5.46</v>
      </c>
      <c r="F33" s="100">
        <v>0.19</v>
      </c>
      <c r="G33" s="100">
        <v>9.91</v>
      </c>
      <c r="H33" s="100">
        <v>5.28</v>
      </c>
      <c r="I33" s="100">
        <v>3.37</v>
      </c>
      <c r="J33" s="100">
        <v>0.28000000000000003</v>
      </c>
      <c r="K33" s="100">
        <v>242.54</v>
      </c>
      <c r="L33" s="100">
        <v>25.24</v>
      </c>
      <c r="M33" s="100">
        <v>90</v>
      </c>
      <c r="N33" s="100">
        <v>28.8</v>
      </c>
      <c r="O33" s="100">
        <v>0</v>
      </c>
      <c r="P33" s="100">
        <v>0.31</v>
      </c>
      <c r="Q33" s="100">
        <v>9.9</v>
      </c>
      <c r="R33" s="6"/>
      <c r="S33" s="6"/>
      <c r="T33" s="156"/>
      <c r="U33" s="6"/>
    </row>
    <row r="34" spans="1:21" customFormat="1">
      <c r="A34" s="163" t="s">
        <v>2761</v>
      </c>
      <c r="B34" s="100">
        <v>4.99</v>
      </c>
      <c r="C34" s="100">
        <v>6.74</v>
      </c>
      <c r="D34" s="100">
        <v>2.66</v>
      </c>
      <c r="E34" s="100">
        <v>5.58</v>
      </c>
      <c r="F34" s="100">
        <v>0.18</v>
      </c>
      <c r="G34" s="100">
        <v>9.91</v>
      </c>
      <c r="H34" s="100">
        <v>5.28</v>
      </c>
      <c r="I34" s="100">
        <v>3.44</v>
      </c>
      <c r="J34" s="100">
        <v>0.4</v>
      </c>
      <c r="K34" s="100">
        <v>255.78</v>
      </c>
      <c r="L34" s="100">
        <v>25.4</v>
      </c>
      <c r="M34" s="100">
        <v>89.63</v>
      </c>
      <c r="N34" s="100">
        <v>43.8</v>
      </c>
      <c r="O34" s="100">
        <v>0</v>
      </c>
      <c r="P34" s="100">
        <v>0.31</v>
      </c>
      <c r="Q34" s="100">
        <v>9.9</v>
      </c>
      <c r="R34" s="6"/>
      <c r="S34" s="6"/>
      <c r="T34" s="156"/>
      <c r="U34" s="6"/>
    </row>
    <row r="35" spans="1:21" customFormat="1">
      <c r="A35" s="163" t="s">
        <v>2762</v>
      </c>
      <c r="B35" s="100">
        <v>4.8899999999999997</v>
      </c>
      <c r="C35" s="100">
        <v>6.72</v>
      </c>
      <c r="D35" s="100">
        <v>2.78</v>
      </c>
      <c r="E35" s="100">
        <v>5.65</v>
      </c>
      <c r="F35" s="100">
        <v>0.47</v>
      </c>
      <c r="G35" s="100">
        <v>10.34</v>
      </c>
      <c r="H35" s="100">
        <v>6.18</v>
      </c>
      <c r="I35" s="100">
        <v>3.34</v>
      </c>
      <c r="J35" s="100">
        <v>0.44</v>
      </c>
      <c r="K35" s="100">
        <v>258.27999999999997</v>
      </c>
      <c r="L35" s="100">
        <v>25.58</v>
      </c>
      <c r="M35" s="100">
        <v>88.66</v>
      </c>
      <c r="N35" s="100">
        <v>51.2</v>
      </c>
      <c r="O35" s="100">
        <v>0</v>
      </c>
      <c r="P35" s="100">
        <v>0.32</v>
      </c>
      <c r="Q35" s="100">
        <v>9.91</v>
      </c>
      <c r="R35" s="6"/>
      <c r="S35" s="6"/>
      <c r="T35" s="156"/>
      <c r="U35" s="6"/>
    </row>
    <row r="36" spans="1:21" customFormat="1">
      <c r="A36" s="163" t="s">
        <v>2763</v>
      </c>
      <c r="B36" s="100">
        <v>4.83</v>
      </c>
      <c r="C36" s="100">
        <v>6.67</v>
      </c>
      <c r="D36" s="100">
        <v>2.76</v>
      </c>
      <c r="E36" s="100">
        <v>5.9</v>
      </c>
      <c r="F36" s="100">
        <v>0.6</v>
      </c>
      <c r="G36" s="100">
        <v>10.66</v>
      </c>
      <c r="H36" s="100">
        <v>6.46</v>
      </c>
      <c r="I36" s="100">
        <v>3.38</v>
      </c>
      <c r="J36" s="100">
        <v>0.5</v>
      </c>
      <c r="K36" s="100">
        <v>257.20999999999998</v>
      </c>
      <c r="L36" s="100">
        <v>25.73</v>
      </c>
      <c r="M36" s="100">
        <v>88.42</v>
      </c>
      <c r="N36" s="100">
        <v>51</v>
      </c>
      <c r="O36" s="100">
        <v>0</v>
      </c>
      <c r="P36" s="100">
        <v>0.32</v>
      </c>
      <c r="Q36" s="100">
        <v>9.92</v>
      </c>
      <c r="R36" s="6"/>
      <c r="S36" s="6"/>
      <c r="T36" s="156"/>
      <c r="U36" s="6"/>
    </row>
    <row r="37" spans="1:21" customFormat="1">
      <c r="A37" s="163" t="s">
        <v>2764</v>
      </c>
      <c r="B37" s="100">
        <v>4.7699999999999996</v>
      </c>
      <c r="C37" s="100">
        <v>6.6</v>
      </c>
      <c r="D37" s="100">
        <v>2.72</v>
      </c>
      <c r="E37" s="100">
        <v>5.85</v>
      </c>
      <c r="F37" s="100">
        <v>0.93</v>
      </c>
      <c r="G37" s="100">
        <v>10.66</v>
      </c>
      <c r="H37" s="100">
        <v>6.46</v>
      </c>
      <c r="I37" s="100">
        <v>3.33</v>
      </c>
      <c r="J37" s="100">
        <v>0.62</v>
      </c>
      <c r="K37" s="100">
        <v>256.86</v>
      </c>
      <c r="L37" s="100">
        <v>25.7</v>
      </c>
      <c r="M37" s="100">
        <v>87.45</v>
      </c>
      <c r="N37" s="100">
        <v>33.9</v>
      </c>
      <c r="O37" s="100">
        <v>0</v>
      </c>
      <c r="P37" s="100">
        <v>0.32</v>
      </c>
      <c r="Q37" s="100">
        <v>9.93</v>
      </c>
      <c r="R37" s="6"/>
      <c r="S37" s="6"/>
      <c r="T37" s="156"/>
      <c r="U37" s="6"/>
    </row>
    <row r="38" spans="1:21" customFormat="1">
      <c r="A38" s="163" t="s">
        <v>2765</v>
      </c>
      <c r="B38" s="100">
        <v>4.71</v>
      </c>
      <c r="C38" s="100">
        <v>6.53</v>
      </c>
      <c r="D38" s="100">
        <v>2.68</v>
      </c>
      <c r="E38" s="100">
        <v>5.86</v>
      </c>
      <c r="F38" s="100">
        <v>1.3</v>
      </c>
      <c r="G38" s="100">
        <v>10.66</v>
      </c>
      <c r="H38" s="100">
        <v>6.46</v>
      </c>
      <c r="I38" s="100">
        <v>3.52</v>
      </c>
      <c r="J38" s="100">
        <v>0.73</v>
      </c>
      <c r="K38" s="100">
        <v>253.92</v>
      </c>
      <c r="L38" s="100">
        <v>25.77</v>
      </c>
      <c r="M38" s="100">
        <v>87.25</v>
      </c>
      <c r="N38" s="100">
        <v>48.6</v>
      </c>
      <c r="O38" s="100">
        <v>0</v>
      </c>
      <c r="P38" s="100">
        <v>0.32</v>
      </c>
      <c r="Q38" s="100">
        <v>9.89</v>
      </c>
      <c r="R38" s="6"/>
      <c r="S38" s="6"/>
      <c r="T38" s="156"/>
      <c r="U38" s="6"/>
    </row>
    <row r="39" spans="1:21" customFormat="1">
      <c r="A39" s="163" t="s">
        <v>2766</v>
      </c>
      <c r="B39" s="100">
        <v>4.6100000000000003</v>
      </c>
      <c r="C39" s="100">
        <v>6.47</v>
      </c>
      <c r="D39" s="100">
        <v>2.72</v>
      </c>
      <c r="E39" s="100">
        <v>5.81</v>
      </c>
      <c r="F39" s="100">
        <v>0.49</v>
      </c>
      <c r="G39" s="100">
        <v>10.84</v>
      </c>
      <c r="H39" s="100">
        <v>4.99</v>
      </c>
      <c r="I39" s="100">
        <v>3.47</v>
      </c>
      <c r="J39" s="100">
        <v>0.75</v>
      </c>
      <c r="K39" s="100">
        <v>254.51</v>
      </c>
      <c r="L39" s="100">
        <v>25.94</v>
      </c>
      <c r="M39" s="100">
        <v>86.43</v>
      </c>
      <c r="N39" s="100">
        <v>83.9</v>
      </c>
      <c r="O39" s="100">
        <v>0</v>
      </c>
      <c r="P39" s="100">
        <v>0.33</v>
      </c>
      <c r="Q39" s="100">
        <v>9.89</v>
      </c>
      <c r="R39" s="6"/>
      <c r="S39" s="6"/>
      <c r="T39" s="156"/>
      <c r="U39" s="6"/>
    </row>
    <row r="40" spans="1:21" customFormat="1">
      <c r="A40" s="163" t="s">
        <v>2767</v>
      </c>
      <c r="B40" s="100">
        <v>4.54</v>
      </c>
      <c r="C40" s="100">
        <v>6.42</v>
      </c>
      <c r="D40" s="100">
        <v>2.73</v>
      </c>
      <c r="E40" s="100">
        <v>6.05</v>
      </c>
      <c r="F40" s="100">
        <v>0.42</v>
      </c>
      <c r="G40" s="100">
        <v>10.98</v>
      </c>
      <c r="H40" s="100">
        <v>4.5199999999999996</v>
      </c>
      <c r="I40" s="100">
        <v>3.3</v>
      </c>
      <c r="J40" s="100">
        <v>0.79</v>
      </c>
      <c r="K40" s="100">
        <v>255.89</v>
      </c>
      <c r="L40" s="100">
        <v>26.34</v>
      </c>
      <c r="M40" s="100">
        <v>84.79</v>
      </c>
      <c r="N40" s="100">
        <v>156.30000000000001</v>
      </c>
      <c r="O40" s="100">
        <v>0</v>
      </c>
      <c r="P40" s="100">
        <v>0.32</v>
      </c>
      <c r="Q40" s="100">
        <v>9.9</v>
      </c>
      <c r="R40" s="6"/>
      <c r="S40" s="6"/>
      <c r="T40" s="156"/>
      <c r="U40" s="6"/>
    </row>
    <row r="41" spans="1:21" customFormat="1">
      <c r="A41" s="163" t="s">
        <v>2768</v>
      </c>
      <c r="B41" s="100">
        <v>4.47</v>
      </c>
      <c r="C41" s="100">
        <v>6.35</v>
      </c>
      <c r="D41" s="100">
        <v>2.71</v>
      </c>
      <c r="E41" s="100">
        <v>5.92</v>
      </c>
      <c r="F41" s="100">
        <v>0.46</v>
      </c>
      <c r="G41" s="100">
        <v>10.98</v>
      </c>
      <c r="H41" s="100">
        <v>4.5199999999999996</v>
      </c>
      <c r="I41" s="100">
        <v>3.39</v>
      </c>
      <c r="J41" s="100">
        <v>0.96</v>
      </c>
      <c r="K41" s="100">
        <v>257.04000000000002</v>
      </c>
      <c r="L41" s="100">
        <v>26.9</v>
      </c>
      <c r="M41" s="100">
        <v>83.27</v>
      </c>
      <c r="N41" s="100">
        <v>185.6</v>
      </c>
      <c r="O41" s="100">
        <v>0</v>
      </c>
      <c r="P41" s="100">
        <v>0.31</v>
      </c>
      <c r="Q41" s="100">
        <v>9.92</v>
      </c>
      <c r="R41" s="6"/>
      <c r="S41" s="6"/>
      <c r="T41" s="156"/>
      <c r="U41" s="6"/>
    </row>
    <row r="42" spans="1:21" customFormat="1">
      <c r="A42" s="163" t="s">
        <v>2769</v>
      </c>
      <c r="B42" s="100">
        <v>4.3899999999999997</v>
      </c>
      <c r="C42" s="100">
        <v>6.27</v>
      </c>
      <c r="D42" s="100">
        <v>2.67</v>
      </c>
      <c r="E42" s="100">
        <v>5.56</v>
      </c>
      <c r="F42" s="100">
        <v>0.79</v>
      </c>
      <c r="G42" s="100">
        <v>10.98</v>
      </c>
      <c r="H42" s="100">
        <v>4.5199999999999996</v>
      </c>
      <c r="I42" s="100">
        <v>3.4</v>
      </c>
      <c r="J42" s="100">
        <v>0.86</v>
      </c>
      <c r="K42" s="100">
        <v>256.64</v>
      </c>
      <c r="L42" s="100">
        <v>26.82</v>
      </c>
      <c r="M42" s="100">
        <v>83.99</v>
      </c>
      <c r="N42" s="100">
        <v>108.5</v>
      </c>
      <c r="O42" s="100">
        <v>0</v>
      </c>
      <c r="P42" s="100">
        <v>0.32</v>
      </c>
      <c r="Q42" s="100">
        <v>9.9</v>
      </c>
      <c r="R42" s="6"/>
      <c r="S42" s="6"/>
      <c r="T42" s="156"/>
      <c r="U42" s="6"/>
    </row>
    <row r="43" spans="1:21" customFormat="1">
      <c r="A43" s="163" t="s">
        <v>2770</v>
      </c>
      <c r="B43" s="100">
        <v>4.34</v>
      </c>
      <c r="C43" s="100">
        <v>6.19</v>
      </c>
      <c r="D43" s="100">
        <v>2.6</v>
      </c>
      <c r="E43" s="100">
        <v>5.69</v>
      </c>
      <c r="F43" s="100">
        <v>1.07</v>
      </c>
      <c r="G43" s="100">
        <v>13.23</v>
      </c>
      <c r="H43" s="100">
        <v>6.71</v>
      </c>
      <c r="I43" s="100">
        <v>3.4</v>
      </c>
      <c r="J43" s="100">
        <v>0.92</v>
      </c>
      <c r="K43" s="100">
        <v>253.22</v>
      </c>
      <c r="L43" s="100">
        <v>26.5</v>
      </c>
      <c r="M43" s="100">
        <v>84.43</v>
      </c>
      <c r="N43" s="100">
        <v>67</v>
      </c>
      <c r="O43" s="100">
        <v>0</v>
      </c>
      <c r="P43" s="100">
        <v>0.31</v>
      </c>
      <c r="Q43" s="100">
        <v>9.9</v>
      </c>
      <c r="R43" s="6"/>
      <c r="S43" s="6"/>
      <c r="T43" s="156"/>
      <c r="U43" s="6"/>
    </row>
    <row r="44" spans="1:21" customFormat="1">
      <c r="A44" s="163" t="s">
        <v>2771</v>
      </c>
      <c r="B44" s="100">
        <v>4.3</v>
      </c>
      <c r="C44" s="100">
        <v>6.18</v>
      </c>
      <c r="D44" s="100">
        <v>2.64</v>
      </c>
      <c r="E44" s="100">
        <v>5.79</v>
      </c>
      <c r="F44" s="100">
        <v>0.44</v>
      </c>
      <c r="G44" s="100">
        <v>14.96</v>
      </c>
      <c r="H44" s="100">
        <v>7.39</v>
      </c>
      <c r="I44" s="100">
        <v>3.36</v>
      </c>
      <c r="J44" s="100">
        <v>0.74</v>
      </c>
      <c r="K44" s="100">
        <v>247.69</v>
      </c>
      <c r="L44" s="100">
        <v>26.84</v>
      </c>
      <c r="M44" s="100">
        <v>83.79</v>
      </c>
      <c r="N44" s="100">
        <v>141.9</v>
      </c>
      <c r="O44" s="100">
        <v>0</v>
      </c>
      <c r="P44" s="100">
        <v>0.31</v>
      </c>
      <c r="Q44" s="100">
        <v>9.91</v>
      </c>
      <c r="R44" s="6"/>
      <c r="S44" s="6"/>
      <c r="T44" s="156"/>
      <c r="U44" s="6"/>
    </row>
    <row r="45" spans="1:21" customFormat="1">
      <c r="A45" s="163" t="s">
        <v>2772</v>
      </c>
      <c r="B45" s="100">
        <v>4.2300000000000004</v>
      </c>
      <c r="C45" s="100">
        <v>6.11</v>
      </c>
      <c r="D45" s="100">
        <v>2.61</v>
      </c>
      <c r="E45" s="100">
        <v>5.65</v>
      </c>
      <c r="F45" s="100">
        <v>0.48</v>
      </c>
      <c r="G45" s="100">
        <v>14.96</v>
      </c>
      <c r="H45" s="100">
        <v>7.39</v>
      </c>
      <c r="I45" s="100">
        <v>3.22</v>
      </c>
      <c r="J45" s="100">
        <v>0.96</v>
      </c>
      <c r="K45" s="100">
        <v>257.33</v>
      </c>
      <c r="L45" s="100">
        <v>26.74</v>
      </c>
      <c r="M45" s="100">
        <v>84.31</v>
      </c>
      <c r="N45" s="100">
        <v>73.400000000000006</v>
      </c>
      <c r="O45" s="100">
        <v>0</v>
      </c>
      <c r="P45" s="100">
        <v>0.32</v>
      </c>
      <c r="Q45" s="100">
        <v>9.91</v>
      </c>
      <c r="R45" s="6"/>
      <c r="S45" s="6"/>
      <c r="T45" s="156"/>
      <c r="U45" s="6"/>
    </row>
    <row r="46" spans="1:21" customFormat="1">
      <c r="A46" s="163" t="s">
        <v>2773</v>
      </c>
      <c r="B46" s="100">
        <v>4.1500000000000004</v>
      </c>
      <c r="C46" s="100">
        <v>6.02</v>
      </c>
      <c r="D46" s="100">
        <v>2.56</v>
      </c>
      <c r="E46" s="100">
        <v>5.73</v>
      </c>
      <c r="F46" s="100">
        <v>0.85</v>
      </c>
      <c r="G46" s="100">
        <v>14.96</v>
      </c>
      <c r="H46" s="100">
        <v>7.39</v>
      </c>
      <c r="I46" s="100">
        <v>3.27</v>
      </c>
      <c r="J46" s="100">
        <v>0.88</v>
      </c>
      <c r="K46" s="100">
        <v>255.03</v>
      </c>
      <c r="L46" s="100">
        <v>26.71</v>
      </c>
      <c r="M46" s="100">
        <v>84.58</v>
      </c>
      <c r="N46" s="100">
        <v>98.5</v>
      </c>
      <c r="O46" s="100">
        <v>0</v>
      </c>
      <c r="P46" s="100">
        <v>0.32</v>
      </c>
      <c r="Q46" s="100">
        <v>9.91</v>
      </c>
      <c r="R46" s="6"/>
      <c r="S46" s="6"/>
      <c r="T46" s="156"/>
      <c r="U46" s="6"/>
    </row>
    <row r="47" spans="1:21" customFormat="1">
      <c r="A47" s="163" t="s">
        <v>2774</v>
      </c>
      <c r="B47" s="100">
        <v>4.12</v>
      </c>
      <c r="C47" s="100">
        <v>5.94</v>
      </c>
      <c r="D47" s="100">
        <v>2.4700000000000002</v>
      </c>
      <c r="E47" s="100">
        <v>5.58</v>
      </c>
      <c r="F47" s="100">
        <v>1.18</v>
      </c>
      <c r="G47" s="100">
        <v>15.9</v>
      </c>
      <c r="H47" s="100">
        <v>8.1999999999999993</v>
      </c>
      <c r="I47" s="100">
        <v>3.3</v>
      </c>
      <c r="J47" s="100">
        <v>0.88</v>
      </c>
      <c r="K47" s="100">
        <v>-0.16</v>
      </c>
      <c r="L47" s="100">
        <v>27.23</v>
      </c>
      <c r="M47" s="100">
        <v>83.24</v>
      </c>
      <c r="N47" s="100">
        <v>167.2</v>
      </c>
      <c r="O47" s="100">
        <v>0</v>
      </c>
      <c r="P47" s="100">
        <v>0.31</v>
      </c>
      <c r="Q47" s="100">
        <v>9.9</v>
      </c>
      <c r="R47" s="6"/>
      <c r="S47" s="6"/>
      <c r="T47" s="156"/>
      <c r="U47" s="6"/>
    </row>
    <row r="48" spans="1:21" customFormat="1">
      <c r="A48" s="163" t="s">
        <v>2775</v>
      </c>
      <c r="B48" s="133" t="s">
        <v>4</v>
      </c>
      <c r="C48" s="133" t="s">
        <v>4</v>
      </c>
      <c r="D48" s="133" t="s">
        <v>4</v>
      </c>
      <c r="E48" s="133" t="s">
        <v>4</v>
      </c>
      <c r="F48" s="133" t="s">
        <v>4</v>
      </c>
      <c r="G48" s="133" t="s">
        <v>4</v>
      </c>
      <c r="H48" s="133" t="s">
        <v>4</v>
      </c>
      <c r="I48" s="133" t="s">
        <v>4</v>
      </c>
      <c r="J48" s="133" t="s">
        <v>4</v>
      </c>
      <c r="K48" s="133" t="s">
        <v>4</v>
      </c>
      <c r="L48" s="133" t="s">
        <v>4</v>
      </c>
      <c r="M48" s="133" t="s">
        <v>4</v>
      </c>
      <c r="N48" s="133" t="s">
        <v>4</v>
      </c>
      <c r="O48" s="133" t="s">
        <v>4</v>
      </c>
      <c r="P48" s="133" t="s">
        <v>4</v>
      </c>
      <c r="Q48" s="133" t="s">
        <v>4</v>
      </c>
      <c r="R48" s="6"/>
      <c r="S48" s="6"/>
      <c r="T48" s="156"/>
      <c r="U48" s="6"/>
    </row>
    <row r="49" spans="1:21" customFormat="1">
      <c r="A49" s="163" t="s">
        <v>2776</v>
      </c>
      <c r="B49" s="133" t="s">
        <v>4</v>
      </c>
      <c r="C49" s="133" t="s">
        <v>4</v>
      </c>
      <c r="D49" s="133" t="s">
        <v>4</v>
      </c>
      <c r="E49" s="133" t="s">
        <v>4</v>
      </c>
      <c r="F49" s="133" t="s">
        <v>4</v>
      </c>
      <c r="G49" s="133" t="s">
        <v>4</v>
      </c>
      <c r="H49" s="133" t="s">
        <v>4</v>
      </c>
      <c r="I49" s="133" t="s">
        <v>4</v>
      </c>
      <c r="J49" s="133" t="s">
        <v>4</v>
      </c>
      <c r="K49" s="133" t="s">
        <v>4</v>
      </c>
      <c r="L49" s="133" t="s">
        <v>4</v>
      </c>
      <c r="M49" s="133" t="s">
        <v>4</v>
      </c>
      <c r="N49" s="133" t="s">
        <v>4</v>
      </c>
      <c r="O49" s="133" t="s">
        <v>4</v>
      </c>
      <c r="P49" s="133" t="s">
        <v>4</v>
      </c>
      <c r="Q49" s="133" t="s">
        <v>4</v>
      </c>
      <c r="R49" s="6"/>
      <c r="S49" s="6"/>
      <c r="T49" s="156"/>
      <c r="U49" s="6"/>
    </row>
    <row r="50" spans="1:21" customFormat="1">
      <c r="A50" s="163" t="s">
        <v>2777</v>
      </c>
      <c r="B50" s="133" t="s">
        <v>4</v>
      </c>
      <c r="C50" s="133" t="s">
        <v>4</v>
      </c>
      <c r="D50" s="133" t="s">
        <v>4</v>
      </c>
      <c r="E50" s="133" t="s">
        <v>4</v>
      </c>
      <c r="F50" s="133" t="s">
        <v>4</v>
      </c>
      <c r="G50" s="133" t="s">
        <v>4</v>
      </c>
      <c r="H50" s="133" t="s">
        <v>4</v>
      </c>
      <c r="I50" s="133" t="s">
        <v>4</v>
      </c>
      <c r="J50" s="133" t="s">
        <v>4</v>
      </c>
      <c r="K50" s="133" t="s">
        <v>4</v>
      </c>
      <c r="L50" s="133" t="s">
        <v>4</v>
      </c>
      <c r="M50" s="133" t="s">
        <v>4</v>
      </c>
      <c r="N50" s="133" t="s">
        <v>4</v>
      </c>
      <c r="O50" s="133" t="s">
        <v>4</v>
      </c>
      <c r="P50" s="133" t="s">
        <v>4</v>
      </c>
      <c r="Q50" s="133" t="s">
        <v>4</v>
      </c>
      <c r="R50" s="6"/>
      <c r="S50" s="6"/>
      <c r="T50" s="156"/>
      <c r="U50" s="6"/>
    </row>
    <row r="51" spans="1:21" customFormat="1">
      <c r="A51" s="163" t="s">
        <v>2778</v>
      </c>
      <c r="B51" s="133" t="s">
        <v>4</v>
      </c>
      <c r="C51" s="133" t="s">
        <v>4</v>
      </c>
      <c r="D51" s="133" t="s">
        <v>4</v>
      </c>
      <c r="E51" s="133" t="s">
        <v>4</v>
      </c>
      <c r="F51" s="133" t="s">
        <v>4</v>
      </c>
      <c r="G51" s="133" t="s">
        <v>4</v>
      </c>
      <c r="H51" s="133" t="s">
        <v>4</v>
      </c>
      <c r="I51" s="133" t="s">
        <v>4</v>
      </c>
      <c r="J51" s="133" t="s">
        <v>4</v>
      </c>
      <c r="K51" s="133" t="s">
        <v>4</v>
      </c>
      <c r="L51" s="133" t="s">
        <v>4</v>
      </c>
      <c r="M51" s="133" t="s">
        <v>4</v>
      </c>
      <c r="N51" s="133" t="s">
        <v>4</v>
      </c>
      <c r="O51" s="133" t="s">
        <v>4</v>
      </c>
      <c r="P51" s="133" t="s">
        <v>4</v>
      </c>
      <c r="Q51" s="133" t="s">
        <v>4</v>
      </c>
      <c r="R51" s="6"/>
      <c r="S51" s="6"/>
      <c r="T51" s="156"/>
      <c r="U51" s="6"/>
    </row>
    <row r="52" spans="1:21" customFormat="1">
      <c r="A52" s="163" t="s">
        <v>2779</v>
      </c>
      <c r="B52" s="133" t="s">
        <v>4</v>
      </c>
      <c r="C52" s="133" t="s">
        <v>4</v>
      </c>
      <c r="D52" s="133" t="s">
        <v>4</v>
      </c>
      <c r="E52" s="133" t="s">
        <v>4</v>
      </c>
      <c r="F52" s="133" t="s">
        <v>4</v>
      </c>
      <c r="G52" s="133" t="s">
        <v>4</v>
      </c>
      <c r="H52" s="133" t="s">
        <v>4</v>
      </c>
      <c r="I52" s="133" t="s">
        <v>4</v>
      </c>
      <c r="J52" s="133" t="s">
        <v>4</v>
      </c>
      <c r="K52" s="133" t="s">
        <v>4</v>
      </c>
      <c r="L52" s="133" t="s">
        <v>4</v>
      </c>
      <c r="M52" s="133" t="s">
        <v>4</v>
      </c>
      <c r="N52" s="133" t="s">
        <v>4</v>
      </c>
      <c r="O52" s="133" t="s">
        <v>4</v>
      </c>
      <c r="P52" s="133" t="s">
        <v>4</v>
      </c>
      <c r="Q52" s="133" t="s">
        <v>4</v>
      </c>
      <c r="R52" s="6"/>
      <c r="S52" s="6"/>
      <c r="T52" s="156"/>
      <c r="U52" s="6"/>
    </row>
    <row r="53" spans="1:21" customFormat="1">
      <c r="A53" s="163" t="s">
        <v>2780</v>
      </c>
      <c r="B53" s="133" t="s">
        <v>4</v>
      </c>
      <c r="C53" s="133" t="s">
        <v>4</v>
      </c>
      <c r="D53" s="133" t="s">
        <v>4</v>
      </c>
      <c r="E53" s="133" t="s">
        <v>4</v>
      </c>
      <c r="F53" s="133" t="s">
        <v>4</v>
      </c>
      <c r="G53" s="133" t="s">
        <v>4</v>
      </c>
      <c r="H53" s="133" t="s">
        <v>4</v>
      </c>
      <c r="I53" s="133" t="s">
        <v>4</v>
      </c>
      <c r="J53" s="133" t="s">
        <v>4</v>
      </c>
      <c r="K53" s="133" t="s">
        <v>4</v>
      </c>
      <c r="L53" s="133" t="s">
        <v>4</v>
      </c>
      <c r="M53" s="133" t="s">
        <v>4</v>
      </c>
      <c r="N53" s="133" t="s">
        <v>4</v>
      </c>
      <c r="O53" s="133" t="s">
        <v>4</v>
      </c>
      <c r="P53" s="133" t="s">
        <v>4</v>
      </c>
      <c r="Q53" s="133" t="s">
        <v>4</v>
      </c>
      <c r="R53" s="6"/>
      <c r="S53" s="6"/>
      <c r="T53" s="156"/>
      <c r="U53" s="6"/>
    </row>
    <row r="54" spans="1:21" customFormat="1">
      <c r="A54" s="163" t="s">
        <v>2781</v>
      </c>
      <c r="B54" s="133" t="s">
        <v>4</v>
      </c>
      <c r="C54" s="133" t="s">
        <v>4</v>
      </c>
      <c r="D54" s="133" t="s">
        <v>4</v>
      </c>
      <c r="E54" s="133" t="s">
        <v>4</v>
      </c>
      <c r="F54" s="133" t="s">
        <v>4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  <c r="R54" s="6"/>
      <c r="S54" s="6"/>
      <c r="T54" s="156"/>
      <c r="U54" s="6"/>
    </row>
    <row r="55" spans="1:21" customFormat="1">
      <c r="A55" s="163" t="s">
        <v>2782</v>
      </c>
      <c r="B55" s="133" t="s">
        <v>4</v>
      </c>
      <c r="C55" s="133" t="s">
        <v>4</v>
      </c>
      <c r="D55" s="133" t="s">
        <v>4</v>
      </c>
      <c r="E55" s="133" t="s">
        <v>4</v>
      </c>
      <c r="F55" s="133" t="s">
        <v>4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  <c r="R55" s="6"/>
      <c r="S55" s="6"/>
      <c r="T55" s="156"/>
      <c r="U55" s="6"/>
    </row>
    <row r="56" spans="1:21" customFormat="1">
      <c r="A56" s="163" t="s">
        <v>2783</v>
      </c>
      <c r="B56" s="133" t="s">
        <v>4</v>
      </c>
      <c r="C56" s="133" t="s">
        <v>4</v>
      </c>
      <c r="D56" s="133" t="s">
        <v>4</v>
      </c>
      <c r="E56" s="133" t="s">
        <v>4</v>
      </c>
      <c r="F56" s="133" t="s">
        <v>4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  <c r="R56" s="6"/>
      <c r="S56" s="6"/>
      <c r="T56" s="156"/>
      <c r="U56" s="6"/>
    </row>
    <row r="57" spans="1:21" customFormat="1">
      <c r="A57" s="163" t="s">
        <v>2784</v>
      </c>
      <c r="B57" s="133" t="s">
        <v>4</v>
      </c>
      <c r="C57" s="133" t="s">
        <v>4</v>
      </c>
      <c r="D57" s="133" t="s">
        <v>4</v>
      </c>
      <c r="E57" s="133" t="s">
        <v>4</v>
      </c>
      <c r="F57" s="133" t="s">
        <v>4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  <c r="R57" s="6"/>
      <c r="S57" s="6"/>
      <c r="T57" s="156"/>
      <c r="U57" s="6"/>
    </row>
    <row r="58" spans="1:21" customFormat="1">
      <c r="A58" s="163" t="s">
        <v>2785</v>
      </c>
      <c r="B58" s="133" t="s">
        <v>4</v>
      </c>
      <c r="C58" s="133" t="s">
        <v>4</v>
      </c>
      <c r="D58" s="133" t="s">
        <v>4</v>
      </c>
      <c r="E58" s="133" t="s">
        <v>4</v>
      </c>
      <c r="F58" s="133" t="s">
        <v>4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  <c r="R58" s="6"/>
      <c r="S58" s="6"/>
      <c r="T58" s="156"/>
      <c r="U58" s="6"/>
    </row>
    <row r="59" spans="1:21" customFormat="1">
      <c r="A59" s="163" t="s">
        <v>2786</v>
      </c>
      <c r="B59" s="133" t="s">
        <v>4</v>
      </c>
      <c r="C59" s="133" t="s">
        <v>4</v>
      </c>
      <c r="D59" s="133" t="s">
        <v>4</v>
      </c>
      <c r="E59" s="133" t="s">
        <v>4</v>
      </c>
      <c r="F59" s="133" t="s">
        <v>4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  <c r="R59" s="6"/>
      <c r="S59" s="6"/>
      <c r="T59" s="156"/>
      <c r="U59" s="6"/>
    </row>
    <row r="60" spans="1:21" customFormat="1">
      <c r="A60" s="163" t="s">
        <v>2787</v>
      </c>
      <c r="B60" s="150" t="s">
        <v>21</v>
      </c>
      <c r="C60" s="150" t="s">
        <v>21</v>
      </c>
      <c r="D60" s="150" t="s">
        <v>21</v>
      </c>
      <c r="E60" s="150" t="s">
        <v>21</v>
      </c>
      <c r="F60" s="100">
        <v>9.59</v>
      </c>
      <c r="G60" s="100">
        <v>13.93</v>
      </c>
      <c r="H60" s="100">
        <v>6.64</v>
      </c>
      <c r="I60" s="100">
        <v>0</v>
      </c>
      <c r="J60" s="100">
        <v>1.18</v>
      </c>
      <c r="K60" s="100">
        <v>262.38</v>
      </c>
      <c r="L60" s="100">
        <v>28.76</v>
      </c>
      <c r="M60" s="100">
        <v>75.17</v>
      </c>
      <c r="N60" s="100">
        <v>420.2</v>
      </c>
      <c r="O60" s="100">
        <v>0</v>
      </c>
      <c r="P60" s="100">
        <v>0.47</v>
      </c>
      <c r="Q60" s="150" t="s">
        <v>21</v>
      </c>
      <c r="R60" s="6"/>
      <c r="S60" s="6"/>
      <c r="T60" s="156"/>
      <c r="U60" s="6"/>
    </row>
    <row r="61" spans="1:21" customFormat="1">
      <c r="A61" s="163" t="s">
        <v>2788</v>
      </c>
      <c r="B61" s="100">
        <v>5.08</v>
      </c>
      <c r="C61" s="100">
        <v>5.51</v>
      </c>
      <c r="D61" s="100">
        <v>0.43</v>
      </c>
      <c r="E61" s="100">
        <v>6.4</v>
      </c>
      <c r="F61" s="100">
        <v>1.58</v>
      </c>
      <c r="G61" s="100">
        <v>11.63</v>
      </c>
      <c r="H61" s="100">
        <v>5.92</v>
      </c>
      <c r="I61" s="100">
        <v>0</v>
      </c>
      <c r="J61" s="100">
        <v>1.24</v>
      </c>
      <c r="K61" s="100">
        <v>253.54</v>
      </c>
      <c r="L61" s="100">
        <v>29.56</v>
      </c>
      <c r="M61" s="100">
        <v>72.650000000000006</v>
      </c>
      <c r="N61" s="100">
        <v>443.3</v>
      </c>
      <c r="O61" s="100">
        <v>0</v>
      </c>
      <c r="P61" s="100">
        <v>0.14000000000000001</v>
      </c>
      <c r="Q61" s="150" t="s">
        <v>21</v>
      </c>
      <c r="R61" s="6"/>
      <c r="S61" s="6"/>
      <c r="T61" s="156"/>
      <c r="U61" s="6"/>
    </row>
    <row r="62" spans="1:21" customFormat="1">
      <c r="A62" s="163" t="s">
        <v>2789</v>
      </c>
      <c r="B62" s="100">
        <v>4.91</v>
      </c>
      <c r="C62" s="100">
        <v>6.26</v>
      </c>
      <c r="D62" s="100">
        <v>1.86</v>
      </c>
      <c r="E62" s="147" t="s">
        <v>14</v>
      </c>
      <c r="F62" s="100">
        <v>1.77</v>
      </c>
      <c r="G62" s="100">
        <v>11.63</v>
      </c>
      <c r="H62" s="100">
        <v>5.92</v>
      </c>
      <c r="I62" s="100">
        <v>1.67</v>
      </c>
      <c r="J62" s="100">
        <v>1.1000000000000001</v>
      </c>
      <c r="K62" s="100">
        <v>255.39</v>
      </c>
      <c r="L62" s="100">
        <v>29.92</v>
      </c>
      <c r="M62" s="100">
        <v>72.040000000000006</v>
      </c>
      <c r="N62" s="100">
        <v>440.3</v>
      </c>
      <c r="O62" s="100">
        <v>0</v>
      </c>
      <c r="P62" s="100">
        <v>0.1</v>
      </c>
      <c r="Q62" s="147" t="s">
        <v>14</v>
      </c>
      <c r="R62" s="6"/>
      <c r="S62" s="6"/>
      <c r="T62" s="156"/>
      <c r="U62" s="6"/>
    </row>
    <row r="63" spans="1:21" customFormat="1">
      <c r="A63" s="163" t="s">
        <v>2790</v>
      </c>
      <c r="B63" s="100">
        <v>3.96</v>
      </c>
      <c r="C63" s="100">
        <v>5.86</v>
      </c>
      <c r="D63" s="100">
        <v>2.54</v>
      </c>
      <c r="E63" s="147" t="s">
        <v>14</v>
      </c>
      <c r="F63" s="100">
        <v>3.75</v>
      </c>
      <c r="G63" s="100">
        <v>25.18</v>
      </c>
      <c r="H63" s="100">
        <v>16.670000000000002</v>
      </c>
      <c r="I63" s="100">
        <v>3.77</v>
      </c>
      <c r="J63" s="100">
        <v>1.19</v>
      </c>
      <c r="K63" s="100">
        <v>259.17</v>
      </c>
      <c r="L63" s="100">
        <v>30.38</v>
      </c>
      <c r="M63" s="100">
        <v>70.900000000000006</v>
      </c>
      <c r="N63" s="100">
        <v>611</v>
      </c>
      <c r="O63" s="100">
        <v>0</v>
      </c>
      <c r="P63" s="100">
        <v>0.1</v>
      </c>
      <c r="Q63" s="147" t="s">
        <v>14</v>
      </c>
      <c r="R63" s="6"/>
      <c r="S63" s="6"/>
      <c r="T63" s="156"/>
      <c r="U63" s="6"/>
    </row>
    <row r="64" spans="1:21" customFormat="1">
      <c r="A64" s="163" t="s">
        <v>2791</v>
      </c>
      <c r="B64" s="100">
        <v>3.49</v>
      </c>
      <c r="C64" s="100">
        <v>5.49</v>
      </c>
      <c r="D64" s="100">
        <v>2.57</v>
      </c>
      <c r="E64" s="147" t="s">
        <v>14</v>
      </c>
      <c r="F64" s="100">
        <v>3.27</v>
      </c>
      <c r="G64" s="100">
        <v>35.54</v>
      </c>
      <c r="H64" s="100">
        <v>20.11</v>
      </c>
      <c r="I64" s="100">
        <v>3.6</v>
      </c>
      <c r="J64" s="100">
        <v>1.02</v>
      </c>
      <c r="K64" s="100">
        <v>262.10000000000002</v>
      </c>
      <c r="L64" s="100">
        <v>30.37</v>
      </c>
      <c r="M64" s="100">
        <v>70.930000000000007</v>
      </c>
      <c r="N64" s="100">
        <v>384.7</v>
      </c>
      <c r="O64" s="100">
        <v>0</v>
      </c>
      <c r="P64" s="100">
        <v>0.1</v>
      </c>
      <c r="Q64" s="147" t="s">
        <v>14</v>
      </c>
      <c r="R64" s="6"/>
      <c r="S64" s="6"/>
      <c r="T64" s="156"/>
      <c r="U64" s="6"/>
    </row>
    <row r="65" spans="1:21" customFormat="1">
      <c r="A65" s="163" t="s">
        <v>2792</v>
      </c>
      <c r="B65" s="100">
        <v>3.14</v>
      </c>
      <c r="C65" s="100">
        <v>5.19</v>
      </c>
      <c r="D65" s="100">
        <v>2.5299999999999998</v>
      </c>
      <c r="E65" s="147" t="s">
        <v>14</v>
      </c>
      <c r="F65" s="100">
        <v>2.56</v>
      </c>
      <c r="G65" s="100">
        <v>35.54</v>
      </c>
      <c r="H65" s="100">
        <v>20.11</v>
      </c>
      <c r="I65" s="100">
        <v>3.44</v>
      </c>
      <c r="J65" s="100">
        <v>0.94</v>
      </c>
      <c r="K65" s="100">
        <v>254.78</v>
      </c>
      <c r="L65" s="100">
        <v>29.64</v>
      </c>
      <c r="M65" s="100">
        <v>72.400000000000006</v>
      </c>
      <c r="N65" s="100">
        <v>218.9</v>
      </c>
      <c r="O65" s="100">
        <v>0</v>
      </c>
      <c r="P65" s="100">
        <v>0.23</v>
      </c>
      <c r="Q65" s="147" t="s">
        <v>14</v>
      </c>
      <c r="R65" s="6"/>
      <c r="S65" s="6"/>
      <c r="T65" s="156"/>
      <c r="U65" s="6"/>
    </row>
    <row r="66" spans="1:21" customFormat="1">
      <c r="A66" s="163" t="s">
        <v>2793</v>
      </c>
      <c r="B66" s="100">
        <v>2.91</v>
      </c>
      <c r="C66" s="100">
        <v>4.96</v>
      </c>
      <c r="D66" s="100">
        <v>2.44</v>
      </c>
      <c r="E66" s="147" t="s">
        <v>14</v>
      </c>
      <c r="F66" s="100">
        <v>2.5299999999999998</v>
      </c>
      <c r="G66" s="100">
        <v>35.54</v>
      </c>
      <c r="H66" s="100">
        <v>20.11</v>
      </c>
      <c r="I66" s="100">
        <v>3.48</v>
      </c>
      <c r="J66" s="100">
        <v>0.89</v>
      </c>
      <c r="K66" s="100">
        <v>256.97000000000003</v>
      </c>
      <c r="L66" s="100">
        <v>29.71</v>
      </c>
      <c r="M66" s="100">
        <v>71.88</v>
      </c>
      <c r="N66" s="100">
        <v>259.89999999999998</v>
      </c>
      <c r="O66" s="100">
        <v>0</v>
      </c>
      <c r="P66" s="100">
        <v>0.25</v>
      </c>
      <c r="Q66" s="147" t="s">
        <v>14</v>
      </c>
      <c r="R66" s="6"/>
      <c r="S66" s="6"/>
      <c r="T66" s="156"/>
      <c r="U66" s="6"/>
    </row>
    <row r="67" spans="1:21" customFormat="1">
      <c r="A67" s="163" t="s">
        <v>2794</v>
      </c>
      <c r="B67" s="100">
        <v>2.75</v>
      </c>
      <c r="C67" s="100">
        <v>4.83</v>
      </c>
      <c r="D67" s="100">
        <v>2.44</v>
      </c>
      <c r="E67" s="147" t="s">
        <v>14</v>
      </c>
      <c r="F67" s="100">
        <v>2.59</v>
      </c>
      <c r="G67" s="100">
        <v>32.11</v>
      </c>
      <c r="H67" s="100">
        <v>17.13</v>
      </c>
      <c r="I67" s="100">
        <v>3.44</v>
      </c>
      <c r="J67" s="100">
        <v>1.22</v>
      </c>
      <c r="K67" s="100">
        <v>255.45</v>
      </c>
      <c r="L67" s="100">
        <v>29.59</v>
      </c>
      <c r="M67" s="100">
        <v>71.010000000000005</v>
      </c>
      <c r="N67" s="100">
        <v>224.7</v>
      </c>
      <c r="O67" s="100">
        <v>0</v>
      </c>
      <c r="P67" s="100">
        <v>0.24</v>
      </c>
      <c r="Q67" s="147" t="s">
        <v>14</v>
      </c>
      <c r="R67" s="6"/>
      <c r="S67" s="6"/>
      <c r="T67" s="156"/>
      <c r="U67" s="6"/>
    </row>
    <row r="68" spans="1:21" customFormat="1">
      <c r="A68" s="163" t="s">
        <v>2795</v>
      </c>
      <c r="B68" s="100">
        <v>2.6</v>
      </c>
      <c r="C68" s="100">
        <v>4.76</v>
      </c>
      <c r="D68" s="100">
        <v>2.54</v>
      </c>
      <c r="E68" s="147" t="s">
        <v>14</v>
      </c>
      <c r="F68" s="100">
        <v>0.82</v>
      </c>
      <c r="G68" s="100">
        <v>29.48</v>
      </c>
      <c r="H68" s="100">
        <v>16.170000000000002</v>
      </c>
      <c r="I68" s="100">
        <v>3.44</v>
      </c>
      <c r="J68" s="100">
        <v>1.21</v>
      </c>
      <c r="K68" s="100">
        <v>258.52999999999997</v>
      </c>
      <c r="L68" s="100">
        <v>29.34</v>
      </c>
      <c r="M68" s="100">
        <v>70.95</v>
      </c>
      <c r="N68" s="100">
        <v>167.2</v>
      </c>
      <c r="O68" s="100">
        <v>0</v>
      </c>
      <c r="P68" s="100">
        <v>0.25</v>
      </c>
      <c r="Q68" s="147" t="s">
        <v>14</v>
      </c>
      <c r="R68" s="6"/>
      <c r="S68" s="6"/>
      <c r="T68" s="156"/>
      <c r="U68" s="6"/>
    </row>
    <row r="69" spans="1:21" customFormat="1">
      <c r="A69" s="163" t="s">
        <v>2796</v>
      </c>
      <c r="B69" s="100">
        <v>2.4700000000000002</v>
      </c>
      <c r="C69" s="100">
        <v>4.5999999999999996</v>
      </c>
      <c r="D69" s="100">
        <v>2.42</v>
      </c>
      <c r="E69" s="147" t="s">
        <v>14</v>
      </c>
      <c r="F69" s="100">
        <v>0.55000000000000004</v>
      </c>
      <c r="G69" s="100">
        <v>29.48</v>
      </c>
      <c r="H69" s="100">
        <v>16.170000000000002</v>
      </c>
      <c r="I69" s="100">
        <v>3.45</v>
      </c>
      <c r="J69" s="100">
        <v>1.05</v>
      </c>
      <c r="K69" s="100">
        <v>258.69</v>
      </c>
      <c r="L69" s="100">
        <v>28.89</v>
      </c>
      <c r="M69" s="100">
        <v>72.540000000000006</v>
      </c>
      <c r="N69" s="100">
        <v>130.30000000000001</v>
      </c>
      <c r="O69" s="100">
        <v>0</v>
      </c>
      <c r="P69" s="100">
        <v>0.23</v>
      </c>
      <c r="Q69" s="147" t="s">
        <v>14</v>
      </c>
      <c r="R69" s="6"/>
      <c r="S69" s="6"/>
      <c r="T69" s="156"/>
      <c r="U69" s="6"/>
    </row>
    <row r="70" spans="1:21" customFormat="1">
      <c r="A70" s="163" t="s">
        <v>2797</v>
      </c>
      <c r="B70" s="100">
        <v>2.3199999999999998</v>
      </c>
      <c r="C70" s="100">
        <v>4.42</v>
      </c>
      <c r="D70" s="100">
        <v>2.3199999999999998</v>
      </c>
      <c r="E70" s="147" t="s">
        <v>14</v>
      </c>
      <c r="F70" s="100">
        <v>1.56</v>
      </c>
      <c r="G70" s="100">
        <v>29.48</v>
      </c>
      <c r="H70" s="100">
        <v>16.170000000000002</v>
      </c>
      <c r="I70" s="100">
        <v>3.48</v>
      </c>
      <c r="J70" s="100">
        <v>1.01</v>
      </c>
      <c r="K70" s="100">
        <v>259.97000000000003</v>
      </c>
      <c r="L70" s="100">
        <v>28.8</v>
      </c>
      <c r="M70" s="100">
        <v>72.97</v>
      </c>
      <c r="N70" s="100">
        <v>101.4</v>
      </c>
      <c r="O70" s="100">
        <v>0</v>
      </c>
      <c r="P70" s="100">
        <v>0.22</v>
      </c>
      <c r="Q70" s="147" t="s">
        <v>14</v>
      </c>
      <c r="R70" s="6"/>
      <c r="S70" s="6"/>
      <c r="T70" s="156"/>
      <c r="U70" s="6"/>
    </row>
    <row r="71" spans="1:21" customFormat="1">
      <c r="A71" s="163" t="s">
        <v>2798</v>
      </c>
      <c r="B71" s="100">
        <v>2.11</v>
      </c>
      <c r="C71" s="100">
        <v>4.2300000000000004</v>
      </c>
      <c r="D71" s="100">
        <v>2.2599999999999998</v>
      </c>
      <c r="E71" s="147" t="s">
        <v>14</v>
      </c>
      <c r="F71" s="100">
        <v>3.06</v>
      </c>
      <c r="G71" s="100">
        <v>27.6</v>
      </c>
      <c r="H71" s="100">
        <v>14.61</v>
      </c>
      <c r="I71" s="100">
        <v>3.47</v>
      </c>
      <c r="J71" s="100">
        <v>0.69</v>
      </c>
      <c r="K71" s="100">
        <v>254.13</v>
      </c>
      <c r="L71" s="100">
        <v>28.76</v>
      </c>
      <c r="M71" s="100">
        <v>74.05</v>
      </c>
      <c r="N71" s="100">
        <v>97.5</v>
      </c>
      <c r="O71" s="100">
        <v>0</v>
      </c>
      <c r="P71" s="100">
        <v>0.21</v>
      </c>
      <c r="Q71" s="147" t="s">
        <v>14</v>
      </c>
      <c r="R71" s="6"/>
      <c r="S71" s="6"/>
      <c r="T71" s="156"/>
      <c r="U71" s="6"/>
    </row>
    <row r="72" spans="1:21" customFormat="1">
      <c r="A72" s="163" t="s">
        <v>2799</v>
      </c>
      <c r="B72" s="100">
        <v>2.06</v>
      </c>
      <c r="C72" s="100">
        <v>4.1500000000000004</v>
      </c>
      <c r="D72" s="100">
        <v>2.2000000000000002</v>
      </c>
      <c r="E72" s="147" t="s">
        <v>14</v>
      </c>
      <c r="F72" s="100">
        <v>1.97</v>
      </c>
      <c r="G72" s="100">
        <v>26.16</v>
      </c>
      <c r="H72" s="100">
        <v>14.1</v>
      </c>
      <c r="I72" s="100">
        <v>3.37</v>
      </c>
      <c r="J72" s="100">
        <v>0.76</v>
      </c>
      <c r="K72" s="100">
        <v>257.41000000000003</v>
      </c>
      <c r="L72" s="100">
        <v>28.91</v>
      </c>
      <c r="M72" s="100">
        <v>72.61</v>
      </c>
      <c r="N72" s="100">
        <v>115.9</v>
      </c>
      <c r="O72" s="100">
        <v>0</v>
      </c>
      <c r="P72" s="100">
        <v>0.22</v>
      </c>
      <c r="Q72" s="147" t="s">
        <v>14</v>
      </c>
      <c r="R72" s="6"/>
      <c r="S72" s="6"/>
      <c r="T72" s="156"/>
      <c r="U72" s="6"/>
    </row>
    <row r="73" spans="1:21" customFormat="1">
      <c r="A73" s="163" t="s">
        <v>2800</v>
      </c>
      <c r="B73" s="100">
        <v>2</v>
      </c>
      <c r="C73" s="100">
        <v>4.18</v>
      </c>
      <c r="D73" s="100">
        <v>2.35</v>
      </c>
      <c r="E73" s="147" t="s">
        <v>14</v>
      </c>
      <c r="F73" s="100">
        <v>1.34</v>
      </c>
      <c r="G73" s="100">
        <v>26.16</v>
      </c>
      <c r="H73" s="100">
        <v>14.1</v>
      </c>
      <c r="I73" s="100">
        <v>3.32</v>
      </c>
      <c r="J73" s="100">
        <v>0.89</v>
      </c>
      <c r="K73" s="100">
        <v>257.8</v>
      </c>
      <c r="L73" s="100">
        <v>28.98</v>
      </c>
      <c r="M73" s="100">
        <v>71.78</v>
      </c>
      <c r="N73" s="100">
        <v>130.30000000000001</v>
      </c>
      <c r="O73" s="100">
        <v>0</v>
      </c>
      <c r="P73" s="100">
        <v>0.24</v>
      </c>
      <c r="Q73" s="147" t="s">
        <v>14</v>
      </c>
      <c r="R73" s="6"/>
      <c r="S73" s="6"/>
      <c r="T73" s="156"/>
      <c r="U73" s="6"/>
    </row>
    <row r="74" spans="1:21" customFormat="1">
      <c r="A74" s="163" t="s">
        <v>2801</v>
      </c>
      <c r="B74" s="100">
        <v>2</v>
      </c>
      <c r="C74" s="100">
        <v>4.12</v>
      </c>
      <c r="D74" s="100">
        <v>2.23</v>
      </c>
      <c r="E74" s="147" t="s">
        <v>14</v>
      </c>
      <c r="F74" s="100">
        <v>2.35</v>
      </c>
      <c r="G74" s="100">
        <v>26.16</v>
      </c>
      <c r="H74" s="100">
        <v>14.1</v>
      </c>
      <c r="I74" s="100">
        <v>3.4</v>
      </c>
      <c r="J74" s="100">
        <v>0.79</v>
      </c>
      <c r="K74" s="100">
        <v>257.58</v>
      </c>
      <c r="L74" s="100">
        <v>29.08</v>
      </c>
      <c r="M74" s="100">
        <v>71.53</v>
      </c>
      <c r="N74" s="100">
        <v>119.5</v>
      </c>
      <c r="O74" s="100">
        <v>0</v>
      </c>
      <c r="P74" s="100">
        <v>0.22</v>
      </c>
      <c r="Q74" s="147" t="s">
        <v>14</v>
      </c>
      <c r="R74" s="6"/>
      <c r="S74" s="6"/>
      <c r="T74" s="156"/>
      <c r="U74" s="6"/>
    </row>
    <row r="75" spans="1:21" customFormat="1">
      <c r="A75" s="163" t="s">
        <v>2802</v>
      </c>
      <c r="B75" s="100">
        <v>2</v>
      </c>
      <c r="C75" s="100">
        <v>4.05</v>
      </c>
      <c r="D75" s="100">
        <v>2.09</v>
      </c>
      <c r="E75" s="147" t="s">
        <v>14</v>
      </c>
      <c r="F75" s="100">
        <v>2.89</v>
      </c>
      <c r="G75" s="100">
        <v>28.97</v>
      </c>
      <c r="H75" s="100">
        <v>11.41</v>
      </c>
      <c r="I75" s="100">
        <v>3.37</v>
      </c>
      <c r="J75" s="100">
        <v>0.75</v>
      </c>
      <c r="K75" s="100">
        <v>260.79000000000002</v>
      </c>
      <c r="L75" s="100">
        <v>29.2</v>
      </c>
      <c r="M75" s="100">
        <v>71.08</v>
      </c>
      <c r="N75" s="100">
        <v>126.2</v>
      </c>
      <c r="O75" s="100">
        <v>0</v>
      </c>
      <c r="P75" s="100">
        <v>0.21</v>
      </c>
      <c r="Q75" s="147" t="s">
        <v>14</v>
      </c>
      <c r="R75" s="6"/>
      <c r="S75" s="6"/>
      <c r="T75" s="156"/>
      <c r="U75" s="6"/>
    </row>
    <row r="76" spans="1:21" customFormat="1">
      <c r="A76" s="163" t="s">
        <v>2803</v>
      </c>
      <c r="B76" s="100">
        <v>2</v>
      </c>
      <c r="C76" s="100">
        <v>4.1100000000000003</v>
      </c>
      <c r="D76" s="100">
        <v>2.2000000000000002</v>
      </c>
      <c r="E76" s="147" t="s">
        <v>14</v>
      </c>
      <c r="F76" s="100">
        <v>1.79</v>
      </c>
      <c r="G76" s="100">
        <v>31.11</v>
      </c>
      <c r="H76" s="100">
        <v>10.57</v>
      </c>
      <c r="I76" s="100">
        <v>3.37</v>
      </c>
      <c r="J76" s="100">
        <v>0.61</v>
      </c>
      <c r="K76" s="100">
        <v>257.42</v>
      </c>
      <c r="L76" s="100">
        <v>29.42</v>
      </c>
      <c r="M76" s="100">
        <v>70.86</v>
      </c>
      <c r="N76" s="100">
        <v>119.2</v>
      </c>
      <c r="O76" s="100">
        <v>0</v>
      </c>
      <c r="P76" s="100">
        <v>0.23</v>
      </c>
      <c r="Q76" s="147" t="s">
        <v>14</v>
      </c>
      <c r="R76" s="6"/>
      <c r="S76" s="6"/>
      <c r="T76" s="156"/>
      <c r="U76" s="6"/>
    </row>
    <row r="77" spans="1:21" customFormat="1">
      <c r="A77" s="163" t="s">
        <v>2804</v>
      </c>
      <c r="B77" s="100">
        <v>2</v>
      </c>
      <c r="C77" s="100">
        <v>4.08</v>
      </c>
      <c r="D77" s="100">
        <v>2.14</v>
      </c>
      <c r="E77" s="147" t="s">
        <v>14</v>
      </c>
      <c r="F77" s="100">
        <v>2.98</v>
      </c>
      <c r="G77" s="100">
        <v>31.11</v>
      </c>
      <c r="H77" s="100">
        <v>10.57</v>
      </c>
      <c r="I77" s="100">
        <v>3.28</v>
      </c>
      <c r="J77" s="100">
        <v>0.82</v>
      </c>
      <c r="K77" s="100">
        <v>260.04000000000002</v>
      </c>
      <c r="L77" s="100">
        <v>29.5</v>
      </c>
      <c r="M77" s="100">
        <v>69.349999999999994</v>
      </c>
      <c r="N77" s="100">
        <v>102.7</v>
      </c>
      <c r="O77" s="100">
        <v>0</v>
      </c>
      <c r="P77" s="100">
        <v>0.22</v>
      </c>
      <c r="Q77" s="147" t="s">
        <v>14</v>
      </c>
      <c r="R77" s="6"/>
      <c r="S77" s="6"/>
      <c r="T77" s="156"/>
      <c r="U77" s="6"/>
    </row>
    <row r="78" spans="1:21" customFormat="1">
      <c r="A78" s="163" t="s">
        <v>2805</v>
      </c>
      <c r="B78" s="100">
        <v>2</v>
      </c>
      <c r="C78" s="100">
        <v>4.0199999999999996</v>
      </c>
      <c r="D78" s="100">
        <v>2.04</v>
      </c>
      <c r="E78" s="147" t="s">
        <v>14</v>
      </c>
      <c r="F78" s="100">
        <v>3.18</v>
      </c>
      <c r="G78" s="100">
        <v>31.11</v>
      </c>
      <c r="H78" s="100">
        <v>10.57</v>
      </c>
      <c r="I78" s="100">
        <v>3.41</v>
      </c>
      <c r="J78" s="100">
        <v>0.81</v>
      </c>
      <c r="K78" s="100">
        <v>256.57</v>
      </c>
      <c r="L78" s="100">
        <v>29.69</v>
      </c>
      <c r="M78" s="100">
        <v>68.290000000000006</v>
      </c>
      <c r="N78" s="100">
        <v>99.9</v>
      </c>
      <c r="O78" s="100">
        <v>0</v>
      </c>
      <c r="P78" s="100">
        <v>0.22</v>
      </c>
      <c r="Q78" s="147" t="s">
        <v>14</v>
      </c>
      <c r="R78" s="6"/>
      <c r="S78" s="6"/>
      <c r="T78" s="156"/>
      <c r="U78" s="6"/>
    </row>
    <row r="79" spans="1:21" customFormat="1">
      <c r="A79" s="163" t="s">
        <v>2806</v>
      </c>
      <c r="B79" s="100">
        <v>2</v>
      </c>
      <c r="C79" s="100">
        <v>4.16</v>
      </c>
      <c r="D79" s="100">
        <v>2.2999999999999998</v>
      </c>
      <c r="E79" s="147" t="s">
        <v>14</v>
      </c>
      <c r="F79" s="100">
        <v>3.59</v>
      </c>
      <c r="G79" s="100">
        <v>32.79</v>
      </c>
      <c r="H79" s="100">
        <v>11.54</v>
      </c>
      <c r="I79" s="100">
        <v>3.34</v>
      </c>
      <c r="J79" s="100">
        <v>0.88</v>
      </c>
      <c r="K79" s="100">
        <v>257.76</v>
      </c>
      <c r="L79" s="100">
        <v>29.55</v>
      </c>
      <c r="M79" s="100">
        <v>67.58</v>
      </c>
      <c r="N79" s="100">
        <v>63.3</v>
      </c>
      <c r="O79" s="100">
        <v>0</v>
      </c>
      <c r="P79" s="100">
        <v>0.21</v>
      </c>
      <c r="Q79" s="147" t="s">
        <v>14</v>
      </c>
      <c r="R79" s="6"/>
      <c r="S79" s="6"/>
      <c r="T79" s="156"/>
      <c r="U79" s="6"/>
    </row>
    <row r="80" spans="1:21" customFormat="1">
      <c r="A80" s="163" t="s">
        <v>2807</v>
      </c>
      <c r="B80" s="100">
        <v>2</v>
      </c>
      <c r="C80" s="100">
        <v>4.8499999999999996</v>
      </c>
      <c r="D80" s="100">
        <v>3.63</v>
      </c>
      <c r="E80" s="147" t="s">
        <v>14</v>
      </c>
      <c r="F80" s="100">
        <v>1.04</v>
      </c>
      <c r="G80" s="100">
        <v>34.07</v>
      </c>
      <c r="H80" s="100">
        <v>12.12</v>
      </c>
      <c r="I80" s="100">
        <v>3.31</v>
      </c>
      <c r="J80" s="100">
        <v>0.81</v>
      </c>
      <c r="K80" s="100">
        <v>260.31</v>
      </c>
      <c r="L80" s="100">
        <v>29.48</v>
      </c>
      <c r="M80" s="100">
        <v>67.98</v>
      </c>
      <c r="N80" s="100">
        <v>50</v>
      </c>
      <c r="O80" s="100">
        <v>0</v>
      </c>
      <c r="P80" s="100">
        <v>0.2</v>
      </c>
      <c r="Q80" s="147" t="s">
        <v>14</v>
      </c>
      <c r="R80" s="6"/>
      <c r="S80" s="6"/>
      <c r="T80" s="156"/>
      <c r="U80" s="6"/>
    </row>
    <row r="81" spans="1:21" customFormat="1">
      <c r="A81" s="163" t="s">
        <v>2808</v>
      </c>
      <c r="B81" s="100">
        <v>2</v>
      </c>
      <c r="C81" s="100">
        <v>4.8499999999999996</v>
      </c>
      <c r="D81" s="100">
        <v>3.62</v>
      </c>
      <c r="E81" s="100">
        <v>4.1500000000000004</v>
      </c>
      <c r="F81" s="100">
        <v>1.34</v>
      </c>
      <c r="G81" s="100">
        <v>34.07</v>
      </c>
      <c r="H81" s="100">
        <v>12.12</v>
      </c>
      <c r="I81" s="100">
        <v>3.29</v>
      </c>
      <c r="J81" s="100">
        <v>0.74</v>
      </c>
      <c r="K81" s="100">
        <v>260.42</v>
      </c>
      <c r="L81" s="100">
        <v>29.4</v>
      </c>
      <c r="M81" s="100">
        <v>68.849999999999994</v>
      </c>
      <c r="N81" s="100">
        <v>30.4</v>
      </c>
      <c r="O81" s="100">
        <v>0</v>
      </c>
      <c r="P81" s="100">
        <v>0.18</v>
      </c>
      <c r="Q81" s="147" t="s">
        <v>14</v>
      </c>
      <c r="R81" s="6"/>
      <c r="S81" s="6"/>
      <c r="T81" s="156"/>
      <c r="U81" s="6"/>
    </row>
    <row r="82" spans="1:21" customFormat="1">
      <c r="A82" s="163" t="s">
        <v>2809</v>
      </c>
      <c r="B82" s="100">
        <v>2</v>
      </c>
      <c r="C82" s="100">
        <v>4.7699999999999996</v>
      </c>
      <c r="D82" s="100">
        <v>3.47</v>
      </c>
      <c r="E82" s="100">
        <v>4.59</v>
      </c>
      <c r="F82" s="100">
        <v>0.93</v>
      </c>
      <c r="G82" s="100">
        <v>34.07</v>
      </c>
      <c r="H82" s="100">
        <v>12.12</v>
      </c>
      <c r="I82" s="100">
        <v>3.31</v>
      </c>
      <c r="J82" s="100">
        <v>0.59</v>
      </c>
      <c r="K82" s="100">
        <v>260.26</v>
      </c>
      <c r="L82" s="100">
        <v>29.2</v>
      </c>
      <c r="M82" s="100">
        <v>69.5</v>
      </c>
      <c r="N82" s="100">
        <v>16.2</v>
      </c>
      <c r="O82" s="100">
        <v>0</v>
      </c>
      <c r="P82" s="100">
        <v>0.18</v>
      </c>
      <c r="Q82" s="147" t="s">
        <v>14</v>
      </c>
      <c r="R82" s="6"/>
      <c r="S82" s="6"/>
      <c r="T82" s="156"/>
      <c r="U82" s="6"/>
    </row>
    <row r="83" spans="1:21" customFormat="1">
      <c r="A83" s="163" t="s">
        <v>2810</v>
      </c>
      <c r="B83" s="100">
        <v>2</v>
      </c>
      <c r="C83" s="100">
        <v>4.8</v>
      </c>
      <c r="D83" s="100">
        <v>3.53</v>
      </c>
      <c r="E83" s="100">
        <v>4.5</v>
      </c>
      <c r="F83" s="100">
        <v>1.75</v>
      </c>
      <c r="G83" s="100">
        <v>32.549999999999997</v>
      </c>
      <c r="H83" s="100">
        <v>11.58</v>
      </c>
      <c r="I83" s="100">
        <v>3.23</v>
      </c>
      <c r="J83" s="100">
        <v>0.36</v>
      </c>
      <c r="K83" s="100">
        <v>250.7</v>
      </c>
      <c r="L83" s="100">
        <v>28.96</v>
      </c>
      <c r="M83" s="100">
        <v>71.22</v>
      </c>
      <c r="N83" s="100">
        <v>7.3</v>
      </c>
      <c r="O83" s="100">
        <v>0</v>
      </c>
      <c r="P83" s="100">
        <v>0.2</v>
      </c>
      <c r="Q83" s="147" t="s">
        <v>14</v>
      </c>
      <c r="R83" s="6"/>
      <c r="S83" s="6"/>
      <c r="T83" s="156"/>
      <c r="U83" s="6"/>
    </row>
    <row r="84" spans="1:21" customFormat="1">
      <c r="A84" s="163" t="s">
        <v>2811</v>
      </c>
      <c r="B84" s="100">
        <v>2</v>
      </c>
      <c r="C84" s="100">
        <v>4.72</v>
      </c>
      <c r="D84" s="100">
        <v>3.37</v>
      </c>
      <c r="E84" s="100">
        <v>4.42</v>
      </c>
      <c r="F84" s="100">
        <v>0.86</v>
      </c>
      <c r="G84" s="100">
        <v>31.38</v>
      </c>
      <c r="H84" s="100">
        <v>11.41</v>
      </c>
      <c r="I84" s="100">
        <v>3.21</v>
      </c>
      <c r="J84" s="100">
        <v>0.41</v>
      </c>
      <c r="K84" s="100">
        <v>256.08999999999997</v>
      </c>
      <c r="L84" s="100">
        <v>28.69</v>
      </c>
      <c r="M84" s="100">
        <v>72.72</v>
      </c>
      <c r="N84" s="100">
        <v>3</v>
      </c>
      <c r="O84" s="100">
        <v>0</v>
      </c>
      <c r="P84" s="100">
        <v>0.2</v>
      </c>
      <c r="Q84" s="147" t="s">
        <v>14</v>
      </c>
      <c r="R84" s="6"/>
      <c r="S84" s="6"/>
      <c r="T84" s="156"/>
      <c r="U84" s="6"/>
    </row>
    <row r="85" spans="1:21" customFormat="1">
      <c r="A85" s="163" t="s">
        <v>2812</v>
      </c>
      <c r="B85" s="100">
        <v>2</v>
      </c>
      <c r="C85" s="100">
        <v>4.71</v>
      </c>
      <c r="D85" s="100">
        <v>3.36</v>
      </c>
      <c r="E85" s="100">
        <v>4.5999999999999996</v>
      </c>
      <c r="F85" s="100">
        <v>0.56000000000000005</v>
      </c>
      <c r="G85" s="100">
        <v>31.38</v>
      </c>
      <c r="H85" s="100">
        <v>11.41</v>
      </c>
      <c r="I85" s="100">
        <v>3.22</v>
      </c>
      <c r="J85" s="100">
        <v>0.41</v>
      </c>
      <c r="K85" s="100">
        <v>254.41</v>
      </c>
      <c r="L85" s="100">
        <v>28.68</v>
      </c>
      <c r="M85" s="100">
        <v>72.33</v>
      </c>
      <c r="N85" s="100">
        <v>2.1</v>
      </c>
      <c r="O85" s="100">
        <v>0</v>
      </c>
      <c r="P85" s="100">
        <v>0.2</v>
      </c>
      <c r="Q85" s="147" t="s">
        <v>14</v>
      </c>
      <c r="R85" s="6"/>
      <c r="S85" s="6"/>
      <c r="T85" s="156"/>
      <c r="U85" s="6"/>
    </row>
    <row r="86" spans="1:21" customFormat="1">
      <c r="A86" s="163" t="s">
        <v>2813</v>
      </c>
      <c r="B86" s="100">
        <v>2</v>
      </c>
      <c r="C86" s="100">
        <v>4.7300000000000004</v>
      </c>
      <c r="D86" s="100">
        <v>3.4</v>
      </c>
      <c r="E86" s="100">
        <v>4.7699999999999996</v>
      </c>
      <c r="F86" s="100">
        <v>0.44</v>
      </c>
      <c r="G86" s="100">
        <v>31.38</v>
      </c>
      <c r="H86" s="100">
        <v>11.41</v>
      </c>
      <c r="I86" s="100">
        <v>3.24</v>
      </c>
      <c r="J86" s="100">
        <v>0.4</v>
      </c>
      <c r="K86" s="100">
        <v>250.61</v>
      </c>
      <c r="L86" s="100">
        <v>28.7</v>
      </c>
      <c r="M86" s="100">
        <v>72.599999999999994</v>
      </c>
      <c r="N86" s="100">
        <v>2.1</v>
      </c>
      <c r="O86" s="100">
        <v>0</v>
      </c>
      <c r="P86" s="100">
        <v>0.21</v>
      </c>
      <c r="Q86" s="147" t="s">
        <v>14</v>
      </c>
      <c r="R86" s="6"/>
      <c r="S86" s="6"/>
      <c r="T86" s="156"/>
      <c r="U86" s="6"/>
    </row>
    <row r="87" spans="1:21" customFormat="1">
      <c r="A87" s="163" t="s">
        <v>2814</v>
      </c>
      <c r="B87" s="100">
        <v>2</v>
      </c>
      <c r="C87" s="100">
        <v>4.79</v>
      </c>
      <c r="D87" s="100">
        <v>3.5</v>
      </c>
      <c r="E87" s="100">
        <v>4.8600000000000003</v>
      </c>
      <c r="F87" s="100">
        <v>0.72</v>
      </c>
      <c r="G87" s="100">
        <v>31.41</v>
      </c>
      <c r="H87" s="100">
        <v>11.86</v>
      </c>
      <c r="I87" s="100">
        <v>3.28</v>
      </c>
      <c r="J87" s="100">
        <v>0.3</v>
      </c>
      <c r="K87" s="100">
        <v>241.98</v>
      </c>
      <c r="L87" s="100">
        <v>28.41</v>
      </c>
      <c r="M87" s="100">
        <v>74.63</v>
      </c>
      <c r="N87" s="100">
        <v>2.2999999999999998</v>
      </c>
      <c r="O87" s="100">
        <v>0</v>
      </c>
      <c r="P87" s="100">
        <v>0.23</v>
      </c>
      <c r="Q87" s="147" t="s">
        <v>14</v>
      </c>
      <c r="R87" s="6"/>
      <c r="S87" s="6"/>
      <c r="T87" s="156"/>
      <c r="U87" s="6"/>
    </row>
    <row r="88" spans="1:21" customFormat="1">
      <c r="A88" s="163" t="s">
        <v>2815</v>
      </c>
      <c r="B88" s="100">
        <v>2</v>
      </c>
      <c r="C88" s="100">
        <v>4.8</v>
      </c>
      <c r="D88" s="100">
        <v>3.53</v>
      </c>
      <c r="E88" s="100">
        <v>5.0199999999999996</v>
      </c>
      <c r="F88" s="100">
        <v>0.94</v>
      </c>
      <c r="G88" s="100">
        <v>31.42</v>
      </c>
      <c r="H88" s="100">
        <v>12</v>
      </c>
      <c r="I88" s="100">
        <v>3.39</v>
      </c>
      <c r="J88" s="100">
        <v>0.25</v>
      </c>
      <c r="K88" s="100">
        <v>225.05</v>
      </c>
      <c r="L88" s="100">
        <v>28.17</v>
      </c>
      <c r="M88" s="100">
        <v>77.41</v>
      </c>
      <c r="N88" s="100">
        <v>2.2999999999999998</v>
      </c>
      <c r="O88" s="100">
        <v>0</v>
      </c>
      <c r="P88" s="100">
        <v>0.23</v>
      </c>
      <c r="Q88" s="147" t="s">
        <v>14</v>
      </c>
      <c r="R88" s="6"/>
      <c r="S88" s="6"/>
      <c r="T88" s="156"/>
      <c r="U88" s="6"/>
    </row>
    <row r="89" spans="1:21" customFormat="1">
      <c r="A89" s="163" t="s">
        <v>2816</v>
      </c>
      <c r="B89" s="100">
        <v>2</v>
      </c>
      <c r="C89" s="100">
        <v>4.76</v>
      </c>
      <c r="D89" s="100">
        <v>3.45</v>
      </c>
      <c r="E89" s="100">
        <v>5.01</v>
      </c>
      <c r="F89" s="100">
        <v>0.49</v>
      </c>
      <c r="G89" s="100">
        <v>31.42</v>
      </c>
      <c r="H89" s="100">
        <v>12</v>
      </c>
      <c r="I89" s="100">
        <v>3.52</v>
      </c>
      <c r="J89" s="100">
        <v>0.2</v>
      </c>
      <c r="K89" s="100">
        <v>237.84</v>
      </c>
      <c r="L89" s="100">
        <v>27.91</v>
      </c>
      <c r="M89" s="100">
        <v>78.900000000000006</v>
      </c>
      <c r="N89" s="100">
        <v>2.1</v>
      </c>
      <c r="O89" s="100">
        <v>0</v>
      </c>
      <c r="P89" s="100">
        <v>0.24</v>
      </c>
      <c r="Q89" s="147" t="s">
        <v>14</v>
      </c>
      <c r="R89" s="6"/>
      <c r="S89" s="6"/>
      <c r="T89" s="156"/>
      <c r="U89" s="6"/>
    </row>
    <row r="90" spans="1:21" customFormat="1">
      <c r="A90" s="163" t="s">
        <v>2817</v>
      </c>
      <c r="B90" s="100">
        <v>2</v>
      </c>
      <c r="C90" s="100">
        <v>4.8099999999999996</v>
      </c>
      <c r="D90" s="100">
        <v>3.55</v>
      </c>
      <c r="E90" s="100">
        <v>4.8499999999999996</v>
      </c>
      <c r="F90" s="100">
        <v>0.52</v>
      </c>
      <c r="G90" s="100">
        <v>31.42</v>
      </c>
      <c r="H90" s="100">
        <v>12</v>
      </c>
      <c r="I90" s="100">
        <v>3.66</v>
      </c>
      <c r="J90" s="100">
        <v>0.14000000000000001</v>
      </c>
      <c r="K90" s="100">
        <v>208.07</v>
      </c>
      <c r="L90" s="100">
        <v>27.99</v>
      </c>
      <c r="M90" s="100">
        <v>79.75</v>
      </c>
      <c r="N90" s="100">
        <v>2.2000000000000002</v>
      </c>
      <c r="O90" s="100">
        <v>0</v>
      </c>
      <c r="P90" s="100">
        <v>0.24</v>
      </c>
      <c r="Q90" s="147" t="s">
        <v>14</v>
      </c>
      <c r="R90" s="6"/>
      <c r="S90" s="6"/>
      <c r="T90" s="156"/>
      <c r="U90" s="6"/>
    </row>
    <row r="91" spans="1:21" customFormat="1">
      <c r="A91" s="163" t="s">
        <v>2818</v>
      </c>
      <c r="B91" s="100">
        <v>2</v>
      </c>
      <c r="C91" s="100">
        <v>4.83</v>
      </c>
      <c r="D91" s="100">
        <v>3.58</v>
      </c>
      <c r="E91" s="100">
        <v>4.8600000000000003</v>
      </c>
      <c r="F91" s="100">
        <v>0.79</v>
      </c>
      <c r="G91" s="100">
        <v>32.619999999999997</v>
      </c>
      <c r="H91" s="100">
        <v>13.36</v>
      </c>
      <c r="I91" s="100">
        <v>3.83</v>
      </c>
      <c r="J91" s="100">
        <v>0.27</v>
      </c>
      <c r="K91" s="100">
        <v>234.43</v>
      </c>
      <c r="L91" s="100">
        <v>27.52</v>
      </c>
      <c r="M91" s="100">
        <v>84.76</v>
      </c>
      <c r="N91" s="100">
        <v>3.5</v>
      </c>
      <c r="O91" s="100">
        <v>0.2</v>
      </c>
      <c r="P91" s="100">
        <v>0.25</v>
      </c>
      <c r="Q91" s="147" t="s">
        <v>14</v>
      </c>
      <c r="R91" s="6"/>
      <c r="S91" s="6"/>
      <c r="T91" s="156"/>
      <c r="U91" s="6"/>
    </row>
    <row r="92" spans="1:21" customFormat="1">
      <c r="A92" s="163" t="s">
        <v>2819</v>
      </c>
      <c r="B92" s="100">
        <v>2.02</v>
      </c>
      <c r="C92" s="100">
        <v>4.8</v>
      </c>
      <c r="D92" s="100">
        <v>3.51</v>
      </c>
      <c r="E92" s="100">
        <v>4.87</v>
      </c>
      <c r="F92" s="100">
        <v>0.6</v>
      </c>
      <c r="G92" s="100">
        <v>33.54</v>
      </c>
      <c r="H92" s="100">
        <v>13.79</v>
      </c>
      <c r="I92" s="100">
        <v>3.96</v>
      </c>
      <c r="J92" s="100">
        <v>0.14000000000000001</v>
      </c>
      <c r="K92" s="100">
        <v>213.94</v>
      </c>
      <c r="L92" s="100">
        <v>26.83</v>
      </c>
      <c r="M92" s="100">
        <v>89.82</v>
      </c>
      <c r="N92" s="100">
        <v>3</v>
      </c>
      <c r="O92" s="100">
        <v>0</v>
      </c>
      <c r="P92" s="100">
        <v>0.25</v>
      </c>
      <c r="Q92" s="147" t="s">
        <v>14</v>
      </c>
      <c r="R92" s="6"/>
      <c r="S92" s="6"/>
      <c r="T92" s="156"/>
      <c r="U92" s="6"/>
    </row>
    <row r="93" spans="1:21" customFormat="1">
      <c r="A93" s="163" t="s">
        <v>2820</v>
      </c>
      <c r="B93" s="100">
        <v>2.0299999999999998</v>
      </c>
      <c r="C93" s="100">
        <v>4.7300000000000004</v>
      </c>
      <c r="D93" s="100">
        <v>3.35</v>
      </c>
      <c r="E93" s="100">
        <v>4.84</v>
      </c>
      <c r="F93" s="100">
        <v>0.68</v>
      </c>
      <c r="G93" s="100">
        <v>33.54</v>
      </c>
      <c r="H93" s="100">
        <v>13.79</v>
      </c>
      <c r="I93" s="100">
        <v>4.07</v>
      </c>
      <c r="J93" s="100">
        <v>0.4</v>
      </c>
      <c r="K93" s="100">
        <v>257.45</v>
      </c>
      <c r="L93" s="100">
        <v>26.84</v>
      </c>
      <c r="M93" s="100">
        <v>88.25</v>
      </c>
      <c r="N93" s="100">
        <v>2.7</v>
      </c>
      <c r="O93" s="100">
        <v>0</v>
      </c>
      <c r="P93" s="100">
        <v>0.25</v>
      </c>
      <c r="Q93" s="147" t="s">
        <v>14</v>
      </c>
      <c r="R93" s="6"/>
      <c r="S93" s="6"/>
      <c r="T93" s="156"/>
      <c r="U93" s="6"/>
    </row>
    <row r="94" spans="1:21" customFormat="1">
      <c r="A94" s="163" t="s">
        <v>2821</v>
      </c>
      <c r="B94" s="100">
        <v>2.0299999999999998</v>
      </c>
      <c r="C94" s="100">
        <v>4.6399999999999997</v>
      </c>
      <c r="D94" s="100">
        <v>3.17</v>
      </c>
      <c r="E94" s="100">
        <v>4.9800000000000004</v>
      </c>
      <c r="F94" s="100">
        <v>1.52</v>
      </c>
      <c r="G94" s="100">
        <v>33.54</v>
      </c>
      <c r="H94" s="100">
        <v>13.79</v>
      </c>
      <c r="I94" s="100">
        <v>4.13</v>
      </c>
      <c r="J94" s="100">
        <v>0.63</v>
      </c>
      <c r="K94" s="100">
        <v>264.93</v>
      </c>
      <c r="L94" s="100">
        <v>27.02</v>
      </c>
      <c r="M94" s="100">
        <v>86.29</v>
      </c>
      <c r="N94" s="100">
        <v>2.7</v>
      </c>
      <c r="O94" s="100">
        <v>0</v>
      </c>
      <c r="P94" s="100">
        <v>0.26</v>
      </c>
      <c r="Q94" s="147" t="s">
        <v>14</v>
      </c>
      <c r="R94" s="6"/>
      <c r="S94" s="6"/>
      <c r="T94" s="156"/>
      <c r="U94" s="6"/>
    </row>
    <row r="95" spans="1:21" customFormat="1">
      <c r="A95" s="163" t="s">
        <v>2822</v>
      </c>
      <c r="B95" s="100">
        <v>2.0299999999999998</v>
      </c>
      <c r="C95" s="100">
        <v>4.58</v>
      </c>
      <c r="D95" s="100">
        <v>3.06</v>
      </c>
      <c r="E95" s="100">
        <v>5.0599999999999996</v>
      </c>
      <c r="F95" s="100">
        <v>1.69</v>
      </c>
      <c r="G95" s="100">
        <v>34.979999999999997</v>
      </c>
      <c r="H95" s="100">
        <v>12.85</v>
      </c>
      <c r="I95" s="100">
        <v>4.2</v>
      </c>
      <c r="J95" s="100">
        <v>1.42</v>
      </c>
      <c r="K95" s="100">
        <v>266.26</v>
      </c>
      <c r="L95" s="100">
        <v>26.01</v>
      </c>
      <c r="M95" s="100">
        <v>87.08</v>
      </c>
      <c r="N95" s="100">
        <v>4.9000000000000004</v>
      </c>
      <c r="O95" s="100">
        <v>0.2</v>
      </c>
      <c r="P95" s="100">
        <v>0.25</v>
      </c>
      <c r="Q95" s="147" t="s">
        <v>14</v>
      </c>
      <c r="R95" s="6"/>
      <c r="S95" s="6"/>
      <c r="T95" s="156"/>
      <c r="U95" s="6"/>
    </row>
    <row r="96" spans="1:21" customFormat="1">
      <c r="A96" s="163" t="s">
        <v>2823</v>
      </c>
      <c r="B96" s="100">
        <v>2.0499999999999998</v>
      </c>
      <c r="C96" s="100">
        <v>4.76</v>
      </c>
      <c r="D96" s="100">
        <v>3.37</v>
      </c>
      <c r="E96" s="100">
        <v>5</v>
      </c>
      <c r="F96" s="100">
        <v>0.8</v>
      </c>
      <c r="G96" s="100">
        <v>36.090000000000003</v>
      </c>
      <c r="H96" s="100">
        <v>12.55</v>
      </c>
      <c r="I96" s="100">
        <v>4.17</v>
      </c>
      <c r="J96" s="100">
        <v>0.95</v>
      </c>
      <c r="K96" s="100">
        <v>270.56</v>
      </c>
      <c r="L96" s="100">
        <v>24.85</v>
      </c>
      <c r="M96" s="100">
        <v>91.62</v>
      </c>
      <c r="N96" s="100">
        <v>2.6</v>
      </c>
      <c r="O96" s="100">
        <v>0</v>
      </c>
      <c r="P96" s="100">
        <v>0.27</v>
      </c>
      <c r="Q96" s="147" t="s">
        <v>14</v>
      </c>
      <c r="R96" s="6"/>
      <c r="S96" s="6"/>
      <c r="T96" s="156"/>
      <c r="U96" s="6"/>
    </row>
    <row r="97" spans="1:28" customFormat="1">
      <c r="A97" s="163" t="s">
        <v>2824</v>
      </c>
      <c r="B97" s="100">
        <v>2.09</v>
      </c>
      <c r="C97" s="100">
        <v>4.91</v>
      </c>
      <c r="D97" s="100">
        <v>3.61</v>
      </c>
      <c r="E97" s="100">
        <v>4.88</v>
      </c>
      <c r="F97" s="100">
        <v>0.64</v>
      </c>
      <c r="G97" s="100">
        <v>36.090000000000003</v>
      </c>
      <c r="H97" s="100">
        <v>12.55</v>
      </c>
      <c r="I97" s="100">
        <v>4.0599999999999996</v>
      </c>
      <c r="J97" s="100">
        <v>0.82</v>
      </c>
      <c r="K97" s="100">
        <v>273.31</v>
      </c>
      <c r="L97" s="100">
        <v>24.68</v>
      </c>
      <c r="M97" s="100">
        <v>90.43</v>
      </c>
      <c r="N97" s="100">
        <v>2.2000000000000002</v>
      </c>
      <c r="O97" s="100">
        <v>0.2</v>
      </c>
      <c r="P97" s="100">
        <v>0.28000000000000003</v>
      </c>
      <c r="Q97" s="147" t="s">
        <v>14</v>
      </c>
      <c r="R97" s="6"/>
      <c r="S97" s="6"/>
      <c r="T97" s="156"/>
      <c r="U97" s="6"/>
    </row>
    <row r="98" spans="1:28" customFormat="1">
      <c r="A98" s="163" t="s">
        <v>2825</v>
      </c>
      <c r="B98" s="100">
        <v>2.2000000000000002</v>
      </c>
      <c r="C98" s="100">
        <v>5.0199999999999996</v>
      </c>
      <c r="D98" s="100">
        <v>3.65</v>
      </c>
      <c r="E98" s="100">
        <v>4.9400000000000004</v>
      </c>
      <c r="F98" s="100">
        <v>0.8</v>
      </c>
      <c r="G98" s="100">
        <v>36.090000000000003</v>
      </c>
      <c r="H98" s="100">
        <v>12.55</v>
      </c>
      <c r="I98" s="100">
        <v>4.07</v>
      </c>
      <c r="J98" s="100">
        <v>0.52</v>
      </c>
      <c r="K98" s="100">
        <v>259.67</v>
      </c>
      <c r="L98" s="100">
        <v>24.54</v>
      </c>
      <c r="M98" s="100">
        <v>92.66</v>
      </c>
      <c r="N98" s="100">
        <v>2</v>
      </c>
      <c r="O98" s="100">
        <v>0</v>
      </c>
      <c r="P98" s="100">
        <v>0.28999999999999998</v>
      </c>
      <c r="Q98" s="147" t="s">
        <v>14</v>
      </c>
      <c r="R98" s="6"/>
      <c r="S98" s="6"/>
      <c r="T98" s="156"/>
      <c r="U98" s="6"/>
    </row>
    <row r="99" spans="1:28" customFormat="1">
      <c r="A99" s="163" t="s">
        <v>2826</v>
      </c>
      <c r="B99" s="100">
        <v>2.19</v>
      </c>
      <c r="C99" s="100">
        <v>5.04</v>
      </c>
      <c r="D99" s="100">
        <v>3.69</v>
      </c>
      <c r="E99" s="100">
        <v>4.8899999999999997</v>
      </c>
      <c r="F99" s="100">
        <v>1.18</v>
      </c>
      <c r="G99" s="100">
        <v>35.92</v>
      </c>
      <c r="H99" s="100">
        <v>13.48</v>
      </c>
      <c r="I99" s="100">
        <v>4.1500000000000004</v>
      </c>
      <c r="J99" s="100">
        <v>0.41</v>
      </c>
      <c r="K99" s="100">
        <v>261.8</v>
      </c>
      <c r="L99" s="100">
        <v>24.49</v>
      </c>
      <c r="M99" s="100">
        <v>94.31</v>
      </c>
      <c r="N99" s="100">
        <v>2.1</v>
      </c>
      <c r="O99" s="100">
        <v>0</v>
      </c>
      <c r="P99" s="100">
        <v>0.32</v>
      </c>
      <c r="Q99" s="147" t="s">
        <v>14</v>
      </c>
      <c r="R99" s="6"/>
      <c r="S99" s="6"/>
      <c r="T99" s="156"/>
      <c r="U99" s="6"/>
    </row>
    <row r="100" spans="1:28" customFormat="1">
      <c r="A100" s="163" t="s">
        <v>2827</v>
      </c>
      <c r="B100" s="100">
        <v>2.2799999999999998</v>
      </c>
      <c r="C100" s="100">
        <v>5.04</v>
      </c>
      <c r="D100" s="100">
        <v>3.55</v>
      </c>
      <c r="E100" s="100">
        <v>5.14</v>
      </c>
      <c r="F100" s="100">
        <v>0.02</v>
      </c>
      <c r="G100" s="100">
        <v>35.79</v>
      </c>
      <c r="H100" s="100">
        <v>13.77</v>
      </c>
      <c r="I100" s="100">
        <v>4.17</v>
      </c>
      <c r="J100" s="100">
        <v>0.32</v>
      </c>
      <c r="K100" s="100">
        <v>261.74</v>
      </c>
      <c r="L100" s="100">
        <v>24.46</v>
      </c>
      <c r="M100" s="100">
        <v>94.41</v>
      </c>
      <c r="N100" s="100">
        <v>2.2000000000000002</v>
      </c>
      <c r="O100" s="100">
        <v>0</v>
      </c>
      <c r="P100" s="100">
        <v>0.35</v>
      </c>
      <c r="Q100" s="147" t="s">
        <v>14</v>
      </c>
      <c r="R100" s="6"/>
      <c r="S100" s="6"/>
      <c r="T100" s="156"/>
      <c r="U100" s="6"/>
      <c r="AB100" s="161"/>
    </row>
    <row r="101" spans="1:28" customFormat="1">
      <c r="A101" s="163" t="s">
        <v>2828</v>
      </c>
      <c r="B101" s="100">
        <v>2.44</v>
      </c>
      <c r="C101" s="100">
        <v>4.84</v>
      </c>
      <c r="D101" s="100">
        <v>2.92</v>
      </c>
      <c r="E101" s="100">
        <v>4.74</v>
      </c>
      <c r="F101" s="100">
        <v>0</v>
      </c>
      <c r="G101" s="100">
        <v>35.79</v>
      </c>
      <c r="H101" s="100">
        <v>13.77</v>
      </c>
      <c r="I101" s="100">
        <v>4.2699999999999996</v>
      </c>
      <c r="J101" s="100">
        <v>0.44</v>
      </c>
      <c r="K101" s="100">
        <v>262.13</v>
      </c>
      <c r="L101" s="100">
        <v>24.45</v>
      </c>
      <c r="M101" s="100">
        <v>93.62</v>
      </c>
      <c r="N101" s="100">
        <v>2.5</v>
      </c>
      <c r="O101" s="100">
        <v>0</v>
      </c>
      <c r="P101" s="100">
        <v>0.34</v>
      </c>
      <c r="Q101" s="147" t="s">
        <v>14</v>
      </c>
      <c r="R101" s="6"/>
      <c r="S101" s="6"/>
      <c r="T101" s="156"/>
      <c r="U101" s="6"/>
    </row>
    <row r="102" spans="1:28" customFormat="1">
      <c r="A102" s="163" t="s">
        <v>2829</v>
      </c>
      <c r="B102" s="100">
        <v>2.5099999999999998</v>
      </c>
      <c r="C102" s="100">
        <v>4.72</v>
      </c>
      <c r="D102" s="100">
        <v>2.6</v>
      </c>
      <c r="E102" s="100">
        <v>4.13</v>
      </c>
      <c r="F102" s="100">
        <v>0.33</v>
      </c>
      <c r="G102" s="100">
        <v>35.79</v>
      </c>
      <c r="H102" s="100">
        <v>13.77</v>
      </c>
      <c r="I102" s="100">
        <v>4.37</v>
      </c>
      <c r="J102" s="100">
        <v>0.68</v>
      </c>
      <c r="K102" s="100">
        <v>271.89</v>
      </c>
      <c r="L102" s="100">
        <v>24.58</v>
      </c>
      <c r="M102" s="100">
        <v>92.64</v>
      </c>
      <c r="N102" s="100">
        <v>2.2999999999999998</v>
      </c>
      <c r="O102" s="100">
        <v>0</v>
      </c>
      <c r="P102" s="100">
        <v>0.35</v>
      </c>
      <c r="Q102" s="147" t="s">
        <v>14</v>
      </c>
      <c r="R102" s="6"/>
      <c r="S102" s="6"/>
      <c r="T102" s="156"/>
      <c r="U102" s="6"/>
    </row>
    <row r="103" spans="1:28" customFormat="1">
      <c r="A103" s="163" t="s">
        <v>2830</v>
      </c>
      <c r="B103" s="100">
        <v>2.62</v>
      </c>
      <c r="C103" s="100">
        <v>4.75</v>
      </c>
      <c r="D103" s="100">
        <v>2.48</v>
      </c>
      <c r="E103" s="100">
        <v>4.2699999999999996</v>
      </c>
      <c r="F103" s="100">
        <v>0.04</v>
      </c>
      <c r="G103" s="100">
        <v>29.99</v>
      </c>
      <c r="H103" s="100">
        <v>11.41</v>
      </c>
      <c r="I103" s="100">
        <v>4.26</v>
      </c>
      <c r="J103" s="100">
        <v>0.73</v>
      </c>
      <c r="K103" s="100">
        <v>268.89999999999998</v>
      </c>
      <c r="L103" s="100">
        <v>24.65</v>
      </c>
      <c r="M103" s="100">
        <v>93.33</v>
      </c>
      <c r="N103" s="100">
        <v>2.2000000000000002</v>
      </c>
      <c r="O103" s="100">
        <v>0</v>
      </c>
      <c r="P103" s="100">
        <v>0.33</v>
      </c>
      <c r="Q103" s="147" t="s">
        <v>14</v>
      </c>
      <c r="R103" s="6"/>
      <c r="S103" s="6"/>
      <c r="T103" s="156"/>
      <c r="U103" s="6"/>
    </row>
    <row r="104" spans="1:28" customFormat="1">
      <c r="A104" s="163" t="s">
        <v>2831</v>
      </c>
      <c r="B104" s="100">
        <v>2.67</v>
      </c>
      <c r="C104" s="100">
        <v>4.71</v>
      </c>
      <c r="D104" s="100">
        <v>2.33</v>
      </c>
      <c r="E104" s="100">
        <v>4.17</v>
      </c>
      <c r="F104" s="100">
        <v>0.45</v>
      </c>
      <c r="G104" s="100">
        <v>25.56</v>
      </c>
      <c r="H104" s="100">
        <v>10.06</v>
      </c>
      <c r="I104" s="100">
        <v>4.3899999999999997</v>
      </c>
      <c r="J104" s="100">
        <v>0.7</v>
      </c>
      <c r="K104" s="100">
        <v>265.81</v>
      </c>
      <c r="L104" s="100">
        <v>24.61</v>
      </c>
      <c r="M104" s="100">
        <v>93.72</v>
      </c>
      <c r="N104" s="100">
        <v>2.2999999999999998</v>
      </c>
      <c r="O104" s="100">
        <v>0</v>
      </c>
      <c r="P104" s="100">
        <v>0.34</v>
      </c>
      <c r="Q104" s="147" t="s">
        <v>14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</v>
      </c>
      <c r="C106" s="158">
        <f>MIN(C9:C104)</f>
        <v>4.0199999999999996</v>
      </c>
      <c r="D106" s="158">
        <f t="shared" ref="D106:Q106" si="0">MIN(D9:D104)</f>
        <v>0.43</v>
      </c>
      <c r="E106" s="158">
        <f t="shared" si="0"/>
        <v>4.13</v>
      </c>
      <c r="F106" s="158">
        <f t="shared" si="0"/>
        <v>0</v>
      </c>
      <c r="G106" s="158">
        <f t="shared" si="0"/>
        <v>9.91</v>
      </c>
      <c r="H106" s="158">
        <f t="shared" si="0"/>
        <v>4.5199999999999996</v>
      </c>
      <c r="I106" s="158">
        <f t="shared" si="0"/>
        <v>0</v>
      </c>
      <c r="J106" s="158">
        <f t="shared" si="0"/>
        <v>0.14000000000000001</v>
      </c>
      <c r="K106" s="158">
        <f t="shared" si="0"/>
        <v>-0.16</v>
      </c>
      <c r="L106" s="158">
        <f t="shared" si="0"/>
        <v>24.45</v>
      </c>
      <c r="M106" s="158">
        <f t="shared" si="0"/>
        <v>67.58</v>
      </c>
      <c r="N106" s="158">
        <f t="shared" si="0"/>
        <v>1.4</v>
      </c>
      <c r="O106" s="158">
        <f t="shared" si="0"/>
        <v>0</v>
      </c>
      <c r="P106" s="158">
        <f t="shared" si="0"/>
        <v>0.1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5.46</v>
      </c>
      <c r="C107" s="157">
        <f t="shared" ref="C107:Q107" si="1">MAX(C9:C104)</f>
        <v>6.74</v>
      </c>
      <c r="D107" s="157">
        <f t="shared" si="1"/>
        <v>3.69</v>
      </c>
      <c r="E107" s="157">
        <f t="shared" si="1"/>
        <v>6.4</v>
      </c>
      <c r="F107" s="157">
        <f t="shared" si="1"/>
        <v>9.59</v>
      </c>
      <c r="G107" s="157">
        <f t="shared" si="1"/>
        <v>36.090000000000003</v>
      </c>
      <c r="H107" s="157">
        <f t="shared" si="1"/>
        <v>20.11</v>
      </c>
      <c r="I107" s="157">
        <f t="shared" si="1"/>
        <v>4.3899999999999997</v>
      </c>
      <c r="J107" s="157">
        <f t="shared" si="1"/>
        <v>1.42</v>
      </c>
      <c r="K107" s="157">
        <f t="shared" si="1"/>
        <v>273.31</v>
      </c>
      <c r="L107" s="157">
        <f t="shared" si="1"/>
        <v>30.38</v>
      </c>
      <c r="M107" s="157">
        <f t="shared" si="1"/>
        <v>94.41</v>
      </c>
      <c r="N107" s="157">
        <f t="shared" si="1"/>
        <v>611</v>
      </c>
      <c r="O107" s="157">
        <f t="shared" si="1"/>
        <v>0.2</v>
      </c>
      <c r="P107" s="157">
        <f t="shared" si="1"/>
        <v>0.47</v>
      </c>
      <c r="Q107" s="157">
        <f t="shared" si="1"/>
        <v>9.93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3.5232530120481913</v>
      </c>
      <c r="C108" s="158">
        <f t="shared" ref="C108:Q108" si="2">AVERAGE(C9:C104)</f>
        <v>5.5074698795180739</v>
      </c>
      <c r="D108" s="158">
        <f t="shared" si="2"/>
        <v>2.5493975903614463</v>
      </c>
      <c r="E108" s="158">
        <f t="shared" si="2"/>
        <v>5.2203125000000012</v>
      </c>
      <c r="F108" s="158">
        <f t="shared" si="2"/>
        <v>1.1130952380952388</v>
      </c>
      <c r="G108" s="158">
        <f t="shared" si="2"/>
        <v>22.860952380952376</v>
      </c>
      <c r="H108" s="158">
        <f t="shared" si="2"/>
        <v>9.9267857142857121</v>
      </c>
      <c r="I108" s="158">
        <f t="shared" si="2"/>
        <v>3.4236904761904752</v>
      </c>
      <c r="J108" s="158">
        <f t="shared" si="2"/>
        <v>0.65142857142857147</v>
      </c>
      <c r="K108" s="158">
        <f t="shared" si="2"/>
        <v>251.62821428571434</v>
      </c>
      <c r="L108" s="158">
        <f t="shared" si="2"/>
        <v>26.957857142857147</v>
      </c>
      <c r="M108" s="158">
        <f t="shared" si="2"/>
        <v>82.872738095238105</v>
      </c>
      <c r="N108" s="158">
        <f t="shared" si="2"/>
        <v>70.751190476190473</v>
      </c>
      <c r="O108" s="158">
        <f t="shared" si="2"/>
        <v>9.5238095238095247E-3</v>
      </c>
      <c r="P108" s="158">
        <f t="shared" si="2"/>
        <v>0.28547619047619055</v>
      </c>
      <c r="Q108" s="158">
        <f t="shared" si="2"/>
        <v>9.9097435897435879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1.3525658619135661</v>
      </c>
      <c r="C109" s="158">
        <f t="shared" ref="C109:Q109" si="3">STDEV(C9:C104)</f>
        <v>0.88785826622887698</v>
      </c>
      <c r="D109" s="158">
        <f t="shared" si="3"/>
        <v>0.66534852300676972</v>
      </c>
      <c r="E109" s="158">
        <f t="shared" si="3"/>
        <v>0.55475139219549796</v>
      </c>
      <c r="F109" s="158">
        <f t="shared" si="3"/>
        <v>1.3025553903912461</v>
      </c>
      <c r="G109" s="158">
        <f t="shared" si="3"/>
        <v>9.6175095865981621</v>
      </c>
      <c r="H109" s="158">
        <f t="shared" si="3"/>
        <v>4.0667215891488073</v>
      </c>
      <c r="I109" s="158">
        <f t="shared" si="3"/>
        <v>0.6497335501367274</v>
      </c>
      <c r="J109" s="158">
        <f t="shared" si="3"/>
        <v>0.28434724595513883</v>
      </c>
      <c r="K109" s="158">
        <f t="shared" si="3"/>
        <v>29.532114729346507</v>
      </c>
      <c r="L109" s="158">
        <f t="shared" si="3"/>
        <v>1.8381906186329791</v>
      </c>
      <c r="M109" s="158">
        <f t="shared" si="3"/>
        <v>8.7608648347907518</v>
      </c>
      <c r="N109" s="158">
        <f t="shared" si="3"/>
        <v>118.16624035659034</v>
      </c>
      <c r="O109" s="158">
        <f t="shared" si="3"/>
        <v>4.2847579732432237E-2</v>
      </c>
      <c r="P109" s="158">
        <f t="shared" si="3"/>
        <v>7.2184582038741715E-2</v>
      </c>
      <c r="Q109" s="158">
        <f t="shared" si="3"/>
        <v>9.8641241207398436E-3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COUNT(B9:B104)+13</f>
        <v>96</v>
      </c>
      <c r="C110" s="157">
        <f t="shared" ref="C110:D110" si="4">COUNT(C9:C104)+13</f>
        <v>96</v>
      </c>
      <c r="D110" s="157">
        <f t="shared" si="4"/>
        <v>96</v>
      </c>
      <c r="E110" s="157">
        <f>COUNT(E9:E104)+32</f>
        <v>96</v>
      </c>
      <c r="F110" s="157">
        <f>COUNT(F9:F104)+12</f>
        <v>96</v>
      </c>
      <c r="G110" s="157">
        <f t="shared" ref="G110:Q110" si="5">COUNT(G9:G104)+12</f>
        <v>96</v>
      </c>
      <c r="H110" s="157">
        <f t="shared" si="5"/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COUNT(Q9:Q104)+57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2832</v>
      </c>
      <c r="B9" s="100">
        <v>4.91</v>
      </c>
      <c r="C9" s="100">
        <v>6.63</v>
      </c>
      <c r="D9" s="100">
        <v>2.58</v>
      </c>
      <c r="E9" s="100">
        <v>4.3899999999999997</v>
      </c>
      <c r="F9" s="100">
        <v>1.3</v>
      </c>
      <c r="G9" s="100">
        <v>25.56</v>
      </c>
      <c r="H9" s="100">
        <v>10.06</v>
      </c>
      <c r="I9" s="100">
        <v>4.22</v>
      </c>
      <c r="J9" s="100">
        <v>0.45</v>
      </c>
      <c r="K9" s="100">
        <v>260.87</v>
      </c>
      <c r="L9" s="100">
        <v>24.59</v>
      </c>
      <c r="M9" s="100">
        <v>94.13</v>
      </c>
      <c r="N9" s="100">
        <v>2.4</v>
      </c>
      <c r="O9" s="100">
        <v>0</v>
      </c>
      <c r="P9" s="100">
        <v>0.34</v>
      </c>
      <c r="Q9" s="151" t="s">
        <v>8</v>
      </c>
      <c r="R9" s="6"/>
      <c r="S9" s="6"/>
      <c r="T9" s="156"/>
      <c r="U9" s="6"/>
    </row>
    <row r="10" spans="1:21" customFormat="1">
      <c r="A10" s="163" t="s">
        <v>2833</v>
      </c>
      <c r="B10" s="100">
        <v>5.1100000000000003</v>
      </c>
      <c r="C10" s="100">
        <v>6.69</v>
      </c>
      <c r="D10" s="100">
        <v>2.37</v>
      </c>
      <c r="E10" s="100">
        <v>4.07</v>
      </c>
      <c r="F10" s="100">
        <v>1.3</v>
      </c>
      <c r="G10" s="100">
        <v>25.56</v>
      </c>
      <c r="H10" s="100">
        <v>10.06</v>
      </c>
      <c r="I10" s="100">
        <v>4.2699999999999996</v>
      </c>
      <c r="J10" s="100">
        <v>0.31</v>
      </c>
      <c r="K10" s="100">
        <v>293.20999999999998</v>
      </c>
      <c r="L10" s="100">
        <v>24.63</v>
      </c>
      <c r="M10" s="100">
        <v>94.27</v>
      </c>
      <c r="N10" s="100">
        <v>2.4</v>
      </c>
      <c r="O10" s="100">
        <v>0</v>
      </c>
      <c r="P10" s="100">
        <v>0.33</v>
      </c>
      <c r="Q10" s="151" t="s">
        <v>8</v>
      </c>
      <c r="R10" s="6"/>
      <c r="S10" s="6"/>
      <c r="T10" s="156"/>
      <c r="U10" s="6"/>
    </row>
    <row r="11" spans="1:21" customFormat="1">
      <c r="A11" s="163" t="s">
        <v>2834</v>
      </c>
      <c r="B11" s="100">
        <v>5.22</v>
      </c>
      <c r="C11" s="100">
        <v>6.79</v>
      </c>
      <c r="D11" s="100">
        <v>2.4</v>
      </c>
      <c r="E11" s="100">
        <v>3.89</v>
      </c>
      <c r="F11" s="100">
        <v>7.0000000000000007E-2</v>
      </c>
      <c r="G11" s="100">
        <v>26.01</v>
      </c>
      <c r="H11" s="100">
        <v>12.76</v>
      </c>
      <c r="I11" s="100">
        <v>4.4000000000000004</v>
      </c>
      <c r="J11" s="100">
        <v>0.56999999999999995</v>
      </c>
      <c r="K11" s="100">
        <v>307.79000000000002</v>
      </c>
      <c r="L11" s="100">
        <v>24.74</v>
      </c>
      <c r="M11" s="100">
        <v>92.64</v>
      </c>
      <c r="N11" s="100">
        <v>2.6</v>
      </c>
      <c r="O11" s="100">
        <v>0</v>
      </c>
      <c r="P11" s="100">
        <v>0.36</v>
      </c>
      <c r="Q11" s="151" t="s">
        <v>8</v>
      </c>
      <c r="R11" s="6"/>
      <c r="S11" s="6"/>
      <c r="T11" s="156"/>
      <c r="U11" s="6"/>
    </row>
    <row r="12" spans="1:21" customFormat="1">
      <c r="A12" s="163" t="s">
        <v>2835</v>
      </c>
      <c r="B12" s="100">
        <v>5.6</v>
      </c>
      <c r="C12" s="100">
        <v>7.23</v>
      </c>
      <c r="D12" s="100">
        <v>2.66</v>
      </c>
      <c r="E12" s="100">
        <v>4.05</v>
      </c>
      <c r="F12" s="100">
        <v>7.0000000000000007E-2</v>
      </c>
      <c r="G12" s="100">
        <v>26.35</v>
      </c>
      <c r="H12" s="100">
        <v>13.61</v>
      </c>
      <c r="I12" s="100">
        <v>4.55</v>
      </c>
      <c r="J12" s="100">
        <v>0.4</v>
      </c>
      <c r="K12" s="100">
        <v>353.75</v>
      </c>
      <c r="L12" s="100">
        <v>24.71</v>
      </c>
      <c r="M12" s="100">
        <v>92.69</v>
      </c>
      <c r="N12" s="100">
        <v>2.6</v>
      </c>
      <c r="O12" s="100">
        <v>0</v>
      </c>
      <c r="P12" s="100">
        <v>0.35</v>
      </c>
      <c r="Q12" s="151" t="s">
        <v>8</v>
      </c>
      <c r="R12" s="6"/>
      <c r="S12" s="6"/>
      <c r="T12" s="156"/>
      <c r="U12" s="6"/>
    </row>
    <row r="13" spans="1:21" customFormat="1">
      <c r="A13" s="163" t="s">
        <v>2836</v>
      </c>
      <c r="B13" s="100">
        <v>5.97</v>
      </c>
      <c r="C13" s="100">
        <v>7.48</v>
      </c>
      <c r="D13" s="100">
        <v>2.56</v>
      </c>
      <c r="E13" s="100">
        <v>4.1100000000000003</v>
      </c>
      <c r="F13" s="100">
        <v>7.0000000000000007E-2</v>
      </c>
      <c r="G13" s="100">
        <v>26.35</v>
      </c>
      <c r="H13" s="100">
        <v>13.61</v>
      </c>
      <c r="I13" s="100">
        <v>4.8499999999999996</v>
      </c>
      <c r="J13" s="100">
        <v>0.35</v>
      </c>
      <c r="K13" s="100">
        <v>313.11</v>
      </c>
      <c r="L13" s="100">
        <v>24.64</v>
      </c>
      <c r="M13" s="100">
        <v>94.08</v>
      </c>
      <c r="N13" s="100">
        <v>2.2999999999999998</v>
      </c>
      <c r="O13" s="100">
        <v>0</v>
      </c>
      <c r="P13" s="100">
        <v>0.34</v>
      </c>
      <c r="Q13" s="151" t="s">
        <v>8</v>
      </c>
      <c r="R13" s="6"/>
      <c r="S13" s="6"/>
      <c r="T13" s="156"/>
      <c r="U13" s="6"/>
    </row>
    <row r="14" spans="1:21" customFormat="1">
      <c r="A14" s="163" t="s">
        <v>2837</v>
      </c>
      <c r="B14" s="100">
        <v>6.17</v>
      </c>
      <c r="C14" s="100">
        <v>7.65</v>
      </c>
      <c r="D14" s="100">
        <v>2.58</v>
      </c>
      <c r="E14" s="100">
        <v>3.96</v>
      </c>
      <c r="F14" s="100">
        <v>0.03</v>
      </c>
      <c r="G14" s="100">
        <v>26.35</v>
      </c>
      <c r="H14" s="100">
        <v>13.61</v>
      </c>
      <c r="I14" s="100">
        <v>4.79</v>
      </c>
      <c r="J14" s="100">
        <v>0.26</v>
      </c>
      <c r="K14" s="100">
        <v>352.14</v>
      </c>
      <c r="L14" s="100">
        <v>24.62</v>
      </c>
      <c r="M14" s="100">
        <v>94.61</v>
      </c>
      <c r="N14" s="100">
        <v>2.1</v>
      </c>
      <c r="O14" s="100">
        <v>0</v>
      </c>
      <c r="P14" s="100">
        <v>0.37</v>
      </c>
      <c r="Q14" s="151" t="s">
        <v>8</v>
      </c>
      <c r="R14" s="6"/>
      <c r="S14" s="6"/>
      <c r="T14" s="156"/>
      <c r="U14" s="6"/>
    </row>
    <row r="15" spans="1:21" customFormat="1">
      <c r="A15" s="163" t="s">
        <v>2838</v>
      </c>
      <c r="B15" s="100">
        <v>6.6</v>
      </c>
      <c r="C15" s="100">
        <v>8.18</v>
      </c>
      <c r="D15" s="100">
        <v>2.93</v>
      </c>
      <c r="E15" s="100">
        <v>4.25</v>
      </c>
      <c r="F15" s="100">
        <v>0.03</v>
      </c>
      <c r="G15" s="100">
        <v>32.26</v>
      </c>
      <c r="H15" s="100">
        <v>13.34</v>
      </c>
      <c r="I15" s="100">
        <v>4.79</v>
      </c>
      <c r="J15" s="100">
        <v>0.22</v>
      </c>
      <c r="K15" s="100">
        <v>292.67</v>
      </c>
      <c r="L15" s="100">
        <v>24.62</v>
      </c>
      <c r="M15" s="100">
        <v>95.17</v>
      </c>
      <c r="N15" s="100">
        <v>2.1</v>
      </c>
      <c r="O15" s="100">
        <v>0.2</v>
      </c>
      <c r="P15" s="100">
        <v>0.36</v>
      </c>
      <c r="Q15" s="151" t="s">
        <v>8</v>
      </c>
      <c r="R15" s="6"/>
      <c r="S15" s="6"/>
      <c r="T15" s="156"/>
      <c r="U15" s="6"/>
    </row>
    <row r="16" spans="1:21" customFormat="1">
      <c r="A16" s="163" t="s">
        <v>2839</v>
      </c>
      <c r="B16" s="100">
        <v>6.86</v>
      </c>
      <c r="C16" s="100">
        <v>8.23</v>
      </c>
      <c r="D16" s="100">
        <v>2.65</v>
      </c>
      <c r="E16" s="100">
        <v>4.28</v>
      </c>
      <c r="F16" s="100">
        <v>7.0000000000000007E-2</v>
      </c>
      <c r="G16" s="100">
        <v>36.770000000000003</v>
      </c>
      <c r="H16" s="100">
        <v>13.26</v>
      </c>
      <c r="I16" s="100">
        <v>5.03</v>
      </c>
      <c r="J16" s="100">
        <v>0.32</v>
      </c>
      <c r="K16" s="100">
        <v>307.8</v>
      </c>
      <c r="L16" s="100">
        <v>24.62</v>
      </c>
      <c r="M16" s="100">
        <v>95.42</v>
      </c>
      <c r="N16" s="100">
        <v>2.1</v>
      </c>
      <c r="O16" s="100">
        <v>0</v>
      </c>
      <c r="P16" s="100">
        <v>0.38</v>
      </c>
      <c r="Q16" s="151" t="s">
        <v>8</v>
      </c>
      <c r="R16" s="6"/>
      <c r="S16" s="6"/>
      <c r="T16" s="156"/>
      <c r="U16" s="6"/>
    </row>
    <row r="17" spans="1:21" customFormat="1">
      <c r="A17" s="163" t="s">
        <v>2840</v>
      </c>
      <c r="B17" s="100">
        <v>7.2</v>
      </c>
      <c r="C17" s="100">
        <v>8.44</v>
      </c>
      <c r="D17" s="100">
        <v>2.5099999999999998</v>
      </c>
      <c r="E17" s="100">
        <v>4.3</v>
      </c>
      <c r="F17" s="100">
        <v>7.0000000000000007E-2</v>
      </c>
      <c r="G17" s="100">
        <v>36.770000000000003</v>
      </c>
      <c r="H17" s="100">
        <v>13.26</v>
      </c>
      <c r="I17" s="100">
        <v>4.79</v>
      </c>
      <c r="J17" s="100">
        <v>0.15</v>
      </c>
      <c r="K17" s="100">
        <v>227.02</v>
      </c>
      <c r="L17" s="100">
        <v>24.65</v>
      </c>
      <c r="M17" s="100">
        <v>96.43</v>
      </c>
      <c r="N17" s="100">
        <v>2.1</v>
      </c>
      <c r="O17" s="100">
        <v>0.6</v>
      </c>
      <c r="P17" s="100">
        <v>0.36</v>
      </c>
      <c r="Q17" s="151" t="s">
        <v>8</v>
      </c>
      <c r="R17" s="6"/>
      <c r="S17" s="6"/>
      <c r="T17" s="156"/>
      <c r="U17" s="6"/>
    </row>
    <row r="18" spans="1:21" customFormat="1">
      <c r="A18" s="163" t="s">
        <v>2841</v>
      </c>
      <c r="B18" s="100">
        <v>7.32</v>
      </c>
      <c r="C18" s="100">
        <v>8.4499999999999993</v>
      </c>
      <c r="D18" s="100">
        <v>2.36</v>
      </c>
      <c r="E18" s="100">
        <v>5.56</v>
      </c>
      <c r="F18" s="100">
        <v>0.02</v>
      </c>
      <c r="G18" s="100">
        <v>36.770000000000003</v>
      </c>
      <c r="H18" s="100">
        <v>13.26</v>
      </c>
      <c r="I18" s="100">
        <v>4.91</v>
      </c>
      <c r="J18" s="100">
        <v>0.19</v>
      </c>
      <c r="K18" s="100">
        <v>217.87</v>
      </c>
      <c r="L18" s="100">
        <v>24.45</v>
      </c>
      <c r="M18" s="100">
        <v>97.92</v>
      </c>
      <c r="N18" s="100">
        <v>2.2999999999999998</v>
      </c>
      <c r="O18" s="100">
        <v>0.2</v>
      </c>
      <c r="P18" s="100">
        <v>0.37</v>
      </c>
      <c r="Q18" s="151" t="s">
        <v>8</v>
      </c>
      <c r="R18" s="6"/>
      <c r="S18" s="6"/>
      <c r="T18" s="156"/>
      <c r="U18" s="6"/>
    </row>
    <row r="19" spans="1:21" customFormat="1">
      <c r="A19" s="163" t="s">
        <v>2842</v>
      </c>
      <c r="B19" s="100">
        <v>7.42</v>
      </c>
      <c r="C19" s="100">
        <v>8.66</v>
      </c>
      <c r="D19" s="100">
        <v>2.62</v>
      </c>
      <c r="E19" s="100">
        <v>5.93</v>
      </c>
      <c r="F19" s="100">
        <v>0.02</v>
      </c>
      <c r="G19" s="100">
        <v>35.380000000000003</v>
      </c>
      <c r="H19" s="100">
        <v>14.62</v>
      </c>
      <c r="I19" s="100">
        <v>4.9000000000000004</v>
      </c>
      <c r="J19" s="100">
        <v>0.1</v>
      </c>
      <c r="K19" s="100">
        <v>218.6</v>
      </c>
      <c r="L19" s="100">
        <v>24.36</v>
      </c>
      <c r="M19" s="100">
        <v>98.9</v>
      </c>
      <c r="N19" s="100">
        <v>2.2000000000000002</v>
      </c>
      <c r="O19" s="100">
        <v>0.4</v>
      </c>
      <c r="P19" s="100">
        <v>0.36</v>
      </c>
      <c r="Q19" s="151" t="s">
        <v>8</v>
      </c>
      <c r="R19" s="6"/>
      <c r="S19" s="6"/>
      <c r="T19" s="156"/>
      <c r="U19" s="6"/>
    </row>
    <row r="20" spans="1:21" customFormat="1">
      <c r="A20" s="163" t="s">
        <v>2843</v>
      </c>
      <c r="B20" s="100">
        <v>7.66</v>
      </c>
      <c r="C20" s="100">
        <v>8.6999999999999993</v>
      </c>
      <c r="D20" s="100">
        <v>2.31</v>
      </c>
      <c r="E20" s="100">
        <v>5.89</v>
      </c>
      <c r="F20" s="100">
        <v>0.02</v>
      </c>
      <c r="G20" s="100">
        <v>34.32</v>
      </c>
      <c r="H20" s="100">
        <v>15.06</v>
      </c>
      <c r="I20" s="100">
        <v>4.96</v>
      </c>
      <c r="J20" s="100">
        <v>0.25</v>
      </c>
      <c r="K20" s="100">
        <v>251.78</v>
      </c>
      <c r="L20" s="100">
        <v>24.34</v>
      </c>
      <c r="M20" s="100">
        <v>99.33</v>
      </c>
      <c r="N20" s="100">
        <v>2.2999999999999998</v>
      </c>
      <c r="O20" s="100">
        <v>0.2</v>
      </c>
      <c r="P20" s="100">
        <v>0.36</v>
      </c>
      <c r="Q20" s="151" t="s">
        <v>8</v>
      </c>
      <c r="R20" s="6"/>
      <c r="S20" s="6"/>
      <c r="T20" s="156"/>
      <c r="U20" s="6"/>
    </row>
    <row r="21" spans="1:21" customFormat="1">
      <c r="A21" s="163" t="s">
        <v>2844</v>
      </c>
      <c r="B21" s="100">
        <v>7.72</v>
      </c>
      <c r="C21" s="100">
        <v>8.77</v>
      </c>
      <c r="D21" s="100">
        <v>2.36</v>
      </c>
      <c r="E21" s="100">
        <v>5.56</v>
      </c>
      <c r="F21" s="100">
        <v>0.02</v>
      </c>
      <c r="G21" s="100">
        <v>34.32</v>
      </c>
      <c r="H21" s="100">
        <v>15.06</v>
      </c>
      <c r="I21" s="100">
        <v>5.07</v>
      </c>
      <c r="J21" s="100">
        <v>0.21</v>
      </c>
      <c r="K21" s="100">
        <v>217.99</v>
      </c>
      <c r="L21" s="100">
        <v>24.32</v>
      </c>
      <c r="M21" s="100">
        <v>99.55</v>
      </c>
      <c r="N21" s="100">
        <v>2.2999999999999998</v>
      </c>
      <c r="O21" s="100">
        <v>0.6</v>
      </c>
      <c r="P21" s="100">
        <v>0.38</v>
      </c>
      <c r="Q21" s="151" t="s">
        <v>8</v>
      </c>
      <c r="R21" s="6"/>
      <c r="S21" s="6"/>
      <c r="T21" s="156"/>
      <c r="U21" s="6"/>
    </row>
    <row r="22" spans="1:21" customFormat="1">
      <c r="A22" s="163" t="s">
        <v>2845</v>
      </c>
      <c r="B22" s="100">
        <v>7.91</v>
      </c>
      <c r="C22" s="100">
        <v>8.84</v>
      </c>
      <c r="D22" s="100">
        <v>2.2000000000000002</v>
      </c>
      <c r="E22" s="100">
        <v>5.56</v>
      </c>
      <c r="F22" s="100">
        <v>0.02</v>
      </c>
      <c r="G22" s="100">
        <v>34.32</v>
      </c>
      <c r="H22" s="100">
        <v>15.06</v>
      </c>
      <c r="I22" s="100">
        <v>5</v>
      </c>
      <c r="J22" s="100">
        <v>0.09</v>
      </c>
      <c r="K22" s="100">
        <v>191.18</v>
      </c>
      <c r="L22" s="100">
        <v>24.27</v>
      </c>
      <c r="M22" s="100">
        <v>99.77</v>
      </c>
      <c r="N22" s="100">
        <v>2.2000000000000002</v>
      </c>
      <c r="O22" s="100">
        <v>0.4</v>
      </c>
      <c r="P22" s="100">
        <v>0.36</v>
      </c>
      <c r="Q22" s="151" t="s">
        <v>8</v>
      </c>
      <c r="R22" s="6"/>
      <c r="S22" s="6"/>
      <c r="T22" s="156"/>
      <c r="U22" s="6"/>
    </row>
    <row r="23" spans="1:21" customFormat="1">
      <c r="A23" s="163" t="s">
        <v>2846</v>
      </c>
      <c r="B23" s="100">
        <v>7.82</v>
      </c>
      <c r="C23" s="100">
        <v>9.1300000000000008</v>
      </c>
      <c r="D23" s="100">
        <v>2.89</v>
      </c>
      <c r="E23" s="100">
        <v>5.61</v>
      </c>
      <c r="F23" s="100">
        <v>0.02</v>
      </c>
      <c r="G23" s="100">
        <v>30.59</v>
      </c>
      <c r="H23" s="100">
        <v>13.04</v>
      </c>
      <c r="I23" s="100">
        <v>5.13</v>
      </c>
      <c r="J23" s="100">
        <v>0.1</v>
      </c>
      <c r="K23" s="100">
        <v>205.95</v>
      </c>
      <c r="L23" s="100">
        <v>24.24</v>
      </c>
      <c r="M23" s="100">
        <v>99.78</v>
      </c>
      <c r="N23" s="100">
        <v>2.2999999999999998</v>
      </c>
      <c r="O23" s="100">
        <v>0.2</v>
      </c>
      <c r="P23" s="100">
        <v>0.37</v>
      </c>
      <c r="Q23" s="151" t="s">
        <v>8</v>
      </c>
      <c r="R23" s="6"/>
      <c r="S23" s="6"/>
      <c r="T23" s="156"/>
      <c r="U23" s="6"/>
    </row>
    <row r="24" spans="1:21" customFormat="1">
      <c r="A24" s="163" t="s">
        <v>2847</v>
      </c>
      <c r="B24" s="100">
        <v>7.67</v>
      </c>
      <c r="C24" s="100">
        <v>9.33</v>
      </c>
      <c r="D24" s="100">
        <v>3.51</v>
      </c>
      <c r="E24" s="100">
        <v>5.58</v>
      </c>
      <c r="F24" s="100">
        <v>0.02</v>
      </c>
      <c r="G24" s="100">
        <v>27.73</v>
      </c>
      <c r="H24" s="100">
        <v>12.39</v>
      </c>
      <c r="I24" s="100">
        <v>5.05</v>
      </c>
      <c r="J24" s="100">
        <v>0.15</v>
      </c>
      <c r="K24" s="100">
        <v>217.3</v>
      </c>
      <c r="L24" s="100">
        <v>24.27</v>
      </c>
      <c r="M24" s="100">
        <v>99.8</v>
      </c>
      <c r="N24" s="100">
        <v>2.2000000000000002</v>
      </c>
      <c r="O24" s="100">
        <v>0.2</v>
      </c>
      <c r="P24" s="100">
        <v>0.4</v>
      </c>
      <c r="Q24" s="151" t="s">
        <v>8</v>
      </c>
      <c r="R24" s="6"/>
      <c r="S24" s="6"/>
      <c r="T24" s="156"/>
      <c r="U24" s="6"/>
    </row>
    <row r="25" spans="1:21" customFormat="1">
      <c r="A25" s="163" t="s">
        <v>2848</v>
      </c>
      <c r="B25" s="100">
        <v>7.6</v>
      </c>
      <c r="C25" s="100">
        <v>9.41</v>
      </c>
      <c r="D25" s="100">
        <v>3.76</v>
      </c>
      <c r="E25" s="100">
        <v>5.85</v>
      </c>
      <c r="F25" s="100">
        <v>0.02</v>
      </c>
      <c r="G25" s="100">
        <v>27.73</v>
      </c>
      <c r="H25" s="100">
        <v>12.39</v>
      </c>
      <c r="I25" s="100">
        <v>5.15</v>
      </c>
      <c r="J25" s="100">
        <v>0.13</v>
      </c>
      <c r="K25" s="100">
        <v>229.29</v>
      </c>
      <c r="L25" s="100">
        <v>24.26</v>
      </c>
      <c r="M25" s="100">
        <v>99.8</v>
      </c>
      <c r="N25" s="100">
        <v>2.2999999999999998</v>
      </c>
      <c r="O25" s="100">
        <v>0.2</v>
      </c>
      <c r="P25" s="100">
        <v>0.43</v>
      </c>
      <c r="Q25" s="151" t="s">
        <v>8</v>
      </c>
      <c r="R25" s="6"/>
      <c r="S25" s="6"/>
      <c r="T25" s="156"/>
      <c r="U25" s="6"/>
    </row>
    <row r="26" spans="1:21" customFormat="1">
      <c r="A26" s="163" t="s">
        <v>2849</v>
      </c>
      <c r="B26" s="100">
        <v>7.45</v>
      </c>
      <c r="C26" s="100">
        <v>9.34</v>
      </c>
      <c r="D26" s="100">
        <v>3.86</v>
      </c>
      <c r="E26" s="100">
        <v>5.72</v>
      </c>
      <c r="F26" s="100">
        <v>0.05</v>
      </c>
      <c r="G26" s="100">
        <v>27.73</v>
      </c>
      <c r="H26" s="100">
        <v>12.39</v>
      </c>
      <c r="I26" s="100">
        <v>5.77</v>
      </c>
      <c r="J26" s="100">
        <v>0.19</v>
      </c>
      <c r="K26" s="100">
        <v>249.5</v>
      </c>
      <c r="L26" s="100">
        <v>24.27</v>
      </c>
      <c r="M26" s="100">
        <v>99.82</v>
      </c>
      <c r="N26" s="100">
        <v>2.2999999999999998</v>
      </c>
      <c r="O26" s="100">
        <v>0.2</v>
      </c>
      <c r="P26" s="100">
        <v>0.45</v>
      </c>
      <c r="Q26" s="151" t="s">
        <v>8</v>
      </c>
      <c r="R26" s="6"/>
      <c r="S26" s="6"/>
      <c r="T26" s="156"/>
      <c r="U26" s="6"/>
    </row>
    <row r="27" spans="1:21" customFormat="1">
      <c r="A27" s="163" t="s">
        <v>2850</v>
      </c>
      <c r="B27" s="100">
        <v>7.26</v>
      </c>
      <c r="C27" s="100">
        <v>9.14</v>
      </c>
      <c r="D27" s="100">
        <v>3.76</v>
      </c>
      <c r="E27" s="100">
        <v>5.67</v>
      </c>
      <c r="F27" s="100">
        <v>0.12</v>
      </c>
      <c r="G27" s="100">
        <v>28.53</v>
      </c>
      <c r="H27" s="100">
        <v>10.32</v>
      </c>
      <c r="I27" s="100">
        <v>6.24</v>
      </c>
      <c r="J27" s="100">
        <v>0.2</v>
      </c>
      <c r="K27" s="100">
        <v>253.68</v>
      </c>
      <c r="L27" s="100">
        <v>24.23</v>
      </c>
      <c r="M27" s="100">
        <v>99.82</v>
      </c>
      <c r="N27" s="100">
        <v>2.4</v>
      </c>
      <c r="O27" s="100">
        <v>0</v>
      </c>
      <c r="P27" s="100">
        <v>0.45</v>
      </c>
      <c r="Q27" s="151" t="s">
        <v>8</v>
      </c>
      <c r="R27" s="6"/>
      <c r="S27" s="6"/>
      <c r="T27" s="156"/>
      <c r="U27" s="6"/>
    </row>
    <row r="28" spans="1:21" customFormat="1">
      <c r="A28" s="163" t="s">
        <v>2851</v>
      </c>
      <c r="B28" s="100">
        <v>7.08</v>
      </c>
      <c r="C28" s="100">
        <v>8.8800000000000008</v>
      </c>
      <c r="D28" s="100">
        <v>3.55</v>
      </c>
      <c r="E28" s="100">
        <v>5.79</v>
      </c>
      <c r="F28" s="100">
        <v>0.1</v>
      </c>
      <c r="G28" s="100">
        <v>29.14</v>
      </c>
      <c r="H28" s="100">
        <v>9.66</v>
      </c>
      <c r="I28" s="100">
        <v>6.49</v>
      </c>
      <c r="J28" s="100">
        <v>0.1</v>
      </c>
      <c r="K28" s="100">
        <v>228.19</v>
      </c>
      <c r="L28" s="100">
        <v>24.23</v>
      </c>
      <c r="M28" s="100">
        <v>99.83</v>
      </c>
      <c r="N28" s="100">
        <v>2.2000000000000002</v>
      </c>
      <c r="O28" s="100">
        <v>0</v>
      </c>
      <c r="P28" s="100">
        <v>0.42</v>
      </c>
      <c r="Q28" s="151" t="s">
        <v>8</v>
      </c>
      <c r="R28" s="6"/>
      <c r="S28" s="6"/>
      <c r="T28" s="156"/>
      <c r="U28" s="6"/>
    </row>
    <row r="29" spans="1:21" customFormat="1">
      <c r="A29" s="163" t="s">
        <v>2852</v>
      </c>
      <c r="B29" s="100">
        <v>6.9</v>
      </c>
      <c r="C29" s="100">
        <v>8.6999999999999993</v>
      </c>
      <c r="D29" s="100">
        <v>3.48</v>
      </c>
      <c r="E29" s="100">
        <v>5.91</v>
      </c>
      <c r="F29" s="100">
        <v>0.01</v>
      </c>
      <c r="G29" s="100">
        <v>29.14</v>
      </c>
      <c r="H29" s="100">
        <v>9.66</v>
      </c>
      <c r="I29" s="100">
        <v>6.34</v>
      </c>
      <c r="J29" s="100">
        <v>0.55000000000000004</v>
      </c>
      <c r="K29" s="100">
        <v>311.22000000000003</v>
      </c>
      <c r="L29" s="100">
        <v>24.22</v>
      </c>
      <c r="M29" s="100">
        <v>99.82</v>
      </c>
      <c r="N29" s="100">
        <v>2.6</v>
      </c>
      <c r="O29" s="100">
        <v>0.4</v>
      </c>
      <c r="P29" s="100">
        <v>0.41</v>
      </c>
      <c r="Q29" s="151" t="s">
        <v>8</v>
      </c>
      <c r="R29" s="6"/>
      <c r="S29" s="6"/>
      <c r="T29" s="156"/>
      <c r="U29" s="6"/>
    </row>
    <row r="30" spans="1:21" customFormat="1">
      <c r="A30" s="163" t="s">
        <v>2853</v>
      </c>
      <c r="B30" s="100">
        <v>6.91</v>
      </c>
      <c r="C30" s="100">
        <v>8.7899999999999991</v>
      </c>
      <c r="D30" s="100">
        <v>3.62</v>
      </c>
      <c r="E30" s="100">
        <v>6.02</v>
      </c>
      <c r="F30" s="100">
        <v>0.52</v>
      </c>
      <c r="G30" s="100">
        <v>29.14</v>
      </c>
      <c r="H30" s="100">
        <v>9.66</v>
      </c>
      <c r="I30" s="100">
        <v>6.13</v>
      </c>
      <c r="J30" s="100">
        <v>0.64</v>
      </c>
      <c r="K30" s="100">
        <v>308.92</v>
      </c>
      <c r="L30" s="100">
        <v>24.17</v>
      </c>
      <c r="M30" s="100">
        <v>99.8</v>
      </c>
      <c r="N30" s="100">
        <v>2.5</v>
      </c>
      <c r="O30" s="100">
        <v>2.4</v>
      </c>
      <c r="P30" s="100">
        <v>0.4</v>
      </c>
      <c r="Q30" s="151" t="s">
        <v>8</v>
      </c>
      <c r="R30" s="6"/>
      <c r="S30" s="6"/>
      <c r="T30" s="156"/>
      <c r="U30" s="6"/>
    </row>
    <row r="31" spans="1:21" customFormat="1">
      <c r="A31" s="163" t="s">
        <v>2854</v>
      </c>
      <c r="B31" s="100">
        <v>7.06</v>
      </c>
      <c r="C31" s="100">
        <v>8.9600000000000009</v>
      </c>
      <c r="D31" s="100">
        <v>3.73</v>
      </c>
      <c r="E31" s="100">
        <v>6.09</v>
      </c>
      <c r="F31" s="100">
        <v>0.44</v>
      </c>
      <c r="G31" s="100">
        <v>29.03</v>
      </c>
      <c r="H31" s="100">
        <v>9.31</v>
      </c>
      <c r="I31" s="100">
        <v>5.95</v>
      </c>
      <c r="J31" s="100">
        <v>0.52</v>
      </c>
      <c r="K31" s="100">
        <v>294.23</v>
      </c>
      <c r="L31" s="100">
        <v>24.06</v>
      </c>
      <c r="M31" s="100">
        <v>99.82</v>
      </c>
      <c r="N31" s="100">
        <v>3</v>
      </c>
      <c r="O31" s="100">
        <v>4.5999999999999996</v>
      </c>
      <c r="P31" s="100">
        <v>0.39</v>
      </c>
      <c r="Q31" s="151" t="s">
        <v>8</v>
      </c>
      <c r="R31" s="6"/>
      <c r="S31" s="6"/>
      <c r="T31" s="156"/>
      <c r="U31" s="6"/>
    </row>
    <row r="32" spans="1:21" customFormat="1">
      <c r="A32" s="163" t="s">
        <v>2855</v>
      </c>
      <c r="B32" s="100">
        <v>7.27</v>
      </c>
      <c r="C32" s="100">
        <v>9.1999999999999993</v>
      </c>
      <c r="D32" s="100">
        <v>3.86</v>
      </c>
      <c r="E32" s="100">
        <v>6.12</v>
      </c>
      <c r="F32" s="100">
        <v>0.86</v>
      </c>
      <c r="G32" s="100">
        <v>28.94</v>
      </c>
      <c r="H32" s="100">
        <v>9.11</v>
      </c>
      <c r="I32" s="100">
        <v>5.95</v>
      </c>
      <c r="J32" s="100">
        <v>0.86</v>
      </c>
      <c r="K32" s="100">
        <v>289.52999999999997</v>
      </c>
      <c r="L32" s="100">
        <v>23.9</v>
      </c>
      <c r="M32" s="100">
        <v>99.83</v>
      </c>
      <c r="N32" s="100">
        <v>4.5999999999999996</v>
      </c>
      <c r="O32" s="100">
        <v>2.2000000000000002</v>
      </c>
      <c r="P32" s="100">
        <v>0.38</v>
      </c>
      <c r="Q32" s="151" t="s">
        <v>8</v>
      </c>
      <c r="R32" s="6"/>
      <c r="S32" s="6"/>
      <c r="T32" s="156"/>
      <c r="U32" s="6"/>
    </row>
    <row r="33" spans="1:21" customFormat="1">
      <c r="A33" s="163" t="s">
        <v>2856</v>
      </c>
      <c r="B33" s="100">
        <v>7.42</v>
      </c>
      <c r="C33" s="100">
        <v>9.39</v>
      </c>
      <c r="D33" s="100">
        <v>3.99</v>
      </c>
      <c r="E33" s="100">
        <v>5.94</v>
      </c>
      <c r="F33" s="100">
        <v>0.56999999999999995</v>
      </c>
      <c r="G33" s="100">
        <v>28.94</v>
      </c>
      <c r="H33" s="100">
        <v>9.11</v>
      </c>
      <c r="I33" s="100">
        <v>5.78</v>
      </c>
      <c r="J33" s="100">
        <v>0.67</v>
      </c>
      <c r="K33" s="100">
        <v>285.16000000000003</v>
      </c>
      <c r="L33" s="100">
        <v>23.74</v>
      </c>
      <c r="M33" s="100">
        <v>99.83</v>
      </c>
      <c r="N33" s="100">
        <v>5.0999999999999996</v>
      </c>
      <c r="O33" s="100">
        <v>1.8</v>
      </c>
      <c r="P33" s="100">
        <v>0.38</v>
      </c>
      <c r="Q33" s="151" t="s">
        <v>8</v>
      </c>
      <c r="R33" s="6"/>
      <c r="S33" s="6"/>
      <c r="T33" s="156"/>
      <c r="U33" s="6"/>
    </row>
    <row r="34" spans="1:21" customFormat="1">
      <c r="A34" s="163" t="s">
        <v>2857</v>
      </c>
      <c r="B34" s="100">
        <v>7.43</v>
      </c>
      <c r="C34" s="100">
        <v>9.4600000000000009</v>
      </c>
      <c r="D34" s="100">
        <v>4.13</v>
      </c>
      <c r="E34" s="100">
        <v>6.22</v>
      </c>
      <c r="F34" s="100">
        <v>0.9</v>
      </c>
      <c r="G34" s="100">
        <v>28.94</v>
      </c>
      <c r="H34" s="100">
        <v>9.11</v>
      </c>
      <c r="I34" s="100">
        <v>5.71</v>
      </c>
      <c r="J34" s="100">
        <v>0.64</v>
      </c>
      <c r="K34" s="100">
        <v>297.67</v>
      </c>
      <c r="L34" s="100">
        <v>23.75</v>
      </c>
      <c r="M34" s="100">
        <v>99.83</v>
      </c>
      <c r="N34" s="100">
        <v>11.7</v>
      </c>
      <c r="O34" s="100">
        <v>1.4</v>
      </c>
      <c r="P34" s="100">
        <v>0.37</v>
      </c>
      <c r="Q34" s="151" t="s">
        <v>8</v>
      </c>
      <c r="R34" s="6"/>
      <c r="S34" s="6"/>
      <c r="T34" s="156"/>
      <c r="U34" s="6"/>
    </row>
    <row r="35" spans="1:21" customFormat="1">
      <c r="A35" s="163" t="s">
        <v>2858</v>
      </c>
      <c r="B35" s="100">
        <v>7.45</v>
      </c>
      <c r="C35" s="100">
        <v>9.56</v>
      </c>
      <c r="D35" s="100">
        <v>4.2699999999999996</v>
      </c>
      <c r="E35" s="100">
        <v>6.25</v>
      </c>
      <c r="F35" s="100">
        <v>0.79</v>
      </c>
      <c r="G35" s="100">
        <v>24.18</v>
      </c>
      <c r="H35" s="100">
        <v>9.98</v>
      </c>
      <c r="I35" s="100">
        <v>5.72</v>
      </c>
      <c r="J35" s="100">
        <v>0.61</v>
      </c>
      <c r="K35" s="100">
        <v>297.85000000000002</v>
      </c>
      <c r="L35" s="100">
        <v>23.65</v>
      </c>
      <c r="M35" s="100">
        <v>99.83</v>
      </c>
      <c r="N35" s="100">
        <v>10.3</v>
      </c>
      <c r="O35" s="100">
        <v>0.8</v>
      </c>
      <c r="P35" s="100">
        <v>0.36</v>
      </c>
      <c r="Q35" s="151" t="s">
        <v>8</v>
      </c>
      <c r="R35" s="6"/>
      <c r="S35" s="6"/>
      <c r="T35" s="156"/>
      <c r="U35" s="6"/>
    </row>
    <row r="36" spans="1:21" customFormat="1">
      <c r="A36" s="163" t="s">
        <v>2859</v>
      </c>
      <c r="B36" s="100">
        <v>7.45</v>
      </c>
      <c r="C36" s="100">
        <v>9.6</v>
      </c>
      <c r="D36" s="100">
        <v>4.3499999999999996</v>
      </c>
      <c r="E36" s="100">
        <v>6.32</v>
      </c>
      <c r="F36" s="100">
        <v>0.53</v>
      </c>
      <c r="G36" s="100">
        <v>20.55</v>
      </c>
      <c r="H36" s="100">
        <v>10.27</v>
      </c>
      <c r="I36" s="100">
        <v>5.58</v>
      </c>
      <c r="J36" s="100">
        <v>0.75</v>
      </c>
      <c r="K36" s="100">
        <v>299.2</v>
      </c>
      <c r="L36" s="100">
        <v>23.6</v>
      </c>
      <c r="M36" s="100">
        <v>99.83</v>
      </c>
      <c r="N36" s="100">
        <v>15.6</v>
      </c>
      <c r="O36" s="100">
        <v>1.2</v>
      </c>
      <c r="P36" s="100">
        <v>0.35</v>
      </c>
      <c r="Q36" s="151" t="s">
        <v>8</v>
      </c>
      <c r="R36" s="6"/>
      <c r="S36" s="6"/>
      <c r="T36" s="156"/>
      <c r="U36" s="6"/>
    </row>
    <row r="37" spans="1:21" customFormat="1">
      <c r="A37" s="163" t="s">
        <v>2860</v>
      </c>
      <c r="B37" s="100">
        <v>7.42</v>
      </c>
      <c r="C37" s="100">
        <v>9.5500000000000007</v>
      </c>
      <c r="D37" s="100">
        <v>4.3099999999999996</v>
      </c>
      <c r="E37" s="100">
        <v>6.19</v>
      </c>
      <c r="F37" s="100">
        <v>0.54</v>
      </c>
      <c r="G37" s="100">
        <v>20.55</v>
      </c>
      <c r="H37" s="100">
        <v>10.27</v>
      </c>
      <c r="I37" s="100">
        <v>5.45</v>
      </c>
      <c r="J37" s="100">
        <v>0.34</v>
      </c>
      <c r="K37" s="100">
        <v>271.27999999999997</v>
      </c>
      <c r="L37" s="100">
        <v>23.85</v>
      </c>
      <c r="M37" s="100">
        <v>99.85</v>
      </c>
      <c r="N37" s="100">
        <v>39.9</v>
      </c>
      <c r="O37" s="100">
        <v>0.2</v>
      </c>
      <c r="P37" s="100">
        <v>0.34</v>
      </c>
      <c r="Q37" s="151" t="s">
        <v>8</v>
      </c>
      <c r="R37" s="6"/>
      <c r="S37" s="6"/>
      <c r="T37" s="156"/>
      <c r="U37" s="6"/>
    </row>
    <row r="38" spans="1:21" customFormat="1">
      <c r="A38" s="163" t="s">
        <v>2861</v>
      </c>
      <c r="B38" s="100">
        <v>7.42</v>
      </c>
      <c r="C38" s="100">
        <v>9.6</v>
      </c>
      <c r="D38" s="100">
        <v>4.41</v>
      </c>
      <c r="E38" s="100">
        <v>6.3</v>
      </c>
      <c r="F38" s="100">
        <v>0.65</v>
      </c>
      <c r="G38" s="100">
        <v>20.55</v>
      </c>
      <c r="H38" s="100">
        <v>10.27</v>
      </c>
      <c r="I38" s="100">
        <v>5.29</v>
      </c>
      <c r="J38" s="100">
        <v>0.85</v>
      </c>
      <c r="K38" s="100">
        <v>305.44</v>
      </c>
      <c r="L38" s="100">
        <v>23.97</v>
      </c>
      <c r="M38" s="100">
        <v>99.85</v>
      </c>
      <c r="N38" s="100">
        <v>53.2</v>
      </c>
      <c r="O38" s="100">
        <v>0.2</v>
      </c>
      <c r="P38" s="100">
        <v>0.33</v>
      </c>
      <c r="Q38" s="151" t="s">
        <v>8</v>
      </c>
      <c r="R38" s="6"/>
      <c r="S38" s="6"/>
      <c r="T38" s="156"/>
      <c r="U38" s="6"/>
    </row>
    <row r="39" spans="1:21" customFormat="1">
      <c r="A39" s="163" t="s">
        <v>2862</v>
      </c>
      <c r="B39" s="100">
        <v>7.43</v>
      </c>
      <c r="C39" s="100">
        <v>9.6300000000000008</v>
      </c>
      <c r="D39" s="100">
        <v>4.4400000000000004</v>
      </c>
      <c r="E39" s="100">
        <v>6.21</v>
      </c>
      <c r="F39" s="100">
        <v>0.88</v>
      </c>
      <c r="G39" s="100">
        <v>17.63</v>
      </c>
      <c r="H39" s="100">
        <v>8.11</v>
      </c>
      <c r="I39" s="100">
        <v>5.24</v>
      </c>
      <c r="J39" s="100">
        <v>0.97</v>
      </c>
      <c r="K39" s="100">
        <v>284.08999999999997</v>
      </c>
      <c r="L39" s="100">
        <v>23.92</v>
      </c>
      <c r="M39" s="100">
        <v>99.85</v>
      </c>
      <c r="N39" s="100">
        <v>49.8</v>
      </c>
      <c r="O39" s="100">
        <v>0.2</v>
      </c>
      <c r="P39" s="100">
        <v>0.34</v>
      </c>
      <c r="Q39" s="151" t="s">
        <v>8</v>
      </c>
      <c r="R39" s="6"/>
      <c r="S39" s="6"/>
      <c r="T39" s="156"/>
      <c r="U39" s="6"/>
    </row>
    <row r="40" spans="1:21" customFormat="1">
      <c r="A40" s="163" t="s">
        <v>2863</v>
      </c>
      <c r="B40" s="100">
        <v>7.3</v>
      </c>
      <c r="C40" s="100">
        <v>9.5</v>
      </c>
      <c r="D40" s="100">
        <v>4.3899999999999997</v>
      </c>
      <c r="E40" s="100">
        <v>6.45</v>
      </c>
      <c r="F40" s="100">
        <v>1.0900000000000001</v>
      </c>
      <c r="G40" s="100">
        <v>15.41</v>
      </c>
      <c r="H40" s="100">
        <v>7.41</v>
      </c>
      <c r="I40" s="100">
        <v>5.14</v>
      </c>
      <c r="J40" s="100">
        <v>0.78</v>
      </c>
      <c r="K40" s="100">
        <v>280.01</v>
      </c>
      <c r="L40" s="100">
        <v>24.02</v>
      </c>
      <c r="M40" s="100">
        <v>99.85</v>
      </c>
      <c r="N40" s="100">
        <v>45.9</v>
      </c>
      <c r="O40" s="100">
        <v>0.2</v>
      </c>
      <c r="P40" s="100">
        <v>0.33</v>
      </c>
      <c r="Q40" s="151" t="s">
        <v>8</v>
      </c>
      <c r="R40" s="6"/>
      <c r="S40" s="6"/>
      <c r="T40" s="156"/>
      <c r="U40" s="6"/>
    </row>
    <row r="41" spans="1:21" customFormat="1">
      <c r="A41" s="163" t="s">
        <v>2864</v>
      </c>
      <c r="B41" s="100">
        <v>7.23</v>
      </c>
      <c r="C41" s="100">
        <v>9.4600000000000009</v>
      </c>
      <c r="D41" s="100">
        <v>4.42</v>
      </c>
      <c r="E41" s="100">
        <v>6.38</v>
      </c>
      <c r="F41" s="100">
        <v>0.77</v>
      </c>
      <c r="G41" s="100">
        <v>15.41</v>
      </c>
      <c r="H41" s="100">
        <v>7.41</v>
      </c>
      <c r="I41" s="100">
        <v>5.09</v>
      </c>
      <c r="J41" s="100">
        <v>0.45</v>
      </c>
      <c r="K41" s="100">
        <v>280.31</v>
      </c>
      <c r="L41" s="100">
        <v>24.26</v>
      </c>
      <c r="M41" s="100">
        <v>99.85</v>
      </c>
      <c r="N41" s="100">
        <v>60.1</v>
      </c>
      <c r="O41" s="100">
        <v>0</v>
      </c>
      <c r="P41" s="100">
        <v>0.32</v>
      </c>
      <c r="Q41" s="151" t="s">
        <v>8</v>
      </c>
      <c r="R41" s="6"/>
      <c r="S41" s="6"/>
      <c r="T41" s="156"/>
      <c r="U41" s="6"/>
    </row>
    <row r="42" spans="1:21" customFormat="1">
      <c r="A42" s="163" t="s">
        <v>2865</v>
      </c>
      <c r="B42" s="100">
        <v>7.12</v>
      </c>
      <c r="C42" s="100">
        <v>9.36</v>
      </c>
      <c r="D42" s="100">
        <v>4.4000000000000004</v>
      </c>
      <c r="E42" s="100">
        <v>6.4</v>
      </c>
      <c r="F42" s="100">
        <v>0.36</v>
      </c>
      <c r="G42" s="100">
        <v>15.41</v>
      </c>
      <c r="H42" s="100">
        <v>7.41</v>
      </c>
      <c r="I42" s="100">
        <v>4.83</v>
      </c>
      <c r="J42" s="100">
        <v>0.5</v>
      </c>
      <c r="K42" s="100">
        <v>261.95999999999998</v>
      </c>
      <c r="L42" s="100">
        <v>24.6</v>
      </c>
      <c r="M42" s="100">
        <v>99.85</v>
      </c>
      <c r="N42" s="100">
        <v>91</v>
      </c>
      <c r="O42" s="100">
        <v>0</v>
      </c>
      <c r="P42" s="100">
        <v>0.32</v>
      </c>
      <c r="Q42" s="151" t="s">
        <v>8</v>
      </c>
      <c r="R42" s="6"/>
      <c r="S42" s="6"/>
      <c r="T42" s="156"/>
      <c r="U42" s="6"/>
    </row>
    <row r="43" spans="1:21" customFormat="1">
      <c r="A43" s="163" t="s">
        <v>2866</v>
      </c>
      <c r="B43" s="100">
        <v>7.02</v>
      </c>
      <c r="C43" s="100">
        <v>9.17</v>
      </c>
      <c r="D43" s="100">
        <v>4.2</v>
      </c>
      <c r="E43" s="100">
        <v>6.6</v>
      </c>
      <c r="F43" s="100">
        <v>0.46</v>
      </c>
      <c r="G43" s="100">
        <v>16.04</v>
      </c>
      <c r="H43" s="100">
        <v>6.04</v>
      </c>
      <c r="I43" s="100">
        <v>4.72</v>
      </c>
      <c r="J43" s="100">
        <v>0.45</v>
      </c>
      <c r="K43" s="100">
        <v>264.70999999999998</v>
      </c>
      <c r="L43" s="100">
        <v>24.89</v>
      </c>
      <c r="M43" s="100">
        <v>99.85</v>
      </c>
      <c r="N43" s="100">
        <v>140.6</v>
      </c>
      <c r="O43" s="100">
        <v>0.2</v>
      </c>
      <c r="P43" s="100">
        <v>0.34</v>
      </c>
      <c r="Q43" s="151" t="s">
        <v>8</v>
      </c>
      <c r="R43" s="6"/>
      <c r="S43" s="6"/>
      <c r="T43" s="156"/>
      <c r="U43" s="6"/>
    </row>
    <row r="44" spans="1:21" customFormat="1">
      <c r="A44" s="163" t="s">
        <v>2867</v>
      </c>
      <c r="B44" s="100">
        <v>7.23</v>
      </c>
      <c r="C44" s="100">
        <v>9.15</v>
      </c>
      <c r="D44" s="100">
        <v>3.83</v>
      </c>
      <c r="E44" s="100">
        <v>6.52</v>
      </c>
      <c r="F44" s="100">
        <v>0</v>
      </c>
      <c r="G44" s="100">
        <v>16.53</v>
      </c>
      <c r="H44" s="100">
        <v>5.6</v>
      </c>
      <c r="I44" s="100">
        <v>4.79</v>
      </c>
      <c r="J44" s="100">
        <v>0.54</v>
      </c>
      <c r="K44" s="100">
        <v>259.14</v>
      </c>
      <c r="L44" s="100">
        <v>25.29</v>
      </c>
      <c r="M44" s="100">
        <v>99.85</v>
      </c>
      <c r="N44" s="100">
        <v>168</v>
      </c>
      <c r="O44" s="100">
        <v>0</v>
      </c>
      <c r="P44" s="100">
        <v>0.34</v>
      </c>
      <c r="Q44" s="151" t="s">
        <v>8</v>
      </c>
      <c r="R44" s="6"/>
      <c r="S44" s="6"/>
      <c r="T44" s="156"/>
      <c r="U44" s="6"/>
    </row>
    <row r="45" spans="1:21" customFormat="1">
      <c r="A45" s="163" t="s">
        <v>2868</v>
      </c>
      <c r="B45" s="100">
        <v>7.33</v>
      </c>
      <c r="C45" s="100">
        <v>8.98</v>
      </c>
      <c r="D45" s="100">
        <v>3.34</v>
      </c>
      <c r="E45" s="100">
        <v>5.93</v>
      </c>
      <c r="F45" s="100">
        <v>0.02</v>
      </c>
      <c r="G45" s="100">
        <v>16.53</v>
      </c>
      <c r="H45" s="100">
        <v>5.6</v>
      </c>
      <c r="I45" s="100">
        <v>4.82</v>
      </c>
      <c r="J45" s="100">
        <v>0.62</v>
      </c>
      <c r="K45" s="100">
        <v>253.84</v>
      </c>
      <c r="L45" s="100">
        <v>25.65</v>
      </c>
      <c r="M45" s="100">
        <v>98.78</v>
      </c>
      <c r="N45" s="100">
        <v>180.1</v>
      </c>
      <c r="O45" s="100">
        <v>0</v>
      </c>
      <c r="P45" s="100">
        <v>0.31</v>
      </c>
      <c r="Q45" s="151" t="s">
        <v>8</v>
      </c>
      <c r="R45" s="6"/>
      <c r="S45" s="6"/>
      <c r="T45" s="156"/>
      <c r="U45" s="6"/>
    </row>
    <row r="46" spans="1:21" customFormat="1">
      <c r="A46" s="163" t="s">
        <v>2869</v>
      </c>
      <c r="B46" s="100">
        <v>7.17</v>
      </c>
      <c r="C46" s="100">
        <v>8.68</v>
      </c>
      <c r="D46" s="100">
        <v>3.03</v>
      </c>
      <c r="E46" s="100">
        <v>5.72</v>
      </c>
      <c r="F46" s="100">
        <v>0.33</v>
      </c>
      <c r="G46" s="100">
        <v>16.53</v>
      </c>
      <c r="H46" s="100">
        <v>5.6</v>
      </c>
      <c r="I46" s="100">
        <v>4.8099999999999996</v>
      </c>
      <c r="J46" s="100">
        <v>0.89</v>
      </c>
      <c r="K46" s="100">
        <v>259.39</v>
      </c>
      <c r="L46" s="100">
        <v>26.02</v>
      </c>
      <c r="M46" s="100">
        <v>93.63</v>
      </c>
      <c r="N46" s="100">
        <v>181.3</v>
      </c>
      <c r="O46" s="100">
        <v>0</v>
      </c>
      <c r="P46" s="100">
        <v>0.35</v>
      </c>
      <c r="Q46" s="151" t="s">
        <v>8</v>
      </c>
      <c r="R46" s="6"/>
      <c r="S46" s="6"/>
      <c r="T46" s="156"/>
      <c r="U46" s="6"/>
    </row>
    <row r="47" spans="1:21" customFormat="1">
      <c r="A47" s="163" t="s">
        <v>2870</v>
      </c>
      <c r="B47" s="100">
        <v>7.17</v>
      </c>
      <c r="C47" s="100">
        <v>8.69</v>
      </c>
      <c r="D47" s="100">
        <v>3.04</v>
      </c>
      <c r="E47" s="100">
        <v>5.91</v>
      </c>
      <c r="F47" s="100">
        <v>0</v>
      </c>
      <c r="G47" s="100">
        <v>15.9</v>
      </c>
      <c r="H47" s="100">
        <v>5.29</v>
      </c>
      <c r="I47" s="100">
        <v>4.8</v>
      </c>
      <c r="J47" s="100">
        <v>0.77</v>
      </c>
      <c r="K47" s="100">
        <v>286.2</v>
      </c>
      <c r="L47" s="100">
        <v>25.83</v>
      </c>
      <c r="M47" s="100">
        <v>90.11</v>
      </c>
      <c r="N47" s="100">
        <v>92.3</v>
      </c>
      <c r="O47" s="100">
        <v>0</v>
      </c>
      <c r="P47" s="100">
        <v>0.33</v>
      </c>
      <c r="Q47" s="151" t="s">
        <v>8</v>
      </c>
      <c r="R47" s="6"/>
      <c r="S47" s="6"/>
      <c r="T47" s="156"/>
      <c r="U47" s="6"/>
    </row>
    <row r="48" spans="1:21" customFormat="1">
      <c r="A48" s="163" t="s">
        <v>2871</v>
      </c>
      <c r="B48" s="100">
        <v>7.4</v>
      </c>
      <c r="C48" s="100">
        <v>8.81</v>
      </c>
      <c r="D48" s="100">
        <v>2.92</v>
      </c>
      <c r="E48" s="100">
        <v>5.75</v>
      </c>
      <c r="F48" s="100">
        <v>0.11</v>
      </c>
      <c r="G48" s="100">
        <v>15.42</v>
      </c>
      <c r="H48" s="100">
        <v>5.19</v>
      </c>
      <c r="I48" s="100">
        <v>4.95</v>
      </c>
      <c r="J48" s="100">
        <v>0.48</v>
      </c>
      <c r="K48" s="100">
        <v>284.81</v>
      </c>
      <c r="L48" s="100">
        <v>25.77</v>
      </c>
      <c r="M48" s="100">
        <v>90.45</v>
      </c>
      <c r="N48" s="100">
        <v>107.6</v>
      </c>
      <c r="O48" s="100">
        <v>0</v>
      </c>
      <c r="P48" s="100">
        <v>0.32</v>
      </c>
      <c r="Q48" s="151" t="s">
        <v>8</v>
      </c>
      <c r="R48" s="6"/>
      <c r="S48" s="6"/>
      <c r="T48" s="156"/>
      <c r="U48" s="6"/>
    </row>
    <row r="49" spans="1:21" customFormat="1">
      <c r="A49" s="163" t="s">
        <v>2872</v>
      </c>
      <c r="B49" s="100">
        <v>7.37</v>
      </c>
      <c r="C49" s="100">
        <v>8.77</v>
      </c>
      <c r="D49" s="100">
        <v>2.89</v>
      </c>
      <c r="E49" s="100">
        <v>4.63</v>
      </c>
      <c r="F49" s="100">
        <v>0.12</v>
      </c>
      <c r="G49" s="100">
        <v>15.42</v>
      </c>
      <c r="H49" s="100">
        <v>5.19</v>
      </c>
      <c r="I49" s="100">
        <v>4.95</v>
      </c>
      <c r="J49" s="100">
        <v>0.66</v>
      </c>
      <c r="K49" s="100">
        <v>257.13</v>
      </c>
      <c r="L49" s="100">
        <v>26.14</v>
      </c>
      <c r="M49" s="100">
        <v>89.6</v>
      </c>
      <c r="N49" s="100">
        <v>191.7</v>
      </c>
      <c r="O49" s="100">
        <v>0</v>
      </c>
      <c r="P49" s="100">
        <v>0.35</v>
      </c>
      <c r="Q49" s="151" t="s">
        <v>8</v>
      </c>
      <c r="R49" s="6"/>
      <c r="S49" s="6"/>
      <c r="T49" s="156"/>
      <c r="U49" s="6"/>
    </row>
    <row r="50" spans="1:21" customFormat="1">
      <c r="A50" s="163" t="s">
        <v>2873</v>
      </c>
      <c r="B50" s="100">
        <v>7.44</v>
      </c>
      <c r="C50" s="100">
        <v>8.83</v>
      </c>
      <c r="D50" s="100">
        <v>2.9</v>
      </c>
      <c r="E50" s="100">
        <v>5.66</v>
      </c>
      <c r="F50" s="100">
        <v>0</v>
      </c>
      <c r="G50" s="100">
        <v>15.42</v>
      </c>
      <c r="H50" s="100">
        <v>5.19</v>
      </c>
      <c r="I50" s="100">
        <v>4.92</v>
      </c>
      <c r="J50" s="100">
        <v>0.63</v>
      </c>
      <c r="K50" s="100">
        <v>266.82</v>
      </c>
      <c r="L50" s="100">
        <v>26.58</v>
      </c>
      <c r="M50" s="100">
        <v>88.48</v>
      </c>
      <c r="N50" s="100">
        <v>216.4</v>
      </c>
      <c r="O50" s="100">
        <v>0</v>
      </c>
      <c r="P50" s="100">
        <v>0.35</v>
      </c>
      <c r="Q50" s="151" t="s">
        <v>8</v>
      </c>
      <c r="R50" s="6"/>
      <c r="S50" s="6"/>
      <c r="T50" s="156"/>
      <c r="U50" s="6"/>
    </row>
    <row r="51" spans="1:21" customFormat="1">
      <c r="A51" s="163" t="s">
        <v>2874</v>
      </c>
      <c r="B51" s="100">
        <v>7.38</v>
      </c>
      <c r="C51" s="100">
        <v>8.7899999999999991</v>
      </c>
      <c r="D51" s="100">
        <v>2.92</v>
      </c>
      <c r="E51" s="100">
        <v>4</v>
      </c>
      <c r="F51" s="100">
        <v>0.54</v>
      </c>
      <c r="G51" s="100">
        <v>21.93</v>
      </c>
      <c r="H51" s="100">
        <v>8.84</v>
      </c>
      <c r="I51" s="100">
        <v>5.16</v>
      </c>
      <c r="J51" s="100">
        <v>0.79</v>
      </c>
      <c r="K51" s="100">
        <v>259.73</v>
      </c>
      <c r="L51" s="100">
        <v>26.98</v>
      </c>
      <c r="M51" s="100">
        <v>87.73</v>
      </c>
      <c r="N51" s="100">
        <v>241.6</v>
      </c>
      <c r="O51" s="100">
        <v>0</v>
      </c>
      <c r="P51" s="100">
        <v>0.37</v>
      </c>
      <c r="Q51" s="151" t="s">
        <v>8</v>
      </c>
      <c r="R51" s="6"/>
      <c r="S51" s="6"/>
      <c r="T51" s="156"/>
      <c r="U51" s="6"/>
    </row>
    <row r="52" spans="1:21" customFormat="1">
      <c r="A52" s="163" t="s">
        <v>2875</v>
      </c>
      <c r="B52" s="100">
        <v>7.17</v>
      </c>
      <c r="C52" s="100">
        <v>8.66</v>
      </c>
      <c r="D52" s="100">
        <v>2.98</v>
      </c>
      <c r="E52" s="100">
        <v>5.1100000000000003</v>
      </c>
      <c r="F52" s="100">
        <v>0.22</v>
      </c>
      <c r="G52" s="100">
        <v>26.91</v>
      </c>
      <c r="H52" s="100">
        <v>9.99</v>
      </c>
      <c r="I52" s="100">
        <v>5.51</v>
      </c>
      <c r="J52" s="100">
        <v>0.65</v>
      </c>
      <c r="K52" s="100">
        <v>261.55</v>
      </c>
      <c r="L52" s="100">
        <v>27.28</v>
      </c>
      <c r="M52" s="100">
        <v>87.73</v>
      </c>
      <c r="N52" s="100">
        <v>223</v>
      </c>
      <c r="O52" s="100">
        <v>0</v>
      </c>
      <c r="P52" s="100">
        <v>0.39</v>
      </c>
      <c r="Q52" s="151" t="s">
        <v>8</v>
      </c>
      <c r="R52" s="6"/>
      <c r="S52" s="6"/>
      <c r="T52" s="156"/>
      <c r="U52" s="6"/>
    </row>
    <row r="53" spans="1:21" customFormat="1">
      <c r="A53" s="163" t="s">
        <v>2876</v>
      </c>
      <c r="B53" s="100">
        <v>7.1</v>
      </c>
      <c r="C53" s="100">
        <v>8.61</v>
      </c>
      <c r="D53" s="100">
        <v>3</v>
      </c>
      <c r="E53" s="100">
        <v>5.39</v>
      </c>
      <c r="F53" s="100">
        <v>0</v>
      </c>
      <c r="G53" s="100">
        <v>26.91</v>
      </c>
      <c r="H53" s="100">
        <v>9.99</v>
      </c>
      <c r="I53" s="100">
        <v>5.88</v>
      </c>
      <c r="J53" s="100">
        <v>0.63</v>
      </c>
      <c r="K53" s="100">
        <v>259.68</v>
      </c>
      <c r="L53" s="100">
        <v>27.51</v>
      </c>
      <c r="M53" s="100">
        <v>87.41</v>
      </c>
      <c r="N53" s="100">
        <v>226.9</v>
      </c>
      <c r="O53" s="100">
        <v>0</v>
      </c>
      <c r="P53" s="100">
        <v>0.39</v>
      </c>
      <c r="Q53" s="151" t="s">
        <v>8</v>
      </c>
      <c r="R53" s="6"/>
      <c r="S53" s="6"/>
      <c r="T53" s="156"/>
      <c r="U53" s="6"/>
    </row>
    <row r="54" spans="1:21" customFormat="1">
      <c r="A54" s="163" t="s">
        <v>2877</v>
      </c>
      <c r="B54" s="100">
        <v>6.97</v>
      </c>
      <c r="C54" s="100">
        <v>8.4</v>
      </c>
      <c r="D54" s="100">
        <v>2.79</v>
      </c>
      <c r="E54" s="100">
        <v>5.16</v>
      </c>
      <c r="F54" s="100">
        <v>0.79</v>
      </c>
      <c r="G54" s="100">
        <v>26.91</v>
      </c>
      <c r="H54" s="100">
        <v>9.99</v>
      </c>
      <c r="I54" s="100">
        <v>6.09</v>
      </c>
      <c r="J54" s="100">
        <v>0.82</v>
      </c>
      <c r="K54" s="100">
        <v>264.26</v>
      </c>
      <c r="L54" s="100">
        <v>27.66</v>
      </c>
      <c r="M54" s="100">
        <v>86.29</v>
      </c>
      <c r="N54" s="100">
        <v>257</v>
      </c>
      <c r="O54" s="100">
        <v>0</v>
      </c>
      <c r="P54" s="100">
        <v>0.38</v>
      </c>
      <c r="Q54" s="151" t="s">
        <v>8</v>
      </c>
      <c r="R54" s="6"/>
      <c r="S54" s="6"/>
      <c r="T54" s="156"/>
      <c r="U54" s="6"/>
    </row>
    <row r="55" spans="1:21" customFormat="1">
      <c r="A55" s="163" t="s">
        <v>2878</v>
      </c>
      <c r="B55" s="100">
        <v>6.61</v>
      </c>
      <c r="C55" s="100">
        <v>8.19</v>
      </c>
      <c r="D55" s="100">
        <v>2.95</v>
      </c>
      <c r="E55" s="100">
        <v>4.9000000000000004</v>
      </c>
      <c r="F55" s="100">
        <v>1.94</v>
      </c>
      <c r="G55" s="100">
        <v>30.54</v>
      </c>
      <c r="H55" s="100">
        <v>11.78</v>
      </c>
      <c r="I55" s="100">
        <v>6.07</v>
      </c>
      <c r="J55" s="100">
        <v>0.38</v>
      </c>
      <c r="K55" s="100">
        <v>261</v>
      </c>
      <c r="L55" s="100">
        <v>28.18</v>
      </c>
      <c r="M55" s="100">
        <v>86.2</v>
      </c>
      <c r="N55" s="100">
        <v>242.7</v>
      </c>
      <c r="O55" s="100">
        <v>0</v>
      </c>
      <c r="P55" s="100">
        <v>0.41</v>
      </c>
      <c r="Q55" s="151" t="s">
        <v>8</v>
      </c>
      <c r="R55" s="6"/>
      <c r="S55" s="6"/>
      <c r="T55" s="156"/>
      <c r="U55" s="6"/>
    </row>
    <row r="56" spans="1:21" customFormat="1">
      <c r="A56" s="163" t="s">
        <v>2879</v>
      </c>
      <c r="B56" s="100">
        <v>6.57</v>
      </c>
      <c r="C56" s="100">
        <v>8.15</v>
      </c>
      <c r="D56" s="100">
        <v>2.94</v>
      </c>
      <c r="E56" s="100">
        <v>5.19</v>
      </c>
      <c r="F56" s="100">
        <v>0.23</v>
      </c>
      <c r="G56" s="100">
        <v>33.32</v>
      </c>
      <c r="H56" s="100">
        <v>12.84</v>
      </c>
      <c r="I56" s="100">
        <v>5.99</v>
      </c>
      <c r="J56" s="100">
        <v>0.61</v>
      </c>
      <c r="K56" s="100">
        <v>259.37</v>
      </c>
      <c r="L56" s="100">
        <v>28.56</v>
      </c>
      <c r="M56" s="100">
        <v>83.72</v>
      </c>
      <c r="N56" s="100">
        <v>288.3</v>
      </c>
      <c r="O56" s="100">
        <v>0</v>
      </c>
      <c r="P56" s="100">
        <v>0.39</v>
      </c>
      <c r="Q56" s="151" t="s">
        <v>8</v>
      </c>
      <c r="R56" s="6"/>
      <c r="S56" s="6"/>
      <c r="T56" s="156"/>
      <c r="U56" s="6"/>
    </row>
    <row r="57" spans="1:21" customFormat="1">
      <c r="A57" s="163" t="s">
        <v>2880</v>
      </c>
      <c r="B57" s="100">
        <v>6.46</v>
      </c>
      <c r="C57" s="100">
        <v>8.07</v>
      </c>
      <c r="D57" s="100">
        <v>2.94</v>
      </c>
      <c r="E57" s="100">
        <v>5.41</v>
      </c>
      <c r="F57" s="100">
        <v>0.48</v>
      </c>
      <c r="G57" s="100">
        <v>33.32</v>
      </c>
      <c r="H57" s="100">
        <v>12.84</v>
      </c>
      <c r="I57" s="100">
        <v>6.24</v>
      </c>
      <c r="J57" s="100">
        <v>0.99</v>
      </c>
      <c r="K57" s="100">
        <v>280.42</v>
      </c>
      <c r="L57" s="100">
        <v>28.71</v>
      </c>
      <c r="M57" s="100">
        <v>81.47</v>
      </c>
      <c r="N57" s="100">
        <v>291.5</v>
      </c>
      <c r="O57" s="100">
        <v>0</v>
      </c>
      <c r="P57" s="100">
        <v>0.39</v>
      </c>
      <c r="Q57" s="151" t="s">
        <v>8</v>
      </c>
      <c r="R57" s="6"/>
      <c r="S57" s="6"/>
      <c r="T57" s="156"/>
      <c r="U57" s="6"/>
    </row>
    <row r="58" spans="1:21" customFormat="1">
      <c r="A58" s="163" t="s">
        <v>2881</v>
      </c>
      <c r="B58" s="100">
        <v>6.27</v>
      </c>
      <c r="C58" s="100">
        <v>8.0399999999999991</v>
      </c>
      <c r="D58" s="100">
        <v>3.18</v>
      </c>
      <c r="E58" s="100">
        <v>5.37</v>
      </c>
      <c r="F58" s="100">
        <v>0.04</v>
      </c>
      <c r="G58" s="100">
        <v>33.32</v>
      </c>
      <c r="H58" s="100">
        <v>12.84</v>
      </c>
      <c r="I58" s="100">
        <v>6.51</v>
      </c>
      <c r="J58" s="100">
        <v>0.77</v>
      </c>
      <c r="K58" s="100">
        <v>267.13</v>
      </c>
      <c r="L58" s="100">
        <v>28.59</v>
      </c>
      <c r="M58" s="100">
        <v>82.09</v>
      </c>
      <c r="N58" s="100">
        <v>279.7</v>
      </c>
      <c r="O58" s="100">
        <v>0</v>
      </c>
      <c r="P58" s="100">
        <v>0.43</v>
      </c>
      <c r="Q58" s="151" t="s">
        <v>8</v>
      </c>
      <c r="R58" s="6"/>
      <c r="S58" s="6"/>
      <c r="T58" s="156"/>
      <c r="U58" s="6"/>
    </row>
    <row r="59" spans="1:21" customFormat="1">
      <c r="A59" s="163" t="s">
        <v>2882</v>
      </c>
      <c r="B59" s="100">
        <v>6.26</v>
      </c>
      <c r="C59" s="100">
        <v>8.11</v>
      </c>
      <c r="D59" s="100">
        <v>3.33</v>
      </c>
      <c r="E59" s="100">
        <v>5.61</v>
      </c>
      <c r="F59" s="100">
        <v>1.23</v>
      </c>
      <c r="G59" s="100">
        <v>35.43</v>
      </c>
      <c r="H59" s="100">
        <v>11.68</v>
      </c>
      <c r="I59" s="100">
        <v>6.71</v>
      </c>
      <c r="J59" s="100">
        <v>0.81</v>
      </c>
      <c r="K59" s="100">
        <v>264.10000000000002</v>
      </c>
      <c r="L59" s="100">
        <v>28.93</v>
      </c>
      <c r="M59" s="100">
        <v>80.86</v>
      </c>
      <c r="N59" s="100">
        <v>328.3</v>
      </c>
      <c r="O59" s="100">
        <v>0</v>
      </c>
      <c r="P59" s="100">
        <v>0.43</v>
      </c>
      <c r="Q59" s="151" t="s">
        <v>8</v>
      </c>
      <c r="R59" s="6"/>
      <c r="S59" s="6"/>
      <c r="T59" s="156"/>
      <c r="U59" s="6"/>
    </row>
    <row r="60" spans="1:21" customFormat="1">
      <c r="A60" s="163" t="s">
        <v>2883</v>
      </c>
      <c r="B60" s="100">
        <v>6.02</v>
      </c>
      <c r="C60" s="100">
        <v>7.93</v>
      </c>
      <c r="D60" s="100">
        <v>3.34</v>
      </c>
      <c r="E60" s="100">
        <v>5.2</v>
      </c>
      <c r="F60" s="100">
        <v>1.96</v>
      </c>
      <c r="G60" s="100">
        <v>37.04</v>
      </c>
      <c r="H60" s="100">
        <v>11.32</v>
      </c>
      <c r="I60" s="100">
        <v>6.91</v>
      </c>
      <c r="J60" s="100">
        <v>0.79</v>
      </c>
      <c r="K60" s="100">
        <v>255.68</v>
      </c>
      <c r="L60" s="100">
        <v>29.1</v>
      </c>
      <c r="M60" s="100">
        <v>79.790000000000006</v>
      </c>
      <c r="N60" s="100">
        <v>340.5</v>
      </c>
      <c r="O60" s="100">
        <v>0</v>
      </c>
      <c r="P60" s="100">
        <v>0.42</v>
      </c>
      <c r="Q60" s="151" t="s">
        <v>8</v>
      </c>
      <c r="R60" s="6"/>
      <c r="S60" s="6"/>
      <c r="T60" s="156"/>
      <c r="U60" s="6"/>
    </row>
    <row r="61" spans="1:21" customFormat="1">
      <c r="A61" s="163" t="s">
        <v>2884</v>
      </c>
      <c r="B61" s="100">
        <v>5.73</v>
      </c>
      <c r="C61" s="100">
        <v>7.73</v>
      </c>
      <c r="D61" s="100">
        <v>3.42</v>
      </c>
      <c r="E61" s="100">
        <v>5.24</v>
      </c>
      <c r="F61" s="100">
        <v>1.3</v>
      </c>
      <c r="G61" s="100">
        <v>37.04</v>
      </c>
      <c r="H61" s="100">
        <v>11.32</v>
      </c>
      <c r="I61" s="100">
        <v>7</v>
      </c>
      <c r="J61" s="100">
        <v>0.62</v>
      </c>
      <c r="K61" s="100">
        <v>264.89</v>
      </c>
      <c r="L61" s="100">
        <v>29.39</v>
      </c>
      <c r="M61" s="100">
        <v>79.91</v>
      </c>
      <c r="N61" s="100">
        <v>251.3</v>
      </c>
      <c r="O61" s="100">
        <v>0</v>
      </c>
      <c r="P61" s="100">
        <v>0.43</v>
      </c>
      <c r="Q61" s="151" t="s">
        <v>8</v>
      </c>
      <c r="R61" s="6"/>
      <c r="S61" s="6"/>
      <c r="T61" s="156"/>
      <c r="U61" s="6"/>
    </row>
    <row r="62" spans="1:21" customFormat="1">
      <c r="A62" s="163" t="s">
        <v>2885</v>
      </c>
      <c r="B62" s="100">
        <v>5.47</v>
      </c>
      <c r="C62" s="100">
        <v>7.74</v>
      </c>
      <c r="D62" s="100">
        <v>3.83</v>
      </c>
      <c r="E62" s="100">
        <v>5.0199999999999996</v>
      </c>
      <c r="F62" s="100">
        <v>1.4</v>
      </c>
      <c r="G62" s="100">
        <v>37.04</v>
      </c>
      <c r="H62" s="100">
        <v>11.32</v>
      </c>
      <c r="I62" s="100">
        <v>7.27</v>
      </c>
      <c r="J62" s="100">
        <v>0.84</v>
      </c>
      <c r="K62" s="100">
        <v>267.74</v>
      </c>
      <c r="L62" s="100">
        <v>29.34</v>
      </c>
      <c r="M62" s="100">
        <v>78.290000000000006</v>
      </c>
      <c r="N62" s="100">
        <v>253.1</v>
      </c>
      <c r="O62" s="100">
        <v>0</v>
      </c>
      <c r="P62" s="100">
        <v>0.42</v>
      </c>
      <c r="Q62" s="151" t="s">
        <v>8</v>
      </c>
      <c r="R62" s="6"/>
      <c r="S62" s="6"/>
      <c r="T62" s="156"/>
      <c r="U62" s="6"/>
    </row>
    <row r="63" spans="1:21" customFormat="1">
      <c r="A63" s="163" t="s">
        <v>2886</v>
      </c>
      <c r="B63" s="100">
        <v>5.16</v>
      </c>
      <c r="C63" s="100">
        <v>7.95</v>
      </c>
      <c r="D63" s="100">
        <v>4.7</v>
      </c>
      <c r="E63" s="100">
        <v>4.8600000000000003</v>
      </c>
      <c r="F63" s="100">
        <v>0.21</v>
      </c>
      <c r="G63" s="100">
        <v>39.04</v>
      </c>
      <c r="H63" s="100">
        <v>14.01</v>
      </c>
      <c r="I63" s="100">
        <v>7.26</v>
      </c>
      <c r="J63" s="100">
        <v>0.94</v>
      </c>
      <c r="K63" s="100">
        <v>256.58</v>
      </c>
      <c r="L63" s="100">
        <v>29.87</v>
      </c>
      <c r="M63" s="100">
        <v>73.510000000000005</v>
      </c>
      <c r="N63" s="100">
        <v>399.6</v>
      </c>
      <c r="O63" s="100">
        <v>0</v>
      </c>
      <c r="P63" s="100">
        <v>0.39</v>
      </c>
      <c r="Q63" s="151" t="s">
        <v>8</v>
      </c>
      <c r="R63" s="6"/>
      <c r="S63" s="6"/>
      <c r="T63" s="156"/>
      <c r="U63" s="6"/>
    </row>
    <row r="64" spans="1:21" customFormat="1">
      <c r="A64" s="163" t="s">
        <v>2887</v>
      </c>
      <c r="B64" s="100">
        <v>4.7300000000000004</v>
      </c>
      <c r="C64" s="100">
        <v>7.68</v>
      </c>
      <c r="D64" s="100">
        <v>4.84</v>
      </c>
      <c r="E64" s="100">
        <v>4.5599999999999996</v>
      </c>
      <c r="F64" s="100">
        <v>0.53</v>
      </c>
      <c r="G64" s="100">
        <v>40.57</v>
      </c>
      <c r="H64" s="100">
        <v>14.86</v>
      </c>
      <c r="I64" s="100">
        <v>7.24</v>
      </c>
      <c r="J64" s="100">
        <v>1.24</v>
      </c>
      <c r="K64" s="100">
        <v>279.58999999999997</v>
      </c>
      <c r="L64" s="100">
        <v>30.08</v>
      </c>
      <c r="M64" s="100">
        <v>71.67</v>
      </c>
      <c r="N64" s="100">
        <v>377.7</v>
      </c>
      <c r="O64" s="100">
        <v>0</v>
      </c>
      <c r="P64" s="100">
        <v>0.38</v>
      </c>
      <c r="Q64" s="151" t="s">
        <v>8</v>
      </c>
      <c r="R64" s="6"/>
      <c r="S64" s="6"/>
      <c r="T64" s="156"/>
      <c r="U64" s="6"/>
    </row>
    <row r="65" spans="1:21" customFormat="1">
      <c r="A65" s="163" t="s">
        <v>2888</v>
      </c>
      <c r="B65" s="100">
        <v>4.4800000000000004</v>
      </c>
      <c r="C65" s="100">
        <v>7.57</v>
      </c>
      <c r="D65" s="100">
        <v>5.0199999999999996</v>
      </c>
      <c r="E65" s="100">
        <v>4.9000000000000004</v>
      </c>
      <c r="F65" s="100">
        <v>0.53</v>
      </c>
      <c r="G65" s="100">
        <v>40.57</v>
      </c>
      <c r="H65" s="100">
        <v>14.86</v>
      </c>
      <c r="I65" s="100">
        <v>7.11</v>
      </c>
      <c r="J65" s="100">
        <v>1.1499999999999999</v>
      </c>
      <c r="K65" s="100">
        <v>272.07</v>
      </c>
      <c r="L65" s="100">
        <v>29.74</v>
      </c>
      <c r="M65" s="100">
        <v>72.099999999999994</v>
      </c>
      <c r="N65" s="100">
        <v>250.5</v>
      </c>
      <c r="O65" s="100">
        <v>0</v>
      </c>
      <c r="P65" s="100">
        <v>0.41</v>
      </c>
      <c r="Q65" s="151" t="s">
        <v>8</v>
      </c>
      <c r="R65" s="6"/>
      <c r="S65" s="6"/>
      <c r="T65" s="156"/>
      <c r="U65" s="6"/>
    </row>
    <row r="66" spans="1:21" customFormat="1">
      <c r="A66" s="163" t="s">
        <v>2889</v>
      </c>
      <c r="B66" s="100">
        <v>4.32</v>
      </c>
      <c r="C66" s="100">
        <v>7.44</v>
      </c>
      <c r="D66" s="100">
        <v>5.0199999999999996</v>
      </c>
      <c r="E66" s="100">
        <v>4.8</v>
      </c>
      <c r="F66" s="100">
        <v>0.83</v>
      </c>
      <c r="G66" s="100">
        <v>40.57</v>
      </c>
      <c r="H66" s="100">
        <v>14.86</v>
      </c>
      <c r="I66" s="100">
        <v>6.9</v>
      </c>
      <c r="J66" s="100">
        <v>0.96</v>
      </c>
      <c r="K66" s="100">
        <v>278.18</v>
      </c>
      <c r="L66" s="100">
        <v>29.63</v>
      </c>
      <c r="M66" s="100">
        <v>73.599999999999994</v>
      </c>
      <c r="N66" s="100">
        <v>195.6</v>
      </c>
      <c r="O66" s="100">
        <v>0</v>
      </c>
      <c r="P66" s="100">
        <v>0.44</v>
      </c>
      <c r="Q66" s="151" t="s">
        <v>8</v>
      </c>
      <c r="R66" s="6"/>
      <c r="S66" s="6"/>
      <c r="T66" s="156"/>
      <c r="U66" s="6"/>
    </row>
    <row r="67" spans="1:21" customFormat="1">
      <c r="A67" s="163" t="s">
        <v>2890</v>
      </c>
      <c r="B67" s="100">
        <v>4.1100000000000003</v>
      </c>
      <c r="C67" s="100">
        <v>7.3</v>
      </c>
      <c r="D67" s="100">
        <v>5.07</v>
      </c>
      <c r="E67" s="100">
        <v>5.27</v>
      </c>
      <c r="F67" s="100">
        <v>1.01</v>
      </c>
      <c r="G67" s="100">
        <v>45.52</v>
      </c>
      <c r="H67" s="100">
        <v>16.309999999999999</v>
      </c>
      <c r="I67" s="100">
        <v>6.76</v>
      </c>
      <c r="J67" s="100">
        <v>1.07</v>
      </c>
      <c r="K67" s="100">
        <v>260.52999999999997</v>
      </c>
      <c r="L67" s="100">
        <v>29.42</v>
      </c>
      <c r="M67" s="100">
        <v>74.66</v>
      </c>
      <c r="N67" s="100">
        <v>212.9</v>
      </c>
      <c r="O67" s="100">
        <v>0</v>
      </c>
      <c r="P67" s="100">
        <v>0.44</v>
      </c>
      <c r="Q67" s="151" t="s">
        <v>8</v>
      </c>
      <c r="R67" s="6"/>
      <c r="S67" s="6"/>
      <c r="T67" s="156"/>
      <c r="U67" s="6"/>
    </row>
    <row r="68" spans="1:21" customFormat="1">
      <c r="A68" s="163" t="s">
        <v>2891</v>
      </c>
      <c r="B68" s="100">
        <v>3.94</v>
      </c>
      <c r="C68" s="100">
        <v>7.1</v>
      </c>
      <c r="D68" s="100">
        <v>4.95</v>
      </c>
      <c r="E68" s="100">
        <v>5.69</v>
      </c>
      <c r="F68" s="100">
        <v>1.01</v>
      </c>
      <c r="G68" s="100">
        <v>49.3</v>
      </c>
      <c r="H68" s="100">
        <v>16.77</v>
      </c>
      <c r="I68" s="100">
        <v>6.77</v>
      </c>
      <c r="J68" s="100">
        <v>0.91</v>
      </c>
      <c r="K68" s="100">
        <v>259.3</v>
      </c>
      <c r="L68" s="100">
        <v>29.21</v>
      </c>
      <c r="M68" s="100">
        <v>74.22</v>
      </c>
      <c r="N68" s="100">
        <v>152.80000000000001</v>
      </c>
      <c r="O68" s="100">
        <v>0</v>
      </c>
      <c r="P68" s="100">
        <v>0.44</v>
      </c>
      <c r="Q68" s="151" t="s">
        <v>8</v>
      </c>
      <c r="R68" s="6"/>
      <c r="S68" s="6"/>
      <c r="T68" s="156"/>
      <c r="U68" s="6"/>
    </row>
    <row r="69" spans="1:21" customFormat="1">
      <c r="A69" s="163" t="s">
        <v>2892</v>
      </c>
      <c r="B69" s="100">
        <v>3.84</v>
      </c>
      <c r="C69" s="100">
        <v>6.96</v>
      </c>
      <c r="D69" s="100">
        <v>4.84</v>
      </c>
      <c r="E69" s="100">
        <v>5.37</v>
      </c>
      <c r="F69" s="100">
        <v>0.86</v>
      </c>
      <c r="G69" s="100">
        <v>49.3</v>
      </c>
      <c r="H69" s="100">
        <v>16.77</v>
      </c>
      <c r="I69" s="100">
        <v>6.77</v>
      </c>
      <c r="J69" s="100">
        <v>0.96</v>
      </c>
      <c r="K69" s="100">
        <v>263.54000000000002</v>
      </c>
      <c r="L69" s="100">
        <v>29.01</v>
      </c>
      <c r="M69" s="100">
        <v>74.33</v>
      </c>
      <c r="N69" s="100">
        <v>115.6</v>
      </c>
      <c r="O69" s="100">
        <v>0</v>
      </c>
      <c r="P69" s="100">
        <v>0.46</v>
      </c>
      <c r="Q69" s="151" t="s">
        <v>8</v>
      </c>
      <c r="R69" s="6"/>
      <c r="S69" s="6"/>
      <c r="T69" s="156"/>
      <c r="U69" s="6"/>
    </row>
    <row r="70" spans="1:21" customFormat="1">
      <c r="A70" s="163" t="s">
        <v>2893</v>
      </c>
      <c r="B70" s="100">
        <v>3.76</v>
      </c>
      <c r="C70" s="100">
        <v>6.86</v>
      </c>
      <c r="D70" s="100">
        <v>4.7699999999999996</v>
      </c>
      <c r="E70" s="100">
        <v>5.33</v>
      </c>
      <c r="F70" s="100">
        <v>1.07</v>
      </c>
      <c r="G70" s="100">
        <v>49.3</v>
      </c>
      <c r="H70" s="100">
        <v>16.77</v>
      </c>
      <c r="I70" s="100">
        <v>6.7</v>
      </c>
      <c r="J70" s="100">
        <v>0.96</v>
      </c>
      <c r="K70" s="100">
        <v>262.47000000000003</v>
      </c>
      <c r="L70" s="100">
        <v>28.86</v>
      </c>
      <c r="M70" s="100">
        <v>74.180000000000007</v>
      </c>
      <c r="N70" s="100">
        <v>131.9</v>
      </c>
      <c r="O70" s="100">
        <v>0</v>
      </c>
      <c r="P70" s="100">
        <v>0.47</v>
      </c>
      <c r="Q70" s="151" t="s">
        <v>8</v>
      </c>
      <c r="R70" s="6"/>
      <c r="S70" s="6"/>
      <c r="T70" s="156"/>
      <c r="U70" s="6"/>
    </row>
    <row r="71" spans="1:21" customFormat="1">
      <c r="A71" s="163" t="s">
        <v>2894</v>
      </c>
      <c r="B71" s="100">
        <v>3.73</v>
      </c>
      <c r="C71" s="100">
        <v>6.8</v>
      </c>
      <c r="D71" s="100">
        <v>4.72</v>
      </c>
      <c r="E71" s="100">
        <v>5.24</v>
      </c>
      <c r="F71" s="100">
        <v>0.83</v>
      </c>
      <c r="G71" s="100">
        <v>47.51</v>
      </c>
      <c r="H71" s="100">
        <v>14.91</v>
      </c>
      <c r="I71" s="100">
        <v>6.92</v>
      </c>
      <c r="J71" s="100">
        <v>1.2</v>
      </c>
      <c r="K71" s="100">
        <v>279.61</v>
      </c>
      <c r="L71" s="100">
        <v>28.39</v>
      </c>
      <c r="M71" s="100">
        <v>77.37</v>
      </c>
      <c r="N71" s="100">
        <v>57.7</v>
      </c>
      <c r="O71" s="100">
        <v>0</v>
      </c>
      <c r="P71" s="100">
        <v>0.47</v>
      </c>
      <c r="Q71" s="151" t="s">
        <v>8</v>
      </c>
      <c r="R71" s="6"/>
      <c r="S71" s="6"/>
      <c r="T71" s="156"/>
      <c r="U71" s="6"/>
    </row>
    <row r="72" spans="1:21" customFormat="1">
      <c r="A72" s="163" t="s">
        <v>2895</v>
      </c>
      <c r="B72" s="100">
        <v>3.83</v>
      </c>
      <c r="C72" s="100">
        <v>6.85</v>
      </c>
      <c r="D72" s="100">
        <v>4.6500000000000004</v>
      </c>
      <c r="E72" s="100">
        <v>5.16</v>
      </c>
      <c r="F72" s="100">
        <v>0.74</v>
      </c>
      <c r="G72" s="100">
        <v>46.14</v>
      </c>
      <c r="H72" s="100">
        <v>14.32</v>
      </c>
      <c r="I72" s="100">
        <v>7.26</v>
      </c>
      <c r="J72" s="100">
        <v>1.83</v>
      </c>
      <c r="K72" s="100">
        <v>298.82</v>
      </c>
      <c r="L72" s="100">
        <v>27.58</v>
      </c>
      <c r="M72" s="100">
        <v>72.349999999999994</v>
      </c>
      <c r="N72" s="100">
        <v>92.5</v>
      </c>
      <c r="O72" s="100">
        <v>0</v>
      </c>
      <c r="P72" s="100">
        <v>0.47</v>
      </c>
      <c r="Q72" s="151" t="s">
        <v>8</v>
      </c>
      <c r="R72" s="6"/>
      <c r="S72" s="6"/>
      <c r="T72" s="156"/>
      <c r="U72" s="6"/>
    </row>
    <row r="73" spans="1:21" customFormat="1">
      <c r="A73" s="163" t="s">
        <v>2896</v>
      </c>
      <c r="B73" s="100">
        <v>4.05</v>
      </c>
      <c r="C73" s="100">
        <v>7.06</v>
      </c>
      <c r="D73" s="100">
        <v>4.7</v>
      </c>
      <c r="E73" s="100">
        <v>5.35</v>
      </c>
      <c r="F73" s="100">
        <v>0.76</v>
      </c>
      <c r="G73" s="100">
        <v>46.14</v>
      </c>
      <c r="H73" s="100">
        <v>14.32</v>
      </c>
      <c r="I73" s="100">
        <v>7.11</v>
      </c>
      <c r="J73" s="100">
        <v>1.1200000000000001</v>
      </c>
      <c r="K73" s="100">
        <v>301.07</v>
      </c>
      <c r="L73" s="100">
        <v>27.03</v>
      </c>
      <c r="M73" s="100">
        <v>75.8</v>
      </c>
      <c r="N73" s="100">
        <v>55</v>
      </c>
      <c r="O73" s="100">
        <v>0</v>
      </c>
      <c r="P73" s="100">
        <v>0.45</v>
      </c>
      <c r="Q73" s="151" t="s">
        <v>8</v>
      </c>
      <c r="R73" s="6"/>
      <c r="S73" s="6"/>
      <c r="T73" s="156"/>
      <c r="U73" s="6"/>
    </row>
    <row r="74" spans="1:21" customFormat="1">
      <c r="A74" s="163" t="s">
        <v>2897</v>
      </c>
      <c r="B74" s="100">
        <v>4.25</v>
      </c>
      <c r="C74" s="100">
        <v>7.27</v>
      </c>
      <c r="D74" s="100">
        <v>4.8</v>
      </c>
      <c r="E74" s="100">
        <v>5.32</v>
      </c>
      <c r="F74" s="100">
        <v>0.71</v>
      </c>
      <c r="G74" s="100">
        <v>46.14</v>
      </c>
      <c r="H74" s="100">
        <v>14.32</v>
      </c>
      <c r="I74" s="100">
        <v>6.92</v>
      </c>
      <c r="J74" s="100">
        <v>0.85</v>
      </c>
      <c r="K74" s="100">
        <v>279.68</v>
      </c>
      <c r="L74" s="100">
        <v>26.75</v>
      </c>
      <c r="M74" s="100">
        <v>76.67</v>
      </c>
      <c r="N74" s="100">
        <v>45.1</v>
      </c>
      <c r="O74" s="100">
        <v>0</v>
      </c>
      <c r="P74" s="100">
        <v>0.44</v>
      </c>
      <c r="Q74" s="151" t="s">
        <v>8</v>
      </c>
      <c r="R74" s="6"/>
      <c r="S74" s="6"/>
      <c r="T74" s="156"/>
      <c r="U74" s="6"/>
    </row>
    <row r="75" spans="1:21" customFormat="1">
      <c r="A75" s="163" t="s">
        <v>2898</v>
      </c>
      <c r="B75" s="100">
        <v>4.24</v>
      </c>
      <c r="C75" s="100">
        <v>7.25</v>
      </c>
      <c r="D75" s="100">
        <v>4.78</v>
      </c>
      <c r="E75" s="100">
        <v>5.28</v>
      </c>
      <c r="F75" s="100">
        <v>0.67</v>
      </c>
      <c r="G75" s="100">
        <v>44</v>
      </c>
      <c r="H75" s="100">
        <v>13.77</v>
      </c>
      <c r="I75" s="100">
        <v>6.67</v>
      </c>
      <c r="J75" s="100">
        <v>0.72</v>
      </c>
      <c r="K75" s="100">
        <v>254.84</v>
      </c>
      <c r="L75" s="100">
        <v>26.24</v>
      </c>
      <c r="M75" s="100">
        <v>80.150000000000006</v>
      </c>
      <c r="N75" s="100">
        <v>31.9</v>
      </c>
      <c r="O75" s="100">
        <v>0</v>
      </c>
      <c r="P75" s="100">
        <v>0.44</v>
      </c>
      <c r="Q75" s="151" t="s">
        <v>8</v>
      </c>
      <c r="R75" s="6"/>
      <c r="S75" s="6"/>
      <c r="T75" s="156"/>
      <c r="U75" s="6"/>
    </row>
    <row r="76" spans="1:21" customFormat="1">
      <c r="A76" s="163" t="s">
        <v>2899</v>
      </c>
      <c r="B76" s="100">
        <v>4.2</v>
      </c>
      <c r="C76" s="100">
        <v>7.19</v>
      </c>
      <c r="D76" s="100">
        <v>4.7300000000000004</v>
      </c>
      <c r="E76" s="100">
        <v>5.38</v>
      </c>
      <c r="F76" s="100">
        <v>0.65</v>
      </c>
      <c r="G76" s="100">
        <v>42.44</v>
      </c>
      <c r="H76" s="100">
        <v>13.6</v>
      </c>
      <c r="I76" s="100">
        <v>6.45</v>
      </c>
      <c r="J76" s="100">
        <v>0.38</v>
      </c>
      <c r="K76" s="100">
        <v>264.32</v>
      </c>
      <c r="L76" s="100">
        <v>25.67</v>
      </c>
      <c r="M76" s="100">
        <v>86.29</v>
      </c>
      <c r="N76" s="100">
        <v>24</v>
      </c>
      <c r="O76" s="100">
        <v>0.2</v>
      </c>
      <c r="P76" s="100">
        <v>0.43</v>
      </c>
      <c r="Q76" s="151" t="s">
        <v>8</v>
      </c>
      <c r="R76" s="6"/>
      <c r="S76" s="6"/>
      <c r="T76" s="156"/>
      <c r="U76" s="6"/>
    </row>
    <row r="77" spans="1:21" customFormat="1">
      <c r="A77" s="163" t="s">
        <v>2900</v>
      </c>
      <c r="B77" s="100">
        <v>4.12</v>
      </c>
      <c r="C77" s="100">
        <v>7.07</v>
      </c>
      <c r="D77" s="100">
        <v>4.62</v>
      </c>
      <c r="E77" s="100">
        <v>5.44</v>
      </c>
      <c r="F77" s="100">
        <v>0.74</v>
      </c>
      <c r="G77" s="100">
        <v>42.44</v>
      </c>
      <c r="H77" s="100">
        <v>13.6</v>
      </c>
      <c r="I77" s="100">
        <v>6.29</v>
      </c>
      <c r="J77" s="100">
        <v>0.28000000000000003</v>
      </c>
      <c r="K77" s="100">
        <v>261.99</v>
      </c>
      <c r="L77" s="100">
        <v>25.41</v>
      </c>
      <c r="M77" s="100">
        <v>89.36</v>
      </c>
      <c r="N77" s="100">
        <v>19.399999999999999</v>
      </c>
      <c r="O77" s="100">
        <v>0</v>
      </c>
      <c r="P77" s="100">
        <v>0.42</v>
      </c>
      <c r="Q77" s="151" t="s">
        <v>8</v>
      </c>
      <c r="R77" s="6"/>
      <c r="S77" s="6"/>
      <c r="T77" s="156"/>
      <c r="U77" s="6"/>
    </row>
    <row r="78" spans="1:21" customFormat="1">
      <c r="A78" s="163" t="s">
        <v>2901</v>
      </c>
      <c r="B78" s="100">
        <v>4.07</v>
      </c>
      <c r="C78" s="100">
        <v>6.96</v>
      </c>
      <c r="D78" s="100">
        <v>4.4800000000000004</v>
      </c>
      <c r="E78" s="100">
        <v>5.6</v>
      </c>
      <c r="F78" s="100">
        <v>0.76</v>
      </c>
      <c r="G78" s="100">
        <v>42.44</v>
      </c>
      <c r="H78" s="100">
        <v>13.6</v>
      </c>
      <c r="I78" s="100">
        <v>6.14</v>
      </c>
      <c r="J78" s="100">
        <v>0.1</v>
      </c>
      <c r="K78" s="100">
        <v>172.79</v>
      </c>
      <c r="L78" s="100">
        <v>25.43</v>
      </c>
      <c r="M78" s="100">
        <v>91.7</v>
      </c>
      <c r="N78" s="100">
        <v>10.8</v>
      </c>
      <c r="O78" s="100">
        <v>0.2</v>
      </c>
      <c r="P78" s="100">
        <v>0.43</v>
      </c>
      <c r="Q78" s="151" t="s">
        <v>8</v>
      </c>
      <c r="R78" s="6"/>
      <c r="S78" s="6"/>
      <c r="T78" s="156"/>
      <c r="U78" s="6"/>
    </row>
    <row r="79" spans="1:21" customFormat="1">
      <c r="A79" s="163" t="s">
        <v>2902</v>
      </c>
      <c r="B79" s="100">
        <v>4.09</v>
      </c>
      <c r="C79" s="100">
        <v>6.89</v>
      </c>
      <c r="D79" s="100">
        <v>4.33</v>
      </c>
      <c r="E79" s="100">
        <v>5.55</v>
      </c>
      <c r="F79" s="100">
        <v>1.1100000000000001</v>
      </c>
      <c r="G79" s="100">
        <v>41.25</v>
      </c>
      <c r="H79" s="100">
        <v>12.53</v>
      </c>
      <c r="I79" s="100">
        <v>6.07</v>
      </c>
      <c r="J79" s="100">
        <v>0.16</v>
      </c>
      <c r="K79" s="100">
        <v>228.78</v>
      </c>
      <c r="L79" s="100">
        <v>25.19</v>
      </c>
      <c r="M79" s="100">
        <v>93.2</v>
      </c>
      <c r="N79" s="100">
        <v>9.8000000000000007</v>
      </c>
      <c r="O79" s="100">
        <v>0.2</v>
      </c>
      <c r="P79" s="100">
        <v>0.44</v>
      </c>
      <c r="Q79" s="151" t="s">
        <v>8</v>
      </c>
      <c r="R79" s="6"/>
      <c r="S79" s="6"/>
      <c r="T79" s="156"/>
      <c r="U79" s="6"/>
    </row>
    <row r="80" spans="1:21" customFormat="1">
      <c r="A80" s="163" t="s">
        <v>2903</v>
      </c>
      <c r="B80" s="100">
        <v>4.17</v>
      </c>
      <c r="C80" s="100">
        <v>6.95</v>
      </c>
      <c r="D80" s="100">
        <v>4.33</v>
      </c>
      <c r="E80" s="100">
        <v>5.59</v>
      </c>
      <c r="F80" s="100">
        <v>1.05</v>
      </c>
      <c r="G80" s="100">
        <v>40.369999999999997</v>
      </c>
      <c r="H80" s="100">
        <v>11.9</v>
      </c>
      <c r="I80" s="100">
        <v>6.05</v>
      </c>
      <c r="J80" s="100">
        <v>0.13</v>
      </c>
      <c r="K80" s="100">
        <v>195.7</v>
      </c>
      <c r="L80" s="100">
        <v>25.1</v>
      </c>
      <c r="M80" s="100">
        <v>96.14</v>
      </c>
      <c r="N80" s="100">
        <v>9.5</v>
      </c>
      <c r="O80" s="100">
        <v>0.4</v>
      </c>
      <c r="P80" s="100">
        <v>0.45</v>
      </c>
      <c r="Q80" s="151" t="s">
        <v>8</v>
      </c>
      <c r="R80" s="6"/>
      <c r="S80" s="6"/>
      <c r="T80" s="156"/>
      <c r="U80" s="6"/>
    </row>
    <row r="81" spans="1:21" customFormat="1">
      <c r="A81" s="163" t="s">
        <v>2904</v>
      </c>
      <c r="B81" s="100">
        <v>4.3099999999999996</v>
      </c>
      <c r="C81" s="100">
        <v>7.05</v>
      </c>
      <c r="D81" s="100">
        <v>4.29</v>
      </c>
      <c r="E81" s="100">
        <v>4</v>
      </c>
      <c r="F81" s="100">
        <v>0.6</v>
      </c>
      <c r="G81" s="100">
        <v>40.369999999999997</v>
      </c>
      <c r="H81" s="100">
        <v>11.9</v>
      </c>
      <c r="I81" s="100">
        <v>6.09</v>
      </c>
      <c r="J81" s="100">
        <v>0.16</v>
      </c>
      <c r="K81" s="100">
        <v>186.46</v>
      </c>
      <c r="L81" s="100">
        <v>25.04</v>
      </c>
      <c r="M81" s="100">
        <v>97.56</v>
      </c>
      <c r="N81" s="100">
        <v>7.6</v>
      </c>
      <c r="O81" s="100">
        <v>0.4</v>
      </c>
      <c r="P81" s="100">
        <v>0.48</v>
      </c>
      <c r="Q81" s="151" t="s">
        <v>8</v>
      </c>
      <c r="R81" s="6"/>
      <c r="S81" s="6"/>
      <c r="T81" s="156"/>
      <c r="U81" s="6"/>
    </row>
    <row r="82" spans="1:21" customFormat="1">
      <c r="A82" s="163" t="s">
        <v>2905</v>
      </c>
      <c r="B82" s="100">
        <v>4.46</v>
      </c>
      <c r="C82" s="100">
        <v>7.33</v>
      </c>
      <c r="D82" s="100">
        <v>4.5999999999999996</v>
      </c>
      <c r="E82" s="100">
        <v>4.66</v>
      </c>
      <c r="F82" s="100">
        <v>0.06</v>
      </c>
      <c r="G82" s="100">
        <v>40.369999999999997</v>
      </c>
      <c r="H82" s="100">
        <v>11.9</v>
      </c>
      <c r="I82" s="100">
        <v>6.28</v>
      </c>
      <c r="J82" s="100">
        <v>0.16</v>
      </c>
      <c r="K82" s="100">
        <v>194.09</v>
      </c>
      <c r="L82" s="100">
        <v>24.95</v>
      </c>
      <c r="M82" s="100">
        <v>98.28</v>
      </c>
      <c r="N82" s="100">
        <v>5.8</v>
      </c>
      <c r="O82" s="100">
        <v>0.2</v>
      </c>
      <c r="P82" s="100">
        <v>0.54</v>
      </c>
      <c r="Q82" s="151" t="s">
        <v>8</v>
      </c>
      <c r="R82" s="6"/>
      <c r="S82" s="6"/>
      <c r="T82" s="156"/>
      <c r="U82" s="6"/>
    </row>
    <row r="83" spans="1:21" customFormat="1">
      <c r="A83" s="163" t="s">
        <v>2906</v>
      </c>
      <c r="B83" s="100">
        <v>4.72</v>
      </c>
      <c r="C83" s="100">
        <v>7.59</v>
      </c>
      <c r="D83" s="100">
        <v>4.7</v>
      </c>
      <c r="E83" s="100">
        <v>4.7</v>
      </c>
      <c r="F83" s="100">
        <v>0.06</v>
      </c>
      <c r="G83" s="100">
        <v>45.09</v>
      </c>
      <c r="H83" s="100">
        <v>13.11</v>
      </c>
      <c r="I83" s="100">
        <v>6.7</v>
      </c>
      <c r="J83" s="100">
        <v>0.15</v>
      </c>
      <c r="K83" s="100">
        <v>195.26</v>
      </c>
      <c r="L83" s="100">
        <v>24.85</v>
      </c>
      <c r="M83" s="100">
        <v>98.74</v>
      </c>
      <c r="N83" s="100">
        <v>3.2</v>
      </c>
      <c r="O83" s="100">
        <v>0.2</v>
      </c>
      <c r="P83" s="100">
        <v>0.6</v>
      </c>
      <c r="Q83" s="151" t="s">
        <v>8</v>
      </c>
      <c r="R83" s="6"/>
      <c r="S83" s="6"/>
      <c r="T83" s="156"/>
      <c r="U83" s="6"/>
    </row>
    <row r="84" spans="1:21" customFormat="1">
      <c r="A84" s="163" t="s">
        <v>2907</v>
      </c>
      <c r="B84" s="100">
        <v>5.03</v>
      </c>
      <c r="C84" s="100">
        <v>7.43</v>
      </c>
      <c r="D84" s="100">
        <v>3.91</v>
      </c>
      <c r="E84" s="100">
        <v>4.26</v>
      </c>
      <c r="F84" s="100">
        <v>0.06</v>
      </c>
      <c r="G84" s="100">
        <v>48.69</v>
      </c>
      <c r="H84" s="100">
        <v>13.49</v>
      </c>
      <c r="I84" s="100">
        <v>7.26</v>
      </c>
      <c r="J84" s="100">
        <v>0.25</v>
      </c>
      <c r="K84" s="100">
        <v>238.94</v>
      </c>
      <c r="L84" s="100">
        <v>24.8</v>
      </c>
      <c r="M84" s="100">
        <v>99.15</v>
      </c>
      <c r="N84" s="100">
        <v>2.4</v>
      </c>
      <c r="O84" s="100">
        <v>0.2</v>
      </c>
      <c r="P84" s="100">
        <v>0.57999999999999996</v>
      </c>
      <c r="Q84" s="151" t="s">
        <v>8</v>
      </c>
      <c r="R84" s="6"/>
      <c r="S84" s="6"/>
      <c r="T84" s="156"/>
      <c r="U84" s="6"/>
    </row>
    <row r="85" spans="1:21" customFormat="1">
      <c r="A85" s="163" t="s">
        <v>2908</v>
      </c>
      <c r="B85" s="100">
        <v>5.16</v>
      </c>
      <c r="C85" s="100">
        <v>7.32</v>
      </c>
      <c r="D85" s="100">
        <v>3.52</v>
      </c>
      <c r="E85" s="100">
        <v>4.07</v>
      </c>
      <c r="F85" s="100">
        <v>0.25</v>
      </c>
      <c r="G85" s="100">
        <v>48.69</v>
      </c>
      <c r="H85" s="100">
        <v>13.49</v>
      </c>
      <c r="I85" s="100">
        <v>7.72</v>
      </c>
      <c r="J85" s="100">
        <v>0.22</v>
      </c>
      <c r="K85" s="100">
        <v>225.98</v>
      </c>
      <c r="L85" s="100">
        <v>24.86</v>
      </c>
      <c r="M85" s="100">
        <v>99.44</v>
      </c>
      <c r="N85" s="100">
        <v>2.2999999999999998</v>
      </c>
      <c r="O85" s="100">
        <v>0</v>
      </c>
      <c r="P85" s="100">
        <v>0.61</v>
      </c>
      <c r="Q85" s="151" t="s">
        <v>8</v>
      </c>
      <c r="R85" s="6"/>
      <c r="S85" s="6"/>
      <c r="T85" s="156"/>
      <c r="U85" s="6"/>
    </row>
    <row r="86" spans="1:21" customFormat="1">
      <c r="A86" s="163" t="s">
        <v>2909</v>
      </c>
      <c r="B86" s="100">
        <v>5.37</v>
      </c>
      <c r="C86" s="100">
        <v>7.4</v>
      </c>
      <c r="D86" s="100">
        <v>3.33</v>
      </c>
      <c r="E86" s="100">
        <v>4.47</v>
      </c>
      <c r="F86" s="100">
        <v>0.25</v>
      </c>
      <c r="G86" s="100">
        <v>48.69</v>
      </c>
      <c r="H86" s="100">
        <v>13.49</v>
      </c>
      <c r="I86" s="100">
        <v>7.64</v>
      </c>
      <c r="J86" s="100">
        <v>0.11</v>
      </c>
      <c r="K86" s="100">
        <v>170.15</v>
      </c>
      <c r="L86" s="100">
        <v>24.86</v>
      </c>
      <c r="M86" s="100">
        <v>99.46</v>
      </c>
      <c r="N86" s="100">
        <v>2.1</v>
      </c>
      <c r="O86" s="100">
        <v>0.2</v>
      </c>
      <c r="P86" s="100">
        <v>0.6</v>
      </c>
      <c r="Q86" s="151" t="s">
        <v>8</v>
      </c>
      <c r="R86" s="6"/>
      <c r="S86" s="6"/>
      <c r="T86" s="156"/>
      <c r="U86" s="6"/>
    </row>
    <row r="87" spans="1:21" customFormat="1">
      <c r="A87" s="163" t="s">
        <v>2910</v>
      </c>
      <c r="B87" s="100">
        <v>5.48</v>
      </c>
      <c r="C87" s="100">
        <v>7.33</v>
      </c>
      <c r="D87" s="100">
        <v>3.03</v>
      </c>
      <c r="E87" s="100">
        <v>3.92</v>
      </c>
      <c r="F87" s="100">
        <v>0.35</v>
      </c>
      <c r="G87" s="100">
        <v>45.49</v>
      </c>
      <c r="H87" s="100">
        <v>13.21</v>
      </c>
      <c r="I87" s="100">
        <v>7.88</v>
      </c>
      <c r="J87" s="100">
        <v>0.19</v>
      </c>
      <c r="K87" s="100">
        <v>216.54</v>
      </c>
      <c r="L87" s="100">
        <v>24.83</v>
      </c>
      <c r="M87" s="100">
        <v>99.46</v>
      </c>
      <c r="N87" s="100">
        <v>2.2000000000000002</v>
      </c>
      <c r="O87" s="100">
        <v>0</v>
      </c>
      <c r="P87" s="100">
        <v>0.6</v>
      </c>
      <c r="Q87" s="151" t="s">
        <v>8</v>
      </c>
      <c r="R87" s="6"/>
      <c r="S87" s="6"/>
      <c r="T87" s="156"/>
      <c r="U87" s="6"/>
    </row>
    <row r="88" spans="1:21" customFormat="1">
      <c r="A88" s="163" t="s">
        <v>2911</v>
      </c>
      <c r="B88" s="100">
        <v>5.57</v>
      </c>
      <c r="C88" s="100">
        <v>7.37</v>
      </c>
      <c r="D88" s="100">
        <v>2.97</v>
      </c>
      <c r="E88" s="100">
        <v>4.2</v>
      </c>
      <c r="F88" s="100">
        <v>0.22</v>
      </c>
      <c r="G88" s="100">
        <v>43.05</v>
      </c>
      <c r="H88" s="100">
        <v>13.12</v>
      </c>
      <c r="I88" s="100">
        <v>7.83</v>
      </c>
      <c r="J88" s="100">
        <v>0.28000000000000003</v>
      </c>
      <c r="K88" s="100">
        <v>250.33</v>
      </c>
      <c r="L88" s="100">
        <v>24.87</v>
      </c>
      <c r="M88" s="100">
        <v>99.73</v>
      </c>
      <c r="N88" s="100">
        <v>2.2000000000000002</v>
      </c>
      <c r="O88" s="100">
        <v>0</v>
      </c>
      <c r="P88" s="100">
        <v>0.61</v>
      </c>
      <c r="Q88" s="151" t="s">
        <v>8</v>
      </c>
      <c r="R88" s="6"/>
      <c r="S88" s="6"/>
      <c r="T88" s="156"/>
      <c r="U88" s="6"/>
    </row>
    <row r="89" spans="1:21" customFormat="1">
      <c r="A89" s="163" t="s">
        <v>2912</v>
      </c>
      <c r="B89" s="100">
        <v>5.71</v>
      </c>
      <c r="C89" s="100">
        <v>7.42</v>
      </c>
      <c r="D89" s="100">
        <v>2.85</v>
      </c>
      <c r="E89" s="100">
        <v>4.34</v>
      </c>
      <c r="F89" s="100">
        <v>0.22</v>
      </c>
      <c r="G89" s="100">
        <v>43.05</v>
      </c>
      <c r="H89" s="100">
        <v>13.12</v>
      </c>
      <c r="I89" s="100">
        <v>7.8</v>
      </c>
      <c r="J89" s="100">
        <v>0.16</v>
      </c>
      <c r="K89" s="100">
        <v>245.91</v>
      </c>
      <c r="L89" s="100">
        <v>24.95</v>
      </c>
      <c r="M89" s="100">
        <v>99.69</v>
      </c>
      <c r="N89" s="100">
        <v>2.1</v>
      </c>
      <c r="O89" s="100">
        <v>0</v>
      </c>
      <c r="P89" s="100">
        <v>0.59</v>
      </c>
      <c r="Q89" s="151" t="s">
        <v>8</v>
      </c>
      <c r="R89" s="6"/>
      <c r="S89" s="6"/>
      <c r="T89" s="156"/>
      <c r="U89" s="6"/>
    </row>
    <row r="90" spans="1:21" customFormat="1">
      <c r="A90" s="163" t="s">
        <v>2913</v>
      </c>
      <c r="B90" s="100">
        <v>5.72</v>
      </c>
      <c r="C90" s="100">
        <v>7.32</v>
      </c>
      <c r="D90" s="100">
        <v>2.64</v>
      </c>
      <c r="E90" s="100">
        <v>3.75</v>
      </c>
      <c r="F90" s="100">
        <v>0.13</v>
      </c>
      <c r="G90" s="100">
        <v>43.05</v>
      </c>
      <c r="H90" s="100">
        <v>13.12</v>
      </c>
      <c r="I90" s="100">
        <v>7.96</v>
      </c>
      <c r="J90" s="100">
        <v>0.23</v>
      </c>
      <c r="K90" s="100">
        <v>254.59</v>
      </c>
      <c r="L90" s="100">
        <v>24.96</v>
      </c>
      <c r="M90" s="100">
        <v>99.57</v>
      </c>
      <c r="N90" s="100">
        <v>2.1</v>
      </c>
      <c r="O90" s="100">
        <v>0</v>
      </c>
      <c r="P90" s="100">
        <v>0.59</v>
      </c>
      <c r="Q90" s="151" t="s">
        <v>8</v>
      </c>
      <c r="R90" s="6"/>
      <c r="S90" s="6"/>
      <c r="T90" s="156"/>
      <c r="U90" s="6"/>
    </row>
    <row r="91" spans="1:21" customFormat="1">
      <c r="A91" s="163" t="s">
        <v>2914</v>
      </c>
      <c r="B91" s="100">
        <v>5.65</v>
      </c>
      <c r="C91" s="100">
        <v>7.34</v>
      </c>
      <c r="D91" s="100">
        <v>2.8</v>
      </c>
      <c r="E91" s="100">
        <v>3.77</v>
      </c>
      <c r="F91" s="100">
        <v>0.09</v>
      </c>
      <c r="G91" s="100">
        <v>40</v>
      </c>
      <c r="H91" s="100">
        <v>14.44</v>
      </c>
      <c r="I91" s="100">
        <v>7.83</v>
      </c>
      <c r="J91" s="100">
        <v>0.19</v>
      </c>
      <c r="K91" s="100">
        <v>260.89</v>
      </c>
      <c r="L91" s="100">
        <v>25.03</v>
      </c>
      <c r="M91" s="100">
        <v>99.41</v>
      </c>
      <c r="N91" s="100">
        <v>2.1</v>
      </c>
      <c r="O91" s="100">
        <v>0</v>
      </c>
      <c r="P91" s="100">
        <v>0.57999999999999996</v>
      </c>
      <c r="Q91" s="151" t="s">
        <v>8</v>
      </c>
      <c r="R91" s="6"/>
      <c r="S91" s="6"/>
      <c r="T91" s="156"/>
      <c r="U91" s="6"/>
    </row>
    <row r="92" spans="1:21" customFormat="1">
      <c r="A92" s="163" t="s">
        <v>2915</v>
      </c>
      <c r="B92" s="100">
        <v>5.75</v>
      </c>
      <c r="C92" s="100">
        <v>7.3</v>
      </c>
      <c r="D92" s="100">
        <v>2.56</v>
      </c>
      <c r="E92" s="100">
        <v>4.38</v>
      </c>
      <c r="F92" s="100">
        <v>0.09</v>
      </c>
      <c r="G92" s="100">
        <v>37.67</v>
      </c>
      <c r="H92" s="100">
        <v>14.85</v>
      </c>
      <c r="I92" s="100">
        <v>7.74</v>
      </c>
      <c r="J92" s="100">
        <v>0.11</v>
      </c>
      <c r="K92" s="100">
        <v>219.33</v>
      </c>
      <c r="L92" s="100">
        <v>25.07</v>
      </c>
      <c r="M92" s="100">
        <v>99.27</v>
      </c>
      <c r="N92" s="100">
        <v>2.1</v>
      </c>
      <c r="O92" s="100">
        <v>0</v>
      </c>
      <c r="P92" s="100">
        <v>0.56000000000000005</v>
      </c>
      <c r="Q92" s="151" t="s">
        <v>8</v>
      </c>
      <c r="R92" s="6"/>
      <c r="S92" s="6"/>
      <c r="T92" s="156"/>
      <c r="U92" s="6"/>
    </row>
    <row r="93" spans="1:21" customFormat="1">
      <c r="A93" s="163" t="s">
        <v>2916</v>
      </c>
      <c r="B93" s="100">
        <v>5.77</v>
      </c>
      <c r="C93" s="100">
        <v>7.29</v>
      </c>
      <c r="D93" s="100">
        <v>2.5</v>
      </c>
      <c r="E93" s="100">
        <v>4.3099999999999996</v>
      </c>
      <c r="F93" s="100">
        <v>0.09</v>
      </c>
      <c r="G93" s="100">
        <v>37.67</v>
      </c>
      <c r="H93" s="100">
        <v>14.85</v>
      </c>
      <c r="I93" s="100">
        <v>7.5</v>
      </c>
      <c r="J93" s="100">
        <v>0.11</v>
      </c>
      <c r="K93" s="100">
        <v>160.72999999999999</v>
      </c>
      <c r="L93" s="100">
        <v>25.06</v>
      </c>
      <c r="M93" s="100">
        <v>99.37</v>
      </c>
      <c r="N93" s="100">
        <v>2.2000000000000002</v>
      </c>
      <c r="O93" s="100">
        <v>0</v>
      </c>
      <c r="P93" s="100">
        <v>0.59</v>
      </c>
      <c r="Q93" s="151" t="s">
        <v>8</v>
      </c>
      <c r="R93" s="6"/>
      <c r="S93" s="6"/>
      <c r="T93" s="156"/>
      <c r="U93" s="6"/>
    </row>
    <row r="94" spans="1:21" customFormat="1">
      <c r="A94" s="163" t="s">
        <v>2917</v>
      </c>
      <c r="B94" s="100">
        <v>5.88</v>
      </c>
      <c r="C94" s="100">
        <v>7.35</v>
      </c>
      <c r="D94" s="100">
        <v>2.46</v>
      </c>
      <c r="E94" s="100">
        <v>4.2699999999999996</v>
      </c>
      <c r="F94" s="100">
        <v>0.09</v>
      </c>
      <c r="G94" s="100">
        <v>37.67</v>
      </c>
      <c r="H94" s="100">
        <v>14.85</v>
      </c>
      <c r="I94" s="100">
        <v>7.41</v>
      </c>
      <c r="J94" s="100">
        <v>0.08</v>
      </c>
      <c r="K94" s="100">
        <v>217.69</v>
      </c>
      <c r="L94" s="100">
        <v>25.05</v>
      </c>
      <c r="M94" s="100">
        <v>99.63</v>
      </c>
      <c r="N94" s="100">
        <v>2.2000000000000002</v>
      </c>
      <c r="O94" s="100">
        <v>0</v>
      </c>
      <c r="P94" s="100">
        <v>0.56999999999999995</v>
      </c>
      <c r="Q94" s="151" t="s">
        <v>8</v>
      </c>
      <c r="R94" s="6"/>
      <c r="S94" s="6"/>
      <c r="T94" s="156"/>
      <c r="U94" s="6"/>
    </row>
    <row r="95" spans="1:21" customFormat="1">
      <c r="A95" s="163" t="s">
        <v>2918</v>
      </c>
      <c r="B95" s="100">
        <v>5.9</v>
      </c>
      <c r="C95" s="100">
        <v>7.28</v>
      </c>
      <c r="D95" s="100">
        <v>2.2799999999999998</v>
      </c>
      <c r="E95" s="100">
        <v>4.09</v>
      </c>
      <c r="F95" s="100">
        <v>0.06</v>
      </c>
      <c r="G95" s="100">
        <v>33.82</v>
      </c>
      <c r="H95" s="100">
        <v>13.52</v>
      </c>
      <c r="I95" s="100">
        <v>7.59</v>
      </c>
      <c r="J95" s="100">
        <v>0.17</v>
      </c>
      <c r="K95" s="100">
        <v>237.81</v>
      </c>
      <c r="L95" s="100">
        <v>25.08</v>
      </c>
      <c r="M95" s="100">
        <v>99.73</v>
      </c>
      <c r="N95" s="100">
        <v>2.2000000000000002</v>
      </c>
      <c r="O95" s="100">
        <v>0</v>
      </c>
      <c r="P95" s="100">
        <v>0.55000000000000004</v>
      </c>
      <c r="Q95" s="151" t="s">
        <v>8</v>
      </c>
      <c r="R95" s="6"/>
      <c r="S95" s="6"/>
      <c r="T95" s="156"/>
      <c r="U95" s="6"/>
    </row>
    <row r="96" spans="1:21" customFormat="1">
      <c r="A96" s="163" t="s">
        <v>2919</v>
      </c>
      <c r="B96" s="100">
        <v>5.91</v>
      </c>
      <c r="C96" s="100">
        <v>7.39</v>
      </c>
      <c r="D96" s="100">
        <v>2.4700000000000002</v>
      </c>
      <c r="E96" s="100">
        <v>4.18</v>
      </c>
      <c r="F96" s="100">
        <v>0.04</v>
      </c>
      <c r="G96" s="100">
        <v>30.88</v>
      </c>
      <c r="H96" s="100">
        <v>13.1</v>
      </c>
      <c r="I96" s="100">
        <v>7.43</v>
      </c>
      <c r="J96" s="100">
        <v>0.26</v>
      </c>
      <c r="K96" s="100">
        <v>254.53</v>
      </c>
      <c r="L96" s="100">
        <v>25.12</v>
      </c>
      <c r="M96" s="100">
        <v>99.51</v>
      </c>
      <c r="N96" s="100">
        <v>2.2999999999999998</v>
      </c>
      <c r="O96" s="100">
        <v>0</v>
      </c>
      <c r="P96" s="100">
        <v>0.56999999999999995</v>
      </c>
      <c r="Q96" s="151" t="s">
        <v>8</v>
      </c>
      <c r="R96" s="6"/>
      <c r="S96" s="6"/>
      <c r="T96" s="156"/>
      <c r="U96" s="6"/>
    </row>
    <row r="97" spans="1:28" customFormat="1">
      <c r="A97" s="163" t="s">
        <v>2920</v>
      </c>
      <c r="B97" s="100">
        <v>6.01</v>
      </c>
      <c r="C97" s="100">
        <v>7.35</v>
      </c>
      <c r="D97" s="100">
        <v>2.2599999999999998</v>
      </c>
      <c r="E97" s="100">
        <v>4.2</v>
      </c>
      <c r="F97" s="100">
        <v>0.04</v>
      </c>
      <c r="G97" s="100">
        <v>30.88</v>
      </c>
      <c r="H97" s="100">
        <v>13.1</v>
      </c>
      <c r="I97" s="100">
        <v>7.21</v>
      </c>
      <c r="J97" s="100">
        <v>0.45</v>
      </c>
      <c r="K97" s="100">
        <v>259.29000000000002</v>
      </c>
      <c r="L97" s="100">
        <v>25.23</v>
      </c>
      <c r="M97" s="100">
        <v>98.55</v>
      </c>
      <c r="N97" s="100">
        <v>2.6</v>
      </c>
      <c r="O97" s="100">
        <v>0</v>
      </c>
      <c r="P97" s="100">
        <v>0.54</v>
      </c>
      <c r="Q97" s="151" t="s">
        <v>8</v>
      </c>
      <c r="R97" s="6"/>
      <c r="S97" s="6"/>
      <c r="T97" s="156"/>
      <c r="U97" s="6"/>
    </row>
    <row r="98" spans="1:28" customFormat="1">
      <c r="A98" s="163" t="s">
        <v>2921</v>
      </c>
      <c r="B98" s="100">
        <v>5.94</v>
      </c>
      <c r="C98" s="100">
        <v>7.31</v>
      </c>
      <c r="D98" s="100">
        <v>2.2999999999999998</v>
      </c>
      <c r="E98" s="100">
        <v>4.3499999999999996</v>
      </c>
      <c r="F98" s="100">
        <v>0.08</v>
      </c>
      <c r="G98" s="100">
        <v>30.88</v>
      </c>
      <c r="H98" s="100">
        <v>13.1</v>
      </c>
      <c r="I98" s="100">
        <v>7.34</v>
      </c>
      <c r="J98" s="100">
        <v>0.45</v>
      </c>
      <c r="K98" s="100">
        <v>260.91000000000003</v>
      </c>
      <c r="L98" s="100">
        <v>25.32</v>
      </c>
      <c r="M98" s="100">
        <v>97.15</v>
      </c>
      <c r="N98" s="100">
        <v>2.6</v>
      </c>
      <c r="O98" s="100">
        <v>0</v>
      </c>
      <c r="P98" s="100">
        <v>0.56000000000000005</v>
      </c>
      <c r="Q98" s="151" t="s">
        <v>8</v>
      </c>
      <c r="R98" s="6"/>
      <c r="S98" s="6"/>
      <c r="T98" s="156"/>
      <c r="U98" s="6"/>
    </row>
    <row r="99" spans="1:28" customFormat="1">
      <c r="A99" s="163" t="s">
        <v>2922</v>
      </c>
      <c r="B99" s="100">
        <v>5.92</v>
      </c>
      <c r="C99" s="100">
        <v>7.27</v>
      </c>
      <c r="D99" s="100">
        <v>2.2400000000000002</v>
      </c>
      <c r="E99" s="100">
        <v>4</v>
      </c>
      <c r="F99" s="100">
        <v>0.3</v>
      </c>
      <c r="G99" s="100">
        <v>28.8</v>
      </c>
      <c r="H99" s="100">
        <v>11.96</v>
      </c>
      <c r="I99" s="100">
        <v>7.06</v>
      </c>
      <c r="J99" s="100">
        <v>0.44</v>
      </c>
      <c r="K99" s="100">
        <v>259.48</v>
      </c>
      <c r="L99" s="100">
        <v>25.39</v>
      </c>
      <c r="M99" s="100">
        <v>96.35</v>
      </c>
      <c r="N99" s="100">
        <v>2.7</v>
      </c>
      <c r="O99" s="100">
        <v>0</v>
      </c>
      <c r="P99" s="100">
        <v>0.52</v>
      </c>
      <c r="Q99" s="151" t="s">
        <v>8</v>
      </c>
      <c r="R99" s="6"/>
      <c r="S99" s="6"/>
      <c r="T99" s="156"/>
      <c r="U99" s="6"/>
    </row>
    <row r="100" spans="1:28" customFormat="1">
      <c r="A100" s="163" t="s">
        <v>2923</v>
      </c>
      <c r="B100" s="100">
        <v>5.93</v>
      </c>
      <c r="C100" s="100">
        <v>7.24</v>
      </c>
      <c r="D100" s="100">
        <v>2.17</v>
      </c>
      <c r="E100" s="100">
        <v>4.34</v>
      </c>
      <c r="F100" s="100">
        <v>0.33</v>
      </c>
      <c r="G100" s="100">
        <v>27.2</v>
      </c>
      <c r="H100" s="100">
        <v>11.6</v>
      </c>
      <c r="I100" s="100">
        <v>7.16</v>
      </c>
      <c r="J100" s="100">
        <v>0.22</v>
      </c>
      <c r="K100" s="100">
        <v>251.21</v>
      </c>
      <c r="L100" s="100">
        <v>25.4</v>
      </c>
      <c r="M100" s="100">
        <v>96.32</v>
      </c>
      <c r="N100" s="100">
        <v>2.5</v>
      </c>
      <c r="O100" s="100">
        <v>0</v>
      </c>
      <c r="P100" s="100">
        <v>0.54</v>
      </c>
      <c r="Q100" s="151" t="s">
        <v>8</v>
      </c>
      <c r="R100" s="6"/>
      <c r="S100" s="6"/>
      <c r="T100" s="156"/>
      <c r="U100" s="6"/>
      <c r="AB100" s="161"/>
    </row>
    <row r="101" spans="1:28" customFormat="1">
      <c r="A101" s="163" t="s">
        <v>2924</v>
      </c>
      <c r="B101" s="100">
        <v>5.98</v>
      </c>
      <c r="C101" s="100">
        <v>7.48</v>
      </c>
      <c r="D101" s="100">
        <v>2.54</v>
      </c>
      <c r="E101" s="100">
        <v>4.3600000000000003</v>
      </c>
      <c r="F101" s="100">
        <v>0.33</v>
      </c>
      <c r="G101" s="100">
        <v>27.2</v>
      </c>
      <c r="H101" s="100">
        <v>11.6</v>
      </c>
      <c r="I101" s="100">
        <v>6.6</v>
      </c>
      <c r="J101" s="100">
        <v>0.24</v>
      </c>
      <c r="K101" s="100">
        <v>248.86</v>
      </c>
      <c r="L101" s="100">
        <v>25.45</v>
      </c>
      <c r="M101" s="100">
        <v>96.1</v>
      </c>
      <c r="N101" s="100">
        <v>2.5</v>
      </c>
      <c r="O101" s="100">
        <v>0</v>
      </c>
      <c r="P101" s="100">
        <v>0.51</v>
      </c>
      <c r="Q101" s="151" t="s">
        <v>8</v>
      </c>
      <c r="R101" s="6"/>
      <c r="S101" s="6"/>
      <c r="T101" s="156"/>
      <c r="U101" s="6"/>
    </row>
    <row r="102" spans="1:28" customFormat="1">
      <c r="A102" s="163" t="s">
        <v>2925</v>
      </c>
      <c r="B102" s="100">
        <v>5.85</v>
      </c>
      <c r="C102" s="100">
        <v>7.76</v>
      </c>
      <c r="D102" s="100">
        <v>3.3</v>
      </c>
      <c r="E102" s="100">
        <v>4.28</v>
      </c>
      <c r="F102" s="100">
        <v>0.33</v>
      </c>
      <c r="G102" s="100">
        <v>27.2</v>
      </c>
      <c r="H102" s="100">
        <v>11.6</v>
      </c>
      <c r="I102" s="100">
        <v>6.97</v>
      </c>
      <c r="J102" s="100">
        <v>0.13</v>
      </c>
      <c r="K102" s="100">
        <v>238.25</v>
      </c>
      <c r="L102" s="100">
        <v>25.47</v>
      </c>
      <c r="M102" s="100">
        <v>95.95</v>
      </c>
      <c r="N102" s="100">
        <v>2.5</v>
      </c>
      <c r="O102" s="100">
        <v>0</v>
      </c>
      <c r="P102" s="100">
        <v>0.47</v>
      </c>
      <c r="Q102" s="151" t="s">
        <v>8</v>
      </c>
      <c r="R102" s="6"/>
      <c r="S102" s="6"/>
      <c r="T102" s="156"/>
      <c r="U102" s="6"/>
    </row>
    <row r="103" spans="1:28" customFormat="1">
      <c r="A103" s="163" t="s">
        <v>2926</v>
      </c>
      <c r="B103" s="100">
        <v>5.62</v>
      </c>
      <c r="C103" s="100">
        <v>7.66</v>
      </c>
      <c r="D103" s="100">
        <v>3.44</v>
      </c>
      <c r="E103" s="100">
        <v>4.21</v>
      </c>
      <c r="F103" s="100">
        <v>0.33</v>
      </c>
      <c r="G103" s="100">
        <v>28.53</v>
      </c>
      <c r="H103" s="100">
        <v>13.89</v>
      </c>
      <c r="I103" s="100">
        <v>6.53</v>
      </c>
      <c r="J103" s="100">
        <v>0.14000000000000001</v>
      </c>
      <c r="K103" s="100">
        <v>233.28</v>
      </c>
      <c r="L103" s="100">
        <v>25.45</v>
      </c>
      <c r="M103" s="100">
        <v>96.17</v>
      </c>
      <c r="N103" s="100">
        <v>2.5</v>
      </c>
      <c r="O103" s="100">
        <v>0</v>
      </c>
      <c r="P103" s="100">
        <v>0.46</v>
      </c>
      <c r="Q103" s="151" t="s">
        <v>8</v>
      </c>
      <c r="R103" s="6"/>
      <c r="S103" s="6"/>
      <c r="T103" s="156"/>
      <c r="U103" s="6"/>
    </row>
    <row r="104" spans="1:28" customFormat="1">
      <c r="A104" s="163" t="s">
        <v>2927</v>
      </c>
      <c r="B104" s="100">
        <v>5.5</v>
      </c>
      <c r="C104" s="100">
        <v>7.52</v>
      </c>
      <c r="D104" s="100">
        <v>3.36</v>
      </c>
      <c r="E104" s="100">
        <v>4.1399999999999997</v>
      </c>
      <c r="F104" s="100">
        <v>0.33</v>
      </c>
      <c r="G104" s="100">
        <v>29.5</v>
      </c>
      <c r="H104" s="100">
        <v>15.24</v>
      </c>
      <c r="I104" s="100">
        <v>6.59</v>
      </c>
      <c r="J104" s="100">
        <v>0.54</v>
      </c>
      <c r="K104" s="100">
        <v>253.71</v>
      </c>
      <c r="L104" s="100">
        <v>25.6</v>
      </c>
      <c r="M104" s="100">
        <v>95.34</v>
      </c>
      <c r="N104" s="100">
        <v>2.7</v>
      </c>
      <c r="O104" s="100">
        <v>0</v>
      </c>
      <c r="P104" s="100">
        <v>0.44</v>
      </c>
      <c r="Q104" s="151" t="s">
        <v>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3.73</v>
      </c>
      <c r="C106" s="158">
        <f>MIN(C9:C104)</f>
        <v>6.63</v>
      </c>
      <c r="D106" s="158">
        <f t="shared" ref="D106:Q106" si="0">MIN(D9:D104)</f>
        <v>2.17</v>
      </c>
      <c r="E106" s="158">
        <f t="shared" si="0"/>
        <v>3.75</v>
      </c>
      <c r="F106" s="158">
        <f t="shared" si="0"/>
        <v>0</v>
      </c>
      <c r="G106" s="158">
        <f t="shared" si="0"/>
        <v>15.41</v>
      </c>
      <c r="H106" s="158">
        <f t="shared" si="0"/>
        <v>5.19</v>
      </c>
      <c r="I106" s="158">
        <f t="shared" si="0"/>
        <v>4.22</v>
      </c>
      <c r="J106" s="158">
        <f t="shared" si="0"/>
        <v>0.08</v>
      </c>
      <c r="K106" s="158">
        <f t="shared" si="0"/>
        <v>160.72999999999999</v>
      </c>
      <c r="L106" s="158">
        <f t="shared" si="0"/>
        <v>23.6</v>
      </c>
      <c r="M106" s="158">
        <f t="shared" si="0"/>
        <v>71.67</v>
      </c>
      <c r="N106" s="158">
        <f t="shared" si="0"/>
        <v>2.1</v>
      </c>
      <c r="O106" s="158">
        <f t="shared" si="0"/>
        <v>0</v>
      </c>
      <c r="P106" s="158">
        <f t="shared" si="0"/>
        <v>0.31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7.91</v>
      </c>
      <c r="C107" s="157">
        <f t="shared" ref="C107:Q107" si="1">MAX(C9:C104)</f>
        <v>9.6300000000000008</v>
      </c>
      <c r="D107" s="157">
        <f t="shared" si="1"/>
        <v>5.07</v>
      </c>
      <c r="E107" s="157">
        <f t="shared" si="1"/>
        <v>6.6</v>
      </c>
      <c r="F107" s="157">
        <f t="shared" si="1"/>
        <v>1.96</v>
      </c>
      <c r="G107" s="157">
        <f t="shared" si="1"/>
        <v>49.3</v>
      </c>
      <c r="H107" s="157">
        <f t="shared" si="1"/>
        <v>16.77</v>
      </c>
      <c r="I107" s="157">
        <f t="shared" si="1"/>
        <v>7.96</v>
      </c>
      <c r="J107" s="157">
        <f t="shared" si="1"/>
        <v>1.83</v>
      </c>
      <c r="K107" s="157">
        <f t="shared" si="1"/>
        <v>353.75</v>
      </c>
      <c r="L107" s="157">
        <f t="shared" si="1"/>
        <v>30.08</v>
      </c>
      <c r="M107" s="157">
        <f t="shared" si="1"/>
        <v>99.85</v>
      </c>
      <c r="N107" s="157">
        <f t="shared" si="1"/>
        <v>399.6</v>
      </c>
      <c r="O107" s="157">
        <f t="shared" si="1"/>
        <v>4.5999999999999996</v>
      </c>
      <c r="P107" s="157">
        <f t="shared" si="1"/>
        <v>0.61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6.070104166666666</v>
      </c>
      <c r="C108" s="158">
        <f t="shared" ref="C108:Q108" si="2">AVERAGE(C9:C104)</f>
        <v>8.0466666666666669</v>
      </c>
      <c r="D108" s="158">
        <f t="shared" si="2"/>
        <v>3.4985416666666667</v>
      </c>
      <c r="E108" s="158">
        <f t="shared" si="2"/>
        <v>5.1154166666666656</v>
      </c>
      <c r="F108" s="158">
        <f t="shared" si="2"/>
        <v>0.44083333333333347</v>
      </c>
      <c r="G108" s="158">
        <f t="shared" si="2"/>
        <v>32.576458333333342</v>
      </c>
      <c r="H108" s="158">
        <f t="shared" si="2"/>
        <v>11.896770833333335</v>
      </c>
      <c r="I108" s="158">
        <f t="shared" si="2"/>
        <v>6.1267708333333317</v>
      </c>
      <c r="J108" s="158">
        <f t="shared" si="2"/>
        <v>0.50010416666666635</v>
      </c>
      <c r="K108" s="158">
        <f t="shared" si="2"/>
        <v>257.89822916666662</v>
      </c>
      <c r="L108" s="158">
        <f t="shared" si="2"/>
        <v>25.754895833333325</v>
      </c>
      <c r="M108" s="158">
        <f t="shared" si="2"/>
        <v>92.50958333333331</v>
      </c>
      <c r="N108" s="158">
        <f t="shared" si="2"/>
        <v>75.00937500000002</v>
      </c>
      <c r="O108" s="158">
        <f t="shared" si="2"/>
        <v>0.22291666666666654</v>
      </c>
      <c r="P108" s="158">
        <f t="shared" si="2"/>
        <v>0.42947916666666686</v>
      </c>
      <c r="Q108" s="158" t="e">
        <f t="shared" si="2"/>
        <v>#DIV/0!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1.2437621153425673</v>
      </c>
      <c r="C109" s="158">
        <f t="shared" ref="C109:Q109" si="3">STDEV(C9:C104)</f>
        <v>0.89365914456613593</v>
      </c>
      <c r="D109" s="158">
        <f t="shared" si="3"/>
        <v>0.87986599358462703</v>
      </c>
      <c r="E109" s="158">
        <f t="shared" si="3"/>
        <v>0.79870673976143658</v>
      </c>
      <c r="F109" s="158">
        <f t="shared" si="3"/>
        <v>0.44801942313784987</v>
      </c>
      <c r="G109" s="158">
        <f t="shared" si="3"/>
        <v>9.7357608822392727</v>
      </c>
      <c r="H109" s="158">
        <f t="shared" si="3"/>
        <v>2.8731913284860968</v>
      </c>
      <c r="I109" s="158">
        <f t="shared" si="3"/>
        <v>1.0368824678781134</v>
      </c>
      <c r="J109" s="158">
        <f t="shared" si="3"/>
        <v>0.34514526245188787</v>
      </c>
      <c r="K109" s="158">
        <f t="shared" si="3"/>
        <v>35.660346782114217</v>
      </c>
      <c r="L109" s="158">
        <f t="shared" si="3"/>
        <v>1.7989915273149233</v>
      </c>
      <c r="M109" s="158">
        <f t="shared" si="3"/>
        <v>9.0429879687804942</v>
      </c>
      <c r="N109" s="158">
        <f t="shared" si="3"/>
        <v>107.723163787773</v>
      </c>
      <c r="O109" s="158">
        <f t="shared" si="3"/>
        <v>0.62026805184561196</v>
      </c>
      <c r="P109" s="158">
        <f t="shared" si="3"/>
        <v>8.4359753333304338E-2</v>
      </c>
      <c r="Q109" s="158" t="e">
        <f t="shared" si="3"/>
        <v>#DIV/0!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COUNT(Q9:Q104)+96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6" workbookViewId="0">
      <selection activeCell="J102" sqref="J102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2928</v>
      </c>
      <c r="B9" s="100">
        <v>5.34</v>
      </c>
      <c r="C9" s="100">
        <v>7.39</v>
      </c>
      <c r="D9" s="100">
        <v>3.36</v>
      </c>
      <c r="E9" s="100">
        <v>4.22</v>
      </c>
      <c r="F9" s="100">
        <v>0.25</v>
      </c>
      <c r="G9" s="100">
        <v>29.5</v>
      </c>
      <c r="H9" s="100">
        <v>15.24</v>
      </c>
      <c r="I9" s="100">
        <v>6.36</v>
      </c>
      <c r="J9" s="100">
        <v>0.72</v>
      </c>
      <c r="K9" s="100">
        <v>258.3</v>
      </c>
      <c r="L9" s="100">
        <v>25.77</v>
      </c>
      <c r="M9" s="100">
        <v>92.99</v>
      </c>
      <c r="N9" s="100">
        <v>2.5</v>
      </c>
      <c r="O9" s="100">
        <v>0</v>
      </c>
      <c r="P9" s="100">
        <v>0.43</v>
      </c>
      <c r="Q9" s="151" t="s">
        <v>8</v>
      </c>
      <c r="R9" s="6"/>
      <c r="S9" s="6"/>
      <c r="T9" s="156"/>
      <c r="U9" s="6"/>
    </row>
    <row r="10" spans="1:21">
      <c r="A10" s="163" t="s">
        <v>2929</v>
      </c>
      <c r="B10" s="100">
        <v>5.16</v>
      </c>
      <c r="C10" s="100">
        <v>7.31</v>
      </c>
      <c r="D10" s="100">
        <v>3.48</v>
      </c>
      <c r="E10" s="100">
        <v>4.5199999999999996</v>
      </c>
      <c r="F10" s="100">
        <v>0.35</v>
      </c>
      <c r="G10" s="100">
        <v>29.5</v>
      </c>
      <c r="H10" s="100">
        <v>15.24</v>
      </c>
      <c r="I10" s="100">
        <v>6.2</v>
      </c>
      <c r="J10" s="100">
        <v>0.61</v>
      </c>
      <c r="K10" s="100">
        <v>257.62</v>
      </c>
      <c r="L10" s="100">
        <v>25.78</v>
      </c>
      <c r="M10" s="100">
        <v>92.7</v>
      </c>
      <c r="N10" s="100">
        <v>2.4</v>
      </c>
      <c r="O10" s="100">
        <v>0</v>
      </c>
      <c r="P10" s="100">
        <v>0.42</v>
      </c>
      <c r="Q10" s="151" t="s">
        <v>8</v>
      </c>
      <c r="R10" s="6"/>
      <c r="S10" s="6"/>
      <c r="T10" s="156"/>
      <c r="U10" s="6"/>
    </row>
    <row r="11" spans="1:21">
      <c r="A11" s="163" t="s">
        <v>2930</v>
      </c>
      <c r="B11" s="100">
        <v>5</v>
      </c>
      <c r="C11" s="100">
        <v>7.19</v>
      </c>
      <c r="D11" s="100">
        <v>3.51</v>
      </c>
      <c r="E11" s="100">
        <v>4.55</v>
      </c>
      <c r="F11" s="100">
        <v>0.32</v>
      </c>
      <c r="G11" s="100">
        <v>29.48</v>
      </c>
      <c r="H11" s="100">
        <v>11.87</v>
      </c>
      <c r="I11" s="100">
        <v>5.98</v>
      </c>
      <c r="J11" s="100">
        <v>0.91</v>
      </c>
      <c r="K11" s="100">
        <v>266.27</v>
      </c>
      <c r="L11" s="100">
        <v>25.82</v>
      </c>
      <c r="M11" s="100">
        <v>90.46</v>
      </c>
      <c r="N11" s="100">
        <v>2.7</v>
      </c>
      <c r="O11" s="100">
        <v>0</v>
      </c>
      <c r="P11" s="100">
        <v>0.41</v>
      </c>
      <c r="Q11" s="151" t="s">
        <v>8</v>
      </c>
      <c r="R11" s="6"/>
      <c r="S11" s="6"/>
      <c r="T11" s="156"/>
      <c r="U11" s="6"/>
    </row>
    <row r="12" spans="1:21">
      <c r="A12" s="163" t="s">
        <v>2931</v>
      </c>
      <c r="B12" s="100">
        <v>4.8899999999999997</v>
      </c>
      <c r="C12" s="100">
        <v>7.18</v>
      </c>
      <c r="D12" s="100">
        <v>3.65</v>
      </c>
      <c r="E12" s="100">
        <v>4.3499999999999996</v>
      </c>
      <c r="F12" s="100">
        <v>0.27</v>
      </c>
      <c r="G12" s="100">
        <v>29.46</v>
      </c>
      <c r="H12" s="100">
        <v>10.82</v>
      </c>
      <c r="I12" s="100">
        <v>5.8</v>
      </c>
      <c r="J12" s="100">
        <v>0.89</v>
      </c>
      <c r="K12" s="100">
        <v>267.99</v>
      </c>
      <c r="L12" s="100">
        <v>25.72</v>
      </c>
      <c r="M12" s="100">
        <v>88.35</v>
      </c>
      <c r="N12" s="100">
        <v>3</v>
      </c>
      <c r="O12" s="100">
        <v>0</v>
      </c>
      <c r="P12" s="100">
        <v>0.41</v>
      </c>
      <c r="Q12" s="151" t="s">
        <v>8</v>
      </c>
      <c r="R12" s="6"/>
      <c r="S12" s="6"/>
      <c r="T12" s="156"/>
      <c r="U12" s="6"/>
    </row>
    <row r="13" spans="1:21">
      <c r="A13" s="163" t="s">
        <v>2932</v>
      </c>
      <c r="B13" s="100">
        <v>4.8099999999999996</v>
      </c>
      <c r="C13" s="100">
        <v>7.2</v>
      </c>
      <c r="D13" s="100">
        <v>3.81</v>
      </c>
      <c r="E13" s="100">
        <v>4.6100000000000003</v>
      </c>
      <c r="F13" s="100">
        <v>0.25</v>
      </c>
      <c r="G13" s="100">
        <v>29.46</v>
      </c>
      <c r="H13" s="100">
        <v>10.82</v>
      </c>
      <c r="I13" s="100">
        <v>5.73</v>
      </c>
      <c r="J13" s="100">
        <v>0.89</v>
      </c>
      <c r="K13" s="100">
        <v>266.74</v>
      </c>
      <c r="L13" s="100">
        <v>25.63</v>
      </c>
      <c r="M13" s="100">
        <v>85.99</v>
      </c>
      <c r="N13" s="100">
        <v>2.9</v>
      </c>
      <c r="O13" s="100">
        <v>0</v>
      </c>
      <c r="P13" s="100">
        <v>0.41</v>
      </c>
      <c r="Q13" s="151" t="s">
        <v>8</v>
      </c>
      <c r="R13" s="6"/>
      <c r="S13" s="6"/>
      <c r="T13" s="156"/>
      <c r="U13" s="6"/>
    </row>
    <row r="14" spans="1:21">
      <c r="A14" s="163" t="s">
        <v>2933</v>
      </c>
      <c r="B14" s="100">
        <v>4.68</v>
      </c>
      <c r="C14" s="100">
        <v>7.13</v>
      </c>
      <c r="D14" s="100">
        <v>3.88</v>
      </c>
      <c r="E14" s="100">
        <v>4.68</v>
      </c>
      <c r="F14" s="100">
        <v>0.53</v>
      </c>
      <c r="G14" s="100">
        <v>29.46</v>
      </c>
      <c r="H14" s="100">
        <v>10.82</v>
      </c>
      <c r="I14" s="100">
        <v>5.66</v>
      </c>
      <c r="J14" s="100">
        <v>1.02</v>
      </c>
      <c r="K14" s="100">
        <v>261.3</v>
      </c>
      <c r="L14" s="100">
        <v>25.49</v>
      </c>
      <c r="M14" s="100">
        <v>85.44</v>
      </c>
      <c r="N14" s="100">
        <v>2.7</v>
      </c>
      <c r="O14" s="100">
        <v>0</v>
      </c>
      <c r="P14" s="100">
        <v>0.39</v>
      </c>
      <c r="Q14" s="151" t="s">
        <v>8</v>
      </c>
      <c r="R14" s="6"/>
      <c r="S14" s="6"/>
      <c r="T14" s="156"/>
      <c r="U14" s="6"/>
    </row>
    <row r="15" spans="1:21">
      <c r="A15" s="163" t="s">
        <v>2934</v>
      </c>
      <c r="B15" s="100">
        <v>4.53</v>
      </c>
      <c r="C15" s="100">
        <v>7.07</v>
      </c>
      <c r="D15" s="100">
        <v>3.98</v>
      </c>
      <c r="E15" s="100">
        <v>4.67</v>
      </c>
      <c r="F15" s="100">
        <v>0.4</v>
      </c>
      <c r="G15" s="100">
        <v>26.23</v>
      </c>
      <c r="H15" s="100">
        <v>9.94</v>
      </c>
      <c r="I15" s="100">
        <v>5.79</v>
      </c>
      <c r="J15" s="100">
        <v>0.85</v>
      </c>
      <c r="K15" s="100">
        <v>261.73</v>
      </c>
      <c r="L15" s="100">
        <v>25.39</v>
      </c>
      <c r="M15" s="100">
        <v>85.36</v>
      </c>
      <c r="N15" s="100">
        <v>2.4</v>
      </c>
      <c r="O15" s="100">
        <v>0</v>
      </c>
      <c r="P15" s="100">
        <v>0.38</v>
      </c>
      <c r="Q15" s="151" t="s">
        <v>8</v>
      </c>
      <c r="R15" s="6"/>
      <c r="S15" s="6"/>
      <c r="T15" s="156"/>
      <c r="U15" s="6"/>
    </row>
    <row r="16" spans="1:21">
      <c r="A16" s="163" t="s">
        <v>2935</v>
      </c>
      <c r="B16" s="100">
        <v>4.4400000000000004</v>
      </c>
      <c r="C16" s="100">
        <v>7.01</v>
      </c>
      <c r="D16" s="100">
        <v>4.0199999999999996</v>
      </c>
      <c r="E16" s="100">
        <v>4.55</v>
      </c>
      <c r="F16" s="100">
        <v>0.57999999999999996</v>
      </c>
      <c r="G16" s="100">
        <v>23.76</v>
      </c>
      <c r="H16" s="100">
        <v>9.66</v>
      </c>
      <c r="I16" s="100">
        <v>5.61</v>
      </c>
      <c r="J16" s="100">
        <v>0.92</v>
      </c>
      <c r="K16" s="100">
        <v>262.17</v>
      </c>
      <c r="L16" s="100">
        <v>25.33</v>
      </c>
      <c r="M16" s="100">
        <v>85.09</v>
      </c>
      <c r="N16" s="100">
        <v>2.4</v>
      </c>
      <c r="O16" s="100">
        <v>0</v>
      </c>
      <c r="P16" s="100">
        <v>0.38</v>
      </c>
      <c r="Q16" s="151" t="s">
        <v>8</v>
      </c>
      <c r="R16" s="6"/>
      <c r="S16" s="6"/>
      <c r="T16" s="156"/>
      <c r="U16" s="6"/>
    </row>
    <row r="17" spans="1:21">
      <c r="A17" s="163" t="s">
        <v>2936</v>
      </c>
      <c r="B17" s="100">
        <v>4.3499999999999996</v>
      </c>
      <c r="C17" s="100">
        <v>7</v>
      </c>
      <c r="D17" s="100">
        <v>4.1399999999999997</v>
      </c>
      <c r="E17" s="100">
        <v>4.1399999999999997</v>
      </c>
      <c r="F17" s="100">
        <v>0.37</v>
      </c>
      <c r="G17" s="100">
        <v>23.76</v>
      </c>
      <c r="H17" s="100">
        <v>9.66</v>
      </c>
      <c r="I17" s="100">
        <v>5.58</v>
      </c>
      <c r="J17" s="100">
        <v>1.1299999999999999</v>
      </c>
      <c r="K17" s="100">
        <v>262.45</v>
      </c>
      <c r="L17" s="100">
        <v>25.33</v>
      </c>
      <c r="M17" s="100">
        <v>84.85</v>
      </c>
      <c r="N17" s="100">
        <v>2.1</v>
      </c>
      <c r="O17" s="100">
        <v>0</v>
      </c>
      <c r="P17" s="100">
        <v>0.4</v>
      </c>
      <c r="Q17" s="151" t="s">
        <v>8</v>
      </c>
      <c r="R17" s="6"/>
      <c r="S17" s="6"/>
      <c r="T17" s="156"/>
      <c r="U17" s="6"/>
    </row>
    <row r="18" spans="1:21">
      <c r="A18" s="163" t="s">
        <v>2937</v>
      </c>
      <c r="B18" s="100">
        <v>4.3</v>
      </c>
      <c r="C18" s="100">
        <v>7.03</v>
      </c>
      <c r="D18" s="100">
        <v>4.26</v>
      </c>
      <c r="E18" s="100">
        <v>5.01</v>
      </c>
      <c r="F18" s="100">
        <v>0.76</v>
      </c>
      <c r="G18" s="100">
        <v>23.76</v>
      </c>
      <c r="H18" s="100">
        <v>9.66</v>
      </c>
      <c r="I18" s="100">
        <v>5.57</v>
      </c>
      <c r="J18" s="100">
        <v>1.02</v>
      </c>
      <c r="K18" s="100">
        <v>274.89</v>
      </c>
      <c r="L18" s="100">
        <v>25.18</v>
      </c>
      <c r="M18" s="100">
        <v>85.4</v>
      </c>
      <c r="N18" s="100">
        <v>2.1</v>
      </c>
      <c r="O18" s="100">
        <v>0</v>
      </c>
      <c r="P18" s="100">
        <v>0.4</v>
      </c>
      <c r="Q18" s="151" t="s">
        <v>8</v>
      </c>
      <c r="R18" s="6"/>
      <c r="S18" s="6"/>
      <c r="T18" s="156"/>
      <c r="U18" s="6"/>
    </row>
    <row r="19" spans="1:21">
      <c r="A19" s="163" t="s">
        <v>2938</v>
      </c>
      <c r="B19" s="100">
        <v>4.3099999999999996</v>
      </c>
      <c r="C19" s="100">
        <v>7.06</v>
      </c>
      <c r="D19" s="100">
        <v>4.32</v>
      </c>
      <c r="E19" s="100">
        <v>4.93</v>
      </c>
      <c r="F19" s="100">
        <v>0.82</v>
      </c>
      <c r="G19" s="100">
        <v>25.65</v>
      </c>
      <c r="H19" s="100">
        <v>11.32</v>
      </c>
      <c r="I19" s="100">
        <v>5.68</v>
      </c>
      <c r="J19" s="100">
        <v>1.46</v>
      </c>
      <c r="K19" s="100">
        <v>291.5</v>
      </c>
      <c r="L19" s="100">
        <v>25.08</v>
      </c>
      <c r="M19" s="100">
        <v>85.33</v>
      </c>
      <c r="N19" s="100">
        <v>2.1</v>
      </c>
      <c r="O19" s="100">
        <v>0</v>
      </c>
      <c r="P19" s="100">
        <v>0.4</v>
      </c>
      <c r="Q19" s="151" t="s">
        <v>8</v>
      </c>
      <c r="R19" s="6"/>
      <c r="S19" s="6"/>
      <c r="T19" s="156"/>
      <c r="U19" s="6"/>
    </row>
    <row r="20" spans="1:21">
      <c r="A20" s="163" t="s">
        <v>2939</v>
      </c>
      <c r="B20" s="100">
        <v>4.34</v>
      </c>
      <c r="C20" s="100">
        <v>7.07</v>
      </c>
      <c r="D20" s="100">
        <v>4.28</v>
      </c>
      <c r="E20" s="100">
        <v>5.01</v>
      </c>
      <c r="F20" s="100">
        <v>0.55000000000000004</v>
      </c>
      <c r="G20" s="100">
        <v>27.1</v>
      </c>
      <c r="H20" s="100">
        <v>11.85</v>
      </c>
      <c r="I20" s="100">
        <v>5.76</v>
      </c>
      <c r="J20" s="100">
        <v>1.25</v>
      </c>
      <c r="K20" s="100">
        <v>289.18</v>
      </c>
      <c r="L20" s="100">
        <v>24.69</v>
      </c>
      <c r="M20" s="100">
        <v>87.56</v>
      </c>
      <c r="N20" s="100">
        <v>3.4</v>
      </c>
      <c r="O20" s="100">
        <v>0.2</v>
      </c>
      <c r="P20" s="100">
        <v>0.38</v>
      </c>
      <c r="Q20" s="151" t="s">
        <v>8</v>
      </c>
      <c r="R20" s="6"/>
      <c r="S20" s="6"/>
      <c r="T20" s="156"/>
      <c r="U20" s="6"/>
    </row>
    <row r="21" spans="1:21">
      <c r="A21" s="163" t="s">
        <v>2940</v>
      </c>
      <c r="B21" s="100">
        <v>4.3099999999999996</v>
      </c>
      <c r="C21" s="100">
        <v>6.96</v>
      </c>
      <c r="D21" s="100">
        <v>4.12</v>
      </c>
      <c r="E21" s="100">
        <v>5.24</v>
      </c>
      <c r="F21" s="100">
        <v>0.72</v>
      </c>
      <c r="G21" s="100">
        <v>27.1</v>
      </c>
      <c r="H21" s="100">
        <v>11.85</v>
      </c>
      <c r="I21" s="100">
        <v>5.82</v>
      </c>
      <c r="J21" s="100">
        <v>0.94</v>
      </c>
      <c r="K21" s="100">
        <v>287.72000000000003</v>
      </c>
      <c r="L21" s="100">
        <v>23.76</v>
      </c>
      <c r="M21" s="100">
        <v>94.59</v>
      </c>
      <c r="N21" s="100">
        <v>3.4</v>
      </c>
      <c r="O21" s="100">
        <v>1</v>
      </c>
      <c r="P21" s="100">
        <v>0.38</v>
      </c>
      <c r="Q21" s="151" t="s">
        <v>8</v>
      </c>
      <c r="R21" s="6"/>
      <c r="S21" s="6"/>
      <c r="T21" s="156"/>
      <c r="U21" s="6"/>
    </row>
    <row r="22" spans="1:21">
      <c r="A22" s="163" t="s">
        <v>2941</v>
      </c>
      <c r="B22" s="100">
        <v>4.2699999999999996</v>
      </c>
      <c r="C22" s="100">
        <v>6.82</v>
      </c>
      <c r="D22" s="100">
        <v>3.91</v>
      </c>
      <c r="E22" s="100">
        <v>5.27</v>
      </c>
      <c r="F22" s="100">
        <v>0.99</v>
      </c>
      <c r="G22" s="100">
        <v>27.1</v>
      </c>
      <c r="H22" s="100">
        <v>11.85</v>
      </c>
      <c r="I22" s="100">
        <v>5.66</v>
      </c>
      <c r="J22" s="100">
        <v>0.81</v>
      </c>
      <c r="K22" s="100">
        <v>264.51</v>
      </c>
      <c r="L22" s="100">
        <v>23.42</v>
      </c>
      <c r="M22" s="100">
        <v>96.67</v>
      </c>
      <c r="N22" s="100">
        <v>2.5</v>
      </c>
      <c r="O22" s="100">
        <v>0.2</v>
      </c>
      <c r="P22" s="100">
        <v>0.37</v>
      </c>
      <c r="Q22" s="151" t="s">
        <v>8</v>
      </c>
      <c r="R22" s="6"/>
      <c r="S22" s="6"/>
      <c r="T22" s="156"/>
      <c r="U22" s="6"/>
    </row>
    <row r="23" spans="1:21">
      <c r="A23" s="163" t="s">
        <v>2942</v>
      </c>
      <c r="B23" s="100">
        <v>4.21</v>
      </c>
      <c r="C23" s="100">
        <v>6.68</v>
      </c>
      <c r="D23" s="100">
        <v>3.75</v>
      </c>
      <c r="E23" s="100">
        <v>5.41</v>
      </c>
      <c r="F23" s="100">
        <v>1.33</v>
      </c>
      <c r="G23" s="100">
        <v>31.8</v>
      </c>
      <c r="H23" s="100">
        <v>12.12</v>
      </c>
      <c r="I23" s="100">
        <v>5.42</v>
      </c>
      <c r="J23" s="100">
        <v>0.62</v>
      </c>
      <c r="K23" s="100">
        <v>267.06</v>
      </c>
      <c r="L23" s="100">
        <v>23.58</v>
      </c>
      <c r="M23" s="100">
        <v>96.77</v>
      </c>
      <c r="N23" s="100">
        <v>2.2000000000000002</v>
      </c>
      <c r="O23" s="100">
        <v>0.2</v>
      </c>
      <c r="P23" s="100">
        <v>0.36</v>
      </c>
      <c r="Q23" s="151" t="s">
        <v>8</v>
      </c>
      <c r="R23" s="6"/>
      <c r="S23" s="6"/>
      <c r="T23" s="156"/>
      <c r="U23" s="6"/>
    </row>
    <row r="24" spans="1:21">
      <c r="A24" s="163" t="s">
        <v>2943</v>
      </c>
      <c r="B24" s="100">
        <v>4.17</v>
      </c>
      <c r="C24" s="100">
        <v>6.61</v>
      </c>
      <c r="D24" s="100">
        <v>3.67</v>
      </c>
      <c r="E24" s="100">
        <v>5.39</v>
      </c>
      <c r="F24" s="100">
        <v>0.73</v>
      </c>
      <c r="G24" s="100">
        <v>35.4</v>
      </c>
      <c r="H24" s="100">
        <v>12.21</v>
      </c>
      <c r="I24" s="100">
        <v>5.38</v>
      </c>
      <c r="J24" s="100">
        <v>1</v>
      </c>
      <c r="K24" s="100">
        <v>263.22000000000003</v>
      </c>
      <c r="L24" s="100">
        <v>23.72</v>
      </c>
      <c r="M24" s="100">
        <v>94.31</v>
      </c>
      <c r="N24" s="100">
        <v>2.4</v>
      </c>
      <c r="O24" s="100">
        <v>0</v>
      </c>
      <c r="P24" s="100">
        <v>0.34</v>
      </c>
      <c r="Q24" s="151" t="s">
        <v>8</v>
      </c>
      <c r="R24" s="6"/>
      <c r="S24" s="6"/>
      <c r="T24" s="156"/>
      <c r="U24" s="6"/>
    </row>
    <row r="25" spans="1:21">
      <c r="A25" s="163" t="s">
        <v>2944</v>
      </c>
      <c r="B25" s="100">
        <v>4.1100000000000003</v>
      </c>
      <c r="C25" s="100">
        <v>6.54</v>
      </c>
      <c r="D25" s="100">
        <v>3.63</v>
      </c>
      <c r="E25" s="100">
        <v>5.38</v>
      </c>
      <c r="F25" s="100">
        <v>0.47</v>
      </c>
      <c r="G25" s="100">
        <v>35.4</v>
      </c>
      <c r="H25" s="100">
        <v>12.21</v>
      </c>
      <c r="I25" s="100">
        <v>5.16</v>
      </c>
      <c r="J25" s="100">
        <v>0.81</v>
      </c>
      <c r="K25" s="100">
        <v>260.83</v>
      </c>
      <c r="L25" s="100">
        <v>23.76</v>
      </c>
      <c r="M25" s="100">
        <v>93.74</v>
      </c>
      <c r="N25" s="100">
        <v>2.2999999999999998</v>
      </c>
      <c r="O25" s="100">
        <v>0</v>
      </c>
      <c r="P25" s="100">
        <v>0.33</v>
      </c>
      <c r="Q25" s="151" t="s">
        <v>8</v>
      </c>
      <c r="R25" s="6"/>
      <c r="S25" s="6"/>
      <c r="T25" s="156"/>
      <c r="U25" s="6"/>
    </row>
    <row r="26" spans="1:21">
      <c r="A26" s="163" t="s">
        <v>2945</v>
      </c>
      <c r="B26" s="100">
        <v>4.13</v>
      </c>
      <c r="C26" s="100">
        <v>6.41</v>
      </c>
      <c r="D26" s="100">
        <v>3.35</v>
      </c>
      <c r="E26" s="100">
        <v>5.43</v>
      </c>
      <c r="F26" s="100">
        <v>0.21</v>
      </c>
      <c r="G26" s="100">
        <v>35.4</v>
      </c>
      <c r="H26" s="100">
        <v>12.21</v>
      </c>
      <c r="I26" s="100">
        <v>4.97</v>
      </c>
      <c r="J26" s="100">
        <v>0.68</v>
      </c>
      <c r="K26" s="100">
        <v>259.05</v>
      </c>
      <c r="L26" s="100">
        <v>23.53</v>
      </c>
      <c r="M26" s="100">
        <v>94.15</v>
      </c>
      <c r="N26" s="100">
        <v>2.5</v>
      </c>
      <c r="O26" s="100">
        <v>0</v>
      </c>
      <c r="P26" s="100">
        <v>0.36</v>
      </c>
      <c r="Q26" s="151" t="s">
        <v>8</v>
      </c>
      <c r="R26" s="6"/>
      <c r="S26" s="6"/>
      <c r="T26" s="156"/>
      <c r="U26" s="6"/>
    </row>
    <row r="27" spans="1:21">
      <c r="A27" s="163" t="s">
        <v>2946</v>
      </c>
      <c r="B27" s="100">
        <v>4.28</v>
      </c>
      <c r="C27" s="100">
        <v>6.37</v>
      </c>
      <c r="D27" s="100">
        <v>3.04</v>
      </c>
      <c r="E27" s="100">
        <v>5.1100000000000003</v>
      </c>
      <c r="F27" s="100">
        <v>0.05</v>
      </c>
      <c r="G27" s="100">
        <v>30.74</v>
      </c>
      <c r="H27" s="100">
        <v>11.19</v>
      </c>
      <c r="I27" s="100">
        <v>4.92</v>
      </c>
      <c r="J27" s="100">
        <v>0.4</v>
      </c>
      <c r="K27" s="100">
        <v>245.59</v>
      </c>
      <c r="L27" s="100">
        <v>23.47</v>
      </c>
      <c r="M27" s="100">
        <v>95.39</v>
      </c>
      <c r="N27" s="100">
        <v>2.1</v>
      </c>
      <c r="O27" s="100">
        <v>0</v>
      </c>
      <c r="P27" s="100">
        <v>0.35</v>
      </c>
      <c r="Q27" s="151" t="s">
        <v>8</v>
      </c>
      <c r="R27" s="6"/>
      <c r="S27" s="6"/>
      <c r="T27" s="156"/>
      <c r="U27" s="6"/>
    </row>
    <row r="28" spans="1:21">
      <c r="A28" s="163" t="s">
        <v>2947</v>
      </c>
      <c r="B28" s="100">
        <v>4.37</v>
      </c>
      <c r="C28" s="100">
        <v>6.3</v>
      </c>
      <c r="D28" s="100">
        <v>2.77</v>
      </c>
      <c r="E28" s="100">
        <v>4.95</v>
      </c>
      <c r="F28" s="100">
        <v>0.24</v>
      </c>
      <c r="G28" s="100">
        <v>27.19</v>
      </c>
      <c r="H28" s="100">
        <v>10.86</v>
      </c>
      <c r="I28" s="100">
        <v>4.96</v>
      </c>
      <c r="J28" s="100">
        <v>0.41</v>
      </c>
      <c r="K28" s="100">
        <v>251.81</v>
      </c>
      <c r="L28" s="100">
        <v>23.42</v>
      </c>
      <c r="M28" s="100">
        <v>97.14</v>
      </c>
      <c r="N28" s="100">
        <v>2.2999999999999998</v>
      </c>
      <c r="O28" s="100">
        <v>1.6</v>
      </c>
      <c r="P28" s="100">
        <v>0.37</v>
      </c>
      <c r="Q28" s="151" t="s">
        <v>8</v>
      </c>
      <c r="R28" s="6"/>
      <c r="S28" s="6"/>
      <c r="T28" s="156"/>
      <c r="U28" s="6"/>
    </row>
    <row r="29" spans="1:21">
      <c r="A29" s="163" t="s">
        <v>2948</v>
      </c>
      <c r="B29" s="100">
        <v>4.58</v>
      </c>
      <c r="C29" s="100">
        <v>6.42</v>
      </c>
      <c r="D29" s="100">
        <v>2.66</v>
      </c>
      <c r="E29" s="100">
        <v>4.84</v>
      </c>
      <c r="F29" s="100">
        <v>0.24</v>
      </c>
      <c r="G29" s="100">
        <v>27.19</v>
      </c>
      <c r="H29" s="100">
        <v>10.86</v>
      </c>
      <c r="I29" s="100">
        <v>4.84</v>
      </c>
      <c r="J29" s="100">
        <v>0.55000000000000004</v>
      </c>
      <c r="K29" s="100">
        <v>257.02999999999997</v>
      </c>
      <c r="L29" s="100">
        <v>23.37</v>
      </c>
      <c r="M29" s="100">
        <v>98.34</v>
      </c>
      <c r="N29" s="100">
        <v>2.2999999999999998</v>
      </c>
      <c r="O29" s="100">
        <v>0.6</v>
      </c>
      <c r="P29" s="100">
        <v>0.36</v>
      </c>
      <c r="Q29" s="151" t="s">
        <v>8</v>
      </c>
      <c r="R29" s="6"/>
      <c r="S29" s="6"/>
      <c r="T29" s="156"/>
      <c r="U29" s="6"/>
    </row>
    <row r="30" spans="1:21">
      <c r="A30" s="163" t="s">
        <v>2949</v>
      </c>
      <c r="B30" s="100">
        <v>4.7</v>
      </c>
      <c r="C30" s="100">
        <v>6.44</v>
      </c>
      <c r="D30" s="100">
        <v>2.54</v>
      </c>
      <c r="E30" s="100">
        <v>4.92</v>
      </c>
      <c r="F30" s="100">
        <v>0.12</v>
      </c>
      <c r="G30" s="100">
        <v>27.19</v>
      </c>
      <c r="H30" s="100">
        <v>10.86</v>
      </c>
      <c r="I30" s="100">
        <v>5.05</v>
      </c>
      <c r="J30" s="100">
        <v>0.54</v>
      </c>
      <c r="K30" s="100">
        <v>256.91000000000003</v>
      </c>
      <c r="L30" s="100">
        <v>23.43</v>
      </c>
      <c r="M30" s="100">
        <v>98.74</v>
      </c>
      <c r="N30" s="100">
        <v>2.6</v>
      </c>
      <c r="O30" s="100">
        <v>0.2</v>
      </c>
      <c r="P30" s="100">
        <v>0.38</v>
      </c>
      <c r="Q30" s="151" t="s">
        <v>8</v>
      </c>
      <c r="R30" s="6"/>
      <c r="S30" s="6"/>
      <c r="T30" s="156"/>
      <c r="U30" s="6"/>
    </row>
    <row r="31" spans="1:21">
      <c r="A31" s="163" t="s">
        <v>2950</v>
      </c>
      <c r="B31" s="100">
        <v>4.8600000000000003</v>
      </c>
      <c r="C31" s="100">
        <v>6.62</v>
      </c>
      <c r="D31" s="100">
        <v>2.63</v>
      </c>
      <c r="E31" s="100">
        <v>3.64</v>
      </c>
      <c r="F31" s="100">
        <v>0.12</v>
      </c>
      <c r="G31" s="100">
        <v>27.73</v>
      </c>
      <c r="H31" s="100">
        <v>8.8699999999999992</v>
      </c>
      <c r="I31" s="100">
        <v>5.03</v>
      </c>
      <c r="J31" s="100">
        <v>0.59</v>
      </c>
      <c r="K31" s="100">
        <v>256.88</v>
      </c>
      <c r="L31" s="100">
        <v>23.6</v>
      </c>
      <c r="M31" s="100">
        <v>97.77</v>
      </c>
      <c r="N31" s="100">
        <v>4.0999999999999996</v>
      </c>
      <c r="O31" s="100">
        <v>0</v>
      </c>
      <c r="P31" s="100">
        <v>0.37</v>
      </c>
      <c r="Q31" s="151" t="s">
        <v>8</v>
      </c>
      <c r="R31" s="6"/>
      <c r="S31" s="6"/>
      <c r="T31" s="156"/>
      <c r="U31" s="6"/>
    </row>
    <row r="32" spans="1:21">
      <c r="A32" s="163" t="s">
        <v>2951</v>
      </c>
      <c r="B32" s="100">
        <v>4.96</v>
      </c>
      <c r="C32" s="100">
        <v>6.64</v>
      </c>
      <c r="D32" s="100">
        <v>2.5</v>
      </c>
      <c r="E32" s="100">
        <v>4.72</v>
      </c>
      <c r="F32" s="100">
        <v>0.03</v>
      </c>
      <c r="G32" s="100">
        <v>28.15</v>
      </c>
      <c r="H32" s="100">
        <v>7.7</v>
      </c>
      <c r="I32" s="100">
        <v>5.22</v>
      </c>
      <c r="J32" s="100">
        <v>0.71</v>
      </c>
      <c r="K32" s="100">
        <v>260.58</v>
      </c>
      <c r="L32" s="100">
        <v>23.65</v>
      </c>
      <c r="M32" s="100">
        <v>96.47</v>
      </c>
      <c r="N32" s="100">
        <v>6.1</v>
      </c>
      <c r="O32" s="100">
        <v>0</v>
      </c>
      <c r="P32" s="100">
        <v>0.39</v>
      </c>
      <c r="Q32" s="151" t="s">
        <v>8</v>
      </c>
      <c r="R32" s="6"/>
      <c r="S32" s="6"/>
      <c r="T32" s="156"/>
      <c r="U32" s="6"/>
    </row>
    <row r="33" spans="1:21">
      <c r="A33" s="163" t="s">
        <v>2952</v>
      </c>
      <c r="B33" s="100">
        <v>5.07</v>
      </c>
      <c r="C33" s="100">
        <v>6.8</v>
      </c>
      <c r="D33" s="100">
        <v>2.64</v>
      </c>
      <c r="E33" s="100">
        <v>4.82</v>
      </c>
      <c r="F33" s="100">
        <v>0.03</v>
      </c>
      <c r="G33" s="100">
        <v>28.15</v>
      </c>
      <c r="H33" s="100">
        <v>7.7</v>
      </c>
      <c r="I33" s="100">
        <v>5.29</v>
      </c>
      <c r="J33" s="100">
        <v>0.66</v>
      </c>
      <c r="K33" s="100">
        <v>257.27999999999997</v>
      </c>
      <c r="L33" s="100">
        <v>23.73</v>
      </c>
      <c r="M33" s="100">
        <v>95.39</v>
      </c>
      <c r="N33" s="100">
        <v>9.1</v>
      </c>
      <c r="O33" s="100">
        <v>0</v>
      </c>
      <c r="P33" s="100">
        <v>0.37</v>
      </c>
      <c r="Q33" s="151" t="s">
        <v>8</v>
      </c>
      <c r="R33" s="6"/>
      <c r="S33" s="6"/>
      <c r="T33" s="156"/>
      <c r="U33" s="6"/>
    </row>
    <row r="34" spans="1:21">
      <c r="A34" s="163" t="s">
        <v>2953</v>
      </c>
      <c r="B34" s="100">
        <v>5.15</v>
      </c>
      <c r="C34" s="100">
        <v>6.76</v>
      </c>
      <c r="D34" s="100">
        <v>2.4500000000000002</v>
      </c>
      <c r="E34" s="100">
        <v>4.25</v>
      </c>
      <c r="F34" s="100">
        <v>0.09</v>
      </c>
      <c r="G34" s="100">
        <v>28.15</v>
      </c>
      <c r="H34" s="100">
        <v>7.7</v>
      </c>
      <c r="I34" s="100">
        <v>5.2</v>
      </c>
      <c r="J34" s="100">
        <v>0.84</v>
      </c>
      <c r="K34" s="100">
        <v>260.16000000000003</v>
      </c>
      <c r="L34" s="100">
        <v>23.81</v>
      </c>
      <c r="M34" s="100">
        <v>94.42</v>
      </c>
      <c r="N34" s="100">
        <v>15.9</v>
      </c>
      <c r="O34" s="100">
        <v>0</v>
      </c>
      <c r="P34" s="100">
        <v>0.37</v>
      </c>
      <c r="Q34" s="151" t="s">
        <v>8</v>
      </c>
      <c r="R34" s="6"/>
      <c r="S34" s="6"/>
      <c r="T34" s="156"/>
      <c r="U34" s="6"/>
    </row>
    <row r="35" spans="1:21">
      <c r="A35" s="163" t="s">
        <v>2954</v>
      </c>
      <c r="B35" s="100">
        <v>5.05</v>
      </c>
      <c r="C35" s="100">
        <v>6.77</v>
      </c>
      <c r="D35" s="100">
        <v>2.62</v>
      </c>
      <c r="E35" s="100">
        <v>4.7300000000000004</v>
      </c>
      <c r="F35" s="100">
        <v>0.24</v>
      </c>
      <c r="G35" s="100">
        <v>27.64</v>
      </c>
      <c r="H35" s="100">
        <v>6.72</v>
      </c>
      <c r="I35" s="100">
        <v>5.25</v>
      </c>
      <c r="J35" s="100">
        <v>0.94</v>
      </c>
      <c r="K35" s="100">
        <v>264.98</v>
      </c>
      <c r="L35" s="100">
        <v>23.95</v>
      </c>
      <c r="M35" s="100">
        <v>92.57</v>
      </c>
      <c r="N35" s="100">
        <v>28.5</v>
      </c>
      <c r="O35" s="100">
        <v>0</v>
      </c>
      <c r="P35" s="100">
        <v>0.4</v>
      </c>
      <c r="Q35" s="151" t="s">
        <v>8</v>
      </c>
      <c r="R35" s="6"/>
      <c r="S35" s="6"/>
      <c r="T35" s="156"/>
      <c r="U35" s="6"/>
    </row>
    <row r="36" spans="1:21">
      <c r="A36" s="163" t="s">
        <v>2955</v>
      </c>
      <c r="B36" s="100">
        <v>5.16</v>
      </c>
      <c r="C36" s="100">
        <v>6.94</v>
      </c>
      <c r="D36" s="100">
        <v>2.77</v>
      </c>
      <c r="E36" s="100">
        <v>4.5599999999999996</v>
      </c>
      <c r="F36" s="100">
        <v>0.24</v>
      </c>
      <c r="G36" s="100">
        <v>27.25</v>
      </c>
      <c r="H36" s="100">
        <v>6.41</v>
      </c>
      <c r="I36" s="100">
        <v>5.15</v>
      </c>
      <c r="J36" s="100">
        <v>1.1299999999999999</v>
      </c>
      <c r="K36" s="100">
        <v>262.93</v>
      </c>
      <c r="L36" s="100">
        <v>23.97</v>
      </c>
      <c r="M36" s="100">
        <v>90.86</v>
      </c>
      <c r="N36" s="100">
        <v>25</v>
      </c>
      <c r="O36" s="100">
        <v>0</v>
      </c>
      <c r="P36" s="100">
        <v>0.4</v>
      </c>
      <c r="Q36" s="151" t="s">
        <v>8</v>
      </c>
      <c r="R36" s="6"/>
      <c r="S36" s="6"/>
      <c r="T36" s="156"/>
      <c r="U36" s="6"/>
    </row>
    <row r="37" spans="1:21">
      <c r="A37" s="163" t="s">
        <v>2956</v>
      </c>
      <c r="B37" s="100">
        <v>5.18</v>
      </c>
      <c r="C37" s="100">
        <v>6.93</v>
      </c>
      <c r="D37" s="100">
        <v>2.73</v>
      </c>
      <c r="E37" s="100">
        <v>4.49</v>
      </c>
      <c r="F37" s="100">
        <v>0.12</v>
      </c>
      <c r="G37" s="100">
        <v>27.25</v>
      </c>
      <c r="H37" s="100">
        <v>6.41</v>
      </c>
      <c r="I37" s="100">
        <v>5.3</v>
      </c>
      <c r="J37" s="100">
        <v>0.89</v>
      </c>
      <c r="K37" s="100">
        <v>263.2</v>
      </c>
      <c r="L37" s="100">
        <v>23.98</v>
      </c>
      <c r="M37" s="100">
        <v>91.1</v>
      </c>
      <c r="N37" s="100">
        <v>33.5</v>
      </c>
      <c r="O37" s="100">
        <v>0</v>
      </c>
      <c r="P37" s="100">
        <v>0.44</v>
      </c>
      <c r="Q37" s="151" t="s">
        <v>8</v>
      </c>
      <c r="R37" s="6"/>
      <c r="S37" s="6"/>
      <c r="T37" s="156"/>
      <c r="U37" s="6"/>
    </row>
    <row r="38" spans="1:21">
      <c r="A38" s="163" t="s">
        <v>2957</v>
      </c>
      <c r="B38" s="100">
        <v>5.21</v>
      </c>
      <c r="C38" s="100">
        <v>7.11</v>
      </c>
      <c r="D38" s="100">
        <v>3.02</v>
      </c>
      <c r="E38" s="100">
        <v>4.78</v>
      </c>
      <c r="F38" s="100">
        <v>0.12</v>
      </c>
      <c r="G38" s="100">
        <v>27.25</v>
      </c>
      <c r="H38" s="100">
        <v>6.41</v>
      </c>
      <c r="I38" s="100">
        <v>5.48</v>
      </c>
      <c r="J38" s="100">
        <v>0.76</v>
      </c>
      <c r="K38" s="100">
        <v>261.63</v>
      </c>
      <c r="L38" s="100">
        <v>24.06</v>
      </c>
      <c r="M38" s="100">
        <v>91.81</v>
      </c>
      <c r="N38" s="100">
        <v>37.799999999999997</v>
      </c>
      <c r="O38" s="100">
        <v>0</v>
      </c>
      <c r="P38" s="100">
        <v>0.47</v>
      </c>
      <c r="Q38" s="151" t="s">
        <v>8</v>
      </c>
      <c r="R38" s="6"/>
      <c r="S38" s="6"/>
      <c r="T38" s="156"/>
      <c r="U38" s="6"/>
    </row>
    <row r="39" spans="1:21">
      <c r="A39" s="163" t="s">
        <v>2958</v>
      </c>
      <c r="B39" s="100">
        <v>5.34</v>
      </c>
      <c r="C39" s="100">
        <v>7.18</v>
      </c>
      <c r="D39" s="100">
        <v>2.96</v>
      </c>
      <c r="E39" s="100">
        <v>4.72</v>
      </c>
      <c r="F39" s="100">
        <v>0.01</v>
      </c>
      <c r="G39" s="100">
        <v>27.01</v>
      </c>
      <c r="H39" s="100">
        <v>10.07</v>
      </c>
      <c r="I39" s="100">
        <v>5.71</v>
      </c>
      <c r="J39" s="100">
        <v>0.89</v>
      </c>
      <c r="K39" s="100">
        <v>264.56</v>
      </c>
      <c r="L39" s="100">
        <v>24.1</v>
      </c>
      <c r="M39" s="100">
        <v>90.97</v>
      </c>
      <c r="N39" s="100">
        <v>37.9</v>
      </c>
      <c r="O39" s="100">
        <v>0</v>
      </c>
      <c r="P39" s="100">
        <v>0.48</v>
      </c>
      <c r="Q39" s="151" t="s">
        <v>8</v>
      </c>
      <c r="R39" s="6"/>
      <c r="S39" s="6"/>
      <c r="T39" s="156"/>
      <c r="U39" s="6"/>
    </row>
    <row r="40" spans="1:21">
      <c r="A40" s="163" t="s">
        <v>2959</v>
      </c>
      <c r="B40" s="100">
        <v>5.36</v>
      </c>
      <c r="C40" s="100">
        <v>7.19</v>
      </c>
      <c r="D40" s="100">
        <v>2.96</v>
      </c>
      <c r="E40" s="100">
        <v>4.57</v>
      </c>
      <c r="F40" s="100">
        <v>7.0000000000000007E-2</v>
      </c>
      <c r="G40" s="100">
        <v>26.83</v>
      </c>
      <c r="H40" s="100">
        <v>11.24</v>
      </c>
      <c r="I40" s="100">
        <v>6.28</v>
      </c>
      <c r="J40" s="100">
        <v>0.91</v>
      </c>
      <c r="K40" s="100">
        <v>260.67</v>
      </c>
      <c r="L40" s="100">
        <v>24.04</v>
      </c>
      <c r="M40" s="100">
        <v>91.12</v>
      </c>
      <c r="N40" s="100">
        <v>41.6</v>
      </c>
      <c r="O40" s="100">
        <v>0</v>
      </c>
      <c r="P40" s="100">
        <v>0.49</v>
      </c>
      <c r="Q40" s="151" t="s">
        <v>8</v>
      </c>
      <c r="R40" s="6"/>
      <c r="S40" s="6"/>
      <c r="T40" s="156"/>
      <c r="U40" s="6"/>
    </row>
    <row r="41" spans="1:21">
      <c r="A41" s="163" t="s">
        <v>2960</v>
      </c>
      <c r="B41" s="100">
        <v>5.39</v>
      </c>
      <c r="C41" s="100">
        <v>7.17</v>
      </c>
      <c r="D41" s="100">
        <v>2.87</v>
      </c>
      <c r="E41" s="100">
        <v>4.8099999999999996</v>
      </c>
      <c r="F41" s="100">
        <v>7.0000000000000007E-2</v>
      </c>
      <c r="G41" s="100">
        <v>26.83</v>
      </c>
      <c r="H41" s="100">
        <v>11.24</v>
      </c>
      <c r="I41" s="100">
        <v>6.53</v>
      </c>
      <c r="J41" s="100">
        <v>0.88</v>
      </c>
      <c r="K41" s="100">
        <v>263.32</v>
      </c>
      <c r="L41" s="100">
        <v>24.26</v>
      </c>
      <c r="M41" s="100">
        <v>90.54</v>
      </c>
      <c r="N41" s="100">
        <v>92.5</v>
      </c>
      <c r="O41" s="100">
        <v>0</v>
      </c>
      <c r="P41" s="100">
        <v>0.48</v>
      </c>
      <c r="Q41" s="151" t="s">
        <v>8</v>
      </c>
      <c r="R41" s="6"/>
      <c r="S41" s="6"/>
      <c r="T41" s="156"/>
      <c r="U41" s="6"/>
    </row>
    <row r="42" spans="1:21">
      <c r="A42" s="163" t="s">
        <v>2961</v>
      </c>
      <c r="B42" s="100">
        <v>5.37</v>
      </c>
      <c r="C42" s="100">
        <v>7.2</v>
      </c>
      <c r="D42" s="100">
        <v>2.96</v>
      </c>
      <c r="E42" s="100">
        <v>4.83</v>
      </c>
      <c r="F42" s="100">
        <v>0.02</v>
      </c>
      <c r="G42" s="100">
        <v>26.83</v>
      </c>
      <c r="H42" s="100">
        <v>11.24</v>
      </c>
      <c r="I42" s="100">
        <v>6.57</v>
      </c>
      <c r="J42" s="100">
        <v>0.95</v>
      </c>
      <c r="K42" s="100">
        <v>276.04000000000002</v>
      </c>
      <c r="L42" s="100">
        <v>24.71</v>
      </c>
      <c r="M42" s="100">
        <v>88.75</v>
      </c>
      <c r="N42" s="100">
        <v>122.9</v>
      </c>
      <c r="O42" s="100">
        <v>0</v>
      </c>
      <c r="P42" s="100">
        <v>0.5</v>
      </c>
      <c r="Q42" s="151" t="s">
        <v>8</v>
      </c>
      <c r="R42" s="6"/>
      <c r="S42" s="6"/>
      <c r="T42" s="156"/>
      <c r="U42" s="6"/>
    </row>
    <row r="43" spans="1:21">
      <c r="A43" s="163" t="s">
        <v>2962</v>
      </c>
      <c r="B43" s="100">
        <v>5.63</v>
      </c>
      <c r="C43" s="100">
        <v>7.49</v>
      </c>
      <c r="D43" s="100">
        <v>3.1</v>
      </c>
      <c r="E43" s="100">
        <v>4.58</v>
      </c>
      <c r="F43" s="100">
        <v>0.02</v>
      </c>
      <c r="G43" s="100">
        <v>30.87</v>
      </c>
      <c r="H43" s="100">
        <v>10.01</v>
      </c>
      <c r="I43" s="100">
        <v>6.45</v>
      </c>
      <c r="J43" s="100">
        <v>1.18</v>
      </c>
      <c r="K43" s="100">
        <v>263.67</v>
      </c>
      <c r="L43" s="100">
        <v>24.71</v>
      </c>
      <c r="M43" s="100">
        <v>86.5</v>
      </c>
      <c r="N43" s="100">
        <v>112.4</v>
      </c>
      <c r="O43" s="100">
        <v>0</v>
      </c>
      <c r="P43" s="100">
        <v>0.52</v>
      </c>
      <c r="Q43" s="151" t="s">
        <v>8</v>
      </c>
      <c r="R43" s="6"/>
      <c r="S43" s="6"/>
      <c r="T43" s="156"/>
      <c r="U43" s="6"/>
    </row>
    <row r="44" spans="1:21">
      <c r="A44" s="163" t="s">
        <v>2963</v>
      </c>
      <c r="B44" s="100">
        <v>5.63</v>
      </c>
      <c r="C44" s="100">
        <v>7.49</v>
      </c>
      <c r="D44" s="100">
        <v>3.11</v>
      </c>
      <c r="E44" s="100">
        <v>4.53</v>
      </c>
      <c r="F44" s="100">
        <v>0.09</v>
      </c>
      <c r="G44" s="100">
        <v>33.96</v>
      </c>
      <c r="H44" s="100">
        <v>9.6300000000000008</v>
      </c>
      <c r="I44" s="100">
        <v>6.79</v>
      </c>
      <c r="J44" s="100">
        <v>1.33</v>
      </c>
      <c r="K44" s="100">
        <v>268.17</v>
      </c>
      <c r="L44" s="100">
        <v>24.65</v>
      </c>
      <c r="M44" s="100">
        <v>85.6</v>
      </c>
      <c r="N44" s="100">
        <v>139.6</v>
      </c>
      <c r="O44" s="100">
        <v>0</v>
      </c>
      <c r="P44" s="100">
        <v>0.53</v>
      </c>
      <c r="Q44" s="151" t="s">
        <v>8</v>
      </c>
      <c r="R44" s="6"/>
      <c r="S44" s="6"/>
      <c r="T44" s="156"/>
      <c r="U44" s="6"/>
    </row>
    <row r="45" spans="1:21">
      <c r="A45" s="163" t="s">
        <v>2964</v>
      </c>
      <c r="B45" s="100">
        <v>5.54</v>
      </c>
      <c r="C45" s="100">
        <v>7.84</v>
      </c>
      <c r="D45" s="100">
        <v>3.92</v>
      </c>
      <c r="E45" s="100">
        <v>4.43</v>
      </c>
      <c r="F45" s="100">
        <v>0.09</v>
      </c>
      <c r="G45" s="100">
        <v>33.96</v>
      </c>
      <c r="H45" s="100">
        <v>9.6300000000000008</v>
      </c>
      <c r="I45" s="100">
        <v>7.21</v>
      </c>
      <c r="J45" s="100">
        <v>1.08</v>
      </c>
      <c r="K45" s="100">
        <v>273.12</v>
      </c>
      <c r="L45" s="100">
        <v>24.78</v>
      </c>
      <c r="M45" s="100">
        <v>86.11</v>
      </c>
      <c r="N45" s="100">
        <v>181.1</v>
      </c>
      <c r="O45" s="100">
        <v>0</v>
      </c>
      <c r="P45" s="100">
        <v>0.5</v>
      </c>
      <c r="Q45" s="151" t="s">
        <v>8</v>
      </c>
      <c r="R45" s="6"/>
      <c r="S45" s="6"/>
      <c r="T45" s="156"/>
      <c r="U45" s="6"/>
    </row>
    <row r="46" spans="1:21">
      <c r="A46" s="163" t="s">
        <v>2965</v>
      </c>
      <c r="B46" s="100">
        <v>5.48</v>
      </c>
      <c r="C46" s="100">
        <v>7.98</v>
      </c>
      <c r="D46" s="100">
        <v>4.2699999999999996</v>
      </c>
      <c r="E46" s="100">
        <v>4.5199999999999996</v>
      </c>
      <c r="F46" s="100">
        <v>0.09</v>
      </c>
      <c r="G46" s="100">
        <v>33.96</v>
      </c>
      <c r="H46" s="100">
        <v>9.6300000000000008</v>
      </c>
      <c r="I46" s="100">
        <v>7.25</v>
      </c>
      <c r="J46" s="100">
        <v>1.1100000000000001</v>
      </c>
      <c r="K46" s="100">
        <v>266.91000000000003</v>
      </c>
      <c r="L46" s="100">
        <v>25.23</v>
      </c>
      <c r="M46" s="100">
        <v>84.82</v>
      </c>
      <c r="N46" s="100">
        <v>175.3</v>
      </c>
      <c r="O46" s="100">
        <v>0</v>
      </c>
      <c r="P46" s="100">
        <v>0.53</v>
      </c>
      <c r="Q46" s="151" t="s">
        <v>8</v>
      </c>
      <c r="R46" s="6"/>
      <c r="S46" s="6"/>
      <c r="T46" s="156"/>
      <c r="U46" s="6"/>
    </row>
    <row r="47" spans="1:21">
      <c r="A47" s="163" t="s">
        <v>2966</v>
      </c>
      <c r="B47" s="100">
        <v>5.52</v>
      </c>
      <c r="C47" s="100">
        <v>8.16</v>
      </c>
      <c r="D47" s="100">
        <v>4.5599999999999996</v>
      </c>
      <c r="E47" s="100">
        <v>4.41</v>
      </c>
      <c r="F47" s="100">
        <v>0.06</v>
      </c>
      <c r="G47" s="100">
        <v>36.24</v>
      </c>
      <c r="H47" s="100">
        <v>12.23</v>
      </c>
      <c r="I47" s="100">
        <v>7.16</v>
      </c>
      <c r="J47" s="100">
        <v>0.94</v>
      </c>
      <c r="K47" s="100">
        <v>257.51</v>
      </c>
      <c r="L47" s="100">
        <v>25.35</v>
      </c>
      <c r="M47" s="100">
        <v>84.89</v>
      </c>
      <c r="N47" s="100">
        <v>161.6</v>
      </c>
      <c r="O47" s="100">
        <v>0</v>
      </c>
      <c r="P47" s="100">
        <v>0.56999999999999995</v>
      </c>
      <c r="Q47" s="151" t="s">
        <v>8</v>
      </c>
      <c r="R47" s="6"/>
      <c r="S47" s="6"/>
      <c r="T47" s="156"/>
      <c r="U47" s="6"/>
    </row>
    <row r="48" spans="1:21">
      <c r="A48" s="163" t="s">
        <v>2967</v>
      </c>
      <c r="B48" s="100">
        <v>5.48</v>
      </c>
      <c r="C48" s="100">
        <v>8.1999999999999993</v>
      </c>
      <c r="D48" s="100">
        <v>4.7</v>
      </c>
      <c r="E48" s="100">
        <v>4.72</v>
      </c>
      <c r="F48" s="100">
        <v>0.02</v>
      </c>
      <c r="G48" s="100">
        <v>37.99</v>
      </c>
      <c r="H48" s="100">
        <v>13.07</v>
      </c>
      <c r="I48" s="100">
        <v>7.5</v>
      </c>
      <c r="J48" s="100">
        <v>0.89</v>
      </c>
      <c r="K48" s="100">
        <v>265.86</v>
      </c>
      <c r="L48" s="100">
        <v>25.4</v>
      </c>
      <c r="M48" s="100">
        <v>84.79</v>
      </c>
      <c r="N48" s="100">
        <v>177.2</v>
      </c>
      <c r="O48" s="100">
        <v>0</v>
      </c>
      <c r="P48" s="100">
        <v>0.57999999999999996</v>
      </c>
      <c r="Q48" s="151" t="s">
        <v>8</v>
      </c>
      <c r="R48" s="6"/>
      <c r="S48" s="6"/>
      <c r="T48" s="156"/>
      <c r="U48" s="6"/>
    </row>
    <row r="49" spans="1:21">
      <c r="A49" s="163" t="s">
        <v>2968</v>
      </c>
      <c r="B49" s="100">
        <v>5.27</v>
      </c>
      <c r="C49" s="100">
        <v>8</v>
      </c>
      <c r="D49" s="100">
        <v>4.6399999999999997</v>
      </c>
      <c r="E49" s="100">
        <v>4.0599999999999996</v>
      </c>
      <c r="F49" s="100">
        <v>0.28999999999999998</v>
      </c>
      <c r="G49" s="100">
        <v>37.99</v>
      </c>
      <c r="H49" s="100">
        <v>13.07</v>
      </c>
      <c r="I49" s="100">
        <v>8.11</v>
      </c>
      <c r="J49" s="100">
        <v>1.07</v>
      </c>
      <c r="K49" s="100">
        <v>262.26</v>
      </c>
      <c r="L49" s="100">
        <v>25.79</v>
      </c>
      <c r="M49" s="100">
        <v>82.32</v>
      </c>
      <c r="N49" s="100">
        <v>230.3</v>
      </c>
      <c r="O49" s="100">
        <v>0</v>
      </c>
      <c r="P49" s="100">
        <v>0.56000000000000005</v>
      </c>
      <c r="Q49" s="151" t="s">
        <v>8</v>
      </c>
      <c r="R49" s="6"/>
      <c r="S49" s="6"/>
      <c r="T49" s="156"/>
      <c r="U49" s="6"/>
    </row>
    <row r="50" spans="1:21">
      <c r="A50" s="163" t="s">
        <v>2969</v>
      </c>
      <c r="B50" s="100">
        <v>4.99</v>
      </c>
      <c r="C50" s="100">
        <v>7.73</v>
      </c>
      <c r="D50" s="100">
        <v>4.55</v>
      </c>
      <c r="E50" s="100">
        <v>4.82</v>
      </c>
      <c r="F50" s="100">
        <v>0.28999999999999998</v>
      </c>
      <c r="G50" s="100">
        <v>37.99</v>
      </c>
      <c r="H50" s="100">
        <v>13.07</v>
      </c>
      <c r="I50" s="100">
        <v>8.1300000000000008</v>
      </c>
      <c r="J50" s="100">
        <v>1.06</v>
      </c>
      <c r="K50" s="100">
        <v>269.99</v>
      </c>
      <c r="L50" s="100">
        <v>25.93</v>
      </c>
      <c r="M50" s="100">
        <v>81.59</v>
      </c>
      <c r="N50" s="100">
        <v>180.4</v>
      </c>
      <c r="O50" s="100">
        <v>0</v>
      </c>
      <c r="P50" s="100">
        <v>0.55000000000000004</v>
      </c>
      <c r="Q50" s="151" t="s">
        <v>8</v>
      </c>
      <c r="R50" s="6"/>
      <c r="S50" s="6"/>
      <c r="T50" s="156"/>
      <c r="U50" s="6"/>
    </row>
    <row r="51" spans="1:21">
      <c r="A51" s="163" t="s">
        <v>2970</v>
      </c>
      <c r="B51" s="100">
        <v>4.83</v>
      </c>
      <c r="C51" s="100">
        <v>7.57</v>
      </c>
      <c r="D51" s="100">
        <v>4.49</v>
      </c>
      <c r="E51" s="100">
        <v>4.6500000000000004</v>
      </c>
      <c r="F51" s="100">
        <v>0.24</v>
      </c>
      <c r="G51" s="100">
        <v>38.53</v>
      </c>
      <c r="H51" s="100">
        <v>14.12</v>
      </c>
      <c r="I51" s="100">
        <v>7.85</v>
      </c>
      <c r="J51" s="100">
        <v>1.27</v>
      </c>
      <c r="K51" s="100">
        <v>262.22000000000003</v>
      </c>
      <c r="L51" s="100">
        <v>26.3</v>
      </c>
      <c r="M51" s="100">
        <v>79.63</v>
      </c>
      <c r="N51" s="100">
        <v>296.60000000000002</v>
      </c>
      <c r="O51" s="100">
        <v>0</v>
      </c>
      <c r="P51" s="100">
        <v>0.53</v>
      </c>
      <c r="Q51" s="151" t="s">
        <v>8</v>
      </c>
      <c r="R51" s="6"/>
      <c r="S51" s="6"/>
      <c r="T51" s="156"/>
      <c r="U51" s="6"/>
    </row>
    <row r="52" spans="1:21">
      <c r="A52" s="163" t="s">
        <v>2971</v>
      </c>
      <c r="B52" s="100">
        <v>4.6399999999999997</v>
      </c>
      <c r="C52" s="100">
        <v>7.32</v>
      </c>
      <c r="D52" s="100">
        <v>4.3</v>
      </c>
      <c r="E52" s="100">
        <v>4.63</v>
      </c>
      <c r="F52" s="100">
        <v>0.23</v>
      </c>
      <c r="G52" s="100">
        <v>38.950000000000003</v>
      </c>
      <c r="H52" s="100">
        <v>14.46</v>
      </c>
      <c r="I52" s="100">
        <v>7.53</v>
      </c>
      <c r="J52" s="100">
        <v>1.34</v>
      </c>
      <c r="K52" s="100">
        <v>263.41000000000003</v>
      </c>
      <c r="L52" s="100">
        <v>26.73</v>
      </c>
      <c r="M52" s="100">
        <v>78.59</v>
      </c>
      <c r="N52" s="100">
        <v>408.2</v>
      </c>
      <c r="O52" s="100">
        <v>0</v>
      </c>
      <c r="P52" s="100">
        <v>0.5</v>
      </c>
      <c r="Q52" s="151" t="s">
        <v>8</v>
      </c>
      <c r="R52" s="6"/>
      <c r="S52" s="6"/>
      <c r="T52" s="156"/>
      <c r="U52" s="6"/>
    </row>
    <row r="53" spans="1:21">
      <c r="A53" s="163" t="s">
        <v>2972</v>
      </c>
      <c r="B53" s="100">
        <v>4.4400000000000004</v>
      </c>
      <c r="C53" s="100">
        <v>7.06</v>
      </c>
      <c r="D53" s="100">
        <v>4.1100000000000003</v>
      </c>
      <c r="E53" s="100">
        <v>4.75</v>
      </c>
      <c r="F53" s="100">
        <v>0.97</v>
      </c>
      <c r="G53" s="100">
        <v>38.950000000000003</v>
      </c>
      <c r="H53" s="100">
        <v>14.46</v>
      </c>
      <c r="I53" s="100">
        <v>7.29</v>
      </c>
      <c r="J53" s="100">
        <v>1.2</v>
      </c>
      <c r="K53" s="100">
        <v>262.20999999999998</v>
      </c>
      <c r="L53" s="100">
        <v>26.63</v>
      </c>
      <c r="M53" s="100">
        <v>79.540000000000006</v>
      </c>
      <c r="N53" s="100">
        <v>276.7</v>
      </c>
      <c r="O53" s="100">
        <v>0</v>
      </c>
      <c r="P53" s="100">
        <v>0.49</v>
      </c>
      <c r="Q53" s="151" t="s">
        <v>8</v>
      </c>
      <c r="R53" s="6"/>
      <c r="S53" s="6"/>
      <c r="T53" s="156"/>
      <c r="U53" s="6"/>
    </row>
    <row r="54" spans="1:21">
      <c r="A54" s="163" t="s">
        <v>2973</v>
      </c>
      <c r="B54" s="100">
        <v>4.24</v>
      </c>
      <c r="C54" s="100">
        <v>6.82</v>
      </c>
      <c r="D54" s="100">
        <v>3.97</v>
      </c>
      <c r="E54" s="100">
        <v>4.5599999999999996</v>
      </c>
      <c r="F54" s="100">
        <v>0.74</v>
      </c>
      <c r="G54" s="100">
        <v>38.950000000000003</v>
      </c>
      <c r="H54" s="100">
        <v>14.46</v>
      </c>
      <c r="I54" s="100">
        <v>6.99</v>
      </c>
      <c r="J54" s="100">
        <v>1.1299999999999999</v>
      </c>
      <c r="K54" s="100">
        <v>256.73</v>
      </c>
      <c r="L54" s="100">
        <v>26.6</v>
      </c>
      <c r="M54" s="100">
        <v>79.069999999999993</v>
      </c>
      <c r="N54" s="100">
        <v>263.8</v>
      </c>
      <c r="O54" s="100">
        <v>0</v>
      </c>
      <c r="P54" s="100">
        <v>0.47</v>
      </c>
      <c r="Q54" s="151" t="s">
        <v>8</v>
      </c>
      <c r="R54" s="6"/>
      <c r="S54" s="6"/>
      <c r="T54" s="156"/>
      <c r="U54" s="6"/>
    </row>
    <row r="55" spans="1:21">
      <c r="A55" s="163" t="s">
        <v>2974</v>
      </c>
      <c r="B55" s="100">
        <v>4.0599999999999996</v>
      </c>
      <c r="C55" s="100">
        <v>6.64</v>
      </c>
      <c r="D55" s="100">
        <v>3.88</v>
      </c>
      <c r="E55" s="100">
        <v>4.82</v>
      </c>
      <c r="F55" s="100">
        <v>0.9</v>
      </c>
      <c r="G55" s="100">
        <v>36.909999999999997</v>
      </c>
      <c r="H55" s="100">
        <v>12.92</v>
      </c>
      <c r="I55" s="100">
        <v>6.89</v>
      </c>
      <c r="J55" s="100">
        <v>1.19</v>
      </c>
      <c r="K55" s="100">
        <v>264.8</v>
      </c>
      <c r="L55" s="100">
        <v>26.61</v>
      </c>
      <c r="M55" s="100">
        <v>79.22</v>
      </c>
      <c r="N55" s="100">
        <v>260.10000000000002</v>
      </c>
      <c r="O55" s="100">
        <v>0</v>
      </c>
      <c r="P55" s="100">
        <v>0.45</v>
      </c>
      <c r="Q55" s="151" t="s">
        <v>8</v>
      </c>
      <c r="R55" s="6"/>
      <c r="S55" s="6"/>
      <c r="T55" s="156"/>
      <c r="U55" s="6"/>
    </row>
    <row r="56" spans="1:21">
      <c r="A56" s="163" t="s">
        <v>2975</v>
      </c>
      <c r="B56" s="100">
        <v>3.95</v>
      </c>
      <c r="C56" s="100">
        <v>6.51</v>
      </c>
      <c r="D56" s="100">
        <v>3.8</v>
      </c>
      <c r="E56" s="100">
        <v>4.76</v>
      </c>
      <c r="F56" s="100">
        <v>1.35</v>
      </c>
      <c r="G56" s="100">
        <v>35.35</v>
      </c>
      <c r="H56" s="100">
        <v>12.04</v>
      </c>
      <c r="I56" s="100">
        <v>6.55</v>
      </c>
      <c r="J56" s="100">
        <v>1.33</v>
      </c>
      <c r="K56" s="100">
        <v>268.48</v>
      </c>
      <c r="L56" s="100">
        <v>26.51</v>
      </c>
      <c r="M56" s="100">
        <v>78.02</v>
      </c>
      <c r="N56" s="100">
        <v>234.7</v>
      </c>
      <c r="O56" s="100">
        <v>0</v>
      </c>
      <c r="P56" s="100">
        <v>0.44</v>
      </c>
      <c r="Q56" s="151" t="s">
        <v>8</v>
      </c>
      <c r="R56" s="6"/>
      <c r="S56" s="6"/>
      <c r="T56" s="156"/>
      <c r="U56" s="6"/>
    </row>
    <row r="57" spans="1:21">
      <c r="A57" s="163" t="s">
        <v>2976</v>
      </c>
      <c r="B57" s="100">
        <v>3.92</v>
      </c>
      <c r="C57" s="100">
        <v>6.42</v>
      </c>
      <c r="D57" s="100">
        <v>3.69</v>
      </c>
      <c r="E57" s="100">
        <v>4.71</v>
      </c>
      <c r="F57" s="100">
        <v>0.78</v>
      </c>
      <c r="G57" s="100">
        <v>35.35</v>
      </c>
      <c r="H57" s="100">
        <v>12.04</v>
      </c>
      <c r="I57" s="100">
        <v>6.21</v>
      </c>
      <c r="J57" s="100">
        <v>1.42</v>
      </c>
      <c r="K57" s="100">
        <v>271.25</v>
      </c>
      <c r="L57" s="100">
        <v>26.3</v>
      </c>
      <c r="M57" s="100">
        <v>78.92</v>
      </c>
      <c r="N57" s="100">
        <v>191.1</v>
      </c>
      <c r="O57" s="100">
        <v>0</v>
      </c>
      <c r="P57" s="100">
        <v>0.43</v>
      </c>
      <c r="Q57" s="151" t="s">
        <v>8</v>
      </c>
      <c r="R57" s="6"/>
      <c r="S57" s="6"/>
      <c r="T57" s="156"/>
      <c r="U57" s="6"/>
    </row>
    <row r="58" spans="1:21">
      <c r="A58" s="163" t="s">
        <v>2977</v>
      </c>
      <c r="B58" s="100">
        <v>3.89</v>
      </c>
      <c r="C58" s="100">
        <v>6.39</v>
      </c>
      <c r="D58" s="100">
        <v>3.67</v>
      </c>
      <c r="E58" s="100">
        <v>4.5199999999999996</v>
      </c>
      <c r="F58" s="100">
        <v>0.79</v>
      </c>
      <c r="G58" s="100">
        <v>35.35</v>
      </c>
      <c r="H58" s="100">
        <v>12.04</v>
      </c>
      <c r="I58" s="100">
        <v>6.09</v>
      </c>
      <c r="J58" s="100">
        <v>1.1499999999999999</v>
      </c>
      <c r="K58" s="100">
        <v>260.16000000000003</v>
      </c>
      <c r="L58" s="100">
        <v>26.39</v>
      </c>
      <c r="M58" s="100">
        <v>80.459999999999994</v>
      </c>
      <c r="N58" s="100">
        <v>173.7</v>
      </c>
      <c r="O58" s="100">
        <v>0</v>
      </c>
      <c r="P58" s="100">
        <v>0.41</v>
      </c>
      <c r="Q58" s="151" t="s">
        <v>8</v>
      </c>
      <c r="R58" s="6"/>
      <c r="S58" s="6"/>
      <c r="T58" s="156"/>
      <c r="U58" s="6"/>
    </row>
    <row r="59" spans="1:21">
      <c r="A59" s="163" t="s">
        <v>2978</v>
      </c>
      <c r="B59" s="100">
        <v>3.84</v>
      </c>
      <c r="C59" s="100">
        <v>6.29</v>
      </c>
      <c r="D59" s="100">
        <v>3.56</v>
      </c>
      <c r="E59" s="100">
        <v>4.7699999999999996</v>
      </c>
      <c r="F59" s="100">
        <v>1</v>
      </c>
      <c r="G59" s="100">
        <v>31.22</v>
      </c>
      <c r="H59" s="100">
        <v>11.94</v>
      </c>
      <c r="I59" s="100">
        <v>5.96</v>
      </c>
      <c r="J59" s="100">
        <v>1.07</v>
      </c>
      <c r="K59" s="100">
        <v>263.25</v>
      </c>
      <c r="L59" s="100">
        <v>26.02</v>
      </c>
      <c r="M59" s="100">
        <v>83.22</v>
      </c>
      <c r="N59" s="100">
        <v>138.19999999999999</v>
      </c>
      <c r="O59" s="100">
        <v>0</v>
      </c>
      <c r="P59" s="100">
        <v>0.41</v>
      </c>
      <c r="Q59" s="151" t="s">
        <v>8</v>
      </c>
      <c r="R59" s="6"/>
      <c r="S59" s="6"/>
      <c r="T59" s="156"/>
      <c r="U59" s="6"/>
    </row>
    <row r="60" spans="1:21">
      <c r="A60" s="163" t="s">
        <v>2979</v>
      </c>
      <c r="B60" s="100">
        <v>3.84</v>
      </c>
      <c r="C60" s="100">
        <v>6.2</v>
      </c>
      <c r="D60" s="100">
        <v>3.39</v>
      </c>
      <c r="E60" s="100">
        <v>4.7699999999999996</v>
      </c>
      <c r="F60" s="100">
        <v>1.3</v>
      </c>
      <c r="G60" s="100">
        <v>28.06</v>
      </c>
      <c r="H60" s="100">
        <v>11.91</v>
      </c>
      <c r="I60" s="100">
        <v>5.81</v>
      </c>
      <c r="J60" s="100">
        <v>1.1100000000000001</v>
      </c>
      <c r="K60" s="100">
        <v>267.42</v>
      </c>
      <c r="L60" s="100">
        <v>25.3</v>
      </c>
      <c r="M60" s="100">
        <v>88.18</v>
      </c>
      <c r="N60" s="100">
        <v>93.4</v>
      </c>
      <c r="O60" s="100">
        <v>0</v>
      </c>
      <c r="P60" s="100">
        <v>0.4</v>
      </c>
      <c r="Q60" s="151" t="s">
        <v>8</v>
      </c>
      <c r="R60" s="6"/>
      <c r="S60" s="6"/>
      <c r="T60" s="156"/>
      <c r="U60" s="6"/>
    </row>
    <row r="61" spans="1:21">
      <c r="A61" s="163" t="s">
        <v>2980</v>
      </c>
      <c r="B61" s="100">
        <v>3.91</v>
      </c>
      <c r="C61" s="100">
        <v>6.35</v>
      </c>
      <c r="D61" s="100">
        <v>3.57</v>
      </c>
      <c r="E61" s="100">
        <v>4.55</v>
      </c>
      <c r="F61" s="100">
        <v>0.63</v>
      </c>
      <c r="G61" s="100">
        <v>28.06</v>
      </c>
      <c r="H61" s="100">
        <v>11.91</v>
      </c>
      <c r="I61" s="100">
        <v>5.72</v>
      </c>
      <c r="J61" s="100">
        <v>0.7</v>
      </c>
      <c r="K61" s="100">
        <v>270.5</v>
      </c>
      <c r="L61" s="100">
        <v>24.98</v>
      </c>
      <c r="M61" s="100">
        <v>93.21</v>
      </c>
      <c r="N61" s="100">
        <v>162.30000000000001</v>
      </c>
      <c r="O61" s="100">
        <v>0.2</v>
      </c>
      <c r="P61" s="100">
        <v>0.4</v>
      </c>
      <c r="Q61" s="151" t="s">
        <v>8</v>
      </c>
      <c r="R61" s="6"/>
      <c r="S61" s="6"/>
      <c r="T61" s="156"/>
      <c r="U61" s="6"/>
    </row>
    <row r="62" spans="1:21">
      <c r="A62" s="163" t="s">
        <v>2981</v>
      </c>
      <c r="B62" s="100">
        <v>4.01</v>
      </c>
      <c r="C62" s="100">
        <v>6.46</v>
      </c>
      <c r="D62" s="100">
        <v>3.61</v>
      </c>
      <c r="E62" s="100">
        <v>4.71</v>
      </c>
      <c r="F62" s="100">
        <v>0.92</v>
      </c>
      <c r="G62" s="100">
        <v>28.06</v>
      </c>
      <c r="H62" s="100">
        <v>11.91</v>
      </c>
      <c r="I62" s="100">
        <v>5.46</v>
      </c>
      <c r="J62" s="100">
        <v>0.88</v>
      </c>
      <c r="K62" s="100">
        <v>266.18</v>
      </c>
      <c r="L62" s="100">
        <v>25.1</v>
      </c>
      <c r="M62" s="100">
        <v>91.75</v>
      </c>
      <c r="N62" s="100">
        <v>126.2</v>
      </c>
      <c r="O62" s="100">
        <v>0</v>
      </c>
      <c r="P62" s="100">
        <v>0.4</v>
      </c>
      <c r="Q62" s="151" t="s">
        <v>8</v>
      </c>
      <c r="R62" s="6"/>
      <c r="S62" s="6"/>
      <c r="T62" s="156"/>
      <c r="U62" s="6"/>
    </row>
    <row r="63" spans="1:21">
      <c r="A63" s="163" t="s">
        <v>2982</v>
      </c>
      <c r="B63" s="100">
        <v>4.0199999999999996</v>
      </c>
      <c r="C63" s="100">
        <v>6.47</v>
      </c>
      <c r="D63" s="100">
        <v>3.62</v>
      </c>
      <c r="E63" s="100">
        <v>4.66</v>
      </c>
      <c r="F63" s="100">
        <v>0.91</v>
      </c>
      <c r="G63" s="100">
        <v>29.4</v>
      </c>
      <c r="H63" s="100">
        <v>12.37</v>
      </c>
      <c r="I63" s="100">
        <v>5.46</v>
      </c>
      <c r="J63" s="100">
        <v>0.74</v>
      </c>
      <c r="K63" s="100">
        <v>275.08</v>
      </c>
      <c r="L63" s="100">
        <v>24.7</v>
      </c>
      <c r="M63" s="100">
        <v>93.89</v>
      </c>
      <c r="N63" s="100">
        <v>95.4</v>
      </c>
      <c r="O63" s="100">
        <v>0.2</v>
      </c>
      <c r="P63" s="100">
        <v>0.4</v>
      </c>
      <c r="Q63" s="151" t="s">
        <v>8</v>
      </c>
      <c r="R63" s="6"/>
      <c r="S63" s="6"/>
      <c r="T63" s="156"/>
      <c r="U63" s="6"/>
    </row>
    <row r="64" spans="1:21">
      <c r="A64" s="163" t="s">
        <v>2983</v>
      </c>
      <c r="B64" s="100">
        <v>4.05</v>
      </c>
      <c r="C64" s="100">
        <v>6.45</v>
      </c>
      <c r="D64" s="100">
        <v>3.54</v>
      </c>
      <c r="E64" s="100">
        <v>5.04</v>
      </c>
      <c r="F64" s="100">
        <v>1.04</v>
      </c>
      <c r="G64" s="100">
        <v>30.42</v>
      </c>
      <c r="H64" s="100">
        <v>12.51</v>
      </c>
      <c r="I64" s="100">
        <v>5.45</v>
      </c>
      <c r="J64" s="100">
        <v>0.61</v>
      </c>
      <c r="K64" s="100">
        <v>260.23</v>
      </c>
      <c r="L64" s="100">
        <v>24.6</v>
      </c>
      <c r="M64" s="100">
        <v>95.31</v>
      </c>
      <c r="N64" s="100">
        <v>68.7</v>
      </c>
      <c r="O64" s="100">
        <v>0.2</v>
      </c>
      <c r="P64" s="100">
        <v>0.39</v>
      </c>
      <c r="Q64" s="151" t="s">
        <v>8</v>
      </c>
      <c r="R64" s="6"/>
      <c r="S64" s="6"/>
      <c r="T64" s="156"/>
      <c r="U64" s="6"/>
    </row>
    <row r="65" spans="1:21">
      <c r="A65" s="163" t="s">
        <v>2984</v>
      </c>
      <c r="B65" s="100">
        <v>4.08</v>
      </c>
      <c r="C65" s="100">
        <v>6.5</v>
      </c>
      <c r="D65" s="100">
        <v>3.58</v>
      </c>
      <c r="E65" s="100">
        <v>4.8499999999999996</v>
      </c>
      <c r="F65" s="100">
        <v>1.04</v>
      </c>
      <c r="G65" s="100">
        <v>30.42</v>
      </c>
      <c r="H65" s="100">
        <v>12.51</v>
      </c>
      <c r="I65" s="100">
        <v>5.53</v>
      </c>
      <c r="J65" s="100">
        <v>0.59</v>
      </c>
      <c r="K65" s="100">
        <v>257.08</v>
      </c>
      <c r="L65" s="100">
        <v>24.48</v>
      </c>
      <c r="M65" s="100">
        <v>96.55</v>
      </c>
      <c r="N65" s="100">
        <v>69.900000000000006</v>
      </c>
      <c r="O65" s="100">
        <v>0.2</v>
      </c>
      <c r="P65" s="100">
        <v>0.4</v>
      </c>
      <c r="Q65" s="151" t="s">
        <v>8</v>
      </c>
      <c r="R65" s="6"/>
      <c r="S65" s="6"/>
      <c r="T65" s="156"/>
      <c r="U65" s="6"/>
    </row>
    <row r="66" spans="1:21">
      <c r="A66" s="163" t="s">
        <v>2985</v>
      </c>
      <c r="B66" s="100">
        <v>4.17</v>
      </c>
      <c r="C66" s="100">
        <v>6.38</v>
      </c>
      <c r="D66" s="100">
        <v>3.22</v>
      </c>
      <c r="E66" s="100">
        <v>5.01</v>
      </c>
      <c r="F66" s="100">
        <v>1.04</v>
      </c>
      <c r="G66" s="100">
        <v>30.42</v>
      </c>
      <c r="H66" s="100">
        <v>12.51</v>
      </c>
      <c r="I66" s="100">
        <v>5.45</v>
      </c>
      <c r="J66" s="100">
        <v>0.6</v>
      </c>
      <c r="K66" s="100">
        <v>265.7</v>
      </c>
      <c r="L66" s="100">
        <v>24.37</v>
      </c>
      <c r="M66" s="100">
        <v>97.04</v>
      </c>
      <c r="N66" s="100">
        <v>82.5</v>
      </c>
      <c r="O66" s="100">
        <v>0</v>
      </c>
      <c r="P66" s="100">
        <v>0.41</v>
      </c>
      <c r="Q66" s="151" t="s">
        <v>8</v>
      </c>
      <c r="R66" s="6"/>
      <c r="S66" s="6"/>
      <c r="T66" s="156"/>
      <c r="U66" s="6"/>
    </row>
    <row r="67" spans="1:21">
      <c r="A67" s="163" t="s">
        <v>2986</v>
      </c>
      <c r="B67" s="100">
        <v>4.2699999999999996</v>
      </c>
      <c r="C67" s="100">
        <v>6.19</v>
      </c>
      <c r="D67" s="100">
        <v>2.7</v>
      </c>
      <c r="E67" s="100">
        <v>4.46</v>
      </c>
      <c r="F67" s="100">
        <v>0.18</v>
      </c>
      <c r="G67" s="100">
        <v>28.18</v>
      </c>
      <c r="H67" s="100">
        <v>11.98</v>
      </c>
      <c r="I67" s="100">
        <v>5.23</v>
      </c>
      <c r="J67" s="100">
        <v>0.63</v>
      </c>
      <c r="K67" s="100">
        <v>268.72000000000003</v>
      </c>
      <c r="L67" s="100">
        <v>24.92</v>
      </c>
      <c r="M67" s="100">
        <v>97.08</v>
      </c>
      <c r="N67" s="100">
        <v>204.6</v>
      </c>
      <c r="O67" s="100">
        <v>0.2</v>
      </c>
      <c r="P67" s="100">
        <v>0.4</v>
      </c>
      <c r="Q67" s="151" t="s">
        <v>8</v>
      </c>
      <c r="R67" s="6"/>
      <c r="S67" s="6"/>
      <c r="T67" s="156"/>
      <c r="U67" s="6"/>
    </row>
    <row r="68" spans="1:21">
      <c r="A68" s="163" t="s">
        <v>2987</v>
      </c>
      <c r="B68" s="100">
        <v>4.34</v>
      </c>
      <c r="C68" s="100">
        <v>6.27</v>
      </c>
      <c r="D68" s="100">
        <v>2.74</v>
      </c>
      <c r="E68" s="100">
        <v>4.3099999999999996</v>
      </c>
      <c r="F68" s="100">
        <v>0.14000000000000001</v>
      </c>
      <c r="G68" s="100">
        <v>26.46</v>
      </c>
      <c r="H68" s="100">
        <v>11.81</v>
      </c>
      <c r="I68" s="100">
        <v>5.19</v>
      </c>
      <c r="J68" s="100">
        <v>0.56999999999999995</v>
      </c>
      <c r="K68" s="100">
        <v>267.37</v>
      </c>
      <c r="L68" s="100">
        <v>25.78</v>
      </c>
      <c r="M68" s="100">
        <v>93.12</v>
      </c>
      <c r="N68" s="100">
        <v>191.2</v>
      </c>
      <c r="O68" s="100">
        <v>0</v>
      </c>
      <c r="P68" s="100">
        <v>0.41</v>
      </c>
      <c r="Q68" s="151" t="s">
        <v>8</v>
      </c>
      <c r="R68" s="6"/>
      <c r="S68" s="6"/>
      <c r="T68" s="156"/>
      <c r="U68" s="6"/>
    </row>
    <row r="69" spans="1:21">
      <c r="A69" s="163" t="s">
        <v>2988</v>
      </c>
      <c r="B69" s="100">
        <v>4.43</v>
      </c>
      <c r="C69" s="100">
        <v>6.23</v>
      </c>
      <c r="D69" s="100">
        <v>2.5499999999999998</v>
      </c>
      <c r="E69" s="100">
        <v>4.51</v>
      </c>
      <c r="F69" s="100">
        <v>0.14000000000000001</v>
      </c>
      <c r="G69" s="100">
        <v>26.46</v>
      </c>
      <c r="H69" s="100">
        <v>11.81</v>
      </c>
      <c r="I69" s="100">
        <v>5.1100000000000003</v>
      </c>
      <c r="J69" s="100">
        <v>0.81</v>
      </c>
      <c r="K69" s="100">
        <v>261.64999999999998</v>
      </c>
      <c r="L69" s="100">
        <v>25.74</v>
      </c>
      <c r="M69" s="100">
        <v>89.21</v>
      </c>
      <c r="N69" s="100">
        <v>127.1</v>
      </c>
      <c r="O69" s="100">
        <v>0</v>
      </c>
      <c r="P69" s="100">
        <v>0.39</v>
      </c>
      <c r="Q69" s="151" t="s">
        <v>8</v>
      </c>
      <c r="R69" s="6"/>
      <c r="S69" s="6"/>
      <c r="T69" s="156"/>
      <c r="U69" s="6"/>
    </row>
    <row r="70" spans="1:21">
      <c r="A70" s="163" t="s">
        <v>2989</v>
      </c>
      <c r="B70" s="100">
        <v>4.43</v>
      </c>
      <c r="C70" s="100">
        <v>6.14</v>
      </c>
      <c r="D70" s="100">
        <v>2.36</v>
      </c>
      <c r="E70" s="100">
        <v>4.09</v>
      </c>
      <c r="F70" s="100">
        <v>0.3</v>
      </c>
      <c r="G70" s="100">
        <v>26.46</v>
      </c>
      <c r="H70" s="100">
        <v>11.81</v>
      </c>
      <c r="I70" s="100">
        <v>5.28</v>
      </c>
      <c r="J70" s="100">
        <v>0.7</v>
      </c>
      <c r="K70" s="100">
        <v>268.01</v>
      </c>
      <c r="L70" s="100">
        <v>25.9</v>
      </c>
      <c r="M70" s="100">
        <v>89.04</v>
      </c>
      <c r="N70" s="100">
        <v>127.8</v>
      </c>
      <c r="O70" s="100">
        <v>0</v>
      </c>
      <c r="P70" s="100">
        <v>0.38</v>
      </c>
      <c r="Q70" s="151" t="s">
        <v>8</v>
      </c>
      <c r="R70" s="6"/>
      <c r="S70" s="6"/>
      <c r="T70" s="156"/>
      <c r="U70" s="6"/>
    </row>
    <row r="71" spans="1:21">
      <c r="A71" s="163" t="s">
        <v>2990</v>
      </c>
      <c r="B71" s="100">
        <v>4.41</v>
      </c>
      <c r="C71" s="100">
        <v>6.23</v>
      </c>
      <c r="D71" s="100">
        <v>2.58</v>
      </c>
      <c r="E71" s="100">
        <v>4.26</v>
      </c>
      <c r="F71" s="100">
        <v>0.41</v>
      </c>
      <c r="G71" s="100">
        <v>25.91</v>
      </c>
      <c r="H71" s="100">
        <v>12.26</v>
      </c>
      <c r="I71" s="100">
        <v>4.9800000000000004</v>
      </c>
      <c r="J71" s="100">
        <v>0.72</v>
      </c>
      <c r="K71" s="100">
        <v>261.98</v>
      </c>
      <c r="L71" s="100">
        <v>26.17</v>
      </c>
      <c r="M71" s="100">
        <v>87.2</v>
      </c>
      <c r="N71" s="100">
        <v>120.5</v>
      </c>
      <c r="O71" s="100">
        <v>0</v>
      </c>
      <c r="P71" s="100">
        <v>0.4</v>
      </c>
      <c r="Q71" s="151" t="s">
        <v>8</v>
      </c>
      <c r="R71" s="6"/>
      <c r="S71" s="6"/>
      <c r="T71" s="156"/>
      <c r="U71" s="6"/>
    </row>
    <row r="72" spans="1:21">
      <c r="A72" s="163" t="s">
        <v>2991</v>
      </c>
      <c r="B72" s="100">
        <v>4.47</v>
      </c>
      <c r="C72" s="100">
        <v>6.24</v>
      </c>
      <c r="D72" s="100">
        <v>2.4900000000000002</v>
      </c>
      <c r="E72" s="100">
        <v>4.43</v>
      </c>
      <c r="F72" s="100">
        <v>0.01</v>
      </c>
      <c r="G72" s="100">
        <v>25.48</v>
      </c>
      <c r="H72" s="100">
        <v>12.41</v>
      </c>
      <c r="I72" s="100">
        <v>4.83</v>
      </c>
      <c r="J72" s="100">
        <v>0.75</v>
      </c>
      <c r="K72" s="100">
        <v>265.31</v>
      </c>
      <c r="L72" s="100">
        <v>25.93</v>
      </c>
      <c r="M72" s="100">
        <v>86.77</v>
      </c>
      <c r="N72" s="100">
        <v>82.6</v>
      </c>
      <c r="O72" s="100">
        <v>0</v>
      </c>
      <c r="P72" s="100">
        <v>0.37</v>
      </c>
      <c r="Q72" s="151" t="s">
        <v>8</v>
      </c>
      <c r="R72" s="6"/>
      <c r="S72" s="6"/>
      <c r="T72" s="156"/>
      <c r="U72" s="6"/>
    </row>
    <row r="73" spans="1:21">
      <c r="A73" s="163" t="s">
        <v>2992</v>
      </c>
      <c r="B73" s="100">
        <v>4.45</v>
      </c>
      <c r="C73" s="100">
        <v>6.2</v>
      </c>
      <c r="D73" s="100">
        <v>2.4500000000000002</v>
      </c>
      <c r="E73" s="100">
        <v>4.24</v>
      </c>
      <c r="F73" s="100">
        <v>0.28000000000000003</v>
      </c>
      <c r="G73" s="100">
        <v>25.48</v>
      </c>
      <c r="H73" s="100">
        <v>12.41</v>
      </c>
      <c r="I73" s="100">
        <v>4.8499999999999996</v>
      </c>
      <c r="J73" s="100">
        <v>0.94</v>
      </c>
      <c r="K73" s="100">
        <v>260.89999999999998</v>
      </c>
      <c r="L73" s="100">
        <v>25.98</v>
      </c>
      <c r="M73" s="100">
        <v>85.92</v>
      </c>
      <c r="N73" s="100">
        <v>88.7</v>
      </c>
      <c r="O73" s="100">
        <v>0</v>
      </c>
      <c r="P73" s="100">
        <v>0.4</v>
      </c>
      <c r="Q73" s="151" t="s">
        <v>8</v>
      </c>
      <c r="R73" s="6"/>
      <c r="S73" s="6"/>
      <c r="T73" s="156"/>
      <c r="U73" s="6"/>
    </row>
    <row r="74" spans="1:21">
      <c r="A74" s="163" t="s">
        <v>2993</v>
      </c>
      <c r="B74" s="100">
        <v>4.43</v>
      </c>
      <c r="C74" s="100">
        <v>6.23</v>
      </c>
      <c r="D74" s="100">
        <v>2.54</v>
      </c>
      <c r="E74" s="100">
        <v>4.4000000000000004</v>
      </c>
      <c r="F74" s="100">
        <v>0.28000000000000003</v>
      </c>
      <c r="G74" s="100">
        <v>25.48</v>
      </c>
      <c r="H74" s="100">
        <v>12.41</v>
      </c>
      <c r="I74" s="100">
        <v>4.76</v>
      </c>
      <c r="J74" s="100">
        <v>0.77</v>
      </c>
      <c r="K74" s="100">
        <v>262.93</v>
      </c>
      <c r="L74" s="100">
        <v>26.15</v>
      </c>
      <c r="M74" s="100">
        <v>86.03</v>
      </c>
      <c r="N74" s="100">
        <v>90.9</v>
      </c>
      <c r="O74" s="100">
        <v>0</v>
      </c>
      <c r="P74" s="100">
        <v>0.37</v>
      </c>
      <c r="Q74" s="151" t="s">
        <v>8</v>
      </c>
      <c r="R74" s="6"/>
      <c r="S74" s="6"/>
      <c r="T74" s="156"/>
      <c r="U74" s="6"/>
    </row>
    <row r="75" spans="1:21">
      <c r="A75" s="163" t="s">
        <v>2994</v>
      </c>
      <c r="B75" s="100">
        <v>4.42</v>
      </c>
      <c r="C75" s="100">
        <v>6.1</v>
      </c>
      <c r="D75" s="100">
        <v>2.2999999999999998</v>
      </c>
      <c r="E75" s="100">
        <v>4.46</v>
      </c>
      <c r="F75" s="100">
        <v>0.47</v>
      </c>
      <c r="G75" s="100">
        <v>21.96</v>
      </c>
      <c r="H75" s="100">
        <v>9.9</v>
      </c>
      <c r="I75" s="100">
        <v>4.8099999999999996</v>
      </c>
      <c r="J75" s="100">
        <v>0.8</v>
      </c>
      <c r="K75" s="100">
        <v>261.64</v>
      </c>
      <c r="L75" s="100">
        <v>26.02</v>
      </c>
      <c r="M75" s="100">
        <v>86.85</v>
      </c>
      <c r="N75" s="100">
        <v>55.1</v>
      </c>
      <c r="O75" s="100">
        <v>0</v>
      </c>
      <c r="P75" s="100">
        <v>0.37</v>
      </c>
      <c r="Q75" s="151" t="s">
        <v>8</v>
      </c>
      <c r="R75" s="6"/>
      <c r="S75" s="6"/>
      <c r="T75" s="156"/>
      <c r="U75" s="6"/>
    </row>
    <row r="76" spans="1:21">
      <c r="A76" s="163" t="s">
        <v>2995</v>
      </c>
      <c r="B76" s="100">
        <v>4.3600000000000003</v>
      </c>
      <c r="C76" s="100">
        <v>6.15</v>
      </c>
      <c r="D76" s="100">
        <v>2.4900000000000002</v>
      </c>
      <c r="E76" s="100">
        <v>4.3099999999999996</v>
      </c>
      <c r="F76" s="100">
        <v>0.28999999999999998</v>
      </c>
      <c r="G76" s="100">
        <v>19.38</v>
      </c>
      <c r="H76" s="100">
        <v>9.11</v>
      </c>
      <c r="I76" s="100">
        <v>4.75</v>
      </c>
      <c r="J76" s="100">
        <v>0.97</v>
      </c>
      <c r="K76" s="100">
        <v>262.19</v>
      </c>
      <c r="L76" s="100">
        <v>25.9</v>
      </c>
      <c r="M76" s="100">
        <v>86.58</v>
      </c>
      <c r="N76" s="100">
        <v>59.8</v>
      </c>
      <c r="O76" s="100">
        <v>0</v>
      </c>
      <c r="P76" s="100">
        <v>0.38</v>
      </c>
      <c r="Q76" s="151" t="s">
        <v>8</v>
      </c>
      <c r="R76" s="6"/>
      <c r="S76" s="6"/>
      <c r="T76" s="156"/>
      <c r="U76" s="6"/>
    </row>
    <row r="77" spans="1:21">
      <c r="A77" s="163" t="s">
        <v>2996</v>
      </c>
      <c r="B77" s="100">
        <v>4.3600000000000003</v>
      </c>
      <c r="C77" s="100">
        <v>6.14</v>
      </c>
      <c r="D77" s="100">
        <v>2.4700000000000002</v>
      </c>
      <c r="E77" s="100">
        <v>4.3</v>
      </c>
      <c r="F77" s="100">
        <v>0.28999999999999998</v>
      </c>
      <c r="G77" s="100">
        <v>19.38</v>
      </c>
      <c r="H77" s="100">
        <v>9.11</v>
      </c>
      <c r="I77" s="100">
        <v>4.59</v>
      </c>
      <c r="J77" s="100">
        <v>1.03</v>
      </c>
      <c r="K77" s="100">
        <v>258.44</v>
      </c>
      <c r="L77" s="100">
        <v>25.83</v>
      </c>
      <c r="M77" s="100">
        <v>87.34</v>
      </c>
      <c r="N77" s="100">
        <v>42.3</v>
      </c>
      <c r="O77" s="100">
        <v>0</v>
      </c>
      <c r="P77" s="100">
        <v>0.36</v>
      </c>
      <c r="Q77" s="151" t="s">
        <v>8</v>
      </c>
      <c r="R77" s="6"/>
      <c r="S77" s="6"/>
      <c r="T77" s="156"/>
      <c r="U77" s="6"/>
    </row>
    <row r="78" spans="1:21">
      <c r="A78" s="163" t="s">
        <v>2997</v>
      </c>
      <c r="B78" s="100">
        <v>4.33</v>
      </c>
      <c r="C78" s="100">
        <v>6.03</v>
      </c>
      <c r="D78" s="100">
        <v>2.3199999999999998</v>
      </c>
      <c r="E78" s="100">
        <v>3.95</v>
      </c>
      <c r="F78" s="100">
        <v>0.34</v>
      </c>
      <c r="G78" s="100">
        <v>19.38</v>
      </c>
      <c r="H78" s="100">
        <v>9.11</v>
      </c>
      <c r="I78" s="100">
        <v>4.67</v>
      </c>
      <c r="J78" s="100">
        <v>0.91</v>
      </c>
      <c r="K78" s="100">
        <v>258.81</v>
      </c>
      <c r="L78" s="100">
        <v>25.74</v>
      </c>
      <c r="M78" s="100">
        <v>87.9</v>
      </c>
      <c r="N78" s="100">
        <v>49.9</v>
      </c>
      <c r="O78" s="100">
        <v>0</v>
      </c>
      <c r="P78" s="100">
        <v>0.35</v>
      </c>
      <c r="Q78" s="151" t="s">
        <v>8</v>
      </c>
      <c r="R78" s="6"/>
      <c r="S78" s="6"/>
      <c r="T78" s="156"/>
      <c r="U78" s="6"/>
    </row>
    <row r="79" spans="1:21">
      <c r="A79" s="163" t="s">
        <v>2998</v>
      </c>
      <c r="B79" s="100">
        <v>4.28</v>
      </c>
      <c r="C79" s="100">
        <v>6.09</v>
      </c>
      <c r="D79" s="100">
        <v>2.4900000000000002</v>
      </c>
      <c r="E79" s="100">
        <v>4</v>
      </c>
      <c r="F79" s="100">
        <v>0.13</v>
      </c>
      <c r="G79" s="100">
        <v>20.77</v>
      </c>
      <c r="H79" s="100">
        <v>9.7100000000000009</v>
      </c>
      <c r="I79" s="100">
        <v>4.5599999999999996</v>
      </c>
      <c r="J79" s="100">
        <v>0.94</v>
      </c>
      <c r="K79" s="100">
        <v>257.99</v>
      </c>
      <c r="L79" s="100">
        <v>25.61</v>
      </c>
      <c r="M79" s="100">
        <v>89.38</v>
      </c>
      <c r="N79" s="100">
        <v>26.3</v>
      </c>
      <c r="O79" s="100">
        <v>0</v>
      </c>
      <c r="P79" s="100">
        <v>0.36</v>
      </c>
      <c r="Q79" s="151" t="s">
        <v>8</v>
      </c>
      <c r="R79" s="6"/>
      <c r="S79" s="6"/>
      <c r="T79" s="156"/>
      <c r="U79" s="6"/>
    </row>
    <row r="80" spans="1:21">
      <c r="A80" s="163" t="s">
        <v>2999</v>
      </c>
      <c r="B80" s="100">
        <v>4.3</v>
      </c>
      <c r="C80" s="100">
        <v>6.06</v>
      </c>
      <c r="D80" s="100">
        <v>2.41</v>
      </c>
      <c r="E80" s="100">
        <v>4.16</v>
      </c>
      <c r="F80" s="100">
        <v>0.18</v>
      </c>
      <c r="G80" s="100">
        <v>21.83</v>
      </c>
      <c r="H80" s="100">
        <v>10.07</v>
      </c>
      <c r="I80" s="100">
        <v>4.46</v>
      </c>
      <c r="J80" s="100">
        <v>0.88</v>
      </c>
      <c r="K80" s="100">
        <v>260.26</v>
      </c>
      <c r="L80" s="100">
        <v>25.42</v>
      </c>
      <c r="M80" s="100">
        <v>90.1</v>
      </c>
      <c r="N80" s="100">
        <v>19.399999999999999</v>
      </c>
      <c r="O80" s="100">
        <v>0</v>
      </c>
      <c r="P80" s="100">
        <v>0.35</v>
      </c>
      <c r="Q80" s="151" t="s">
        <v>8</v>
      </c>
      <c r="R80" s="6"/>
      <c r="S80" s="6"/>
      <c r="T80" s="156"/>
      <c r="U80" s="6"/>
    </row>
    <row r="81" spans="1:21">
      <c r="A81" s="163" t="s">
        <v>3000</v>
      </c>
      <c r="B81" s="100">
        <v>4.26</v>
      </c>
      <c r="C81" s="100">
        <v>6.05</v>
      </c>
      <c r="D81" s="100">
        <v>2.46</v>
      </c>
      <c r="E81" s="100">
        <v>4.3499999999999996</v>
      </c>
      <c r="F81" s="100">
        <v>0.09</v>
      </c>
      <c r="G81" s="100">
        <v>21.83</v>
      </c>
      <c r="H81" s="100">
        <v>10.07</v>
      </c>
      <c r="I81" s="100">
        <v>4.4800000000000004</v>
      </c>
      <c r="J81" s="100">
        <v>0.81</v>
      </c>
      <c r="K81" s="100">
        <v>262.29000000000002</v>
      </c>
      <c r="L81" s="100">
        <v>25.34</v>
      </c>
      <c r="M81" s="100">
        <v>90.55</v>
      </c>
      <c r="N81" s="100">
        <v>11.2</v>
      </c>
      <c r="O81" s="100">
        <v>0</v>
      </c>
      <c r="P81" s="100">
        <v>0.36</v>
      </c>
      <c r="Q81" s="151" t="s">
        <v>8</v>
      </c>
      <c r="R81" s="6"/>
      <c r="S81" s="6"/>
      <c r="T81" s="156"/>
      <c r="U81" s="6"/>
    </row>
    <row r="82" spans="1:21">
      <c r="A82" s="163" t="s">
        <v>3001</v>
      </c>
      <c r="B82" s="100">
        <v>4.28</v>
      </c>
      <c r="C82" s="100">
        <v>6.01</v>
      </c>
      <c r="D82" s="100">
        <v>2.34</v>
      </c>
      <c r="E82" s="100">
        <v>5.0999999999999996</v>
      </c>
      <c r="F82" s="100">
        <v>0.09</v>
      </c>
      <c r="G82" s="100">
        <v>21.83</v>
      </c>
      <c r="H82" s="100">
        <v>10.07</v>
      </c>
      <c r="I82" s="100">
        <v>4.3899999999999997</v>
      </c>
      <c r="J82" s="100">
        <v>0.75</v>
      </c>
      <c r="K82" s="100">
        <v>260.58</v>
      </c>
      <c r="L82" s="100">
        <v>25.26</v>
      </c>
      <c r="M82" s="100">
        <v>90.73</v>
      </c>
      <c r="N82" s="100">
        <v>6.2</v>
      </c>
      <c r="O82" s="100">
        <v>0</v>
      </c>
      <c r="P82" s="100">
        <v>0.34</v>
      </c>
      <c r="Q82" s="151" t="s">
        <v>8</v>
      </c>
      <c r="R82" s="6"/>
      <c r="S82" s="6"/>
      <c r="T82" s="156"/>
      <c r="U82" s="6"/>
    </row>
    <row r="83" spans="1:21">
      <c r="A83" s="163" t="s">
        <v>3002</v>
      </c>
      <c r="B83" s="100">
        <v>4.26</v>
      </c>
      <c r="C83" s="100">
        <v>5.97</v>
      </c>
      <c r="D83" s="100">
        <v>2.2999999999999998</v>
      </c>
      <c r="E83" s="100">
        <v>5.16</v>
      </c>
      <c r="F83" s="100">
        <v>0.22</v>
      </c>
      <c r="G83" s="100">
        <v>18.649999999999999</v>
      </c>
      <c r="H83" s="100">
        <v>7.82</v>
      </c>
      <c r="I83" s="100">
        <v>4.3899999999999997</v>
      </c>
      <c r="J83" s="100">
        <v>0.7</v>
      </c>
      <c r="K83" s="100">
        <v>258</v>
      </c>
      <c r="L83" s="100">
        <v>25.2</v>
      </c>
      <c r="M83" s="100">
        <v>91.33</v>
      </c>
      <c r="N83" s="100">
        <v>4.0999999999999996</v>
      </c>
      <c r="O83" s="100">
        <v>0</v>
      </c>
      <c r="P83" s="100">
        <v>0.36</v>
      </c>
      <c r="Q83" s="151" t="s">
        <v>8</v>
      </c>
      <c r="R83" s="6"/>
      <c r="S83" s="6"/>
      <c r="T83" s="156"/>
      <c r="U83" s="6"/>
    </row>
    <row r="84" spans="1:21">
      <c r="A84" s="163" t="s">
        <v>3003</v>
      </c>
      <c r="B84" s="100">
        <v>4.28</v>
      </c>
      <c r="C84" s="100">
        <v>6.31</v>
      </c>
      <c r="D84" s="100">
        <v>2.91</v>
      </c>
      <c r="E84" s="100">
        <v>5.32</v>
      </c>
      <c r="F84" s="100">
        <v>0.22</v>
      </c>
      <c r="G84" s="100">
        <v>16.22</v>
      </c>
      <c r="H84" s="100">
        <v>7.12</v>
      </c>
      <c r="I84" s="100">
        <v>4.2699999999999996</v>
      </c>
      <c r="J84" s="100">
        <v>0.68</v>
      </c>
      <c r="K84" s="100">
        <v>258.83</v>
      </c>
      <c r="L84" s="100">
        <v>25.26</v>
      </c>
      <c r="M84" s="100">
        <v>91.18</v>
      </c>
      <c r="N84" s="100">
        <v>2.4</v>
      </c>
      <c r="O84" s="100">
        <v>0</v>
      </c>
      <c r="P84" s="100">
        <v>0.34</v>
      </c>
      <c r="Q84" s="151" t="s">
        <v>8</v>
      </c>
      <c r="R84" s="6"/>
      <c r="S84" s="6"/>
      <c r="T84" s="156"/>
      <c r="U84" s="6"/>
    </row>
    <row r="85" spans="1:21">
      <c r="A85" s="163" t="s">
        <v>3004</v>
      </c>
      <c r="B85" s="100">
        <v>4.2</v>
      </c>
      <c r="C85" s="100">
        <v>6.47</v>
      </c>
      <c r="D85" s="100">
        <v>3.33</v>
      </c>
      <c r="E85" s="100">
        <v>5.35</v>
      </c>
      <c r="F85" s="100">
        <v>0.27</v>
      </c>
      <c r="G85" s="100">
        <v>16.22</v>
      </c>
      <c r="H85" s="100">
        <v>7.12</v>
      </c>
      <c r="I85" s="100">
        <v>4.3899999999999997</v>
      </c>
      <c r="J85" s="100">
        <v>0.72</v>
      </c>
      <c r="K85" s="100">
        <v>260.29000000000002</v>
      </c>
      <c r="L85" s="100">
        <v>25.26</v>
      </c>
      <c r="M85" s="100">
        <v>90.47</v>
      </c>
      <c r="N85" s="100">
        <v>2.1</v>
      </c>
      <c r="O85" s="100">
        <v>0</v>
      </c>
      <c r="P85" s="100">
        <v>0.32</v>
      </c>
      <c r="Q85" s="151" t="s">
        <v>8</v>
      </c>
      <c r="R85" s="6"/>
      <c r="S85" s="6"/>
      <c r="T85" s="156"/>
      <c r="U85" s="6"/>
    </row>
    <row r="86" spans="1:21">
      <c r="A86" s="163" t="s">
        <v>3005</v>
      </c>
      <c r="B86" s="100">
        <v>4.1500000000000004</v>
      </c>
      <c r="C86" s="100">
        <v>6.52</v>
      </c>
      <c r="D86" s="100">
        <v>3.53</v>
      </c>
      <c r="E86" s="100">
        <v>5.56</v>
      </c>
      <c r="F86" s="100">
        <v>0.13</v>
      </c>
      <c r="G86" s="100">
        <v>16.22</v>
      </c>
      <c r="H86" s="100">
        <v>7.12</v>
      </c>
      <c r="I86" s="100">
        <v>4.3</v>
      </c>
      <c r="J86" s="100">
        <v>0.73</v>
      </c>
      <c r="K86" s="100">
        <v>264.17</v>
      </c>
      <c r="L86" s="100">
        <v>25.34</v>
      </c>
      <c r="M86" s="100">
        <v>89.06</v>
      </c>
      <c r="N86" s="100">
        <v>2.2000000000000002</v>
      </c>
      <c r="O86" s="100">
        <v>0</v>
      </c>
      <c r="P86" s="100">
        <v>0.31</v>
      </c>
      <c r="Q86" s="151" t="s">
        <v>8</v>
      </c>
      <c r="R86" s="6"/>
      <c r="S86" s="6"/>
      <c r="T86" s="156"/>
      <c r="U86" s="6"/>
    </row>
    <row r="87" spans="1:21">
      <c r="A87" s="163" t="s">
        <v>3006</v>
      </c>
      <c r="B87" s="100">
        <v>4.0999999999999996</v>
      </c>
      <c r="C87" s="100">
        <v>6.47</v>
      </c>
      <c r="D87" s="100">
        <v>3.5</v>
      </c>
      <c r="E87" s="100">
        <v>5.72</v>
      </c>
      <c r="F87" s="100">
        <v>0.35</v>
      </c>
      <c r="G87" s="100">
        <v>13.67</v>
      </c>
      <c r="H87" s="100">
        <v>5.49</v>
      </c>
      <c r="I87" s="100">
        <v>4.29</v>
      </c>
      <c r="J87" s="100">
        <v>0.92</v>
      </c>
      <c r="K87" s="100">
        <v>259.77</v>
      </c>
      <c r="L87" s="100">
        <v>25.26</v>
      </c>
      <c r="M87" s="100">
        <v>88.74</v>
      </c>
      <c r="N87" s="100">
        <v>2.5</v>
      </c>
      <c r="O87" s="100">
        <v>0</v>
      </c>
      <c r="P87" s="100">
        <v>0.31</v>
      </c>
      <c r="Q87" s="151" t="s">
        <v>8</v>
      </c>
      <c r="R87" s="6"/>
      <c r="S87" s="6"/>
      <c r="T87" s="156"/>
      <c r="U87" s="6"/>
    </row>
    <row r="88" spans="1:21">
      <c r="A88" s="163" t="s">
        <v>3007</v>
      </c>
      <c r="B88" s="100">
        <v>4.0599999999999996</v>
      </c>
      <c r="C88" s="100">
        <v>6.44</v>
      </c>
      <c r="D88" s="100">
        <v>3.51</v>
      </c>
      <c r="E88" s="100">
        <v>5.67</v>
      </c>
      <c r="F88" s="100">
        <v>0.42</v>
      </c>
      <c r="G88" s="100">
        <v>11.72</v>
      </c>
      <c r="H88" s="100">
        <v>4.9800000000000004</v>
      </c>
      <c r="I88" s="100">
        <v>4.26</v>
      </c>
      <c r="J88" s="100">
        <v>0.91</v>
      </c>
      <c r="K88" s="100">
        <v>260.68</v>
      </c>
      <c r="L88" s="100">
        <v>25.18</v>
      </c>
      <c r="M88" s="100">
        <v>88.84</v>
      </c>
      <c r="N88" s="100">
        <v>2.2000000000000002</v>
      </c>
      <c r="O88" s="100">
        <v>0</v>
      </c>
      <c r="P88" s="100">
        <v>0.31</v>
      </c>
      <c r="Q88" s="151" t="s">
        <v>8</v>
      </c>
      <c r="R88" s="6"/>
      <c r="S88" s="6"/>
      <c r="T88" s="156"/>
      <c r="U88" s="6"/>
    </row>
    <row r="89" spans="1:21">
      <c r="A89" s="163" t="s">
        <v>3008</v>
      </c>
      <c r="B89" s="100">
        <v>4.01</v>
      </c>
      <c r="C89" s="100">
        <v>6.39</v>
      </c>
      <c r="D89" s="100">
        <v>3.49</v>
      </c>
      <c r="E89" s="100">
        <v>5.84</v>
      </c>
      <c r="F89" s="100">
        <v>0.79</v>
      </c>
      <c r="G89" s="100">
        <v>11.72</v>
      </c>
      <c r="H89" s="100">
        <v>4.9800000000000004</v>
      </c>
      <c r="I89" s="100">
        <v>4.1399999999999997</v>
      </c>
      <c r="J89" s="100">
        <v>0.72</v>
      </c>
      <c r="K89" s="100">
        <v>260.8</v>
      </c>
      <c r="L89" s="100">
        <v>25.17</v>
      </c>
      <c r="M89" s="100">
        <v>88.94</v>
      </c>
      <c r="N89" s="100">
        <v>2.2999999999999998</v>
      </c>
      <c r="O89" s="100">
        <v>0</v>
      </c>
      <c r="P89" s="100">
        <v>0.3</v>
      </c>
      <c r="Q89" s="151" t="s">
        <v>8</v>
      </c>
      <c r="R89" s="6"/>
      <c r="S89" s="6"/>
      <c r="T89" s="156"/>
      <c r="U89" s="6"/>
    </row>
    <row r="90" spans="1:21">
      <c r="A90" s="163" t="s">
        <v>3009</v>
      </c>
      <c r="B90" s="100">
        <v>4.01</v>
      </c>
      <c r="C90" s="100">
        <v>6.4</v>
      </c>
      <c r="D90" s="100">
        <v>3.5</v>
      </c>
      <c r="E90" s="100">
        <v>5.96</v>
      </c>
      <c r="F90" s="100">
        <v>0.22</v>
      </c>
      <c r="G90" s="100">
        <v>11.72</v>
      </c>
      <c r="H90" s="100">
        <v>4.9800000000000004</v>
      </c>
      <c r="I90" s="100">
        <v>4.04</v>
      </c>
      <c r="J90" s="100">
        <v>0.75</v>
      </c>
      <c r="K90" s="100">
        <v>255.79</v>
      </c>
      <c r="L90" s="100">
        <v>25.18</v>
      </c>
      <c r="M90" s="100">
        <v>88.76</v>
      </c>
      <c r="N90" s="100">
        <v>2.2999999999999998</v>
      </c>
      <c r="O90" s="100">
        <v>0</v>
      </c>
      <c r="P90" s="100">
        <v>0.3</v>
      </c>
      <c r="Q90" s="151" t="s">
        <v>8</v>
      </c>
      <c r="R90" s="6"/>
      <c r="S90" s="6"/>
      <c r="T90" s="156"/>
      <c r="U90" s="6"/>
    </row>
    <row r="91" spans="1:21">
      <c r="A91" s="163" t="s">
        <v>3010</v>
      </c>
      <c r="B91" s="100">
        <v>3.98</v>
      </c>
      <c r="C91" s="100">
        <v>6.41</v>
      </c>
      <c r="D91" s="100">
        <v>3.57</v>
      </c>
      <c r="E91" s="100">
        <v>5.71</v>
      </c>
      <c r="F91" s="100">
        <v>0.76</v>
      </c>
      <c r="G91" s="100">
        <v>13.14</v>
      </c>
      <c r="H91" s="100">
        <v>4.5199999999999996</v>
      </c>
      <c r="I91" s="100">
        <v>4.01</v>
      </c>
      <c r="J91" s="100">
        <v>0.94</v>
      </c>
      <c r="K91" s="100">
        <v>261.18</v>
      </c>
      <c r="L91" s="100">
        <v>25.03</v>
      </c>
      <c r="M91" s="100">
        <v>89.21</v>
      </c>
      <c r="N91" s="100">
        <v>2.8</v>
      </c>
      <c r="O91" s="100">
        <v>0</v>
      </c>
      <c r="P91" s="100">
        <v>0.31</v>
      </c>
      <c r="Q91" s="151" t="s">
        <v>8</v>
      </c>
      <c r="R91" s="6"/>
      <c r="S91" s="6"/>
      <c r="T91" s="156"/>
      <c r="U91" s="6"/>
    </row>
    <row r="92" spans="1:21">
      <c r="A92" s="163" t="s">
        <v>3011</v>
      </c>
      <c r="B92" s="100">
        <v>3.99</v>
      </c>
      <c r="C92" s="100">
        <v>6.4</v>
      </c>
      <c r="D92" s="100">
        <v>3.53</v>
      </c>
      <c r="E92" s="100">
        <v>5.88</v>
      </c>
      <c r="F92" s="100">
        <v>0.36</v>
      </c>
      <c r="G92" s="100">
        <v>14.23</v>
      </c>
      <c r="H92" s="100">
        <v>4.38</v>
      </c>
      <c r="I92" s="100">
        <v>3.92</v>
      </c>
      <c r="J92" s="100">
        <v>0.85</v>
      </c>
      <c r="K92" s="100">
        <v>260.81</v>
      </c>
      <c r="L92" s="100">
        <v>24.74</v>
      </c>
      <c r="M92" s="100">
        <v>91.07</v>
      </c>
      <c r="N92" s="100">
        <v>1.8</v>
      </c>
      <c r="O92" s="100">
        <v>0</v>
      </c>
      <c r="P92" s="100">
        <v>0.3</v>
      </c>
      <c r="Q92" s="151" t="s">
        <v>8</v>
      </c>
      <c r="R92" s="6"/>
      <c r="S92" s="6"/>
      <c r="T92" s="156"/>
      <c r="U92" s="6"/>
    </row>
    <row r="93" spans="1:21">
      <c r="A93" s="163" t="s">
        <v>3012</v>
      </c>
      <c r="B93" s="100">
        <v>3.98</v>
      </c>
      <c r="C93" s="100">
        <v>6.36</v>
      </c>
      <c r="D93" s="100">
        <v>3.48</v>
      </c>
      <c r="E93" s="100">
        <v>5.49</v>
      </c>
      <c r="F93" s="100">
        <v>0.57999999999999996</v>
      </c>
      <c r="G93" s="100">
        <v>14.23</v>
      </c>
      <c r="H93" s="100">
        <v>4.38</v>
      </c>
      <c r="I93" s="100">
        <v>3.9</v>
      </c>
      <c r="J93" s="100">
        <v>0.77</v>
      </c>
      <c r="K93" s="100">
        <v>261.44</v>
      </c>
      <c r="L93" s="100">
        <v>24.59</v>
      </c>
      <c r="M93" s="100">
        <v>92.17</v>
      </c>
      <c r="N93" s="100">
        <v>1.6</v>
      </c>
      <c r="O93" s="100">
        <v>0</v>
      </c>
      <c r="P93" s="100">
        <v>0.31</v>
      </c>
      <c r="Q93" s="151" t="s">
        <v>8</v>
      </c>
      <c r="R93" s="6"/>
      <c r="S93" s="6"/>
      <c r="T93" s="156"/>
      <c r="U93" s="6"/>
    </row>
    <row r="94" spans="1:21">
      <c r="A94" s="163" t="s">
        <v>3013</v>
      </c>
      <c r="B94" s="100">
        <v>3.96</v>
      </c>
      <c r="C94" s="100">
        <v>6.31</v>
      </c>
      <c r="D94" s="100">
        <v>3.41</v>
      </c>
      <c r="E94" s="100">
        <v>5.87</v>
      </c>
      <c r="F94" s="100">
        <v>0.66</v>
      </c>
      <c r="G94" s="100">
        <v>14.23</v>
      </c>
      <c r="H94" s="100">
        <v>4.38</v>
      </c>
      <c r="I94" s="100">
        <v>3.87</v>
      </c>
      <c r="J94" s="100">
        <v>0.69</v>
      </c>
      <c r="K94" s="100">
        <v>261.58999999999997</v>
      </c>
      <c r="L94" s="100">
        <v>24.7</v>
      </c>
      <c r="M94" s="100">
        <v>91.37</v>
      </c>
      <c r="N94" s="100">
        <v>1.1000000000000001</v>
      </c>
      <c r="O94" s="100">
        <v>0</v>
      </c>
      <c r="P94" s="100">
        <v>0.3</v>
      </c>
      <c r="Q94" s="151" t="s">
        <v>8</v>
      </c>
      <c r="R94" s="6"/>
      <c r="S94" s="6"/>
      <c r="T94" s="156"/>
      <c r="U94" s="6"/>
    </row>
    <row r="95" spans="1:21">
      <c r="A95" s="163" t="s">
        <v>3014</v>
      </c>
      <c r="B95" s="100">
        <v>3.94</v>
      </c>
      <c r="C95" s="100">
        <v>6.22</v>
      </c>
      <c r="D95" s="100">
        <v>3.28</v>
      </c>
      <c r="E95" s="100">
        <v>6.03</v>
      </c>
      <c r="F95" s="100">
        <v>0.83</v>
      </c>
      <c r="G95" s="100">
        <v>12.18</v>
      </c>
      <c r="H95" s="100">
        <v>3.59</v>
      </c>
      <c r="I95" s="100">
        <v>4</v>
      </c>
      <c r="J95" s="100">
        <v>0.97</v>
      </c>
      <c r="K95" s="100">
        <v>260.47000000000003</v>
      </c>
      <c r="L95" s="100">
        <v>24.76</v>
      </c>
      <c r="M95" s="100">
        <v>90.1</v>
      </c>
      <c r="N95" s="100">
        <v>1.1000000000000001</v>
      </c>
      <c r="O95" s="100">
        <v>0</v>
      </c>
      <c r="P95" s="100">
        <v>0.31</v>
      </c>
      <c r="Q95" s="151" t="s">
        <v>8</v>
      </c>
      <c r="R95" s="6"/>
      <c r="S95" s="6"/>
      <c r="T95" s="156"/>
      <c r="U95" s="6"/>
    </row>
    <row r="96" spans="1:21">
      <c r="A96" s="163" t="s">
        <v>3015</v>
      </c>
      <c r="B96" s="100">
        <v>3.93</v>
      </c>
      <c r="C96" s="100">
        <v>6.15</v>
      </c>
      <c r="D96" s="100">
        <v>3.15</v>
      </c>
      <c r="E96" s="100">
        <v>6.07</v>
      </c>
      <c r="F96" s="100">
        <v>1.08</v>
      </c>
      <c r="G96" s="100">
        <v>10.68</v>
      </c>
      <c r="H96" s="100">
        <v>3.35</v>
      </c>
      <c r="I96" s="100">
        <v>3.81</v>
      </c>
      <c r="J96" s="100">
        <v>0.85</v>
      </c>
      <c r="K96" s="100">
        <v>258.12</v>
      </c>
      <c r="L96" s="100">
        <v>24.87</v>
      </c>
      <c r="M96" s="100">
        <v>89.2</v>
      </c>
      <c r="N96" s="100">
        <v>1.8</v>
      </c>
      <c r="O96" s="100">
        <v>0</v>
      </c>
      <c r="P96" s="100">
        <v>0.28999999999999998</v>
      </c>
      <c r="Q96" s="151" t="s">
        <v>8</v>
      </c>
      <c r="R96" s="6"/>
      <c r="S96" s="6"/>
      <c r="T96" s="156"/>
      <c r="U96" s="6"/>
    </row>
    <row r="97" spans="1:21">
      <c r="A97" s="163" t="s">
        <v>3016</v>
      </c>
      <c r="B97" s="100">
        <v>3.93</v>
      </c>
      <c r="C97" s="100">
        <v>6.11</v>
      </c>
      <c r="D97" s="100">
        <v>3.07</v>
      </c>
      <c r="E97" s="100">
        <v>5.99</v>
      </c>
      <c r="F97" s="100">
        <v>0.9</v>
      </c>
      <c r="G97" s="100">
        <v>10.68</v>
      </c>
      <c r="H97" s="100">
        <v>3.35</v>
      </c>
      <c r="I97" s="100">
        <v>3.95</v>
      </c>
      <c r="J97" s="100">
        <v>0.84</v>
      </c>
      <c r="K97" s="100">
        <v>262.32</v>
      </c>
      <c r="L97" s="100">
        <v>24.87</v>
      </c>
      <c r="M97" s="100">
        <v>88.95</v>
      </c>
      <c r="N97" s="100">
        <v>2.2000000000000002</v>
      </c>
      <c r="O97" s="100">
        <v>0</v>
      </c>
      <c r="P97" s="100">
        <v>0.28999999999999998</v>
      </c>
      <c r="Q97" s="151" t="s">
        <v>8</v>
      </c>
      <c r="R97" s="6"/>
      <c r="S97" s="6"/>
      <c r="T97" s="156"/>
      <c r="U97" s="6"/>
    </row>
    <row r="98" spans="1:21">
      <c r="A98" s="163" t="s">
        <v>3017</v>
      </c>
      <c r="B98" s="100">
        <v>3.92</v>
      </c>
      <c r="C98" s="100">
        <v>6.06</v>
      </c>
      <c r="D98" s="100">
        <v>3.01</v>
      </c>
      <c r="E98" s="100">
        <v>6.16</v>
      </c>
      <c r="F98" s="100">
        <v>0.44</v>
      </c>
      <c r="G98" s="100">
        <v>10.68</v>
      </c>
      <c r="H98" s="100">
        <v>3.35</v>
      </c>
      <c r="I98" s="100">
        <v>3.84</v>
      </c>
      <c r="J98" s="100">
        <v>0.91</v>
      </c>
      <c r="K98" s="100">
        <v>260.98</v>
      </c>
      <c r="L98" s="100">
        <v>24.79</v>
      </c>
      <c r="M98" s="100">
        <v>88.74</v>
      </c>
      <c r="N98" s="100">
        <v>2.4</v>
      </c>
      <c r="O98" s="100">
        <v>0</v>
      </c>
      <c r="P98" s="100">
        <v>0.28000000000000003</v>
      </c>
      <c r="Q98" s="151" t="s">
        <v>8</v>
      </c>
      <c r="R98" s="6"/>
      <c r="S98" s="6"/>
      <c r="T98" s="156"/>
      <c r="U98" s="6"/>
    </row>
    <row r="99" spans="1:21">
      <c r="A99" s="163" t="s">
        <v>3018</v>
      </c>
      <c r="B99" s="100">
        <v>3.88</v>
      </c>
      <c r="C99" s="100">
        <v>6.08</v>
      </c>
      <c r="D99" s="100">
        <v>3.09</v>
      </c>
      <c r="E99" s="100">
        <v>6.13</v>
      </c>
      <c r="F99" s="100">
        <v>0.65</v>
      </c>
      <c r="G99" s="100">
        <v>11.37</v>
      </c>
      <c r="H99" s="100">
        <v>5.95</v>
      </c>
      <c r="I99" s="100">
        <v>3.72</v>
      </c>
      <c r="J99" s="100">
        <v>0.82</v>
      </c>
      <c r="K99" s="100">
        <v>259.83999999999997</v>
      </c>
      <c r="L99" s="100">
        <v>24.54</v>
      </c>
      <c r="M99" s="100">
        <v>88.4</v>
      </c>
      <c r="N99" s="100">
        <v>2.6</v>
      </c>
      <c r="O99" s="100">
        <v>0</v>
      </c>
      <c r="P99" s="100">
        <v>0.28999999999999998</v>
      </c>
      <c r="Q99" s="151" t="s">
        <v>8</v>
      </c>
      <c r="R99" s="6"/>
      <c r="S99" s="6"/>
      <c r="T99" s="156"/>
      <c r="U99" s="6"/>
    </row>
    <row r="100" spans="1:21">
      <c r="A100" s="163" t="s">
        <v>3019</v>
      </c>
      <c r="B100" s="100">
        <v>3.89</v>
      </c>
      <c r="C100" s="100">
        <v>6.01</v>
      </c>
      <c r="D100" s="100">
        <v>2.94</v>
      </c>
      <c r="E100" s="100">
        <v>5.76</v>
      </c>
      <c r="F100" s="100">
        <v>1.1100000000000001</v>
      </c>
      <c r="G100" s="100">
        <v>11.87</v>
      </c>
      <c r="H100" s="100">
        <v>6.77</v>
      </c>
      <c r="I100" s="100">
        <v>3.66</v>
      </c>
      <c r="J100" s="100">
        <v>0.78</v>
      </c>
      <c r="K100" s="100">
        <v>257.54000000000002</v>
      </c>
      <c r="L100" s="100">
        <v>24.33</v>
      </c>
      <c r="M100" s="100">
        <v>88.63</v>
      </c>
      <c r="N100" s="100">
        <v>2.6</v>
      </c>
      <c r="O100" s="100">
        <v>0</v>
      </c>
      <c r="P100" s="100">
        <v>0.28000000000000003</v>
      </c>
      <c r="Q100" s="151" t="s">
        <v>8</v>
      </c>
      <c r="R100" s="6"/>
      <c r="S100" s="6"/>
      <c r="T100" s="156"/>
      <c r="U100" s="6"/>
    </row>
    <row r="101" spans="1:21">
      <c r="A101" s="163" t="s">
        <v>3020</v>
      </c>
      <c r="B101" s="100">
        <v>3.88</v>
      </c>
      <c r="C101" s="100">
        <v>5.93</v>
      </c>
      <c r="D101" s="100">
        <v>2.8</v>
      </c>
      <c r="E101" s="100">
        <v>6.11</v>
      </c>
      <c r="F101" s="100">
        <v>1.29</v>
      </c>
      <c r="G101" s="100">
        <v>11.87</v>
      </c>
      <c r="H101" s="100">
        <v>6.77</v>
      </c>
      <c r="I101" s="100">
        <v>3.65</v>
      </c>
      <c r="J101" s="100">
        <v>0.93</v>
      </c>
      <c r="K101" s="100">
        <v>261.64</v>
      </c>
      <c r="L101" s="100">
        <v>24.24</v>
      </c>
      <c r="M101" s="100">
        <v>88.42</v>
      </c>
      <c r="N101" s="100">
        <v>2.4</v>
      </c>
      <c r="O101" s="100">
        <v>0</v>
      </c>
      <c r="P101" s="100">
        <v>0.27</v>
      </c>
      <c r="Q101" s="151" t="s">
        <v>8</v>
      </c>
      <c r="R101" s="6"/>
      <c r="S101" s="6"/>
      <c r="T101" s="156"/>
      <c r="U101" s="6"/>
    </row>
    <row r="102" spans="1:21">
      <c r="A102" s="163" t="s">
        <v>3021</v>
      </c>
      <c r="B102" s="100">
        <v>3.86</v>
      </c>
      <c r="C102" s="100">
        <v>5.92</v>
      </c>
      <c r="D102" s="100">
        <v>2.82</v>
      </c>
      <c r="E102" s="100">
        <v>6.09</v>
      </c>
      <c r="F102" s="100">
        <v>0.85</v>
      </c>
      <c r="G102" s="100">
        <v>11.87</v>
      </c>
      <c r="H102" s="100">
        <v>6.77</v>
      </c>
      <c r="I102" s="100">
        <v>3.58</v>
      </c>
      <c r="J102" s="100">
        <v>0.88</v>
      </c>
      <c r="K102" s="100">
        <v>259.08</v>
      </c>
      <c r="L102" s="100">
        <v>24.02</v>
      </c>
      <c r="M102" s="100">
        <v>89.87</v>
      </c>
      <c r="N102" s="100">
        <v>2.8</v>
      </c>
      <c r="O102" s="100">
        <v>0</v>
      </c>
      <c r="P102" s="100">
        <v>0.26</v>
      </c>
      <c r="Q102" s="151" t="s">
        <v>8</v>
      </c>
      <c r="R102" s="6"/>
      <c r="S102" s="6"/>
      <c r="T102" s="156"/>
      <c r="U102" s="6"/>
    </row>
    <row r="103" spans="1:21">
      <c r="A103" s="163" t="s">
        <v>3022</v>
      </c>
      <c r="B103" s="100">
        <v>3.85</v>
      </c>
      <c r="C103" s="100">
        <v>5.91</v>
      </c>
      <c r="D103" s="100">
        <v>2.81</v>
      </c>
      <c r="E103" s="100">
        <v>6.15</v>
      </c>
      <c r="F103" s="100">
        <v>0.99</v>
      </c>
      <c r="G103" s="100">
        <v>16.07</v>
      </c>
      <c r="H103" s="100">
        <v>6.18</v>
      </c>
      <c r="I103" s="100">
        <v>3.37</v>
      </c>
      <c r="J103" s="100">
        <v>0.95</v>
      </c>
      <c r="K103" s="100">
        <v>257.27999999999997</v>
      </c>
      <c r="L103" s="100">
        <v>23.63</v>
      </c>
      <c r="M103" s="100">
        <v>92.66</v>
      </c>
      <c r="N103" s="100">
        <v>2.8</v>
      </c>
      <c r="O103" s="100">
        <v>0.4</v>
      </c>
      <c r="P103" s="100">
        <v>0.26</v>
      </c>
      <c r="Q103" s="151" t="s">
        <v>8</v>
      </c>
      <c r="R103" s="6"/>
      <c r="S103" s="6"/>
      <c r="T103" s="156"/>
      <c r="U103" s="6"/>
    </row>
    <row r="104" spans="1:21">
      <c r="A104" s="163" t="s">
        <v>3023</v>
      </c>
      <c r="B104" s="100">
        <v>3.87</v>
      </c>
      <c r="C104" s="100">
        <v>5.95</v>
      </c>
      <c r="D104" s="100">
        <v>2.88</v>
      </c>
      <c r="E104" s="100">
        <v>6.4</v>
      </c>
      <c r="F104" s="100">
        <v>0.71</v>
      </c>
      <c r="G104" s="100">
        <v>19.14</v>
      </c>
      <c r="H104" s="100">
        <v>5.82</v>
      </c>
      <c r="I104" s="100">
        <v>3.36</v>
      </c>
      <c r="J104" s="100">
        <v>0.87</v>
      </c>
      <c r="K104" s="100">
        <v>255.91</v>
      </c>
      <c r="L104" s="100">
        <v>23.43</v>
      </c>
      <c r="M104" s="100">
        <v>94.32</v>
      </c>
      <c r="N104" s="100">
        <v>2.2999999999999998</v>
      </c>
      <c r="O104" s="100">
        <v>0.2</v>
      </c>
      <c r="P104" s="100">
        <v>0.28999999999999998</v>
      </c>
      <c r="Q104" s="151" t="s">
        <v>8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3.84</v>
      </c>
      <c r="C106" s="158">
        <f>MIN(C9:C104)</f>
        <v>5.91</v>
      </c>
      <c r="D106" s="158">
        <f t="shared" ref="D106:Q106" si="0">MIN(D9:D104)</f>
        <v>2.2999999999999998</v>
      </c>
      <c r="E106" s="158">
        <f t="shared" si="0"/>
        <v>3.64</v>
      </c>
      <c r="F106" s="158">
        <f t="shared" si="0"/>
        <v>0.01</v>
      </c>
      <c r="G106" s="158">
        <f t="shared" si="0"/>
        <v>10.68</v>
      </c>
      <c r="H106" s="158">
        <f t="shared" si="0"/>
        <v>3.35</v>
      </c>
      <c r="I106" s="158">
        <f t="shared" si="0"/>
        <v>3.36</v>
      </c>
      <c r="J106" s="158">
        <f t="shared" si="0"/>
        <v>0.4</v>
      </c>
      <c r="K106" s="158">
        <f t="shared" si="0"/>
        <v>245.59</v>
      </c>
      <c r="L106" s="158">
        <f t="shared" si="0"/>
        <v>23.37</v>
      </c>
      <c r="M106" s="158">
        <f t="shared" si="0"/>
        <v>78.02</v>
      </c>
      <c r="N106" s="158">
        <f t="shared" si="0"/>
        <v>1.1000000000000001</v>
      </c>
      <c r="O106" s="158">
        <f t="shared" si="0"/>
        <v>0</v>
      </c>
      <c r="P106" s="158">
        <f t="shared" si="0"/>
        <v>0.26</v>
      </c>
      <c r="Q106" s="158">
        <f t="shared" si="0"/>
        <v>0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5.63</v>
      </c>
      <c r="C107" s="157">
        <f t="shared" ref="C107:Q107" si="1">MAX(C9:C104)</f>
        <v>8.1999999999999993</v>
      </c>
      <c r="D107" s="157">
        <f t="shared" si="1"/>
        <v>4.7</v>
      </c>
      <c r="E107" s="157">
        <f t="shared" si="1"/>
        <v>6.4</v>
      </c>
      <c r="F107" s="157">
        <f t="shared" si="1"/>
        <v>1.35</v>
      </c>
      <c r="G107" s="157">
        <f t="shared" si="1"/>
        <v>38.950000000000003</v>
      </c>
      <c r="H107" s="157">
        <f t="shared" si="1"/>
        <v>15.24</v>
      </c>
      <c r="I107" s="157">
        <f t="shared" si="1"/>
        <v>8.1300000000000008</v>
      </c>
      <c r="J107" s="157">
        <f t="shared" si="1"/>
        <v>1.46</v>
      </c>
      <c r="K107" s="157">
        <f t="shared" si="1"/>
        <v>291.5</v>
      </c>
      <c r="L107" s="157">
        <f t="shared" si="1"/>
        <v>26.73</v>
      </c>
      <c r="M107" s="157">
        <f t="shared" si="1"/>
        <v>98.74</v>
      </c>
      <c r="N107" s="157">
        <f t="shared" si="1"/>
        <v>408.2</v>
      </c>
      <c r="O107" s="157">
        <f t="shared" si="1"/>
        <v>1.6</v>
      </c>
      <c r="P107" s="157">
        <f t="shared" si="1"/>
        <v>0.57999999999999996</v>
      </c>
      <c r="Q107" s="157">
        <f t="shared" si="1"/>
        <v>0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4.4641666666666664</v>
      </c>
      <c r="C108" s="158">
        <f t="shared" ref="C108:Q108" si="2">AVERAGE(C9:C104)</f>
        <v>6.6496874999999989</v>
      </c>
      <c r="D108" s="158">
        <f t="shared" si="2"/>
        <v>3.2884374999999992</v>
      </c>
      <c r="E108" s="158">
        <f t="shared" si="2"/>
        <v>4.913333333333334</v>
      </c>
      <c r="F108" s="158">
        <f t="shared" si="2"/>
        <v>0.45822916666666652</v>
      </c>
      <c r="G108" s="158">
        <f t="shared" si="2"/>
        <v>25.549062499999987</v>
      </c>
      <c r="H108" s="158">
        <f t="shared" si="2"/>
        <v>9.8177083333333339</v>
      </c>
      <c r="I108" s="158">
        <f t="shared" si="2"/>
        <v>5.3271874999999982</v>
      </c>
      <c r="J108" s="158">
        <f t="shared" si="2"/>
        <v>0.88260416666666686</v>
      </c>
      <c r="K108" s="158">
        <f t="shared" si="2"/>
        <v>263.16552083333335</v>
      </c>
      <c r="L108" s="158">
        <f t="shared" si="2"/>
        <v>24.979895833333327</v>
      </c>
      <c r="M108" s="158">
        <f t="shared" si="2"/>
        <v>89.318541666666704</v>
      </c>
      <c r="N108" s="158">
        <f t="shared" si="2"/>
        <v>64.20416666666668</v>
      </c>
      <c r="O108" s="158">
        <f t="shared" si="2"/>
        <v>5.8333333333333348E-2</v>
      </c>
      <c r="P108" s="158">
        <f t="shared" si="2"/>
        <v>0.38979166666666654</v>
      </c>
      <c r="Q108" s="158" t="e">
        <f t="shared" si="2"/>
        <v>#DIV/0!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0.51755430260056412</v>
      </c>
      <c r="C109" s="158">
        <f t="shared" ref="C109:Q109" si="3">STDEV(C9:C104)</f>
        <v>0.55052788662098529</v>
      </c>
      <c r="D109" s="158">
        <f t="shared" si="3"/>
        <v>0.64143314559131248</v>
      </c>
      <c r="E109" s="158">
        <f t="shared" si="3"/>
        <v>0.61319296639399856</v>
      </c>
      <c r="F109" s="158">
        <f t="shared" si="3"/>
        <v>0.36783003738616671</v>
      </c>
      <c r="G109" s="158">
        <f t="shared" si="3"/>
        <v>8.0125803818121391</v>
      </c>
      <c r="H109" s="158">
        <f t="shared" si="3"/>
        <v>3.0379357531637829</v>
      </c>
      <c r="I109" s="158">
        <f t="shared" si="3"/>
        <v>1.1092156575707099</v>
      </c>
      <c r="J109" s="158">
        <f t="shared" si="3"/>
        <v>0.21351812343472812</v>
      </c>
      <c r="K109" s="158">
        <f t="shared" si="3"/>
        <v>6.733022449452001</v>
      </c>
      <c r="L109" s="158">
        <f t="shared" si="3"/>
        <v>0.9084254681262246</v>
      </c>
      <c r="M109" s="158">
        <f t="shared" si="3"/>
        <v>4.9012848968766214</v>
      </c>
      <c r="N109" s="158">
        <f t="shared" si="3"/>
        <v>87.10391485149303</v>
      </c>
      <c r="O109" s="158">
        <f t="shared" si="3"/>
        <v>0.20909160252294698</v>
      </c>
      <c r="P109" s="158">
        <f t="shared" si="3"/>
        <v>7.3627500106482183E-2</v>
      </c>
      <c r="Q109" s="158" t="e">
        <f t="shared" si="3"/>
        <v>#DIV/0!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COUNT(Q9:Q104)+96</f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6" t="s">
        <v>56</v>
      </c>
      <c r="C115" s="166"/>
      <c r="D115" s="16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3" activePane="bottomLeft" state="frozen"/>
      <selection pane="bottomLef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30/06/2025 00:15</v>
      </c>
      <c r="C2" s="165" t="s">
        <v>3</v>
      </c>
      <c r="D2" s="165"/>
      <c r="E2" s="165"/>
      <c r="F2" s="165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5" t="s">
        <v>11</v>
      </c>
      <c r="D3" s="165"/>
      <c r="E3" s="165"/>
      <c r="F3" s="165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5" t="s">
        <v>18</v>
      </c>
      <c r="D4" s="165"/>
      <c r="E4" s="165"/>
      <c r="F4" s="165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3024</v>
      </c>
      <c r="B9" s="100">
        <v>4.04</v>
      </c>
      <c r="C9" s="100">
        <v>5.97</v>
      </c>
      <c r="D9" s="100">
        <v>2.65</v>
      </c>
      <c r="E9" s="100">
        <v>6.39</v>
      </c>
      <c r="F9" s="100">
        <v>1.3</v>
      </c>
      <c r="G9" s="100">
        <v>19.14</v>
      </c>
      <c r="H9" s="100">
        <v>5.82</v>
      </c>
      <c r="I9" s="100">
        <v>3.32</v>
      </c>
      <c r="J9" s="100">
        <v>0.61</v>
      </c>
      <c r="K9" s="100">
        <v>260.45999999999998</v>
      </c>
      <c r="L9" s="100">
        <v>23.4</v>
      </c>
      <c r="M9" s="100">
        <v>95.28</v>
      </c>
      <c r="N9" s="100">
        <v>2.1</v>
      </c>
      <c r="O9" s="100">
        <v>0</v>
      </c>
      <c r="P9" s="100">
        <v>0.28000000000000003</v>
      </c>
      <c r="Q9" s="151" t="s">
        <v>8</v>
      </c>
      <c r="R9" s="6"/>
      <c r="S9" s="6"/>
      <c r="T9" s="156"/>
      <c r="U9" s="6"/>
    </row>
    <row r="10" spans="1:21" customFormat="1">
      <c r="A10" s="163" t="s">
        <v>3025</v>
      </c>
      <c r="B10" s="100">
        <v>4.18</v>
      </c>
      <c r="C10" s="100">
        <v>5.88</v>
      </c>
      <c r="D10" s="100">
        <v>2.25</v>
      </c>
      <c r="E10" s="100">
        <v>6.18</v>
      </c>
      <c r="F10" s="100">
        <v>0.17</v>
      </c>
      <c r="G10" s="100">
        <v>19.14</v>
      </c>
      <c r="H10" s="100">
        <v>5.82</v>
      </c>
      <c r="I10" s="100">
        <v>3.33</v>
      </c>
      <c r="J10" s="100">
        <v>0.89</v>
      </c>
      <c r="K10" s="100">
        <v>262.25</v>
      </c>
      <c r="L10" s="100">
        <v>23.37</v>
      </c>
      <c r="M10" s="100">
        <v>95.9</v>
      </c>
      <c r="N10" s="100">
        <v>2.2999999999999998</v>
      </c>
      <c r="O10" s="100">
        <v>0</v>
      </c>
      <c r="P10" s="100">
        <v>0.28000000000000003</v>
      </c>
      <c r="Q10" s="151" t="s">
        <v>8</v>
      </c>
      <c r="R10" s="6"/>
      <c r="S10" s="6"/>
      <c r="T10" s="156"/>
      <c r="U10" s="6"/>
    </row>
    <row r="11" spans="1:21" customFormat="1">
      <c r="A11" s="163" t="s">
        <v>3026</v>
      </c>
      <c r="B11" s="100">
        <v>4.26</v>
      </c>
      <c r="C11" s="100">
        <v>5.93</v>
      </c>
      <c r="D11" s="100">
        <v>2.23</v>
      </c>
      <c r="E11" s="100">
        <v>4.2300000000000004</v>
      </c>
      <c r="F11" s="100">
        <v>0.36</v>
      </c>
      <c r="G11" s="100">
        <v>19.47</v>
      </c>
      <c r="H11" s="100">
        <v>6.49</v>
      </c>
      <c r="I11" s="100">
        <v>3.16</v>
      </c>
      <c r="J11" s="100">
        <v>0.75</v>
      </c>
      <c r="K11" s="100">
        <v>260.06</v>
      </c>
      <c r="L11" s="100">
        <v>23.39</v>
      </c>
      <c r="M11" s="100">
        <v>95.88</v>
      </c>
      <c r="N11" s="100">
        <v>2.6</v>
      </c>
      <c r="O11" s="100">
        <v>0</v>
      </c>
      <c r="P11" s="100">
        <v>0.28999999999999998</v>
      </c>
      <c r="Q11" s="151" t="s">
        <v>8</v>
      </c>
      <c r="R11" s="6"/>
      <c r="S11" s="6"/>
      <c r="T11" s="156"/>
      <c r="U11" s="6"/>
    </row>
    <row r="12" spans="1:21" customFormat="1">
      <c r="A12" s="163" t="s">
        <v>3027</v>
      </c>
      <c r="B12" s="100">
        <v>4.38</v>
      </c>
      <c r="C12" s="100">
        <v>6.04</v>
      </c>
      <c r="D12" s="100">
        <v>2.25</v>
      </c>
      <c r="E12" s="100">
        <v>5.59</v>
      </c>
      <c r="F12" s="100">
        <v>0.36</v>
      </c>
      <c r="G12" s="100">
        <v>19.71</v>
      </c>
      <c r="H12" s="100">
        <v>6.7</v>
      </c>
      <c r="I12" s="100">
        <v>3.1</v>
      </c>
      <c r="J12" s="100">
        <v>0.68</v>
      </c>
      <c r="K12" s="100">
        <v>257.62</v>
      </c>
      <c r="L12" s="100">
        <v>23.41</v>
      </c>
      <c r="M12" s="100">
        <v>96.13</v>
      </c>
      <c r="N12" s="100">
        <v>2.8</v>
      </c>
      <c r="O12" s="100">
        <v>0</v>
      </c>
      <c r="P12" s="100">
        <v>0.28000000000000003</v>
      </c>
      <c r="Q12" s="151" t="s">
        <v>8</v>
      </c>
      <c r="R12" s="6"/>
      <c r="S12" s="6"/>
      <c r="T12" s="156"/>
      <c r="U12" s="6"/>
    </row>
    <row r="13" spans="1:21" customFormat="1">
      <c r="A13" s="163" t="s">
        <v>3028</v>
      </c>
      <c r="B13" s="100">
        <v>4.42</v>
      </c>
      <c r="C13" s="100">
        <v>6</v>
      </c>
      <c r="D13" s="100">
        <v>2.11</v>
      </c>
      <c r="E13" s="100">
        <v>5.2</v>
      </c>
      <c r="F13" s="100">
        <v>0.11</v>
      </c>
      <c r="G13" s="100">
        <v>19.71</v>
      </c>
      <c r="H13" s="100">
        <v>6.7</v>
      </c>
      <c r="I13" s="100">
        <v>3.28</v>
      </c>
      <c r="J13" s="100">
        <v>0.72</v>
      </c>
      <c r="K13" s="100">
        <v>258.87</v>
      </c>
      <c r="L13" s="100">
        <v>23.43</v>
      </c>
      <c r="M13" s="100">
        <v>96.02</v>
      </c>
      <c r="N13" s="100">
        <v>2.7</v>
      </c>
      <c r="O13" s="100">
        <v>0</v>
      </c>
      <c r="P13" s="100">
        <v>0.28999999999999998</v>
      </c>
      <c r="Q13" s="151" t="s">
        <v>8</v>
      </c>
      <c r="R13" s="6"/>
      <c r="S13" s="6"/>
      <c r="T13" s="156"/>
      <c r="U13" s="6"/>
    </row>
    <row r="14" spans="1:21" customFormat="1">
      <c r="A14" s="163" t="s">
        <v>3029</v>
      </c>
      <c r="B14" s="100">
        <v>4.53</v>
      </c>
      <c r="C14" s="100">
        <v>6.12</v>
      </c>
      <c r="D14" s="100">
        <v>2.1800000000000002</v>
      </c>
      <c r="E14" s="100">
        <v>5.36</v>
      </c>
      <c r="F14" s="100">
        <v>0.11</v>
      </c>
      <c r="G14" s="100">
        <v>19.71</v>
      </c>
      <c r="H14" s="100">
        <v>6.7</v>
      </c>
      <c r="I14" s="100">
        <v>3.21</v>
      </c>
      <c r="J14" s="100">
        <v>0.77</v>
      </c>
      <c r="K14" s="100">
        <v>260.88</v>
      </c>
      <c r="L14" s="100">
        <v>23.46</v>
      </c>
      <c r="M14" s="100">
        <v>96.27</v>
      </c>
      <c r="N14" s="100">
        <v>2.4</v>
      </c>
      <c r="O14" s="100">
        <v>0</v>
      </c>
      <c r="P14" s="100">
        <v>0.27</v>
      </c>
      <c r="Q14" s="151" t="s">
        <v>8</v>
      </c>
      <c r="R14" s="6"/>
      <c r="S14" s="6"/>
      <c r="T14" s="156"/>
      <c r="U14" s="6"/>
    </row>
    <row r="15" spans="1:21" customFormat="1">
      <c r="A15" s="163" t="s">
        <v>3030</v>
      </c>
      <c r="B15" s="100">
        <v>4.6100000000000003</v>
      </c>
      <c r="C15" s="100">
        <v>6.07</v>
      </c>
      <c r="D15" s="100">
        <v>1.95</v>
      </c>
      <c r="E15" s="100">
        <v>5.33</v>
      </c>
      <c r="F15" s="100">
        <v>0.04</v>
      </c>
      <c r="G15" s="100">
        <v>16.72</v>
      </c>
      <c r="H15" s="100">
        <v>5.49</v>
      </c>
      <c r="I15" s="100">
        <v>3.32</v>
      </c>
      <c r="J15" s="100">
        <v>0.85</v>
      </c>
      <c r="K15" s="100">
        <v>261.32</v>
      </c>
      <c r="L15" s="100">
        <v>23.52</v>
      </c>
      <c r="M15" s="100">
        <v>96.12</v>
      </c>
      <c r="N15" s="100">
        <v>2.5</v>
      </c>
      <c r="O15" s="100">
        <v>0</v>
      </c>
      <c r="P15" s="100">
        <v>0.27</v>
      </c>
      <c r="Q15" s="151" t="s">
        <v>8</v>
      </c>
      <c r="R15" s="6"/>
      <c r="S15" s="6"/>
      <c r="T15" s="156"/>
      <c r="U15" s="6"/>
    </row>
    <row r="16" spans="1:21" customFormat="1">
      <c r="A16" s="163" t="s">
        <v>3031</v>
      </c>
      <c r="B16" s="100">
        <v>4.63</v>
      </c>
      <c r="C16" s="100">
        <v>6.18</v>
      </c>
      <c r="D16" s="100">
        <v>2.13</v>
      </c>
      <c r="E16" s="100">
        <v>5.2</v>
      </c>
      <c r="F16" s="100">
        <v>0.08</v>
      </c>
      <c r="G16" s="100">
        <v>14.43</v>
      </c>
      <c r="H16" s="100">
        <v>5.1100000000000003</v>
      </c>
      <c r="I16" s="100">
        <v>3.28</v>
      </c>
      <c r="J16" s="100">
        <v>0.77</v>
      </c>
      <c r="K16" s="100">
        <v>254.99</v>
      </c>
      <c r="L16" s="100">
        <v>23.53</v>
      </c>
      <c r="M16" s="100">
        <v>95.9</v>
      </c>
      <c r="N16" s="100">
        <v>2.5</v>
      </c>
      <c r="O16" s="100">
        <v>0</v>
      </c>
      <c r="P16" s="100">
        <v>0.28999999999999998</v>
      </c>
      <c r="Q16" s="151" t="s">
        <v>8</v>
      </c>
      <c r="R16" s="6"/>
      <c r="S16" s="6"/>
      <c r="T16" s="156"/>
      <c r="U16" s="6"/>
    </row>
    <row r="17" spans="1:21" customFormat="1">
      <c r="A17" s="163" t="s">
        <v>3032</v>
      </c>
      <c r="B17" s="100">
        <v>4.71</v>
      </c>
      <c r="C17" s="100">
        <v>6.23</v>
      </c>
      <c r="D17" s="100">
        <v>2.1</v>
      </c>
      <c r="E17" s="100">
        <v>3.79</v>
      </c>
      <c r="F17" s="100">
        <v>0.08</v>
      </c>
      <c r="G17" s="100">
        <v>14.43</v>
      </c>
      <c r="H17" s="100">
        <v>5.1100000000000003</v>
      </c>
      <c r="I17" s="100">
        <v>3.22</v>
      </c>
      <c r="J17" s="100">
        <v>0.69</v>
      </c>
      <c r="K17" s="100">
        <v>259.58</v>
      </c>
      <c r="L17" s="100">
        <v>23.57</v>
      </c>
      <c r="M17" s="100">
        <v>96.03</v>
      </c>
      <c r="N17" s="100">
        <v>2.5</v>
      </c>
      <c r="O17" s="100">
        <v>0</v>
      </c>
      <c r="P17" s="100">
        <v>0.26</v>
      </c>
      <c r="Q17" s="151" t="s">
        <v>8</v>
      </c>
      <c r="R17" s="6"/>
      <c r="S17" s="6"/>
      <c r="T17" s="156"/>
      <c r="U17" s="6"/>
    </row>
    <row r="18" spans="1:21" customFormat="1">
      <c r="A18" s="163" t="s">
        <v>3033</v>
      </c>
      <c r="B18" s="100">
        <v>4.7</v>
      </c>
      <c r="C18" s="100">
        <v>6.23</v>
      </c>
      <c r="D18" s="100">
        <v>2.11</v>
      </c>
      <c r="E18" s="100">
        <v>4.92</v>
      </c>
      <c r="F18" s="100">
        <v>0.04</v>
      </c>
      <c r="G18" s="100">
        <v>14.43</v>
      </c>
      <c r="H18" s="100">
        <v>5.1100000000000003</v>
      </c>
      <c r="I18" s="100">
        <v>3.34</v>
      </c>
      <c r="J18" s="100">
        <v>0.73</v>
      </c>
      <c r="K18" s="100">
        <v>261.01</v>
      </c>
      <c r="L18" s="100">
        <v>23.53</v>
      </c>
      <c r="M18" s="100">
        <v>96.57</v>
      </c>
      <c r="N18" s="100">
        <v>2.2999999999999998</v>
      </c>
      <c r="O18" s="100">
        <v>0</v>
      </c>
      <c r="P18" s="100">
        <v>0.28999999999999998</v>
      </c>
      <c r="Q18" s="151" t="s">
        <v>8</v>
      </c>
      <c r="R18" s="6"/>
      <c r="S18" s="6"/>
      <c r="T18" s="156"/>
      <c r="U18" s="6"/>
    </row>
    <row r="19" spans="1:21" customFormat="1">
      <c r="A19" s="163" t="s">
        <v>3034</v>
      </c>
      <c r="B19" s="100">
        <v>4.8</v>
      </c>
      <c r="C19" s="100">
        <v>6.29</v>
      </c>
      <c r="D19" s="100">
        <v>2.1</v>
      </c>
      <c r="E19" s="100">
        <v>4.78</v>
      </c>
      <c r="F19" s="100">
        <v>0.01</v>
      </c>
      <c r="G19" s="100">
        <v>13.34</v>
      </c>
      <c r="H19" s="100">
        <v>4.66</v>
      </c>
      <c r="I19" s="100">
        <v>3.24</v>
      </c>
      <c r="J19" s="100">
        <v>0.73</v>
      </c>
      <c r="K19" s="100">
        <v>259.68</v>
      </c>
      <c r="L19" s="100">
        <v>23.5</v>
      </c>
      <c r="M19" s="100">
        <v>96.82</v>
      </c>
      <c r="N19" s="100">
        <v>2.2000000000000002</v>
      </c>
      <c r="O19" s="100">
        <v>0</v>
      </c>
      <c r="P19" s="100">
        <v>0.27</v>
      </c>
      <c r="Q19" s="151" t="s">
        <v>8</v>
      </c>
      <c r="R19" s="6"/>
      <c r="S19" s="6"/>
      <c r="T19" s="156"/>
      <c r="U19" s="6"/>
    </row>
    <row r="20" spans="1:21" customFormat="1">
      <c r="A20" s="163" t="s">
        <v>3035</v>
      </c>
      <c r="B20" s="100">
        <v>4.82</v>
      </c>
      <c r="C20" s="100">
        <v>6.31</v>
      </c>
      <c r="D20" s="100">
        <v>2.11</v>
      </c>
      <c r="E20" s="100">
        <v>4.7699999999999996</v>
      </c>
      <c r="F20" s="100">
        <v>0.09</v>
      </c>
      <c r="G20" s="100">
        <v>12.5</v>
      </c>
      <c r="H20" s="100">
        <v>4.51</v>
      </c>
      <c r="I20" s="100">
        <v>3.37</v>
      </c>
      <c r="J20" s="100">
        <v>0.61</v>
      </c>
      <c r="K20" s="100">
        <v>257.94</v>
      </c>
      <c r="L20" s="100">
        <v>23.52</v>
      </c>
      <c r="M20" s="100">
        <v>97.01</v>
      </c>
      <c r="N20" s="100">
        <v>2.1</v>
      </c>
      <c r="O20" s="100">
        <v>0</v>
      </c>
      <c r="P20" s="100">
        <v>0.28999999999999998</v>
      </c>
      <c r="Q20" s="151" t="s">
        <v>8</v>
      </c>
      <c r="R20" s="6"/>
      <c r="S20" s="6"/>
      <c r="T20" s="156"/>
      <c r="U20" s="6"/>
    </row>
    <row r="21" spans="1:21" customFormat="1">
      <c r="A21" s="163" t="s">
        <v>3036</v>
      </c>
      <c r="B21" s="100">
        <v>4.91</v>
      </c>
      <c r="C21" s="100">
        <v>6.39</v>
      </c>
      <c r="D21" s="100">
        <v>2.11</v>
      </c>
      <c r="E21" s="100">
        <v>5.07</v>
      </c>
      <c r="F21" s="100">
        <v>0.09</v>
      </c>
      <c r="G21" s="100">
        <v>12.5</v>
      </c>
      <c r="H21" s="100">
        <v>4.51</v>
      </c>
      <c r="I21" s="100">
        <v>3.25</v>
      </c>
      <c r="J21" s="100">
        <v>0.63</v>
      </c>
      <c r="K21" s="100">
        <v>260.42</v>
      </c>
      <c r="L21" s="100">
        <v>23.54</v>
      </c>
      <c r="M21" s="100">
        <v>97.08</v>
      </c>
      <c r="N21" s="100">
        <v>2.2000000000000002</v>
      </c>
      <c r="O21" s="100">
        <v>0</v>
      </c>
      <c r="P21" s="100">
        <v>0.26</v>
      </c>
      <c r="Q21" s="151" t="s">
        <v>8</v>
      </c>
      <c r="R21" s="6"/>
      <c r="S21" s="6"/>
      <c r="T21" s="156"/>
      <c r="U21" s="6"/>
    </row>
    <row r="22" spans="1:21" customFormat="1">
      <c r="A22" s="163" t="s">
        <v>3037</v>
      </c>
      <c r="B22" s="100">
        <v>4.9400000000000004</v>
      </c>
      <c r="C22" s="100">
        <v>6.41</v>
      </c>
      <c r="D22" s="100">
        <v>2.11</v>
      </c>
      <c r="E22" s="100">
        <v>4.99</v>
      </c>
      <c r="F22" s="100">
        <v>0.09</v>
      </c>
      <c r="G22" s="100">
        <v>12.5</v>
      </c>
      <c r="H22" s="100">
        <v>4.51</v>
      </c>
      <c r="I22" s="100">
        <v>3.39</v>
      </c>
      <c r="J22" s="100">
        <v>0.8</v>
      </c>
      <c r="K22" s="100">
        <v>260.24</v>
      </c>
      <c r="L22" s="100">
        <v>23.52</v>
      </c>
      <c r="M22" s="100">
        <v>97.28</v>
      </c>
      <c r="N22" s="100">
        <v>2.2000000000000002</v>
      </c>
      <c r="O22" s="100">
        <v>0</v>
      </c>
      <c r="P22" s="100">
        <v>0.3</v>
      </c>
      <c r="Q22" s="151" t="s">
        <v>8</v>
      </c>
      <c r="R22" s="6"/>
      <c r="S22" s="6"/>
      <c r="T22" s="156"/>
      <c r="U22" s="6"/>
    </row>
    <row r="23" spans="1:21" customFormat="1">
      <c r="A23" s="163" t="s">
        <v>3038</v>
      </c>
      <c r="B23" s="100">
        <v>5.01</v>
      </c>
      <c r="C23" s="100">
        <v>6.52</v>
      </c>
      <c r="D23" s="100">
        <v>2.2000000000000002</v>
      </c>
      <c r="E23" s="100">
        <v>5.01</v>
      </c>
      <c r="F23" s="100">
        <v>0.09</v>
      </c>
      <c r="G23" s="100">
        <v>14.5</v>
      </c>
      <c r="H23" s="100">
        <v>6.43</v>
      </c>
      <c r="I23" s="100">
        <v>3.32</v>
      </c>
      <c r="J23" s="100">
        <v>0.64</v>
      </c>
      <c r="K23" s="100">
        <v>258.11</v>
      </c>
      <c r="L23" s="100">
        <v>23.52</v>
      </c>
      <c r="M23" s="100">
        <v>97.53</v>
      </c>
      <c r="N23" s="100">
        <v>2.2000000000000002</v>
      </c>
      <c r="O23" s="100">
        <v>0</v>
      </c>
      <c r="P23" s="100">
        <v>0.28000000000000003</v>
      </c>
      <c r="Q23" s="151" t="s">
        <v>8</v>
      </c>
      <c r="R23" s="6"/>
      <c r="S23" s="6"/>
      <c r="T23" s="156"/>
      <c r="U23" s="6"/>
    </row>
    <row r="24" spans="1:21" customFormat="1">
      <c r="A24" s="163" t="s">
        <v>3039</v>
      </c>
      <c r="B24" s="100">
        <v>5.04</v>
      </c>
      <c r="C24" s="100">
        <v>6.54</v>
      </c>
      <c r="D24" s="100">
        <v>2.19</v>
      </c>
      <c r="E24" s="100">
        <v>4.9400000000000004</v>
      </c>
      <c r="F24" s="100">
        <v>0.09</v>
      </c>
      <c r="G24" s="100">
        <v>16.03</v>
      </c>
      <c r="H24" s="100">
        <v>7.03</v>
      </c>
      <c r="I24" s="100">
        <v>3.54</v>
      </c>
      <c r="J24" s="100">
        <v>0.57999999999999996</v>
      </c>
      <c r="K24" s="100">
        <v>257.22000000000003</v>
      </c>
      <c r="L24" s="100">
        <v>23.51</v>
      </c>
      <c r="M24" s="100">
        <v>97.64</v>
      </c>
      <c r="N24" s="100">
        <v>2.2000000000000002</v>
      </c>
      <c r="O24" s="100">
        <v>0</v>
      </c>
      <c r="P24" s="100">
        <v>0.3</v>
      </c>
      <c r="Q24" s="151" t="s">
        <v>8</v>
      </c>
      <c r="R24" s="6"/>
      <c r="S24" s="6"/>
      <c r="T24" s="156"/>
      <c r="U24" s="6"/>
    </row>
    <row r="25" spans="1:21" customFormat="1">
      <c r="A25" s="163" t="s">
        <v>3040</v>
      </c>
      <c r="B25" s="100">
        <v>5.1100000000000003</v>
      </c>
      <c r="C25" s="100">
        <v>6.57</v>
      </c>
      <c r="D25" s="100">
        <v>2.14</v>
      </c>
      <c r="E25" s="100">
        <v>4.92</v>
      </c>
      <c r="F25" s="100">
        <v>0.09</v>
      </c>
      <c r="G25" s="100">
        <v>16.03</v>
      </c>
      <c r="H25" s="100">
        <v>7.03</v>
      </c>
      <c r="I25" s="100">
        <v>3.59</v>
      </c>
      <c r="J25" s="100">
        <v>0.73</v>
      </c>
      <c r="K25" s="100">
        <v>262.02999999999997</v>
      </c>
      <c r="L25" s="100">
        <v>23.48</v>
      </c>
      <c r="M25" s="100">
        <v>97.89</v>
      </c>
      <c r="N25" s="100">
        <v>2.2999999999999998</v>
      </c>
      <c r="O25" s="100">
        <v>0.2</v>
      </c>
      <c r="P25" s="100">
        <v>0.28000000000000003</v>
      </c>
      <c r="Q25" s="151" t="s">
        <v>8</v>
      </c>
      <c r="R25" s="6"/>
      <c r="S25" s="6"/>
      <c r="T25" s="156"/>
      <c r="U25" s="6"/>
    </row>
    <row r="26" spans="1:21" customFormat="1">
      <c r="A26" s="163" t="s">
        <v>3041</v>
      </c>
      <c r="B26" s="100">
        <v>5.08</v>
      </c>
      <c r="C26" s="100">
        <v>6.52</v>
      </c>
      <c r="D26" s="100">
        <v>2.09</v>
      </c>
      <c r="E26" s="100">
        <v>4.9800000000000004</v>
      </c>
      <c r="F26" s="100">
        <v>0.01</v>
      </c>
      <c r="G26" s="100">
        <v>16.03</v>
      </c>
      <c r="H26" s="100">
        <v>7.03</v>
      </c>
      <c r="I26" s="100">
        <v>3.71</v>
      </c>
      <c r="J26" s="100">
        <v>0.46</v>
      </c>
      <c r="K26" s="100">
        <v>263.7</v>
      </c>
      <c r="L26" s="100">
        <v>23.41</v>
      </c>
      <c r="M26" s="100">
        <v>98.09</v>
      </c>
      <c r="N26" s="100">
        <v>2.2999999999999998</v>
      </c>
      <c r="O26" s="100">
        <v>0</v>
      </c>
      <c r="P26" s="100">
        <v>0.3</v>
      </c>
      <c r="Q26" s="151" t="s">
        <v>8</v>
      </c>
      <c r="R26" s="6"/>
      <c r="S26" s="6"/>
      <c r="T26" s="156"/>
      <c r="U26" s="6"/>
    </row>
    <row r="27" spans="1:21" customFormat="1">
      <c r="A27" s="163" t="s">
        <v>3042</v>
      </c>
      <c r="B27" s="100">
        <v>5.14</v>
      </c>
      <c r="C27" s="100">
        <v>6.65</v>
      </c>
      <c r="D27" s="100">
        <v>2.25</v>
      </c>
      <c r="E27" s="100">
        <v>5.16</v>
      </c>
      <c r="F27" s="100">
        <v>0.01</v>
      </c>
      <c r="G27" s="100">
        <v>13.8</v>
      </c>
      <c r="H27" s="100">
        <v>7.01</v>
      </c>
      <c r="I27" s="100">
        <v>3.59</v>
      </c>
      <c r="J27" s="100">
        <v>0.63</v>
      </c>
      <c r="K27" s="100">
        <v>259.82</v>
      </c>
      <c r="L27" s="100">
        <v>23.29</v>
      </c>
      <c r="M27" s="100">
        <v>98.44</v>
      </c>
      <c r="N27" s="100">
        <v>2.5</v>
      </c>
      <c r="O27" s="100">
        <v>0</v>
      </c>
      <c r="P27" s="100">
        <v>0.28000000000000003</v>
      </c>
      <c r="Q27" s="151" t="s">
        <v>8</v>
      </c>
      <c r="R27" s="6"/>
      <c r="S27" s="6"/>
      <c r="T27" s="156"/>
      <c r="U27" s="6"/>
    </row>
    <row r="28" spans="1:21" customFormat="1">
      <c r="A28" s="163" t="s">
        <v>3043</v>
      </c>
      <c r="B28" s="100">
        <v>5.0999999999999996</v>
      </c>
      <c r="C28" s="100">
        <v>6.91</v>
      </c>
      <c r="D28" s="100">
        <v>2.82</v>
      </c>
      <c r="E28" s="100">
        <v>4.79</v>
      </c>
      <c r="F28" s="100">
        <v>0.01</v>
      </c>
      <c r="G28" s="100">
        <v>12.09</v>
      </c>
      <c r="H28" s="100">
        <v>7</v>
      </c>
      <c r="I28" s="100">
        <v>3.67</v>
      </c>
      <c r="J28" s="100">
        <v>0.66</v>
      </c>
      <c r="K28" s="100">
        <v>258.79000000000002</v>
      </c>
      <c r="L28" s="100">
        <v>23.24</v>
      </c>
      <c r="M28" s="100">
        <v>98.83</v>
      </c>
      <c r="N28" s="100">
        <v>2.2999999999999998</v>
      </c>
      <c r="O28" s="100">
        <v>0</v>
      </c>
      <c r="P28" s="100">
        <v>0.25</v>
      </c>
      <c r="Q28" s="151" t="s">
        <v>8</v>
      </c>
      <c r="R28" s="6"/>
      <c r="S28" s="6"/>
      <c r="T28" s="156"/>
      <c r="U28" s="6"/>
    </row>
    <row r="29" spans="1:21" customFormat="1">
      <c r="A29" s="163" t="s">
        <v>3044</v>
      </c>
      <c r="B29" s="100">
        <v>4.93</v>
      </c>
      <c r="C29" s="100">
        <v>6.88</v>
      </c>
      <c r="D29" s="100">
        <v>3.02</v>
      </c>
      <c r="E29" s="100">
        <v>4.55</v>
      </c>
      <c r="F29" s="100">
        <v>0.01</v>
      </c>
      <c r="G29" s="100">
        <v>12.09</v>
      </c>
      <c r="H29" s="100">
        <v>7</v>
      </c>
      <c r="I29" s="100">
        <v>3.55</v>
      </c>
      <c r="J29" s="100">
        <v>0.74</v>
      </c>
      <c r="K29" s="100">
        <v>261.08999999999997</v>
      </c>
      <c r="L29" s="100">
        <v>23.24</v>
      </c>
      <c r="M29" s="100">
        <v>98.97</v>
      </c>
      <c r="N29" s="100">
        <v>2.2999999999999998</v>
      </c>
      <c r="O29" s="100">
        <v>0.2</v>
      </c>
      <c r="P29" s="100">
        <v>0.24</v>
      </c>
      <c r="Q29" s="151" t="s">
        <v>8</v>
      </c>
      <c r="R29" s="6"/>
      <c r="S29" s="6"/>
      <c r="T29" s="156"/>
      <c r="U29" s="6"/>
    </row>
    <row r="30" spans="1:21" customFormat="1">
      <c r="A30" s="163" t="s">
        <v>3045</v>
      </c>
      <c r="B30" s="100">
        <v>4.7699999999999996</v>
      </c>
      <c r="C30" s="100">
        <v>6.77</v>
      </c>
      <c r="D30" s="100">
        <v>3.04</v>
      </c>
      <c r="E30" s="100">
        <v>4.71</v>
      </c>
      <c r="F30" s="100">
        <v>0.02</v>
      </c>
      <c r="G30" s="100">
        <v>12.09</v>
      </c>
      <c r="H30" s="100">
        <v>7</v>
      </c>
      <c r="I30" s="100">
        <v>3.48</v>
      </c>
      <c r="J30" s="100">
        <v>0.54</v>
      </c>
      <c r="K30" s="100">
        <v>256.04000000000002</v>
      </c>
      <c r="L30" s="100">
        <v>23.28</v>
      </c>
      <c r="M30" s="100">
        <v>99.02</v>
      </c>
      <c r="N30" s="100">
        <v>2.4</v>
      </c>
      <c r="O30" s="100">
        <v>0</v>
      </c>
      <c r="P30" s="100">
        <v>0.23</v>
      </c>
      <c r="Q30" s="151" t="s">
        <v>8</v>
      </c>
      <c r="R30" s="6"/>
      <c r="S30" s="6"/>
      <c r="T30" s="156"/>
      <c r="U30" s="6"/>
    </row>
    <row r="31" spans="1:21" customFormat="1">
      <c r="A31" s="163" t="s">
        <v>3046</v>
      </c>
      <c r="B31" s="100">
        <v>4.67</v>
      </c>
      <c r="C31" s="100">
        <v>6.65</v>
      </c>
      <c r="D31" s="100">
        <v>2.98</v>
      </c>
      <c r="E31" s="100">
        <v>4.58</v>
      </c>
      <c r="F31" s="100">
        <v>0.05</v>
      </c>
      <c r="G31" s="100">
        <v>12.71</v>
      </c>
      <c r="H31" s="100">
        <v>5.68</v>
      </c>
      <c r="I31" s="100">
        <v>3.41</v>
      </c>
      <c r="J31" s="100">
        <v>0.48</v>
      </c>
      <c r="K31" s="100">
        <v>262.42</v>
      </c>
      <c r="L31" s="100">
        <v>23.28</v>
      </c>
      <c r="M31" s="100">
        <v>98.99</v>
      </c>
      <c r="N31" s="100">
        <v>4.2</v>
      </c>
      <c r="O31" s="100">
        <v>0</v>
      </c>
      <c r="P31" s="100">
        <v>0.24</v>
      </c>
      <c r="Q31" s="151" t="s">
        <v>8</v>
      </c>
      <c r="R31" s="6"/>
      <c r="S31" s="6"/>
      <c r="T31" s="156"/>
      <c r="U31" s="6"/>
    </row>
    <row r="32" spans="1:21" customFormat="1">
      <c r="A32" s="163" t="s">
        <v>3047</v>
      </c>
      <c r="B32" s="100">
        <v>4.59</v>
      </c>
      <c r="C32" s="100">
        <v>6.58</v>
      </c>
      <c r="D32" s="100">
        <v>2.97</v>
      </c>
      <c r="E32" s="100">
        <v>4.84</v>
      </c>
      <c r="F32" s="100">
        <v>0.05</v>
      </c>
      <c r="G32" s="100">
        <v>13.19</v>
      </c>
      <c r="H32" s="100">
        <v>4.9000000000000004</v>
      </c>
      <c r="I32" s="100">
        <v>3.33</v>
      </c>
      <c r="J32" s="100">
        <v>0.62</v>
      </c>
      <c r="K32" s="100">
        <v>258.99</v>
      </c>
      <c r="L32" s="100">
        <v>23.26</v>
      </c>
      <c r="M32" s="100">
        <v>99.06</v>
      </c>
      <c r="N32" s="100">
        <v>6.4</v>
      </c>
      <c r="O32" s="100">
        <v>0.2</v>
      </c>
      <c r="P32" s="100">
        <v>0.24</v>
      </c>
      <c r="Q32" s="151" t="s">
        <v>8</v>
      </c>
      <c r="R32" s="6"/>
      <c r="S32" s="6"/>
      <c r="T32" s="156"/>
      <c r="U32" s="6"/>
    </row>
    <row r="33" spans="1:21" customFormat="1">
      <c r="A33" s="163" t="s">
        <v>3048</v>
      </c>
      <c r="B33" s="100">
        <v>4.55</v>
      </c>
      <c r="C33" s="100">
        <v>6.55</v>
      </c>
      <c r="D33" s="100">
        <v>2.98</v>
      </c>
      <c r="E33" s="100">
        <v>5.04</v>
      </c>
      <c r="F33" s="100">
        <v>0.04</v>
      </c>
      <c r="G33" s="100">
        <v>13.19</v>
      </c>
      <c r="H33" s="100">
        <v>4.9000000000000004</v>
      </c>
      <c r="I33" s="100">
        <v>3.26</v>
      </c>
      <c r="J33" s="100">
        <v>0.55000000000000004</v>
      </c>
      <c r="K33" s="100">
        <v>261.48</v>
      </c>
      <c r="L33" s="100">
        <v>23.27</v>
      </c>
      <c r="M33" s="100">
        <v>99.27</v>
      </c>
      <c r="N33" s="100">
        <v>9.6999999999999993</v>
      </c>
      <c r="O33" s="100">
        <v>0.2</v>
      </c>
      <c r="P33" s="100">
        <v>0.23</v>
      </c>
      <c r="Q33" s="151" t="s">
        <v>8</v>
      </c>
      <c r="R33" s="6"/>
      <c r="S33" s="6"/>
      <c r="T33" s="156"/>
      <c r="U33" s="6"/>
    </row>
    <row r="34" spans="1:21" customFormat="1">
      <c r="A34" s="163" t="s">
        <v>3049</v>
      </c>
      <c r="B34" s="100">
        <v>4.49</v>
      </c>
      <c r="C34" s="100">
        <v>6.5</v>
      </c>
      <c r="D34" s="100">
        <v>2.95</v>
      </c>
      <c r="E34" s="100">
        <v>5.04</v>
      </c>
      <c r="F34" s="100">
        <v>0.04</v>
      </c>
      <c r="G34" s="100">
        <v>13.19</v>
      </c>
      <c r="H34" s="100">
        <v>4.9000000000000004</v>
      </c>
      <c r="I34" s="100">
        <v>3.26</v>
      </c>
      <c r="J34" s="100">
        <v>0.56000000000000005</v>
      </c>
      <c r="K34" s="100">
        <v>260.97000000000003</v>
      </c>
      <c r="L34" s="100">
        <v>23.27</v>
      </c>
      <c r="M34" s="100">
        <v>99.48</v>
      </c>
      <c r="N34" s="100">
        <v>11.6</v>
      </c>
      <c r="O34" s="100">
        <v>0.2</v>
      </c>
      <c r="P34" s="100">
        <v>0.23</v>
      </c>
      <c r="Q34" s="151" t="s">
        <v>8</v>
      </c>
      <c r="R34" s="6"/>
      <c r="S34" s="6"/>
      <c r="T34" s="156"/>
      <c r="U34" s="6"/>
    </row>
    <row r="35" spans="1:21" customFormat="1">
      <c r="A35" s="163" t="s">
        <v>3050</v>
      </c>
      <c r="B35" s="100">
        <v>4.46</v>
      </c>
      <c r="C35" s="100">
        <v>6.5</v>
      </c>
      <c r="D35" s="100">
        <v>3.01</v>
      </c>
      <c r="E35" s="100">
        <v>5.12</v>
      </c>
      <c r="F35" s="100">
        <v>0.08</v>
      </c>
      <c r="G35" s="100">
        <v>11.46</v>
      </c>
      <c r="H35" s="100">
        <v>4.22</v>
      </c>
      <c r="I35" s="100">
        <v>3.18</v>
      </c>
      <c r="J35" s="100">
        <v>0.59</v>
      </c>
      <c r="K35" s="100">
        <v>265.89</v>
      </c>
      <c r="L35" s="100">
        <v>23.28</v>
      </c>
      <c r="M35" s="100">
        <v>99.65</v>
      </c>
      <c r="N35" s="100">
        <v>16.100000000000001</v>
      </c>
      <c r="O35" s="100">
        <v>0.2</v>
      </c>
      <c r="P35" s="100">
        <v>0.24</v>
      </c>
      <c r="Q35" s="151" t="s">
        <v>8</v>
      </c>
      <c r="R35" s="6"/>
      <c r="S35" s="6"/>
      <c r="T35" s="156"/>
      <c r="U35" s="6"/>
    </row>
    <row r="36" spans="1:21" customFormat="1">
      <c r="A36" s="163" t="s">
        <v>3051</v>
      </c>
      <c r="B36" s="100">
        <v>4.47</v>
      </c>
      <c r="C36" s="100">
        <v>6.53</v>
      </c>
      <c r="D36" s="100">
        <v>3.06</v>
      </c>
      <c r="E36" s="100">
        <v>4.93</v>
      </c>
      <c r="F36" s="100">
        <v>0.08</v>
      </c>
      <c r="G36" s="100">
        <v>10.130000000000001</v>
      </c>
      <c r="H36" s="100">
        <v>4</v>
      </c>
      <c r="I36" s="100">
        <v>3.22</v>
      </c>
      <c r="J36" s="100">
        <v>0.75</v>
      </c>
      <c r="K36" s="100">
        <v>262.62</v>
      </c>
      <c r="L36" s="100">
        <v>23.32</v>
      </c>
      <c r="M36" s="100">
        <v>99.7</v>
      </c>
      <c r="N36" s="100">
        <v>17.3</v>
      </c>
      <c r="O36" s="100">
        <v>0.2</v>
      </c>
      <c r="P36" s="100">
        <v>0.25</v>
      </c>
      <c r="Q36" s="151" t="s">
        <v>8</v>
      </c>
      <c r="R36" s="6"/>
      <c r="S36" s="6"/>
      <c r="T36" s="156"/>
      <c r="U36" s="6"/>
    </row>
    <row r="37" spans="1:21" customFormat="1">
      <c r="A37" s="163" t="s">
        <v>3052</v>
      </c>
      <c r="B37" s="100">
        <v>4.55</v>
      </c>
      <c r="C37" s="100">
        <v>6.66</v>
      </c>
      <c r="D37" s="100">
        <v>3.19</v>
      </c>
      <c r="E37" s="100">
        <v>5.0199999999999996</v>
      </c>
      <c r="F37" s="100">
        <v>0.08</v>
      </c>
      <c r="G37" s="100">
        <v>10.130000000000001</v>
      </c>
      <c r="H37" s="100">
        <v>4</v>
      </c>
      <c r="I37" s="100">
        <v>3.31</v>
      </c>
      <c r="J37" s="100">
        <v>0.56999999999999995</v>
      </c>
      <c r="K37" s="100">
        <v>268.79000000000002</v>
      </c>
      <c r="L37" s="100">
        <v>23.33</v>
      </c>
      <c r="M37" s="100">
        <v>99.63</v>
      </c>
      <c r="N37" s="100">
        <v>13.6</v>
      </c>
      <c r="O37" s="100">
        <v>0</v>
      </c>
      <c r="P37" s="100">
        <v>0.26</v>
      </c>
      <c r="Q37" s="151" t="s">
        <v>8</v>
      </c>
      <c r="R37" s="6"/>
      <c r="S37" s="6"/>
      <c r="T37" s="156"/>
      <c r="U37" s="6"/>
    </row>
    <row r="38" spans="1:21" customFormat="1">
      <c r="A38" s="163" t="s">
        <v>3053</v>
      </c>
      <c r="B38" s="100">
        <v>4.6500000000000004</v>
      </c>
      <c r="C38" s="100">
        <v>6.84</v>
      </c>
      <c r="D38" s="100">
        <v>3.36</v>
      </c>
      <c r="E38" s="100">
        <v>5.09</v>
      </c>
      <c r="F38" s="100">
        <v>0.23</v>
      </c>
      <c r="G38" s="100">
        <v>10.130000000000001</v>
      </c>
      <c r="H38" s="100">
        <v>4</v>
      </c>
      <c r="I38" s="100">
        <v>3.49</v>
      </c>
      <c r="J38" s="100">
        <v>0.83</v>
      </c>
      <c r="K38" s="100">
        <v>276.89999999999998</v>
      </c>
      <c r="L38" s="100">
        <v>23.33</v>
      </c>
      <c r="M38" s="100">
        <v>99.51</v>
      </c>
      <c r="N38" s="100">
        <v>20.9</v>
      </c>
      <c r="O38" s="100">
        <v>0</v>
      </c>
      <c r="P38" s="100">
        <v>0.3</v>
      </c>
      <c r="Q38" s="151" t="s">
        <v>8</v>
      </c>
      <c r="R38" s="6"/>
      <c r="S38" s="6"/>
      <c r="T38" s="156"/>
      <c r="U38" s="6"/>
    </row>
    <row r="39" spans="1:21" customFormat="1">
      <c r="A39" s="163" t="s">
        <v>3054</v>
      </c>
      <c r="B39" s="100">
        <v>4.8099999999999996</v>
      </c>
      <c r="C39" s="100">
        <v>7.09</v>
      </c>
      <c r="D39" s="100">
        <v>3.59</v>
      </c>
      <c r="E39" s="100">
        <v>5.0999999999999996</v>
      </c>
      <c r="F39" s="100">
        <v>7.0000000000000007E-2</v>
      </c>
      <c r="G39" s="100">
        <v>8.77</v>
      </c>
      <c r="H39" s="100">
        <v>3.3</v>
      </c>
      <c r="I39" s="100">
        <v>3.74</v>
      </c>
      <c r="J39" s="100">
        <v>0.73</v>
      </c>
      <c r="K39" s="100">
        <v>273.07</v>
      </c>
      <c r="L39" s="100">
        <v>23.34</v>
      </c>
      <c r="M39" s="100">
        <v>99.25</v>
      </c>
      <c r="N39" s="100">
        <v>22.2</v>
      </c>
      <c r="O39" s="100">
        <v>0.2</v>
      </c>
      <c r="P39" s="100">
        <v>0.34</v>
      </c>
      <c r="Q39" s="151" t="s">
        <v>8</v>
      </c>
      <c r="R39" s="6"/>
      <c r="S39" s="6"/>
      <c r="T39" s="156"/>
      <c r="U39" s="6"/>
    </row>
    <row r="40" spans="1:21" customFormat="1">
      <c r="A40" s="163" t="s">
        <v>3055</v>
      </c>
      <c r="B40" s="100">
        <v>5.07</v>
      </c>
      <c r="C40" s="100">
        <v>7.33</v>
      </c>
      <c r="D40" s="100">
        <v>3.66</v>
      </c>
      <c r="E40" s="100">
        <v>4.9800000000000004</v>
      </c>
      <c r="F40" s="100">
        <v>0.09</v>
      </c>
      <c r="G40" s="100">
        <v>7.73</v>
      </c>
      <c r="H40" s="100">
        <v>3.08</v>
      </c>
      <c r="I40" s="100">
        <v>4.37</v>
      </c>
      <c r="J40" s="100">
        <v>0.7</v>
      </c>
      <c r="K40" s="100">
        <v>264.67</v>
      </c>
      <c r="L40" s="100">
        <v>23.36</v>
      </c>
      <c r="M40" s="100">
        <v>99.19</v>
      </c>
      <c r="N40" s="100">
        <v>34.4</v>
      </c>
      <c r="O40" s="100">
        <v>0.4</v>
      </c>
      <c r="P40" s="100">
        <v>0.37</v>
      </c>
      <c r="Q40" s="151" t="s">
        <v>8</v>
      </c>
      <c r="R40" s="6"/>
      <c r="S40" s="6"/>
      <c r="T40" s="156"/>
      <c r="U40" s="6"/>
    </row>
    <row r="41" spans="1:21" customFormat="1">
      <c r="A41" s="163" t="s">
        <v>3056</v>
      </c>
      <c r="B41" s="100">
        <v>5.22</v>
      </c>
      <c r="C41" s="100">
        <v>7.5</v>
      </c>
      <c r="D41" s="100">
        <v>3.75</v>
      </c>
      <c r="E41" s="100">
        <v>5.05</v>
      </c>
      <c r="F41" s="100">
        <v>0.15</v>
      </c>
      <c r="G41" s="100">
        <v>7.73</v>
      </c>
      <c r="H41" s="100">
        <v>3.08</v>
      </c>
      <c r="I41" s="100">
        <v>5.13</v>
      </c>
      <c r="J41" s="100">
        <v>0.83</v>
      </c>
      <c r="K41" s="100">
        <v>264.55</v>
      </c>
      <c r="L41" s="100">
        <v>23.34</v>
      </c>
      <c r="M41" s="100">
        <v>99.27</v>
      </c>
      <c r="N41" s="100">
        <v>51.3</v>
      </c>
      <c r="O41" s="100">
        <v>0.4</v>
      </c>
      <c r="P41" s="100">
        <v>0.4</v>
      </c>
      <c r="Q41" s="151" t="s">
        <v>8</v>
      </c>
      <c r="R41" s="6"/>
      <c r="S41" s="6"/>
      <c r="T41" s="156"/>
      <c r="U41" s="6"/>
    </row>
    <row r="42" spans="1:21" customFormat="1">
      <c r="A42" s="163" t="s">
        <v>3057</v>
      </c>
      <c r="B42" s="100">
        <v>5.36</v>
      </c>
      <c r="C42" s="100">
        <v>7.64</v>
      </c>
      <c r="D42" s="100">
        <v>3.8</v>
      </c>
      <c r="E42" s="100">
        <v>5.31</v>
      </c>
      <c r="F42" s="100">
        <v>0.52</v>
      </c>
      <c r="G42" s="100">
        <v>7.73</v>
      </c>
      <c r="H42" s="100">
        <v>3.08</v>
      </c>
      <c r="I42" s="100">
        <v>5.77</v>
      </c>
      <c r="J42" s="100">
        <v>0.84</v>
      </c>
      <c r="K42" s="100">
        <v>267.94</v>
      </c>
      <c r="L42" s="100">
        <v>23.37</v>
      </c>
      <c r="M42" s="100">
        <v>99.28</v>
      </c>
      <c r="N42" s="100">
        <v>44.3</v>
      </c>
      <c r="O42" s="100">
        <v>0</v>
      </c>
      <c r="P42" s="100">
        <v>0.44</v>
      </c>
      <c r="Q42" s="151" t="s">
        <v>8</v>
      </c>
      <c r="R42" s="6"/>
      <c r="S42" s="6"/>
      <c r="T42" s="156"/>
      <c r="U42" s="6"/>
    </row>
    <row r="43" spans="1:21" customFormat="1">
      <c r="A43" s="163" t="s">
        <v>3058</v>
      </c>
      <c r="B43" s="100">
        <v>5.47</v>
      </c>
      <c r="C43" s="100">
        <v>7.78</v>
      </c>
      <c r="D43" s="100">
        <v>3.9</v>
      </c>
      <c r="E43" s="100">
        <v>5.44</v>
      </c>
      <c r="F43" s="100">
        <v>0.49</v>
      </c>
      <c r="G43" s="100">
        <v>8.9600000000000009</v>
      </c>
      <c r="H43" s="100">
        <v>5.98</v>
      </c>
      <c r="I43" s="100">
        <v>6.16</v>
      </c>
      <c r="J43" s="100">
        <v>0.76</v>
      </c>
      <c r="K43" s="100">
        <v>260.33999999999997</v>
      </c>
      <c r="L43" s="100">
        <v>23.43</v>
      </c>
      <c r="M43" s="100">
        <v>99.14</v>
      </c>
      <c r="N43" s="100">
        <v>76</v>
      </c>
      <c r="O43" s="100">
        <v>0.2</v>
      </c>
      <c r="P43" s="100">
        <v>0.48</v>
      </c>
      <c r="Q43" s="151" t="s">
        <v>8</v>
      </c>
      <c r="R43" s="6"/>
      <c r="S43" s="6"/>
      <c r="T43" s="156"/>
      <c r="U43" s="6"/>
    </row>
    <row r="44" spans="1:21" customFormat="1">
      <c r="A44" s="163" t="s">
        <v>3059</v>
      </c>
      <c r="B44" s="100">
        <v>5.67</v>
      </c>
      <c r="C44" s="100">
        <v>7.94</v>
      </c>
      <c r="D44" s="100">
        <v>3.9</v>
      </c>
      <c r="E44" s="100">
        <v>5.68</v>
      </c>
      <c r="F44" s="100">
        <v>0.19</v>
      </c>
      <c r="G44" s="100">
        <v>9.89</v>
      </c>
      <c r="H44" s="100">
        <v>6.91</v>
      </c>
      <c r="I44" s="100">
        <v>6.63</v>
      </c>
      <c r="J44" s="100">
        <v>0.63</v>
      </c>
      <c r="K44" s="100">
        <v>262.89999999999998</v>
      </c>
      <c r="L44" s="100">
        <v>23.63</v>
      </c>
      <c r="M44" s="100">
        <v>99.28</v>
      </c>
      <c r="N44" s="100">
        <v>99.5</v>
      </c>
      <c r="O44" s="100">
        <v>0</v>
      </c>
      <c r="P44" s="100">
        <v>0.52</v>
      </c>
      <c r="Q44" s="151" t="s">
        <v>8</v>
      </c>
      <c r="R44" s="6"/>
      <c r="S44" s="6"/>
      <c r="T44" s="156"/>
      <c r="U44" s="6"/>
    </row>
    <row r="45" spans="1:21" customFormat="1">
      <c r="A45" s="163" t="s">
        <v>3060</v>
      </c>
      <c r="B45" s="100">
        <v>5.86</v>
      </c>
      <c r="C45" s="100">
        <v>8.11</v>
      </c>
      <c r="D45" s="100">
        <v>3.93</v>
      </c>
      <c r="E45" s="100">
        <v>5.53</v>
      </c>
      <c r="F45" s="100">
        <v>0.27</v>
      </c>
      <c r="G45" s="100">
        <v>9.89</v>
      </c>
      <c r="H45" s="100">
        <v>6.91</v>
      </c>
      <c r="I45" s="100">
        <v>6.9</v>
      </c>
      <c r="J45" s="100">
        <v>0.79</v>
      </c>
      <c r="K45" s="100">
        <v>263.27999999999997</v>
      </c>
      <c r="L45" s="100">
        <v>23.71</v>
      </c>
      <c r="M45" s="100">
        <v>99.1</v>
      </c>
      <c r="N45" s="100">
        <v>77.099999999999994</v>
      </c>
      <c r="O45" s="100">
        <v>0</v>
      </c>
      <c r="P45" s="100">
        <v>0.53</v>
      </c>
      <c r="Q45" s="151" t="s">
        <v>8</v>
      </c>
      <c r="R45" s="6"/>
      <c r="S45" s="6"/>
      <c r="T45" s="156"/>
      <c r="U45" s="6"/>
    </row>
    <row r="46" spans="1:21" customFormat="1">
      <c r="A46" s="163" t="s">
        <v>3061</v>
      </c>
      <c r="B46" s="100">
        <v>5.97</v>
      </c>
      <c r="C46" s="100">
        <v>8.19</v>
      </c>
      <c r="D46" s="100">
        <v>3.93</v>
      </c>
      <c r="E46" s="100">
        <v>5.69</v>
      </c>
      <c r="F46" s="100">
        <v>0.56999999999999995</v>
      </c>
      <c r="G46" s="100">
        <v>9.89</v>
      </c>
      <c r="H46" s="100">
        <v>6.91</v>
      </c>
      <c r="I46" s="100">
        <v>7.38</v>
      </c>
      <c r="J46" s="100">
        <v>0.63</v>
      </c>
      <c r="K46" s="100">
        <v>272.06</v>
      </c>
      <c r="L46" s="100">
        <v>23.86</v>
      </c>
      <c r="M46" s="100">
        <v>98.6</v>
      </c>
      <c r="N46" s="100">
        <v>73.5</v>
      </c>
      <c r="O46" s="100">
        <v>0</v>
      </c>
      <c r="P46" s="100">
        <v>0.55000000000000004</v>
      </c>
      <c r="Q46" s="151" t="s">
        <v>8</v>
      </c>
      <c r="R46" s="6"/>
      <c r="S46" s="6"/>
      <c r="T46" s="156"/>
      <c r="U46" s="6"/>
    </row>
    <row r="47" spans="1:21" customFormat="1">
      <c r="A47" s="163" t="s">
        <v>3062</v>
      </c>
      <c r="B47" s="100">
        <v>6.09</v>
      </c>
      <c r="C47" s="100">
        <v>8.34</v>
      </c>
      <c r="D47" s="100">
        <v>4.04</v>
      </c>
      <c r="E47" s="100">
        <v>5.32</v>
      </c>
      <c r="F47" s="100">
        <v>0.63</v>
      </c>
      <c r="G47" s="100">
        <v>9.7799999999999994</v>
      </c>
      <c r="H47" s="100">
        <v>8.2200000000000006</v>
      </c>
      <c r="I47" s="100">
        <v>7.57</v>
      </c>
      <c r="J47" s="100">
        <v>0.73</v>
      </c>
      <c r="K47" s="100">
        <v>266.89</v>
      </c>
      <c r="L47" s="100">
        <v>23.92</v>
      </c>
      <c r="M47" s="100">
        <v>97.84</v>
      </c>
      <c r="N47" s="100">
        <v>62.1</v>
      </c>
      <c r="O47" s="100">
        <v>0</v>
      </c>
      <c r="P47" s="100">
        <v>0.56999999999999995</v>
      </c>
      <c r="Q47" s="151" t="s">
        <v>8</v>
      </c>
      <c r="R47" s="6"/>
      <c r="S47" s="6"/>
      <c r="T47" s="156"/>
      <c r="U47" s="6"/>
    </row>
    <row r="48" spans="1:21" customFormat="1">
      <c r="A48" s="163" t="s">
        <v>3063</v>
      </c>
      <c r="B48" s="100">
        <v>6.36</v>
      </c>
      <c r="C48" s="100">
        <v>8.5</v>
      </c>
      <c r="D48" s="100">
        <v>3.92</v>
      </c>
      <c r="E48" s="100">
        <v>5.47</v>
      </c>
      <c r="F48" s="100">
        <v>0.63</v>
      </c>
      <c r="G48" s="100">
        <v>9.69</v>
      </c>
      <c r="H48" s="100">
        <v>8.6300000000000008</v>
      </c>
      <c r="I48" s="100">
        <v>7.67</v>
      </c>
      <c r="J48" s="100">
        <v>0.85</v>
      </c>
      <c r="K48" s="100">
        <v>268.62</v>
      </c>
      <c r="L48" s="100">
        <v>24.08</v>
      </c>
      <c r="M48" s="100">
        <v>96.82</v>
      </c>
      <c r="N48" s="100">
        <v>87.9</v>
      </c>
      <c r="O48" s="100">
        <v>0</v>
      </c>
      <c r="P48" s="100">
        <v>0.61</v>
      </c>
      <c r="Q48" s="151" t="s">
        <v>8</v>
      </c>
      <c r="R48" s="6"/>
      <c r="S48" s="6"/>
      <c r="T48" s="156"/>
      <c r="U48" s="6"/>
    </row>
    <row r="49" spans="1:21" customFormat="1">
      <c r="A49" s="163" t="s">
        <v>3064</v>
      </c>
      <c r="B49" s="100">
        <v>6.71</v>
      </c>
      <c r="C49" s="100">
        <v>8.5</v>
      </c>
      <c r="D49" s="100">
        <v>3.39</v>
      </c>
      <c r="E49" s="100">
        <v>4.63</v>
      </c>
      <c r="F49" s="100">
        <v>0.63</v>
      </c>
      <c r="G49" s="100">
        <v>9.69</v>
      </c>
      <c r="H49" s="100">
        <v>8.6300000000000008</v>
      </c>
      <c r="I49" s="100">
        <v>7.82</v>
      </c>
      <c r="J49" s="100">
        <v>0.66</v>
      </c>
      <c r="K49" s="100">
        <v>269.18</v>
      </c>
      <c r="L49" s="100">
        <v>24.35</v>
      </c>
      <c r="M49" s="100">
        <v>95.6</v>
      </c>
      <c r="N49" s="100">
        <v>111.1</v>
      </c>
      <c r="O49" s="100">
        <v>0</v>
      </c>
      <c r="P49" s="100">
        <v>0.61</v>
      </c>
      <c r="Q49" s="151" t="s">
        <v>8</v>
      </c>
      <c r="R49" s="6"/>
      <c r="S49" s="6"/>
      <c r="T49" s="156"/>
      <c r="U49" s="6"/>
    </row>
    <row r="50" spans="1:21" customFormat="1">
      <c r="A50" s="163" t="s">
        <v>3065</v>
      </c>
      <c r="B50" s="100">
        <v>6.8</v>
      </c>
      <c r="C50" s="100">
        <v>8.42</v>
      </c>
      <c r="D50" s="100">
        <v>3.1</v>
      </c>
      <c r="E50" s="100">
        <v>5.18</v>
      </c>
      <c r="F50" s="100">
        <v>0.05</v>
      </c>
      <c r="G50" s="100">
        <v>9.69</v>
      </c>
      <c r="H50" s="100">
        <v>8.6300000000000008</v>
      </c>
      <c r="I50" s="100">
        <v>7.92</v>
      </c>
      <c r="J50" s="100">
        <v>0.67</v>
      </c>
      <c r="K50" s="100">
        <v>266.02</v>
      </c>
      <c r="L50" s="100">
        <v>24.49</v>
      </c>
      <c r="M50" s="100">
        <v>94.63</v>
      </c>
      <c r="N50" s="100">
        <v>90.2</v>
      </c>
      <c r="O50" s="100">
        <v>0</v>
      </c>
      <c r="P50" s="100">
        <v>0.65</v>
      </c>
      <c r="Q50" s="151" t="s">
        <v>8</v>
      </c>
      <c r="R50" s="6"/>
      <c r="S50" s="6"/>
      <c r="T50" s="156"/>
      <c r="U50" s="6"/>
    </row>
    <row r="51" spans="1:21" customFormat="1">
      <c r="A51" s="163" t="s">
        <v>3066</v>
      </c>
      <c r="B51" s="100">
        <v>7.13</v>
      </c>
      <c r="C51" s="100">
        <v>8.64</v>
      </c>
      <c r="D51" s="100">
        <v>3</v>
      </c>
      <c r="E51" s="100">
        <v>5.12</v>
      </c>
      <c r="F51" s="100">
        <v>0.05</v>
      </c>
      <c r="G51" s="100">
        <v>21.58</v>
      </c>
      <c r="H51" s="100">
        <v>12.09</v>
      </c>
      <c r="I51" s="100">
        <v>7.97</v>
      </c>
      <c r="J51" s="100">
        <v>0.71</v>
      </c>
      <c r="K51" s="100">
        <v>259.93</v>
      </c>
      <c r="L51" s="100">
        <v>24.59</v>
      </c>
      <c r="M51" s="100">
        <v>93.92</v>
      </c>
      <c r="N51" s="100">
        <v>135.30000000000001</v>
      </c>
      <c r="O51" s="100">
        <v>0</v>
      </c>
      <c r="P51" s="100">
        <v>0.65</v>
      </c>
      <c r="Q51" s="151" t="s">
        <v>8</v>
      </c>
      <c r="R51" s="6"/>
      <c r="S51" s="6"/>
      <c r="T51" s="156"/>
      <c r="U51" s="6"/>
    </row>
    <row r="52" spans="1:21" customFormat="1">
      <c r="A52" s="163" t="s">
        <v>3067</v>
      </c>
      <c r="B52" s="100">
        <v>7.28</v>
      </c>
      <c r="C52" s="100">
        <v>8.6300000000000008</v>
      </c>
      <c r="D52" s="100">
        <v>2.76</v>
      </c>
      <c r="E52" s="100">
        <v>4.91</v>
      </c>
      <c r="F52" s="100">
        <v>0.14000000000000001</v>
      </c>
      <c r="G52" s="100">
        <v>30.68</v>
      </c>
      <c r="H52" s="100">
        <v>13.18</v>
      </c>
      <c r="I52" s="100">
        <v>8.14</v>
      </c>
      <c r="J52" s="100">
        <v>0.8</v>
      </c>
      <c r="K52" s="100">
        <v>259.81</v>
      </c>
      <c r="L52" s="100">
        <v>24.75</v>
      </c>
      <c r="M52" s="100">
        <v>92.13</v>
      </c>
      <c r="N52" s="100">
        <v>113.6</v>
      </c>
      <c r="O52" s="100">
        <v>0</v>
      </c>
      <c r="P52" s="100">
        <v>0.65</v>
      </c>
      <c r="Q52" s="151" t="s">
        <v>8</v>
      </c>
      <c r="R52" s="6"/>
      <c r="S52" s="6"/>
      <c r="T52" s="156"/>
      <c r="U52" s="6"/>
    </row>
    <row r="53" spans="1:21" customFormat="1">
      <c r="A53" s="163" t="s">
        <v>3068</v>
      </c>
      <c r="B53" s="100">
        <v>7.31</v>
      </c>
      <c r="C53" s="100">
        <v>8.7200000000000006</v>
      </c>
      <c r="D53" s="100">
        <v>2.89</v>
      </c>
      <c r="E53" s="100">
        <v>5.18</v>
      </c>
      <c r="F53" s="100">
        <v>0.02</v>
      </c>
      <c r="G53" s="100">
        <v>30.68</v>
      </c>
      <c r="H53" s="100">
        <v>13.18</v>
      </c>
      <c r="I53" s="100">
        <v>8.18</v>
      </c>
      <c r="J53" s="100">
        <v>0.69</v>
      </c>
      <c r="K53" s="100">
        <v>257.61</v>
      </c>
      <c r="L53" s="100">
        <v>24.78</v>
      </c>
      <c r="M53" s="100">
        <v>91.53</v>
      </c>
      <c r="N53" s="100">
        <v>73.900000000000006</v>
      </c>
      <c r="O53" s="100">
        <v>0</v>
      </c>
      <c r="P53" s="100">
        <v>0.65</v>
      </c>
      <c r="Q53" s="151" t="s">
        <v>8</v>
      </c>
      <c r="R53" s="6"/>
      <c r="S53" s="6"/>
      <c r="T53" s="156"/>
      <c r="U53" s="6"/>
    </row>
    <row r="54" spans="1:21" customFormat="1">
      <c r="A54" s="163" t="s">
        <v>3069</v>
      </c>
      <c r="B54" s="100">
        <v>7.5</v>
      </c>
      <c r="C54" s="100">
        <v>8.83</v>
      </c>
      <c r="D54" s="100">
        <v>2.8</v>
      </c>
      <c r="E54" s="100">
        <v>5.03</v>
      </c>
      <c r="F54" s="100">
        <v>0.02</v>
      </c>
      <c r="G54" s="100">
        <v>30.68</v>
      </c>
      <c r="H54" s="100">
        <v>13.18</v>
      </c>
      <c r="I54" s="100">
        <v>8.2799999999999994</v>
      </c>
      <c r="J54" s="100">
        <v>0.62</v>
      </c>
      <c r="K54" s="100">
        <v>260.82</v>
      </c>
      <c r="L54" s="100">
        <v>24.89</v>
      </c>
      <c r="M54" s="100">
        <v>91.35</v>
      </c>
      <c r="N54" s="100">
        <v>67.900000000000006</v>
      </c>
      <c r="O54" s="100">
        <v>0</v>
      </c>
      <c r="P54" s="100">
        <v>0.64</v>
      </c>
      <c r="Q54" s="151" t="s">
        <v>8</v>
      </c>
      <c r="R54" s="6"/>
      <c r="S54" s="6"/>
      <c r="T54" s="156"/>
      <c r="U54" s="6"/>
    </row>
    <row r="55" spans="1:21" customFormat="1">
      <c r="A55" s="163" t="s">
        <v>3070</v>
      </c>
      <c r="B55" s="100">
        <v>7.48</v>
      </c>
      <c r="C55" s="100">
        <v>8.83</v>
      </c>
      <c r="D55" s="100">
        <v>2.83</v>
      </c>
      <c r="E55" s="100">
        <v>4.99</v>
      </c>
      <c r="F55" s="100">
        <v>7.0000000000000007E-2</v>
      </c>
      <c r="G55" s="100">
        <v>31.35</v>
      </c>
      <c r="H55" s="100">
        <v>13.81</v>
      </c>
      <c r="I55" s="100">
        <v>8.1300000000000008</v>
      </c>
      <c r="J55" s="100">
        <v>0.56000000000000005</v>
      </c>
      <c r="K55" s="100">
        <v>262.31</v>
      </c>
      <c r="L55" s="100">
        <v>25.18</v>
      </c>
      <c r="M55" s="100">
        <v>90.76</v>
      </c>
      <c r="N55" s="100">
        <v>110</v>
      </c>
      <c r="O55" s="100">
        <v>0</v>
      </c>
      <c r="P55" s="100">
        <v>0.67</v>
      </c>
      <c r="Q55" s="151" t="s">
        <v>8</v>
      </c>
      <c r="R55" s="6"/>
      <c r="S55" s="6"/>
      <c r="T55" s="156"/>
      <c r="U55" s="6"/>
    </row>
    <row r="56" spans="1:21" customFormat="1">
      <c r="A56" s="163" t="s">
        <v>3071</v>
      </c>
      <c r="B56" s="100">
        <v>7.63</v>
      </c>
      <c r="C56" s="100">
        <v>8.99</v>
      </c>
      <c r="D56" s="100">
        <v>2.91</v>
      </c>
      <c r="E56" s="100">
        <v>5.08</v>
      </c>
      <c r="F56" s="100">
        <v>7.0000000000000007E-2</v>
      </c>
      <c r="G56" s="100">
        <v>31.87</v>
      </c>
      <c r="H56" s="100">
        <v>14.17</v>
      </c>
      <c r="I56" s="100">
        <v>8.1999999999999993</v>
      </c>
      <c r="J56" s="100">
        <v>0.75</v>
      </c>
      <c r="K56" s="100">
        <v>260.10000000000002</v>
      </c>
      <c r="L56" s="100">
        <v>25.5</v>
      </c>
      <c r="M56" s="100">
        <v>88.82</v>
      </c>
      <c r="N56" s="100">
        <v>109.2</v>
      </c>
      <c r="O56" s="100">
        <v>0</v>
      </c>
      <c r="P56" s="100">
        <v>0.65</v>
      </c>
      <c r="Q56" s="151" t="s">
        <v>8</v>
      </c>
      <c r="R56" s="6"/>
      <c r="S56" s="6"/>
      <c r="T56" s="156"/>
      <c r="U56" s="6"/>
    </row>
    <row r="57" spans="1:21" customFormat="1">
      <c r="A57" s="163" t="s">
        <v>3072</v>
      </c>
      <c r="B57" s="100">
        <v>7.72</v>
      </c>
      <c r="C57" s="100">
        <v>8.93</v>
      </c>
      <c r="D57" s="100">
        <v>2.66</v>
      </c>
      <c r="E57" s="100">
        <v>5.16</v>
      </c>
      <c r="F57" s="100">
        <v>0.02</v>
      </c>
      <c r="G57" s="100">
        <v>31.87</v>
      </c>
      <c r="H57" s="100">
        <v>14.17</v>
      </c>
      <c r="I57" s="100">
        <v>8.42</v>
      </c>
      <c r="J57" s="100">
        <v>0.9</v>
      </c>
      <c r="K57" s="100">
        <v>266.13</v>
      </c>
      <c r="L57" s="100">
        <v>25.49</v>
      </c>
      <c r="M57" s="100">
        <v>88.15</v>
      </c>
      <c r="N57" s="100">
        <v>96.1</v>
      </c>
      <c r="O57" s="100">
        <v>0</v>
      </c>
      <c r="P57" s="100">
        <v>0.65</v>
      </c>
      <c r="Q57" s="151" t="s">
        <v>8</v>
      </c>
      <c r="R57" s="6"/>
      <c r="S57" s="6"/>
      <c r="T57" s="156"/>
      <c r="U57" s="6"/>
    </row>
    <row r="58" spans="1:21" customFormat="1">
      <c r="A58" s="163" t="s">
        <v>3073</v>
      </c>
      <c r="B58" s="100">
        <v>7.61</v>
      </c>
      <c r="C58" s="100">
        <v>8.93</v>
      </c>
      <c r="D58" s="100">
        <v>2.83</v>
      </c>
      <c r="E58" s="100">
        <v>5</v>
      </c>
      <c r="F58" s="100">
        <v>0.02</v>
      </c>
      <c r="G58" s="100">
        <v>31.87</v>
      </c>
      <c r="H58" s="100">
        <v>14.17</v>
      </c>
      <c r="I58" s="100">
        <v>8.4700000000000006</v>
      </c>
      <c r="J58" s="100">
        <v>0.84</v>
      </c>
      <c r="K58" s="100">
        <v>260.88</v>
      </c>
      <c r="L58" s="100">
        <v>25.5</v>
      </c>
      <c r="M58" s="100">
        <v>88.19</v>
      </c>
      <c r="N58" s="100">
        <v>93.4</v>
      </c>
      <c r="O58" s="100">
        <v>0</v>
      </c>
      <c r="P58" s="100">
        <v>0.65</v>
      </c>
      <c r="Q58" s="151" t="s">
        <v>8</v>
      </c>
      <c r="R58" s="6"/>
      <c r="S58" s="6"/>
      <c r="T58" s="156"/>
      <c r="U58" s="6"/>
    </row>
    <row r="59" spans="1:21" customFormat="1">
      <c r="A59" s="163" t="s">
        <v>3074</v>
      </c>
      <c r="B59" s="100">
        <v>7.66</v>
      </c>
      <c r="C59" s="100">
        <v>8.9499999999999993</v>
      </c>
      <c r="D59" s="100">
        <v>2.79</v>
      </c>
      <c r="E59" s="100">
        <v>4.92</v>
      </c>
      <c r="F59" s="100">
        <v>0.02</v>
      </c>
      <c r="G59" s="100">
        <v>26.44</v>
      </c>
      <c r="H59" s="100">
        <v>11.68</v>
      </c>
      <c r="I59" s="100">
        <v>8.41</v>
      </c>
      <c r="J59" s="100">
        <v>0.99</v>
      </c>
      <c r="K59" s="100">
        <v>260.12</v>
      </c>
      <c r="L59" s="100">
        <v>25.65</v>
      </c>
      <c r="M59" s="100">
        <v>87.51</v>
      </c>
      <c r="N59" s="100">
        <v>201.9</v>
      </c>
      <c r="O59" s="100">
        <v>0</v>
      </c>
      <c r="P59" s="100">
        <v>0.65</v>
      </c>
      <c r="Q59" s="151" t="s">
        <v>8</v>
      </c>
      <c r="R59" s="6"/>
      <c r="S59" s="6"/>
      <c r="T59" s="156"/>
      <c r="U59" s="6"/>
    </row>
    <row r="60" spans="1:21" customFormat="1">
      <c r="A60" s="163" t="s">
        <v>3075</v>
      </c>
      <c r="B60" s="100">
        <v>7.51</v>
      </c>
      <c r="C60" s="100">
        <v>8.85</v>
      </c>
      <c r="D60" s="100">
        <v>2.83</v>
      </c>
      <c r="E60" s="100">
        <v>4.92</v>
      </c>
      <c r="F60" s="100">
        <v>0.03</v>
      </c>
      <c r="G60" s="100">
        <v>22.29</v>
      </c>
      <c r="H60" s="100">
        <v>10.9</v>
      </c>
      <c r="I60" s="100">
        <v>8.44</v>
      </c>
      <c r="J60" s="100">
        <v>0.97</v>
      </c>
      <c r="K60" s="100">
        <v>257.91000000000003</v>
      </c>
      <c r="L60" s="100">
        <v>26.12</v>
      </c>
      <c r="M60" s="100">
        <v>85.75</v>
      </c>
      <c r="N60" s="100">
        <v>212.6</v>
      </c>
      <c r="O60" s="100">
        <v>0</v>
      </c>
      <c r="P60" s="100">
        <v>0.66</v>
      </c>
      <c r="Q60" s="151" t="s">
        <v>8</v>
      </c>
      <c r="R60" s="6"/>
      <c r="S60" s="6"/>
      <c r="T60" s="156"/>
      <c r="U60" s="6"/>
    </row>
    <row r="61" spans="1:21" customFormat="1">
      <c r="A61" s="163" t="s">
        <v>3076</v>
      </c>
      <c r="B61" s="100">
        <v>7.51</v>
      </c>
      <c r="C61" s="100">
        <v>8.85</v>
      </c>
      <c r="D61" s="100">
        <v>2.84</v>
      </c>
      <c r="E61" s="100">
        <v>4.88</v>
      </c>
      <c r="F61" s="100">
        <v>0.03</v>
      </c>
      <c r="G61" s="100">
        <v>22.29</v>
      </c>
      <c r="H61" s="100">
        <v>10.9</v>
      </c>
      <c r="I61" s="100">
        <v>8.35</v>
      </c>
      <c r="J61" s="100">
        <v>0.9</v>
      </c>
      <c r="K61" s="100">
        <v>261</v>
      </c>
      <c r="L61" s="100">
        <v>26.32</v>
      </c>
      <c r="M61" s="100">
        <v>86.17</v>
      </c>
      <c r="N61" s="100">
        <v>247.7</v>
      </c>
      <c r="O61" s="100">
        <v>0</v>
      </c>
      <c r="P61" s="100">
        <v>0.63</v>
      </c>
      <c r="Q61" s="151" t="s">
        <v>8</v>
      </c>
      <c r="R61" s="6"/>
      <c r="S61" s="6"/>
      <c r="T61" s="156"/>
      <c r="U61" s="6"/>
    </row>
    <row r="62" spans="1:21" customFormat="1">
      <c r="A62" s="163" t="s">
        <v>3077</v>
      </c>
      <c r="B62" s="100">
        <v>7.4</v>
      </c>
      <c r="C62" s="100">
        <v>8.7200000000000006</v>
      </c>
      <c r="D62" s="100">
        <v>2.75</v>
      </c>
      <c r="E62" s="100">
        <v>4.7</v>
      </c>
      <c r="F62" s="100">
        <v>0.08</v>
      </c>
      <c r="G62" s="100">
        <v>22.29</v>
      </c>
      <c r="H62" s="100">
        <v>10.9</v>
      </c>
      <c r="I62" s="100">
        <v>8.6300000000000008</v>
      </c>
      <c r="J62" s="100">
        <v>1.01</v>
      </c>
      <c r="K62" s="100">
        <v>261.52999999999997</v>
      </c>
      <c r="L62" s="100">
        <v>26.26</v>
      </c>
      <c r="M62" s="100">
        <v>86.26</v>
      </c>
      <c r="N62" s="100">
        <v>187.7</v>
      </c>
      <c r="O62" s="100">
        <v>0</v>
      </c>
      <c r="P62" s="100">
        <v>0.63</v>
      </c>
      <c r="Q62" s="151" t="s">
        <v>8</v>
      </c>
      <c r="R62" s="6"/>
      <c r="S62" s="6"/>
      <c r="T62" s="156"/>
      <c r="U62" s="6"/>
    </row>
    <row r="63" spans="1:21" customFormat="1">
      <c r="A63" s="163" t="s">
        <v>3078</v>
      </c>
      <c r="B63" s="100">
        <v>7.22</v>
      </c>
      <c r="C63" s="100">
        <v>8.67</v>
      </c>
      <c r="D63" s="100">
        <v>2.94</v>
      </c>
      <c r="E63" s="100">
        <v>4.6500000000000004</v>
      </c>
      <c r="F63" s="100">
        <v>0.02</v>
      </c>
      <c r="G63" s="100">
        <v>23.77</v>
      </c>
      <c r="H63" s="100">
        <v>11.76</v>
      </c>
      <c r="I63" s="100">
        <v>8.4700000000000006</v>
      </c>
      <c r="J63" s="100">
        <v>1.01</v>
      </c>
      <c r="K63" s="100">
        <v>261.95</v>
      </c>
      <c r="L63" s="100">
        <v>26.19</v>
      </c>
      <c r="M63" s="100">
        <v>86.6</v>
      </c>
      <c r="N63" s="100">
        <v>196.9</v>
      </c>
      <c r="O63" s="100">
        <v>0</v>
      </c>
      <c r="P63" s="100">
        <v>0.65</v>
      </c>
      <c r="Q63" s="151" t="s">
        <v>8</v>
      </c>
      <c r="R63" s="6"/>
      <c r="S63" s="6"/>
      <c r="T63" s="156"/>
      <c r="U63" s="6"/>
    </row>
    <row r="64" spans="1:21" customFormat="1">
      <c r="A64" s="163" t="s">
        <v>3079</v>
      </c>
      <c r="B64" s="100">
        <v>7.23</v>
      </c>
      <c r="C64" s="100">
        <v>8.6300000000000008</v>
      </c>
      <c r="D64" s="100">
        <v>2.82</v>
      </c>
      <c r="E64" s="100">
        <v>4.78</v>
      </c>
      <c r="F64" s="100">
        <v>0.02</v>
      </c>
      <c r="G64" s="100">
        <v>24.91</v>
      </c>
      <c r="H64" s="100">
        <v>12.03</v>
      </c>
      <c r="I64" s="100">
        <v>8.4600000000000009</v>
      </c>
      <c r="J64" s="100">
        <v>1.04</v>
      </c>
      <c r="K64" s="100">
        <v>257.19</v>
      </c>
      <c r="L64" s="100">
        <v>26.09</v>
      </c>
      <c r="M64" s="100">
        <v>86.83</v>
      </c>
      <c r="N64" s="100">
        <v>198</v>
      </c>
      <c r="O64" s="100">
        <v>0</v>
      </c>
      <c r="P64" s="100">
        <v>0.61</v>
      </c>
      <c r="Q64" s="151" t="s">
        <v>8</v>
      </c>
      <c r="R64" s="6"/>
      <c r="S64" s="6"/>
      <c r="T64" s="156"/>
      <c r="U64" s="6"/>
    </row>
    <row r="65" spans="1:21" customFormat="1">
      <c r="A65" s="163" t="s">
        <v>3080</v>
      </c>
      <c r="B65" s="100">
        <v>7.04</v>
      </c>
      <c r="C65" s="100">
        <v>8.48</v>
      </c>
      <c r="D65" s="100">
        <v>2.84</v>
      </c>
      <c r="E65" s="100">
        <v>4.6399999999999997</v>
      </c>
      <c r="F65" s="100">
        <v>0.02</v>
      </c>
      <c r="G65" s="100">
        <v>24.91</v>
      </c>
      <c r="H65" s="100">
        <v>12.03</v>
      </c>
      <c r="I65" s="100">
        <v>8.5500000000000007</v>
      </c>
      <c r="J65" s="100">
        <v>0.92</v>
      </c>
      <c r="K65" s="100">
        <v>267.83999999999997</v>
      </c>
      <c r="L65" s="100">
        <v>26.39</v>
      </c>
      <c r="M65" s="100">
        <v>85.78</v>
      </c>
      <c r="N65" s="100">
        <v>232</v>
      </c>
      <c r="O65" s="100">
        <v>0</v>
      </c>
      <c r="P65" s="100">
        <v>0.62</v>
      </c>
      <c r="Q65" s="151" t="s">
        <v>8</v>
      </c>
      <c r="R65" s="6"/>
      <c r="S65" s="6"/>
      <c r="T65" s="156"/>
      <c r="U65" s="6"/>
    </row>
    <row r="66" spans="1:21" customFormat="1">
      <c r="A66" s="163" t="s">
        <v>3081</v>
      </c>
      <c r="B66" s="100">
        <v>7</v>
      </c>
      <c r="C66" s="100">
        <v>8.5</v>
      </c>
      <c r="D66" s="100">
        <v>2.95</v>
      </c>
      <c r="E66" s="100">
        <v>4.8099999999999996</v>
      </c>
      <c r="F66" s="100">
        <v>0.02</v>
      </c>
      <c r="G66" s="100">
        <v>24.91</v>
      </c>
      <c r="H66" s="100">
        <v>12.03</v>
      </c>
      <c r="I66" s="100">
        <v>8.52</v>
      </c>
      <c r="J66" s="100">
        <v>0.92</v>
      </c>
      <c r="K66" s="100">
        <v>263.85000000000002</v>
      </c>
      <c r="L66" s="100">
        <v>26.62</v>
      </c>
      <c r="M66" s="100">
        <v>84.88</v>
      </c>
      <c r="N66" s="100">
        <v>204.2</v>
      </c>
      <c r="O66" s="100">
        <v>0</v>
      </c>
      <c r="P66" s="100">
        <v>0.62</v>
      </c>
      <c r="Q66" s="151" t="s">
        <v>8</v>
      </c>
      <c r="R66" s="6"/>
      <c r="S66" s="6"/>
      <c r="T66" s="156"/>
      <c r="U66" s="6"/>
    </row>
    <row r="67" spans="1:21" customFormat="1">
      <c r="A67" s="163" t="s">
        <v>3082</v>
      </c>
      <c r="B67" s="100">
        <v>6.85</v>
      </c>
      <c r="C67" s="100">
        <v>8.66</v>
      </c>
      <c r="D67" s="100">
        <v>3.48</v>
      </c>
      <c r="E67" s="100">
        <v>4.74</v>
      </c>
      <c r="F67" s="100">
        <v>0.02</v>
      </c>
      <c r="G67" s="100">
        <v>28.2</v>
      </c>
      <c r="H67" s="100">
        <v>9.5</v>
      </c>
      <c r="I67" s="100">
        <v>8.66</v>
      </c>
      <c r="J67" s="100">
        <v>0.81</v>
      </c>
      <c r="K67" s="100">
        <v>259.24</v>
      </c>
      <c r="L67" s="100">
        <v>26.64</v>
      </c>
      <c r="M67" s="100">
        <v>84.65</v>
      </c>
      <c r="N67" s="100">
        <v>139.69999999999999</v>
      </c>
      <c r="O67" s="100">
        <v>0</v>
      </c>
      <c r="P67" s="100">
        <v>0.6</v>
      </c>
      <c r="Q67" s="151" t="s">
        <v>8</v>
      </c>
      <c r="R67" s="6"/>
      <c r="S67" s="6"/>
      <c r="T67" s="156"/>
      <c r="U67" s="6"/>
    </row>
    <row r="68" spans="1:21" customFormat="1">
      <c r="A68" s="163" t="s">
        <v>3083</v>
      </c>
      <c r="B68" s="100">
        <v>6.62</v>
      </c>
      <c r="C68" s="100">
        <v>8.67</v>
      </c>
      <c r="D68" s="100">
        <v>3.85</v>
      </c>
      <c r="E68" s="100">
        <v>4.42</v>
      </c>
      <c r="F68" s="100">
        <v>0.02</v>
      </c>
      <c r="G68" s="100">
        <v>30.72</v>
      </c>
      <c r="H68" s="100">
        <v>8.69</v>
      </c>
      <c r="I68" s="100">
        <v>8.74</v>
      </c>
      <c r="J68" s="100">
        <v>0.91</v>
      </c>
      <c r="K68" s="100">
        <v>263.54000000000002</v>
      </c>
      <c r="L68" s="100">
        <v>26.53</v>
      </c>
      <c r="M68" s="100">
        <v>84.74</v>
      </c>
      <c r="N68" s="100">
        <v>136.69999999999999</v>
      </c>
      <c r="O68" s="100">
        <v>0</v>
      </c>
      <c r="P68" s="100">
        <v>0.59</v>
      </c>
      <c r="Q68" s="151" t="s">
        <v>8</v>
      </c>
      <c r="R68" s="6"/>
      <c r="S68" s="6"/>
      <c r="T68" s="156"/>
      <c r="U68" s="6"/>
    </row>
    <row r="69" spans="1:21" customFormat="1">
      <c r="A69" s="163" t="s">
        <v>3084</v>
      </c>
      <c r="B69" s="100">
        <v>6.34</v>
      </c>
      <c r="C69" s="100">
        <v>8.6199999999999992</v>
      </c>
      <c r="D69" s="100">
        <v>4.17</v>
      </c>
      <c r="E69" s="100">
        <v>4.5</v>
      </c>
      <c r="F69" s="100">
        <v>0.02</v>
      </c>
      <c r="G69" s="100">
        <v>30.72</v>
      </c>
      <c r="H69" s="100">
        <v>8.69</v>
      </c>
      <c r="I69" s="100">
        <v>8.91</v>
      </c>
      <c r="J69" s="100">
        <v>0.99</v>
      </c>
      <c r="K69" s="100">
        <v>264.44</v>
      </c>
      <c r="L69" s="100">
        <v>26.68</v>
      </c>
      <c r="M69" s="100">
        <v>85.04</v>
      </c>
      <c r="N69" s="100">
        <v>176.7</v>
      </c>
      <c r="O69" s="100">
        <v>0</v>
      </c>
      <c r="P69" s="100">
        <v>0.59</v>
      </c>
      <c r="Q69" s="151" t="s">
        <v>8</v>
      </c>
      <c r="R69" s="6"/>
      <c r="S69" s="6"/>
      <c r="T69" s="156"/>
      <c r="U69" s="6"/>
    </row>
    <row r="70" spans="1:21" customFormat="1">
      <c r="A70" s="163" t="s">
        <v>3085</v>
      </c>
      <c r="B70" s="100">
        <v>6.05</v>
      </c>
      <c r="C70" s="100">
        <v>8.4700000000000006</v>
      </c>
      <c r="D70" s="100">
        <v>4.33</v>
      </c>
      <c r="E70" s="100">
        <v>4.79</v>
      </c>
      <c r="F70" s="100">
        <v>0.01</v>
      </c>
      <c r="G70" s="100">
        <v>30.72</v>
      </c>
      <c r="H70" s="100">
        <v>8.69</v>
      </c>
      <c r="I70" s="100">
        <v>9.08</v>
      </c>
      <c r="J70" s="100">
        <v>0.86</v>
      </c>
      <c r="K70" s="100">
        <v>267.48</v>
      </c>
      <c r="L70" s="100">
        <v>26.83</v>
      </c>
      <c r="M70" s="100">
        <v>84.28</v>
      </c>
      <c r="N70" s="100">
        <v>151.5</v>
      </c>
      <c r="O70" s="100">
        <v>0</v>
      </c>
      <c r="P70" s="100">
        <v>0.59</v>
      </c>
      <c r="Q70" s="151" t="s">
        <v>8</v>
      </c>
      <c r="R70" s="6"/>
      <c r="S70" s="6"/>
      <c r="T70" s="156"/>
      <c r="U70" s="6"/>
    </row>
    <row r="71" spans="1:21" customFormat="1">
      <c r="A71" s="163" t="s">
        <v>3086</v>
      </c>
      <c r="B71" s="100">
        <v>5.79</v>
      </c>
      <c r="C71" s="100">
        <v>8.36</v>
      </c>
      <c r="D71" s="100">
        <v>4.5199999999999996</v>
      </c>
      <c r="E71" s="100">
        <v>4.82</v>
      </c>
      <c r="F71" s="100">
        <v>0.03</v>
      </c>
      <c r="G71" s="100">
        <v>31.88</v>
      </c>
      <c r="H71" s="100">
        <v>12.02</v>
      </c>
      <c r="I71" s="100">
        <v>9.39</v>
      </c>
      <c r="J71" s="100">
        <v>1.03</v>
      </c>
      <c r="K71" s="100">
        <v>266.69</v>
      </c>
      <c r="L71" s="100">
        <v>26.73</v>
      </c>
      <c r="M71" s="100">
        <v>83.63</v>
      </c>
      <c r="N71" s="100">
        <v>109.3</v>
      </c>
      <c r="O71" s="100">
        <v>0</v>
      </c>
      <c r="P71" s="100">
        <v>0.59</v>
      </c>
      <c r="Q71" s="151" t="s">
        <v>8</v>
      </c>
      <c r="R71" s="6"/>
      <c r="S71" s="6"/>
      <c r="T71" s="156"/>
      <c r="U71" s="6"/>
    </row>
    <row r="72" spans="1:21" customFormat="1">
      <c r="A72" s="163" t="s">
        <v>3087</v>
      </c>
      <c r="B72" s="100">
        <v>5.58</v>
      </c>
      <c r="C72" s="100">
        <v>8.26</v>
      </c>
      <c r="D72" s="100">
        <v>4.6500000000000004</v>
      </c>
      <c r="E72" s="100">
        <v>4.76</v>
      </c>
      <c r="F72" s="100">
        <v>0.28999999999999998</v>
      </c>
      <c r="G72" s="100">
        <v>32.770000000000003</v>
      </c>
      <c r="H72" s="100">
        <v>13.07</v>
      </c>
      <c r="I72" s="100">
        <v>9.32</v>
      </c>
      <c r="J72" s="100">
        <v>1.04</v>
      </c>
      <c r="K72" s="100">
        <v>264.19</v>
      </c>
      <c r="L72" s="100">
        <v>26.39</v>
      </c>
      <c r="M72" s="100">
        <v>85.74</v>
      </c>
      <c r="N72" s="100">
        <v>67.900000000000006</v>
      </c>
      <c r="O72" s="100">
        <v>0</v>
      </c>
      <c r="P72" s="100">
        <v>0.59</v>
      </c>
      <c r="Q72" s="151" t="s">
        <v>8</v>
      </c>
      <c r="R72" s="6"/>
      <c r="S72" s="6"/>
      <c r="T72" s="156"/>
      <c r="U72" s="6"/>
    </row>
    <row r="73" spans="1:21" customFormat="1">
      <c r="A73" s="163" t="s">
        <v>3088</v>
      </c>
      <c r="B73" s="100">
        <v>5.35</v>
      </c>
      <c r="C73" s="100">
        <v>8.11</v>
      </c>
      <c r="D73" s="100">
        <v>4.72</v>
      </c>
      <c r="E73" s="100">
        <v>4.8</v>
      </c>
      <c r="F73" s="100">
        <v>0.08</v>
      </c>
      <c r="G73" s="100">
        <v>32.770000000000003</v>
      </c>
      <c r="H73" s="100">
        <v>13.07</v>
      </c>
      <c r="I73" s="100">
        <v>9.5500000000000007</v>
      </c>
      <c r="J73" s="100">
        <v>0.73</v>
      </c>
      <c r="K73" s="100">
        <v>261.7</v>
      </c>
      <c r="L73" s="100">
        <v>25.9</v>
      </c>
      <c r="M73" s="100">
        <v>89.45</v>
      </c>
      <c r="N73" s="100">
        <v>49.4</v>
      </c>
      <c r="O73" s="100">
        <v>0.2</v>
      </c>
      <c r="P73" s="100">
        <v>0.57999999999999996</v>
      </c>
      <c r="Q73" s="151" t="s">
        <v>8</v>
      </c>
      <c r="R73" s="6"/>
      <c r="S73" s="6"/>
      <c r="T73" s="156"/>
      <c r="U73" s="6"/>
    </row>
    <row r="74" spans="1:21" customFormat="1">
      <c r="A74" s="163" t="s">
        <v>3089</v>
      </c>
      <c r="B74" s="100">
        <v>5.15</v>
      </c>
      <c r="C74" s="100">
        <v>7.93</v>
      </c>
      <c r="D74" s="100">
        <v>4.6900000000000004</v>
      </c>
      <c r="E74" s="100">
        <v>4.67</v>
      </c>
      <c r="F74" s="100">
        <v>0.09</v>
      </c>
      <c r="G74" s="100">
        <v>32.770000000000003</v>
      </c>
      <c r="H74" s="100">
        <v>13.07</v>
      </c>
      <c r="I74" s="100">
        <v>9.3000000000000007</v>
      </c>
      <c r="J74" s="100">
        <v>0.82</v>
      </c>
      <c r="K74" s="100">
        <v>259.64999999999998</v>
      </c>
      <c r="L74" s="100">
        <v>25.76</v>
      </c>
      <c r="M74" s="100">
        <v>90</v>
      </c>
      <c r="N74" s="100">
        <v>56</v>
      </c>
      <c r="O74" s="100">
        <v>0</v>
      </c>
      <c r="P74" s="100">
        <v>0.56999999999999995</v>
      </c>
      <c r="Q74" s="151" t="s">
        <v>8</v>
      </c>
      <c r="R74" s="6"/>
      <c r="S74" s="6"/>
      <c r="T74" s="156"/>
      <c r="U74" s="6"/>
    </row>
    <row r="75" spans="1:21" customFormat="1">
      <c r="A75" s="163" t="s">
        <v>3090</v>
      </c>
      <c r="B75" s="100">
        <v>4.96</v>
      </c>
      <c r="C75" s="100">
        <v>7.75</v>
      </c>
      <c r="D75" s="100">
        <v>4.63</v>
      </c>
      <c r="E75" s="100">
        <v>4.72</v>
      </c>
      <c r="F75" s="100">
        <v>0.33</v>
      </c>
      <c r="G75" s="100">
        <v>32.659999999999997</v>
      </c>
      <c r="H75" s="100">
        <v>12.11</v>
      </c>
      <c r="I75" s="100">
        <v>9.3000000000000007</v>
      </c>
      <c r="J75" s="100">
        <v>0.62</v>
      </c>
      <c r="K75" s="100">
        <v>258.19</v>
      </c>
      <c r="L75" s="100">
        <v>25.84</v>
      </c>
      <c r="M75" s="100">
        <v>89.85</v>
      </c>
      <c r="N75" s="100">
        <v>50.9</v>
      </c>
      <c r="O75" s="100">
        <v>0</v>
      </c>
      <c r="P75" s="100">
        <v>0.56000000000000005</v>
      </c>
      <c r="Q75" s="151" t="s">
        <v>8</v>
      </c>
      <c r="R75" s="6"/>
      <c r="S75" s="6"/>
      <c r="T75" s="156"/>
      <c r="U75" s="6"/>
    </row>
    <row r="76" spans="1:21" customFormat="1">
      <c r="A76" s="163" t="s">
        <v>3091</v>
      </c>
      <c r="B76" s="100">
        <v>4.79</v>
      </c>
      <c r="C76" s="100">
        <v>7.52</v>
      </c>
      <c r="D76" s="100">
        <v>4.46</v>
      </c>
      <c r="E76" s="100">
        <v>5.01</v>
      </c>
      <c r="F76" s="100">
        <v>0.34</v>
      </c>
      <c r="G76" s="100">
        <v>32.57</v>
      </c>
      <c r="H76" s="100">
        <v>11.8</v>
      </c>
      <c r="I76" s="100">
        <v>9.0399999999999991</v>
      </c>
      <c r="J76" s="100">
        <v>0.8</v>
      </c>
      <c r="K76" s="100">
        <v>262.44</v>
      </c>
      <c r="L76" s="100">
        <v>25.9</v>
      </c>
      <c r="M76" s="100">
        <v>89.04</v>
      </c>
      <c r="N76" s="100">
        <v>42.7</v>
      </c>
      <c r="O76" s="100">
        <v>0</v>
      </c>
      <c r="P76" s="100">
        <v>0.55000000000000004</v>
      </c>
      <c r="Q76" s="151" t="s">
        <v>8</v>
      </c>
      <c r="R76" s="6"/>
      <c r="S76" s="6"/>
      <c r="T76" s="156"/>
      <c r="U76" s="6"/>
    </row>
    <row r="77" spans="1:21" customFormat="1">
      <c r="A77" s="163" t="s">
        <v>3092</v>
      </c>
      <c r="B77" s="100">
        <v>4.63</v>
      </c>
      <c r="C77" s="100">
        <v>7.32</v>
      </c>
      <c r="D77" s="100">
        <v>4.32</v>
      </c>
      <c r="E77" s="100">
        <v>5.14</v>
      </c>
      <c r="F77" s="100">
        <v>0.34</v>
      </c>
      <c r="G77" s="100">
        <v>32.57</v>
      </c>
      <c r="H77" s="100">
        <v>11.8</v>
      </c>
      <c r="I77" s="100">
        <v>8.76</v>
      </c>
      <c r="J77" s="100">
        <v>0.99</v>
      </c>
      <c r="K77" s="100">
        <v>260.57</v>
      </c>
      <c r="L77" s="100">
        <v>25.87</v>
      </c>
      <c r="M77" s="100">
        <v>87.65</v>
      </c>
      <c r="N77" s="100">
        <v>25.4</v>
      </c>
      <c r="O77" s="100">
        <v>0</v>
      </c>
      <c r="P77" s="100">
        <v>0.53</v>
      </c>
      <c r="Q77" s="151" t="s">
        <v>8</v>
      </c>
      <c r="R77" s="6"/>
      <c r="S77" s="6"/>
      <c r="T77" s="156"/>
      <c r="U77" s="6"/>
    </row>
    <row r="78" spans="1:21" customFormat="1">
      <c r="A78" s="163" t="s">
        <v>3093</v>
      </c>
      <c r="B78" s="100">
        <v>4.47</v>
      </c>
      <c r="C78" s="100">
        <v>7.12</v>
      </c>
      <c r="D78" s="100">
        <v>4.18</v>
      </c>
      <c r="E78" s="100">
        <v>5.09</v>
      </c>
      <c r="F78" s="100">
        <v>0.61</v>
      </c>
      <c r="G78" s="100">
        <v>32.57</v>
      </c>
      <c r="H78" s="100">
        <v>11.8</v>
      </c>
      <c r="I78" s="100">
        <v>8.42</v>
      </c>
      <c r="J78" s="100">
        <v>0.84</v>
      </c>
      <c r="K78" s="100">
        <v>260.56</v>
      </c>
      <c r="L78" s="100">
        <v>25.79</v>
      </c>
      <c r="M78" s="100">
        <v>87.63</v>
      </c>
      <c r="N78" s="100">
        <v>19.5</v>
      </c>
      <c r="O78" s="100">
        <v>0</v>
      </c>
      <c r="P78" s="100">
        <v>0.51</v>
      </c>
      <c r="Q78" s="151" t="s">
        <v>8</v>
      </c>
      <c r="R78" s="6"/>
      <c r="S78" s="6"/>
      <c r="T78" s="156"/>
      <c r="U78" s="6"/>
    </row>
    <row r="79" spans="1:21" customFormat="1">
      <c r="A79" s="163" t="s">
        <v>3094</v>
      </c>
      <c r="B79" s="100">
        <v>4.3600000000000003</v>
      </c>
      <c r="C79" s="100">
        <v>7.02</v>
      </c>
      <c r="D79" s="100">
        <v>4.1399999999999997</v>
      </c>
      <c r="E79" s="100">
        <v>5.09</v>
      </c>
      <c r="F79" s="100">
        <v>0.59</v>
      </c>
      <c r="G79" s="100">
        <v>28.61</v>
      </c>
      <c r="H79" s="100">
        <v>11.48</v>
      </c>
      <c r="I79" s="100">
        <v>8.09</v>
      </c>
      <c r="J79" s="100">
        <v>0.7</v>
      </c>
      <c r="K79" s="100">
        <v>257.14999999999998</v>
      </c>
      <c r="L79" s="100">
        <v>25.64</v>
      </c>
      <c r="M79" s="100">
        <v>88.75</v>
      </c>
      <c r="N79" s="100">
        <v>23.1</v>
      </c>
      <c r="O79" s="100">
        <v>0</v>
      </c>
      <c r="P79" s="100">
        <v>0.51</v>
      </c>
      <c r="Q79" s="151" t="s">
        <v>8</v>
      </c>
      <c r="R79" s="6"/>
      <c r="S79" s="6"/>
      <c r="T79" s="156"/>
      <c r="U79" s="6"/>
    </row>
    <row r="80" spans="1:21" customFormat="1">
      <c r="A80" s="163" t="s">
        <v>3095</v>
      </c>
      <c r="B80" s="100">
        <v>4.3</v>
      </c>
      <c r="C80" s="100">
        <v>6.89</v>
      </c>
      <c r="D80" s="100">
        <v>4</v>
      </c>
      <c r="E80" s="100">
        <v>5.04</v>
      </c>
      <c r="F80" s="100">
        <v>0.81</v>
      </c>
      <c r="G80" s="100">
        <v>25.59</v>
      </c>
      <c r="H80" s="100">
        <v>11.28</v>
      </c>
      <c r="I80" s="100">
        <v>7.84</v>
      </c>
      <c r="J80" s="100">
        <v>0.78</v>
      </c>
      <c r="K80" s="100">
        <v>267.14</v>
      </c>
      <c r="L80" s="100">
        <v>25.67</v>
      </c>
      <c r="M80" s="100">
        <v>88.32</v>
      </c>
      <c r="N80" s="100">
        <v>14.5</v>
      </c>
      <c r="O80" s="100">
        <v>0</v>
      </c>
      <c r="P80" s="100">
        <v>0.48</v>
      </c>
      <c r="Q80" s="151" t="s">
        <v>8</v>
      </c>
      <c r="R80" s="6"/>
      <c r="S80" s="6"/>
      <c r="T80" s="156"/>
      <c r="U80" s="6"/>
    </row>
    <row r="81" spans="1:21" customFormat="1">
      <c r="A81" s="163" t="s">
        <v>3096</v>
      </c>
      <c r="B81" s="100">
        <v>4.24</v>
      </c>
      <c r="C81" s="100">
        <v>6.75</v>
      </c>
      <c r="D81" s="100">
        <v>3.81</v>
      </c>
      <c r="E81" s="100">
        <v>3.85</v>
      </c>
      <c r="F81" s="100">
        <v>0.64</v>
      </c>
      <c r="G81" s="100">
        <v>25.59</v>
      </c>
      <c r="H81" s="100">
        <v>11.28</v>
      </c>
      <c r="I81" s="100">
        <v>7.61</v>
      </c>
      <c r="J81" s="100">
        <v>0.81</v>
      </c>
      <c r="K81" s="100">
        <v>261.47000000000003</v>
      </c>
      <c r="L81" s="100">
        <v>25.57</v>
      </c>
      <c r="M81" s="100">
        <v>87.96</v>
      </c>
      <c r="N81" s="100">
        <v>13.7</v>
      </c>
      <c r="O81" s="100">
        <v>0</v>
      </c>
      <c r="P81" s="100">
        <v>0.47</v>
      </c>
      <c r="Q81" s="151" t="s">
        <v>8</v>
      </c>
      <c r="R81" s="6"/>
      <c r="S81" s="6"/>
      <c r="T81" s="156"/>
      <c r="U81" s="6"/>
    </row>
    <row r="82" spans="1:21" customFormat="1">
      <c r="A82" s="163" t="s">
        <v>3097</v>
      </c>
      <c r="B82" s="100">
        <v>4.1900000000000004</v>
      </c>
      <c r="C82" s="100">
        <v>6.64</v>
      </c>
      <c r="D82" s="100">
        <v>3.7</v>
      </c>
      <c r="E82" s="100">
        <v>4.8499999999999996</v>
      </c>
      <c r="F82" s="100">
        <v>0.7</v>
      </c>
      <c r="G82" s="100">
        <v>25.59</v>
      </c>
      <c r="H82" s="100">
        <v>11.28</v>
      </c>
      <c r="I82" s="100">
        <v>7.47</v>
      </c>
      <c r="J82" s="100">
        <v>0.74</v>
      </c>
      <c r="K82" s="100">
        <v>260.98</v>
      </c>
      <c r="L82" s="100">
        <v>25.58</v>
      </c>
      <c r="M82" s="100">
        <v>87.87</v>
      </c>
      <c r="N82" s="100">
        <v>7.9</v>
      </c>
      <c r="O82" s="100">
        <v>0</v>
      </c>
      <c r="P82" s="100">
        <v>0.46</v>
      </c>
      <c r="Q82" s="151" t="s">
        <v>8</v>
      </c>
      <c r="R82" s="6"/>
      <c r="S82" s="6"/>
      <c r="T82" s="156"/>
      <c r="U82" s="6"/>
    </row>
    <row r="83" spans="1:21" customFormat="1">
      <c r="A83" s="163" t="s">
        <v>3098</v>
      </c>
      <c r="B83" s="100">
        <v>4.13</v>
      </c>
      <c r="C83" s="100">
        <v>6.59</v>
      </c>
      <c r="D83" s="100">
        <v>3.69</v>
      </c>
      <c r="E83" s="100">
        <v>4.8600000000000003</v>
      </c>
      <c r="F83" s="100">
        <v>0.86</v>
      </c>
      <c r="G83" s="100">
        <v>21.26</v>
      </c>
      <c r="H83" s="100">
        <v>8.7100000000000009</v>
      </c>
      <c r="I83" s="100">
        <v>7.16</v>
      </c>
      <c r="J83" s="100">
        <v>0.84</v>
      </c>
      <c r="K83" s="100">
        <v>261</v>
      </c>
      <c r="L83" s="100">
        <v>25.52</v>
      </c>
      <c r="M83" s="100">
        <v>87.96</v>
      </c>
      <c r="N83" s="100">
        <v>5.0999999999999996</v>
      </c>
      <c r="O83" s="100">
        <v>0</v>
      </c>
      <c r="P83" s="100">
        <v>0.46</v>
      </c>
      <c r="Q83" s="151" t="s">
        <v>8</v>
      </c>
      <c r="R83" s="6"/>
      <c r="S83" s="6"/>
      <c r="T83" s="156"/>
      <c r="U83" s="6"/>
    </row>
    <row r="84" spans="1:21" customFormat="1">
      <c r="A84" s="163" t="s">
        <v>3099</v>
      </c>
      <c r="B84" s="100">
        <v>4.1100000000000003</v>
      </c>
      <c r="C84" s="100">
        <v>6.51</v>
      </c>
      <c r="D84" s="100">
        <v>3.57</v>
      </c>
      <c r="E84" s="100">
        <v>5.01</v>
      </c>
      <c r="F84" s="100">
        <v>1.1100000000000001</v>
      </c>
      <c r="G84" s="100">
        <v>17.96</v>
      </c>
      <c r="H84" s="100">
        <v>7.9</v>
      </c>
      <c r="I84" s="100">
        <v>6.98</v>
      </c>
      <c r="J84" s="100">
        <v>0.89</v>
      </c>
      <c r="K84" s="100">
        <v>260.45</v>
      </c>
      <c r="L84" s="100">
        <v>25.39</v>
      </c>
      <c r="M84" s="100">
        <v>88.34</v>
      </c>
      <c r="N84" s="100">
        <v>2.7</v>
      </c>
      <c r="O84" s="100">
        <v>0</v>
      </c>
      <c r="P84" s="100">
        <v>0.44</v>
      </c>
      <c r="Q84" s="151" t="s">
        <v>8</v>
      </c>
      <c r="R84" s="6"/>
      <c r="S84" s="6"/>
      <c r="T84" s="156"/>
      <c r="U84" s="6"/>
    </row>
    <row r="85" spans="1:21" customFormat="1">
      <c r="A85" s="163" t="s">
        <v>3100</v>
      </c>
      <c r="B85" s="100">
        <v>4.07</v>
      </c>
      <c r="C85" s="100">
        <v>6.41</v>
      </c>
      <c r="D85" s="100">
        <v>3.45</v>
      </c>
      <c r="E85" s="100">
        <v>5.16</v>
      </c>
      <c r="F85" s="100">
        <v>0.79</v>
      </c>
      <c r="G85" s="100">
        <v>17.96</v>
      </c>
      <c r="H85" s="100">
        <v>7.9</v>
      </c>
      <c r="I85" s="100">
        <v>6.97</v>
      </c>
      <c r="J85" s="100">
        <v>0.85</v>
      </c>
      <c r="K85" s="100">
        <v>259.05</v>
      </c>
      <c r="L85" s="100">
        <v>25.36</v>
      </c>
      <c r="M85" s="100">
        <v>88.59</v>
      </c>
      <c r="N85" s="100">
        <v>2.2999999999999998</v>
      </c>
      <c r="O85" s="100">
        <v>0</v>
      </c>
      <c r="P85" s="100">
        <v>0.43</v>
      </c>
      <c r="Q85" s="151" t="s">
        <v>8</v>
      </c>
      <c r="R85" s="6"/>
      <c r="S85" s="6"/>
      <c r="T85" s="156"/>
      <c r="U85" s="6"/>
    </row>
    <row r="86" spans="1:21" customFormat="1">
      <c r="A86" s="163" t="s">
        <v>3101</v>
      </c>
      <c r="B86" s="100">
        <v>4.0599999999999996</v>
      </c>
      <c r="C86" s="100">
        <v>6.37</v>
      </c>
      <c r="D86" s="100">
        <v>3.38</v>
      </c>
      <c r="E86" s="100">
        <v>5.03</v>
      </c>
      <c r="F86" s="100">
        <v>0.75</v>
      </c>
      <c r="G86" s="100">
        <v>17.96</v>
      </c>
      <c r="H86" s="100">
        <v>7.9</v>
      </c>
      <c r="I86" s="100">
        <v>6.81</v>
      </c>
      <c r="J86" s="100">
        <v>0.56000000000000005</v>
      </c>
      <c r="K86" s="100">
        <v>258.81</v>
      </c>
      <c r="L86" s="100">
        <v>25.26</v>
      </c>
      <c r="M86" s="100">
        <v>89.58</v>
      </c>
      <c r="N86" s="100">
        <v>2.2999999999999998</v>
      </c>
      <c r="O86" s="100">
        <v>0</v>
      </c>
      <c r="P86" s="100">
        <v>0.42</v>
      </c>
      <c r="Q86" s="151" t="s">
        <v>8</v>
      </c>
      <c r="R86" s="6"/>
      <c r="S86" s="6"/>
      <c r="T86" s="156"/>
      <c r="U86" s="6"/>
    </row>
    <row r="87" spans="1:21" customFormat="1">
      <c r="A87" s="163" t="s">
        <v>3102</v>
      </c>
      <c r="B87" s="100">
        <v>4.0599999999999996</v>
      </c>
      <c r="C87" s="100">
        <v>6.38</v>
      </c>
      <c r="D87" s="100">
        <v>3.39</v>
      </c>
      <c r="E87" s="100">
        <v>4.2699999999999996</v>
      </c>
      <c r="F87" s="100">
        <v>7.0000000000000007E-2</v>
      </c>
      <c r="G87" s="100">
        <v>17.920000000000002</v>
      </c>
      <c r="H87" s="100">
        <v>6.1</v>
      </c>
      <c r="I87" s="100">
        <v>6.55</v>
      </c>
      <c r="J87" s="100">
        <v>0.85</v>
      </c>
      <c r="K87" s="100">
        <v>259.99</v>
      </c>
      <c r="L87" s="100">
        <v>25.14</v>
      </c>
      <c r="M87" s="100">
        <v>90.11</v>
      </c>
      <c r="N87" s="100">
        <v>2.2999999999999998</v>
      </c>
      <c r="O87" s="100">
        <v>0</v>
      </c>
      <c r="P87" s="100">
        <v>0.44</v>
      </c>
      <c r="Q87" s="151" t="s">
        <v>8</v>
      </c>
      <c r="R87" s="6"/>
      <c r="S87" s="6"/>
      <c r="T87" s="156"/>
      <c r="U87" s="6"/>
    </row>
    <row r="88" spans="1:21" customFormat="1">
      <c r="A88" s="163" t="s">
        <v>3103</v>
      </c>
      <c r="B88" s="100">
        <v>4.1900000000000004</v>
      </c>
      <c r="C88" s="100">
        <v>6.3</v>
      </c>
      <c r="D88" s="100">
        <v>3.04</v>
      </c>
      <c r="E88" s="100">
        <v>4.9000000000000004</v>
      </c>
      <c r="F88" s="100">
        <v>7.0000000000000007E-2</v>
      </c>
      <c r="G88" s="100">
        <v>17.89</v>
      </c>
      <c r="H88" s="100">
        <v>5.53</v>
      </c>
      <c r="I88" s="100">
        <v>6.35</v>
      </c>
      <c r="J88" s="100">
        <v>0.62</v>
      </c>
      <c r="K88" s="100">
        <v>260.29000000000002</v>
      </c>
      <c r="L88" s="100">
        <v>25.08</v>
      </c>
      <c r="M88" s="100">
        <v>90.72</v>
      </c>
      <c r="N88" s="100">
        <v>2.2000000000000002</v>
      </c>
      <c r="O88" s="100">
        <v>0</v>
      </c>
      <c r="P88" s="100">
        <v>0.44</v>
      </c>
      <c r="Q88" s="151" t="s">
        <v>8</v>
      </c>
      <c r="R88" s="6"/>
      <c r="S88" s="6"/>
      <c r="T88" s="156"/>
      <c r="U88" s="6"/>
    </row>
    <row r="89" spans="1:21" customFormat="1">
      <c r="A89" s="163" t="s">
        <v>3104</v>
      </c>
      <c r="B89" s="100">
        <v>4.3</v>
      </c>
      <c r="C89" s="100">
        <v>6.14</v>
      </c>
      <c r="D89" s="100">
        <v>2.56</v>
      </c>
      <c r="E89" s="100">
        <v>4.59</v>
      </c>
      <c r="F89" s="100">
        <v>0.01</v>
      </c>
      <c r="G89" s="100">
        <v>17.89</v>
      </c>
      <c r="H89" s="100">
        <v>5.53</v>
      </c>
      <c r="I89" s="100">
        <v>6.3</v>
      </c>
      <c r="J89" s="100">
        <v>0.72</v>
      </c>
      <c r="K89" s="100">
        <v>259.83</v>
      </c>
      <c r="L89" s="100">
        <v>25.03</v>
      </c>
      <c r="M89" s="100">
        <v>91.08</v>
      </c>
      <c r="N89" s="100">
        <v>2.2000000000000002</v>
      </c>
      <c r="O89" s="100">
        <v>0</v>
      </c>
      <c r="P89" s="100">
        <v>0.41</v>
      </c>
      <c r="Q89" s="151" t="s">
        <v>8</v>
      </c>
      <c r="R89" s="6"/>
      <c r="S89" s="6"/>
      <c r="T89" s="156"/>
      <c r="U89" s="6"/>
    </row>
    <row r="90" spans="1:21" customFormat="1">
      <c r="A90" s="163" t="s">
        <v>3105</v>
      </c>
      <c r="B90" s="100">
        <v>4.34</v>
      </c>
      <c r="C90" s="100">
        <v>6.04</v>
      </c>
      <c r="D90" s="100">
        <v>2.3199999999999998</v>
      </c>
      <c r="E90" s="100">
        <v>4.32</v>
      </c>
      <c r="F90" s="100">
        <v>0.47</v>
      </c>
      <c r="G90" s="100">
        <v>17.89</v>
      </c>
      <c r="H90" s="100">
        <v>5.53</v>
      </c>
      <c r="I90" s="100">
        <v>6.26</v>
      </c>
      <c r="J90" s="100">
        <v>0.69</v>
      </c>
      <c r="K90" s="100">
        <v>260.16000000000003</v>
      </c>
      <c r="L90" s="100">
        <v>25.05</v>
      </c>
      <c r="M90" s="100">
        <v>90.96</v>
      </c>
      <c r="N90" s="100">
        <v>2.1</v>
      </c>
      <c r="O90" s="100">
        <v>0</v>
      </c>
      <c r="P90" s="100">
        <v>0.43</v>
      </c>
      <c r="Q90" s="151" t="s">
        <v>8</v>
      </c>
      <c r="R90" s="6"/>
      <c r="S90" s="6"/>
      <c r="T90" s="156"/>
      <c r="U90" s="6"/>
    </row>
    <row r="91" spans="1:21" customFormat="1">
      <c r="A91" s="163" t="s">
        <v>3106</v>
      </c>
      <c r="B91" s="100">
        <v>4.42</v>
      </c>
      <c r="C91" s="100">
        <v>6.16</v>
      </c>
      <c r="D91" s="100">
        <v>2.42</v>
      </c>
      <c r="E91" s="100">
        <v>4.57</v>
      </c>
      <c r="F91" s="100">
        <v>0.47</v>
      </c>
      <c r="G91" s="100">
        <v>19.600000000000001</v>
      </c>
      <c r="H91" s="100">
        <v>4.5</v>
      </c>
      <c r="I91" s="100">
        <v>6.18</v>
      </c>
      <c r="J91" s="100">
        <v>0.61</v>
      </c>
      <c r="K91" s="100">
        <v>256.02</v>
      </c>
      <c r="L91" s="100">
        <v>25.07</v>
      </c>
      <c r="M91" s="100">
        <v>91.13</v>
      </c>
      <c r="N91" s="100">
        <v>2.2999999999999998</v>
      </c>
      <c r="O91" s="100">
        <v>0</v>
      </c>
      <c r="P91" s="100">
        <v>0.43</v>
      </c>
      <c r="Q91" s="151" t="s">
        <v>8</v>
      </c>
      <c r="R91" s="6"/>
      <c r="S91" s="6"/>
      <c r="T91" s="156"/>
      <c r="U91" s="6"/>
    </row>
    <row r="92" spans="1:21" customFormat="1">
      <c r="A92" s="163" t="s">
        <v>3107</v>
      </c>
      <c r="B92" s="100">
        <v>4.5</v>
      </c>
      <c r="C92" s="100">
        <v>6.12</v>
      </c>
      <c r="D92" s="100">
        <v>2.2200000000000002</v>
      </c>
      <c r="E92" s="100">
        <v>4.3899999999999997</v>
      </c>
      <c r="F92" s="100">
        <v>0.03</v>
      </c>
      <c r="G92" s="100">
        <v>20.91</v>
      </c>
      <c r="H92" s="100">
        <v>4.18</v>
      </c>
      <c r="I92" s="100">
        <v>6.14</v>
      </c>
      <c r="J92" s="100">
        <v>0.84</v>
      </c>
      <c r="K92" s="100">
        <v>261.39</v>
      </c>
      <c r="L92" s="100">
        <v>25.01</v>
      </c>
      <c r="M92" s="100">
        <v>91.43</v>
      </c>
      <c r="N92" s="100">
        <v>2.4</v>
      </c>
      <c r="O92" s="100">
        <v>0</v>
      </c>
      <c r="P92" s="100">
        <v>0.41</v>
      </c>
      <c r="Q92" s="151" t="s">
        <v>8</v>
      </c>
      <c r="R92" s="6"/>
      <c r="S92" s="6"/>
      <c r="T92" s="156"/>
      <c r="U92" s="6"/>
    </row>
    <row r="93" spans="1:21" customFormat="1">
      <c r="A93" s="163" t="s">
        <v>3108</v>
      </c>
      <c r="B93" s="100">
        <v>4.51</v>
      </c>
      <c r="C93" s="100">
        <v>6.13</v>
      </c>
      <c r="D93" s="100">
        <v>2.2200000000000002</v>
      </c>
      <c r="E93" s="100">
        <v>4.43</v>
      </c>
      <c r="F93" s="100">
        <v>0.19</v>
      </c>
      <c r="G93" s="100">
        <v>20.91</v>
      </c>
      <c r="H93" s="100">
        <v>4.18</v>
      </c>
      <c r="I93" s="100">
        <v>6.07</v>
      </c>
      <c r="J93" s="100">
        <v>0.77</v>
      </c>
      <c r="K93" s="100">
        <v>262.86</v>
      </c>
      <c r="L93" s="100">
        <v>24.96</v>
      </c>
      <c r="M93" s="100">
        <v>91.66</v>
      </c>
      <c r="N93" s="100">
        <v>2.2999999999999998</v>
      </c>
      <c r="O93" s="100">
        <v>0</v>
      </c>
      <c r="P93" s="100">
        <v>0.42</v>
      </c>
      <c r="Q93" s="151" t="s">
        <v>8</v>
      </c>
      <c r="R93" s="6"/>
      <c r="S93" s="6"/>
      <c r="T93" s="156"/>
      <c r="U93" s="6"/>
    </row>
    <row r="94" spans="1:21" customFormat="1">
      <c r="A94" s="163" t="s">
        <v>3109</v>
      </c>
      <c r="B94" s="100">
        <v>4.5999999999999996</v>
      </c>
      <c r="C94" s="100">
        <v>6.2</v>
      </c>
      <c r="D94" s="100">
        <v>2.2200000000000002</v>
      </c>
      <c r="E94" s="100">
        <v>4.5199999999999996</v>
      </c>
      <c r="F94" s="100">
        <v>0.19</v>
      </c>
      <c r="G94" s="100">
        <v>20.91</v>
      </c>
      <c r="H94" s="100">
        <v>4.18</v>
      </c>
      <c r="I94" s="100">
        <v>5.91</v>
      </c>
      <c r="J94" s="100">
        <v>0.7</v>
      </c>
      <c r="K94" s="100">
        <v>259.23</v>
      </c>
      <c r="L94" s="100">
        <v>24.91</v>
      </c>
      <c r="M94" s="100">
        <v>92.07</v>
      </c>
      <c r="N94" s="100">
        <v>2.1</v>
      </c>
      <c r="O94" s="100">
        <v>0</v>
      </c>
      <c r="P94" s="100">
        <v>0.4</v>
      </c>
      <c r="Q94" s="151" t="s">
        <v>8</v>
      </c>
      <c r="R94" s="6"/>
      <c r="S94" s="6"/>
      <c r="T94" s="156"/>
      <c r="U94" s="6"/>
    </row>
    <row r="95" spans="1:21" customFormat="1">
      <c r="A95" s="163" t="s">
        <v>3110</v>
      </c>
      <c r="B95" s="100">
        <v>4.6500000000000004</v>
      </c>
      <c r="C95" s="100">
        <v>6.13</v>
      </c>
      <c r="D95" s="100">
        <v>2</v>
      </c>
      <c r="E95" s="100">
        <v>4.28</v>
      </c>
      <c r="F95" s="100">
        <v>0.02</v>
      </c>
      <c r="G95" s="100">
        <v>17.489999999999998</v>
      </c>
      <c r="H95" s="100">
        <v>5.57</v>
      </c>
      <c r="I95" s="100">
        <v>5.93</v>
      </c>
      <c r="J95" s="100">
        <v>0.64</v>
      </c>
      <c r="K95" s="100">
        <v>257.35000000000002</v>
      </c>
      <c r="L95" s="100">
        <v>24.95</v>
      </c>
      <c r="M95" s="100">
        <v>92.23</v>
      </c>
      <c r="N95" s="100">
        <v>2.2000000000000002</v>
      </c>
      <c r="O95" s="100">
        <v>0</v>
      </c>
      <c r="P95" s="100">
        <v>0.41</v>
      </c>
      <c r="Q95" s="151" t="s">
        <v>8</v>
      </c>
      <c r="R95" s="6"/>
      <c r="S95" s="6"/>
      <c r="T95" s="156"/>
      <c r="U95" s="6"/>
    </row>
    <row r="96" spans="1:21" customFormat="1">
      <c r="A96" s="163" t="s">
        <v>3111</v>
      </c>
      <c r="B96" s="100">
        <v>4.68</v>
      </c>
      <c r="C96" s="100">
        <v>6.25</v>
      </c>
      <c r="D96" s="100">
        <v>2.19</v>
      </c>
      <c r="E96" s="100">
        <v>4.5999999999999996</v>
      </c>
      <c r="F96" s="100">
        <v>0.02</v>
      </c>
      <c r="G96" s="100">
        <v>14.87</v>
      </c>
      <c r="H96" s="100">
        <v>6</v>
      </c>
      <c r="I96" s="100">
        <v>5.98</v>
      </c>
      <c r="J96" s="100">
        <v>0.73</v>
      </c>
      <c r="K96" s="100">
        <v>258.63</v>
      </c>
      <c r="L96" s="100">
        <v>24.98</v>
      </c>
      <c r="M96" s="100">
        <v>92.01</v>
      </c>
      <c r="N96" s="100">
        <v>2.1</v>
      </c>
      <c r="O96" s="100">
        <v>0</v>
      </c>
      <c r="P96" s="100">
        <v>0.41</v>
      </c>
      <c r="Q96" s="151" t="s">
        <v>8</v>
      </c>
      <c r="R96" s="6"/>
      <c r="S96" s="6"/>
      <c r="T96" s="156"/>
      <c r="U96" s="6"/>
    </row>
    <row r="97" spans="1:28" customFormat="1">
      <c r="A97" s="163" t="s">
        <v>3112</v>
      </c>
      <c r="B97" s="100">
        <v>4.75</v>
      </c>
      <c r="C97" s="100">
        <v>6.2</v>
      </c>
      <c r="D97" s="100">
        <v>2</v>
      </c>
      <c r="E97" s="100">
        <v>4.55</v>
      </c>
      <c r="F97" s="100">
        <v>0.02</v>
      </c>
      <c r="G97" s="100">
        <v>14.87</v>
      </c>
      <c r="H97" s="100">
        <v>6</v>
      </c>
      <c r="I97" s="100">
        <v>5.79</v>
      </c>
      <c r="J97" s="100">
        <v>0.71</v>
      </c>
      <c r="K97" s="100">
        <v>270.8</v>
      </c>
      <c r="L97" s="100">
        <v>25</v>
      </c>
      <c r="M97" s="100">
        <v>92.01</v>
      </c>
      <c r="N97" s="100">
        <v>2.2999999999999998</v>
      </c>
      <c r="O97" s="100">
        <v>0</v>
      </c>
      <c r="P97" s="100">
        <v>0.39</v>
      </c>
      <c r="Q97" s="151" t="s">
        <v>8</v>
      </c>
      <c r="R97" s="6"/>
      <c r="S97" s="6"/>
      <c r="T97" s="156"/>
      <c r="U97" s="6"/>
    </row>
    <row r="98" spans="1:28" customFormat="1">
      <c r="A98" s="163" t="s">
        <v>3113</v>
      </c>
      <c r="B98" s="100">
        <v>4.75</v>
      </c>
      <c r="C98" s="100">
        <v>6.22</v>
      </c>
      <c r="D98" s="100">
        <v>2.04</v>
      </c>
      <c r="E98" s="100">
        <v>4.3499999999999996</v>
      </c>
      <c r="F98" s="100">
        <v>7.0000000000000007E-2</v>
      </c>
      <c r="G98" s="100">
        <v>14.87</v>
      </c>
      <c r="H98" s="100">
        <v>6</v>
      </c>
      <c r="I98" s="100">
        <v>5.84</v>
      </c>
      <c r="J98" s="100">
        <v>0.77</v>
      </c>
      <c r="K98" s="100">
        <v>261.77</v>
      </c>
      <c r="L98" s="100">
        <v>25.04</v>
      </c>
      <c r="M98" s="100">
        <v>91.78</v>
      </c>
      <c r="N98" s="100">
        <v>2.2000000000000002</v>
      </c>
      <c r="O98" s="100">
        <v>0</v>
      </c>
      <c r="P98" s="100">
        <v>0.4</v>
      </c>
      <c r="Q98" s="151" t="s">
        <v>8</v>
      </c>
      <c r="R98" s="6"/>
      <c r="S98" s="6"/>
      <c r="T98" s="156"/>
      <c r="U98" s="6"/>
    </row>
    <row r="99" spans="1:28" customFormat="1">
      <c r="A99" s="163" t="s">
        <v>3114</v>
      </c>
      <c r="B99" s="100">
        <v>4.78</v>
      </c>
      <c r="C99" s="100">
        <v>6.28</v>
      </c>
      <c r="D99" s="100">
        <v>2.08</v>
      </c>
      <c r="E99" s="100">
        <v>4.66</v>
      </c>
      <c r="F99" s="100">
        <v>7.0000000000000007E-2</v>
      </c>
      <c r="G99" s="100">
        <v>12.63</v>
      </c>
      <c r="H99" s="100">
        <v>5.57</v>
      </c>
      <c r="I99" s="100">
        <v>5.61</v>
      </c>
      <c r="J99" s="100">
        <v>0.89</v>
      </c>
      <c r="K99" s="100">
        <v>259.8</v>
      </c>
      <c r="L99" s="100">
        <v>25.06</v>
      </c>
      <c r="M99" s="100">
        <v>91.64</v>
      </c>
      <c r="N99" s="100">
        <v>2.2999999999999998</v>
      </c>
      <c r="O99" s="100">
        <v>0</v>
      </c>
      <c r="P99" s="100">
        <v>0.38</v>
      </c>
      <c r="Q99" s="151" t="s">
        <v>8</v>
      </c>
      <c r="R99" s="6"/>
      <c r="S99" s="6"/>
      <c r="T99" s="156"/>
      <c r="U99" s="6"/>
    </row>
    <row r="100" spans="1:28" customFormat="1">
      <c r="A100" s="163" t="s">
        <v>3115</v>
      </c>
      <c r="B100" s="100">
        <v>4.8</v>
      </c>
      <c r="C100" s="100">
        <v>6.29</v>
      </c>
      <c r="D100" s="100">
        <v>2.08</v>
      </c>
      <c r="E100" s="100">
        <v>4.55</v>
      </c>
      <c r="F100" s="100">
        <v>7.0000000000000007E-2</v>
      </c>
      <c r="G100" s="100">
        <v>10.99</v>
      </c>
      <c r="H100" s="100">
        <v>5.43</v>
      </c>
      <c r="I100" s="100">
        <v>5.54</v>
      </c>
      <c r="J100" s="100">
        <v>0.81</v>
      </c>
      <c r="K100" s="100">
        <v>262.58</v>
      </c>
      <c r="L100" s="100">
        <v>25.03</v>
      </c>
      <c r="M100" s="100">
        <v>91.92</v>
      </c>
      <c r="N100" s="100">
        <v>2.2999999999999998</v>
      </c>
      <c r="O100" s="100">
        <v>0</v>
      </c>
      <c r="P100" s="100">
        <v>0.39</v>
      </c>
      <c r="Q100" s="151" t="s">
        <v>8</v>
      </c>
      <c r="R100" s="6"/>
      <c r="S100" s="6"/>
      <c r="T100" s="156"/>
      <c r="U100" s="6"/>
      <c r="AB100" s="161"/>
    </row>
    <row r="101" spans="1:28" customFormat="1">
      <c r="A101" s="163" t="s">
        <v>3116</v>
      </c>
      <c r="B101" s="100">
        <v>4.8499999999999996</v>
      </c>
      <c r="C101" s="100">
        <v>6.31</v>
      </c>
      <c r="D101" s="100">
        <v>2.04</v>
      </c>
      <c r="E101" s="100">
        <v>4.5999999999999996</v>
      </c>
      <c r="F101" s="100">
        <v>7.0000000000000007E-2</v>
      </c>
      <c r="G101" s="100">
        <v>10.99</v>
      </c>
      <c r="H101" s="100">
        <v>5.43</v>
      </c>
      <c r="I101" s="100">
        <v>5.49</v>
      </c>
      <c r="J101" s="100">
        <v>0.83</v>
      </c>
      <c r="K101" s="100">
        <v>259.95</v>
      </c>
      <c r="L101" s="100">
        <v>25.03</v>
      </c>
      <c r="M101" s="100">
        <v>92.15</v>
      </c>
      <c r="N101" s="100">
        <v>2.2000000000000002</v>
      </c>
      <c r="O101" s="100">
        <v>0</v>
      </c>
      <c r="P101" s="100">
        <v>0.37</v>
      </c>
      <c r="Q101" s="151" t="s">
        <v>8</v>
      </c>
      <c r="R101" s="6"/>
      <c r="S101" s="6"/>
      <c r="T101" s="156"/>
      <c r="U101" s="6"/>
    </row>
    <row r="102" spans="1:28" customFormat="1">
      <c r="A102" s="163" t="s">
        <v>3117</v>
      </c>
      <c r="B102" s="100">
        <v>4.84</v>
      </c>
      <c r="C102" s="100">
        <v>6.31</v>
      </c>
      <c r="D102" s="100">
        <v>2.0499999999999998</v>
      </c>
      <c r="E102" s="100">
        <v>4.32</v>
      </c>
      <c r="F102" s="100">
        <v>0.08</v>
      </c>
      <c r="G102" s="100">
        <v>10.99</v>
      </c>
      <c r="H102" s="100">
        <v>5.43</v>
      </c>
      <c r="I102" s="100">
        <v>5.61</v>
      </c>
      <c r="J102" s="100">
        <v>0.68</v>
      </c>
      <c r="K102" s="100">
        <v>270.22000000000003</v>
      </c>
      <c r="L102" s="100">
        <v>25.03</v>
      </c>
      <c r="M102" s="100">
        <v>92.3</v>
      </c>
      <c r="N102" s="100">
        <v>2.2000000000000002</v>
      </c>
      <c r="O102" s="100">
        <v>0</v>
      </c>
      <c r="P102" s="100">
        <v>0.39</v>
      </c>
      <c r="Q102" s="151" t="s">
        <v>8</v>
      </c>
      <c r="R102" s="6"/>
      <c r="S102" s="6"/>
      <c r="T102" s="156"/>
      <c r="U102" s="6"/>
    </row>
    <row r="103" spans="1:28" customFormat="1">
      <c r="A103" s="163" t="s">
        <v>3118</v>
      </c>
      <c r="B103" s="100">
        <v>4.88</v>
      </c>
      <c r="C103" s="100">
        <v>6.36</v>
      </c>
      <c r="D103" s="100">
        <v>2.08</v>
      </c>
      <c r="E103" s="100">
        <v>4.46</v>
      </c>
      <c r="F103" s="100">
        <v>0.08</v>
      </c>
      <c r="G103" s="100">
        <v>12.04</v>
      </c>
      <c r="H103" s="100">
        <v>5.5</v>
      </c>
      <c r="I103" s="100">
        <v>5.27</v>
      </c>
      <c r="J103" s="100">
        <v>0.64</v>
      </c>
      <c r="K103" s="100">
        <v>260.24</v>
      </c>
      <c r="L103" s="100">
        <v>24.99</v>
      </c>
      <c r="M103" s="100">
        <v>92.67</v>
      </c>
      <c r="N103" s="100">
        <v>2.2999999999999998</v>
      </c>
      <c r="O103" s="100">
        <v>0</v>
      </c>
      <c r="P103" s="100">
        <v>0.37</v>
      </c>
      <c r="Q103" s="151" t="s">
        <v>8</v>
      </c>
      <c r="R103" s="6"/>
      <c r="S103" s="6"/>
      <c r="T103" s="156"/>
      <c r="U103" s="6"/>
    </row>
    <row r="104" spans="1:28" customFormat="1">
      <c r="A104" s="163" t="s">
        <v>3119</v>
      </c>
      <c r="B104" s="100">
        <v>4.92</v>
      </c>
      <c r="C104" s="100">
        <v>6.37</v>
      </c>
      <c r="D104" s="100">
        <v>2.0699999999999998</v>
      </c>
      <c r="E104" s="100">
        <v>4.5</v>
      </c>
      <c r="F104" s="100">
        <v>0.14000000000000001</v>
      </c>
      <c r="G104" s="100">
        <v>12.81</v>
      </c>
      <c r="H104" s="100">
        <v>5.54</v>
      </c>
      <c r="I104" s="100">
        <v>5.51</v>
      </c>
      <c r="J104" s="100">
        <v>0.48</v>
      </c>
      <c r="K104" s="100">
        <v>261.45999999999998</v>
      </c>
      <c r="L104" s="100">
        <v>24.96</v>
      </c>
      <c r="M104" s="100">
        <v>93.21</v>
      </c>
      <c r="N104" s="100">
        <v>2.1</v>
      </c>
      <c r="O104" s="100">
        <v>0</v>
      </c>
      <c r="P104" s="100">
        <v>0.38</v>
      </c>
      <c r="Q104" s="151" t="s">
        <v>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4.04</v>
      </c>
      <c r="C106" s="158">
        <f>MIN(C9:C104)</f>
        <v>5.88</v>
      </c>
      <c r="D106" s="158">
        <f t="shared" ref="D106:Q106" si="0">MIN(D9:D104)</f>
        <v>1.95</v>
      </c>
      <c r="E106" s="158">
        <f t="shared" si="0"/>
        <v>3.79</v>
      </c>
      <c r="F106" s="158">
        <f t="shared" si="0"/>
        <v>0.01</v>
      </c>
      <c r="G106" s="158">
        <f t="shared" si="0"/>
        <v>7.73</v>
      </c>
      <c r="H106" s="158">
        <f t="shared" si="0"/>
        <v>3.08</v>
      </c>
      <c r="I106" s="158">
        <f t="shared" si="0"/>
        <v>3.1</v>
      </c>
      <c r="J106" s="158">
        <f t="shared" si="0"/>
        <v>0.46</v>
      </c>
      <c r="K106" s="158">
        <f t="shared" si="0"/>
        <v>254.99</v>
      </c>
      <c r="L106" s="158">
        <f t="shared" si="0"/>
        <v>23.24</v>
      </c>
      <c r="M106" s="158">
        <f t="shared" si="0"/>
        <v>83.63</v>
      </c>
      <c r="N106" s="158">
        <f t="shared" si="0"/>
        <v>2.1</v>
      </c>
      <c r="O106" s="158">
        <f t="shared" si="0"/>
        <v>0</v>
      </c>
      <c r="P106" s="158">
        <f t="shared" si="0"/>
        <v>0.23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7.72</v>
      </c>
      <c r="C107" s="157">
        <f t="shared" ref="C107:Q107" si="1">MAX(C9:C104)</f>
        <v>8.99</v>
      </c>
      <c r="D107" s="157">
        <f t="shared" si="1"/>
        <v>4.72</v>
      </c>
      <c r="E107" s="157">
        <f t="shared" si="1"/>
        <v>6.39</v>
      </c>
      <c r="F107" s="157">
        <f t="shared" si="1"/>
        <v>1.3</v>
      </c>
      <c r="G107" s="157">
        <f t="shared" si="1"/>
        <v>32.770000000000003</v>
      </c>
      <c r="H107" s="157">
        <f t="shared" si="1"/>
        <v>14.17</v>
      </c>
      <c r="I107" s="157">
        <f t="shared" si="1"/>
        <v>9.5500000000000007</v>
      </c>
      <c r="J107" s="157">
        <f t="shared" si="1"/>
        <v>1.04</v>
      </c>
      <c r="K107" s="157">
        <f t="shared" si="1"/>
        <v>276.89999999999998</v>
      </c>
      <c r="L107" s="157">
        <f t="shared" si="1"/>
        <v>26.83</v>
      </c>
      <c r="M107" s="157">
        <f t="shared" si="1"/>
        <v>99.7</v>
      </c>
      <c r="N107" s="157">
        <f t="shared" si="1"/>
        <v>247.7</v>
      </c>
      <c r="O107" s="157">
        <f t="shared" si="1"/>
        <v>0.4</v>
      </c>
      <c r="P107" s="157">
        <f t="shared" si="1"/>
        <v>0.67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5.3231250000000019</v>
      </c>
      <c r="C108" s="158">
        <f t="shared" ref="C108:Q108" si="2">AVERAGE(C9:C104)</f>
        <v>7.1861458333333337</v>
      </c>
      <c r="D108" s="158">
        <f t="shared" si="2"/>
        <v>2.9973958333333339</v>
      </c>
      <c r="E108" s="158">
        <f t="shared" si="2"/>
        <v>4.8945833333333342</v>
      </c>
      <c r="F108" s="158">
        <f t="shared" si="2"/>
        <v>0.20229166666666662</v>
      </c>
      <c r="G108" s="158">
        <f t="shared" si="2"/>
        <v>19.002708333333331</v>
      </c>
      <c r="H108" s="158">
        <f t="shared" si="2"/>
        <v>7.824479166666662</v>
      </c>
      <c r="I108" s="158">
        <f t="shared" si="2"/>
        <v>6.0951041666666681</v>
      </c>
      <c r="J108" s="158">
        <f t="shared" si="2"/>
        <v>0.75208333333333366</v>
      </c>
      <c r="K108" s="158">
        <f t="shared" si="2"/>
        <v>261.93739583333343</v>
      </c>
      <c r="L108" s="158">
        <f t="shared" si="2"/>
        <v>24.649687500000002</v>
      </c>
      <c r="M108" s="158">
        <f t="shared" si="2"/>
        <v>92.945520833333305</v>
      </c>
      <c r="N108" s="158">
        <f t="shared" si="2"/>
        <v>47.907291666666659</v>
      </c>
      <c r="O108" s="158">
        <f t="shared" si="2"/>
        <v>2.9166666666666671E-2</v>
      </c>
      <c r="P108" s="158">
        <f t="shared" si="2"/>
        <v>0.43968749999999979</v>
      </c>
      <c r="Q108" s="158" t="e">
        <f t="shared" si="2"/>
        <v>#DIV/0!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1.1197963278156586</v>
      </c>
      <c r="C109" s="158">
        <f t="shared" ref="C109:Q109" si="3">STDEV(C9:C104)</f>
        <v>1.0348581085465576</v>
      </c>
      <c r="D109" s="158">
        <f t="shared" si="3"/>
        <v>0.799743702091544</v>
      </c>
      <c r="E109" s="158">
        <f t="shared" si="3"/>
        <v>0.4073713336855847</v>
      </c>
      <c r="F109" s="158">
        <f t="shared" si="3"/>
        <v>0.26929724984100717</v>
      </c>
      <c r="G109" s="158">
        <f t="shared" si="3"/>
        <v>7.9015310280805613</v>
      </c>
      <c r="H109" s="158">
        <f t="shared" si="3"/>
        <v>3.2201392156213551</v>
      </c>
      <c r="I109" s="158">
        <f t="shared" si="3"/>
        <v>2.183882585426657</v>
      </c>
      <c r="J109" s="158">
        <f t="shared" si="3"/>
        <v>0.13444558019915409</v>
      </c>
      <c r="K109" s="158">
        <f t="shared" si="3"/>
        <v>3.9401109374688166</v>
      </c>
      <c r="L109" s="158">
        <f t="shared" si="3"/>
        <v>1.1335370382591223</v>
      </c>
      <c r="M109" s="158">
        <f t="shared" si="3"/>
        <v>4.8572409040072744</v>
      </c>
      <c r="N109" s="158">
        <f t="shared" si="3"/>
        <v>65.454210985586087</v>
      </c>
      <c r="O109" s="158">
        <f t="shared" si="3"/>
        <v>8.1971325752448559E-2</v>
      </c>
      <c r="P109" s="158">
        <f t="shared" si="3"/>
        <v>0.14404277964695511</v>
      </c>
      <c r="Q109" s="158" t="e">
        <f t="shared" si="3"/>
        <v>#DIV/0!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COUNT(Q9:Q104)+96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6" t="s">
        <v>56</v>
      </c>
      <c r="C115" s="166"/>
      <c r="D115" s="166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33" activePane="bottomRight" state="frozen"/>
      <selection pane="topRight"/>
      <selection pane="bottomLeft"/>
      <selection pane="bottomRight" activeCell="Q46" sqref="Q4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01/06/2025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01/06/2025 00:15</v>
      </c>
      <c r="B9" s="83">
        <f>'01'!B108</f>
        <v>4.9882291666666676</v>
      </c>
      <c r="C9" s="83">
        <f>'01'!C108</f>
        <v>7.7807291666666645</v>
      </c>
      <c r="D9" s="83">
        <f>'01'!D108</f>
        <v>4.6487499999999988</v>
      </c>
      <c r="E9" s="83">
        <f>'01'!E108</f>
        <v>8.6065624999999972</v>
      </c>
      <c r="F9" s="83">
        <f>'01'!F108</f>
        <v>6.7117708333333335</v>
      </c>
      <c r="G9" s="83">
        <f>'01'!G108</f>
        <v>63.087500000000013</v>
      </c>
      <c r="H9" s="83">
        <f>'01'!H108</f>
        <v>25.634791666666654</v>
      </c>
      <c r="I9" s="83">
        <f>'01'!I108</f>
        <v>6.6510416666666687</v>
      </c>
      <c r="J9" s="83">
        <f>'01'!J108</f>
        <v>0.61291666666666633</v>
      </c>
      <c r="K9" s="83">
        <f>'01'!K108</f>
        <v>236.58343749999995</v>
      </c>
      <c r="L9" s="83">
        <f>'01'!L108</f>
        <v>31.063854166666662</v>
      </c>
      <c r="M9" s="83">
        <f>'01'!M108</f>
        <v>65.008541666666645</v>
      </c>
      <c r="N9" s="83">
        <f>'01'!N108</f>
        <v>147.92604166666669</v>
      </c>
      <c r="O9" s="83">
        <f>'01'!O108</f>
        <v>0</v>
      </c>
      <c r="P9" s="83">
        <f>'01'!P108</f>
        <v>0.48989583333333364</v>
      </c>
      <c r="Q9" s="83">
        <f>'01'!Q108</f>
        <v>28</v>
      </c>
      <c r="R9" s="76"/>
      <c r="S9" s="76"/>
      <c r="T9" s="76"/>
      <c r="U9" s="76"/>
    </row>
    <row r="10" spans="1:21">
      <c r="A10" s="139" t="str">
        <f>'02'!$B$2</f>
        <v>02/06/2025 00:15</v>
      </c>
      <c r="B10" s="83">
        <f>'02'!B108</f>
        <v>4.1808333333333332</v>
      </c>
      <c r="C10" s="83">
        <f>'02'!C108</f>
        <v>6.8521874999999968</v>
      </c>
      <c r="D10" s="83">
        <f>'02'!D108</f>
        <v>4.1112499999999992</v>
      </c>
      <c r="E10" s="83">
        <f>'02'!E108</f>
        <v>7.7297916666666664</v>
      </c>
      <c r="F10" s="83">
        <f>'02'!F108</f>
        <v>5.4053124999999982</v>
      </c>
      <c r="G10" s="83">
        <f>'02'!G108</f>
        <v>40.338333333333345</v>
      </c>
      <c r="H10" s="83">
        <f>'02'!H108</f>
        <v>19.142916666666679</v>
      </c>
      <c r="I10" s="83">
        <f>'02'!I108</f>
        <v>4.5873958333333347</v>
      </c>
      <c r="J10" s="83">
        <f>'02'!J108</f>
        <v>0.6158333333333329</v>
      </c>
      <c r="K10" s="83">
        <f>'02'!K108</f>
        <v>239.37854166666668</v>
      </c>
      <c r="L10" s="83">
        <f>'02'!L108</f>
        <v>31.503854166666667</v>
      </c>
      <c r="M10" s="83">
        <f>'02'!M108</f>
        <v>54.55145833333335</v>
      </c>
      <c r="N10" s="83">
        <f>'02'!N108</f>
        <v>154.55937499999996</v>
      </c>
      <c r="O10" s="83">
        <f>'02'!O108</f>
        <v>0</v>
      </c>
      <c r="P10" s="83">
        <f>'02'!P108</f>
        <v>0.31354166666666655</v>
      </c>
      <c r="Q10" s="83">
        <f>'02'!Q108</f>
        <v>28</v>
      </c>
      <c r="R10" s="76"/>
      <c r="S10" s="76"/>
      <c r="T10" s="76"/>
      <c r="U10" s="76"/>
    </row>
    <row r="11" spans="1:21">
      <c r="A11" s="139" t="str">
        <f>'03'!$B$2</f>
        <v>03/06/2025 00:15</v>
      </c>
      <c r="B11" s="83">
        <f>'03'!B108</f>
        <v>4.3747916666666651</v>
      </c>
      <c r="C11" s="83">
        <f>'03'!C108</f>
        <v>7.3189583333333337</v>
      </c>
      <c r="D11" s="83">
        <f>'03'!D108</f>
        <v>4.7083333333333339</v>
      </c>
      <c r="E11" s="83">
        <f>'03'!E108</f>
        <v>8.1672916666666673</v>
      </c>
      <c r="F11" s="83">
        <f>'03'!F108</f>
        <v>7.6281249999999998</v>
      </c>
      <c r="G11" s="83">
        <f>'03'!G108</f>
        <v>40.28</v>
      </c>
      <c r="H11" s="83">
        <f>'03'!H108</f>
        <v>17.989374999999999</v>
      </c>
      <c r="I11" s="83">
        <f>'03'!I108</f>
        <v>4.760416666666667</v>
      </c>
      <c r="J11" s="83">
        <f>'03'!J108</f>
        <v>0.62968750000000007</v>
      </c>
      <c r="K11" s="83">
        <f>'03'!K108</f>
        <v>234.86770833333344</v>
      </c>
      <c r="L11" s="83">
        <f>'03'!L108</f>
        <v>31.94208333333334</v>
      </c>
      <c r="M11" s="83">
        <f>'03'!M108</f>
        <v>52.696041666666694</v>
      </c>
      <c r="N11" s="83">
        <f>'03'!N108</f>
        <v>142.4302083333333</v>
      </c>
      <c r="O11" s="83">
        <f>'03'!O108</f>
        <v>0</v>
      </c>
      <c r="P11" s="83">
        <f>'03'!P108</f>
        <v>0.36874999999999997</v>
      </c>
      <c r="Q11" s="83">
        <f>'03'!Q108</f>
        <v>28</v>
      </c>
      <c r="R11" s="76"/>
      <c r="S11" s="76"/>
      <c r="T11" s="76"/>
      <c r="U11" s="76"/>
    </row>
    <row r="12" spans="1:21">
      <c r="A12" s="139" t="str">
        <f>'04'!$B$2</f>
        <v>04/06/2025 00:15</v>
      </c>
      <c r="B12" s="83">
        <f>'04'!B108</f>
        <v>4.4023958333333333</v>
      </c>
      <c r="C12" s="83">
        <f>'04'!C108</f>
        <v>8.7709374999999987</v>
      </c>
      <c r="D12" s="83">
        <f>'04'!D108</f>
        <v>7.4441666666666704</v>
      </c>
      <c r="E12" s="83">
        <f>'04'!E108</f>
        <v>9.092187500000005</v>
      </c>
      <c r="F12" s="83">
        <f>'04'!F108</f>
        <v>8.2794791666666701</v>
      </c>
      <c r="G12" s="83">
        <f>'04'!G108</f>
        <v>54.801666666666655</v>
      </c>
      <c r="H12" s="83">
        <f>'04'!H108</f>
        <v>26.156354166666674</v>
      </c>
      <c r="I12" s="83">
        <f>'04'!I108</f>
        <v>7.4241666666666681</v>
      </c>
      <c r="J12" s="83">
        <f>'04'!J108</f>
        <v>0.69249999999999989</v>
      </c>
      <c r="K12" s="83">
        <f>'04'!K108</f>
        <v>254.63291666666666</v>
      </c>
      <c r="L12" s="83">
        <f>'04'!L108</f>
        <v>32.370520833333323</v>
      </c>
      <c r="M12" s="83">
        <f>'04'!M108</f>
        <v>49.026979166666685</v>
      </c>
      <c r="N12" s="83">
        <f>'04'!N108</f>
        <v>144.47187499999998</v>
      </c>
      <c r="O12" s="83">
        <f>'04'!O108</f>
        <v>0</v>
      </c>
      <c r="P12" s="83">
        <f>'04'!P108</f>
        <v>0.51374999999999993</v>
      </c>
      <c r="Q12" s="83">
        <f>'04'!Q108</f>
        <v>28</v>
      </c>
      <c r="R12" s="76"/>
      <c r="S12" s="76"/>
      <c r="T12" s="76"/>
      <c r="U12" s="76"/>
    </row>
    <row r="13" spans="1:21">
      <c r="A13" s="139" t="str">
        <f>'05'!$B$2</f>
        <v>05/06/2025 00:15</v>
      </c>
      <c r="B13" s="83">
        <f>'05'!B108</f>
        <v>15.338125</v>
      </c>
      <c r="C13" s="83">
        <f>'05'!C108</f>
        <v>21.55927083333334</v>
      </c>
      <c r="D13" s="83">
        <f>'05'!D108</f>
        <v>8.284062500000001</v>
      </c>
      <c r="E13" s="83">
        <f>'05'!E108</f>
        <v>22.720729166666661</v>
      </c>
      <c r="F13" s="83">
        <f>'05'!F108</f>
        <v>29.490520833333331</v>
      </c>
      <c r="G13" s="83">
        <f>'05'!G108</f>
        <v>62.734687500000007</v>
      </c>
      <c r="H13" s="83">
        <f>'05'!H108</f>
        <v>28.308541666666653</v>
      </c>
      <c r="I13" s="83">
        <f>'05'!I108</f>
        <v>9.4550000000000036</v>
      </c>
      <c r="J13" s="83">
        <f>'05'!J108</f>
        <v>0.42885416666666654</v>
      </c>
      <c r="K13" s="83">
        <f>'05'!K108</f>
        <v>179.67989583333335</v>
      </c>
      <c r="L13" s="83">
        <f>'05'!L108</f>
        <v>31.839374999999979</v>
      </c>
      <c r="M13" s="83">
        <f>'05'!M108</f>
        <v>52.547812500000013</v>
      </c>
      <c r="N13" s="83">
        <f>'05'!N108</f>
        <v>118.61145833333332</v>
      </c>
      <c r="O13" s="83">
        <f>'05'!O108</f>
        <v>0</v>
      </c>
      <c r="P13" s="83">
        <f>'05'!P108</f>
        <v>0.46333333333333354</v>
      </c>
      <c r="Q13" s="83">
        <f>'05'!Q108</f>
        <v>21.578333333333337</v>
      </c>
      <c r="R13" s="76"/>
      <c r="S13" s="76"/>
      <c r="T13" s="76"/>
      <c r="U13" s="76"/>
    </row>
    <row r="14" spans="1:21">
      <c r="A14" s="139" t="str">
        <f>'06'!$B$2</f>
        <v>06/06/2025 00:15</v>
      </c>
      <c r="B14" s="83">
        <f>'06'!B108</f>
        <v>5.5740624999999993</v>
      </c>
      <c r="C14" s="83">
        <f>'06'!C108</f>
        <v>12.314895833333326</v>
      </c>
      <c r="D14" s="83">
        <f>'06'!D108</f>
        <v>6.7442708333333314</v>
      </c>
      <c r="E14" s="83">
        <f>'06'!E108</f>
        <v>5.8235416666666708</v>
      </c>
      <c r="F14" s="83">
        <f>'06'!F108</f>
        <v>11.722395833333335</v>
      </c>
      <c r="G14" s="83">
        <f>'06'!G108</f>
        <v>79.672291666666695</v>
      </c>
      <c r="H14" s="83">
        <f>'06'!H108</f>
        <v>37.899479166666659</v>
      </c>
      <c r="I14" s="83">
        <f>'06'!I108</f>
        <v>9.9735416666666659</v>
      </c>
      <c r="J14" s="83">
        <f>'06'!J108</f>
        <v>0.40541666666666659</v>
      </c>
      <c r="K14" s="83">
        <f>'06'!K108</f>
        <v>220.67052083333328</v>
      </c>
      <c r="L14" s="83">
        <f>'06'!L108</f>
        <v>33.188645833333332</v>
      </c>
      <c r="M14" s="83">
        <f>'06'!M108</f>
        <v>49.762187499999989</v>
      </c>
      <c r="N14" s="83">
        <f>'06'!N108</f>
        <v>139.98645833333327</v>
      </c>
      <c r="O14" s="83">
        <f>'06'!O108</f>
        <v>0</v>
      </c>
      <c r="P14" s="83">
        <f>'06'!P108</f>
        <v>0.62583333333333324</v>
      </c>
      <c r="Q14" s="83">
        <f>'06'!Q108</f>
        <v>9.9743750000000002</v>
      </c>
      <c r="R14" s="76"/>
      <c r="S14" s="76"/>
      <c r="T14" s="76"/>
      <c r="U14" s="76"/>
    </row>
    <row r="15" spans="1:21">
      <c r="A15" s="139" t="str">
        <f>'07'!$B$2</f>
        <v>07/06/2025 00:15</v>
      </c>
      <c r="B15" s="83">
        <f>'07'!B108</f>
        <v>3.7893750000000015</v>
      </c>
      <c r="C15" s="83">
        <f>'07'!C108</f>
        <v>10.257187499999999</v>
      </c>
      <c r="D15" s="83">
        <f>'07'!D108</f>
        <v>6.4680208333333331</v>
      </c>
      <c r="E15" s="83">
        <f>'07'!E108</f>
        <v>5.4320833333333338</v>
      </c>
      <c r="F15" s="83">
        <f>'07'!F108</f>
        <v>12.907395833333338</v>
      </c>
      <c r="G15" s="83">
        <f>'07'!G108</f>
        <v>58.02666666666665</v>
      </c>
      <c r="H15" s="83">
        <f>'07'!H108</f>
        <v>28.090000000000007</v>
      </c>
      <c r="I15" s="83">
        <f>'07'!I108</f>
        <v>7.513333333333331</v>
      </c>
      <c r="J15" s="83">
        <f>'07'!J108</f>
        <v>0.51760416666666675</v>
      </c>
      <c r="K15" s="83">
        <f>'07'!K108</f>
        <v>243.71979166666677</v>
      </c>
      <c r="L15" s="83">
        <f>'07'!L108</f>
        <v>34.302812499999995</v>
      </c>
      <c r="M15" s="83">
        <f>'07'!M108</f>
        <v>41.718333333333341</v>
      </c>
      <c r="N15" s="83">
        <f>'07'!N108</f>
        <v>137.06562499999998</v>
      </c>
      <c r="O15" s="83">
        <f>'07'!O108</f>
        <v>0</v>
      </c>
      <c r="P15" s="83">
        <f>'07'!P108</f>
        <v>0.47864583333333321</v>
      </c>
      <c r="Q15" s="83">
        <f>'07'!Q108</f>
        <v>9.942916666666676</v>
      </c>
      <c r="R15" s="76"/>
      <c r="S15" s="76"/>
      <c r="T15" s="76"/>
      <c r="U15" s="76"/>
    </row>
    <row r="16" spans="1:21">
      <c r="A16" s="139" t="str">
        <f>'08'!$B$2</f>
        <v>08/06/2025 00:15</v>
      </c>
      <c r="B16" s="83">
        <f>'08'!B108</f>
        <v>4.0479166666666684</v>
      </c>
      <c r="C16" s="83">
        <f>'08'!C108</f>
        <v>10.063124999999998</v>
      </c>
      <c r="D16" s="83">
        <f>'08'!D108</f>
        <v>6.0153124999999976</v>
      </c>
      <c r="E16" s="83">
        <f>'08'!E108</f>
        <v>6.1886458333333332</v>
      </c>
      <c r="F16" s="83">
        <f>'08'!F108</f>
        <v>13.069479166666666</v>
      </c>
      <c r="G16" s="83">
        <f>'08'!G108</f>
        <v>63.251354166666687</v>
      </c>
      <c r="H16" s="83">
        <f>'08'!H108</f>
        <v>31.489062500000017</v>
      </c>
      <c r="I16" s="83">
        <f>'08'!I108</f>
        <v>6.7353124999999983</v>
      </c>
      <c r="J16" s="83">
        <f>'08'!J108</f>
        <v>0.5183333333333332</v>
      </c>
      <c r="K16" s="83">
        <f>'08'!K108</f>
        <v>233.43354166666657</v>
      </c>
      <c r="L16" s="83">
        <f>'08'!L108</f>
        <v>34.448020833333352</v>
      </c>
      <c r="M16" s="83">
        <f>'08'!M108</f>
        <v>44.11260416666665</v>
      </c>
      <c r="N16" s="83">
        <f>'08'!N108</f>
        <v>128.63958333333332</v>
      </c>
      <c r="O16" s="83">
        <f>'08'!O108</f>
        <v>0</v>
      </c>
      <c r="P16" s="83">
        <f>'08'!P108</f>
        <v>0.51520833333333349</v>
      </c>
      <c r="Q16" s="83">
        <f>'08'!Q108</f>
        <v>9.9359374999999996</v>
      </c>
      <c r="R16" s="76"/>
      <c r="S16" s="76"/>
      <c r="T16" s="76"/>
      <c r="U16" s="76"/>
    </row>
    <row r="17" spans="1:21">
      <c r="A17" s="139" t="str">
        <f>'09'!$B$2</f>
        <v>09/06/2025 00:15</v>
      </c>
      <c r="B17" s="83">
        <f>'09'!B108</f>
        <v>3.8952083333333332</v>
      </c>
      <c r="C17" s="83">
        <f>'09'!C108</f>
        <v>8.451666666666668</v>
      </c>
      <c r="D17" s="83">
        <f>'09'!D108</f>
        <v>4.5563541666666669</v>
      </c>
      <c r="E17" s="83">
        <f>'09'!E108</f>
        <v>5.5401041666666657</v>
      </c>
      <c r="F17" s="83">
        <f>'09'!F108</f>
        <v>15.128541666666671</v>
      </c>
      <c r="G17" s="83">
        <f>'09'!G108</f>
        <v>44.384166666666687</v>
      </c>
      <c r="H17" s="83">
        <f>'09'!H108</f>
        <v>24.548958333333328</v>
      </c>
      <c r="I17" s="83">
        <f>'09'!I108</f>
        <v>5.3936458333333333</v>
      </c>
      <c r="J17" s="83">
        <f>'09'!J108</f>
        <v>0.51114583333333308</v>
      </c>
      <c r="K17" s="83">
        <f>'09'!K108</f>
        <v>239.76437499999994</v>
      </c>
      <c r="L17" s="83">
        <f>'09'!L108</f>
        <v>33.256770833333334</v>
      </c>
      <c r="M17" s="83">
        <f>'09'!M108</f>
        <v>49.982604166666697</v>
      </c>
      <c r="N17" s="83">
        <f>'09'!N108</f>
        <v>117.19479166666666</v>
      </c>
      <c r="O17" s="83">
        <f>'09'!O108</f>
        <v>0</v>
      </c>
      <c r="P17" s="83">
        <f>'09'!P108</f>
        <v>0.4262499999999998</v>
      </c>
      <c r="Q17" s="83">
        <f>'09'!Q108</f>
        <v>9.9268749999999901</v>
      </c>
      <c r="R17" s="76"/>
      <c r="S17" s="76"/>
      <c r="T17" s="76"/>
      <c r="U17" s="76"/>
    </row>
    <row r="18" spans="1:21">
      <c r="A18" s="139" t="str">
        <f>'10'!$B$2</f>
        <v>10/06/2025 00:15</v>
      </c>
      <c r="B18" s="83">
        <f>'10'!B108</f>
        <v>3.9129166666666664</v>
      </c>
      <c r="C18" s="83">
        <f>'10'!C108</f>
        <v>8.7704166666666659</v>
      </c>
      <c r="D18" s="83">
        <f>'10'!D108</f>
        <v>4.8577083333333313</v>
      </c>
      <c r="E18" s="83">
        <f>'10'!E108</f>
        <v>6.3023958333333354</v>
      </c>
      <c r="F18" s="83">
        <f>'10'!F108</f>
        <v>14.965000000000003</v>
      </c>
      <c r="G18" s="83">
        <f>'10'!G108</f>
        <v>52.192812500000002</v>
      </c>
      <c r="H18" s="83">
        <f>'10'!H108</f>
        <v>29.244166666666661</v>
      </c>
      <c r="I18" s="83">
        <f>'10'!I108</f>
        <v>6.1020833333333302</v>
      </c>
      <c r="J18" s="83">
        <f>'10'!J108</f>
        <v>0.40791666666666687</v>
      </c>
      <c r="K18" s="83">
        <f>'10'!K108</f>
        <v>206.19593749999993</v>
      </c>
      <c r="L18" s="83">
        <f>'10'!L108</f>
        <v>30.98937500000001</v>
      </c>
      <c r="M18" s="83">
        <f>'10'!M108</f>
        <v>64.419374999999988</v>
      </c>
      <c r="N18" s="83">
        <f>'10'!N108</f>
        <v>117.965625</v>
      </c>
      <c r="O18" s="83">
        <f>'10'!O108</f>
        <v>0.35416666666666669</v>
      </c>
      <c r="P18" s="83">
        <f>'10'!P108</f>
        <v>0.46802083333333333</v>
      </c>
      <c r="Q18" s="83">
        <f>'10'!Q108</f>
        <v>9.9259374999999874</v>
      </c>
      <c r="R18" s="76"/>
      <c r="S18" s="76"/>
      <c r="T18" s="76"/>
      <c r="U18" s="76"/>
    </row>
    <row r="19" spans="1:21">
      <c r="A19" s="139" t="str">
        <f>'11'!$B$2</f>
        <v>11/06/2025 00:15</v>
      </c>
      <c r="B19" s="83">
        <f>'11'!B108</f>
        <v>4.7761458333333335</v>
      </c>
      <c r="C19" s="83">
        <f>'11'!C108</f>
        <v>10.391770833333338</v>
      </c>
      <c r="D19" s="83">
        <f>'11'!D108</f>
        <v>5.614791666666668</v>
      </c>
      <c r="E19" s="83">
        <f>'11'!E108</f>
        <v>4.8022916666666688</v>
      </c>
      <c r="F19" s="83">
        <f>'11'!F108</f>
        <v>7.7668750000000033</v>
      </c>
      <c r="G19" s="83">
        <f>'11'!G108</f>
        <v>48.519166666666656</v>
      </c>
      <c r="H19" s="83">
        <f>'11'!H108</f>
        <v>29.338125000000005</v>
      </c>
      <c r="I19" s="83">
        <f>'11'!I108</f>
        <v>5.6918750000000005</v>
      </c>
      <c r="J19" s="83">
        <f>'11'!J108</f>
        <v>0.35374999999999995</v>
      </c>
      <c r="K19" s="83">
        <f>'11'!K108</f>
        <v>98.898229166666681</v>
      </c>
      <c r="L19" s="83">
        <f>'11'!L108</f>
        <v>30.519479166666667</v>
      </c>
      <c r="M19" s="83">
        <f>'11'!M108</f>
        <v>67.729687499999997</v>
      </c>
      <c r="N19" s="83">
        <f>'11'!N108</f>
        <v>132.98541666666668</v>
      </c>
      <c r="O19" s="83">
        <f>'11'!O108</f>
        <v>0</v>
      </c>
      <c r="P19" s="83">
        <f>'11'!P108</f>
        <v>0.48937499999999989</v>
      </c>
      <c r="Q19" s="83">
        <f>'11'!Q108</f>
        <v>9.9376041666666612</v>
      </c>
      <c r="R19" s="76"/>
      <c r="S19" s="76"/>
      <c r="T19" s="76"/>
      <c r="U19" s="76"/>
    </row>
    <row r="20" spans="1:21">
      <c r="A20" s="139" t="str">
        <f>'12'!$B$2</f>
        <v>12/06/2025 00:15</v>
      </c>
      <c r="B20" s="83">
        <f>'12'!B108</f>
        <v>8.4957291666666688</v>
      </c>
      <c r="C20" s="83">
        <f>'12'!C108</f>
        <v>13.043437499999998</v>
      </c>
      <c r="D20" s="83">
        <f>'12'!D108</f>
        <v>4.5560416666666645</v>
      </c>
      <c r="E20" s="83">
        <f>'12'!E108</f>
        <v>23.912395833333331</v>
      </c>
      <c r="F20" s="83">
        <f>'12'!F108</f>
        <v>13.615625000000001</v>
      </c>
      <c r="G20" s="83">
        <f>'12'!G108</f>
        <v>31.961075268817211</v>
      </c>
      <c r="H20" s="83">
        <f>'12'!H108</f>
        <v>22.752688172042998</v>
      </c>
      <c r="I20" s="83">
        <f>'12'!I108</f>
        <v>6.5188541666666682</v>
      </c>
      <c r="J20" s="83">
        <f>'12'!J108</f>
        <v>0.37322916666666656</v>
      </c>
      <c r="K20" s="83">
        <f>'12'!K108</f>
        <v>98.957604166666627</v>
      </c>
      <c r="L20" s="83">
        <f>'12'!L108</f>
        <v>31.967499999999998</v>
      </c>
      <c r="M20" s="83">
        <f>'12'!M108</f>
        <v>59.247499999999995</v>
      </c>
      <c r="N20" s="83">
        <f>'12'!N108</f>
        <v>119.03958333333333</v>
      </c>
      <c r="O20" s="83">
        <f>'12'!O108</f>
        <v>2.0833333333333333E-3</v>
      </c>
      <c r="P20" s="83">
        <f>'12'!P108</f>
        <v>0.43875000000000003</v>
      </c>
      <c r="Q20" s="83">
        <f>'12'!Q108</f>
        <v>9.9329166666666548</v>
      </c>
      <c r="R20" s="76"/>
      <c r="S20" s="76"/>
      <c r="T20" s="76"/>
      <c r="U20" s="76"/>
    </row>
    <row r="21" spans="1:21">
      <c r="A21" s="139" t="str">
        <f>'13'!$B$2</f>
        <v>13/06/2025 00:15</v>
      </c>
      <c r="B21" s="83">
        <f>'13'!B108</f>
        <v>4.5176041666666666</v>
      </c>
      <c r="C21" s="83">
        <f>'13'!C108</f>
        <v>8.8828124999999982</v>
      </c>
      <c r="D21" s="83">
        <f>'13'!D108</f>
        <v>4.3648958333333328</v>
      </c>
      <c r="E21" s="83">
        <f>'13'!E108</f>
        <v>4.25875</v>
      </c>
      <c r="F21" s="83">
        <f>'13'!F108</f>
        <v>16.63208333333333</v>
      </c>
      <c r="G21" s="83">
        <f>'13'!G108</f>
        <v>29.835208333333345</v>
      </c>
      <c r="H21" s="83">
        <f>'13'!H108</f>
        <v>10.892291666666665</v>
      </c>
      <c r="I21" s="83">
        <f>'13'!I108</f>
        <v>3.643854166666666</v>
      </c>
      <c r="J21" s="83">
        <f>'13'!J108</f>
        <v>0.28729166666666678</v>
      </c>
      <c r="K21" s="83">
        <f>'13'!K108</f>
        <v>142.22979166666664</v>
      </c>
      <c r="L21" s="83">
        <f>'13'!L108</f>
        <v>32.348958333333336</v>
      </c>
      <c r="M21" s="83">
        <f>'13'!M108</f>
        <v>61.198645833333295</v>
      </c>
      <c r="N21" s="83">
        <f>'13'!N108</f>
        <v>130.25937500000001</v>
      </c>
      <c r="O21" s="83">
        <f>'13'!O108</f>
        <v>0</v>
      </c>
      <c r="P21" s="83">
        <f>'13'!P108</f>
        <v>0.3075</v>
      </c>
      <c r="Q21" s="83">
        <f>'13'!Q108</f>
        <v>9.9205208333333186</v>
      </c>
      <c r="R21" s="76"/>
      <c r="S21" s="76"/>
      <c r="T21" s="76"/>
      <c r="U21" s="76"/>
    </row>
    <row r="22" spans="1:21">
      <c r="A22" s="139" t="str">
        <f>'14'!$B$2</f>
        <v>14/06/2025 00:15</v>
      </c>
      <c r="B22" s="140">
        <f>'14'!B108</f>
        <v>4.2064583333333339</v>
      </c>
      <c r="C22" s="140">
        <f>'14'!C108</f>
        <v>8.6311458333333366</v>
      </c>
      <c r="D22" s="140">
        <f>'14'!D108</f>
        <v>4.4247916666666676</v>
      </c>
      <c r="E22" s="140">
        <f>'14'!E108</f>
        <v>4.8470833333333321</v>
      </c>
      <c r="F22" s="140">
        <f>'14'!F108</f>
        <v>10.663749999999999</v>
      </c>
      <c r="G22" s="140">
        <f>'14'!G108</f>
        <v>59.82895833333334</v>
      </c>
      <c r="H22" s="140">
        <f>'14'!H108</f>
        <v>20.761979166666659</v>
      </c>
      <c r="I22" s="140">
        <f>'14'!I108</f>
        <v>5.5393749999999997</v>
      </c>
      <c r="J22" s="140">
        <f>'14'!J108</f>
        <v>0.35635416666666636</v>
      </c>
      <c r="K22" s="140">
        <f>'14'!K108</f>
        <v>197.92208333333329</v>
      </c>
      <c r="L22" s="140">
        <f>'14'!L108</f>
        <v>31.440208333333327</v>
      </c>
      <c r="M22" s="140">
        <f>'14'!M108</f>
        <v>65.774999999999991</v>
      </c>
      <c r="N22" s="140">
        <f>'14'!N108</f>
        <v>113.75416666666665</v>
      </c>
      <c r="O22" s="140">
        <f>'14'!O108</f>
        <v>0</v>
      </c>
      <c r="P22" s="140">
        <f>'14'!P108</f>
        <v>0.44895833333333318</v>
      </c>
      <c r="Q22" s="140">
        <f>'14'!Q108</f>
        <v>9.9182291666666575</v>
      </c>
      <c r="R22" s="153"/>
      <c r="S22" s="153"/>
      <c r="T22" s="153"/>
      <c r="U22" s="153"/>
    </row>
    <row r="23" spans="1:21">
      <c r="A23" s="139" t="str">
        <f>'15'!$B$2</f>
        <v>15/06/2025 00:15</v>
      </c>
      <c r="B23" s="83">
        <f>'15'!B108</f>
        <v>4.0738541666666661</v>
      </c>
      <c r="C23" s="83">
        <f>'15'!C108</f>
        <v>7.8740625000000017</v>
      </c>
      <c r="D23" s="83">
        <f>'15'!D108</f>
        <v>3.8002083333333325</v>
      </c>
      <c r="E23" s="83">
        <f>'15'!E108</f>
        <v>4.6961458333333344</v>
      </c>
      <c r="F23" s="83">
        <f>'15'!F108</f>
        <v>7.8691666666666693</v>
      </c>
      <c r="G23" s="83">
        <f>'15'!G108</f>
        <v>39.858854166666681</v>
      </c>
      <c r="H23" s="83">
        <f>'15'!H108</f>
        <v>14.786666666666664</v>
      </c>
      <c r="I23" s="83">
        <f>'15'!I108</f>
        <v>4.2286458333333341</v>
      </c>
      <c r="J23" s="83">
        <f>'15'!J108</f>
        <v>0.44895833333333351</v>
      </c>
      <c r="K23" s="83">
        <f>'15'!K108</f>
        <v>213.42656250000013</v>
      </c>
      <c r="L23" s="83">
        <f>'15'!L108</f>
        <v>31.387812499999999</v>
      </c>
      <c r="M23" s="83">
        <f>'15'!M108</f>
        <v>66.368437499999999</v>
      </c>
      <c r="N23" s="83">
        <f>'15'!N108</f>
        <v>145.42083333333332</v>
      </c>
      <c r="O23" s="83">
        <f>'15'!O108</f>
        <v>0</v>
      </c>
      <c r="P23" s="83">
        <f>'15'!P108</f>
        <v>0.41083333333333338</v>
      </c>
      <c r="Q23" s="83">
        <f>'15'!Q108</f>
        <v>9.9078124999999879</v>
      </c>
      <c r="R23" s="76"/>
      <c r="S23" s="76"/>
      <c r="T23" s="76"/>
      <c r="U23" s="76"/>
    </row>
    <row r="24" spans="1:21">
      <c r="A24" s="139" t="str">
        <f>'16'!$B$2</f>
        <v>16/06/2025 00:15</v>
      </c>
      <c r="B24" s="83">
        <f>'16'!B108</f>
        <v>4.3183333333333334</v>
      </c>
      <c r="C24" s="83">
        <f>'16'!C108</f>
        <v>7.9007291666666646</v>
      </c>
      <c r="D24" s="83">
        <f>'16'!D108</f>
        <v>3.5819791666666667</v>
      </c>
      <c r="E24" s="83">
        <f>'16'!E108</f>
        <v>4.1907291666666646</v>
      </c>
      <c r="F24" s="83">
        <f>'16'!F108</f>
        <v>5.6491666666666651</v>
      </c>
      <c r="G24" s="83">
        <f>'16'!G108</f>
        <v>30.523750000000017</v>
      </c>
      <c r="H24" s="83">
        <f>'16'!H108</f>
        <v>10.715729166666662</v>
      </c>
      <c r="I24" s="83">
        <f>'16'!I108</f>
        <v>4.727708333333335</v>
      </c>
      <c r="J24" s="83">
        <f>'16'!J108</f>
        <v>0.33333333333333331</v>
      </c>
      <c r="K24" s="83">
        <f>'16'!K108</f>
        <v>205.33979166666654</v>
      </c>
      <c r="L24" s="83">
        <f>'16'!L108</f>
        <v>30.091041666666673</v>
      </c>
      <c r="M24" s="83">
        <f>'16'!M108</f>
        <v>72.413854166666695</v>
      </c>
      <c r="N24" s="83">
        <f>'16'!N108</f>
        <v>127.94166666666666</v>
      </c>
      <c r="O24" s="83">
        <f>'16'!O108</f>
        <v>0</v>
      </c>
      <c r="P24" s="83">
        <f>'16'!P108</f>
        <v>0.36197916666666669</v>
      </c>
      <c r="Q24" s="83">
        <f>'16'!Q108</f>
        <v>9.9113541666666549</v>
      </c>
      <c r="R24" s="76"/>
      <c r="S24" s="76"/>
      <c r="T24" s="76"/>
      <c r="U24" s="76"/>
    </row>
    <row r="25" spans="1:21">
      <c r="A25" s="139" t="str">
        <f>'17'!$B$2</f>
        <v>17/06/2025 00:15</v>
      </c>
      <c r="B25" s="83">
        <f>'17'!B108</f>
        <v>4.2372916666666685</v>
      </c>
      <c r="C25" s="83">
        <f>'17'!C108</f>
        <v>7.5702083333333343</v>
      </c>
      <c r="D25" s="83">
        <f>'17'!D108</f>
        <v>3.3328124999999988</v>
      </c>
      <c r="E25" s="83">
        <f>'17'!E108</f>
        <v>5.2072916666666673</v>
      </c>
      <c r="F25" s="83">
        <f>'17'!F108</f>
        <v>5.320104166666666</v>
      </c>
      <c r="G25" s="83">
        <f>'17'!G108</f>
        <v>34.534270833333345</v>
      </c>
      <c r="H25" s="83">
        <f>'17'!H108</f>
        <v>8.6168750000000003</v>
      </c>
      <c r="I25" s="83">
        <f>'17'!I108</f>
        <v>3.5610416666666662</v>
      </c>
      <c r="J25" s="83">
        <f>'17'!J108</f>
        <v>0.74260416666666673</v>
      </c>
      <c r="K25" s="83">
        <f>'17'!K108</f>
        <v>252.17124999999996</v>
      </c>
      <c r="L25" s="83">
        <f>'17'!L108</f>
        <v>29.603750000000009</v>
      </c>
      <c r="M25" s="83">
        <f>'17'!M108</f>
        <v>69.284166666666664</v>
      </c>
      <c r="N25" s="83">
        <f>'17'!N108</f>
        <v>94.776041666666643</v>
      </c>
      <c r="O25" s="83">
        <f>'17'!O108</f>
        <v>0</v>
      </c>
      <c r="P25" s="83">
        <f>'17'!P108</f>
        <v>0.23989583333333339</v>
      </c>
      <c r="Q25" s="83">
        <f>'17'!Q108</f>
        <v>9.908229166666656</v>
      </c>
      <c r="R25" s="76"/>
      <c r="S25" s="76"/>
      <c r="T25" s="76"/>
      <c r="U25" s="76"/>
    </row>
    <row r="26" spans="1:21">
      <c r="A26" s="139" t="str">
        <f>'18'!$B$2</f>
        <v>18/06/2025 00:15</v>
      </c>
      <c r="B26" s="83">
        <f>'18'!B108</f>
        <v>4.1338541666666684</v>
      </c>
      <c r="C26" s="83">
        <f>'18'!C108</f>
        <v>7.4944791666666655</v>
      </c>
      <c r="D26" s="83">
        <f>'18'!D108</f>
        <v>3.3608333333333342</v>
      </c>
      <c r="E26" s="83">
        <f>'18'!E108</f>
        <v>4.8549999999999995</v>
      </c>
      <c r="F26" s="83">
        <f>'18'!F108</f>
        <v>5.2247916666666656</v>
      </c>
      <c r="G26" s="83">
        <f>'18'!G108</f>
        <v>59.585520833333327</v>
      </c>
      <c r="H26" s="83">
        <f>'18'!H108</f>
        <v>13.643333333333333</v>
      </c>
      <c r="I26" s="83">
        <f>'18'!I108</f>
        <v>4.4190625000000017</v>
      </c>
      <c r="J26" s="83">
        <f>'18'!J108</f>
        <v>0.53354166666666669</v>
      </c>
      <c r="K26" s="83">
        <f>'18'!K108</f>
        <v>243.98583333333337</v>
      </c>
      <c r="L26" s="83">
        <f>'18'!L108</f>
        <v>29.572708333333335</v>
      </c>
      <c r="M26" s="83">
        <f>'18'!M108</f>
        <v>66.210208333333313</v>
      </c>
      <c r="N26" s="83">
        <f>'18'!N108</f>
        <v>65.031250000000057</v>
      </c>
      <c r="O26" s="83">
        <f>'18'!O108</f>
        <v>0</v>
      </c>
      <c r="P26" s="83">
        <f>'18'!P108</f>
        <v>0.31020833333333347</v>
      </c>
      <c r="Q26" s="83">
        <f>'18'!Q108</f>
        <v>9.9093749999999883</v>
      </c>
      <c r="R26" s="76"/>
      <c r="S26" s="76"/>
      <c r="T26" s="76"/>
      <c r="U26" s="76"/>
    </row>
    <row r="27" spans="1:21">
      <c r="A27" s="139" t="str">
        <f>'19'!$B$2</f>
        <v>19/06/2025 00:15</v>
      </c>
      <c r="B27" s="83">
        <f>'19'!B108</f>
        <v>4.3128124999999988</v>
      </c>
      <c r="C27" s="83">
        <f>'19'!C108</f>
        <v>7.2181249999999997</v>
      </c>
      <c r="D27" s="83">
        <f>'19'!D108</f>
        <v>2.9056250000000006</v>
      </c>
      <c r="E27" s="83">
        <f>'19'!E108</f>
        <v>5.0428124999999993</v>
      </c>
      <c r="F27" s="83">
        <f>'19'!F108</f>
        <v>4.1377083333333333</v>
      </c>
      <c r="G27" s="83">
        <f>'19'!G108</f>
        <v>35.038020833333334</v>
      </c>
      <c r="H27" s="83">
        <f>'19'!H108</f>
        <v>8.0545833333333281</v>
      </c>
      <c r="I27" s="83">
        <f>'19'!I108</f>
        <v>3.3859374999999989</v>
      </c>
      <c r="J27" s="83">
        <f>'19'!J108</f>
        <v>0.58625000000000016</v>
      </c>
      <c r="K27" s="83">
        <f>'19'!K108</f>
        <v>251.00229166666659</v>
      </c>
      <c r="L27" s="83">
        <f>'19'!L108</f>
        <v>28.599791666666658</v>
      </c>
      <c r="M27" s="83">
        <f>'19'!M108</f>
        <v>73.867291666666645</v>
      </c>
      <c r="N27" s="83">
        <f>'19'!N108</f>
        <v>47.131249999999994</v>
      </c>
      <c r="O27" s="83">
        <f>'19'!O108</f>
        <v>4.1666666666666666E-3</v>
      </c>
      <c r="P27" s="83">
        <f>'19'!P108</f>
        <v>0.22541666666666682</v>
      </c>
      <c r="Q27" s="83">
        <f>'19'!Q108</f>
        <v>9.9072916666666586</v>
      </c>
      <c r="R27" s="76"/>
      <c r="S27" s="76"/>
      <c r="T27" s="76"/>
      <c r="U27" s="76"/>
    </row>
    <row r="28" spans="1:21">
      <c r="A28" s="139" t="str">
        <f>'20'!$B$2</f>
        <v>20/06/2025 00:15</v>
      </c>
      <c r="B28" s="83">
        <f>'20'!B108</f>
        <v>4.5533333333333346</v>
      </c>
      <c r="C28" s="83">
        <f>'20'!C108</f>
        <v>8.6115624999999998</v>
      </c>
      <c r="D28" s="83">
        <f>'20'!D108</f>
        <v>4.0579166666666655</v>
      </c>
      <c r="E28" s="83">
        <f>'20'!E108</f>
        <v>4.203854166666666</v>
      </c>
      <c r="F28" s="83">
        <f>'20'!F108</f>
        <v>3.226249999999999</v>
      </c>
      <c r="G28" s="83">
        <f>'20'!G108</f>
        <v>41.747395833333336</v>
      </c>
      <c r="H28" s="83">
        <f>'20'!H108</f>
        <v>11.5309375</v>
      </c>
      <c r="I28" s="83">
        <f>'20'!I108</f>
        <v>4.24</v>
      </c>
      <c r="J28" s="83">
        <f>'20'!J108</f>
        <v>0.77864583333333359</v>
      </c>
      <c r="K28" s="83">
        <f>'20'!K108</f>
        <v>245.63645833333339</v>
      </c>
      <c r="L28" s="83">
        <f>'20'!L108</f>
        <v>26.721458333333334</v>
      </c>
      <c r="M28" s="83">
        <f>'20'!M108</f>
        <v>82.854062499999998</v>
      </c>
      <c r="N28" s="83">
        <f>'20'!N108</f>
        <v>65.387500000000074</v>
      </c>
      <c r="O28" s="83">
        <f>'20'!O108</f>
        <v>4.1666666666666666E-3</v>
      </c>
      <c r="P28" s="83">
        <f>'20'!P108</f>
        <v>0.35510416666666672</v>
      </c>
      <c r="Q28" s="83">
        <f>'20'!Q108</f>
        <v>9.9131249999999866</v>
      </c>
      <c r="R28" s="76"/>
      <c r="S28" s="76"/>
      <c r="T28" s="76"/>
      <c r="U28" s="76"/>
    </row>
    <row r="29" spans="1:21">
      <c r="A29" s="139" t="str">
        <f>'21'!$B$2</f>
        <v>21/06/2025 00:15</v>
      </c>
      <c r="B29" s="83">
        <f>'21'!B108</f>
        <v>4.7886458333333328</v>
      </c>
      <c r="C29" s="83">
        <f>'21'!C108</f>
        <v>9.3287500000000012</v>
      </c>
      <c r="D29" s="83">
        <f>'21'!D108</f>
        <v>4.5402083333333332</v>
      </c>
      <c r="E29" s="83">
        <f>'21'!E108</f>
        <v>5.2012500000000017</v>
      </c>
      <c r="F29" s="83">
        <f>'21'!F108</f>
        <v>6.3629166666666661</v>
      </c>
      <c r="G29" s="83">
        <f>'21'!G108</f>
        <v>61.79458333333335</v>
      </c>
      <c r="H29" s="83">
        <f>'21'!H108</f>
        <v>16.775520833333328</v>
      </c>
      <c r="I29" s="83">
        <f>'21'!I108</f>
        <v>5.7972916666666654</v>
      </c>
      <c r="J29" s="83">
        <f>'21'!J108</f>
        <v>0.71666666666666679</v>
      </c>
      <c r="K29" s="83">
        <f>'21'!K108</f>
        <v>254.52104166666663</v>
      </c>
      <c r="L29" s="83">
        <f>'21'!L108</f>
        <v>31.042291666666667</v>
      </c>
      <c r="M29" s="83">
        <f>'21'!M108</f>
        <v>62.811145833333335</v>
      </c>
      <c r="N29" s="83">
        <f>'21'!N108</f>
        <v>146.37500000000003</v>
      </c>
      <c r="O29" s="83">
        <f>'21'!O108</f>
        <v>0</v>
      </c>
      <c r="P29" s="83">
        <f>'21'!P108</f>
        <v>0.43166666666666692</v>
      </c>
      <c r="Q29" s="83">
        <f>'21'!Q108</f>
        <v>9.9162499999999874</v>
      </c>
      <c r="R29" s="76"/>
      <c r="S29" s="76"/>
      <c r="T29" s="76"/>
      <c r="U29" s="76"/>
    </row>
    <row r="30" spans="1:21">
      <c r="A30" s="139" t="str">
        <f>'22'!$B$2</f>
        <v>22/06/2025 00:15</v>
      </c>
      <c r="B30" s="83">
        <f>'22'!B108</f>
        <v>4.7482291666666647</v>
      </c>
      <c r="C30" s="83">
        <f>'22'!C108</f>
        <v>9.4193750000000005</v>
      </c>
      <c r="D30" s="83">
        <f>'22'!D108</f>
        <v>4.6708333333333334</v>
      </c>
      <c r="E30" s="83">
        <f>'22'!E108</f>
        <v>4.8028125000000008</v>
      </c>
      <c r="F30" s="83">
        <f>'22'!F108</f>
        <v>3.6310416666666665</v>
      </c>
      <c r="G30" s="83">
        <f>'22'!G108</f>
        <v>56.204062499999985</v>
      </c>
      <c r="H30" s="83">
        <f>'22'!H108</f>
        <v>14.579062499999994</v>
      </c>
      <c r="I30" s="83">
        <f>'22'!I108</f>
        <v>5.3803125000000014</v>
      </c>
      <c r="J30" s="83">
        <f>'22'!J108</f>
        <v>0.79270833333333324</v>
      </c>
      <c r="K30" s="83">
        <f>'22'!K108</f>
        <v>262.29197916666675</v>
      </c>
      <c r="L30" s="83">
        <f>'22'!L108</f>
        <v>29.368958333333335</v>
      </c>
      <c r="M30" s="83">
        <f>'22'!M108</f>
        <v>68.754999999999981</v>
      </c>
      <c r="N30" s="83">
        <f>'22'!N108</f>
        <v>86.281250000000057</v>
      </c>
      <c r="O30" s="83">
        <f>'22'!O108</f>
        <v>2.0833333333333333E-3</v>
      </c>
      <c r="P30" s="83">
        <f>'22'!P108</f>
        <v>0.36854166666666671</v>
      </c>
      <c r="Q30" s="83">
        <f>'22'!Q108</f>
        <v>9.9167708333333255</v>
      </c>
      <c r="R30" s="76"/>
      <c r="S30" s="76"/>
      <c r="T30" s="76"/>
      <c r="U30" s="76"/>
    </row>
    <row r="31" spans="1:21">
      <c r="A31" s="139" t="str">
        <f>'23'!$B$2</f>
        <v>23/06/2025 00:15</v>
      </c>
      <c r="B31" s="83">
        <f>'23'!B108</f>
        <v>4.6603125000000007</v>
      </c>
      <c r="C31" s="83">
        <f>'23'!C108</f>
        <v>8.3575000000000017</v>
      </c>
      <c r="D31" s="83">
        <f>'23'!D108</f>
        <v>3.6971874999999996</v>
      </c>
      <c r="E31" s="83">
        <f>'23'!E108</f>
        <v>4.9083333333333341</v>
      </c>
      <c r="F31" s="83">
        <f>'23'!F108</f>
        <v>3.5858333333333352</v>
      </c>
      <c r="G31" s="83">
        <f>'23'!G108</f>
        <v>51.112812499999997</v>
      </c>
      <c r="H31" s="83">
        <f>'23'!H108</f>
        <v>11.857291666666663</v>
      </c>
      <c r="I31" s="83">
        <f>'23'!I108</f>
        <v>5.2120833333333332</v>
      </c>
      <c r="J31" s="83">
        <f>'23'!J108</f>
        <v>0.78781249999999992</v>
      </c>
      <c r="K31" s="83">
        <f>'23'!K108</f>
        <v>258.49822916666676</v>
      </c>
      <c r="L31" s="83">
        <f>'23'!L108</f>
        <v>28.860624999999988</v>
      </c>
      <c r="M31" s="83">
        <f>'23'!M108</f>
        <v>71.019479166666642</v>
      </c>
      <c r="N31" s="83">
        <f>'23'!N108</f>
        <v>89.387500000000003</v>
      </c>
      <c r="O31" s="83">
        <f>'23'!O108</f>
        <v>0</v>
      </c>
      <c r="P31" s="83">
        <f>'23'!P108</f>
        <v>0.34052083333333338</v>
      </c>
      <c r="Q31" s="83">
        <f>'23'!Q108</f>
        <v>9.9148958333333219</v>
      </c>
      <c r="R31" s="76"/>
      <c r="S31" s="154"/>
      <c r="T31" s="76"/>
      <c r="U31" s="76"/>
    </row>
    <row r="32" spans="1:21">
      <c r="A32" s="139" t="str">
        <f>'24'!$B$2</f>
        <v>24/06/2025 00:15</v>
      </c>
      <c r="B32" s="83">
        <f>'24'!B108</f>
        <v>7.5218750000000014</v>
      </c>
      <c r="C32" s="83">
        <f>'24'!C108</f>
        <v>10.008125000000005</v>
      </c>
      <c r="D32" s="83">
        <f>'24'!D108</f>
        <v>2.8810416666666669</v>
      </c>
      <c r="E32" s="83">
        <f>'24'!E108</f>
        <v>7.4066666666666672</v>
      </c>
      <c r="F32" s="83">
        <f>'24'!F108</f>
        <v>7.4694791666666704</v>
      </c>
      <c r="G32" s="83">
        <f>'24'!G108</f>
        <v>28.623020833333339</v>
      </c>
      <c r="H32" s="83">
        <f>'24'!H108</f>
        <v>6.7881249999999982</v>
      </c>
      <c r="I32" s="83">
        <f>'24'!I108</f>
        <v>4.8725000000000005</v>
      </c>
      <c r="J32" s="83">
        <f>'24'!J108</f>
        <v>0.67385416666666664</v>
      </c>
      <c r="K32" s="83">
        <f>'24'!K108</f>
        <v>254.91031250000012</v>
      </c>
      <c r="L32" s="83">
        <f>'24'!L108</f>
        <v>27.110520833333325</v>
      </c>
      <c r="M32" s="83">
        <f>'24'!M108</f>
        <v>84.774062499999971</v>
      </c>
      <c r="N32" s="83">
        <f>'24'!N108</f>
        <v>65.2135416666667</v>
      </c>
      <c r="O32" s="83">
        <f>'24'!O108</f>
        <v>8.3333333333333332E-3</v>
      </c>
      <c r="P32" s="83">
        <f>'24'!P108</f>
        <v>0.33187499999999981</v>
      </c>
      <c r="Q32" s="83">
        <f>'24'!Q108</f>
        <v>9.9029166666666555</v>
      </c>
      <c r="R32" s="76"/>
      <c r="S32" s="76"/>
      <c r="T32" s="76"/>
      <c r="U32" s="76"/>
    </row>
    <row r="33" spans="1:21">
      <c r="A33" s="139" t="str">
        <f>'25'!$B$2</f>
        <v>25/06/2025 00:15</v>
      </c>
      <c r="B33" s="83">
        <f>'25'!B108</f>
        <v>4.8668749999999985</v>
      </c>
      <c r="C33" s="83">
        <f>'25'!C108</f>
        <v>6.8492708333333283</v>
      </c>
      <c r="D33" s="83">
        <f>'25'!D108</f>
        <v>3.0522916666666684</v>
      </c>
      <c r="E33" s="83">
        <f>'25'!E108</f>
        <v>5.0119791666666664</v>
      </c>
      <c r="F33" s="83">
        <f>'25'!F108</f>
        <v>3.1427083333333319</v>
      </c>
      <c r="G33" s="83">
        <f>'25'!G108</f>
        <v>33.516041666666659</v>
      </c>
      <c r="H33" s="83">
        <f>'25'!H108</f>
        <v>12.474583333333333</v>
      </c>
      <c r="I33" s="83">
        <f>'25'!I108</f>
        <v>6.455000000000001</v>
      </c>
      <c r="J33" s="83">
        <f>'25'!J108</f>
        <v>0.55895833333333345</v>
      </c>
      <c r="K33" s="83">
        <f>'25'!K108</f>
        <v>254.7806250000001</v>
      </c>
      <c r="L33" s="83">
        <f>'25'!L108</f>
        <v>27.731458333333332</v>
      </c>
      <c r="M33" s="83">
        <f>'25'!M108</f>
        <v>84.371041666666599</v>
      </c>
      <c r="N33" s="83">
        <f>'25'!N108</f>
        <v>84.241666666666674</v>
      </c>
      <c r="O33" s="83">
        <f>'25'!O108</f>
        <v>3.125E-2</v>
      </c>
      <c r="P33" s="83">
        <f>'25'!P108</f>
        <v>0.39802083333333343</v>
      </c>
      <c r="Q33" s="83">
        <f>'25'!Q108</f>
        <v>9.9133333333333198</v>
      </c>
      <c r="R33" s="76"/>
      <c r="S33" s="154"/>
      <c r="T33" s="76"/>
      <c r="U33" s="76"/>
    </row>
    <row r="34" spans="1:21">
      <c r="A34" s="139" t="str">
        <f>'26'!$B$2</f>
        <v>26/06/2025 00:15</v>
      </c>
      <c r="B34" s="83">
        <f>'26'!B108</f>
        <v>3.6903125000000006</v>
      </c>
      <c r="C34" s="83">
        <f>'26'!C108</f>
        <v>5.6590625000000001</v>
      </c>
      <c r="D34" s="83">
        <f>'26'!D108</f>
        <v>2.5806249999999995</v>
      </c>
      <c r="E34" s="83">
        <f>'26'!E108</f>
        <v>4.7771874999999993</v>
      </c>
      <c r="F34" s="83">
        <f>'26'!F108</f>
        <v>5.2734374999999991</v>
      </c>
      <c r="G34" s="83">
        <f>'26'!G108</f>
        <v>17.609270833333323</v>
      </c>
      <c r="H34" s="83">
        <f>'26'!H108</f>
        <v>8.9294791666666686</v>
      </c>
      <c r="I34" s="83">
        <f>'26'!I108</f>
        <v>3.7330208333333328</v>
      </c>
      <c r="J34" s="83">
        <f>'26'!J108</f>
        <v>0.37781249999999994</v>
      </c>
      <c r="K34" s="83">
        <f>'26'!K108</f>
        <v>237.75531249999997</v>
      </c>
      <c r="L34" s="83">
        <f>'26'!L108</f>
        <v>26.310312499999998</v>
      </c>
      <c r="M34" s="83">
        <f>'26'!M108</f>
        <v>93.705625000000012</v>
      </c>
      <c r="N34" s="83">
        <f>'26'!N108</f>
        <v>67.608333333333334</v>
      </c>
      <c r="O34" s="83">
        <f>'26'!O108</f>
        <v>0.35416666666666669</v>
      </c>
      <c r="P34" s="83">
        <f>'26'!P108</f>
        <v>0.27208333333333345</v>
      </c>
      <c r="Q34" s="83">
        <f>'26'!Q108</f>
        <v>9.9144791666666574</v>
      </c>
      <c r="R34" s="76"/>
      <c r="S34" s="76"/>
      <c r="T34" s="76"/>
      <c r="U34" s="76"/>
    </row>
    <row r="35" spans="1:21">
      <c r="A35" s="139" t="str">
        <f>'27'!$B$2</f>
        <v>27/06/2025 00:15</v>
      </c>
      <c r="B35" s="83">
        <f>'27'!B108</f>
        <v>3.5232530120481913</v>
      </c>
      <c r="C35" s="83">
        <f>'27'!C108</f>
        <v>5.5074698795180739</v>
      </c>
      <c r="D35" s="83">
        <f>'27'!D108</f>
        <v>2.5493975903614463</v>
      </c>
      <c r="E35" s="83">
        <f>'27'!E108</f>
        <v>5.2203125000000012</v>
      </c>
      <c r="F35" s="83">
        <f>'27'!F108</f>
        <v>1.1130952380952388</v>
      </c>
      <c r="G35" s="83">
        <f>'27'!G108</f>
        <v>22.860952380952376</v>
      </c>
      <c r="H35" s="83">
        <f>'27'!H108</f>
        <v>9.9267857142857121</v>
      </c>
      <c r="I35" s="83">
        <f>'27'!I108</f>
        <v>3.4236904761904752</v>
      </c>
      <c r="J35" s="83">
        <f>'27'!J108</f>
        <v>0.65142857142857147</v>
      </c>
      <c r="K35" s="83">
        <f>'27'!K108</f>
        <v>251.62821428571434</v>
      </c>
      <c r="L35" s="83">
        <f>'27'!L108</f>
        <v>26.957857142857147</v>
      </c>
      <c r="M35" s="83">
        <f>'27'!M108</f>
        <v>82.872738095238105</v>
      </c>
      <c r="N35" s="83">
        <f>'27'!N108</f>
        <v>70.751190476190473</v>
      </c>
      <c r="O35" s="83">
        <f>'27'!O108</f>
        <v>9.5238095238095247E-3</v>
      </c>
      <c r="P35" s="83">
        <f>'27'!P108</f>
        <v>0.28547619047619055</v>
      </c>
      <c r="Q35" s="83">
        <f>'27'!Q108</f>
        <v>9.9097435897435879</v>
      </c>
      <c r="R35" s="76"/>
      <c r="S35" s="76"/>
      <c r="T35" s="76"/>
      <c r="U35" s="76"/>
    </row>
    <row r="36" spans="1:21">
      <c r="A36" s="139" t="str">
        <f>'28'!$B$2</f>
        <v>28/06/2025 00:15</v>
      </c>
      <c r="B36" s="83">
        <f>'28'!B108</f>
        <v>6.070104166666666</v>
      </c>
      <c r="C36" s="83">
        <f>'28'!C108</f>
        <v>8.0466666666666669</v>
      </c>
      <c r="D36" s="83">
        <f>'28'!D108</f>
        <v>3.4985416666666667</v>
      </c>
      <c r="E36" s="83">
        <f>'28'!E108</f>
        <v>5.1154166666666656</v>
      </c>
      <c r="F36" s="83">
        <f>'28'!F108</f>
        <v>0.44083333333333347</v>
      </c>
      <c r="G36" s="83">
        <f>'28'!G108</f>
        <v>32.576458333333342</v>
      </c>
      <c r="H36" s="83">
        <f>'28'!H108</f>
        <v>11.896770833333335</v>
      </c>
      <c r="I36" s="83">
        <f>'28'!I108</f>
        <v>6.1267708333333317</v>
      </c>
      <c r="J36" s="83">
        <f>'28'!J108</f>
        <v>0.50010416666666635</v>
      </c>
      <c r="K36" s="83">
        <f>'28'!K108</f>
        <v>257.89822916666662</v>
      </c>
      <c r="L36" s="83">
        <f>'28'!L108</f>
        <v>25.754895833333325</v>
      </c>
      <c r="M36" s="83">
        <f>'28'!M108</f>
        <v>92.50958333333331</v>
      </c>
      <c r="N36" s="83">
        <f>'28'!N108</f>
        <v>75.00937500000002</v>
      </c>
      <c r="O36" s="83">
        <f>'28'!O108</f>
        <v>0.22291666666666654</v>
      </c>
      <c r="P36" s="83">
        <f>'28'!P108</f>
        <v>0.42947916666666686</v>
      </c>
      <c r="Q36" s="151" t="s">
        <v>8</v>
      </c>
      <c r="R36" s="76"/>
      <c r="S36" s="76"/>
      <c r="T36" s="76"/>
      <c r="U36" s="76"/>
    </row>
    <row r="37" spans="1:21" s="2" customFormat="1">
      <c r="A37" s="139" t="str">
        <f>'29'!$B$2</f>
        <v>29/06/2025 00:15</v>
      </c>
      <c r="B37" s="83">
        <f>'29'!B108</f>
        <v>4.4641666666666664</v>
      </c>
      <c r="C37" s="83">
        <f>'29'!C108</f>
        <v>6.6496874999999989</v>
      </c>
      <c r="D37" s="83">
        <f>'29'!D108</f>
        <v>3.2884374999999992</v>
      </c>
      <c r="E37" s="83">
        <f>'29'!E108</f>
        <v>4.913333333333334</v>
      </c>
      <c r="F37" s="83">
        <f>'29'!F108</f>
        <v>0.45822916666666652</v>
      </c>
      <c r="G37" s="83">
        <f>'29'!G108</f>
        <v>25.549062499999987</v>
      </c>
      <c r="H37" s="83">
        <f>'29'!H108</f>
        <v>9.8177083333333339</v>
      </c>
      <c r="I37" s="83">
        <f>'29'!I108</f>
        <v>5.3271874999999982</v>
      </c>
      <c r="J37" s="83">
        <f>'29'!J108</f>
        <v>0.88260416666666686</v>
      </c>
      <c r="K37" s="83">
        <f>'29'!K108</f>
        <v>263.16552083333335</v>
      </c>
      <c r="L37" s="83">
        <f>'29'!L108</f>
        <v>24.979895833333327</v>
      </c>
      <c r="M37" s="83">
        <f>'29'!M108</f>
        <v>89.318541666666704</v>
      </c>
      <c r="N37" s="83">
        <f>'29'!N108</f>
        <v>64.20416666666668</v>
      </c>
      <c r="O37" s="83">
        <f>'29'!O108</f>
        <v>5.8333333333333348E-2</v>
      </c>
      <c r="P37" s="83">
        <f>'29'!P108</f>
        <v>0.38979166666666654</v>
      </c>
      <c r="Q37" s="151" t="s">
        <v>8</v>
      </c>
      <c r="R37" s="76"/>
      <c r="S37" s="76"/>
      <c r="T37" s="76"/>
      <c r="U37" s="76"/>
    </row>
    <row r="38" spans="1:21" s="2" customFormat="1">
      <c r="A38" s="139" t="str">
        <f>'30'!$B$2</f>
        <v>30/06/2025 00:15</v>
      </c>
      <c r="B38" s="83">
        <f>'30'!B108</f>
        <v>5.3231250000000019</v>
      </c>
      <c r="C38" s="83">
        <f>'30'!C108</f>
        <v>7.1861458333333337</v>
      </c>
      <c r="D38" s="83">
        <f>'30'!D108</f>
        <v>2.9973958333333339</v>
      </c>
      <c r="E38" s="83">
        <f>'30'!E108</f>
        <v>4.8945833333333342</v>
      </c>
      <c r="F38" s="83">
        <f>'30'!F108</f>
        <v>0.20229166666666662</v>
      </c>
      <c r="G38" s="83">
        <f>'30'!G108</f>
        <v>19.002708333333331</v>
      </c>
      <c r="H38" s="83">
        <f>'30'!H108</f>
        <v>7.824479166666662</v>
      </c>
      <c r="I38" s="83">
        <f>'30'!I108</f>
        <v>6.0951041666666681</v>
      </c>
      <c r="J38" s="83">
        <f>'30'!J108</f>
        <v>0.75208333333333366</v>
      </c>
      <c r="K38" s="83">
        <f>'30'!K108</f>
        <v>261.93739583333343</v>
      </c>
      <c r="L38" s="83">
        <f>'30'!L108</f>
        <v>24.649687500000002</v>
      </c>
      <c r="M38" s="83">
        <f>'30'!M108</f>
        <v>92.945520833333305</v>
      </c>
      <c r="N38" s="83">
        <f>'30'!N108</f>
        <v>47.907291666666659</v>
      </c>
      <c r="O38" s="83">
        <f>'30'!O108</f>
        <v>2.9166666666666671E-2</v>
      </c>
      <c r="P38" s="83">
        <f>'30'!P108</f>
        <v>0.43968749999999979</v>
      </c>
      <c r="Q38" s="151" t="s">
        <v>8</v>
      </c>
      <c r="R38" s="76"/>
      <c r="S38" s="76"/>
      <c r="T38" s="76"/>
      <c r="U38" s="76"/>
    </row>
    <row r="39" spans="1:21" s="2" customForma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3.5232530120481913</v>
      </c>
      <c r="C41" s="141">
        <f t="shared" si="0"/>
        <v>5.5074698795180739</v>
      </c>
      <c r="D41" s="141">
        <f t="shared" si="0"/>
        <v>2.5493975903614463</v>
      </c>
      <c r="E41" s="141">
        <f t="shared" si="0"/>
        <v>4.1907291666666646</v>
      </c>
      <c r="F41" s="141">
        <f t="shared" si="0"/>
        <v>0.20229166666666662</v>
      </c>
      <c r="G41" s="141">
        <f t="shared" si="0"/>
        <v>17.609270833333323</v>
      </c>
      <c r="H41" s="141">
        <f t="shared" si="0"/>
        <v>6.7881249999999982</v>
      </c>
      <c r="I41" s="141">
        <f t="shared" si="0"/>
        <v>3.3859374999999989</v>
      </c>
      <c r="J41" s="141">
        <f t="shared" si="0"/>
        <v>0.28729166666666678</v>
      </c>
      <c r="K41" s="141">
        <f t="shared" si="0"/>
        <v>98.898229166666681</v>
      </c>
      <c r="L41" s="141">
        <f t="shared" si="0"/>
        <v>24.649687500000002</v>
      </c>
      <c r="M41" s="141">
        <f t="shared" si="0"/>
        <v>41.718333333333341</v>
      </c>
      <c r="N41" s="141">
        <f t="shared" si="0"/>
        <v>47.131249999999994</v>
      </c>
      <c r="O41" s="141">
        <f t="shared" si="0"/>
        <v>0</v>
      </c>
      <c r="P41" s="141">
        <f t="shared" si="0"/>
        <v>0.22541666666666682</v>
      </c>
      <c r="Q41" s="141">
        <f t="shared" si="0"/>
        <v>9.9029166666666555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15.338125</v>
      </c>
      <c r="C42" s="141">
        <f t="shared" si="1"/>
        <v>21.55927083333334</v>
      </c>
      <c r="D42" s="141">
        <f t="shared" si="1"/>
        <v>8.284062500000001</v>
      </c>
      <c r="E42" s="141">
        <f t="shared" si="1"/>
        <v>23.912395833333331</v>
      </c>
      <c r="F42" s="141">
        <f t="shared" si="1"/>
        <v>29.490520833333331</v>
      </c>
      <c r="G42" s="141">
        <f t="shared" si="1"/>
        <v>79.672291666666695</v>
      </c>
      <c r="H42" s="141">
        <f t="shared" si="1"/>
        <v>37.899479166666659</v>
      </c>
      <c r="I42" s="141">
        <f t="shared" si="1"/>
        <v>9.9735416666666659</v>
      </c>
      <c r="J42" s="141">
        <f t="shared" si="1"/>
        <v>0.88260416666666686</v>
      </c>
      <c r="K42" s="141">
        <f t="shared" si="1"/>
        <v>263.16552083333335</v>
      </c>
      <c r="L42" s="141">
        <f t="shared" si="1"/>
        <v>34.448020833333352</v>
      </c>
      <c r="M42" s="141">
        <f t="shared" si="1"/>
        <v>93.705625000000012</v>
      </c>
      <c r="N42" s="141">
        <f t="shared" si="1"/>
        <v>154.55937499999996</v>
      </c>
      <c r="O42" s="141">
        <f t="shared" si="1"/>
        <v>0.35416666666666669</v>
      </c>
      <c r="P42" s="141">
        <f t="shared" si="1"/>
        <v>0.62583333333333324</v>
      </c>
      <c r="Q42" s="141">
        <f t="shared" si="1"/>
        <v>28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5.0595389892904956</v>
      </c>
      <c r="C43" s="141">
        <f t="shared" si="2"/>
        <v>8.8923253848728248</v>
      </c>
      <c r="D43" s="141">
        <f t="shared" si="2"/>
        <v>4.3864695030120489</v>
      </c>
      <c r="E43" s="141">
        <f t="shared" si="2"/>
        <v>6.7957187500000007</v>
      </c>
      <c r="F43" s="141">
        <f t="shared" si="2"/>
        <v>7.9031135912698423</v>
      </c>
      <c r="G43" s="141">
        <f t="shared" si="2"/>
        <v>43.968355782770118</v>
      </c>
      <c r="H43" s="141">
        <f t="shared" si="2"/>
        <v>17.682222046210953</v>
      </c>
      <c r="I43" s="141">
        <f t="shared" si="2"/>
        <v>5.5658417658730164</v>
      </c>
      <c r="J43" s="141">
        <f t="shared" si="2"/>
        <v>0.56093998015873014</v>
      </c>
      <c r="K43" s="141">
        <f t="shared" si="2"/>
        <v>226.52944742063494</v>
      </c>
      <c r="L43" s="141">
        <f t="shared" si="2"/>
        <v>29.997484126984126</v>
      </c>
      <c r="M43" s="141">
        <f t="shared" si="2"/>
        <v>67.728584325396824</v>
      </c>
      <c r="N43" s="141">
        <f t="shared" si="2"/>
        <v>106.25191468253969</v>
      </c>
      <c r="O43" s="141">
        <f t="shared" si="2"/>
        <v>3.6011904761904752E-2</v>
      </c>
      <c r="P43" s="141">
        <f t="shared" si="2"/>
        <v>0.39794642857142853</v>
      </c>
      <c r="Q43" s="141">
        <f t="shared" si="2"/>
        <v>13.03108232431148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2.2111479106366412</v>
      </c>
      <c r="C44" s="141">
        <f t="shared" si="3"/>
        <v>2.926623557189457</v>
      </c>
      <c r="D44" s="141">
        <f t="shared" si="3"/>
        <v>1.43555626090517</v>
      </c>
      <c r="E44" s="141">
        <f t="shared" si="3"/>
        <v>4.6776661826236055</v>
      </c>
      <c r="F44" s="141">
        <f t="shared" si="3"/>
        <v>6.1568036229372707</v>
      </c>
      <c r="G44" s="141">
        <f t="shared" si="3"/>
        <v>15.648337724887826</v>
      </c>
      <c r="H44" s="141">
        <f t="shared" si="3"/>
        <v>8.6328430603351336</v>
      </c>
      <c r="I44" s="141">
        <f t="shared" si="3"/>
        <v>1.6114446159164779</v>
      </c>
      <c r="J44" s="141">
        <f t="shared" si="3"/>
        <v>0.16269584206737073</v>
      </c>
      <c r="K44" s="141">
        <f t="shared" si="3"/>
        <v>44.079288320360064</v>
      </c>
      <c r="L44" s="141">
        <f t="shared" si="3"/>
        <v>2.7160461745970044</v>
      </c>
      <c r="M44" s="141">
        <f t="shared" si="3"/>
        <v>14.97970930554194</v>
      </c>
      <c r="N44" s="141">
        <f t="shared" si="3"/>
        <v>34.095921067238173</v>
      </c>
      <c r="O44" s="141">
        <f t="shared" si="3"/>
        <v>9.5968342874492518E-2</v>
      </c>
      <c r="P44" s="141">
        <f t="shared" si="3"/>
        <v>9.088254787867063E-2</v>
      </c>
      <c r="Q44" s="141">
        <f t="shared" si="3"/>
        <v>6.7429146386479175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30</v>
      </c>
      <c r="C45" s="132">
        <f t="shared" si="4"/>
        <v>30</v>
      </c>
      <c r="D45" s="132">
        <f t="shared" si="4"/>
        <v>30</v>
      </c>
      <c r="E45" s="132">
        <f t="shared" si="4"/>
        <v>30</v>
      </c>
      <c r="F45" s="132">
        <f t="shared" si="4"/>
        <v>30</v>
      </c>
      <c r="G45" s="132">
        <f t="shared" si="4"/>
        <v>30</v>
      </c>
      <c r="H45" s="132">
        <f t="shared" si="4"/>
        <v>30</v>
      </c>
      <c r="I45" s="132">
        <f t="shared" si="4"/>
        <v>30</v>
      </c>
      <c r="J45" s="132">
        <f t="shared" si="4"/>
        <v>30</v>
      </c>
      <c r="K45" s="132">
        <f t="shared" si="4"/>
        <v>30</v>
      </c>
      <c r="L45" s="132">
        <f t="shared" si="4"/>
        <v>30</v>
      </c>
      <c r="M45" s="132">
        <f t="shared" si="4"/>
        <v>30</v>
      </c>
      <c r="N45" s="132">
        <f t="shared" si="4"/>
        <v>30</v>
      </c>
      <c r="O45" s="132">
        <f t="shared" si="4"/>
        <v>30</v>
      </c>
      <c r="P45" s="132">
        <f t="shared" si="4"/>
        <v>30</v>
      </c>
      <c r="Q45" s="141">
        <f>COUNT(Q9:Q39)+3</f>
        <v>30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6" t="s">
        <v>56</v>
      </c>
      <c r="C50" s="166"/>
      <c r="D50" s="16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opLeftCell="E1" zoomScale="85" zoomScaleNormal="85" workbookViewId="0">
      <selection activeCell="R31" sqref="R31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3" t="s">
        <v>61</v>
      </c>
      <c r="E1" s="173"/>
      <c r="F1" s="173"/>
      <c r="G1" s="173"/>
      <c r="H1" s="173"/>
      <c r="I1" s="173"/>
      <c r="J1" s="174"/>
    </row>
    <row r="2" spans="2:24" ht="22.5" customHeight="1">
      <c r="B2" s="2"/>
      <c r="C2" s="79" t="s">
        <v>2</v>
      </c>
      <c r="D2" s="175" t="s">
        <v>62</v>
      </c>
      <c r="E2" s="176"/>
      <c r="F2" s="176"/>
      <c r="G2" s="176"/>
      <c r="H2" s="176"/>
      <c r="I2" s="176"/>
      <c r="J2" s="177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1" t="s">
        <v>63</v>
      </c>
      <c r="H5" s="171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45813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81</v>
      </c>
      <c r="M8" s="103" t="s">
        <v>239</v>
      </c>
      <c r="O8" s="72">
        <v>45813</v>
      </c>
      <c r="P8" s="100" t="s">
        <v>64</v>
      </c>
      <c r="Q8" s="100">
        <v>4885.18</v>
      </c>
      <c r="R8" s="100">
        <v>3754.42</v>
      </c>
      <c r="S8" s="100" t="s">
        <v>82</v>
      </c>
      <c r="T8" s="100">
        <v>882.84</v>
      </c>
      <c r="U8" s="117">
        <v>0.99270000000000003</v>
      </c>
      <c r="V8" s="117">
        <v>0.97160000000000002</v>
      </c>
      <c r="W8" s="6" t="s">
        <v>81</v>
      </c>
      <c r="X8" s="103" t="s">
        <v>239</v>
      </c>
    </row>
    <row r="9" spans="2:24" ht="15.75">
      <c r="B9" s="72">
        <v>45820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81</v>
      </c>
      <c r="M9" s="103" t="s">
        <v>239</v>
      </c>
      <c r="O9" s="72">
        <v>45820</v>
      </c>
      <c r="P9" s="100" t="s">
        <v>64</v>
      </c>
      <c r="Q9" s="100">
        <v>4783.7</v>
      </c>
      <c r="R9" s="100">
        <v>3667.69</v>
      </c>
      <c r="S9" s="100" t="s">
        <v>82</v>
      </c>
      <c r="T9" s="100">
        <v>862.83</v>
      </c>
      <c r="U9" s="117">
        <v>0.97160000000000002</v>
      </c>
      <c r="V9" s="117">
        <v>0.97289999999999999</v>
      </c>
      <c r="W9" s="6" t="s">
        <v>81</v>
      </c>
      <c r="X9" s="103" t="s">
        <v>239</v>
      </c>
    </row>
    <row r="10" spans="2:24" ht="15.75">
      <c r="B10" s="72">
        <v>45833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81</v>
      </c>
      <c r="M10" s="103" t="s">
        <v>239</v>
      </c>
      <c r="O10" s="72">
        <v>45833</v>
      </c>
      <c r="P10" s="100" t="s">
        <v>64</v>
      </c>
      <c r="Q10" s="100">
        <v>4768.33</v>
      </c>
      <c r="R10" s="100">
        <v>3645.87</v>
      </c>
      <c r="S10" s="100" t="s">
        <v>82</v>
      </c>
      <c r="T10" s="100">
        <v>870.37</v>
      </c>
      <c r="U10" s="117">
        <v>0.97289999999999999</v>
      </c>
      <c r="V10" s="117">
        <v>0.9657</v>
      </c>
      <c r="W10" s="6" t="s">
        <v>81</v>
      </c>
      <c r="X10" s="103" t="s">
        <v>239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239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239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239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239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239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239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239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239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9" t="s">
        <v>83</v>
      </c>
      <c r="D21" s="169"/>
      <c r="E21" s="169"/>
      <c r="F21" s="169"/>
      <c r="G21" s="169"/>
      <c r="H21" s="169"/>
      <c r="I21" s="106">
        <f>COUNT(B8:B20)</f>
        <v>3</v>
      </c>
      <c r="J21" s="107"/>
      <c r="K21" s="107"/>
      <c r="L21" s="94"/>
      <c r="M21" s="108"/>
      <c r="O21" s="109"/>
      <c r="P21" s="172" t="s">
        <v>84</v>
      </c>
      <c r="Q21" s="172"/>
      <c r="R21" s="172"/>
      <c r="S21" s="172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0" t="s">
        <v>85</v>
      </c>
      <c r="H24" s="170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45813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/>
      <c r="I27" s="6">
        <v>0</v>
      </c>
      <c r="J27" s="83" t="e">
        <f>F27/H27</f>
        <v>#DIV/0!</v>
      </c>
      <c r="K27" s="83">
        <f>(H27-F27)*100/F27</f>
        <v>-100</v>
      </c>
      <c r="L27" s="6" t="s">
        <v>81</v>
      </c>
      <c r="M27" s="103" t="s">
        <v>239</v>
      </c>
      <c r="O27" s="72">
        <v>45813</v>
      </c>
      <c r="P27" s="100" t="s">
        <v>29</v>
      </c>
      <c r="Q27" s="100">
        <v>4634.72</v>
      </c>
      <c r="R27" s="100">
        <v>3609.63</v>
      </c>
      <c r="S27" s="100" t="s">
        <v>87</v>
      </c>
      <c r="T27" s="100">
        <v>791.63</v>
      </c>
      <c r="U27" s="117">
        <v>0.93789999999999996</v>
      </c>
      <c r="V27" s="117">
        <v>0.93479999999999996</v>
      </c>
      <c r="W27" s="6" t="s">
        <v>81</v>
      </c>
      <c r="X27" s="103" t="s">
        <v>239</v>
      </c>
    </row>
    <row r="28" spans="2:24" ht="15.75">
      <c r="B28" s="72">
        <v>45820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81</v>
      </c>
      <c r="M28" s="103" t="s">
        <v>239</v>
      </c>
      <c r="O28" s="72">
        <v>45820</v>
      </c>
      <c r="P28" s="100" t="s">
        <v>29</v>
      </c>
      <c r="Q28" s="100">
        <v>4502.96</v>
      </c>
      <c r="R28" s="100">
        <v>3494.87</v>
      </c>
      <c r="S28" s="100" t="s">
        <v>87</v>
      </c>
      <c r="T28" s="100">
        <v>790.37</v>
      </c>
      <c r="U28" s="117">
        <v>0.93479999999999996</v>
      </c>
      <c r="V28" s="117">
        <v>0.93320000000000003</v>
      </c>
      <c r="W28" s="6" t="s">
        <v>81</v>
      </c>
      <c r="X28" s="103" t="s">
        <v>239</v>
      </c>
    </row>
    <row r="29" spans="2:24" ht="15.75">
      <c r="B29" s="72">
        <v>45833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81</v>
      </c>
      <c r="M29" s="103" t="s">
        <v>239</v>
      </c>
      <c r="O29" s="72">
        <v>45833</v>
      </c>
      <c r="P29" s="100" t="s">
        <v>29</v>
      </c>
      <c r="Q29" s="100">
        <v>4421.6899999999996</v>
      </c>
      <c r="R29" s="100">
        <v>3414.37</v>
      </c>
      <c r="S29" s="100" t="s">
        <v>87</v>
      </c>
      <c r="T29" s="100">
        <v>801.4</v>
      </c>
      <c r="U29" s="117">
        <v>0.93320000000000003</v>
      </c>
      <c r="V29" s="117">
        <v>0.91869999999999996</v>
      </c>
      <c r="W29" s="6" t="s">
        <v>81</v>
      </c>
      <c r="X29" s="103" t="s">
        <v>239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239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239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239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239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239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239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239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239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2" t="s">
        <v>88</v>
      </c>
      <c r="Q40" s="172"/>
      <c r="R40" s="172"/>
      <c r="S40" s="172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69" t="s">
        <v>89</v>
      </c>
      <c r="E41" s="169"/>
      <c r="F41" s="169"/>
      <c r="G41" s="169"/>
      <c r="H41" s="169"/>
      <c r="I41" s="169"/>
      <c r="J41" s="113">
        <f>COUNT(B27:B39)</f>
        <v>3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0" t="s">
        <v>38</v>
      </c>
      <c r="H44" s="170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>
        <v>45813</v>
      </c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239</v>
      </c>
    </row>
    <row r="48" spans="2:24" ht="15.75">
      <c r="B48" s="72">
        <v>45820</v>
      </c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239</v>
      </c>
    </row>
    <row r="49" spans="2:13" ht="15.75">
      <c r="B49" s="72">
        <v>45833</v>
      </c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239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239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239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239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239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9" t="s">
        <v>90</v>
      </c>
      <c r="E61" s="169"/>
      <c r="F61" s="169"/>
      <c r="G61" s="169"/>
      <c r="H61" s="169"/>
      <c r="I61" s="169"/>
      <c r="J61" s="113">
        <f>COUNT(B47:B59)</f>
        <v>3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0" t="s">
        <v>37</v>
      </c>
      <c r="H64" s="170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45813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81</v>
      </c>
      <c r="M67" s="103" t="s">
        <v>239</v>
      </c>
    </row>
    <row r="68" spans="2:13" ht="15.75">
      <c r="B68" s="72">
        <v>45820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81</v>
      </c>
      <c r="M68" s="103" t="s">
        <v>239</v>
      </c>
    </row>
    <row r="69" spans="2:13" ht="15.75">
      <c r="B69" s="72">
        <v>45833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81</v>
      </c>
      <c r="M69" s="103" t="s">
        <v>239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239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239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239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239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9" t="s">
        <v>91</v>
      </c>
      <c r="E81" s="169"/>
      <c r="F81" s="169"/>
      <c r="G81" s="169"/>
      <c r="H81" s="169"/>
      <c r="I81" s="169"/>
      <c r="J81" s="113">
        <f>COUNT(B67:B79)</f>
        <v>3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0" t="s">
        <v>92</v>
      </c>
      <c r="H84" s="170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>
        <v>45813</v>
      </c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239</v>
      </c>
    </row>
    <row r="88" spans="2:13" ht="15.75">
      <c r="B88" s="72">
        <v>45820</v>
      </c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239</v>
      </c>
    </row>
    <row r="89" spans="2:13" ht="15.75">
      <c r="B89" s="72">
        <v>45833</v>
      </c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239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239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239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239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239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9" t="s">
        <v>93</v>
      </c>
      <c r="E101" s="169"/>
      <c r="F101" s="169"/>
      <c r="G101" s="169"/>
      <c r="H101" s="169"/>
      <c r="I101" s="169"/>
      <c r="J101" s="113">
        <f>COUNT(B87:B99)</f>
        <v>3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1" t="s">
        <v>94</v>
      </c>
      <c r="H104" s="171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>
        <v>45813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81</v>
      </c>
      <c r="M107" s="103" t="s">
        <v>239</v>
      </c>
    </row>
    <row r="108" spans="2:13" ht="15.75">
      <c r="B108" s="72">
        <v>45820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81</v>
      </c>
      <c r="M108" s="103" t="s">
        <v>239</v>
      </c>
    </row>
    <row r="109" spans="2:13" ht="15.75">
      <c r="B109" s="72">
        <v>45833</v>
      </c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239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239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239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239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239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9" t="s">
        <v>95</v>
      </c>
      <c r="D119" s="169"/>
      <c r="E119" s="169"/>
      <c r="F119" s="169"/>
      <c r="G119" s="169"/>
      <c r="H119" s="169"/>
      <c r="I119" s="113">
        <f>COUNT(B107:B118)</f>
        <v>3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8" t="s">
        <v>96</v>
      </c>
      <c r="C2" s="178"/>
      <c r="D2" s="180" t="str">
        <f>'MONTHLY 31'!$B$2</f>
        <v>01/06/2025 00:15</v>
      </c>
      <c r="E2" s="180"/>
    </row>
    <row r="3" spans="2:5">
      <c r="B3" s="178" t="s">
        <v>97</v>
      </c>
      <c r="C3" s="178"/>
      <c r="D3" s="180"/>
      <c r="E3" s="180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9" t="s">
        <v>101</v>
      </c>
      <c r="C44" s="179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1" t="s">
        <v>102</v>
      </c>
      <c r="C2" s="181"/>
      <c r="D2" s="181"/>
      <c r="E2" s="181"/>
      <c r="F2" s="182">
        <v>1</v>
      </c>
      <c r="G2" s="183"/>
      <c r="H2" s="183"/>
    </row>
    <row r="3" spans="2:24" customFormat="1" ht="15" customHeight="1">
      <c r="B3" s="181"/>
      <c r="C3" s="181"/>
      <c r="D3" s="181"/>
      <c r="E3" s="181"/>
      <c r="F3" s="183"/>
      <c r="G3" s="183"/>
      <c r="H3" s="183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6" t="s">
        <v>94</v>
      </c>
      <c r="C12" s="197" t="s">
        <v>103</v>
      </c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40"/>
      <c r="U12" s="39"/>
    </row>
    <row r="13" spans="2:24" ht="15" customHeight="1">
      <c r="B13" s="187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7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7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7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7"/>
      <c r="C17" s="10"/>
      <c r="P17" s="1"/>
      <c r="Q17" s="1"/>
      <c r="R17" s="45"/>
      <c r="X17" s="42"/>
    </row>
    <row r="18" spans="2:28" ht="15.75" customHeight="1">
      <c r="B18" s="187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8" t="s">
        <v>85</v>
      </c>
      <c r="C25" s="199" t="s">
        <v>103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184"/>
      <c r="S25" s="49"/>
      <c r="T25" s="50"/>
    </row>
    <row r="26" spans="2:28" ht="15" customHeight="1">
      <c r="B26" s="188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8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8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9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90" t="s">
        <v>37</v>
      </c>
      <c r="C36" s="201" t="s">
        <v>103</v>
      </c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2"/>
    </row>
    <row r="37" spans="2:25" ht="15.75" customHeight="1">
      <c r="B37" s="191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1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1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2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3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3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3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3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8" t="s">
        <v>197</v>
      </c>
      <c r="C61" s="199" t="s">
        <v>103</v>
      </c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184"/>
      <c r="S61" s="57"/>
      <c r="T61" s="58"/>
    </row>
    <row r="62" spans="2:20" ht="15.75">
      <c r="B62" s="188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4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4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9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8" t="s">
        <v>214</v>
      </c>
      <c r="C69" s="199" t="s">
        <v>103</v>
      </c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184"/>
      <c r="S69" s="57"/>
      <c r="T69" s="58"/>
    </row>
    <row r="70" spans="2:20" ht="15.75">
      <c r="B70" s="188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8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4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9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5" t="s">
        <v>92</v>
      </c>
      <c r="C77" s="184" t="s">
        <v>103</v>
      </c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61"/>
      <c r="S77" s="61"/>
      <c r="T77" s="13"/>
    </row>
    <row r="78" spans="2:20">
      <c r="B78" s="196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6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6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6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6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2026-01-10T16:30:48Z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