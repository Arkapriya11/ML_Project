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mar 2025\"/>
    </mc:Choice>
  </mc:AlternateContent>
  <xr:revisionPtr revIDLastSave="0" documentId="13_ncr:1_{6D35AF6F-697D-4833-91C5-4BED74BEFB13}" xr6:coauthVersionLast="47" xr6:coauthVersionMax="47" xr10:uidLastSave="{00000000-0000-0000-0000-000000000000}"/>
  <bookViews>
    <workbookView xWindow="-120" yWindow="-120" windowWidth="20730" windowHeight="11040" tabRatio="913" firstSheet="6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91029"/>
</workbook>
</file>

<file path=xl/calcChain.xml><?xml version="1.0" encoding="utf-8"?>
<calcChain xmlns="http://schemas.openxmlformats.org/spreadsheetml/2006/main">
  <c r="I44" i="39" l="1"/>
  <c r="F44" i="39"/>
  <c r="F38" i="30"/>
  <c r="I38" i="29"/>
  <c r="F38" i="29"/>
  <c r="F38" i="28"/>
  <c r="I38" i="28"/>
  <c r="I38" i="27"/>
  <c r="I38" i="26"/>
  <c r="H38" i="8" l="1"/>
  <c r="G38" i="8"/>
  <c r="N37" i="39"/>
  <c r="G28" i="39"/>
  <c r="G14" i="39"/>
  <c r="H13" i="39"/>
  <c r="L40" i="41"/>
  <c r="L39" i="41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M39" i="40"/>
  <c r="I39" i="40"/>
  <c r="H39" i="40"/>
  <c r="Q38" i="40"/>
  <c r="Q39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39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N39" i="43"/>
  <c r="E39" i="43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P37" i="39" s="1"/>
  <c r="O36" i="43"/>
  <c r="O37" i="39" s="1"/>
  <c r="N36" i="43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E40" i="33"/>
  <c r="Q39" i="33"/>
  <c r="J39" i="33"/>
  <c r="E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G40" i="32"/>
  <c r="B40" i="32"/>
  <c r="J39" i="32"/>
  <c r="H39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J40" i="32" s="1"/>
  <c r="I38" i="32"/>
  <c r="I39" i="32" s="1"/>
  <c r="H38" i="32"/>
  <c r="H40" i="32" s="1"/>
  <c r="G38" i="32"/>
  <c r="G39" i="32" s="1"/>
  <c r="F38" i="32"/>
  <c r="F39" i="32" s="1"/>
  <c r="E38" i="32"/>
  <c r="E40" i="32" s="1"/>
  <c r="D38" i="32"/>
  <c r="D39" i="32" s="1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M40" i="31"/>
  <c r="J39" i="31"/>
  <c r="I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40" i="30"/>
  <c r="B40" i="30"/>
  <c r="L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9" i="30"/>
  <c r="E38" i="30"/>
  <c r="E40" i="30" s="1"/>
  <c r="D38" i="30"/>
  <c r="D39" i="30" s="1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N40" i="29"/>
  <c r="I40" i="29"/>
  <c r="G40" i="29"/>
  <c r="F40" i="29"/>
  <c r="N39" i="29"/>
  <c r="J39" i="29"/>
  <c r="C39" i="29"/>
  <c r="Q38" i="29"/>
  <c r="Q40" i="29" s="1"/>
  <c r="P38" i="29"/>
  <c r="P39" i="29" s="1"/>
  <c r="O38" i="29"/>
  <c r="O39" i="29" s="1"/>
  <c r="N38" i="29"/>
  <c r="M38" i="29"/>
  <c r="M39" i="29" s="1"/>
  <c r="L38" i="29"/>
  <c r="L39" i="29" s="1"/>
  <c r="K38" i="29"/>
  <c r="K39" i="29" s="1"/>
  <c r="J38" i="29"/>
  <c r="J40" i="29" s="1"/>
  <c r="I39" i="29"/>
  <c r="H38" i="29"/>
  <c r="H40" i="29" s="1"/>
  <c r="G38" i="29"/>
  <c r="G39" i="29" s="1"/>
  <c r="F39" i="29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D40" i="28"/>
  <c r="P39" i="28"/>
  <c r="M39" i="28"/>
  <c r="L39" i="28"/>
  <c r="D39" i="28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40" i="28"/>
  <c r="H38" i="28"/>
  <c r="H39" i="28" s="1"/>
  <c r="G38" i="28"/>
  <c r="G39" i="28" s="1"/>
  <c r="F39" i="28"/>
  <c r="E38" i="28"/>
  <c r="E40" i="28" s="1"/>
  <c r="D38" i="28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H36" i="28"/>
  <c r="H31" i="39" s="1"/>
  <c r="G36" i="28"/>
  <c r="G31" i="39" s="1"/>
  <c r="F36" i="28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H40" i="27"/>
  <c r="Q38" i="27"/>
  <c r="Q39" i="27" s="1"/>
  <c r="P38" i="27"/>
  <c r="P39" i="27" s="1"/>
  <c r="O38" i="27"/>
  <c r="O40" i="27" s="1"/>
  <c r="N38" i="27"/>
  <c r="N39" i="27" s="1"/>
  <c r="M38" i="27"/>
  <c r="M39" i="27" s="1"/>
  <c r="L38" i="27"/>
  <c r="L39" i="27" s="1"/>
  <c r="K38" i="27"/>
  <c r="K40" i="27" s="1"/>
  <c r="J38" i="27"/>
  <c r="J40" i="27" s="1"/>
  <c r="I39" i="27"/>
  <c r="H38" i="27"/>
  <c r="H39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L40" i="26"/>
  <c r="C40" i="26"/>
  <c r="B40" i="26"/>
  <c r="N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9" i="26"/>
  <c r="H38" i="26"/>
  <c r="H39" i="26" s="1"/>
  <c r="G38" i="26"/>
  <c r="G40" i="26" s="1"/>
  <c r="F38" i="26"/>
  <c r="F39" i="26" s="1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N40" i="25"/>
  <c r="N39" i="25"/>
  <c r="J39" i="25"/>
  <c r="I39" i="25"/>
  <c r="Q38" i="25"/>
  <c r="Q40" i="25" s="1"/>
  <c r="P38" i="25"/>
  <c r="P40" i="25" s="1"/>
  <c r="O38" i="25"/>
  <c r="O40" i="25" s="1"/>
  <c r="N38" i="25"/>
  <c r="M38" i="25"/>
  <c r="M40" i="25" s="1"/>
  <c r="L38" i="25"/>
  <c r="L40" i="25" s="1"/>
  <c r="K38" i="25"/>
  <c r="K39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9" i="24"/>
  <c r="P39" i="24"/>
  <c r="K39" i="24"/>
  <c r="H39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40" i="24" s="1"/>
  <c r="J38" i="24"/>
  <c r="J39" i="24" s="1"/>
  <c r="I38" i="24"/>
  <c r="I40" i="24" s="1"/>
  <c r="H38" i="24"/>
  <c r="H40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M40" i="23"/>
  <c r="M39" i="23"/>
  <c r="L39" i="23"/>
  <c r="Q38" i="23"/>
  <c r="Q40" i="23" s="1"/>
  <c r="P38" i="23"/>
  <c r="P40" i="23" s="1"/>
  <c r="O38" i="23"/>
  <c r="O40" i="23" s="1"/>
  <c r="N38" i="23"/>
  <c r="N40" i="23" s="1"/>
  <c r="M38" i="23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M40" i="22"/>
  <c r="L40" i="22"/>
  <c r="D40" i="22"/>
  <c r="C40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L39" i="22" s="1"/>
  <c r="K38" i="22"/>
  <c r="K40" i="22" s="1"/>
  <c r="J38" i="22"/>
  <c r="J39" i="22" s="1"/>
  <c r="I38" i="22"/>
  <c r="I40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40" i="21"/>
  <c r="K40" i="21"/>
  <c r="E40" i="21"/>
  <c r="B40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C40" i="20"/>
  <c r="B40" i="20"/>
  <c r="N39" i="20"/>
  <c r="Q38" i="20"/>
  <c r="Q40" i="20" s="1"/>
  <c r="P38" i="20"/>
  <c r="P39" i="20" s="1"/>
  <c r="O38" i="20"/>
  <c r="O40" i="20" s="1"/>
  <c r="N38" i="20"/>
  <c r="N40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O39" i="19"/>
  <c r="L39" i="19"/>
  <c r="K39" i="19"/>
  <c r="I39" i="19"/>
  <c r="Q38" i="19"/>
  <c r="Q40" i="19" s="1"/>
  <c r="P38" i="19"/>
  <c r="P40" i="19" s="1"/>
  <c r="O38" i="19"/>
  <c r="O40" i="19" s="1"/>
  <c r="N38" i="19"/>
  <c r="N40" i="19" s="1"/>
  <c r="M38" i="19"/>
  <c r="M39" i="19" s="1"/>
  <c r="L38" i="19"/>
  <c r="L40" i="19" s="1"/>
  <c r="K38" i="19"/>
  <c r="K40" i="19" s="1"/>
  <c r="J38" i="19"/>
  <c r="J39" i="19" s="1"/>
  <c r="I38" i="19"/>
  <c r="I40" i="19" s="1"/>
  <c r="H38" i="19"/>
  <c r="H40" i="19" s="1"/>
  <c r="G38" i="19"/>
  <c r="G39" i="19" s="1"/>
  <c r="F38" i="19"/>
  <c r="F39" i="19" s="1"/>
  <c r="E38" i="19"/>
  <c r="E39" i="19" s="1"/>
  <c r="D38" i="19"/>
  <c r="D39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N40" i="18"/>
  <c r="J40" i="18"/>
  <c r="M39" i="18"/>
  <c r="L39" i="18"/>
  <c r="E39" i="18"/>
  <c r="Q38" i="18"/>
  <c r="Q39" i="18" s="1"/>
  <c r="P38" i="18"/>
  <c r="P39" i="18" s="1"/>
  <c r="O38" i="18"/>
  <c r="O40" i="18" s="1"/>
  <c r="N38" i="18"/>
  <c r="N39" i="18" s="1"/>
  <c r="M38" i="18"/>
  <c r="M40" i="18" s="1"/>
  <c r="L38" i="18"/>
  <c r="L40" i="18" s="1"/>
  <c r="K38" i="18"/>
  <c r="K39" i="18" s="1"/>
  <c r="J38" i="18"/>
  <c r="J39" i="18" s="1"/>
  <c r="I38" i="18"/>
  <c r="I40" i="18" s="1"/>
  <c r="H38" i="18"/>
  <c r="H39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I40" i="17"/>
  <c r="H40" i="17"/>
  <c r="E40" i="17"/>
  <c r="C40" i="17"/>
  <c r="L39" i="17"/>
  <c r="I39" i="17"/>
  <c r="H39" i="17"/>
  <c r="Q38" i="17"/>
  <c r="Q39" i="17" s="1"/>
  <c r="P38" i="17"/>
  <c r="P40" i="17" s="1"/>
  <c r="O38" i="17"/>
  <c r="O40" i="17" s="1"/>
  <c r="N38" i="17"/>
  <c r="N39" i="17" s="1"/>
  <c r="M38" i="17"/>
  <c r="M39" i="17" s="1"/>
  <c r="L38" i="17"/>
  <c r="L40" i="17" s="1"/>
  <c r="K38" i="17"/>
  <c r="K39" i="17" s="1"/>
  <c r="J38" i="17"/>
  <c r="J39" i="17" s="1"/>
  <c r="I38" i="17"/>
  <c r="H38" i="17"/>
  <c r="G38" i="17"/>
  <c r="G39" i="17" s="1"/>
  <c r="F38" i="17"/>
  <c r="F40" i="17" s="1"/>
  <c r="E38" i="17"/>
  <c r="E39" i="17" s="1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H40" i="16"/>
  <c r="G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40" i="15"/>
  <c r="P40" i="15"/>
  <c r="G40" i="15"/>
  <c r="P39" i="15"/>
  <c r="O39" i="15"/>
  <c r="M39" i="15"/>
  <c r="G39" i="15"/>
  <c r="Q38" i="15"/>
  <c r="Q39" i="15" s="1"/>
  <c r="P38" i="15"/>
  <c r="O38" i="15"/>
  <c r="O40" i="15" s="1"/>
  <c r="N38" i="15"/>
  <c r="N39" i="15" s="1"/>
  <c r="M38" i="15"/>
  <c r="M40" i="15" s="1"/>
  <c r="L38" i="15"/>
  <c r="L39" i="15" s="1"/>
  <c r="K38" i="15"/>
  <c r="K40" i="15" s="1"/>
  <c r="J38" i="15"/>
  <c r="J39" i="15" s="1"/>
  <c r="I38" i="15"/>
  <c r="I39" i="15" s="1"/>
  <c r="H38" i="15"/>
  <c r="H39" i="15" s="1"/>
  <c r="G38" i="15"/>
  <c r="F38" i="15"/>
  <c r="F40" i="15" s="1"/>
  <c r="E38" i="15"/>
  <c r="E39" i="15" s="1"/>
  <c r="D38" i="15"/>
  <c r="D39" i="15" s="1"/>
  <c r="C38" i="15"/>
  <c r="C39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G40" i="14"/>
  <c r="F40" i="14"/>
  <c r="E40" i="14"/>
  <c r="F39" i="14"/>
  <c r="Q38" i="14"/>
  <c r="Q40" i="14" s="1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39" i="14" s="1"/>
  <c r="G38" i="14"/>
  <c r="G39" i="14" s="1"/>
  <c r="F38" i="14"/>
  <c r="E38" i="14"/>
  <c r="E39" i="14" s="1"/>
  <c r="D38" i="14"/>
  <c r="D40" i="14" s="1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40" i="8"/>
  <c r="G40" i="8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F40" i="33" l="1"/>
  <c r="F40" i="28"/>
  <c r="I40" i="27"/>
  <c r="F39" i="18"/>
  <c r="F39" i="15"/>
  <c r="O39" i="40"/>
  <c r="C40" i="40"/>
  <c r="F39" i="40"/>
  <c r="I39" i="43"/>
  <c r="P39" i="43"/>
  <c r="B40" i="43"/>
  <c r="C40" i="33"/>
  <c r="I40" i="33"/>
  <c r="K39" i="33"/>
  <c r="F40" i="32"/>
  <c r="I40" i="32"/>
  <c r="K40" i="32"/>
  <c r="D40" i="32"/>
  <c r="C39" i="31"/>
  <c r="G39" i="31"/>
  <c r="H39" i="31"/>
  <c r="K39" i="31"/>
  <c r="L39" i="31"/>
  <c r="I39" i="30"/>
  <c r="J39" i="30"/>
  <c r="M39" i="30"/>
  <c r="N39" i="30"/>
  <c r="E40" i="29"/>
  <c r="K40" i="29"/>
  <c r="L40" i="29"/>
  <c r="M40" i="29"/>
  <c r="Q39" i="28"/>
  <c r="G40" i="28"/>
  <c r="O39" i="28"/>
  <c r="O39" i="27"/>
  <c r="L40" i="27"/>
  <c r="M40" i="27"/>
  <c r="N40" i="27"/>
  <c r="P40" i="27"/>
  <c r="G39" i="27"/>
  <c r="K39" i="27"/>
  <c r="Q39" i="26"/>
  <c r="F40" i="26"/>
  <c r="H40" i="26"/>
  <c r="I40" i="26"/>
  <c r="O39" i="26"/>
  <c r="O39" i="25"/>
  <c r="P39" i="25"/>
  <c r="Q39" i="25"/>
  <c r="K40" i="25"/>
  <c r="M39" i="25"/>
  <c r="C40" i="24"/>
  <c r="D40" i="24"/>
  <c r="E40" i="24"/>
  <c r="J40" i="24"/>
  <c r="N40" i="24"/>
  <c r="K39" i="23"/>
  <c r="O39" i="23"/>
  <c r="P39" i="23"/>
  <c r="Q39" i="23"/>
  <c r="B40" i="23"/>
  <c r="C40" i="23"/>
  <c r="I39" i="22"/>
  <c r="N39" i="22"/>
  <c r="F40" i="22"/>
  <c r="G40" i="22"/>
  <c r="J40" i="22"/>
  <c r="G40" i="21"/>
  <c r="F40" i="21"/>
  <c r="H40" i="21"/>
  <c r="N39" i="21"/>
  <c r="O39" i="21"/>
  <c r="D40" i="21"/>
  <c r="O39" i="20"/>
  <c r="D40" i="20"/>
  <c r="E40" i="20"/>
  <c r="H40" i="20"/>
  <c r="I40" i="20"/>
  <c r="L40" i="20"/>
  <c r="P40" i="20"/>
  <c r="P39" i="19"/>
  <c r="Q39" i="19"/>
  <c r="D40" i="19"/>
  <c r="F40" i="19"/>
  <c r="J40" i="19"/>
  <c r="M40" i="19"/>
  <c r="H39" i="19"/>
  <c r="B40" i="18"/>
  <c r="G40" i="18"/>
  <c r="H40" i="18"/>
  <c r="K40" i="18"/>
  <c r="P40" i="18"/>
  <c r="I39" i="18"/>
  <c r="G40" i="17"/>
  <c r="J40" i="17"/>
  <c r="K40" i="17"/>
  <c r="N40" i="17"/>
  <c r="F39" i="17"/>
  <c r="O39" i="17"/>
  <c r="F40" i="16"/>
  <c r="I40" i="16"/>
  <c r="J40" i="16"/>
  <c r="M40" i="16"/>
  <c r="N40" i="16"/>
  <c r="C40" i="16"/>
  <c r="D40" i="16"/>
  <c r="C40" i="15"/>
  <c r="E40" i="15"/>
  <c r="M41" i="39"/>
  <c r="H40" i="15"/>
  <c r="I40" i="15"/>
  <c r="L40" i="15"/>
  <c r="K39" i="15"/>
  <c r="H40" i="14"/>
  <c r="D39" i="14"/>
  <c r="K40" i="14"/>
  <c r="L40" i="14"/>
  <c r="O40" i="14"/>
  <c r="P40" i="14"/>
  <c r="J39" i="14"/>
  <c r="O40" i="39"/>
  <c r="N39" i="14"/>
  <c r="Q39" i="14"/>
  <c r="B40" i="14"/>
  <c r="D39" i="10"/>
  <c r="J44" i="39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N39" i="41"/>
  <c r="C40" i="8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4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Q39" i="41"/>
  <c r="B39" i="41"/>
  <c r="C39" i="41"/>
  <c r="G39" i="33"/>
  <c r="F39" i="43"/>
  <c r="E39" i="40"/>
  <c r="D39" i="41"/>
  <c r="E39" i="41"/>
  <c r="F39" i="41"/>
  <c r="G39" i="41"/>
  <c r="H39" i="41"/>
  <c r="O39" i="30"/>
  <c r="N39" i="31"/>
  <c r="M39" i="32"/>
  <c r="L39" i="33"/>
  <c r="K39" i="43"/>
  <c r="J39" i="40"/>
  <c r="I39" i="41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J39" i="41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K39" i="41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M39" i="41"/>
  <c r="E39" i="30"/>
  <c r="D39" i="31"/>
  <c r="C39" i="32"/>
  <c r="B39" i="33"/>
  <c r="Q39" i="43"/>
  <c r="P39" i="40"/>
  <c r="O39" i="41"/>
  <c r="P39" i="41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<sst xmlns="http://schemas.openxmlformats.org/spreadsheetml/2006/main" count="3015" uniqueCount="805">
  <si>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</si>
  <si>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</si>
  <si>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</si>
  <si>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</si>
  <si>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</si>
  <si>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</si>
  <si>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</si>
  <si>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</si>
  <si>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</si>
  <si>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</si>
  <si>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</si>
  <si>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</si>
  <si>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</si>
  <si>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</si>
  <si>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</si>
  <si>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</si>
  <si>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</si>
  <si>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</si>
  <si>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</si>
  <si>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</si>
  <si>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</si>
  <si>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</si>
  <si>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</si>
  <si>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</si>
  <si>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</si>
  <si>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</si>
  <si>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</si>
  <si>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</si>
  <si>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</si>
  <si>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</si>
  <si>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</si>
  <si>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</si>
  <si>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</si>
  <si>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</si>
  <si>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</si>
  <si>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</si>
  <si>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</si>
  <si>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</si>
  <si>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</si>
  <si>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</si>
  <si>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</si>
  <si>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</si>
  <si>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</si>
  <si>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</si>
  <si>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</si>
  <si>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</si>
  <si>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</si>
  <si>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</si>
  <si>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</si>
  <si>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</si>
  <si>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</si>
  <si>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</si>
  <si>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</si>
  <si>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</si>
  <si>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</si>
  <si>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</si>
  <si>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</si>
  <si>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</si>
  <si>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</si>
  <si>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</si>
  <si>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animesh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</si>
  <si>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</si>
  <si>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</si>
  <si>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</si>
  <si>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</si>
  <si>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</si>
  <si>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</si>
  <si>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</si>
  <si>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</si>
  <si>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</si>
  <si>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</si>
  <si>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</si>
  <si>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</si>
  <si>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</si>
  <si>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</si>
  <si>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</si>
  <si>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</si>
  <si>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</si>
  <si>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</si>
  <si>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</si>
  <si>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</si>
  <si>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</si>
  <si>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</si>
  <si>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</si>
  <si>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</si>
  <si>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</si>
  <si>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</si>
  <si>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</si>
  <si>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</si>
  <si>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</si>
  <si>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</si>
  <si>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</si>
  <si>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</si>
  <si>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</si>
  <si>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</si>
  <si>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</si>
  <si>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</si>
  <si>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</si>
  <si>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</si>
  <si>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</si>
  <si>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</si>
  <si>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</si>
  <si>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</si>
  <si>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</si>
  <si>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</si>
  <si>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</si>
  <si>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</si>
  <si>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</si>
  <si>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</si>
  <si>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</si>
  <si>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</si>
  <si>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</si>
  <si>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</si>
  <si>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</si>
  <si>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</si>
  <si>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</si>
  <si>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</si>
  <si>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</si>
  <si>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</si>
  <si>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</si>
  <si>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</si>
  <si>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</si>
  <si>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</si>
  <si>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</si>
  <si>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</si>
  <si>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</si>
  <si>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</si>
  <si>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</si>
  <si>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</si>
  <si>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</si>
  <si>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</si>
  <si>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</si>
  <si>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</si>
  <si>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</si>
  <si>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</si>
  <si>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</si>
  <si>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</si>
  <si>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</si>
  <si>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</si>
  <si>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</si>
  <si>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</si>
  <si>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</si>
  <si>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</si>
  <si>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</si>
  <si>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</si>
  <si>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</si>
  <si>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</si>
  <si>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</si>
  <si>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</si>
  <si>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</si>
  <si>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</si>
  <si>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</si>
  <si>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</si>
  <si>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</si>
  <si>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</si>
  <si>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</si>
  <si>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</si>
  <si>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</si>
  <si>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</si>
  <si>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</si>
  <si>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</si>
  <si>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</si>
  <si>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</si>
  <si>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</si>
  <si>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</si>
  <si>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</si>
  <si>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</si>
  <si>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</si>
  <si>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</si>
  <si>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</si>
  <si>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</si>
  <si>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</si>
  <si>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</si>
  <si>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</si>
  <si>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</si>
  <si>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</si>
  <si>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</si>
  <si>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</si>
  <si>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</si>
  <si>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</si>
  <si>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</si>
  <si>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</si>
  <si>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</si>
  <si>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</si>
  <si>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</si>
  <si>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</si>
  <si>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</si>
  <si>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</si>
  <si>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</si>
  <si>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</si>
  <si>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</si>
  <si>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</si>
  <si>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</si>
  <si>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</si>
  <si>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</si>
  <si>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</si>
  <si>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</si>
  <si>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</si>
  <si>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</si>
  <si>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</si>
  <si>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</si>
  <si>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</si>
  <si>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</si>
  <si>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</si>
  <si>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</si>
  <si>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</si>
  <si>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</si>
  <si>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</si>
  <si>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</si>
  <si>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</si>
  <si>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</si>
  <si>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</si>
  <si>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</si>
  <si>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</si>
  <si>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</si>
  <si>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</si>
  <si>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</si>
  <si>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</si>
  <si>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</si>
  <si>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</si>
  <si>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</si>
  <si>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</si>
  <si>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</si>
  <si>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</si>
  <si>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</si>
  <si>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</si>
  <si>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</si>
  <si>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</si>
  <si>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</si>
  <si>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</si>
  <si>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</si>
  <si>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</si>
  <si>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</si>
  <si>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</si>
  <si>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</si>
  <si>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</si>
  <si>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</si>
  <si>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</si>
  <si>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</si>
  <si>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</si>
  <si>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</si>
  <si>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</si>
  <si>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</si>
  <si>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</si>
  <si>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</si>
  <si>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</si>
  <si>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</si>
  <si>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</si>
  <si>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</si>
  <si>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</si>
  <si>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</si>
  <si>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</si>
  <si>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</si>
  <si>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</si>
  <si>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</si>
  <si>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</si>
  <si>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</si>
  <si>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</si>
  <si>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</si>
  <si>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</si>
  <si>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</si>
  <si>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</si>
  <si>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</si>
  <si>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</si>
  <si>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</si>
  <si>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</si>
  <si>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</si>
  <si>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</si>
  <si>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</si>
  <si>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</si>
  <si>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</si>
  <si>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</si>
  <si>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</si>
  <si>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</si>
  <si>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</si>
  <si>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</si>
  <si>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</si>
  <si>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</si>
  <si>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</si>
  <si>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</si>
  <si>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</si>
  <si>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</si>
  <si>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</si>
  <si>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</si>
  <si>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</si>
  <si>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</si>
  <si>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</si>
  <si>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</si>
  <si>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</si>
  <si>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</si>
  <si>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</si>
  <si>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</si>
  <si>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</si>
  <si>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</si>
  <si>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</si>
  <si>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</si>
  <si>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</si>
  <si>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</si>
  <si>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</si>
  <si>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</si>
  <si>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</si>
  <si>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</si>
  <si>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</si>
  <si>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</si>
  <si>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</si>
  <si>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</si>
  <si>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</si>
  <si>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</si>
  <si>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</si>
  <si>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</si>
  <si>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</si>
  <si>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</si>
  <si>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</si>
  <si>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</si>
  <si>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</si>
  <si>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</si>
  <si>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</si>
  <si>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</si>
  <si>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</si>
  <si>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</si>
  <si>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</si>
  <si>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</si>
  <si>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</si>
  <si>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</si>
  <si>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</si>
  <si>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</si>
  <si>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</si>
  <si>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</si>
  <si>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</si>
  <si>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</si>
  <si>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</si>
  <si>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</si>
  <si>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</si>
  <si>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</si>
  <si>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</si>
  <si>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</si>
  <si>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</si>
  <si>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</si>
  <si>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</si>
  <si>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</si>
  <si>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</si>
  <si>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</si>
  <si>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</si>
  <si>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</si>
  <si>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</si>
  <si>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</si>
  <si>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</si>
  <si>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</si>
  <si>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</si>
  <si>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</si>
  <si>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</si>
  <si>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</si>
  <si>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</si>
  <si>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</si>
  <si>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</si>
  <si>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</si>
  <si>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</si>
  <si>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</si>
  <si>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</si>
  <si>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</si>
  <si>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</si>
  <si>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</si>
  <si>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</si>
  <si>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</si>
  <si>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</si>
  <si>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</si>
  <si>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</si>
  <si>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</si>
  <si>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</si>
  <si>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</si>
  <si>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</si>
  <si>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</si>
  <si>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13/03/2025 24:00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</si>
  <si>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</si>
  <si>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</si>
  <si>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</si>
  <si>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</si>
  <si>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</si>
  <si>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</si>
  <si>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</si>
  <si>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</si>
  <si>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</si>
  <si>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</si>
  <si>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</si>
  <si>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</si>
  <si>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</si>
  <si>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</si>
  <si>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</si>
  <si>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</si>
  <si>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</si>
  <si>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</si>
  <si>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</si>
  <si>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</si>
  <si>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</si>
  <si>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</si>
  <si>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</si>
  <si>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14/03/2025 24:00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</si>
  <si>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</si>
  <si>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</si>
  <si>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</si>
  <si>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</si>
  <si>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</si>
  <si>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</si>
  <si>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</si>
  <si>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</si>
  <si>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</si>
  <si>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</si>
  <si>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</si>
  <si>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</si>
  <si>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</si>
  <si>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</si>
  <si>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</si>
  <si>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</si>
  <si>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</si>
  <si>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</si>
  <si>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</si>
  <si>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</si>
  <si>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</si>
  <si>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</si>
  <si>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</si>
  <si>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15/03/2025 24:00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</si>
  <si>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</si>
  <si>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</si>
  <si>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</si>
  <si>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</si>
  <si>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</si>
  <si>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</si>
  <si>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</si>
  <si>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</si>
  <si>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</si>
  <si>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</si>
  <si>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</si>
  <si>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</si>
  <si>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</si>
  <si>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</si>
  <si>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</si>
  <si>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</si>
  <si>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</si>
  <si>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</si>
  <si>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</si>
  <si>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</si>
  <si>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</si>
  <si>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</si>
  <si>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</si>
  <si>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16/03/2025 24:00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</si>
  <si>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</si>
  <si>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</si>
  <si>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</si>
  <si>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</si>
  <si>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</si>
  <si>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</si>
  <si>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</si>
  <si>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</si>
  <si>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</si>
  <si>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</si>
  <si>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</si>
  <si>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</si>
  <si>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</si>
  <si>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</si>
  <si>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</si>
  <si>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</si>
  <si>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</si>
  <si>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</si>
  <si>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</si>
  <si>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</si>
  <si>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</si>
  <si>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</si>
  <si>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</si>
  <si>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17/03/2025 24:00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</si>
  <si>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</si>
  <si>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</si>
  <si>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</si>
  <si>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</si>
  <si>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</si>
  <si>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</si>
  <si>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</si>
  <si>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</si>
  <si>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</si>
  <si>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</si>
  <si>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</si>
  <si>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</si>
  <si>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</si>
  <si>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</si>
  <si>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</si>
  <si>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</si>
  <si>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</si>
  <si>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</si>
  <si>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</si>
  <si>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</si>
  <si>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</si>
  <si>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</si>
  <si>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</si>
  <si>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18/03/2025 24:00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</si>
  <si>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</si>
  <si>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</si>
  <si>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</si>
  <si>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</si>
  <si>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</si>
  <si>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</si>
  <si>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</si>
  <si>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</si>
  <si>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</si>
  <si>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</si>
  <si>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</si>
  <si>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</si>
  <si>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</si>
  <si>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</si>
  <si>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</si>
  <si>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</si>
  <si>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</si>
  <si>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</si>
  <si>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</si>
  <si>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</si>
  <si>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</si>
  <si>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</si>
  <si>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</si>
  <si>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19/03/2025 24:00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</si>
  <si>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</si>
  <si>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</si>
  <si>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</si>
  <si>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</si>
  <si>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</si>
  <si>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</si>
  <si>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</si>
  <si>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</si>
  <si>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</si>
  <si>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</si>
  <si>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</si>
  <si>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</si>
  <si>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</si>
  <si>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</si>
  <si>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</si>
  <si>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</si>
  <si>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</si>
  <si>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</si>
  <si>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</si>
  <si>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</si>
  <si>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</si>
  <si>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</si>
  <si>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</si>
  <si>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20/03/2025 24:00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</si>
  <si>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</si>
  <si>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</si>
  <si>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</si>
  <si>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</si>
  <si>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</si>
  <si>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</si>
  <si>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</si>
  <si>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</si>
  <si>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</si>
  <si>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</si>
  <si>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</si>
  <si>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</si>
  <si>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</si>
  <si>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</si>
  <si>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</si>
  <si>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</si>
  <si>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</si>
  <si>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</si>
  <si>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</si>
  <si>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</si>
  <si>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</si>
  <si>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</si>
  <si>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</si>
  <si>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21/03/2025 24:00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</si>
  <si>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</si>
  <si>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</si>
  <si>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</si>
  <si>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</si>
  <si>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</si>
  <si>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</si>
  <si>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</si>
  <si>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</si>
  <si>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</si>
  <si>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</si>
  <si>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</si>
  <si>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</si>
  <si>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</si>
  <si>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</si>
  <si>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</si>
  <si>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</si>
  <si>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</si>
  <si>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</si>
  <si>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</si>
  <si>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</si>
  <si>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</si>
  <si>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</si>
  <si>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</si>
  <si>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22/03/2025 24:00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</si>
  <si>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</si>
  <si>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</si>
  <si>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</si>
  <si>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</si>
  <si>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</si>
  <si>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</si>
  <si>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</si>
  <si>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</si>
  <si>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</si>
  <si>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</si>
  <si>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</si>
  <si>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</si>
  <si>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</si>
  <si>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</si>
  <si>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</si>
  <si>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</si>
  <si>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</si>
  <si>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</si>
  <si>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</si>
  <si>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</si>
  <si>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</si>
  <si>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</si>
  <si>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</si>
  <si>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23/03/2025 24:00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</si>
  <si>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</si>
  <si>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</si>
  <si>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</si>
  <si>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</si>
  <si>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</si>
  <si>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</si>
  <si>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</si>
  <si>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</si>
  <si>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</si>
  <si>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</si>
  <si>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</si>
  <si>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</si>
  <si>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</si>
  <si>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</si>
  <si>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</si>
  <si>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</si>
  <si>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</si>
  <si>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</si>
  <si>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</si>
  <si>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</si>
  <si>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</si>
  <si>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</si>
  <si>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</si>
  <si>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24/03/2025 24:00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</si>
  <si>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</si>
  <si>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</si>
  <si>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</si>
  <si>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</si>
  <si>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</si>
  <si>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</si>
  <si>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</si>
  <si>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</si>
  <si>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</si>
  <si>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</si>
  <si>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</si>
  <si>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</si>
  <si>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</si>
  <si>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</si>
  <si>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</si>
  <si>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</si>
  <si>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</si>
  <si>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</si>
  <si>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</si>
  <si>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</si>
  <si>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</si>
  <si>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</si>
  <si>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</si>
  <si>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25/03/2025 24:00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</si>
  <si>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</si>
  <si>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</si>
  <si>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</si>
  <si>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</si>
  <si>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</si>
  <si>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</si>
  <si>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</si>
  <si>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</si>
  <si>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</si>
  <si>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</si>
  <si>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</si>
  <si>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</si>
  <si>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</si>
  <si>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</si>
  <si>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</si>
  <si>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</si>
  <si>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</si>
  <si>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</si>
  <si>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</si>
  <si>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</si>
  <si>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</si>
  <si>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</si>
  <si>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</si>
  <si>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26/03/2025 24:00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</si>
  <si>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</si>
  <si>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</si>
  <si>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</si>
  <si>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</si>
  <si>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</si>
  <si>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</si>
  <si>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</si>
  <si>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</si>
  <si>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</si>
  <si>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</si>
  <si>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</si>
  <si>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</si>
  <si>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</si>
  <si>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</si>
  <si>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</si>
  <si>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</si>
  <si>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</si>
  <si>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</si>
  <si>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</si>
  <si>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</si>
  <si>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</si>
  <si>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</si>
  <si>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</si>
  <si>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27/03/2025 24:00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</si>
  <si>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</si>
  <si>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</si>
  <si>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</si>
  <si>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</si>
  <si>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</si>
  <si>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</si>
  <si>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</si>
  <si>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</si>
  <si>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</si>
  <si>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</si>
  <si>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</si>
  <si>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</si>
  <si>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</si>
  <si>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</si>
  <si>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</si>
  <si>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</si>
  <si>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</si>
  <si>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</si>
  <si>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</si>
  <si>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</si>
  <si>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</si>
  <si>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</si>
  <si>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</si>
  <si>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28/03/2025 24:00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</si>
  <si>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</si>
  <si>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</si>
  <si>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</si>
  <si>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</si>
  <si>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</si>
  <si>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</si>
  <si>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</si>
  <si>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</si>
  <si>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</si>
  <si>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</si>
  <si>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</si>
  <si>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</si>
  <si>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</si>
  <si>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</si>
  <si>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</si>
  <si>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</si>
  <si>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</si>
  <si>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</si>
  <si>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</si>
  <si>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</si>
  <si>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</si>
  <si>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</si>
  <si>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</si>
  <si>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29/03/2025 24:00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</si>
  <si>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</si>
  <si>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</si>
  <si>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</si>
  <si>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</si>
  <si>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</si>
  <si>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</si>
  <si>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</si>
  <si>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</si>
  <si>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</si>
  <si>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</si>
  <si>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</si>
  <si>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</si>
  <si>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</si>
  <si>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</si>
  <si>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</si>
  <si>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</si>
  <si>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</si>
  <si>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</si>
  <si>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</si>
  <si>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</si>
  <si>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</si>
  <si>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</si>
  <si>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</si>
  <si>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30/03/2025 24:00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</si>
  <si>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</si>
  <si>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</si>
  <si>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</si>
  <si>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</si>
  <si>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</si>
  <si>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</si>
  <si>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</si>
  <si>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</si>
  <si>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</si>
  <si>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</si>
  <si>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</si>
  <si>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</si>
  <si>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</si>
  <si>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</si>
  <si>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</si>
  <si>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</si>
  <si>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</si>
  <si>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</si>
  <si>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</si>
  <si>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</si>
  <si>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</si>
  <si>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</si>
  <si>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</si>
  <si>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31/03/2025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</si>
</sst>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16" activePane="bottomRight" state="frozen"/>
      <selection pane="topRight"/>
      <selection pane="bottomLeft"/>
      <selection pane="bottomRight" activeCell="F9" sqref="F9:F32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61</v>
      </c>
      <c r="B9" s="40">
        <v>12.63</v>
      </c>
      <c r="C9" s="40">
        <v>25.03</v>
      </c>
      <c r="D9" s="40">
        <v>24.56</v>
      </c>
      <c r="E9" s="40">
        <v>11.5</v>
      </c>
      <c r="F9" s="40">
        <v>3.78</v>
      </c>
      <c r="G9" s="40">
        <v>110.66</v>
      </c>
      <c r="H9" s="40">
        <v>35.44</v>
      </c>
      <c r="I9" s="40">
        <v>11.64</v>
      </c>
      <c r="J9" s="40">
        <v>0.26</v>
      </c>
      <c r="K9" s="40">
        <v>217.45</v>
      </c>
      <c r="L9" s="40">
        <v>22.45</v>
      </c>
      <c r="M9" s="40">
        <v>65.25</v>
      </c>
      <c r="N9" s="40">
        <v>1.3</v>
      </c>
      <c r="O9" s="40">
        <v>0</v>
      </c>
      <c r="P9" s="40">
        <v>1.05</v>
      </c>
      <c r="Q9" s="40">
        <v>28.35</v>
      </c>
      <c r="R9" s="38"/>
      <c r="S9" s="38"/>
      <c r="T9" s="38"/>
      <c r="U9" s="38"/>
    </row>
    <row r="10" spans="1:21" customFormat="1">
      <c r="A10" s="39" t="s">
        <v>62</v>
      </c>
      <c r="B10" s="40">
        <v>12.76</v>
      </c>
      <c r="C10" s="40">
        <v>26.11</v>
      </c>
      <c r="D10" s="40">
        <v>25.22</v>
      </c>
      <c r="E10" s="40">
        <v>11.19</v>
      </c>
      <c r="F10" s="40">
        <v>3.9</v>
      </c>
      <c r="G10" s="40">
        <v>110.25</v>
      </c>
      <c r="H10" s="40">
        <v>33.619999999999997</v>
      </c>
      <c r="I10" s="40">
        <v>12.58</v>
      </c>
      <c r="J10" s="40">
        <v>0.21</v>
      </c>
      <c r="K10" s="40">
        <v>220.08</v>
      </c>
      <c r="L10" s="40">
        <v>21.65</v>
      </c>
      <c r="M10" s="40">
        <v>66.63</v>
      </c>
      <c r="N10" s="40">
        <v>1.2</v>
      </c>
      <c r="O10" s="40">
        <v>0</v>
      </c>
      <c r="P10" s="40">
        <v>1.1200000000000001</v>
      </c>
      <c r="Q10" s="40">
        <v>28.38</v>
      </c>
      <c r="R10" s="38"/>
      <c r="S10" s="38"/>
      <c r="T10" s="38"/>
      <c r="U10" s="38"/>
    </row>
    <row r="11" spans="1:21" customFormat="1">
      <c r="A11" s="39" t="s">
        <v>63</v>
      </c>
      <c r="B11" s="40">
        <v>16.7</v>
      </c>
      <c r="C11" s="40">
        <v>27.96</v>
      </c>
      <c r="D11" s="40">
        <v>29.35</v>
      </c>
      <c r="E11" s="40">
        <v>9.41</v>
      </c>
      <c r="F11" s="40">
        <v>3.91</v>
      </c>
      <c r="G11" s="40">
        <v>109.53</v>
      </c>
      <c r="H11" s="40">
        <v>33.520000000000003</v>
      </c>
      <c r="I11" s="40">
        <v>13.8</v>
      </c>
      <c r="J11" s="40">
        <v>0.27</v>
      </c>
      <c r="K11" s="40">
        <v>221.12</v>
      </c>
      <c r="L11" s="40">
        <v>21.95</v>
      </c>
      <c r="M11" s="40">
        <v>69.180000000000007</v>
      </c>
      <c r="N11" s="40">
        <v>1.6</v>
      </c>
      <c r="O11" s="40">
        <v>0</v>
      </c>
      <c r="P11" s="40">
        <v>1.18</v>
      </c>
      <c r="Q11" s="40">
        <v>28.52</v>
      </c>
      <c r="R11" s="38"/>
      <c r="S11" s="38"/>
      <c r="T11" s="38"/>
      <c r="U11" s="38"/>
    </row>
    <row r="12" spans="1:21" customFormat="1">
      <c r="A12" s="39" t="s">
        <v>64</v>
      </c>
      <c r="B12" s="40">
        <v>16.53</v>
      </c>
      <c r="C12" s="40">
        <v>27.87</v>
      </c>
      <c r="D12" s="40">
        <v>29.17</v>
      </c>
      <c r="E12" s="40">
        <v>9.7799999999999994</v>
      </c>
      <c r="F12" s="40">
        <v>3.75</v>
      </c>
      <c r="G12" s="40">
        <v>109.53</v>
      </c>
      <c r="H12" s="40">
        <v>33.520000000000003</v>
      </c>
      <c r="I12" s="40">
        <v>14.51</v>
      </c>
      <c r="J12" s="40">
        <v>0.28999999999999998</v>
      </c>
      <c r="K12" s="40">
        <v>197.53</v>
      </c>
      <c r="L12" s="40">
        <v>19.989999999999998</v>
      </c>
      <c r="M12" s="40">
        <v>70.59</v>
      </c>
      <c r="N12" s="40">
        <v>1.3</v>
      </c>
      <c r="O12" s="40">
        <v>0</v>
      </c>
      <c r="P12" s="40">
        <v>1.19</v>
      </c>
      <c r="Q12" s="40">
        <v>28.52</v>
      </c>
      <c r="R12" s="38"/>
      <c r="S12" s="38"/>
      <c r="T12" s="38"/>
      <c r="U12" s="38"/>
    </row>
    <row r="13" spans="1:21" customFormat="1">
      <c r="A13" s="39" t="s">
        <v>65</v>
      </c>
      <c r="B13" s="40">
        <v>15.14</v>
      </c>
      <c r="C13" s="40">
        <v>26.76</v>
      </c>
      <c r="D13" s="40">
        <v>27.47</v>
      </c>
      <c r="E13" s="40">
        <v>9.65</v>
      </c>
      <c r="F13" s="40">
        <v>3.79</v>
      </c>
      <c r="G13" s="40">
        <v>98.48</v>
      </c>
      <c r="H13" s="40">
        <v>30.88</v>
      </c>
      <c r="I13" s="40">
        <v>14.63</v>
      </c>
      <c r="J13" s="40">
        <v>0.2</v>
      </c>
      <c r="K13" s="40">
        <v>188.13</v>
      </c>
      <c r="L13" s="40">
        <v>19.36</v>
      </c>
      <c r="M13" s="40">
        <v>73.8</v>
      </c>
      <c r="N13" s="40">
        <v>1.1000000000000001</v>
      </c>
      <c r="O13" s="40">
        <v>0</v>
      </c>
      <c r="P13" s="40">
        <v>1.19</v>
      </c>
      <c r="Q13" s="40">
        <v>28.46</v>
      </c>
      <c r="R13" s="38"/>
      <c r="S13" s="38"/>
      <c r="T13" s="38"/>
      <c r="U13" s="38"/>
    </row>
    <row r="14" spans="1:21" customFormat="1">
      <c r="A14" s="39" t="s">
        <v>66</v>
      </c>
      <c r="B14" s="40">
        <v>13.54</v>
      </c>
      <c r="C14" s="40">
        <v>24.66</v>
      </c>
      <c r="D14" s="40">
        <v>25.09</v>
      </c>
      <c r="E14" s="40">
        <v>9.36</v>
      </c>
      <c r="F14" s="40">
        <v>3.78</v>
      </c>
      <c r="G14" s="40">
        <v>86.64</v>
      </c>
      <c r="H14" s="40">
        <v>24.1</v>
      </c>
      <c r="I14" s="40">
        <v>14.62</v>
      </c>
      <c r="J14" s="40">
        <v>0.18</v>
      </c>
      <c r="K14" s="40">
        <v>190.15</v>
      </c>
      <c r="L14" s="40">
        <v>19.38</v>
      </c>
      <c r="M14" s="40">
        <v>72.22</v>
      </c>
      <c r="N14" s="40">
        <v>1</v>
      </c>
      <c r="O14" s="40">
        <v>0</v>
      </c>
      <c r="P14" s="40">
        <v>1.22</v>
      </c>
      <c r="Q14" s="40">
        <v>28.4</v>
      </c>
      <c r="R14" s="38"/>
      <c r="S14" s="38"/>
      <c r="T14" s="38"/>
      <c r="U14" s="38"/>
    </row>
    <row r="15" spans="1:21" customFormat="1">
      <c r="A15" s="39" t="s">
        <v>67</v>
      </c>
      <c r="B15" s="40">
        <v>13.48</v>
      </c>
      <c r="C15" s="40">
        <v>23.79</v>
      </c>
      <c r="D15" s="40">
        <v>24.53</v>
      </c>
      <c r="E15" s="40">
        <v>8.9499999999999993</v>
      </c>
      <c r="F15" s="40">
        <v>3.87</v>
      </c>
      <c r="G15" s="40">
        <v>86.77</v>
      </c>
      <c r="H15" s="40">
        <v>26.38</v>
      </c>
      <c r="I15" s="40">
        <v>14.48</v>
      </c>
      <c r="J15" s="40">
        <v>0.22</v>
      </c>
      <c r="K15" s="40">
        <v>250.42</v>
      </c>
      <c r="L15" s="40">
        <v>18.64</v>
      </c>
      <c r="M15" s="40">
        <v>75.61</v>
      </c>
      <c r="N15" s="40">
        <v>15.3</v>
      </c>
      <c r="O15" s="40">
        <v>0</v>
      </c>
      <c r="P15" s="40">
        <v>1.19</v>
      </c>
      <c r="Q15" s="40">
        <v>28.42</v>
      </c>
      <c r="R15" s="38"/>
      <c r="S15" s="38"/>
      <c r="T15" s="38"/>
      <c r="U15" s="38"/>
    </row>
    <row r="16" spans="1:21" customFormat="1">
      <c r="A16" s="39" t="s">
        <v>68</v>
      </c>
      <c r="B16" s="40">
        <v>13.41</v>
      </c>
      <c r="C16" s="40">
        <v>22.63</v>
      </c>
      <c r="D16" s="40">
        <v>23.93</v>
      </c>
      <c r="E16" s="40">
        <v>8.76</v>
      </c>
      <c r="F16" s="40">
        <v>3.95</v>
      </c>
      <c r="G16" s="40">
        <v>91.53</v>
      </c>
      <c r="H16" s="40">
        <v>26.89</v>
      </c>
      <c r="I16" s="40">
        <v>14.25</v>
      </c>
      <c r="J16" s="40">
        <v>0.14000000000000001</v>
      </c>
      <c r="K16" s="40">
        <v>220.78</v>
      </c>
      <c r="L16" s="40">
        <v>22.9</v>
      </c>
      <c r="M16" s="40">
        <v>72.3</v>
      </c>
      <c r="N16" s="40">
        <v>52.8</v>
      </c>
      <c r="O16" s="40">
        <v>0</v>
      </c>
      <c r="P16" s="40">
        <v>1.18</v>
      </c>
      <c r="Q16" s="40">
        <v>28.4</v>
      </c>
      <c r="R16" s="38"/>
      <c r="S16" s="38"/>
      <c r="T16" s="38"/>
      <c r="U16" s="38"/>
    </row>
    <row r="17" spans="1:21" customFormat="1">
      <c r="A17" s="39" t="s">
        <v>69</v>
      </c>
      <c r="B17" s="40">
        <v>12.8</v>
      </c>
      <c r="C17" s="40">
        <v>22.7</v>
      </c>
      <c r="D17" s="40">
        <v>23.33</v>
      </c>
      <c r="E17" s="40">
        <v>9.6300000000000008</v>
      </c>
      <c r="F17" s="40">
        <v>4.01</v>
      </c>
      <c r="G17" s="40">
        <v>91.53</v>
      </c>
      <c r="H17" s="40">
        <v>27.35</v>
      </c>
      <c r="I17" s="40">
        <v>14.23</v>
      </c>
      <c r="J17" s="40">
        <v>0.95</v>
      </c>
      <c r="K17" s="40">
        <v>260.06</v>
      </c>
      <c r="L17" s="40">
        <v>27.01</v>
      </c>
      <c r="M17" s="40">
        <v>49.18</v>
      </c>
      <c r="N17" s="40">
        <v>223.8</v>
      </c>
      <c r="O17" s="40">
        <v>0</v>
      </c>
      <c r="P17" s="40">
        <v>1.1599999999999999</v>
      </c>
      <c r="Q17" s="40">
        <v>28.36</v>
      </c>
      <c r="R17" s="38"/>
      <c r="S17" s="38"/>
      <c r="T17" s="38"/>
      <c r="U17" s="38"/>
    </row>
    <row r="18" spans="1:21" customFormat="1">
      <c r="A18" s="39" t="s">
        <v>70</v>
      </c>
      <c r="B18" s="40">
        <v>9.5299999999999994</v>
      </c>
      <c r="C18" s="40">
        <v>23.31</v>
      </c>
      <c r="D18" s="40">
        <v>20.9</v>
      </c>
      <c r="E18" s="40">
        <v>9.6300000000000008</v>
      </c>
      <c r="F18" s="40">
        <v>4.92</v>
      </c>
      <c r="G18" s="40">
        <v>90.34</v>
      </c>
      <c r="H18" s="40">
        <v>32.44</v>
      </c>
      <c r="I18" s="40">
        <v>13.67</v>
      </c>
      <c r="J18" s="40">
        <v>1.01</v>
      </c>
      <c r="K18" s="40">
        <v>273.8</v>
      </c>
      <c r="L18" s="40">
        <v>29.83</v>
      </c>
      <c r="M18" s="40">
        <v>42.9</v>
      </c>
      <c r="N18" s="40">
        <v>282.2</v>
      </c>
      <c r="O18" s="40">
        <v>0</v>
      </c>
      <c r="P18" s="40">
        <v>1.0900000000000001</v>
      </c>
      <c r="Q18" s="40">
        <v>28.24</v>
      </c>
      <c r="R18" s="38"/>
      <c r="S18" s="38"/>
      <c r="T18" s="38"/>
      <c r="U18" s="38"/>
    </row>
    <row r="19" spans="1:21" customFormat="1">
      <c r="A19" s="39" t="s">
        <v>71</v>
      </c>
      <c r="B19" s="40">
        <v>5.34</v>
      </c>
      <c r="C19" s="40">
        <v>23.54</v>
      </c>
      <c r="D19" s="40">
        <v>17.89</v>
      </c>
      <c r="E19" s="40">
        <v>11.66</v>
      </c>
      <c r="F19" s="40">
        <v>7.04</v>
      </c>
      <c r="G19" s="40">
        <v>77.84</v>
      </c>
      <c r="H19" s="40">
        <v>33.29</v>
      </c>
      <c r="I19" s="40">
        <v>12.59</v>
      </c>
      <c r="J19" s="40">
        <v>1.33</v>
      </c>
      <c r="K19" s="40">
        <v>293.39999999999998</v>
      </c>
      <c r="L19" s="40">
        <v>31.51</v>
      </c>
      <c r="M19" s="40">
        <v>39.479999999999997</v>
      </c>
      <c r="N19" s="40">
        <v>319.7</v>
      </c>
      <c r="O19" s="40">
        <v>0</v>
      </c>
      <c r="P19" s="40">
        <v>0.97</v>
      </c>
      <c r="Q19" s="40">
        <v>28.05</v>
      </c>
      <c r="R19" s="38"/>
      <c r="S19" s="38"/>
      <c r="T19" s="38"/>
      <c r="U19" s="38"/>
    </row>
    <row r="20" spans="1:21" customFormat="1">
      <c r="A20" s="39" t="s">
        <v>72</v>
      </c>
      <c r="B20" s="40">
        <v>4</v>
      </c>
      <c r="C20" s="40">
        <v>22.92</v>
      </c>
      <c r="D20" s="40">
        <v>16.53</v>
      </c>
      <c r="E20" s="40">
        <v>13.05</v>
      </c>
      <c r="F20" s="40">
        <v>9.5299999999999994</v>
      </c>
      <c r="G20" s="40">
        <v>76.040000000000006</v>
      </c>
      <c r="H20" s="40">
        <v>36.06</v>
      </c>
      <c r="I20" s="40">
        <v>11.4</v>
      </c>
      <c r="J20" s="40">
        <v>1.28</v>
      </c>
      <c r="K20" s="40">
        <v>298.73</v>
      </c>
      <c r="L20" s="40">
        <v>33.4</v>
      </c>
      <c r="M20" s="40">
        <v>37.049999999999997</v>
      </c>
      <c r="N20" s="40">
        <v>328.1</v>
      </c>
      <c r="O20" s="40">
        <v>0</v>
      </c>
      <c r="P20" s="40">
        <v>0.87</v>
      </c>
      <c r="Q20" s="40">
        <v>28.02</v>
      </c>
      <c r="R20" s="38"/>
      <c r="S20" s="38"/>
      <c r="T20" s="38"/>
      <c r="U20" s="38"/>
    </row>
    <row r="21" spans="1:21" customFormat="1">
      <c r="A21" s="39" t="s">
        <v>73</v>
      </c>
      <c r="B21" s="40">
        <v>3.87</v>
      </c>
      <c r="C21" s="40">
        <v>22.12</v>
      </c>
      <c r="D21" s="40">
        <v>15.99</v>
      </c>
      <c r="E21" s="40">
        <v>12.72</v>
      </c>
      <c r="F21" s="40">
        <v>12.89</v>
      </c>
      <c r="G21" s="40">
        <v>73.23</v>
      </c>
      <c r="H21" s="40">
        <v>44.51</v>
      </c>
      <c r="I21" s="40">
        <v>10.09</v>
      </c>
      <c r="J21" s="40">
        <v>1.06</v>
      </c>
      <c r="K21" s="40">
        <v>287.05</v>
      </c>
      <c r="L21" s="40">
        <v>35.43</v>
      </c>
      <c r="M21" s="40">
        <v>33.51</v>
      </c>
      <c r="N21" s="40">
        <v>338.7</v>
      </c>
      <c r="O21" s="40">
        <v>0</v>
      </c>
      <c r="P21" s="40">
        <v>0.76</v>
      </c>
      <c r="Q21" s="40">
        <v>28</v>
      </c>
      <c r="R21" s="38"/>
      <c r="S21" s="38"/>
      <c r="T21" s="38"/>
      <c r="U21" s="38"/>
    </row>
    <row r="22" spans="1:21" customFormat="1">
      <c r="A22" s="39" t="s">
        <v>74</v>
      </c>
      <c r="B22" s="40">
        <v>3.87</v>
      </c>
      <c r="C22" s="40">
        <v>20.83</v>
      </c>
      <c r="D22" s="40">
        <v>15.33</v>
      </c>
      <c r="E22" s="40">
        <v>12.8</v>
      </c>
      <c r="F22" s="40">
        <v>14.3</v>
      </c>
      <c r="G22" s="40">
        <v>62.64</v>
      </c>
      <c r="H22" s="40">
        <v>44.51</v>
      </c>
      <c r="I22" s="40">
        <v>9.07</v>
      </c>
      <c r="J22" s="40">
        <v>0.92</v>
      </c>
      <c r="K22" s="40">
        <v>285.08999999999997</v>
      </c>
      <c r="L22" s="40">
        <v>36.090000000000003</v>
      </c>
      <c r="M22" s="40">
        <v>30.79</v>
      </c>
      <c r="N22" s="40">
        <v>326.89999999999998</v>
      </c>
      <c r="O22" s="40">
        <v>0</v>
      </c>
      <c r="P22" s="40">
        <v>0.67</v>
      </c>
      <c r="Q22" s="40">
        <v>28</v>
      </c>
      <c r="R22" s="38"/>
      <c r="S22" s="38"/>
      <c r="T22" s="38"/>
      <c r="U22" s="38"/>
    </row>
    <row r="23" spans="1:21" customFormat="1">
      <c r="A23" s="39" t="s">
        <v>75</v>
      </c>
      <c r="B23" s="40">
        <v>3.96</v>
      </c>
      <c r="C23" s="40">
        <v>20.66</v>
      </c>
      <c r="D23" s="40">
        <v>15.3</v>
      </c>
      <c r="E23" s="40">
        <v>14.33</v>
      </c>
      <c r="F23" s="40">
        <v>20.87</v>
      </c>
      <c r="G23" s="40">
        <v>62.26</v>
      </c>
      <c r="H23" s="40">
        <v>42.19</v>
      </c>
      <c r="I23" s="40">
        <v>8.0500000000000007</v>
      </c>
      <c r="J23" s="40">
        <v>1.1299999999999999</v>
      </c>
      <c r="K23" s="40">
        <v>301.64999999999998</v>
      </c>
      <c r="L23" s="40">
        <v>35.72</v>
      </c>
      <c r="M23" s="40">
        <v>27.8</v>
      </c>
      <c r="N23" s="40">
        <v>312.7</v>
      </c>
      <c r="O23" s="40">
        <v>0</v>
      </c>
      <c r="P23" s="40">
        <v>0.69</v>
      </c>
      <c r="Q23" s="40">
        <v>28.01</v>
      </c>
      <c r="R23" s="38"/>
      <c r="S23" s="38"/>
      <c r="T23" s="38"/>
      <c r="U23" s="38"/>
    </row>
    <row r="24" spans="1:21" customFormat="1">
      <c r="A24" s="39" t="s">
        <v>76</v>
      </c>
      <c r="B24" s="40">
        <v>4.09</v>
      </c>
      <c r="C24" s="40">
        <v>19.16</v>
      </c>
      <c r="D24" s="40">
        <v>14.58</v>
      </c>
      <c r="E24" s="40">
        <v>16.48</v>
      </c>
      <c r="F24" s="40">
        <v>18.63</v>
      </c>
      <c r="G24" s="40">
        <v>62.26</v>
      </c>
      <c r="H24" s="40">
        <v>39.479999999999997</v>
      </c>
      <c r="I24" s="40">
        <v>7.09</v>
      </c>
      <c r="J24" s="40">
        <v>0.82</v>
      </c>
      <c r="K24" s="40">
        <v>291.99</v>
      </c>
      <c r="L24" s="40">
        <v>35.01</v>
      </c>
      <c r="M24" s="40">
        <v>27.4</v>
      </c>
      <c r="N24" s="40">
        <v>80.3</v>
      </c>
      <c r="O24" s="40">
        <v>0</v>
      </c>
      <c r="P24" s="40">
        <v>0.7</v>
      </c>
      <c r="Q24" s="40">
        <v>28.02</v>
      </c>
      <c r="R24" s="38"/>
      <c r="S24" s="38"/>
      <c r="T24" s="38"/>
      <c r="U24" s="38"/>
    </row>
    <row r="25" spans="1:21" customFormat="1">
      <c r="A25" s="39" t="s">
        <v>77</v>
      </c>
      <c r="B25" s="40">
        <v>4.13</v>
      </c>
      <c r="C25" s="40">
        <v>18.46</v>
      </c>
      <c r="D25" s="40">
        <v>14.31</v>
      </c>
      <c r="E25" s="40">
        <v>20.94</v>
      </c>
      <c r="F25" s="40">
        <v>31.05</v>
      </c>
      <c r="G25" s="40">
        <v>56.27</v>
      </c>
      <c r="H25" s="40">
        <v>38.54</v>
      </c>
      <c r="I25" s="40">
        <v>6.02</v>
      </c>
      <c r="J25" s="40">
        <v>0.63</v>
      </c>
      <c r="K25" s="40">
        <v>313.3</v>
      </c>
      <c r="L25" s="40">
        <v>34.81</v>
      </c>
      <c r="M25" s="40">
        <v>23.87</v>
      </c>
      <c r="N25" s="40">
        <v>65.7</v>
      </c>
      <c r="O25" s="40">
        <v>0</v>
      </c>
      <c r="P25" s="40">
        <v>0.67</v>
      </c>
      <c r="Q25" s="40">
        <v>28.03</v>
      </c>
      <c r="R25" s="38"/>
      <c r="S25" s="38"/>
      <c r="T25" s="38"/>
      <c r="U25" s="38"/>
    </row>
    <row r="26" spans="1:21" customFormat="1">
      <c r="A26" s="39" t="s">
        <v>78</v>
      </c>
      <c r="B26" s="40">
        <v>4.07</v>
      </c>
      <c r="C26" s="40">
        <v>18.25</v>
      </c>
      <c r="D26" s="40">
        <v>14.11</v>
      </c>
      <c r="E26" s="40">
        <v>27.7</v>
      </c>
      <c r="F26" s="40">
        <v>33.42</v>
      </c>
      <c r="G26" s="40">
        <v>52.5</v>
      </c>
      <c r="H26" s="40">
        <v>36.18</v>
      </c>
      <c r="I26" s="40">
        <v>5.84</v>
      </c>
      <c r="J26" s="40">
        <v>0.47</v>
      </c>
      <c r="K26" s="40">
        <v>253.28</v>
      </c>
      <c r="L26" s="40">
        <v>33.39</v>
      </c>
      <c r="M26" s="40">
        <v>30.32</v>
      </c>
      <c r="N26" s="40">
        <v>26</v>
      </c>
      <c r="O26" s="40">
        <v>0</v>
      </c>
      <c r="P26" s="40">
        <v>0.71</v>
      </c>
      <c r="Q26" s="40">
        <v>28.02</v>
      </c>
      <c r="R26" s="38"/>
      <c r="S26" s="38"/>
      <c r="T26" s="38"/>
      <c r="U26" s="38"/>
    </row>
    <row r="27" spans="1:21" customFormat="1">
      <c r="A27" s="39" t="s">
        <v>79</v>
      </c>
      <c r="B27" s="40">
        <v>4.29</v>
      </c>
      <c r="C27" s="40">
        <v>19.29</v>
      </c>
      <c r="D27" s="40">
        <v>14.87</v>
      </c>
      <c r="E27" s="40">
        <v>17.170000000000002</v>
      </c>
      <c r="F27" s="40">
        <v>6.15</v>
      </c>
      <c r="G27" s="40">
        <v>51.93</v>
      </c>
      <c r="H27" s="40">
        <v>33.549999999999997</v>
      </c>
      <c r="I27" s="40">
        <v>6.78</v>
      </c>
      <c r="J27" s="40">
        <v>0.25</v>
      </c>
      <c r="K27" s="40">
        <v>176.17</v>
      </c>
      <c r="L27" s="40">
        <v>30.6</v>
      </c>
      <c r="M27" s="40">
        <v>45.85</v>
      </c>
      <c r="N27" s="40">
        <v>2.2000000000000002</v>
      </c>
      <c r="O27" s="40">
        <v>0</v>
      </c>
      <c r="P27" s="40">
        <v>0.78</v>
      </c>
      <c r="Q27" s="40">
        <v>28.03</v>
      </c>
      <c r="R27" s="38"/>
      <c r="S27" s="38"/>
      <c r="T27" s="38"/>
      <c r="U27" s="38"/>
    </row>
    <row r="28" spans="1:21" customFormat="1">
      <c r="A28" s="39" t="s">
        <v>80</v>
      </c>
      <c r="B28" s="40">
        <v>4.71</v>
      </c>
      <c r="C28" s="40">
        <v>19.55</v>
      </c>
      <c r="D28" s="40">
        <v>15.34</v>
      </c>
      <c r="E28" s="40">
        <v>13.65</v>
      </c>
      <c r="F28" s="40">
        <v>6.36</v>
      </c>
      <c r="G28" s="40">
        <v>58.71</v>
      </c>
      <c r="H28" s="40">
        <v>33.549999999999997</v>
      </c>
      <c r="I28" s="40">
        <v>9.33</v>
      </c>
      <c r="J28" s="40">
        <v>0.21</v>
      </c>
      <c r="K28" s="40">
        <v>181.52</v>
      </c>
      <c r="L28" s="40">
        <v>27.44</v>
      </c>
      <c r="M28" s="40">
        <v>52.04</v>
      </c>
      <c r="N28" s="40">
        <v>1.2</v>
      </c>
      <c r="O28" s="40">
        <v>0</v>
      </c>
      <c r="P28" s="40">
        <v>0.85</v>
      </c>
      <c r="Q28" s="40">
        <v>28.03</v>
      </c>
      <c r="R28" s="38"/>
      <c r="S28" s="38"/>
      <c r="T28" s="38"/>
      <c r="U28" s="38"/>
    </row>
    <row r="29" spans="1:21" customFormat="1">
      <c r="A29" s="39" t="s">
        <v>81</v>
      </c>
      <c r="B29" s="40">
        <v>5.08</v>
      </c>
      <c r="C29" s="40">
        <v>21.45</v>
      </c>
      <c r="D29" s="40">
        <v>16.63</v>
      </c>
      <c r="E29" s="40">
        <v>11.45</v>
      </c>
      <c r="F29" s="40">
        <v>3.9</v>
      </c>
      <c r="G29" s="40">
        <v>74.53</v>
      </c>
      <c r="H29" s="40">
        <v>32.49</v>
      </c>
      <c r="I29" s="40">
        <v>8.99</v>
      </c>
      <c r="J29" s="40">
        <v>0.22</v>
      </c>
      <c r="K29" s="40">
        <v>185.31</v>
      </c>
      <c r="L29" s="40">
        <v>26.19</v>
      </c>
      <c r="M29" s="40">
        <v>53.74</v>
      </c>
      <c r="N29" s="40">
        <v>1.1000000000000001</v>
      </c>
      <c r="O29" s="40">
        <v>0</v>
      </c>
      <c r="P29" s="40">
        <v>0.84</v>
      </c>
      <c r="Q29" s="40">
        <v>28.05</v>
      </c>
      <c r="R29" s="38"/>
      <c r="S29" s="38"/>
      <c r="T29" s="38"/>
      <c r="U29" s="38"/>
    </row>
    <row r="30" spans="1:21" customFormat="1">
      <c r="A30" s="39" t="s">
        <v>82</v>
      </c>
      <c r="B30" s="40">
        <v>5.61</v>
      </c>
      <c r="C30" s="40">
        <v>22.69</v>
      </c>
      <c r="D30" s="40">
        <v>17.7</v>
      </c>
      <c r="E30" s="40">
        <v>11.26</v>
      </c>
      <c r="F30" s="40">
        <v>3.75</v>
      </c>
      <c r="G30" s="40">
        <v>74.53</v>
      </c>
      <c r="H30" s="40">
        <v>31.64</v>
      </c>
      <c r="I30" s="40">
        <v>10.1</v>
      </c>
      <c r="J30" s="40">
        <v>0.28000000000000003</v>
      </c>
      <c r="K30" s="40">
        <v>179.63</v>
      </c>
      <c r="L30" s="40">
        <v>25.77</v>
      </c>
      <c r="M30" s="40">
        <v>57.43</v>
      </c>
      <c r="N30" s="40">
        <v>1.2</v>
      </c>
      <c r="O30" s="40">
        <v>0</v>
      </c>
      <c r="P30" s="40">
        <v>0.94</v>
      </c>
      <c r="Q30" s="40">
        <v>28.08</v>
      </c>
      <c r="R30" s="38"/>
      <c r="S30" s="38"/>
      <c r="T30" s="38"/>
      <c r="U30" s="38"/>
    </row>
    <row r="31" spans="1:21" customFormat="1">
      <c r="A31" s="39" t="s">
        <v>83</v>
      </c>
      <c r="B31" s="40">
        <v>6.05</v>
      </c>
      <c r="C31" s="40">
        <v>23.16</v>
      </c>
      <c r="D31" s="40">
        <v>18.29</v>
      </c>
      <c r="E31" s="40">
        <v>11.01</v>
      </c>
      <c r="F31" s="40">
        <v>4.12</v>
      </c>
      <c r="G31" s="40">
        <v>80.09</v>
      </c>
      <c r="H31" s="40">
        <v>30.27</v>
      </c>
      <c r="I31" s="40">
        <v>11.86</v>
      </c>
      <c r="J31" s="40">
        <v>0.27</v>
      </c>
      <c r="K31" s="40">
        <v>173.08</v>
      </c>
      <c r="L31" s="40">
        <v>24.9</v>
      </c>
      <c r="M31" s="40">
        <v>60.85</v>
      </c>
      <c r="N31" s="40">
        <v>1.2</v>
      </c>
      <c r="O31" s="40">
        <v>0</v>
      </c>
      <c r="P31" s="40">
        <v>1.04</v>
      </c>
      <c r="Q31" s="40">
        <v>28.1</v>
      </c>
      <c r="R31" s="38"/>
      <c r="S31" s="38"/>
      <c r="T31" s="38"/>
      <c r="U31" s="38"/>
    </row>
    <row r="32" spans="1:21" customFormat="1">
      <c r="A32" s="39" t="s">
        <v>84</v>
      </c>
      <c r="B32" s="40">
        <v>7.43</v>
      </c>
      <c r="C32" s="40">
        <v>23.89</v>
      </c>
      <c r="D32" s="40">
        <v>19.77</v>
      </c>
      <c r="E32" s="40">
        <v>11.07</v>
      </c>
      <c r="F32" s="40">
        <v>4.1900000000000004</v>
      </c>
      <c r="G32" s="40">
        <v>80.09</v>
      </c>
      <c r="H32" s="40">
        <v>28.58</v>
      </c>
      <c r="I32" s="40">
        <v>13.66</v>
      </c>
      <c r="J32" s="40">
        <v>0.28000000000000003</v>
      </c>
      <c r="K32" s="40">
        <v>188.98</v>
      </c>
      <c r="L32" s="40">
        <v>24.31</v>
      </c>
      <c r="M32" s="40">
        <v>60.74</v>
      </c>
      <c r="N32" s="40">
        <v>1.4</v>
      </c>
      <c r="O32" s="40">
        <v>0</v>
      </c>
      <c r="P32" s="40">
        <v>1.08</v>
      </c>
      <c r="Q32" s="40">
        <v>28.14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3.87</v>
      </c>
      <c r="C34" s="18">
        <f t="shared" si="0"/>
        <v>18.25</v>
      </c>
      <c r="D34" s="18">
        <f t="shared" si="0"/>
        <v>14.11</v>
      </c>
      <c r="E34" s="18">
        <f t="shared" si="0"/>
        <v>8.76</v>
      </c>
      <c r="F34" s="18">
        <f t="shared" si="0"/>
        <v>3.75</v>
      </c>
      <c r="G34" s="18">
        <f t="shared" si="0"/>
        <v>51.93</v>
      </c>
      <c r="H34" s="18">
        <f t="shared" si="0"/>
        <v>24.1</v>
      </c>
      <c r="I34" s="18">
        <f t="shared" si="0"/>
        <v>5.84</v>
      </c>
      <c r="J34" s="18">
        <f t="shared" si="0"/>
        <v>0.14000000000000001</v>
      </c>
      <c r="K34" s="18">
        <f t="shared" si="0"/>
        <v>173.08</v>
      </c>
      <c r="L34" s="18">
        <f t="shared" si="0"/>
        <v>18.64</v>
      </c>
      <c r="M34" s="18">
        <f t="shared" si="0"/>
        <v>23.87</v>
      </c>
      <c r="N34" s="18">
        <f t="shared" si="0"/>
        <v>1</v>
      </c>
      <c r="O34" s="18">
        <f t="shared" si="0"/>
        <v>0</v>
      </c>
      <c r="P34" s="18">
        <f t="shared" si="0"/>
        <v>0.67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16.7</v>
      </c>
      <c r="C35" s="3">
        <f t="shared" si="1"/>
        <v>27.96</v>
      </c>
      <c r="D35" s="3">
        <f t="shared" si="1"/>
        <v>29.35</v>
      </c>
      <c r="E35" s="3">
        <f t="shared" si="1"/>
        <v>27.7</v>
      </c>
      <c r="F35" s="3">
        <f t="shared" si="1"/>
        <v>33.42</v>
      </c>
      <c r="G35" s="3">
        <f t="shared" si="1"/>
        <v>110.66</v>
      </c>
      <c r="H35" s="3">
        <f t="shared" si="1"/>
        <v>44.51</v>
      </c>
      <c r="I35" s="3">
        <f t="shared" si="1"/>
        <v>14.63</v>
      </c>
      <c r="J35" s="3">
        <f t="shared" si="1"/>
        <v>1.33</v>
      </c>
      <c r="K35" s="3">
        <f t="shared" si="1"/>
        <v>313.3</v>
      </c>
      <c r="L35" s="3">
        <f t="shared" si="1"/>
        <v>36.090000000000003</v>
      </c>
      <c r="M35" s="3">
        <f t="shared" si="1"/>
        <v>75.61</v>
      </c>
      <c r="N35" s="3">
        <f t="shared" si="1"/>
        <v>338.7</v>
      </c>
      <c r="O35" s="3">
        <f t="shared" si="1"/>
        <v>0</v>
      </c>
      <c r="P35" s="3">
        <f t="shared" si="1"/>
        <v>1.22</v>
      </c>
      <c r="Q35" s="3">
        <f t="shared" si="1"/>
        <v>28.52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8.4591666666666701</v>
      </c>
      <c r="C36" s="18">
        <f t="shared" si="2"/>
        <v>22.782916666666665</v>
      </c>
      <c r="D36" s="18">
        <f t="shared" si="2"/>
        <v>20.007916666666667</v>
      </c>
      <c r="E36" s="18">
        <f t="shared" si="2"/>
        <v>12.631249999999996</v>
      </c>
      <c r="F36" s="18">
        <f t="shared" si="2"/>
        <v>8.9941666666666666</v>
      </c>
      <c r="G36" s="18">
        <f t="shared" si="2"/>
        <v>80.340833333333322</v>
      </c>
      <c r="H36" s="18">
        <f t="shared" si="2"/>
        <v>33.707499999999996</v>
      </c>
      <c r="I36" s="18">
        <f t="shared" si="2"/>
        <v>11.220000000000004</v>
      </c>
      <c r="J36" s="18">
        <f t="shared" si="2"/>
        <v>0.53666666666666674</v>
      </c>
      <c r="K36" s="18">
        <f t="shared" si="2"/>
        <v>235.36250000000004</v>
      </c>
      <c r="L36" s="18">
        <f t="shared" si="2"/>
        <v>27.405416666666664</v>
      </c>
      <c r="M36" s="18">
        <f t="shared" si="2"/>
        <v>51.605416666666656</v>
      </c>
      <c r="N36" s="18">
        <f t="shared" si="2"/>
        <v>99.499999999999957</v>
      </c>
      <c r="O36" s="18">
        <f t="shared" si="2"/>
        <v>0</v>
      </c>
      <c r="P36" s="18">
        <f t="shared" si="2"/>
        <v>0.96416666666666673</v>
      </c>
      <c r="Q36" s="18">
        <f t="shared" si="2"/>
        <v>28.192916666666662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4.7365873944146211</v>
      </c>
      <c r="C37" s="18">
        <f t="shared" ref="C37:Q37" si="3">STDEV(C9:C32)</f>
        <v>2.7739494355547718</v>
      </c>
      <c r="D37" s="18">
        <f t="shared" si="3"/>
        <v>5.0635036668356248</v>
      </c>
      <c r="E37" s="18">
        <f t="shared" si="3"/>
        <v>4.3386085853095624</v>
      </c>
      <c r="F37" s="18">
        <f t="shared" si="3"/>
        <v>8.6818626115481177</v>
      </c>
      <c r="G37" s="18">
        <f t="shared" si="3"/>
        <v>18.67101564892284</v>
      </c>
      <c r="H37" s="18">
        <f t="shared" si="3"/>
        <v>5.3703082657856553</v>
      </c>
      <c r="I37" s="18">
        <f t="shared" si="3"/>
        <v>2.9806681480325197</v>
      </c>
      <c r="J37" s="18">
        <f t="shared" si="3"/>
        <v>0.40370745614235015</v>
      </c>
      <c r="K37" s="18">
        <f t="shared" si="3"/>
        <v>48.256205660853524</v>
      </c>
      <c r="L37" s="18">
        <f t="shared" si="3"/>
        <v>5.9532745678080818</v>
      </c>
      <c r="M37" s="18">
        <f t="shared" si="3"/>
        <v>17.21998232064103</v>
      </c>
      <c r="N37" s="18">
        <f t="shared" si="3"/>
        <v>137.65457714400802</v>
      </c>
      <c r="O37" s="18">
        <f t="shared" si="3"/>
        <v>0</v>
      </c>
      <c r="P37" s="18">
        <f t="shared" si="3"/>
        <v>0.19921403535910348</v>
      </c>
      <c r="Q37" s="18">
        <f t="shared" si="3"/>
        <v>0.19277107772121055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H17" sqref="H1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85</v>
      </c>
      <c r="B9" s="40">
        <v>8.5</v>
      </c>
      <c r="C9" s="40">
        <v>24.26</v>
      </c>
      <c r="D9" s="40">
        <v>20.56</v>
      </c>
      <c r="E9" s="40">
        <v>11</v>
      </c>
      <c r="F9" s="40">
        <v>4.24</v>
      </c>
      <c r="G9" s="40">
        <v>79.599999999999994</v>
      </c>
      <c r="H9" s="40">
        <v>28.21</v>
      </c>
      <c r="I9" s="40">
        <v>14.27</v>
      </c>
      <c r="J9" s="40">
        <v>0.27</v>
      </c>
      <c r="K9" s="40">
        <v>209.46</v>
      </c>
      <c r="L9" s="40">
        <v>23.39</v>
      </c>
      <c r="M9" s="40">
        <v>68.150000000000006</v>
      </c>
      <c r="N9" s="40">
        <v>1.6</v>
      </c>
      <c r="O9" s="40">
        <v>0</v>
      </c>
      <c r="P9" s="40">
        <v>1.1599999999999999</v>
      </c>
      <c r="Q9" s="40">
        <v>28.24</v>
      </c>
      <c r="R9" s="38"/>
      <c r="S9" s="38"/>
      <c r="T9" s="38"/>
      <c r="U9" s="38"/>
    </row>
    <row r="10" spans="1:21" customFormat="1">
      <c r="A10" s="39" t="s">
        <v>86</v>
      </c>
      <c r="B10" s="40">
        <v>9.31</v>
      </c>
      <c r="C10" s="40">
        <v>21.23</v>
      </c>
      <c r="D10" s="40">
        <v>19.899999999999999</v>
      </c>
      <c r="E10" s="40">
        <v>10.74</v>
      </c>
      <c r="F10" s="40">
        <v>4.05</v>
      </c>
      <c r="G10" s="40">
        <v>78.08</v>
      </c>
      <c r="H10" s="40">
        <v>28.21</v>
      </c>
      <c r="I10" s="40">
        <v>14.41</v>
      </c>
      <c r="J10" s="40">
        <v>0.21</v>
      </c>
      <c r="K10" s="40">
        <v>203.6</v>
      </c>
      <c r="L10" s="40">
        <v>21.9</v>
      </c>
      <c r="M10" s="40">
        <v>70.5</v>
      </c>
      <c r="N10" s="40">
        <v>1.2</v>
      </c>
      <c r="O10" s="40">
        <v>0</v>
      </c>
      <c r="P10" s="40">
        <v>1.1599999999999999</v>
      </c>
      <c r="Q10" s="40">
        <v>28.24</v>
      </c>
      <c r="R10" s="38"/>
      <c r="S10" s="38"/>
      <c r="T10" s="38"/>
      <c r="U10" s="38"/>
    </row>
    <row r="11" spans="1:21" customFormat="1">
      <c r="A11" s="39" t="s">
        <v>87</v>
      </c>
      <c r="B11" s="40">
        <v>10.26</v>
      </c>
      <c r="C11" s="40">
        <v>21.33</v>
      </c>
      <c r="D11" s="40">
        <v>20.350000000000001</v>
      </c>
      <c r="E11" s="40">
        <v>10.86</v>
      </c>
      <c r="F11" s="40">
        <v>4.04</v>
      </c>
      <c r="G11" s="40">
        <v>76</v>
      </c>
      <c r="H11" s="40">
        <v>25.41</v>
      </c>
      <c r="I11" s="40">
        <v>14.32</v>
      </c>
      <c r="J11" s="40">
        <v>0.21</v>
      </c>
      <c r="K11" s="40">
        <v>210.41</v>
      </c>
      <c r="L11" s="40">
        <v>21.64</v>
      </c>
      <c r="M11" s="40">
        <v>73.67</v>
      </c>
      <c r="N11" s="40">
        <v>1.4</v>
      </c>
      <c r="O11" s="40">
        <v>0</v>
      </c>
      <c r="P11" s="40">
        <v>1.17</v>
      </c>
      <c r="Q11" s="40">
        <v>28.28</v>
      </c>
      <c r="R11" s="38"/>
      <c r="S11" s="38"/>
      <c r="T11" s="38"/>
      <c r="U11" s="38"/>
    </row>
    <row r="12" spans="1:21" customFormat="1">
      <c r="A12" s="39" t="s">
        <v>88</v>
      </c>
      <c r="B12" s="40">
        <v>10.87</v>
      </c>
      <c r="C12" s="40">
        <v>20.3</v>
      </c>
      <c r="D12" s="40">
        <v>20.64</v>
      </c>
      <c r="E12" s="40">
        <v>10.74</v>
      </c>
      <c r="F12" s="40">
        <v>3.98</v>
      </c>
      <c r="G12" s="40">
        <v>76</v>
      </c>
      <c r="H12" s="40">
        <v>23.88</v>
      </c>
      <c r="I12" s="40">
        <v>14.38</v>
      </c>
      <c r="J12" s="40">
        <v>0.18</v>
      </c>
      <c r="K12" s="40">
        <v>221.53</v>
      </c>
      <c r="L12" s="40">
        <v>21.5</v>
      </c>
      <c r="M12" s="40">
        <v>70.87</v>
      </c>
      <c r="N12" s="40">
        <v>1</v>
      </c>
      <c r="O12" s="40">
        <v>0</v>
      </c>
      <c r="P12" s="40">
        <v>1.18</v>
      </c>
      <c r="Q12" s="40">
        <v>28.3</v>
      </c>
      <c r="R12" s="38"/>
      <c r="S12" s="38"/>
      <c r="T12" s="38"/>
      <c r="U12" s="38"/>
    </row>
    <row r="13" spans="1:21" customFormat="1">
      <c r="A13" s="39" t="s">
        <v>89</v>
      </c>
      <c r="B13" s="40">
        <v>12.73</v>
      </c>
      <c r="C13" s="40">
        <v>21.04</v>
      </c>
      <c r="D13" s="40">
        <v>22.55</v>
      </c>
      <c r="E13" s="40">
        <v>10.74</v>
      </c>
      <c r="F13" s="40">
        <v>3.76</v>
      </c>
      <c r="G13" s="40">
        <v>74.17</v>
      </c>
      <c r="H13" s="40">
        <v>23.88</v>
      </c>
      <c r="I13" s="40">
        <v>14.2</v>
      </c>
      <c r="J13" s="40">
        <v>0.14000000000000001</v>
      </c>
      <c r="K13" s="40">
        <v>217.55</v>
      </c>
      <c r="L13" s="40">
        <v>21.74</v>
      </c>
      <c r="M13" s="40">
        <v>68.12</v>
      </c>
      <c r="N13" s="40">
        <v>1.2</v>
      </c>
      <c r="O13" s="40">
        <v>0</v>
      </c>
      <c r="P13" s="40">
        <v>1.1499999999999999</v>
      </c>
      <c r="Q13" s="40">
        <v>28.38</v>
      </c>
      <c r="R13" s="38"/>
      <c r="S13" s="38"/>
      <c r="T13" s="38"/>
      <c r="U13" s="38"/>
    </row>
    <row r="14" spans="1:21" customFormat="1">
      <c r="A14" s="39" t="s">
        <v>90</v>
      </c>
      <c r="B14" s="40">
        <v>13.64</v>
      </c>
      <c r="C14" s="40">
        <v>21.3</v>
      </c>
      <c r="D14" s="40">
        <v>23.31</v>
      </c>
      <c r="E14" s="40">
        <v>10.78</v>
      </c>
      <c r="F14" s="40">
        <v>3.74</v>
      </c>
      <c r="G14" s="40">
        <v>68.349999999999994</v>
      </c>
      <c r="H14" s="40">
        <v>21.09</v>
      </c>
      <c r="I14" s="40">
        <v>13.81</v>
      </c>
      <c r="J14" s="40">
        <v>0.26</v>
      </c>
      <c r="K14" s="40">
        <v>198.01</v>
      </c>
      <c r="L14" s="40">
        <v>20.99</v>
      </c>
      <c r="M14" s="40">
        <v>75.09</v>
      </c>
      <c r="N14" s="40">
        <v>1.7</v>
      </c>
      <c r="O14" s="40">
        <v>0</v>
      </c>
      <c r="P14" s="40">
        <v>1.1399999999999999</v>
      </c>
      <c r="Q14" s="40">
        <v>28.42</v>
      </c>
      <c r="R14" s="38"/>
      <c r="S14" s="38"/>
      <c r="T14" s="38"/>
      <c r="U14" s="38"/>
    </row>
    <row r="15" spans="1:21" customFormat="1">
      <c r="A15" s="39" t="s">
        <v>91</v>
      </c>
      <c r="B15" s="40">
        <v>13.13</v>
      </c>
      <c r="C15" s="40">
        <v>21.78</v>
      </c>
      <c r="D15" s="40">
        <v>23.17</v>
      </c>
      <c r="E15" s="40">
        <v>10.9</v>
      </c>
      <c r="F15" s="40">
        <v>3.7</v>
      </c>
      <c r="G15" s="40">
        <v>63.47</v>
      </c>
      <c r="H15" s="40">
        <v>21.09</v>
      </c>
      <c r="I15" s="40">
        <v>13.44</v>
      </c>
      <c r="J15" s="40">
        <v>0.21</v>
      </c>
      <c r="K15" s="40">
        <v>208.79</v>
      </c>
      <c r="L15" s="40">
        <v>20.28</v>
      </c>
      <c r="M15" s="40">
        <v>77.64</v>
      </c>
      <c r="N15" s="40">
        <v>14.5</v>
      </c>
      <c r="O15" s="40">
        <v>0</v>
      </c>
      <c r="P15" s="40">
        <v>1.05</v>
      </c>
      <c r="Q15" s="40">
        <v>28.39</v>
      </c>
      <c r="R15" s="38"/>
      <c r="S15" s="38"/>
      <c r="T15" s="38"/>
      <c r="U15" s="38"/>
    </row>
    <row r="16" spans="1:21" customFormat="1">
      <c r="A16" s="39" t="s">
        <v>92</v>
      </c>
      <c r="B16" s="40">
        <v>12.1</v>
      </c>
      <c r="C16" s="40">
        <v>21.98</v>
      </c>
      <c r="D16" s="40">
        <v>22.32</v>
      </c>
      <c r="E16" s="40">
        <v>10.95</v>
      </c>
      <c r="F16" s="40">
        <v>3.75</v>
      </c>
      <c r="G16" s="40">
        <v>63.78</v>
      </c>
      <c r="H16" s="40">
        <v>21.85</v>
      </c>
      <c r="I16" s="40">
        <v>13.37</v>
      </c>
      <c r="J16" s="40">
        <v>0.27</v>
      </c>
      <c r="K16" s="40">
        <v>248.38</v>
      </c>
      <c r="L16" s="40">
        <v>23.75</v>
      </c>
      <c r="M16" s="40">
        <v>75.19</v>
      </c>
      <c r="N16" s="40">
        <v>53.5</v>
      </c>
      <c r="O16" s="40">
        <v>0</v>
      </c>
      <c r="P16" s="40">
        <v>1.02</v>
      </c>
      <c r="Q16" s="40">
        <v>28.34</v>
      </c>
      <c r="R16" s="38"/>
      <c r="S16" s="38"/>
      <c r="T16" s="38"/>
      <c r="U16" s="38"/>
    </row>
    <row r="17" spans="1:21" customFormat="1">
      <c r="A17" s="39" t="s">
        <v>93</v>
      </c>
      <c r="B17" s="40">
        <v>10.53</v>
      </c>
      <c r="C17" s="40">
        <v>24.01</v>
      </c>
      <c r="D17" s="40">
        <v>21.47</v>
      </c>
      <c r="E17" s="40">
        <v>11.64</v>
      </c>
      <c r="F17" s="40">
        <v>3.87</v>
      </c>
      <c r="G17" s="40">
        <v>68.98</v>
      </c>
      <c r="H17" s="40">
        <v>27.06</v>
      </c>
      <c r="I17" s="40">
        <v>13.77</v>
      </c>
      <c r="J17" s="40">
        <v>0.6</v>
      </c>
      <c r="K17" s="40">
        <v>263.89</v>
      </c>
      <c r="L17" s="40">
        <v>27.89</v>
      </c>
      <c r="M17" s="40">
        <v>58.29</v>
      </c>
      <c r="N17" s="40">
        <v>184</v>
      </c>
      <c r="O17" s="40">
        <v>0</v>
      </c>
      <c r="P17" s="40">
        <v>1.02</v>
      </c>
      <c r="Q17" s="40">
        <v>28.27</v>
      </c>
      <c r="R17" s="38"/>
      <c r="S17" s="38"/>
      <c r="T17" s="38"/>
      <c r="U17" s="38"/>
    </row>
    <row r="18" spans="1:21" customFormat="1">
      <c r="A18" s="39" t="s">
        <v>94</v>
      </c>
      <c r="B18" s="40">
        <v>6.67</v>
      </c>
      <c r="C18" s="40">
        <v>24.57</v>
      </c>
      <c r="D18" s="40">
        <v>19.440000000000001</v>
      </c>
      <c r="E18" s="40">
        <v>11.93</v>
      </c>
      <c r="F18" s="40">
        <v>4.32</v>
      </c>
      <c r="G18" s="40">
        <v>70.17</v>
      </c>
      <c r="H18" s="40">
        <v>28.17</v>
      </c>
      <c r="I18" s="40">
        <v>13.69</v>
      </c>
      <c r="J18" s="40">
        <v>0.54</v>
      </c>
      <c r="K18" s="40">
        <v>260.61</v>
      </c>
      <c r="L18" s="40">
        <v>30.7</v>
      </c>
      <c r="M18" s="40">
        <v>44.7</v>
      </c>
      <c r="N18" s="40">
        <v>249.6</v>
      </c>
      <c r="O18" s="40">
        <v>0</v>
      </c>
      <c r="P18" s="40">
        <v>0.99</v>
      </c>
      <c r="Q18" s="40">
        <v>28.12</v>
      </c>
      <c r="R18" s="38"/>
      <c r="S18" s="38"/>
      <c r="T18" s="38"/>
      <c r="U18" s="38"/>
    </row>
    <row r="19" spans="1:21" customFormat="1">
      <c r="A19" s="39" t="s">
        <v>95</v>
      </c>
      <c r="B19" s="40">
        <v>4.16</v>
      </c>
      <c r="C19" s="40">
        <v>24.18</v>
      </c>
      <c r="D19" s="40">
        <v>17.32</v>
      </c>
      <c r="E19" s="40">
        <v>17.72</v>
      </c>
      <c r="F19" s="40">
        <v>7.59</v>
      </c>
      <c r="G19" s="40">
        <v>70.17</v>
      </c>
      <c r="H19" s="40">
        <v>29.76</v>
      </c>
      <c r="I19" s="40">
        <v>13.6</v>
      </c>
      <c r="J19" s="40">
        <v>0.84</v>
      </c>
      <c r="K19" s="40">
        <v>270.43</v>
      </c>
      <c r="L19" s="40">
        <v>32.479999999999997</v>
      </c>
      <c r="M19" s="40">
        <v>39.18</v>
      </c>
      <c r="N19" s="40">
        <v>296.7</v>
      </c>
      <c r="O19" s="40">
        <v>0</v>
      </c>
      <c r="P19" s="40">
        <v>0.99</v>
      </c>
      <c r="Q19" s="40">
        <v>28.02</v>
      </c>
      <c r="R19" s="38"/>
      <c r="S19" s="38"/>
      <c r="T19" s="38"/>
      <c r="U19" s="38"/>
    </row>
    <row r="20" spans="1:21" customFormat="1">
      <c r="A20" s="39" t="s">
        <v>96</v>
      </c>
      <c r="B20" s="40">
        <v>3.99</v>
      </c>
      <c r="C20" s="40">
        <v>20.52</v>
      </c>
      <c r="D20" s="40">
        <v>15.27</v>
      </c>
      <c r="E20" s="40">
        <v>13.27</v>
      </c>
      <c r="F20" s="40">
        <v>8.27</v>
      </c>
      <c r="G20" s="40">
        <v>68.48</v>
      </c>
      <c r="H20" s="40">
        <v>29.76</v>
      </c>
      <c r="I20" s="40">
        <v>13.39</v>
      </c>
      <c r="J20" s="40">
        <v>1.1000000000000001</v>
      </c>
      <c r="K20" s="40">
        <v>281</v>
      </c>
      <c r="L20" s="40">
        <v>34.33</v>
      </c>
      <c r="M20" s="40">
        <v>37.380000000000003</v>
      </c>
      <c r="N20" s="40">
        <v>304.5</v>
      </c>
      <c r="O20" s="40">
        <v>0</v>
      </c>
      <c r="P20" s="40">
        <v>0.97</v>
      </c>
      <c r="Q20" s="40">
        <v>28.01</v>
      </c>
      <c r="R20" s="38"/>
      <c r="S20" s="38"/>
      <c r="T20" s="38"/>
      <c r="U20" s="38"/>
    </row>
    <row r="21" spans="1:21" customFormat="1">
      <c r="A21" s="39" t="s">
        <v>97</v>
      </c>
      <c r="B21" s="40">
        <v>3.92</v>
      </c>
      <c r="C21" s="40">
        <v>18.350000000000001</v>
      </c>
      <c r="D21" s="40">
        <v>14.09</v>
      </c>
      <c r="E21" s="40">
        <v>21.19</v>
      </c>
      <c r="F21" s="40">
        <v>34.840000000000003</v>
      </c>
      <c r="G21" s="40">
        <v>66.28</v>
      </c>
      <c r="H21" s="40">
        <v>29.51</v>
      </c>
      <c r="I21" s="40">
        <v>11.42</v>
      </c>
      <c r="J21" s="40">
        <v>1.01</v>
      </c>
      <c r="K21" s="40">
        <v>288.33</v>
      </c>
      <c r="L21" s="40">
        <v>34.76</v>
      </c>
      <c r="M21" s="40">
        <v>31.92</v>
      </c>
      <c r="N21" s="40">
        <v>307.3</v>
      </c>
      <c r="O21" s="40">
        <v>0</v>
      </c>
      <c r="P21" s="40">
        <v>0.89</v>
      </c>
      <c r="Q21" s="40">
        <v>28</v>
      </c>
      <c r="R21" s="38"/>
      <c r="S21" s="38"/>
      <c r="T21" s="38"/>
      <c r="U21" s="38"/>
    </row>
    <row r="22" spans="1:21" customFormat="1">
      <c r="A22" s="39" t="s">
        <v>98</v>
      </c>
      <c r="B22" s="40">
        <v>3.91</v>
      </c>
      <c r="C22" s="40">
        <v>17.64</v>
      </c>
      <c r="D22" s="40">
        <v>13.7</v>
      </c>
      <c r="E22" s="40">
        <v>20.96</v>
      </c>
      <c r="F22" s="40">
        <v>42.12</v>
      </c>
      <c r="G22" s="40">
        <v>59.92</v>
      </c>
      <c r="H22" s="40">
        <v>29.51</v>
      </c>
      <c r="I22" s="40">
        <v>9.93</v>
      </c>
      <c r="J22" s="40">
        <v>0.96</v>
      </c>
      <c r="K22" s="40">
        <v>283.27999999999997</v>
      </c>
      <c r="L22" s="40">
        <v>35.49</v>
      </c>
      <c r="M22" s="40">
        <v>28.85</v>
      </c>
      <c r="N22" s="40">
        <v>279.10000000000002</v>
      </c>
      <c r="O22" s="40">
        <v>0</v>
      </c>
      <c r="P22" s="40">
        <v>0.82</v>
      </c>
      <c r="Q22" s="40">
        <v>28.01</v>
      </c>
      <c r="R22" s="38"/>
      <c r="S22" s="38"/>
      <c r="T22" s="38"/>
      <c r="U22" s="38"/>
    </row>
    <row r="23" spans="1:21" customFormat="1">
      <c r="A23" s="39" t="s">
        <v>99</v>
      </c>
      <c r="B23" s="40">
        <v>3.79</v>
      </c>
      <c r="C23" s="40">
        <v>17.28</v>
      </c>
      <c r="D23" s="40">
        <v>13.42</v>
      </c>
      <c r="E23" s="40">
        <v>15.35</v>
      </c>
      <c r="F23" s="40">
        <v>18.77</v>
      </c>
      <c r="G23" s="40">
        <v>58.97</v>
      </c>
      <c r="H23" s="40">
        <v>36.92</v>
      </c>
      <c r="I23" s="40">
        <v>8.73</v>
      </c>
      <c r="J23" s="40">
        <v>1.17</v>
      </c>
      <c r="K23" s="40">
        <v>287.10000000000002</v>
      </c>
      <c r="L23" s="40">
        <v>35.450000000000003</v>
      </c>
      <c r="M23" s="40">
        <v>27.1</v>
      </c>
      <c r="N23" s="40">
        <v>293.10000000000002</v>
      </c>
      <c r="O23" s="40">
        <v>0</v>
      </c>
      <c r="P23" s="40">
        <v>0.65</v>
      </c>
      <c r="Q23" s="40">
        <v>28</v>
      </c>
      <c r="R23" s="38"/>
      <c r="S23" s="38"/>
      <c r="T23" s="38"/>
      <c r="U23" s="38"/>
    </row>
    <row r="24" spans="1:21" customFormat="1">
      <c r="A24" s="39" t="s">
        <v>100</v>
      </c>
      <c r="B24" s="40">
        <v>3.8</v>
      </c>
      <c r="C24" s="40">
        <v>17.8</v>
      </c>
      <c r="D24" s="40">
        <v>13.61</v>
      </c>
      <c r="E24" s="40">
        <v>12.41</v>
      </c>
      <c r="F24" s="40">
        <v>18.12</v>
      </c>
      <c r="G24" s="40">
        <v>53.72</v>
      </c>
      <c r="H24" s="40">
        <v>36.92</v>
      </c>
      <c r="I24" s="40">
        <v>8.0500000000000007</v>
      </c>
      <c r="J24" s="40">
        <v>1.1000000000000001</v>
      </c>
      <c r="K24" s="40">
        <v>287.92</v>
      </c>
      <c r="L24" s="40">
        <v>35.200000000000003</v>
      </c>
      <c r="M24" s="40">
        <v>25.79</v>
      </c>
      <c r="N24" s="40">
        <v>88.3</v>
      </c>
      <c r="O24" s="40">
        <v>0</v>
      </c>
      <c r="P24" s="40">
        <v>0.6</v>
      </c>
      <c r="Q24" s="40">
        <v>28</v>
      </c>
      <c r="R24" s="38"/>
      <c r="S24" s="38"/>
      <c r="T24" s="38"/>
      <c r="U24" s="38"/>
    </row>
    <row r="25" spans="1:21" customFormat="1">
      <c r="A25" s="39" t="s">
        <v>101</v>
      </c>
      <c r="B25" s="40">
        <v>3.68</v>
      </c>
      <c r="C25" s="40">
        <v>18.04</v>
      </c>
      <c r="D25" s="40">
        <v>13.7</v>
      </c>
      <c r="E25" s="40">
        <v>14.58</v>
      </c>
      <c r="F25" s="40">
        <v>17.350000000000001</v>
      </c>
      <c r="G25" s="40">
        <v>51.85</v>
      </c>
      <c r="H25" s="40">
        <v>31.37</v>
      </c>
      <c r="I25" s="40">
        <v>7.53</v>
      </c>
      <c r="J25" s="40">
        <v>0.91</v>
      </c>
      <c r="K25" s="40">
        <v>257.66000000000003</v>
      </c>
      <c r="L25" s="40">
        <v>34.56</v>
      </c>
      <c r="M25" s="40">
        <v>28.53</v>
      </c>
      <c r="N25" s="40">
        <v>79.900000000000006</v>
      </c>
      <c r="O25" s="40">
        <v>0</v>
      </c>
      <c r="P25" s="40">
        <v>0.5</v>
      </c>
      <c r="Q25" s="40">
        <v>27.99</v>
      </c>
      <c r="R25" s="38"/>
      <c r="S25" s="38"/>
      <c r="T25" s="38"/>
      <c r="U25" s="38"/>
    </row>
    <row r="26" spans="1:21" customFormat="1">
      <c r="A26" s="39" t="s">
        <v>102</v>
      </c>
      <c r="B26" s="40">
        <v>3.72</v>
      </c>
      <c r="C26" s="40">
        <v>19.79</v>
      </c>
      <c r="D26" s="40">
        <v>14.68</v>
      </c>
      <c r="E26" s="40">
        <v>16.89</v>
      </c>
      <c r="F26" s="40">
        <v>13.97</v>
      </c>
      <c r="G26" s="40">
        <v>50.75</v>
      </c>
      <c r="H26" s="40">
        <v>28.42</v>
      </c>
      <c r="I26" s="40">
        <v>7.21</v>
      </c>
      <c r="J26" s="40">
        <v>0.86</v>
      </c>
      <c r="K26" s="40">
        <v>262.63</v>
      </c>
      <c r="L26" s="40">
        <v>33.36</v>
      </c>
      <c r="M26" s="40">
        <v>33.29</v>
      </c>
      <c r="N26" s="40">
        <v>25.7</v>
      </c>
      <c r="O26" s="40">
        <v>0</v>
      </c>
      <c r="P26" s="40">
        <v>0.55000000000000004</v>
      </c>
      <c r="Q26" s="40">
        <v>28</v>
      </c>
      <c r="R26" s="38"/>
      <c r="S26" s="38"/>
      <c r="T26" s="38"/>
      <c r="U26" s="38"/>
    </row>
    <row r="27" spans="1:21" customFormat="1">
      <c r="A27" s="39" t="s">
        <v>103</v>
      </c>
      <c r="B27" s="40">
        <v>3.84</v>
      </c>
      <c r="C27" s="40">
        <v>20.399999999999999</v>
      </c>
      <c r="D27" s="40">
        <v>15.09</v>
      </c>
      <c r="E27" s="40">
        <v>16.16</v>
      </c>
      <c r="F27" s="40">
        <v>6.84</v>
      </c>
      <c r="G27" s="40">
        <v>51.17</v>
      </c>
      <c r="H27" s="40">
        <v>28.42</v>
      </c>
      <c r="I27" s="40">
        <v>7.23</v>
      </c>
      <c r="J27" s="40">
        <v>0.56999999999999995</v>
      </c>
      <c r="K27" s="40">
        <v>249.68</v>
      </c>
      <c r="L27" s="40">
        <v>31.69</v>
      </c>
      <c r="M27" s="40">
        <v>39.53</v>
      </c>
      <c r="N27" s="40">
        <v>2.2999999999999998</v>
      </c>
      <c r="O27" s="40">
        <v>0</v>
      </c>
      <c r="P27" s="40">
        <v>0.56999999999999995</v>
      </c>
      <c r="Q27" s="40">
        <v>28.01</v>
      </c>
      <c r="R27" s="38"/>
      <c r="S27" s="38"/>
      <c r="T27" s="38"/>
      <c r="U27" s="38"/>
    </row>
    <row r="28" spans="1:21" customFormat="1">
      <c r="A28" s="39" t="s">
        <v>104</v>
      </c>
      <c r="B28" s="40">
        <v>4.08</v>
      </c>
      <c r="C28" s="40">
        <v>20.55</v>
      </c>
      <c r="D28" s="40">
        <v>15.36</v>
      </c>
      <c r="E28" s="40">
        <v>12.47</v>
      </c>
      <c r="F28" s="40">
        <v>4.2</v>
      </c>
      <c r="G28" s="40">
        <v>52.74</v>
      </c>
      <c r="H28" s="40">
        <v>29.03</v>
      </c>
      <c r="I28" s="40">
        <v>7.92</v>
      </c>
      <c r="J28" s="40">
        <v>0.34</v>
      </c>
      <c r="K28" s="40">
        <v>203.47</v>
      </c>
      <c r="L28" s="40">
        <v>29.53</v>
      </c>
      <c r="M28" s="40">
        <v>50.02</v>
      </c>
      <c r="N28" s="40">
        <v>1.7</v>
      </c>
      <c r="O28" s="40">
        <v>0</v>
      </c>
      <c r="P28" s="40">
        <v>0.61</v>
      </c>
      <c r="Q28" s="40">
        <v>28</v>
      </c>
      <c r="R28" s="38"/>
      <c r="S28" s="38"/>
      <c r="T28" s="38"/>
      <c r="U28" s="38"/>
    </row>
    <row r="29" spans="1:21" customFormat="1">
      <c r="A29" s="39" t="s">
        <v>105</v>
      </c>
      <c r="B29" s="40">
        <v>4.7300000000000004</v>
      </c>
      <c r="C29" s="40">
        <v>21.04</v>
      </c>
      <c r="D29" s="40">
        <v>15.76</v>
      </c>
      <c r="E29" s="40">
        <v>11.5</v>
      </c>
      <c r="F29" s="40">
        <v>4.13</v>
      </c>
      <c r="G29" s="40">
        <v>56.76</v>
      </c>
      <c r="H29" s="40">
        <v>29.08</v>
      </c>
      <c r="I29" s="40">
        <v>8.84</v>
      </c>
      <c r="J29" s="40">
        <v>0.24</v>
      </c>
      <c r="K29" s="40">
        <v>177.75</v>
      </c>
      <c r="L29" s="40">
        <v>27.2</v>
      </c>
      <c r="M29" s="40">
        <v>55.27</v>
      </c>
      <c r="N29" s="40">
        <v>1.5</v>
      </c>
      <c r="O29" s="40">
        <v>0</v>
      </c>
      <c r="P29" s="40">
        <v>0.78</v>
      </c>
      <c r="Q29" s="40">
        <v>28.05</v>
      </c>
      <c r="R29" s="38"/>
      <c r="S29" s="38"/>
      <c r="T29" s="38"/>
      <c r="U29" s="38"/>
    </row>
    <row r="30" spans="1:21" customFormat="1">
      <c r="A30" s="39" t="s">
        <v>106</v>
      </c>
      <c r="B30" s="40">
        <v>5.35</v>
      </c>
      <c r="C30" s="40">
        <v>19.23</v>
      </c>
      <c r="D30" s="40">
        <v>15.52</v>
      </c>
      <c r="E30" s="40">
        <v>10.61</v>
      </c>
      <c r="F30" s="40">
        <v>4.21</v>
      </c>
      <c r="G30" s="40">
        <v>62.23</v>
      </c>
      <c r="H30" s="40">
        <v>29.08</v>
      </c>
      <c r="I30" s="40">
        <v>9.6</v>
      </c>
      <c r="J30" s="40">
        <v>0.2</v>
      </c>
      <c r="K30" s="40">
        <v>187.86</v>
      </c>
      <c r="L30" s="40">
        <v>26.26</v>
      </c>
      <c r="M30" s="40">
        <v>61.26</v>
      </c>
      <c r="N30" s="40">
        <v>1.3</v>
      </c>
      <c r="O30" s="40">
        <v>0</v>
      </c>
      <c r="P30" s="40">
        <v>0.8</v>
      </c>
      <c r="Q30" s="40">
        <v>28.1</v>
      </c>
      <c r="R30" s="38"/>
      <c r="S30" s="38"/>
      <c r="T30" s="38"/>
      <c r="U30" s="38"/>
    </row>
    <row r="31" spans="1:21" customFormat="1">
      <c r="A31" s="39" t="s">
        <v>107</v>
      </c>
      <c r="B31" s="40">
        <v>6.04</v>
      </c>
      <c r="C31" s="40">
        <v>18.440000000000001</v>
      </c>
      <c r="D31" s="40">
        <v>15.67</v>
      </c>
      <c r="E31" s="40">
        <v>10.26</v>
      </c>
      <c r="F31" s="40">
        <v>3.98</v>
      </c>
      <c r="G31" s="40">
        <v>62.35</v>
      </c>
      <c r="H31" s="40">
        <v>27.88</v>
      </c>
      <c r="I31" s="40">
        <v>9.98</v>
      </c>
      <c r="J31" s="40">
        <v>0.22</v>
      </c>
      <c r="K31" s="40">
        <v>176.97</v>
      </c>
      <c r="L31" s="40">
        <v>25.16</v>
      </c>
      <c r="M31" s="40">
        <v>64.34</v>
      </c>
      <c r="N31" s="40">
        <v>1.1000000000000001</v>
      </c>
      <c r="O31" s="40">
        <v>0</v>
      </c>
      <c r="P31" s="40">
        <v>0.83</v>
      </c>
      <c r="Q31" s="40">
        <v>28.11</v>
      </c>
      <c r="R31" s="38"/>
      <c r="S31" s="38"/>
      <c r="T31" s="38"/>
      <c r="U31" s="38"/>
    </row>
    <row r="32" spans="1:21" customFormat="1">
      <c r="A32" s="39" t="s">
        <v>108</v>
      </c>
      <c r="B32" s="40">
        <v>6.63</v>
      </c>
      <c r="C32" s="40">
        <v>18.43</v>
      </c>
      <c r="D32" s="40">
        <v>16.29</v>
      </c>
      <c r="E32" s="40">
        <v>9.94</v>
      </c>
      <c r="F32" s="40">
        <v>3.96</v>
      </c>
      <c r="G32" s="40">
        <v>69.19</v>
      </c>
      <c r="H32" s="40">
        <v>27.62</v>
      </c>
      <c r="I32" s="40">
        <v>10.89</v>
      </c>
      <c r="J32" s="40">
        <v>0.45</v>
      </c>
      <c r="K32" s="40">
        <v>194.92</v>
      </c>
      <c r="L32" s="40">
        <v>25</v>
      </c>
      <c r="M32" s="40">
        <v>64.77</v>
      </c>
      <c r="N32" s="40">
        <v>1.5</v>
      </c>
      <c r="O32" s="40">
        <v>0</v>
      </c>
      <c r="P32" s="40">
        <v>0.87</v>
      </c>
      <c r="Q32" s="40">
        <v>28.13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3.68</v>
      </c>
      <c r="C34" s="18">
        <f t="shared" si="0"/>
        <v>17.28</v>
      </c>
      <c r="D34" s="18">
        <f t="shared" si="0"/>
        <v>13.42</v>
      </c>
      <c r="E34" s="18">
        <f t="shared" si="0"/>
        <v>9.94</v>
      </c>
      <c r="F34" s="18">
        <f t="shared" si="0"/>
        <v>3.7</v>
      </c>
      <c r="G34" s="18">
        <f t="shared" si="0"/>
        <v>50.75</v>
      </c>
      <c r="H34" s="18">
        <f t="shared" si="0"/>
        <v>21.09</v>
      </c>
      <c r="I34" s="18">
        <f t="shared" si="0"/>
        <v>7.21</v>
      </c>
      <c r="J34" s="18">
        <f t="shared" si="0"/>
        <v>0.14000000000000001</v>
      </c>
      <c r="K34" s="18">
        <f t="shared" si="0"/>
        <v>176.97</v>
      </c>
      <c r="L34" s="18">
        <f t="shared" si="0"/>
        <v>20.28</v>
      </c>
      <c r="M34" s="18">
        <f t="shared" si="0"/>
        <v>25.79</v>
      </c>
      <c r="N34" s="18">
        <f t="shared" si="0"/>
        <v>1</v>
      </c>
      <c r="O34" s="18">
        <f t="shared" si="0"/>
        <v>0</v>
      </c>
      <c r="P34" s="18">
        <f t="shared" si="0"/>
        <v>0.5</v>
      </c>
      <c r="Q34" s="18">
        <f t="shared" si="0"/>
        <v>27.99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13.64</v>
      </c>
      <c r="C35" s="3">
        <f t="shared" si="1"/>
        <v>24.57</v>
      </c>
      <c r="D35" s="3">
        <f t="shared" si="1"/>
        <v>23.31</v>
      </c>
      <c r="E35" s="3">
        <f t="shared" si="1"/>
        <v>21.19</v>
      </c>
      <c r="F35" s="3">
        <f t="shared" si="1"/>
        <v>42.12</v>
      </c>
      <c r="G35" s="3">
        <f t="shared" si="1"/>
        <v>79.599999999999994</v>
      </c>
      <c r="H35" s="3">
        <f t="shared" si="1"/>
        <v>36.92</v>
      </c>
      <c r="I35" s="3">
        <f t="shared" si="1"/>
        <v>14.41</v>
      </c>
      <c r="J35" s="3">
        <f t="shared" si="1"/>
        <v>1.17</v>
      </c>
      <c r="K35" s="3">
        <f t="shared" si="1"/>
        <v>288.33</v>
      </c>
      <c r="L35" s="3">
        <f t="shared" si="1"/>
        <v>35.49</v>
      </c>
      <c r="M35" s="3">
        <f t="shared" si="1"/>
        <v>77.64</v>
      </c>
      <c r="N35" s="3">
        <f t="shared" si="1"/>
        <v>307.3</v>
      </c>
      <c r="O35" s="3">
        <f t="shared" si="1"/>
        <v>0</v>
      </c>
      <c r="P35" s="3">
        <f t="shared" si="1"/>
        <v>1.18</v>
      </c>
      <c r="Q35" s="3">
        <f t="shared" si="1"/>
        <v>28.42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7.0575000000000001</v>
      </c>
      <c r="C36" s="18">
        <f t="shared" si="2"/>
        <v>20.562083333333337</v>
      </c>
      <c r="D36" s="18">
        <f t="shared" si="2"/>
        <v>17.632916666666667</v>
      </c>
      <c r="E36" s="18">
        <f t="shared" si="2"/>
        <v>13.066250000000004</v>
      </c>
      <c r="F36" s="18">
        <f t="shared" si="2"/>
        <v>9.4916666666666671</v>
      </c>
      <c r="G36" s="18">
        <f t="shared" si="2"/>
        <v>64.715833333333322</v>
      </c>
      <c r="H36" s="18">
        <f t="shared" si="2"/>
        <v>28.005416666666672</v>
      </c>
      <c r="I36" s="18">
        <f t="shared" si="2"/>
        <v>11.415833333333332</v>
      </c>
      <c r="J36" s="18">
        <f t="shared" si="2"/>
        <v>0.53583333333333327</v>
      </c>
      <c r="K36" s="18">
        <f t="shared" si="2"/>
        <v>235.4679166666667</v>
      </c>
      <c r="L36" s="18">
        <f t="shared" si="2"/>
        <v>28.09375</v>
      </c>
      <c r="M36" s="18">
        <f t="shared" si="2"/>
        <v>52.89374999999999</v>
      </c>
      <c r="N36" s="18">
        <f t="shared" si="2"/>
        <v>91.404166666666683</v>
      </c>
      <c r="O36" s="18">
        <f t="shared" si="2"/>
        <v>0</v>
      </c>
      <c r="P36" s="18">
        <f t="shared" si="2"/>
        <v>0.8945833333333334</v>
      </c>
      <c r="Q36" s="18">
        <f t="shared" si="2"/>
        <v>28.142083333333332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3.5638367819943251</v>
      </c>
      <c r="C37" s="18">
        <f t="shared" ref="C37:Q37" si="3">STDEV(C9:C32)</f>
        <v>2.1864881096459512</v>
      </c>
      <c r="D37" s="18">
        <f t="shared" si="3"/>
        <v>3.4530332968674502</v>
      </c>
      <c r="E37" s="18">
        <f t="shared" si="3"/>
        <v>3.3082266528997755</v>
      </c>
      <c r="F37" s="18">
        <f t="shared" si="3"/>
        <v>10.247667249572999</v>
      </c>
      <c r="G37" s="18">
        <f t="shared" si="3"/>
        <v>8.8799049723993182</v>
      </c>
      <c r="H37" s="18">
        <f t="shared" si="3"/>
        <v>3.9569751064106296</v>
      </c>
      <c r="I37" s="18">
        <f t="shared" si="3"/>
        <v>2.7240042722731426</v>
      </c>
      <c r="J37" s="18">
        <f t="shared" si="3"/>
        <v>0.35821922686080621</v>
      </c>
      <c r="K37" s="18">
        <f t="shared" si="3"/>
        <v>38.147194891363682</v>
      </c>
      <c r="L37" s="18">
        <f t="shared" si="3"/>
        <v>5.4850562301425985</v>
      </c>
      <c r="M37" s="18">
        <f t="shared" si="3"/>
        <v>18.16222161580847</v>
      </c>
      <c r="N37" s="18">
        <f t="shared" si="3"/>
        <v>123.81129568179874</v>
      </c>
      <c r="O37" s="18">
        <f t="shared" si="3"/>
        <v>0</v>
      </c>
      <c r="P37" s="18">
        <f t="shared" si="3"/>
        <v>0.22292481022643593</v>
      </c>
      <c r="Q37" s="18">
        <f t="shared" si="3"/>
        <v>0.1499559113950458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18" activePane="bottomRight" state="frozen"/>
      <selection activeCell="G19" sqref="G19"/>
      <selection pane="topRight" activeCell="G19" sqref="G19"/>
      <selection pane="bottomLeft" activeCell="G19" sqref="G19"/>
      <selection pane="bottomRight" activeCell="L28" sqref="L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109</v>
      </c>
      <c r="B9" s="40">
        <v>8.35</v>
      </c>
      <c r="C9" s="40">
        <v>19.98</v>
      </c>
      <c r="D9" s="40">
        <v>18.48</v>
      </c>
      <c r="E9" s="40">
        <v>10.18</v>
      </c>
      <c r="F9" s="40">
        <v>3.82</v>
      </c>
      <c r="G9" s="40">
        <v>69.19</v>
      </c>
      <c r="H9" s="40">
        <v>27.62</v>
      </c>
      <c r="I9" s="40">
        <v>10.93</v>
      </c>
      <c r="J9" s="40">
        <v>0.21</v>
      </c>
      <c r="K9" s="40">
        <v>184</v>
      </c>
      <c r="L9" s="40">
        <v>25.23</v>
      </c>
      <c r="M9" s="40">
        <v>58.58</v>
      </c>
      <c r="N9" s="40">
        <v>1.2</v>
      </c>
      <c r="O9" s="40">
        <v>0</v>
      </c>
      <c r="P9" s="40">
        <v>0.93</v>
      </c>
      <c r="Q9" s="40">
        <v>28.18</v>
      </c>
      <c r="R9" s="38"/>
      <c r="S9" s="38"/>
      <c r="T9" s="38"/>
      <c r="U9" s="38"/>
    </row>
    <row r="10" spans="1:21" customFormat="1">
      <c r="A10" s="39" t="s">
        <v>110</v>
      </c>
      <c r="B10" s="40">
        <v>9.89</v>
      </c>
      <c r="C10" s="40">
        <v>22.64</v>
      </c>
      <c r="D10" s="40">
        <v>21.11</v>
      </c>
      <c r="E10" s="40">
        <v>9.94</v>
      </c>
      <c r="F10" s="40">
        <v>3.82</v>
      </c>
      <c r="G10" s="40">
        <v>71.59</v>
      </c>
      <c r="H10" s="40">
        <v>25.83</v>
      </c>
      <c r="I10" s="40">
        <v>11.56</v>
      </c>
      <c r="J10" s="40">
        <v>0.27</v>
      </c>
      <c r="K10" s="40">
        <v>201.95</v>
      </c>
      <c r="L10" s="40">
        <v>24.47</v>
      </c>
      <c r="M10" s="40">
        <v>65.790000000000006</v>
      </c>
      <c r="N10" s="40">
        <v>1.8</v>
      </c>
      <c r="O10" s="40">
        <v>0</v>
      </c>
      <c r="P10" s="40">
        <v>0.9</v>
      </c>
      <c r="Q10" s="40">
        <v>28.25</v>
      </c>
      <c r="R10" s="38"/>
      <c r="S10" s="38"/>
      <c r="T10" s="38"/>
      <c r="U10" s="38"/>
    </row>
    <row r="11" spans="1:21" customFormat="1">
      <c r="A11" s="39" t="s">
        <v>111</v>
      </c>
      <c r="B11" s="40">
        <v>9.84</v>
      </c>
      <c r="C11" s="40">
        <v>22.9</v>
      </c>
      <c r="D11" s="40">
        <v>21.17</v>
      </c>
      <c r="E11" s="40">
        <v>10.49</v>
      </c>
      <c r="F11" s="40">
        <v>3.94</v>
      </c>
      <c r="G11" s="40">
        <v>71.59</v>
      </c>
      <c r="H11" s="40">
        <v>25.83</v>
      </c>
      <c r="I11" s="40">
        <v>11.82</v>
      </c>
      <c r="J11" s="40">
        <v>0.18</v>
      </c>
      <c r="K11" s="40">
        <v>187.67</v>
      </c>
      <c r="L11" s="40">
        <v>23.46</v>
      </c>
      <c r="M11" s="40">
        <v>68.83</v>
      </c>
      <c r="N11" s="40">
        <v>1.6</v>
      </c>
      <c r="O11" s="40">
        <v>0</v>
      </c>
      <c r="P11" s="40">
        <v>0.89</v>
      </c>
      <c r="Q11" s="40">
        <v>28.25</v>
      </c>
      <c r="R11" s="38"/>
      <c r="S11" s="38"/>
      <c r="T11" s="38"/>
      <c r="U11" s="38"/>
    </row>
    <row r="12" spans="1:21" customFormat="1">
      <c r="A12" s="39" t="s">
        <v>112</v>
      </c>
      <c r="B12" s="40">
        <v>9.27</v>
      </c>
      <c r="C12" s="40">
        <v>22.63</v>
      </c>
      <c r="D12" s="40">
        <v>20.61</v>
      </c>
      <c r="E12" s="40">
        <v>10.26</v>
      </c>
      <c r="F12" s="40">
        <v>3.76</v>
      </c>
      <c r="G12" s="40">
        <v>69.16</v>
      </c>
      <c r="H12" s="40">
        <v>25.44</v>
      </c>
      <c r="I12" s="40">
        <v>11.83</v>
      </c>
      <c r="J12" s="40">
        <v>0.31</v>
      </c>
      <c r="K12" s="40">
        <v>207.71</v>
      </c>
      <c r="L12" s="40">
        <v>22.71</v>
      </c>
      <c r="M12" s="40">
        <v>70.91</v>
      </c>
      <c r="N12" s="40">
        <v>1.5</v>
      </c>
      <c r="O12" s="40">
        <v>0</v>
      </c>
      <c r="P12" s="40">
        <v>0.88</v>
      </c>
      <c r="Q12" s="40">
        <v>28.22</v>
      </c>
      <c r="R12" s="38"/>
      <c r="S12" s="38"/>
      <c r="T12" s="38"/>
      <c r="U12" s="38"/>
    </row>
    <row r="13" spans="1:21" customFormat="1">
      <c r="A13" s="39" t="s">
        <v>113</v>
      </c>
      <c r="B13" s="40">
        <v>8.8000000000000007</v>
      </c>
      <c r="C13" s="40">
        <v>22.08</v>
      </c>
      <c r="D13" s="40">
        <v>19.940000000000001</v>
      </c>
      <c r="E13" s="40">
        <v>10.3</v>
      </c>
      <c r="F13" s="40">
        <v>3.72</v>
      </c>
      <c r="G13" s="40">
        <v>69.16</v>
      </c>
      <c r="H13" s="40">
        <v>23.61</v>
      </c>
      <c r="I13" s="40">
        <v>11.53</v>
      </c>
      <c r="J13" s="40">
        <v>0.21</v>
      </c>
      <c r="K13" s="40">
        <v>190.83</v>
      </c>
      <c r="L13" s="40">
        <v>22.25</v>
      </c>
      <c r="M13" s="40">
        <v>71.91</v>
      </c>
      <c r="N13" s="40">
        <v>1.3</v>
      </c>
      <c r="O13" s="40">
        <v>0</v>
      </c>
      <c r="P13" s="40">
        <v>0.86</v>
      </c>
      <c r="Q13" s="40">
        <v>28.19</v>
      </c>
      <c r="R13" s="38"/>
      <c r="S13" s="38"/>
      <c r="T13" s="38"/>
      <c r="U13" s="38"/>
    </row>
    <row r="14" spans="1:21" customFormat="1">
      <c r="A14" s="39" t="s">
        <v>114</v>
      </c>
      <c r="B14" s="40">
        <v>8.56</v>
      </c>
      <c r="C14" s="40">
        <v>21.64</v>
      </c>
      <c r="D14" s="40">
        <v>19.47</v>
      </c>
      <c r="E14" s="40">
        <v>10.210000000000001</v>
      </c>
      <c r="F14" s="40">
        <v>3.77</v>
      </c>
      <c r="G14" s="40">
        <v>64.349999999999994</v>
      </c>
      <c r="H14" s="40">
        <v>22.11</v>
      </c>
      <c r="I14" s="40">
        <v>11.5</v>
      </c>
      <c r="J14" s="40">
        <v>0.22</v>
      </c>
      <c r="K14" s="40">
        <v>197.98</v>
      </c>
      <c r="L14" s="40">
        <v>21.45</v>
      </c>
      <c r="M14" s="40">
        <v>75.569999999999993</v>
      </c>
      <c r="N14" s="40">
        <v>1.2</v>
      </c>
      <c r="O14" s="40">
        <v>0</v>
      </c>
      <c r="P14" s="40">
        <v>0.85</v>
      </c>
      <c r="Q14" s="40">
        <v>28.19</v>
      </c>
      <c r="R14" s="38"/>
      <c r="S14" s="38"/>
      <c r="T14" s="38"/>
      <c r="U14" s="38"/>
    </row>
    <row r="15" spans="1:21" customFormat="1">
      <c r="A15" s="39" t="s">
        <v>115</v>
      </c>
      <c r="B15" s="40">
        <v>10.93</v>
      </c>
      <c r="C15" s="40">
        <v>21.74</v>
      </c>
      <c r="D15" s="40">
        <v>20.399999999999999</v>
      </c>
      <c r="E15" s="40">
        <v>10.15</v>
      </c>
      <c r="F15" s="40">
        <v>3.87</v>
      </c>
      <c r="G15" s="40">
        <v>64.349999999999994</v>
      </c>
      <c r="H15" s="40">
        <v>23.02</v>
      </c>
      <c r="I15" s="40">
        <v>11.96</v>
      </c>
      <c r="J15" s="40">
        <v>0.23</v>
      </c>
      <c r="K15" s="40">
        <v>179.26</v>
      </c>
      <c r="L15" s="40">
        <v>21.1</v>
      </c>
      <c r="M15" s="40">
        <v>77.09</v>
      </c>
      <c r="N15" s="40">
        <v>15.9</v>
      </c>
      <c r="O15" s="40">
        <v>0</v>
      </c>
      <c r="P15" s="40">
        <v>0.89</v>
      </c>
      <c r="Q15" s="40">
        <v>28.3</v>
      </c>
      <c r="R15" s="38"/>
      <c r="S15" s="38"/>
      <c r="T15" s="38"/>
      <c r="U15" s="38"/>
    </row>
    <row r="16" spans="1:21" customFormat="1">
      <c r="A16" s="39" t="s">
        <v>116</v>
      </c>
      <c r="B16" s="40">
        <v>12.1</v>
      </c>
      <c r="C16" s="40">
        <v>19.68</v>
      </c>
      <c r="D16" s="40">
        <v>21.24</v>
      </c>
      <c r="E16" s="40">
        <v>9.84</v>
      </c>
      <c r="F16" s="40">
        <v>3.74</v>
      </c>
      <c r="G16" s="40">
        <v>68.989999999999995</v>
      </c>
      <c r="H16" s="40">
        <v>23.99</v>
      </c>
      <c r="I16" s="40">
        <v>12.24</v>
      </c>
      <c r="J16" s="40">
        <v>0.22</v>
      </c>
      <c r="K16" s="40">
        <v>191.79</v>
      </c>
      <c r="L16" s="40">
        <v>24.08</v>
      </c>
      <c r="M16" s="40">
        <v>76.28</v>
      </c>
      <c r="N16" s="40">
        <v>55.5</v>
      </c>
      <c r="O16" s="40">
        <v>0</v>
      </c>
      <c r="P16" s="40">
        <v>0.9</v>
      </c>
      <c r="Q16" s="40">
        <v>28.34</v>
      </c>
      <c r="R16" s="38"/>
      <c r="S16" s="38"/>
      <c r="T16" s="38"/>
      <c r="U16" s="38"/>
    </row>
    <row r="17" spans="1:21" customFormat="1">
      <c r="A17" s="39" t="s">
        <v>117</v>
      </c>
      <c r="B17" s="40">
        <v>12.19</v>
      </c>
      <c r="C17" s="40">
        <v>21.07</v>
      </c>
      <c r="D17" s="40">
        <v>22.14</v>
      </c>
      <c r="E17" s="40">
        <v>11.81</v>
      </c>
      <c r="F17" s="40">
        <v>4.13</v>
      </c>
      <c r="G17" s="40">
        <v>92.69</v>
      </c>
      <c r="H17" s="40">
        <v>42.76</v>
      </c>
      <c r="I17" s="40">
        <v>17.12</v>
      </c>
      <c r="J17" s="40">
        <v>0.7</v>
      </c>
      <c r="K17" s="40">
        <v>359.98</v>
      </c>
      <c r="L17" s="40">
        <v>28.51</v>
      </c>
      <c r="M17" s="40">
        <v>53</v>
      </c>
      <c r="N17" s="40">
        <v>205.3</v>
      </c>
      <c r="O17" s="40">
        <v>0</v>
      </c>
      <c r="P17" s="40">
        <v>1.1000000000000001</v>
      </c>
      <c r="Q17" s="40">
        <v>28.34</v>
      </c>
      <c r="R17" s="38"/>
      <c r="S17" s="38"/>
      <c r="T17" s="38"/>
      <c r="U17" s="38"/>
    </row>
    <row r="18" spans="1:21" customFormat="1">
      <c r="A18" s="39" t="s">
        <v>118</v>
      </c>
      <c r="B18" s="40">
        <v>12.23</v>
      </c>
      <c r="C18" s="40">
        <v>22.55</v>
      </c>
      <c r="D18" s="40">
        <v>22.52</v>
      </c>
      <c r="E18" s="40">
        <v>13.55</v>
      </c>
      <c r="F18" s="40">
        <v>4.96</v>
      </c>
      <c r="G18" s="40">
        <v>94.27</v>
      </c>
      <c r="H18" s="40">
        <v>42.76</v>
      </c>
      <c r="I18" s="40">
        <v>20.350000000000001</v>
      </c>
      <c r="J18" s="40">
        <v>1.18</v>
      </c>
      <c r="K18" s="40">
        <v>56.42</v>
      </c>
      <c r="L18" s="40">
        <v>30.86</v>
      </c>
      <c r="M18" s="40">
        <v>37.33</v>
      </c>
      <c r="N18" s="40">
        <v>280.7</v>
      </c>
      <c r="O18" s="40">
        <v>0</v>
      </c>
      <c r="P18" s="40">
        <v>1.04</v>
      </c>
      <c r="Q18" s="40">
        <v>28.34</v>
      </c>
      <c r="R18" s="38"/>
      <c r="S18" s="38"/>
      <c r="T18" s="38"/>
      <c r="U18" s="38"/>
    </row>
    <row r="19" spans="1:21" customFormat="1">
      <c r="A19" s="39" t="s">
        <v>119</v>
      </c>
      <c r="B19" s="40">
        <v>10.96</v>
      </c>
      <c r="C19" s="40">
        <v>24.76</v>
      </c>
      <c r="D19" s="40">
        <v>22.26</v>
      </c>
      <c r="E19" s="40">
        <v>24.49</v>
      </c>
      <c r="F19" s="40">
        <v>7.73</v>
      </c>
      <c r="G19" s="40">
        <v>94.27</v>
      </c>
      <c r="H19" s="40">
        <v>39.29</v>
      </c>
      <c r="I19" s="40">
        <v>14.19</v>
      </c>
      <c r="J19" s="40">
        <v>1.1499999999999999</v>
      </c>
      <c r="K19" s="40">
        <v>72.489999999999995</v>
      </c>
      <c r="L19" s="40">
        <v>32.94</v>
      </c>
      <c r="M19" s="40">
        <v>32.46</v>
      </c>
      <c r="N19" s="40">
        <v>313.89999999999998</v>
      </c>
      <c r="O19" s="40">
        <v>0</v>
      </c>
      <c r="P19" s="40">
        <v>0.97</v>
      </c>
      <c r="Q19" s="40">
        <v>28.29</v>
      </c>
      <c r="R19" s="38"/>
      <c r="S19" s="38"/>
      <c r="T19" s="38"/>
      <c r="U19" s="38"/>
    </row>
    <row r="20" spans="1:21" customFormat="1">
      <c r="A20" s="39" t="s">
        <v>120</v>
      </c>
      <c r="B20" s="40">
        <v>5.41</v>
      </c>
      <c r="C20" s="40">
        <v>24.99</v>
      </c>
      <c r="D20" s="40">
        <v>18.739999999999998</v>
      </c>
      <c r="E20" s="40">
        <v>22.19</v>
      </c>
      <c r="F20" s="40">
        <v>11.54</v>
      </c>
      <c r="G20" s="10" t="s">
        <v>12</v>
      </c>
      <c r="H20" s="10" t="s">
        <v>12</v>
      </c>
      <c r="I20" s="40">
        <v>11.82</v>
      </c>
      <c r="J20" s="40">
        <v>1.24</v>
      </c>
      <c r="K20" s="40">
        <v>39.770000000000003</v>
      </c>
      <c r="L20" s="40">
        <v>33.799999999999997</v>
      </c>
      <c r="M20" s="40">
        <v>26.08</v>
      </c>
      <c r="N20" s="40">
        <v>320.60000000000002</v>
      </c>
      <c r="O20" s="40">
        <v>0</v>
      </c>
      <c r="P20" s="40">
        <v>0.63</v>
      </c>
      <c r="Q20" s="40">
        <v>28.1</v>
      </c>
      <c r="R20" s="38"/>
      <c r="S20" s="38"/>
      <c r="T20" s="38"/>
      <c r="U20" s="38"/>
    </row>
    <row r="21" spans="1:21" customFormat="1">
      <c r="A21" s="39" t="s">
        <v>121</v>
      </c>
      <c r="B21" s="40">
        <v>4.8499999999999996</v>
      </c>
      <c r="C21" s="40">
        <v>23.83</v>
      </c>
      <c r="D21" s="40">
        <v>17.690000000000001</v>
      </c>
      <c r="E21" s="40">
        <v>22.19</v>
      </c>
      <c r="F21" s="40">
        <v>13.3</v>
      </c>
      <c r="G21" s="40">
        <v>81.11</v>
      </c>
      <c r="H21" s="40">
        <v>78.94</v>
      </c>
      <c r="I21" s="40">
        <v>16.84</v>
      </c>
      <c r="J21" s="40">
        <v>1.28</v>
      </c>
      <c r="K21" s="40">
        <v>314.48</v>
      </c>
      <c r="L21" s="40">
        <v>35.159999999999997</v>
      </c>
      <c r="M21" s="40">
        <v>22.89</v>
      </c>
      <c r="N21" s="40">
        <v>347.3</v>
      </c>
      <c r="O21" s="40">
        <v>0</v>
      </c>
      <c r="P21" s="40">
        <v>0.52</v>
      </c>
      <c r="Q21" s="40">
        <v>28.07</v>
      </c>
      <c r="R21" s="38"/>
      <c r="S21" s="38"/>
      <c r="T21" s="38"/>
      <c r="U21" s="38"/>
    </row>
    <row r="22" spans="1:21" customFormat="1">
      <c r="A22" s="39" t="s">
        <v>122</v>
      </c>
      <c r="B22" s="40">
        <v>4.33</v>
      </c>
      <c r="C22" s="40">
        <v>17.329999999999998</v>
      </c>
      <c r="D22" s="40">
        <v>13.86</v>
      </c>
      <c r="E22" s="40">
        <v>22.19</v>
      </c>
      <c r="F22" s="40">
        <v>16.61</v>
      </c>
      <c r="G22" s="40">
        <v>81.11</v>
      </c>
      <c r="H22" s="40">
        <v>78.94</v>
      </c>
      <c r="I22" s="40">
        <v>15.58</v>
      </c>
      <c r="J22" s="40">
        <v>0.94</v>
      </c>
      <c r="K22" s="40">
        <v>337.03</v>
      </c>
      <c r="L22" s="40">
        <v>35.53</v>
      </c>
      <c r="M22" s="40">
        <v>20.53</v>
      </c>
      <c r="N22" s="40">
        <v>343.4</v>
      </c>
      <c r="O22" s="40">
        <v>0</v>
      </c>
      <c r="P22" s="40">
        <v>0.5</v>
      </c>
      <c r="Q22" s="40">
        <v>28.04</v>
      </c>
      <c r="R22" s="38"/>
      <c r="S22" s="38"/>
      <c r="T22" s="38"/>
      <c r="U22" s="38"/>
    </row>
    <row r="23" spans="1:21" customFormat="1">
      <c r="A23" s="39" t="s">
        <v>123</v>
      </c>
      <c r="B23" s="40">
        <v>5.1100000000000003</v>
      </c>
      <c r="C23" s="40">
        <v>19.09</v>
      </c>
      <c r="D23" s="40">
        <v>14.63</v>
      </c>
      <c r="E23" s="40">
        <v>22.19</v>
      </c>
      <c r="F23" s="40">
        <v>16.75</v>
      </c>
      <c r="G23" s="40">
        <v>71.42</v>
      </c>
      <c r="H23" s="40">
        <v>67.569999999999993</v>
      </c>
      <c r="I23" s="40">
        <v>12.65</v>
      </c>
      <c r="J23" s="40">
        <v>1.1000000000000001</v>
      </c>
      <c r="K23" s="40">
        <v>359.89</v>
      </c>
      <c r="L23" s="40">
        <v>35.61</v>
      </c>
      <c r="M23" s="40">
        <v>19.670000000000002</v>
      </c>
      <c r="N23" s="40">
        <v>328.1</v>
      </c>
      <c r="O23" s="40">
        <v>0</v>
      </c>
      <c r="P23" s="40">
        <v>0.53</v>
      </c>
      <c r="Q23" s="40">
        <v>28.02</v>
      </c>
      <c r="R23" s="38"/>
      <c r="S23" s="38"/>
      <c r="T23" s="38"/>
      <c r="U23" s="38"/>
    </row>
    <row r="24" spans="1:21" customFormat="1">
      <c r="A24" s="39" t="s">
        <v>124</v>
      </c>
      <c r="B24" s="40">
        <v>6.1</v>
      </c>
      <c r="C24" s="40">
        <v>18.98</v>
      </c>
      <c r="D24" s="40">
        <v>16.16</v>
      </c>
      <c r="E24" s="40">
        <v>22.19</v>
      </c>
      <c r="F24" s="40">
        <v>14.59</v>
      </c>
      <c r="G24" s="10" t="s">
        <v>12</v>
      </c>
      <c r="H24" s="10" t="s">
        <v>12</v>
      </c>
      <c r="I24" s="40">
        <v>9.26</v>
      </c>
      <c r="J24" s="40">
        <v>1.18</v>
      </c>
      <c r="K24" s="40">
        <v>295.76</v>
      </c>
      <c r="L24" s="40">
        <v>35.51</v>
      </c>
      <c r="M24" s="40">
        <v>18.13</v>
      </c>
      <c r="N24" s="40">
        <v>88.5</v>
      </c>
      <c r="O24" s="40">
        <v>0</v>
      </c>
      <c r="P24" s="40">
        <v>0.41</v>
      </c>
      <c r="Q24" s="40">
        <v>28.01</v>
      </c>
      <c r="R24" s="38"/>
      <c r="S24" s="38"/>
      <c r="T24" s="38"/>
      <c r="U24" s="38"/>
    </row>
    <row r="25" spans="1:21" customFormat="1">
      <c r="A25" s="39" t="s">
        <v>125</v>
      </c>
      <c r="B25" s="40">
        <v>6.82</v>
      </c>
      <c r="C25" s="40">
        <v>25.93</v>
      </c>
      <c r="D25" s="40">
        <v>19.41</v>
      </c>
      <c r="E25" s="40">
        <v>9.42</v>
      </c>
      <c r="F25" s="40">
        <v>18</v>
      </c>
      <c r="G25" s="40">
        <v>47.52</v>
      </c>
      <c r="H25" s="40">
        <v>23.74</v>
      </c>
      <c r="I25" s="40">
        <v>3.92</v>
      </c>
      <c r="J25" s="40">
        <v>0.87</v>
      </c>
      <c r="K25" s="40">
        <v>324.31</v>
      </c>
      <c r="L25" s="40">
        <v>34.85</v>
      </c>
      <c r="M25" s="40">
        <v>20.57</v>
      </c>
      <c r="N25" s="40">
        <v>75.099999999999994</v>
      </c>
      <c r="O25" s="40">
        <v>0</v>
      </c>
      <c r="P25" s="40">
        <v>0.51</v>
      </c>
      <c r="Q25" s="40">
        <v>28.04</v>
      </c>
      <c r="R25" s="38"/>
      <c r="S25" s="38"/>
      <c r="T25" s="38"/>
      <c r="U25" s="38"/>
    </row>
    <row r="26" spans="1:21" customFormat="1">
      <c r="A26" s="39" t="s">
        <v>126</v>
      </c>
      <c r="B26" s="40">
        <v>11.53</v>
      </c>
      <c r="C26" s="40">
        <v>30.2</v>
      </c>
      <c r="D26" s="40">
        <v>26.37</v>
      </c>
      <c r="E26" s="40">
        <v>17.12</v>
      </c>
      <c r="F26" s="40">
        <v>13.92</v>
      </c>
      <c r="G26" s="40">
        <v>51.06</v>
      </c>
      <c r="H26" s="40">
        <v>21.33</v>
      </c>
      <c r="I26" s="40">
        <v>5.26</v>
      </c>
      <c r="J26" s="40">
        <v>0.89</v>
      </c>
      <c r="K26" s="40">
        <v>61.09</v>
      </c>
      <c r="L26" s="40">
        <v>33.590000000000003</v>
      </c>
      <c r="M26" s="40">
        <v>27.01</v>
      </c>
      <c r="N26" s="40">
        <v>24.4</v>
      </c>
      <c r="O26" s="40">
        <v>0</v>
      </c>
      <c r="P26" s="40">
        <v>0.63</v>
      </c>
      <c r="Q26" s="40">
        <v>28.09</v>
      </c>
      <c r="R26" s="38"/>
      <c r="S26" s="38"/>
      <c r="T26" s="38"/>
      <c r="U26" s="38"/>
    </row>
    <row r="27" spans="1:21" customFormat="1">
      <c r="A27" s="39" t="s">
        <v>127</v>
      </c>
      <c r="B27" s="40">
        <v>11.04</v>
      </c>
      <c r="C27" s="40">
        <v>31.6</v>
      </c>
      <c r="D27" s="40">
        <v>26.42</v>
      </c>
      <c r="E27" s="40">
        <v>8.64</v>
      </c>
      <c r="F27" s="40">
        <v>6.28</v>
      </c>
      <c r="G27" s="40">
        <v>60.48</v>
      </c>
      <c r="H27" s="40">
        <v>24.15</v>
      </c>
      <c r="I27" s="40">
        <v>5.96</v>
      </c>
      <c r="J27" s="40">
        <v>0.53</v>
      </c>
      <c r="K27" s="40">
        <v>171.17</v>
      </c>
      <c r="L27" s="40">
        <v>31.68</v>
      </c>
      <c r="M27" s="40">
        <v>43.19</v>
      </c>
      <c r="N27" s="40">
        <v>2</v>
      </c>
      <c r="O27" s="40">
        <v>0</v>
      </c>
      <c r="P27" s="40">
        <v>0.68</v>
      </c>
      <c r="Q27" s="40">
        <v>28.16</v>
      </c>
      <c r="R27" s="38"/>
      <c r="S27" s="38"/>
      <c r="T27" s="38"/>
      <c r="U27" s="38"/>
    </row>
    <row r="28" spans="1:21" customFormat="1">
      <c r="A28" s="39" t="s">
        <v>128</v>
      </c>
      <c r="B28" s="40">
        <v>8.65</v>
      </c>
      <c r="C28" s="40">
        <v>24.29</v>
      </c>
      <c r="D28" s="40">
        <v>20.25</v>
      </c>
      <c r="E28" s="40">
        <v>7.54</v>
      </c>
      <c r="F28" s="40">
        <v>4.3099999999999996</v>
      </c>
      <c r="G28" s="40">
        <v>85.22</v>
      </c>
      <c r="H28" s="40">
        <v>28.35</v>
      </c>
      <c r="I28" s="40">
        <v>6.48</v>
      </c>
      <c r="J28" s="40">
        <v>0.27</v>
      </c>
      <c r="K28" s="40">
        <v>210.52</v>
      </c>
      <c r="L28" s="40">
        <v>27.77</v>
      </c>
      <c r="M28" s="40">
        <v>49.48</v>
      </c>
      <c r="N28" s="40">
        <v>1.3</v>
      </c>
      <c r="O28" s="40">
        <v>0</v>
      </c>
      <c r="P28" s="40">
        <v>0.68</v>
      </c>
      <c r="Q28" s="40">
        <v>28.23</v>
      </c>
      <c r="R28" s="38"/>
      <c r="S28" s="38"/>
      <c r="T28" s="38"/>
      <c r="U28" s="38"/>
    </row>
    <row r="29" spans="1:21" customFormat="1">
      <c r="A29" s="39" t="s">
        <v>129</v>
      </c>
      <c r="B29" s="40">
        <v>9.82</v>
      </c>
      <c r="C29" s="40">
        <v>22.56</v>
      </c>
      <c r="D29" s="40">
        <v>20.37</v>
      </c>
      <c r="E29" s="40">
        <v>7.86</v>
      </c>
      <c r="F29" s="40">
        <v>4.0999999999999996</v>
      </c>
      <c r="G29" s="40">
        <v>93.52</v>
      </c>
      <c r="H29" s="40">
        <v>28.34</v>
      </c>
      <c r="I29" s="40">
        <v>7.65</v>
      </c>
      <c r="J29" s="40">
        <v>0.24</v>
      </c>
      <c r="K29" s="40">
        <v>196.25</v>
      </c>
      <c r="L29" s="40">
        <v>25.84</v>
      </c>
      <c r="M29" s="40">
        <v>52.47</v>
      </c>
      <c r="N29" s="40">
        <v>0.9</v>
      </c>
      <c r="O29" s="40">
        <v>0</v>
      </c>
      <c r="P29" s="40">
        <v>0.73</v>
      </c>
      <c r="Q29" s="40">
        <v>28.26</v>
      </c>
      <c r="R29" s="38"/>
      <c r="S29" s="38"/>
      <c r="T29" s="38"/>
      <c r="U29" s="38"/>
    </row>
    <row r="30" spans="1:21" customFormat="1">
      <c r="A30" s="39" t="s">
        <v>130</v>
      </c>
      <c r="B30" s="40">
        <v>12.75</v>
      </c>
      <c r="C30" s="40">
        <v>21.69</v>
      </c>
      <c r="D30" s="40">
        <v>22.9</v>
      </c>
      <c r="E30" s="40">
        <v>7.93</v>
      </c>
      <c r="F30" s="40">
        <v>3.87</v>
      </c>
      <c r="G30" s="40">
        <v>101.45</v>
      </c>
      <c r="H30" s="40">
        <v>32.56</v>
      </c>
      <c r="I30" s="40">
        <v>8.93</v>
      </c>
      <c r="J30" s="40">
        <v>0.28000000000000003</v>
      </c>
      <c r="K30" s="40">
        <v>192.43</v>
      </c>
      <c r="L30" s="40">
        <v>25.37</v>
      </c>
      <c r="M30" s="40">
        <v>55.39</v>
      </c>
      <c r="N30" s="40">
        <v>1</v>
      </c>
      <c r="O30" s="40">
        <v>0</v>
      </c>
      <c r="P30" s="40">
        <v>0.85</v>
      </c>
      <c r="Q30" s="40">
        <v>28.29</v>
      </c>
      <c r="R30" s="38"/>
      <c r="S30" s="38"/>
      <c r="T30" s="38"/>
      <c r="U30" s="38"/>
    </row>
    <row r="31" spans="1:21" customFormat="1">
      <c r="A31" s="39" t="s">
        <v>131</v>
      </c>
      <c r="B31" s="40">
        <v>18.260000000000002</v>
      </c>
      <c r="C31" s="40">
        <v>26.12</v>
      </c>
      <c r="D31" s="40">
        <v>28.88</v>
      </c>
      <c r="E31" s="40">
        <v>8.1300000000000008</v>
      </c>
      <c r="F31" s="40">
        <v>3.88</v>
      </c>
      <c r="G31" s="40">
        <v>107.04</v>
      </c>
      <c r="H31" s="40">
        <v>33.409999999999997</v>
      </c>
      <c r="I31" s="40">
        <v>11.29</v>
      </c>
      <c r="J31" s="40">
        <v>0.68</v>
      </c>
      <c r="K31" s="40">
        <v>209.5</v>
      </c>
      <c r="L31" s="40">
        <v>26.4</v>
      </c>
      <c r="M31" s="40">
        <v>55.13</v>
      </c>
      <c r="N31" s="40">
        <v>1.6</v>
      </c>
      <c r="O31" s="40">
        <v>0</v>
      </c>
      <c r="P31" s="40">
        <v>1.07</v>
      </c>
      <c r="Q31" s="40">
        <v>28.65</v>
      </c>
      <c r="R31" s="38"/>
      <c r="S31" s="38"/>
      <c r="T31" s="38"/>
      <c r="U31" s="38"/>
    </row>
    <row r="32" spans="1:21" customFormat="1">
      <c r="A32" s="39" t="s">
        <v>132</v>
      </c>
      <c r="B32" s="40">
        <v>25.23</v>
      </c>
      <c r="C32" s="40">
        <v>25.74</v>
      </c>
      <c r="D32" s="40">
        <v>35</v>
      </c>
      <c r="E32" s="40">
        <v>7.96</v>
      </c>
      <c r="F32" s="40">
        <v>3.87</v>
      </c>
      <c r="G32" s="40">
        <v>128.30000000000001</v>
      </c>
      <c r="H32" s="40">
        <v>41.28</v>
      </c>
      <c r="I32" s="40">
        <v>13.27</v>
      </c>
      <c r="J32" s="40">
        <v>0.26</v>
      </c>
      <c r="K32" s="40">
        <v>205.09</v>
      </c>
      <c r="L32" s="40">
        <v>24.36</v>
      </c>
      <c r="M32" s="40">
        <v>59.55</v>
      </c>
      <c r="N32" s="40">
        <v>1.2</v>
      </c>
      <c r="O32" s="40">
        <v>0</v>
      </c>
      <c r="P32" s="40">
        <v>1.22</v>
      </c>
      <c r="Q32" s="40">
        <v>28.97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4.33</v>
      </c>
      <c r="C34" s="18">
        <f t="shared" si="0"/>
        <v>17.329999999999998</v>
      </c>
      <c r="D34" s="18">
        <f t="shared" si="0"/>
        <v>13.86</v>
      </c>
      <c r="E34" s="18">
        <f t="shared" si="0"/>
        <v>7.54</v>
      </c>
      <c r="F34" s="18">
        <f t="shared" si="0"/>
        <v>3.72</v>
      </c>
      <c r="G34" s="18">
        <f t="shared" si="0"/>
        <v>47.52</v>
      </c>
      <c r="H34" s="18">
        <f t="shared" si="0"/>
        <v>21.33</v>
      </c>
      <c r="I34" s="18">
        <f t="shared" si="0"/>
        <v>3.92</v>
      </c>
      <c r="J34" s="18">
        <f t="shared" si="0"/>
        <v>0.18</v>
      </c>
      <c r="K34" s="18">
        <f t="shared" si="0"/>
        <v>39.770000000000003</v>
      </c>
      <c r="L34" s="18">
        <f t="shared" si="0"/>
        <v>21.1</v>
      </c>
      <c r="M34" s="18">
        <f t="shared" si="0"/>
        <v>18.13</v>
      </c>
      <c r="N34" s="18">
        <f t="shared" si="0"/>
        <v>0.9</v>
      </c>
      <c r="O34" s="18">
        <f t="shared" si="0"/>
        <v>0</v>
      </c>
      <c r="P34" s="18">
        <f t="shared" si="0"/>
        <v>0.41</v>
      </c>
      <c r="Q34" s="18">
        <f t="shared" si="0"/>
        <v>28.01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25.23</v>
      </c>
      <c r="C35" s="3">
        <f t="shared" si="1"/>
        <v>31.6</v>
      </c>
      <c r="D35" s="3">
        <f t="shared" si="1"/>
        <v>35</v>
      </c>
      <c r="E35" s="3">
        <f t="shared" si="1"/>
        <v>24.49</v>
      </c>
      <c r="F35" s="3">
        <f t="shared" si="1"/>
        <v>18</v>
      </c>
      <c r="G35" s="3">
        <f t="shared" si="1"/>
        <v>128.30000000000001</v>
      </c>
      <c r="H35" s="3">
        <f t="shared" si="1"/>
        <v>78.94</v>
      </c>
      <c r="I35" s="3">
        <f t="shared" si="1"/>
        <v>20.350000000000001</v>
      </c>
      <c r="J35" s="3">
        <f t="shared" si="1"/>
        <v>1.28</v>
      </c>
      <c r="K35" s="3">
        <f t="shared" si="1"/>
        <v>359.98</v>
      </c>
      <c r="L35" s="3">
        <f t="shared" si="1"/>
        <v>35.61</v>
      </c>
      <c r="M35" s="3">
        <f t="shared" si="1"/>
        <v>77.09</v>
      </c>
      <c r="N35" s="3">
        <f t="shared" si="1"/>
        <v>347.3</v>
      </c>
      <c r="O35" s="3">
        <f t="shared" si="1"/>
        <v>0</v>
      </c>
      <c r="P35" s="3">
        <f t="shared" si="1"/>
        <v>1.22</v>
      </c>
      <c r="Q35" s="3">
        <f t="shared" si="1"/>
        <v>28.97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10.125833333333331</v>
      </c>
      <c r="C36" s="18">
        <f t="shared" si="2"/>
        <v>23.084166666666665</v>
      </c>
      <c r="D36" s="18">
        <f t="shared" si="2"/>
        <v>21.250833333333336</v>
      </c>
      <c r="E36" s="18">
        <f t="shared" si="2"/>
        <v>13.198749999999999</v>
      </c>
      <c r="F36" s="18">
        <f t="shared" si="2"/>
        <v>7.4283333333333337</v>
      </c>
      <c r="G36" s="18">
        <f t="shared" si="2"/>
        <v>78.992727272727265</v>
      </c>
      <c r="H36" s="18">
        <f t="shared" si="2"/>
        <v>35.494090909090907</v>
      </c>
      <c r="I36" s="18">
        <f t="shared" si="2"/>
        <v>11.414166666666667</v>
      </c>
      <c r="J36" s="18">
        <f t="shared" si="2"/>
        <v>0.60999999999999988</v>
      </c>
      <c r="K36" s="18">
        <f t="shared" si="2"/>
        <v>206.14041666666671</v>
      </c>
      <c r="L36" s="18">
        <f t="shared" si="2"/>
        <v>28.438749999999999</v>
      </c>
      <c r="M36" s="18">
        <f t="shared" si="2"/>
        <v>48.243333333333339</v>
      </c>
      <c r="N36" s="18">
        <f t="shared" si="2"/>
        <v>100.63749999999999</v>
      </c>
      <c r="O36" s="18">
        <f t="shared" si="2"/>
        <v>0</v>
      </c>
      <c r="P36" s="18">
        <f t="shared" si="2"/>
        <v>0.79874999999999996</v>
      </c>
      <c r="Q36" s="18">
        <f t="shared" si="2"/>
        <v>28.242500000000003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4.4934086186872451</v>
      </c>
      <c r="C37" s="18">
        <f t="shared" ref="C37:Q37" si="3">STDEV(C9:C32)</f>
        <v>3.329740708884954</v>
      </c>
      <c r="D37" s="18">
        <f t="shared" si="3"/>
        <v>4.5135746141059014</v>
      </c>
      <c r="E37" s="18">
        <f t="shared" si="3"/>
        <v>5.8948469113875772</v>
      </c>
      <c r="F37" s="18">
        <f t="shared" si="3"/>
        <v>5.1496447042208784</v>
      </c>
      <c r="G37" s="18">
        <f t="shared" si="3"/>
        <v>19.190954263431696</v>
      </c>
      <c r="H37" s="18">
        <f t="shared" si="3"/>
        <v>17.590931554176514</v>
      </c>
      <c r="I37" s="18">
        <f t="shared" si="3"/>
        <v>3.882855198530287</v>
      </c>
      <c r="J37" s="18">
        <f t="shared" si="3"/>
        <v>0.41413083418901231</v>
      </c>
      <c r="K37" s="18">
        <f t="shared" si="3"/>
        <v>91.077932013297414</v>
      </c>
      <c r="L37" s="18">
        <f t="shared" si="3"/>
        <v>5.1540227534886141</v>
      </c>
      <c r="M37" s="18">
        <f t="shared" si="3"/>
        <v>20.622302757318167</v>
      </c>
      <c r="N37" s="18">
        <f t="shared" si="3"/>
        <v>138.75277611793857</v>
      </c>
      <c r="O37" s="18">
        <f t="shared" si="3"/>
        <v>0</v>
      </c>
      <c r="P37" s="18">
        <f t="shared" si="3"/>
        <v>0.2149684001044771</v>
      </c>
      <c r="Q37" s="18">
        <f t="shared" si="3"/>
        <v>0.20933123325818143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COUNT(G9:G32)+2</f>
        <v>24</v>
      </c>
      <c r="H38" s="34">
        <f>COUNT(H9:H32)+2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H26" sqref="H26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133</v>
      </c>
      <c r="B9" s="40">
        <v>27.18</v>
      </c>
      <c r="C9" s="40">
        <v>25.78</v>
      </c>
      <c r="D9" s="40">
        <v>36.590000000000003</v>
      </c>
      <c r="E9" s="40">
        <v>8.24</v>
      </c>
      <c r="F9" s="40">
        <v>3.86</v>
      </c>
      <c r="G9" s="40">
        <v>132.25</v>
      </c>
      <c r="H9" s="40">
        <v>44.23</v>
      </c>
      <c r="I9" s="40">
        <v>14.31</v>
      </c>
      <c r="J9" s="40">
        <v>0.24</v>
      </c>
      <c r="K9" s="40">
        <v>163.97</v>
      </c>
      <c r="L9" s="40">
        <v>23.3</v>
      </c>
      <c r="M9" s="40">
        <v>59.97</v>
      </c>
      <c r="N9" s="40">
        <v>1</v>
      </c>
      <c r="O9" s="40">
        <v>0</v>
      </c>
      <c r="P9" s="40">
        <v>1.26</v>
      </c>
      <c r="Q9" s="40">
        <v>29.04</v>
      </c>
      <c r="R9" s="38"/>
      <c r="S9" s="38"/>
      <c r="T9" s="38"/>
      <c r="U9" s="38"/>
    </row>
    <row r="10" spans="1:21" customFormat="1">
      <c r="A10" s="39" t="s">
        <v>134</v>
      </c>
      <c r="B10" s="40">
        <v>27.34</v>
      </c>
      <c r="C10" s="40">
        <v>25.64</v>
      </c>
      <c r="D10" s="40">
        <v>36.64</v>
      </c>
      <c r="E10" s="40">
        <v>8.01</v>
      </c>
      <c r="F10" s="40">
        <v>3.77</v>
      </c>
      <c r="G10" s="40">
        <v>121.66</v>
      </c>
      <c r="H10" s="40">
        <v>41.27</v>
      </c>
      <c r="I10" s="40">
        <v>14.44</v>
      </c>
      <c r="J10" s="40">
        <v>0.35</v>
      </c>
      <c r="K10" s="40">
        <v>353.27</v>
      </c>
      <c r="L10" s="40">
        <v>23.3</v>
      </c>
      <c r="M10" s="40">
        <v>55.93</v>
      </c>
      <c r="N10" s="40">
        <v>1.1000000000000001</v>
      </c>
      <c r="O10" s="40">
        <v>0</v>
      </c>
      <c r="P10" s="40">
        <v>1.25</v>
      </c>
      <c r="Q10" s="40">
        <v>29.05</v>
      </c>
      <c r="R10" s="38"/>
      <c r="S10" s="38"/>
      <c r="T10" s="38"/>
      <c r="U10" s="38"/>
    </row>
    <row r="11" spans="1:21" customFormat="1">
      <c r="A11" s="39" t="s">
        <v>135</v>
      </c>
      <c r="B11" s="40">
        <v>28.04</v>
      </c>
      <c r="C11" s="40">
        <v>24.97</v>
      </c>
      <c r="D11" s="40">
        <v>36.659999999999997</v>
      </c>
      <c r="E11" s="40">
        <v>8.6199999999999992</v>
      </c>
      <c r="F11" s="40">
        <v>3.86</v>
      </c>
      <c r="G11" s="40">
        <v>109.63</v>
      </c>
      <c r="H11" s="40">
        <v>38.06</v>
      </c>
      <c r="I11" s="40">
        <v>14.24</v>
      </c>
      <c r="J11" s="40">
        <v>0.28000000000000003</v>
      </c>
      <c r="K11" s="40">
        <v>185.24</v>
      </c>
      <c r="L11" s="40">
        <v>21.91</v>
      </c>
      <c r="M11" s="40">
        <v>62.58</v>
      </c>
      <c r="N11" s="40">
        <v>1.1000000000000001</v>
      </c>
      <c r="O11" s="40">
        <v>0</v>
      </c>
      <c r="P11" s="40">
        <v>1.22</v>
      </c>
      <c r="Q11" s="40">
        <v>29.06</v>
      </c>
      <c r="R11" s="38"/>
      <c r="S11" s="38"/>
      <c r="T11" s="38"/>
      <c r="U11" s="38"/>
    </row>
    <row r="12" spans="1:21" customFormat="1">
      <c r="A12" s="39" t="s">
        <v>136</v>
      </c>
      <c r="B12" s="40">
        <v>28.27</v>
      </c>
      <c r="C12" s="40">
        <v>23.9</v>
      </c>
      <c r="D12" s="40">
        <v>36.32</v>
      </c>
      <c r="E12" s="40">
        <v>8.89</v>
      </c>
      <c r="F12" s="40">
        <v>3.89</v>
      </c>
      <c r="G12" s="40">
        <v>103.61</v>
      </c>
      <c r="H12" s="40">
        <v>36.47</v>
      </c>
      <c r="I12" s="40">
        <v>13.98</v>
      </c>
      <c r="J12" s="40">
        <v>0.25</v>
      </c>
      <c r="K12" s="40">
        <v>301.83</v>
      </c>
      <c r="L12" s="40">
        <v>21.37</v>
      </c>
      <c r="M12" s="40">
        <v>66.099999999999994</v>
      </c>
      <c r="N12" s="40">
        <v>1.1000000000000001</v>
      </c>
      <c r="O12" s="40">
        <v>0</v>
      </c>
      <c r="P12" s="40">
        <v>1.2</v>
      </c>
      <c r="Q12" s="40">
        <v>29.08</v>
      </c>
      <c r="R12" s="38"/>
      <c r="S12" s="38"/>
      <c r="T12" s="38"/>
      <c r="U12" s="38"/>
    </row>
    <row r="13" spans="1:21" customFormat="1">
      <c r="A13" s="39" t="s">
        <v>137</v>
      </c>
      <c r="B13" s="40">
        <v>28.12</v>
      </c>
      <c r="C13" s="40">
        <v>22.98</v>
      </c>
      <c r="D13" s="40">
        <v>35.909999999999997</v>
      </c>
      <c r="E13" s="40">
        <v>8.4700000000000006</v>
      </c>
      <c r="F13" s="40">
        <v>4</v>
      </c>
      <c r="G13" s="40">
        <v>98.72</v>
      </c>
      <c r="H13" s="40">
        <v>25.69</v>
      </c>
      <c r="I13" s="40">
        <v>13.51</v>
      </c>
      <c r="J13" s="40">
        <v>0.32</v>
      </c>
      <c r="K13" s="40">
        <v>188.5</v>
      </c>
      <c r="L13" s="40">
        <v>20.71</v>
      </c>
      <c r="M13" s="40">
        <v>69.91</v>
      </c>
      <c r="N13" s="40">
        <v>1.5</v>
      </c>
      <c r="O13" s="40">
        <v>0</v>
      </c>
      <c r="P13" s="40">
        <v>1.1399999999999999</v>
      </c>
      <c r="Q13" s="40">
        <v>29.07</v>
      </c>
      <c r="R13" s="38"/>
      <c r="S13" s="38"/>
      <c r="T13" s="38"/>
      <c r="U13" s="38"/>
    </row>
    <row r="14" spans="1:21" customFormat="1">
      <c r="A14" s="39" t="s">
        <v>138</v>
      </c>
      <c r="B14" s="40">
        <v>26.95</v>
      </c>
      <c r="C14" s="40">
        <v>21.83</v>
      </c>
      <c r="D14" s="40">
        <v>34.369999999999997</v>
      </c>
      <c r="E14" s="40">
        <v>8.59</v>
      </c>
      <c r="F14" s="40">
        <v>3.87</v>
      </c>
      <c r="G14" s="40">
        <v>86.31</v>
      </c>
      <c r="H14" s="40">
        <v>26.51</v>
      </c>
      <c r="I14" s="40">
        <v>13.05</v>
      </c>
      <c r="J14" s="40">
        <v>0.26</v>
      </c>
      <c r="K14" s="40">
        <v>235.64</v>
      </c>
      <c r="L14" s="40">
        <v>19.21</v>
      </c>
      <c r="M14" s="40">
        <v>68.39</v>
      </c>
      <c r="N14" s="40">
        <v>1.3</v>
      </c>
      <c r="O14" s="40">
        <v>0</v>
      </c>
      <c r="P14" s="40">
        <v>1.0900000000000001</v>
      </c>
      <c r="Q14" s="40">
        <v>29.01</v>
      </c>
      <c r="R14" s="38"/>
      <c r="S14" s="38"/>
      <c r="T14" s="38"/>
      <c r="U14" s="38"/>
    </row>
    <row r="15" spans="1:21" customFormat="1">
      <c r="A15" s="39" t="s">
        <v>139</v>
      </c>
      <c r="B15" s="40">
        <v>25.34</v>
      </c>
      <c r="C15" s="40">
        <v>21.62</v>
      </c>
      <c r="D15" s="40">
        <v>32.97</v>
      </c>
      <c r="E15" s="40">
        <v>8.59</v>
      </c>
      <c r="F15" s="40">
        <v>3.78</v>
      </c>
      <c r="G15" s="40">
        <v>80.069999999999993</v>
      </c>
      <c r="H15" s="40">
        <v>25.16</v>
      </c>
      <c r="I15" s="40">
        <v>12.55</v>
      </c>
      <c r="J15" s="40">
        <v>0.2</v>
      </c>
      <c r="K15" s="40">
        <v>208.27</v>
      </c>
      <c r="L15" s="40">
        <v>19.059999999999999</v>
      </c>
      <c r="M15" s="40">
        <v>73.290000000000006</v>
      </c>
      <c r="N15" s="40">
        <v>16.2</v>
      </c>
      <c r="O15" s="40">
        <v>0</v>
      </c>
      <c r="P15" s="40">
        <v>1.05</v>
      </c>
      <c r="Q15" s="40">
        <v>28.94</v>
      </c>
      <c r="R15" s="38"/>
      <c r="S15" s="38"/>
      <c r="T15" s="38"/>
      <c r="U15" s="38"/>
    </row>
    <row r="16" spans="1:21" customFormat="1">
      <c r="A16" s="39" t="s">
        <v>140</v>
      </c>
      <c r="B16" s="40">
        <v>22.64</v>
      </c>
      <c r="C16" s="40">
        <v>20.47</v>
      </c>
      <c r="D16" s="40">
        <v>30.06</v>
      </c>
      <c r="E16" s="40">
        <v>8.49</v>
      </c>
      <c r="F16" s="40">
        <v>3.86</v>
      </c>
      <c r="G16" s="40">
        <v>81.900000000000006</v>
      </c>
      <c r="H16" s="40">
        <v>23.64</v>
      </c>
      <c r="I16" s="40">
        <v>12.2</v>
      </c>
      <c r="J16" s="40">
        <v>0.33</v>
      </c>
      <c r="K16" s="40">
        <v>171.01</v>
      </c>
      <c r="L16" s="40">
        <v>23.11</v>
      </c>
      <c r="M16" s="40">
        <v>69.16</v>
      </c>
      <c r="N16" s="40">
        <v>61.3</v>
      </c>
      <c r="O16" s="40">
        <v>0</v>
      </c>
      <c r="P16" s="40">
        <v>1</v>
      </c>
      <c r="Q16" s="40">
        <v>28.84</v>
      </c>
      <c r="R16" s="38"/>
      <c r="S16" s="38"/>
      <c r="T16" s="38"/>
      <c r="U16" s="38"/>
    </row>
    <row r="17" spans="1:21" customFormat="1">
      <c r="A17" s="39" t="s">
        <v>141</v>
      </c>
      <c r="B17" s="40">
        <v>18.43</v>
      </c>
      <c r="C17" s="40">
        <v>22.41</v>
      </c>
      <c r="D17" s="40">
        <v>26.98</v>
      </c>
      <c r="E17" s="40">
        <v>8.76</v>
      </c>
      <c r="F17" s="40">
        <v>4.2300000000000004</v>
      </c>
      <c r="G17" s="40">
        <v>88.73</v>
      </c>
      <c r="H17" s="40">
        <v>31.92</v>
      </c>
      <c r="I17" s="40">
        <v>12.15</v>
      </c>
      <c r="J17" s="40">
        <v>0.44</v>
      </c>
      <c r="K17" s="40">
        <v>132.07</v>
      </c>
      <c r="L17" s="40">
        <v>28.31</v>
      </c>
      <c r="M17" s="40">
        <v>45.52</v>
      </c>
      <c r="N17" s="40">
        <v>244.8</v>
      </c>
      <c r="O17" s="40">
        <v>0</v>
      </c>
      <c r="P17" s="40">
        <v>0.98</v>
      </c>
      <c r="Q17" s="40">
        <v>28.65</v>
      </c>
      <c r="R17" s="38"/>
      <c r="S17" s="38"/>
      <c r="T17" s="38"/>
      <c r="U17" s="38"/>
    </row>
    <row r="18" spans="1:21" customFormat="1">
      <c r="A18" s="39" t="s">
        <v>142</v>
      </c>
      <c r="B18" s="40">
        <v>11.8</v>
      </c>
      <c r="C18" s="40">
        <v>24.26</v>
      </c>
      <c r="D18" s="40">
        <v>22.83</v>
      </c>
      <c r="E18" s="40">
        <v>8.84</v>
      </c>
      <c r="F18" s="40">
        <v>4.82</v>
      </c>
      <c r="G18" s="40">
        <v>83.9</v>
      </c>
      <c r="H18" s="40">
        <v>29.49</v>
      </c>
      <c r="I18" s="40">
        <v>11.72</v>
      </c>
      <c r="J18" s="40">
        <v>0.59</v>
      </c>
      <c r="K18" s="40">
        <v>132.13</v>
      </c>
      <c r="L18" s="40">
        <v>31.43</v>
      </c>
      <c r="M18" s="40">
        <v>31.26</v>
      </c>
      <c r="N18" s="40">
        <v>306.3</v>
      </c>
      <c r="O18" s="40">
        <v>0</v>
      </c>
      <c r="P18" s="40">
        <v>0.89</v>
      </c>
      <c r="Q18" s="40">
        <v>28.37</v>
      </c>
      <c r="R18" s="38"/>
      <c r="S18" s="38"/>
      <c r="T18" s="38"/>
      <c r="U18" s="38"/>
    </row>
    <row r="19" spans="1:21" customFormat="1">
      <c r="A19" s="39" t="s">
        <v>143</v>
      </c>
      <c r="B19" s="40">
        <v>7.26</v>
      </c>
      <c r="C19" s="40">
        <v>24.03</v>
      </c>
      <c r="D19" s="40">
        <v>19.649999999999999</v>
      </c>
      <c r="E19" s="40">
        <v>9.3699999999999992</v>
      </c>
      <c r="F19" s="40">
        <v>8.2100000000000009</v>
      </c>
      <c r="G19" s="40">
        <v>73.209999999999994</v>
      </c>
      <c r="H19" s="40">
        <v>23.29</v>
      </c>
      <c r="I19" s="40">
        <v>10.88</v>
      </c>
      <c r="J19" s="40">
        <v>0.49</v>
      </c>
      <c r="K19" s="40">
        <v>135.30000000000001</v>
      </c>
      <c r="L19" s="40">
        <v>33.15</v>
      </c>
      <c r="M19" s="40">
        <v>26.5</v>
      </c>
      <c r="N19" s="40">
        <v>340.2</v>
      </c>
      <c r="O19" s="40">
        <v>0</v>
      </c>
      <c r="P19" s="40">
        <v>0.81</v>
      </c>
      <c r="Q19" s="40">
        <v>28.14</v>
      </c>
      <c r="R19" s="38"/>
      <c r="S19" s="38"/>
      <c r="T19" s="38"/>
      <c r="U19" s="38"/>
    </row>
    <row r="20" spans="1:21" customFormat="1">
      <c r="A20" s="39" t="s">
        <v>144</v>
      </c>
      <c r="B20" s="40">
        <v>4.6900000000000004</v>
      </c>
      <c r="C20" s="40">
        <v>22.66</v>
      </c>
      <c r="D20" s="40">
        <v>16.95</v>
      </c>
      <c r="E20" s="40">
        <v>11.09</v>
      </c>
      <c r="F20" s="40">
        <v>30.87</v>
      </c>
      <c r="G20" s="40">
        <v>69.55</v>
      </c>
      <c r="H20" s="40">
        <v>23.7</v>
      </c>
      <c r="I20" s="40">
        <v>10.26</v>
      </c>
      <c r="J20" s="40">
        <v>0.74</v>
      </c>
      <c r="K20" s="40">
        <v>236.89</v>
      </c>
      <c r="L20" s="40">
        <v>34.950000000000003</v>
      </c>
      <c r="M20" s="40">
        <v>23.35</v>
      </c>
      <c r="N20" s="40">
        <v>341.3</v>
      </c>
      <c r="O20" s="40">
        <v>0</v>
      </c>
      <c r="P20" s="40">
        <v>0.74</v>
      </c>
      <c r="Q20" s="40">
        <v>28.03</v>
      </c>
      <c r="R20" s="38"/>
      <c r="S20" s="38"/>
      <c r="T20" s="38"/>
      <c r="U20" s="38"/>
    </row>
    <row r="21" spans="1:21" customFormat="1">
      <c r="A21" s="39" t="s">
        <v>145</v>
      </c>
      <c r="B21" s="40">
        <v>4.3499999999999996</v>
      </c>
      <c r="C21" s="40">
        <v>22.1</v>
      </c>
      <c r="D21" s="40">
        <v>16.39</v>
      </c>
      <c r="E21" s="40">
        <v>13.06</v>
      </c>
      <c r="F21" s="40">
        <v>39.26</v>
      </c>
      <c r="G21" s="40">
        <v>64.400000000000006</v>
      </c>
      <c r="H21" s="40">
        <v>23.31</v>
      </c>
      <c r="I21" s="40">
        <v>9.33</v>
      </c>
      <c r="J21" s="40">
        <v>1</v>
      </c>
      <c r="K21" s="40">
        <v>305.68</v>
      </c>
      <c r="L21" s="40">
        <v>35.51</v>
      </c>
      <c r="M21" s="40">
        <v>18.47</v>
      </c>
      <c r="N21" s="40">
        <v>355.1</v>
      </c>
      <c r="O21" s="40">
        <v>0</v>
      </c>
      <c r="P21" s="40">
        <v>0.72</v>
      </c>
      <c r="Q21" s="40">
        <v>28.03</v>
      </c>
      <c r="R21" s="38"/>
      <c r="S21" s="38"/>
      <c r="T21" s="38"/>
      <c r="U21" s="38"/>
    </row>
    <row r="22" spans="1:21" customFormat="1">
      <c r="A22" s="39" t="s">
        <v>146</v>
      </c>
      <c r="B22" s="40">
        <v>4.3</v>
      </c>
      <c r="C22" s="40">
        <v>20.57</v>
      </c>
      <c r="D22" s="40">
        <v>15.54</v>
      </c>
      <c r="E22" s="40">
        <v>10.9</v>
      </c>
      <c r="F22" s="40">
        <v>37.58</v>
      </c>
      <c r="G22" s="40">
        <v>61.76</v>
      </c>
      <c r="H22" s="40">
        <v>21.77</v>
      </c>
      <c r="I22" s="40">
        <v>8.77</v>
      </c>
      <c r="J22" s="40">
        <v>1.36</v>
      </c>
      <c r="K22" s="40">
        <v>316.07</v>
      </c>
      <c r="L22" s="40">
        <v>36.29</v>
      </c>
      <c r="M22" s="40">
        <v>17.38</v>
      </c>
      <c r="N22" s="40">
        <v>334.5</v>
      </c>
      <c r="O22" s="40">
        <v>0</v>
      </c>
      <c r="P22" s="40">
        <v>0.71</v>
      </c>
      <c r="Q22" s="40">
        <v>28.04</v>
      </c>
      <c r="R22" s="38"/>
      <c r="S22" s="38"/>
      <c r="T22" s="38"/>
      <c r="U22" s="38"/>
    </row>
    <row r="23" spans="1:21" customFormat="1">
      <c r="A23" s="39" t="s">
        <v>147</v>
      </c>
      <c r="B23" s="40">
        <v>4.24</v>
      </c>
      <c r="C23" s="40">
        <v>20.09</v>
      </c>
      <c r="D23" s="40">
        <v>15.25</v>
      </c>
      <c r="E23" s="40">
        <v>10.75</v>
      </c>
      <c r="F23" s="40">
        <v>29.07</v>
      </c>
      <c r="G23" s="40">
        <v>65.040000000000006</v>
      </c>
      <c r="H23" s="40">
        <v>21.8</v>
      </c>
      <c r="I23" s="40">
        <v>8.48</v>
      </c>
      <c r="J23" s="40">
        <v>1.25</v>
      </c>
      <c r="K23" s="40">
        <v>321.24</v>
      </c>
      <c r="L23" s="40">
        <v>36.090000000000003</v>
      </c>
      <c r="M23" s="40">
        <v>17.18</v>
      </c>
      <c r="N23" s="40">
        <v>336.8</v>
      </c>
      <c r="O23" s="40">
        <v>0</v>
      </c>
      <c r="P23" s="40">
        <v>0.57999999999999996</v>
      </c>
      <c r="Q23" s="40">
        <v>28.04</v>
      </c>
      <c r="R23" s="38"/>
      <c r="S23" s="38"/>
      <c r="T23" s="38"/>
      <c r="U23" s="38"/>
    </row>
    <row r="24" spans="1:21" customFormat="1">
      <c r="A24" s="39" t="s">
        <v>148</v>
      </c>
      <c r="B24" s="40">
        <v>4.2</v>
      </c>
      <c r="C24" s="40">
        <v>19.510000000000002</v>
      </c>
      <c r="D24" s="40">
        <v>14.84</v>
      </c>
      <c r="E24" s="40">
        <v>9.5500000000000007</v>
      </c>
      <c r="F24" s="40">
        <v>24.39</v>
      </c>
      <c r="G24" s="40">
        <v>61.38</v>
      </c>
      <c r="H24" s="40">
        <v>21.63</v>
      </c>
      <c r="I24" s="40">
        <v>7.72</v>
      </c>
      <c r="J24" s="40">
        <v>1.42</v>
      </c>
      <c r="K24" s="40">
        <v>315.29000000000002</v>
      </c>
      <c r="L24" s="40">
        <v>35.19</v>
      </c>
      <c r="M24" s="40">
        <v>17.739999999999998</v>
      </c>
      <c r="N24" s="40">
        <v>81.5</v>
      </c>
      <c r="O24" s="40">
        <v>0</v>
      </c>
      <c r="P24" s="40">
        <v>0.54</v>
      </c>
      <c r="Q24" s="40">
        <v>28.04</v>
      </c>
      <c r="R24" s="38"/>
      <c r="S24" s="38"/>
      <c r="T24" s="38"/>
      <c r="U24" s="38"/>
    </row>
    <row r="25" spans="1:21" customFormat="1">
      <c r="A25" s="39" t="s">
        <v>149</v>
      </c>
      <c r="B25" s="40">
        <v>4.3</v>
      </c>
      <c r="C25" s="40">
        <v>18.77</v>
      </c>
      <c r="D25" s="40">
        <v>14.61</v>
      </c>
      <c r="E25" s="40">
        <v>10.08</v>
      </c>
      <c r="F25" s="40">
        <v>19.34</v>
      </c>
      <c r="G25" s="40">
        <v>53.07</v>
      </c>
      <c r="H25" s="40">
        <v>16.54</v>
      </c>
      <c r="I25" s="40">
        <v>7.07</v>
      </c>
      <c r="J25" s="40">
        <v>0.78</v>
      </c>
      <c r="K25" s="40">
        <v>298.27</v>
      </c>
      <c r="L25" s="40">
        <v>35.07</v>
      </c>
      <c r="M25" s="40">
        <v>20.260000000000002</v>
      </c>
      <c r="N25" s="40">
        <v>72.099999999999994</v>
      </c>
      <c r="O25" s="40">
        <v>0</v>
      </c>
      <c r="P25" s="40">
        <v>0.5</v>
      </c>
      <c r="Q25" s="40">
        <v>28.04</v>
      </c>
      <c r="R25" s="38"/>
      <c r="S25" s="38"/>
      <c r="T25" s="38"/>
      <c r="U25" s="38"/>
    </row>
    <row r="26" spans="1:21" customFormat="1">
      <c r="A26" s="39" t="s">
        <v>150</v>
      </c>
      <c r="B26" s="40">
        <v>4.3099999999999996</v>
      </c>
      <c r="C26" s="40">
        <v>19.260000000000002</v>
      </c>
      <c r="D26" s="40">
        <v>14.87</v>
      </c>
      <c r="E26" s="40">
        <v>9.69</v>
      </c>
      <c r="F26" s="40">
        <v>10.43</v>
      </c>
      <c r="G26" s="40">
        <v>50.66</v>
      </c>
      <c r="H26" s="40">
        <v>16.97</v>
      </c>
      <c r="I26" s="40">
        <v>6.59</v>
      </c>
      <c r="J26" s="40">
        <v>0.54</v>
      </c>
      <c r="K26" s="40">
        <v>287.48</v>
      </c>
      <c r="L26" s="40">
        <v>34.130000000000003</v>
      </c>
      <c r="M26" s="40">
        <v>27.93</v>
      </c>
      <c r="N26" s="40">
        <v>27.5</v>
      </c>
      <c r="O26" s="40">
        <v>0</v>
      </c>
      <c r="P26" s="40">
        <v>0.47</v>
      </c>
      <c r="Q26" s="40">
        <v>28.01</v>
      </c>
      <c r="R26" s="38"/>
      <c r="S26" s="38"/>
      <c r="T26" s="38"/>
      <c r="U26" s="38"/>
    </row>
    <row r="27" spans="1:21" customFormat="1">
      <c r="A27" s="39" t="s">
        <v>151</v>
      </c>
      <c r="B27" s="40">
        <v>3.58</v>
      </c>
      <c r="C27" s="40">
        <v>16.84</v>
      </c>
      <c r="D27" s="40">
        <v>13.02</v>
      </c>
      <c r="E27" s="40">
        <v>8.0299999999999994</v>
      </c>
      <c r="F27" s="40">
        <v>5.52</v>
      </c>
      <c r="G27" s="40">
        <v>55.38</v>
      </c>
      <c r="H27" s="40">
        <v>16.920000000000002</v>
      </c>
      <c r="I27" s="40">
        <v>6.65</v>
      </c>
      <c r="J27" s="40">
        <v>0.23</v>
      </c>
      <c r="K27" s="40">
        <v>212.49</v>
      </c>
      <c r="L27" s="40">
        <v>30.45</v>
      </c>
      <c r="M27" s="40">
        <v>39.369999999999997</v>
      </c>
      <c r="N27" s="40">
        <v>2.5</v>
      </c>
      <c r="O27" s="40">
        <v>0</v>
      </c>
      <c r="P27" s="40">
        <v>0.49</v>
      </c>
      <c r="Q27" s="40">
        <v>28.01</v>
      </c>
      <c r="R27" s="38"/>
      <c r="S27" s="38"/>
      <c r="T27" s="38"/>
      <c r="U27" s="38"/>
    </row>
    <row r="28" spans="1:21" customFormat="1">
      <c r="A28" s="39" t="s">
        <v>152</v>
      </c>
      <c r="B28" s="40">
        <v>3.95</v>
      </c>
      <c r="C28" s="40">
        <v>18.579999999999998</v>
      </c>
      <c r="D28" s="40">
        <v>14.23</v>
      </c>
      <c r="E28" s="40">
        <v>7.77</v>
      </c>
      <c r="F28" s="40">
        <v>4.2300000000000004</v>
      </c>
      <c r="G28" s="40">
        <v>66.930000000000007</v>
      </c>
      <c r="H28" s="40">
        <v>20.399999999999999</v>
      </c>
      <c r="I28" s="40">
        <v>7.55</v>
      </c>
      <c r="J28" s="40">
        <v>0.28999999999999998</v>
      </c>
      <c r="K28" s="40">
        <v>191.86</v>
      </c>
      <c r="L28" s="40">
        <v>28.55</v>
      </c>
      <c r="M28" s="40">
        <v>40.659999999999997</v>
      </c>
      <c r="N28" s="40">
        <v>1.2</v>
      </c>
      <c r="O28" s="40">
        <v>0</v>
      </c>
      <c r="P28" s="40">
        <v>0.57999999999999996</v>
      </c>
      <c r="Q28" s="40">
        <v>28.03</v>
      </c>
      <c r="R28" s="38"/>
      <c r="S28" s="38"/>
      <c r="T28" s="38"/>
      <c r="U28" s="38"/>
    </row>
    <row r="29" spans="1:21" customFormat="1">
      <c r="A29" s="39" t="s">
        <v>153</v>
      </c>
      <c r="B29" s="40">
        <v>4.7300000000000004</v>
      </c>
      <c r="C29" s="40">
        <v>20.62</v>
      </c>
      <c r="D29" s="40">
        <v>15.92</v>
      </c>
      <c r="E29" s="40">
        <v>7.93</v>
      </c>
      <c r="F29" s="40">
        <v>3.95</v>
      </c>
      <c r="G29" s="40">
        <v>81.5</v>
      </c>
      <c r="H29" s="40">
        <v>23.09</v>
      </c>
      <c r="I29" s="40">
        <v>8.34</v>
      </c>
      <c r="J29" s="40">
        <v>0.4</v>
      </c>
      <c r="K29" s="40">
        <v>219.77</v>
      </c>
      <c r="L29" s="40">
        <v>28.12</v>
      </c>
      <c r="M29" s="40">
        <v>41.06</v>
      </c>
      <c r="N29" s="40">
        <v>1.1000000000000001</v>
      </c>
      <c r="O29" s="40">
        <v>0</v>
      </c>
      <c r="P29" s="40">
        <v>0.65</v>
      </c>
      <c r="Q29" s="40">
        <v>28.07</v>
      </c>
      <c r="R29" s="38"/>
      <c r="S29" s="38"/>
      <c r="T29" s="38"/>
      <c r="U29" s="38"/>
    </row>
    <row r="30" spans="1:21" customFormat="1">
      <c r="A30" s="39" t="s">
        <v>154</v>
      </c>
      <c r="B30" s="40">
        <v>6.57</v>
      </c>
      <c r="C30" s="40">
        <v>23.8</v>
      </c>
      <c r="D30" s="40">
        <v>19.059999999999999</v>
      </c>
      <c r="E30" s="40">
        <v>15.07</v>
      </c>
      <c r="F30" s="40">
        <v>3.9</v>
      </c>
      <c r="G30" s="40">
        <v>80.099999999999994</v>
      </c>
      <c r="H30" s="40">
        <v>25.77</v>
      </c>
      <c r="I30" s="40">
        <v>8.9</v>
      </c>
      <c r="J30" s="40">
        <v>0.67</v>
      </c>
      <c r="K30" s="40">
        <v>304.91000000000003</v>
      </c>
      <c r="L30" s="40">
        <v>29</v>
      </c>
      <c r="M30" s="40">
        <v>33.380000000000003</v>
      </c>
      <c r="N30" s="40">
        <v>0.9</v>
      </c>
      <c r="O30" s="40">
        <v>0</v>
      </c>
      <c r="P30" s="40">
        <v>0.7</v>
      </c>
      <c r="Q30" s="40">
        <v>28.13</v>
      </c>
      <c r="R30" s="38"/>
      <c r="S30" s="38"/>
      <c r="T30" s="38"/>
      <c r="U30" s="38"/>
    </row>
    <row r="31" spans="1:21" customFormat="1">
      <c r="A31" s="39" t="s">
        <v>155</v>
      </c>
      <c r="B31" s="40">
        <v>6.9</v>
      </c>
      <c r="C31" s="40">
        <v>23.53</v>
      </c>
      <c r="D31" s="40">
        <v>19.18</v>
      </c>
      <c r="E31" s="40">
        <v>13.55</v>
      </c>
      <c r="F31" s="40">
        <v>4.13</v>
      </c>
      <c r="G31" s="40">
        <v>84.11</v>
      </c>
      <c r="H31" s="40">
        <v>26.01</v>
      </c>
      <c r="I31" s="40">
        <v>9.31</v>
      </c>
      <c r="J31" s="40">
        <v>0.56999999999999995</v>
      </c>
      <c r="K31" s="40">
        <v>321.35000000000002</v>
      </c>
      <c r="L31" s="40">
        <v>28.37</v>
      </c>
      <c r="M31" s="40">
        <v>35.22</v>
      </c>
      <c r="N31" s="40">
        <v>1</v>
      </c>
      <c r="O31" s="40">
        <v>0</v>
      </c>
      <c r="P31" s="40">
        <v>0.71</v>
      </c>
      <c r="Q31" s="40">
        <v>28.17</v>
      </c>
      <c r="R31" s="38"/>
      <c r="S31" s="38"/>
      <c r="T31" s="38"/>
      <c r="U31" s="38"/>
    </row>
    <row r="32" spans="1:21" customFormat="1">
      <c r="A32" s="39" t="s">
        <v>156</v>
      </c>
      <c r="B32" s="40">
        <v>7.29</v>
      </c>
      <c r="C32" s="40">
        <v>19.62</v>
      </c>
      <c r="D32" s="40">
        <v>17.13</v>
      </c>
      <c r="E32" s="40">
        <v>9.4</v>
      </c>
      <c r="F32" s="40">
        <v>3.84</v>
      </c>
      <c r="G32" s="40">
        <v>82.12</v>
      </c>
      <c r="H32" s="40">
        <v>26.39</v>
      </c>
      <c r="I32" s="40">
        <v>8.8699999999999992</v>
      </c>
      <c r="J32" s="40">
        <v>0.6</v>
      </c>
      <c r="K32" s="40">
        <v>325.16000000000003</v>
      </c>
      <c r="L32" s="40">
        <v>27.66</v>
      </c>
      <c r="M32" s="40">
        <v>38.29</v>
      </c>
      <c r="N32" s="40">
        <v>1.3</v>
      </c>
      <c r="O32" s="40">
        <v>0</v>
      </c>
      <c r="P32" s="40">
        <v>0.66</v>
      </c>
      <c r="Q32" s="40">
        <v>28.17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3.58</v>
      </c>
      <c r="C34" s="18">
        <f t="shared" si="0"/>
        <v>16.84</v>
      </c>
      <c r="D34" s="18">
        <f t="shared" si="0"/>
        <v>13.02</v>
      </c>
      <c r="E34" s="18">
        <f t="shared" si="0"/>
        <v>7.77</v>
      </c>
      <c r="F34" s="18">
        <f t="shared" si="0"/>
        <v>3.77</v>
      </c>
      <c r="G34" s="18">
        <f t="shared" si="0"/>
        <v>50.66</v>
      </c>
      <c r="H34" s="18">
        <f t="shared" si="0"/>
        <v>16.54</v>
      </c>
      <c r="I34" s="18">
        <f t="shared" si="0"/>
        <v>6.59</v>
      </c>
      <c r="J34" s="18">
        <f t="shared" si="0"/>
        <v>0.2</v>
      </c>
      <c r="K34" s="18">
        <f t="shared" si="0"/>
        <v>132.07</v>
      </c>
      <c r="L34" s="18">
        <f t="shared" si="0"/>
        <v>19.059999999999999</v>
      </c>
      <c r="M34" s="18">
        <f t="shared" si="0"/>
        <v>17.18</v>
      </c>
      <c r="N34" s="18">
        <f t="shared" si="0"/>
        <v>0.9</v>
      </c>
      <c r="O34" s="18">
        <f t="shared" si="0"/>
        <v>0</v>
      </c>
      <c r="P34" s="18">
        <f t="shared" si="0"/>
        <v>0.47</v>
      </c>
      <c r="Q34" s="18">
        <f t="shared" si="0"/>
        <v>28.01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28.27</v>
      </c>
      <c r="C35" s="3">
        <f t="shared" si="1"/>
        <v>25.78</v>
      </c>
      <c r="D35" s="3">
        <f t="shared" si="1"/>
        <v>36.659999999999997</v>
      </c>
      <c r="E35" s="3">
        <f t="shared" si="1"/>
        <v>15.07</v>
      </c>
      <c r="F35" s="3">
        <f t="shared" si="1"/>
        <v>39.26</v>
      </c>
      <c r="G35" s="3">
        <f t="shared" si="1"/>
        <v>132.25</v>
      </c>
      <c r="H35" s="3">
        <f t="shared" si="1"/>
        <v>44.23</v>
      </c>
      <c r="I35" s="3">
        <f t="shared" si="1"/>
        <v>14.44</v>
      </c>
      <c r="J35" s="3">
        <f t="shared" si="1"/>
        <v>1.42</v>
      </c>
      <c r="K35" s="3">
        <f t="shared" si="1"/>
        <v>353.27</v>
      </c>
      <c r="L35" s="3">
        <f t="shared" si="1"/>
        <v>36.29</v>
      </c>
      <c r="M35" s="3">
        <f t="shared" si="1"/>
        <v>73.290000000000006</v>
      </c>
      <c r="N35" s="3">
        <f t="shared" si="1"/>
        <v>355.1</v>
      </c>
      <c r="O35" s="3">
        <f t="shared" si="1"/>
        <v>0</v>
      </c>
      <c r="P35" s="3">
        <f t="shared" si="1"/>
        <v>1.26</v>
      </c>
      <c r="Q35" s="3">
        <f t="shared" si="1"/>
        <v>29.08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13.115833333333335</v>
      </c>
      <c r="C36" s="18">
        <f t="shared" si="2"/>
        <v>21.826666666666664</v>
      </c>
      <c r="D36" s="18">
        <f t="shared" si="2"/>
        <v>23.165416666666662</v>
      </c>
      <c r="E36" s="18">
        <f t="shared" si="2"/>
        <v>9.6558333333333355</v>
      </c>
      <c r="F36" s="18">
        <f t="shared" si="2"/>
        <v>11.027499999999998</v>
      </c>
      <c r="G36" s="18">
        <f t="shared" si="2"/>
        <v>80.666250000000005</v>
      </c>
      <c r="H36" s="18">
        <f t="shared" si="2"/>
        <v>26.251250000000002</v>
      </c>
      <c r="I36" s="18">
        <f t="shared" si="2"/>
        <v>10.452916666666669</v>
      </c>
      <c r="J36" s="18">
        <f t="shared" si="2"/>
        <v>0.56666666666666665</v>
      </c>
      <c r="K36" s="18">
        <f t="shared" si="2"/>
        <v>244.32041666666666</v>
      </c>
      <c r="L36" s="18">
        <f t="shared" si="2"/>
        <v>28.51</v>
      </c>
      <c r="M36" s="18">
        <f t="shared" si="2"/>
        <v>41.62083333333333</v>
      </c>
      <c r="N36" s="18">
        <f t="shared" si="2"/>
        <v>105.52916666666668</v>
      </c>
      <c r="O36" s="18">
        <f t="shared" si="2"/>
        <v>0</v>
      </c>
      <c r="P36" s="18">
        <f t="shared" si="2"/>
        <v>0.8308333333333332</v>
      </c>
      <c r="Q36" s="18">
        <f t="shared" si="2"/>
        <v>28.419166666666666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10.369684459861899</v>
      </c>
      <c r="C37" s="18">
        <f t="shared" ref="C37:Q37" si="3">STDEV(C9:C32)</f>
        <v>2.4125571255533269</v>
      </c>
      <c r="D37" s="18">
        <f t="shared" si="3"/>
        <v>9.0809791557703949</v>
      </c>
      <c r="E37" s="18">
        <f t="shared" si="3"/>
        <v>1.9026752714022839</v>
      </c>
      <c r="F37" s="18">
        <f t="shared" si="3"/>
        <v>11.886413599604786</v>
      </c>
      <c r="G37" s="18">
        <f t="shared" si="3"/>
        <v>20.918238934209914</v>
      </c>
      <c r="H37" s="18">
        <f t="shared" si="3"/>
        <v>7.3452891217846945</v>
      </c>
      <c r="I37" s="18">
        <f t="shared" si="3"/>
        <v>2.6473916271560949</v>
      </c>
      <c r="J37" s="18">
        <f t="shared" si="3"/>
        <v>0.36247538647072491</v>
      </c>
      <c r="K37" s="18">
        <f t="shared" si="3"/>
        <v>71.403377674288777</v>
      </c>
      <c r="L37" s="18">
        <f t="shared" si="3"/>
        <v>5.8134574012821014</v>
      </c>
      <c r="M37" s="18">
        <f t="shared" si="3"/>
        <v>19.341791859050726</v>
      </c>
      <c r="N37" s="18">
        <f t="shared" si="3"/>
        <v>145.47571881414694</v>
      </c>
      <c r="O37" s="18">
        <f t="shared" si="3"/>
        <v>0</v>
      </c>
      <c r="P37" s="18">
        <f t="shared" si="3"/>
        <v>0.26442582039724061</v>
      </c>
      <c r="Q37" s="18">
        <f t="shared" si="3"/>
        <v>0.45105592699283092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I24" sqref="I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157</v>
      </c>
      <c r="B9" s="40">
        <v>8.9</v>
      </c>
      <c r="C9" s="40">
        <v>19.32</v>
      </c>
      <c r="D9" s="40">
        <v>18.559999999999999</v>
      </c>
      <c r="E9" s="40">
        <v>11.76</v>
      </c>
      <c r="F9" s="40">
        <v>3.97</v>
      </c>
      <c r="G9" s="40">
        <v>76.59</v>
      </c>
      <c r="H9" s="40">
        <v>26.21</v>
      </c>
      <c r="I9" s="40">
        <v>8.56</v>
      </c>
      <c r="J9" s="40">
        <v>0.46</v>
      </c>
      <c r="K9" s="40">
        <v>30.66</v>
      </c>
      <c r="L9" s="40">
        <v>26.42</v>
      </c>
      <c r="M9" s="40">
        <v>42.22</v>
      </c>
      <c r="N9" s="40">
        <v>1.3</v>
      </c>
      <c r="O9" s="40">
        <v>0</v>
      </c>
      <c r="P9" s="40">
        <v>0.67</v>
      </c>
      <c r="Q9" s="40">
        <v>28.21</v>
      </c>
      <c r="R9" s="38"/>
      <c r="S9" s="38"/>
      <c r="T9" s="38"/>
      <c r="U9" s="38"/>
    </row>
    <row r="10" spans="1:21" customFormat="1">
      <c r="A10" s="39" t="s">
        <v>158</v>
      </c>
      <c r="B10" s="40">
        <v>10.33</v>
      </c>
      <c r="C10" s="40">
        <v>19.12</v>
      </c>
      <c r="D10" s="40">
        <v>19.59</v>
      </c>
      <c r="E10" s="40">
        <v>13.94</v>
      </c>
      <c r="F10" s="40">
        <v>4.12</v>
      </c>
      <c r="G10" s="40">
        <v>85.43</v>
      </c>
      <c r="H10" s="40">
        <v>28.6</v>
      </c>
      <c r="I10" s="40">
        <v>8.7100000000000009</v>
      </c>
      <c r="J10" s="40">
        <v>0.86</v>
      </c>
      <c r="K10" s="40">
        <v>45.71</v>
      </c>
      <c r="L10" s="40">
        <v>25.63</v>
      </c>
      <c r="M10" s="40">
        <v>45.09</v>
      </c>
      <c r="N10" s="40">
        <v>1.2</v>
      </c>
      <c r="O10" s="40">
        <v>0</v>
      </c>
      <c r="P10" s="40">
        <v>0.68</v>
      </c>
      <c r="Q10" s="40">
        <v>28.28</v>
      </c>
      <c r="R10" s="38"/>
      <c r="S10" s="38"/>
      <c r="T10" s="38"/>
      <c r="U10" s="38"/>
    </row>
    <row r="11" spans="1:21" customFormat="1">
      <c r="A11" s="39" t="s">
        <v>159</v>
      </c>
      <c r="B11" s="40">
        <v>10.72</v>
      </c>
      <c r="C11" s="40">
        <v>18.809999999999999</v>
      </c>
      <c r="D11" s="40">
        <v>19.66</v>
      </c>
      <c r="E11" s="40">
        <v>9.41</v>
      </c>
      <c r="F11" s="40">
        <v>3.92</v>
      </c>
      <c r="G11" s="40">
        <v>87.56</v>
      </c>
      <c r="H11" s="40">
        <v>27.42</v>
      </c>
      <c r="I11" s="40">
        <v>8.4700000000000006</v>
      </c>
      <c r="J11" s="40">
        <v>1</v>
      </c>
      <c r="K11" s="40">
        <v>53.88</v>
      </c>
      <c r="L11" s="40">
        <v>24.43</v>
      </c>
      <c r="M11" s="40">
        <v>48.39</v>
      </c>
      <c r="N11" s="40">
        <v>1.1000000000000001</v>
      </c>
      <c r="O11" s="40">
        <v>0</v>
      </c>
      <c r="P11" s="40">
        <v>0.65</v>
      </c>
      <c r="Q11" s="40">
        <v>28.29</v>
      </c>
      <c r="R11" s="38"/>
      <c r="S11" s="38"/>
      <c r="T11" s="38"/>
      <c r="U11" s="38"/>
    </row>
    <row r="12" spans="1:21" customFormat="1">
      <c r="A12" s="39" t="s">
        <v>160</v>
      </c>
      <c r="B12" s="40">
        <v>9.6999999999999993</v>
      </c>
      <c r="C12" s="40">
        <v>19.73</v>
      </c>
      <c r="D12" s="40">
        <v>19.03</v>
      </c>
      <c r="E12" s="40">
        <v>8.86</v>
      </c>
      <c r="F12" s="40">
        <v>3.92</v>
      </c>
      <c r="G12" s="40">
        <v>78.58</v>
      </c>
      <c r="H12" s="40">
        <v>26.55</v>
      </c>
      <c r="I12" s="40">
        <v>8.1199999999999992</v>
      </c>
      <c r="J12" s="40">
        <v>1.1599999999999999</v>
      </c>
      <c r="K12" s="40">
        <v>40.4</v>
      </c>
      <c r="L12" s="40">
        <v>23.62</v>
      </c>
      <c r="M12" s="40">
        <v>46.55</v>
      </c>
      <c r="N12" s="40">
        <v>1.1000000000000001</v>
      </c>
      <c r="O12" s="40">
        <v>0</v>
      </c>
      <c r="P12" s="40">
        <v>0.62</v>
      </c>
      <c r="Q12" s="40">
        <v>28.26</v>
      </c>
      <c r="R12" s="38"/>
      <c r="S12" s="38"/>
      <c r="T12" s="38"/>
      <c r="U12" s="38"/>
    </row>
    <row r="13" spans="1:21" customFormat="1">
      <c r="A13" s="39" t="s">
        <v>161</v>
      </c>
      <c r="B13" s="40">
        <v>8.5299999999999994</v>
      </c>
      <c r="C13" s="40">
        <v>20.3</v>
      </c>
      <c r="D13" s="40">
        <v>18.8</v>
      </c>
      <c r="E13" s="40">
        <v>8.64</v>
      </c>
      <c r="F13" s="40">
        <v>3.99</v>
      </c>
      <c r="G13" s="40">
        <v>71.8</v>
      </c>
      <c r="H13" s="40">
        <v>23.42</v>
      </c>
      <c r="I13" s="40">
        <v>7.74</v>
      </c>
      <c r="J13" s="40">
        <v>0.6</v>
      </c>
      <c r="K13" s="40">
        <v>56.93</v>
      </c>
      <c r="L13" s="40">
        <v>22.81</v>
      </c>
      <c r="M13" s="40">
        <v>47.08</v>
      </c>
      <c r="N13" s="40">
        <v>1</v>
      </c>
      <c r="O13" s="40">
        <v>0</v>
      </c>
      <c r="P13" s="40">
        <v>0.61</v>
      </c>
      <c r="Q13" s="40">
        <v>28.23</v>
      </c>
      <c r="R13" s="38"/>
      <c r="S13" s="38"/>
      <c r="T13" s="38"/>
      <c r="U13" s="38"/>
    </row>
    <row r="14" spans="1:21" customFormat="1">
      <c r="A14" s="39" t="s">
        <v>162</v>
      </c>
      <c r="B14" s="40">
        <v>9.26</v>
      </c>
      <c r="C14" s="40">
        <v>21.13</v>
      </c>
      <c r="D14" s="40">
        <v>19.809999999999999</v>
      </c>
      <c r="E14" s="40">
        <v>8.2100000000000009</v>
      </c>
      <c r="F14" s="40">
        <v>3.88</v>
      </c>
      <c r="G14" s="40">
        <v>76.14</v>
      </c>
      <c r="H14" s="40">
        <v>25.19</v>
      </c>
      <c r="I14" s="40">
        <v>7.51</v>
      </c>
      <c r="J14" s="40">
        <v>0.6</v>
      </c>
      <c r="K14" s="40">
        <v>54.08</v>
      </c>
      <c r="L14" s="40">
        <v>22.4</v>
      </c>
      <c r="M14" s="40">
        <v>47.33</v>
      </c>
      <c r="N14" s="40">
        <v>1</v>
      </c>
      <c r="O14" s="40">
        <v>0</v>
      </c>
      <c r="P14" s="40">
        <v>0.63</v>
      </c>
      <c r="Q14" s="40">
        <v>28.22</v>
      </c>
      <c r="R14" s="38"/>
      <c r="S14" s="38"/>
      <c r="T14" s="38"/>
      <c r="U14" s="38"/>
    </row>
    <row r="15" spans="1:21" customFormat="1">
      <c r="A15" s="39" t="s">
        <v>163</v>
      </c>
      <c r="B15" s="40">
        <v>12.8</v>
      </c>
      <c r="C15" s="40">
        <v>22.27</v>
      </c>
      <c r="D15" s="40">
        <v>23.25</v>
      </c>
      <c r="E15" s="40">
        <v>9.43</v>
      </c>
      <c r="F15" s="40">
        <v>4.0199999999999996</v>
      </c>
      <c r="G15" s="40">
        <v>78.650000000000006</v>
      </c>
      <c r="H15" s="40">
        <v>24.84</v>
      </c>
      <c r="I15" s="40">
        <v>7.97</v>
      </c>
      <c r="J15" s="40">
        <v>0.38</v>
      </c>
      <c r="K15" s="40">
        <v>44.63</v>
      </c>
      <c r="L15" s="40">
        <v>21.86</v>
      </c>
      <c r="M15" s="40">
        <v>50.31</v>
      </c>
      <c r="N15" s="40">
        <v>17.399999999999999</v>
      </c>
      <c r="O15" s="40">
        <v>0</v>
      </c>
      <c r="P15" s="40">
        <v>1.1200000000000001</v>
      </c>
      <c r="Q15" s="40">
        <v>28.4</v>
      </c>
      <c r="R15" s="38"/>
      <c r="S15" s="38"/>
      <c r="T15" s="38"/>
      <c r="U15" s="38"/>
    </row>
    <row r="16" spans="1:21" customFormat="1">
      <c r="A16" s="39" t="s">
        <v>164</v>
      </c>
      <c r="B16" s="40">
        <v>15.16</v>
      </c>
      <c r="C16" s="40">
        <v>22.5</v>
      </c>
      <c r="D16" s="40">
        <v>25.18</v>
      </c>
      <c r="E16" s="40">
        <v>9.73</v>
      </c>
      <c r="F16" s="40">
        <v>4.08</v>
      </c>
      <c r="G16" s="40">
        <v>96</v>
      </c>
      <c r="H16" s="40">
        <v>29.89</v>
      </c>
      <c r="I16" s="40">
        <v>9.08</v>
      </c>
      <c r="J16" s="40">
        <v>0.94</v>
      </c>
      <c r="K16" s="40">
        <v>37.69</v>
      </c>
      <c r="L16" s="40">
        <v>23.47</v>
      </c>
      <c r="M16" s="40">
        <v>49.02</v>
      </c>
      <c r="N16" s="40">
        <v>60.1</v>
      </c>
      <c r="O16" s="40">
        <v>0</v>
      </c>
      <c r="P16" s="40">
        <v>1.1100000000000001</v>
      </c>
      <c r="Q16" s="40">
        <v>28.5</v>
      </c>
      <c r="R16" s="38"/>
      <c r="S16" s="38"/>
      <c r="T16" s="38"/>
      <c r="U16" s="38"/>
    </row>
    <row r="17" spans="1:21" customFormat="1">
      <c r="A17" s="39" t="s">
        <v>165</v>
      </c>
      <c r="B17" s="40">
        <v>15.65</v>
      </c>
      <c r="C17" s="40">
        <v>22.39</v>
      </c>
      <c r="D17" s="40">
        <v>25.48</v>
      </c>
      <c r="E17" s="40">
        <v>10.52</v>
      </c>
      <c r="F17" s="40">
        <v>4.1900000000000004</v>
      </c>
      <c r="G17" s="40">
        <v>112.2</v>
      </c>
      <c r="H17" s="40">
        <v>28.87</v>
      </c>
      <c r="I17" s="40">
        <v>9.27</v>
      </c>
      <c r="J17" s="40">
        <v>1.07</v>
      </c>
      <c r="K17" s="40">
        <v>354.05</v>
      </c>
      <c r="L17" s="40">
        <v>25.96</v>
      </c>
      <c r="M17" s="40">
        <v>36.909999999999997</v>
      </c>
      <c r="N17" s="40">
        <v>253.4</v>
      </c>
      <c r="O17" s="40">
        <v>0</v>
      </c>
      <c r="P17" s="40">
        <v>1.08</v>
      </c>
      <c r="Q17" s="40">
        <v>28.54</v>
      </c>
      <c r="R17" s="38"/>
      <c r="S17" s="38"/>
      <c r="T17" s="38"/>
      <c r="U17" s="38"/>
    </row>
    <row r="18" spans="1:21" customFormat="1">
      <c r="A18" s="39" t="s">
        <v>166</v>
      </c>
      <c r="B18" s="40">
        <v>15.28</v>
      </c>
      <c r="C18" s="40">
        <v>21.5</v>
      </c>
      <c r="D18" s="40">
        <v>24.84</v>
      </c>
      <c r="E18" s="40">
        <v>10.94</v>
      </c>
      <c r="F18" s="40">
        <v>6.28</v>
      </c>
      <c r="G18" s="40">
        <v>112.81</v>
      </c>
      <c r="H18" s="40">
        <v>31.69</v>
      </c>
      <c r="I18" s="40">
        <v>8.92</v>
      </c>
      <c r="J18" s="40">
        <v>1.49</v>
      </c>
      <c r="K18" s="40">
        <v>355.3</v>
      </c>
      <c r="L18" s="40">
        <v>27.08</v>
      </c>
      <c r="M18" s="40">
        <v>24.84</v>
      </c>
      <c r="N18" s="40">
        <v>320.8</v>
      </c>
      <c r="O18" s="40">
        <v>0</v>
      </c>
      <c r="P18" s="40">
        <v>0.97</v>
      </c>
      <c r="Q18" s="40">
        <v>28.51</v>
      </c>
      <c r="R18" s="38"/>
      <c r="S18" s="38"/>
      <c r="T18" s="38"/>
      <c r="U18" s="38"/>
    </row>
    <row r="19" spans="1:21" customFormat="1">
      <c r="A19" s="39" t="s">
        <v>167</v>
      </c>
      <c r="B19" s="40">
        <v>12.71</v>
      </c>
      <c r="C19" s="40">
        <v>21.49</v>
      </c>
      <c r="D19" s="40">
        <v>22.77</v>
      </c>
      <c r="E19" s="40">
        <v>10.050000000000001</v>
      </c>
      <c r="F19" s="40">
        <v>9</v>
      </c>
      <c r="G19" s="40">
        <v>108.37</v>
      </c>
      <c r="H19" s="40">
        <v>28.88</v>
      </c>
      <c r="I19" s="40">
        <v>8.27</v>
      </c>
      <c r="J19" s="40">
        <v>1.61</v>
      </c>
      <c r="K19" s="40">
        <v>346.33</v>
      </c>
      <c r="L19" s="40">
        <v>27.98</v>
      </c>
      <c r="M19" s="40">
        <v>20.440000000000001</v>
      </c>
      <c r="N19" s="40">
        <v>369</v>
      </c>
      <c r="O19" s="40">
        <v>0</v>
      </c>
      <c r="P19" s="40">
        <v>0.87</v>
      </c>
      <c r="Q19" s="40">
        <v>28.4</v>
      </c>
      <c r="R19" s="38"/>
      <c r="S19" s="38"/>
      <c r="T19" s="38"/>
      <c r="U19" s="38"/>
    </row>
    <row r="20" spans="1:21" customFormat="1">
      <c r="A20" s="39" t="s">
        <v>168</v>
      </c>
      <c r="B20" s="40">
        <v>9.69</v>
      </c>
      <c r="C20" s="40">
        <v>20.84</v>
      </c>
      <c r="D20" s="40">
        <v>19.79</v>
      </c>
      <c r="E20" s="40">
        <v>9.11</v>
      </c>
      <c r="F20" s="40">
        <v>9.44</v>
      </c>
      <c r="G20" s="40">
        <v>103.09</v>
      </c>
      <c r="H20" s="40">
        <v>27.21</v>
      </c>
      <c r="I20" s="40">
        <v>7.92</v>
      </c>
      <c r="J20" s="40">
        <v>1.2</v>
      </c>
      <c r="K20" s="40">
        <v>324.63</v>
      </c>
      <c r="L20" s="40">
        <v>29.01</v>
      </c>
      <c r="M20" s="40">
        <v>17.989999999999998</v>
      </c>
      <c r="N20" s="40">
        <v>369.2</v>
      </c>
      <c r="O20" s="40">
        <v>0</v>
      </c>
      <c r="P20" s="40">
        <v>0.77</v>
      </c>
      <c r="Q20" s="40">
        <v>28.24</v>
      </c>
      <c r="R20" s="38"/>
      <c r="S20" s="38"/>
      <c r="T20" s="38"/>
      <c r="U20" s="38"/>
    </row>
    <row r="21" spans="1:21" customFormat="1">
      <c r="A21" s="39" t="s">
        <v>169</v>
      </c>
      <c r="B21" s="40">
        <v>7.25</v>
      </c>
      <c r="C21" s="40">
        <v>21.35</v>
      </c>
      <c r="D21" s="40">
        <v>18.32</v>
      </c>
      <c r="E21" s="40">
        <v>8.9700000000000006</v>
      </c>
      <c r="F21" s="40">
        <v>10.6</v>
      </c>
      <c r="G21" s="40">
        <v>91.1</v>
      </c>
      <c r="H21" s="40">
        <v>25.76</v>
      </c>
      <c r="I21" s="40">
        <v>7.12</v>
      </c>
      <c r="J21" s="40">
        <v>1.22</v>
      </c>
      <c r="K21" s="40">
        <v>340.81</v>
      </c>
      <c r="L21" s="40">
        <v>29.93</v>
      </c>
      <c r="M21" s="40">
        <v>17.329999999999998</v>
      </c>
      <c r="N21" s="40">
        <v>389.1</v>
      </c>
      <c r="O21" s="40">
        <v>0</v>
      </c>
      <c r="P21" s="40">
        <v>0.7</v>
      </c>
      <c r="Q21" s="40">
        <v>28.14</v>
      </c>
      <c r="R21" s="38"/>
      <c r="S21" s="38"/>
      <c r="T21" s="38"/>
      <c r="U21" s="38"/>
    </row>
    <row r="22" spans="1:21" customFormat="1">
      <c r="A22" s="39" t="s">
        <v>170</v>
      </c>
      <c r="B22" s="40">
        <v>4.83</v>
      </c>
      <c r="C22" s="40">
        <v>20.99</v>
      </c>
      <c r="D22" s="40">
        <v>16.2</v>
      </c>
      <c r="E22" s="40">
        <v>8.69</v>
      </c>
      <c r="F22" s="40">
        <v>17.02</v>
      </c>
      <c r="G22" s="40">
        <v>84.79</v>
      </c>
      <c r="H22" s="40">
        <v>23.29</v>
      </c>
      <c r="I22" s="40">
        <v>6.56</v>
      </c>
      <c r="J22" s="40">
        <v>1.27</v>
      </c>
      <c r="K22" s="40">
        <v>319.24</v>
      </c>
      <c r="L22" s="40">
        <v>31.38</v>
      </c>
      <c r="M22" s="40">
        <v>15.16</v>
      </c>
      <c r="N22" s="40">
        <v>396.8</v>
      </c>
      <c r="O22" s="40">
        <v>0</v>
      </c>
      <c r="P22" s="40">
        <v>0.6</v>
      </c>
      <c r="Q22" s="40">
        <v>28.07</v>
      </c>
      <c r="R22" s="38"/>
      <c r="S22" s="38"/>
      <c r="T22" s="38"/>
      <c r="U22" s="38"/>
    </row>
    <row r="23" spans="1:21" customFormat="1">
      <c r="A23" s="39" t="s">
        <v>171</v>
      </c>
      <c r="B23" s="40">
        <v>4.43</v>
      </c>
      <c r="C23" s="40">
        <v>19.18</v>
      </c>
      <c r="D23" s="40">
        <v>14.76</v>
      </c>
      <c r="E23" s="40">
        <v>8.3000000000000007</v>
      </c>
      <c r="F23" s="40">
        <v>14.77</v>
      </c>
      <c r="G23" s="40">
        <v>82.02</v>
      </c>
      <c r="H23" s="40">
        <v>21.55</v>
      </c>
      <c r="I23" s="40">
        <v>6.11</v>
      </c>
      <c r="J23" s="40">
        <v>1.35</v>
      </c>
      <c r="K23" s="40">
        <v>347.91</v>
      </c>
      <c r="L23" s="40">
        <v>31.96</v>
      </c>
      <c r="M23" s="40">
        <v>12.61</v>
      </c>
      <c r="N23" s="40">
        <v>400.9</v>
      </c>
      <c r="O23" s="40">
        <v>0</v>
      </c>
      <c r="P23" s="40">
        <v>0.56000000000000005</v>
      </c>
      <c r="Q23" s="40">
        <v>28.02</v>
      </c>
      <c r="R23" s="38"/>
      <c r="S23" s="38"/>
      <c r="T23" s="38"/>
      <c r="U23" s="38"/>
    </row>
    <row r="24" spans="1:21" customFormat="1">
      <c r="A24" s="39" t="s">
        <v>172</v>
      </c>
      <c r="B24" s="40">
        <v>4.47</v>
      </c>
      <c r="C24" s="40">
        <v>18.11</v>
      </c>
      <c r="D24" s="40">
        <v>14.4</v>
      </c>
      <c r="E24" s="40">
        <v>8.14</v>
      </c>
      <c r="F24" s="40">
        <v>20.51</v>
      </c>
      <c r="G24" s="40">
        <v>68.900000000000006</v>
      </c>
      <c r="H24" s="40">
        <v>19.940000000000001</v>
      </c>
      <c r="I24" s="40">
        <v>5.68</v>
      </c>
      <c r="J24" s="40">
        <v>1.25</v>
      </c>
      <c r="K24" s="40">
        <v>311.49</v>
      </c>
      <c r="L24" s="40">
        <v>31.45</v>
      </c>
      <c r="M24" s="40">
        <v>13.16</v>
      </c>
      <c r="N24" s="40">
        <v>91.9</v>
      </c>
      <c r="O24" s="40">
        <v>0</v>
      </c>
      <c r="P24" s="40">
        <v>0.53</v>
      </c>
      <c r="Q24" s="40">
        <v>28.03</v>
      </c>
      <c r="R24" s="38"/>
      <c r="S24" s="38"/>
      <c r="T24" s="38"/>
      <c r="U24" s="38"/>
    </row>
    <row r="25" spans="1:21" customFormat="1">
      <c r="A25" s="39" t="s">
        <v>173</v>
      </c>
      <c r="B25" s="40">
        <v>4.45</v>
      </c>
      <c r="C25" s="40">
        <v>18.38</v>
      </c>
      <c r="D25" s="40">
        <v>14.41</v>
      </c>
      <c r="E25" s="40">
        <v>8.02</v>
      </c>
      <c r="F25" s="40">
        <v>18.04</v>
      </c>
      <c r="G25" s="40">
        <v>63.41</v>
      </c>
      <c r="H25" s="40">
        <v>17.46</v>
      </c>
      <c r="I25" s="40">
        <v>5.24</v>
      </c>
      <c r="J25" s="40">
        <v>1.32</v>
      </c>
      <c r="K25" s="40">
        <v>316.23</v>
      </c>
      <c r="L25" s="40">
        <v>31.31</v>
      </c>
      <c r="M25" s="40">
        <v>11.07</v>
      </c>
      <c r="N25" s="40">
        <v>138.30000000000001</v>
      </c>
      <c r="O25" s="40">
        <v>0</v>
      </c>
      <c r="P25" s="40">
        <v>0.49</v>
      </c>
      <c r="Q25" s="40">
        <v>28.02</v>
      </c>
      <c r="R25" s="38"/>
      <c r="S25" s="38"/>
      <c r="T25" s="38"/>
      <c r="U25" s="38"/>
    </row>
    <row r="26" spans="1:21" customFormat="1">
      <c r="A26" s="39" t="s">
        <v>174</v>
      </c>
      <c r="B26" s="40">
        <v>6.59</v>
      </c>
      <c r="C26" s="40">
        <v>19.97</v>
      </c>
      <c r="D26" s="40">
        <v>17.07</v>
      </c>
      <c r="E26" s="40">
        <v>8.19</v>
      </c>
      <c r="F26" s="40">
        <v>20.98</v>
      </c>
      <c r="G26" s="40">
        <v>59.3</v>
      </c>
      <c r="H26" s="40">
        <v>14.61</v>
      </c>
      <c r="I26" s="40">
        <v>4.87</v>
      </c>
      <c r="J26" s="40">
        <v>0.97</v>
      </c>
      <c r="K26" s="40">
        <v>315.91000000000003</v>
      </c>
      <c r="L26" s="40">
        <v>30.65</v>
      </c>
      <c r="M26" s="40">
        <v>11.89</v>
      </c>
      <c r="N26" s="40">
        <v>25.3</v>
      </c>
      <c r="O26" s="40">
        <v>0</v>
      </c>
      <c r="P26" s="40">
        <v>0.51</v>
      </c>
      <c r="Q26" s="40">
        <v>28.05</v>
      </c>
      <c r="R26" s="38"/>
      <c r="S26" s="38"/>
      <c r="T26" s="38"/>
      <c r="U26" s="38"/>
    </row>
    <row r="27" spans="1:21" customFormat="1">
      <c r="A27" s="39" t="s">
        <v>175</v>
      </c>
      <c r="B27" s="40">
        <v>7.26</v>
      </c>
      <c r="C27" s="40">
        <v>22.12</v>
      </c>
      <c r="D27" s="40">
        <v>18.59</v>
      </c>
      <c r="E27" s="40">
        <v>9.44</v>
      </c>
      <c r="F27" s="40">
        <v>10.24</v>
      </c>
      <c r="G27" s="40">
        <v>56.22</v>
      </c>
      <c r="H27" s="40">
        <v>12.99</v>
      </c>
      <c r="I27" s="40">
        <v>5.23</v>
      </c>
      <c r="J27" s="40">
        <v>0.87</v>
      </c>
      <c r="K27" s="40">
        <v>304.18</v>
      </c>
      <c r="L27" s="40">
        <v>29.07</v>
      </c>
      <c r="M27" s="40">
        <v>14.07</v>
      </c>
      <c r="N27" s="40">
        <v>2</v>
      </c>
      <c r="O27" s="40">
        <v>0</v>
      </c>
      <c r="P27" s="40">
        <v>0.54</v>
      </c>
      <c r="Q27" s="40">
        <v>28.1</v>
      </c>
      <c r="R27" s="38"/>
      <c r="S27" s="38"/>
      <c r="T27" s="38"/>
      <c r="U27" s="38"/>
    </row>
    <row r="28" spans="1:21" customFormat="1">
      <c r="A28" s="39" t="s">
        <v>176</v>
      </c>
      <c r="B28" s="40">
        <v>10.37</v>
      </c>
      <c r="C28" s="40">
        <v>21.57</v>
      </c>
      <c r="D28" s="40">
        <v>20.69</v>
      </c>
      <c r="E28" s="40">
        <v>12.61</v>
      </c>
      <c r="F28" s="40">
        <v>6.55</v>
      </c>
      <c r="G28" s="40">
        <v>59.47</v>
      </c>
      <c r="H28" s="40">
        <v>17.89</v>
      </c>
      <c r="I28" s="40">
        <v>5.83</v>
      </c>
      <c r="J28" s="40">
        <v>0.4</v>
      </c>
      <c r="K28" s="40">
        <v>356.9</v>
      </c>
      <c r="L28" s="40">
        <v>27.09</v>
      </c>
      <c r="M28" s="40">
        <v>16.559999999999999</v>
      </c>
      <c r="N28" s="40">
        <v>0.7</v>
      </c>
      <c r="O28" s="40">
        <v>0</v>
      </c>
      <c r="P28" s="40">
        <v>0.61</v>
      </c>
      <c r="Q28" s="40">
        <v>28.23</v>
      </c>
      <c r="R28" s="38"/>
      <c r="S28" s="38"/>
      <c r="T28" s="38"/>
      <c r="U28" s="38"/>
    </row>
    <row r="29" spans="1:21" customFormat="1">
      <c r="A29" s="39" t="s">
        <v>177</v>
      </c>
      <c r="B29" s="40">
        <v>11.62</v>
      </c>
      <c r="C29" s="40">
        <v>19.5</v>
      </c>
      <c r="D29" s="40">
        <v>19.98</v>
      </c>
      <c r="E29" s="40">
        <v>10.01</v>
      </c>
      <c r="F29" s="40">
        <v>5.58</v>
      </c>
      <c r="G29" s="40">
        <v>80.180000000000007</v>
      </c>
      <c r="H29" s="40">
        <v>20.5</v>
      </c>
      <c r="I29" s="40">
        <v>6.28</v>
      </c>
      <c r="J29" s="40">
        <v>1.1599999999999999</v>
      </c>
      <c r="K29" s="40">
        <v>308.27999999999997</v>
      </c>
      <c r="L29" s="40">
        <v>26.11</v>
      </c>
      <c r="M29" s="40">
        <v>15.95</v>
      </c>
      <c r="N29" s="40">
        <v>0.6</v>
      </c>
      <c r="O29" s="40">
        <v>0</v>
      </c>
      <c r="P29" s="40">
        <v>0.62</v>
      </c>
      <c r="Q29" s="40">
        <v>28.29</v>
      </c>
      <c r="R29" s="38"/>
      <c r="S29" s="38"/>
      <c r="T29" s="38"/>
      <c r="U29" s="38"/>
    </row>
    <row r="30" spans="1:21" customFormat="1">
      <c r="A30" s="39" t="s">
        <v>178</v>
      </c>
      <c r="B30" s="40">
        <v>14.03</v>
      </c>
      <c r="C30" s="40">
        <v>17.809999999999999</v>
      </c>
      <c r="D30" s="40">
        <v>21.16</v>
      </c>
      <c r="E30" s="40">
        <v>9.18</v>
      </c>
      <c r="F30" s="40">
        <v>4.04</v>
      </c>
      <c r="G30" s="40">
        <v>83.6</v>
      </c>
      <c r="H30" s="40">
        <v>21.77</v>
      </c>
      <c r="I30" s="40">
        <v>6.45</v>
      </c>
      <c r="J30" s="40">
        <v>1.22</v>
      </c>
      <c r="K30" s="40">
        <v>311.8</v>
      </c>
      <c r="L30" s="40">
        <v>25</v>
      </c>
      <c r="M30" s="40">
        <v>16.22</v>
      </c>
      <c r="N30" s="40">
        <v>0.7</v>
      </c>
      <c r="O30" s="40">
        <v>0</v>
      </c>
      <c r="P30" s="40">
        <v>0.64</v>
      </c>
      <c r="Q30" s="40">
        <v>28.31</v>
      </c>
      <c r="R30" s="38"/>
      <c r="S30" s="38"/>
      <c r="T30" s="38"/>
      <c r="U30" s="38"/>
    </row>
    <row r="31" spans="1:21" customFormat="1">
      <c r="A31" s="39" t="s">
        <v>179</v>
      </c>
      <c r="B31" s="40">
        <v>15.86</v>
      </c>
      <c r="C31" s="40">
        <v>17.89</v>
      </c>
      <c r="D31" s="40">
        <v>23.25</v>
      </c>
      <c r="E31" s="40">
        <v>8.84</v>
      </c>
      <c r="F31" s="40">
        <v>3.87</v>
      </c>
      <c r="G31" s="40">
        <v>71.47</v>
      </c>
      <c r="H31" s="40">
        <v>20.329999999999998</v>
      </c>
      <c r="I31" s="40">
        <v>6.45</v>
      </c>
      <c r="J31" s="40">
        <v>0.67</v>
      </c>
      <c r="K31" s="40">
        <v>325.23</v>
      </c>
      <c r="L31" s="40">
        <v>24.1</v>
      </c>
      <c r="M31" s="40">
        <v>20.25</v>
      </c>
      <c r="N31" s="40">
        <v>0.7</v>
      </c>
      <c r="O31" s="40">
        <v>0</v>
      </c>
      <c r="P31" s="40">
        <v>0.64</v>
      </c>
      <c r="Q31" s="40">
        <v>28.34</v>
      </c>
      <c r="R31" s="38"/>
      <c r="S31" s="38"/>
      <c r="T31" s="38"/>
      <c r="U31" s="38"/>
    </row>
    <row r="32" spans="1:21" customFormat="1">
      <c r="A32" s="39" t="s">
        <v>180</v>
      </c>
      <c r="B32" s="40">
        <v>16.32</v>
      </c>
      <c r="C32" s="40">
        <v>18.88</v>
      </c>
      <c r="D32" s="40">
        <v>23.98</v>
      </c>
      <c r="E32" s="40">
        <v>9.01</v>
      </c>
      <c r="F32" s="40">
        <v>3.66</v>
      </c>
      <c r="G32" s="40">
        <v>67.02</v>
      </c>
      <c r="H32" s="40">
        <v>21.43</v>
      </c>
      <c r="I32" s="40">
        <v>6.36</v>
      </c>
      <c r="J32" s="40">
        <v>0.42</v>
      </c>
      <c r="K32" s="40">
        <v>348.61</v>
      </c>
      <c r="L32" s="40">
        <v>22.71</v>
      </c>
      <c r="M32" s="40">
        <v>20.48</v>
      </c>
      <c r="N32" s="40">
        <v>0.5</v>
      </c>
      <c r="O32" s="40">
        <v>0</v>
      </c>
      <c r="P32" s="40">
        <v>0.64</v>
      </c>
      <c r="Q32" s="40">
        <v>28.33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4.43</v>
      </c>
      <c r="C34" s="18">
        <f t="shared" si="0"/>
        <v>17.809999999999999</v>
      </c>
      <c r="D34" s="18">
        <f t="shared" si="0"/>
        <v>14.4</v>
      </c>
      <c r="E34" s="18">
        <f t="shared" si="0"/>
        <v>8.02</v>
      </c>
      <c r="F34" s="18">
        <f t="shared" si="0"/>
        <v>3.66</v>
      </c>
      <c r="G34" s="18">
        <f t="shared" si="0"/>
        <v>56.22</v>
      </c>
      <c r="H34" s="18">
        <f t="shared" si="0"/>
        <v>12.99</v>
      </c>
      <c r="I34" s="18">
        <f t="shared" si="0"/>
        <v>4.87</v>
      </c>
      <c r="J34" s="18">
        <f t="shared" si="0"/>
        <v>0.38</v>
      </c>
      <c r="K34" s="18">
        <f t="shared" si="0"/>
        <v>30.66</v>
      </c>
      <c r="L34" s="18">
        <f t="shared" si="0"/>
        <v>21.86</v>
      </c>
      <c r="M34" s="18">
        <f t="shared" si="0"/>
        <v>11.07</v>
      </c>
      <c r="N34" s="18">
        <f t="shared" si="0"/>
        <v>0.5</v>
      </c>
      <c r="O34" s="18">
        <f t="shared" si="0"/>
        <v>0</v>
      </c>
      <c r="P34" s="18">
        <f t="shared" si="0"/>
        <v>0.49</v>
      </c>
      <c r="Q34" s="18">
        <f t="shared" si="0"/>
        <v>28.02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16.32</v>
      </c>
      <c r="C35" s="3">
        <f t="shared" si="1"/>
        <v>22.5</v>
      </c>
      <c r="D35" s="3">
        <f t="shared" si="1"/>
        <v>25.48</v>
      </c>
      <c r="E35" s="3">
        <f t="shared" si="1"/>
        <v>13.94</v>
      </c>
      <c r="F35" s="3">
        <f t="shared" si="1"/>
        <v>20.98</v>
      </c>
      <c r="G35" s="3">
        <f t="shared" si="1"/>
        <v>112.81</v>
      </c>
      <c r="H35" s="3">
        <f t="shared" si="1"/>
        <v>31.69</v>
      </c>
      <c r="I35" s="3">
        <f t="shared" si="1"/>
        <v>9.27</v>
      </c>
      <c r="J35" s="3">
        <f t="shared" si="1"/>
        <v>1.61</v>
      </c>
      <c r="K35" s="3">
        <f t="shared" si="1"/>
        <v>356.9</v>
      </c>
      <c r="L35" s="3">
        <f t="shared" si="1"/>
        <v>31.96</v>
      </c>
      <c r="M35" s="3">
        <f t="shared" si="1"/>
        <v>50.31</v>
      </c>
      <c r="N35" s="3">
        <f t="shared" si="1"/>
        <v>400.9</v>
      </c>
      <c r="O35" s="3">
        <f t="shared" si="1"/>
        <v>0</v>
      </c>
      <c r="P35" s="3">
        <f t="shared" si="1"/>
        <v>1.1200000000000001</v>
      </c>
      <c r="Q35" s="3">
        <f t="shared" si="1"/>
        <v>28.54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10.258750000000001</v>
      </c>
      <c r="C36" s="18">
        <f t="shared" si="2"/>
        <v>20.214583333333334</v>
      </c>
      <c r="D36" s="18">
        <f t="shared" si="2"/>
        <v>19.982083333333332</v>
      </c>
      <c r="E36" s="18">
        <f t="shared" si="2"/>
        <v>9.5833333333333321</v>
      </c>
      <c r="F36" s="18">
        <f t="shared" si="2"/>
        <v>8.194583333333334</v>
      </c>
      <c r="G36" s="18">
        <f t="shared" si="2"/>
        <v>81.44583333333334</v>
      </c>
      <c r="H36" s="18">
        <f t="shared" si="2"/>
        <v>23.595416666666665</v>
      </c>
      <c r="I36" s="18">
        <f t="shared" si="2"/>
        <v>7.1966666666666663</v>
      </c>
      <c r="J36" s="18">
        <f t="shared" si="2"/>
        <v>0.97875000000000012</v>
      </c>
      <c r="K36" s="18">
        <f t="shared" si="2"/>
        <v>235.45333333333326</v>
      </c>
      <c r="L36" s="18">
        <f t="shared" si="2"/>
        <v>26.726250000000004</v>
      </c>
      <c r="M36" s="18">
        <f t="shared" si="2"/>
        <v>27.538333333333338</v>
      </c>
      <c r="N36" s="18">
        <f t="shared" si="2"/>
        <v>118.50416666666668</v>
      </c>
      <c r="O36" s="18">
        <f t="shared" si="2"/>
        <v>0</v>
      </c>
      <c r="P36" s="18">
        <f t="shared" si="2"/>
        <v>0.70249999999999979</v>
      </c>
      <c r="Q36" s="18">
        <f t="shared" si="2"/>
        <v>28.250416666666663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3.8665525735915987</v>
      </c>
      <c r="C37" s="18">
        <f t="shared" ref="C37:Q37" si="3">STDEV(C9:C32)</f>
        <v>1.5131682258460708</v>
      </c>
      <c r="D37" s="18">
        <f t="shared" si="3"/>
        <v>3.2933437206460661</v>
      </c>
      <c r="E37" s="18">
        <f t="shared" si="3"/>
        <v>1.4736723329585726</v>
      </c>
      <c r="F37" s="18">
        <f t="shared" si="3"/>
        <v>5.7964561730997897</v>
      </c>
      <c r="G37" s="18">
        <f t="shared" si="3"/>
        <v>16.231720666556029</v>
      </c>
      <c r="H37" s="18">
        <f t="shared" si="3"/>
        <v>4.8781526966551914</v>
      </c>
      <c r="I37" s="18">
        <f t="shared" si="3"/>
        <v>1.3453645591814285</v>
      </c>
      <c r="J37" s="18">
        <f t="shared" si="3"/>
        <v>0.36096865454664828</v>
      </c>
      <c r="K37" s="18">
        <f t="shared" si="3"/>
        <v>138.14590477389169</v>
      </c>
      <c r="L37" s="18">
        <f t="shared" si="3"/>
        <v>3.244395585835858</v>
      </c>
      <c r="M37" s="18">
        <f t="shared" si="3"/>
        <v>15.007920420975017</v>
      </c>
      <c r="N37" s="18">
        <f t="shared" si="3"/>
        <v>162.08787063803081</v>
      </c>
      <c r="O37" s="18">
        <f t="shared" si="3"/>
        <v>0</v>
      </c>
      <c r="P37" s="18">
        <f t="shared" si="3"/>
        <v>0.18746014069083136</v>
      </c>
      <c r="Q37" s="18">
        <f t="shared" si="3"/>
        <v>0.15408860146503109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I23" sqref="I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181</v>
      </c>
      <c r="B9" s="40">
        <v>9.36</v>
      </c>
      <c r="C9" s="40">
        <v>18.53</v>
      </c>
      <c r="D9" s="40">
        <v>18.54</v>
      </c>
      <c r="E9" s="40">
        <v>8.18</v>
      </c>
      <c r="F9" s="40">
        <v>3.85</v>
      </c>
      <c r="G9" s="40">
        <v>65.13</v>
      </c>
      <c r="H9" s="40">
        <v>19.170000000000002</v>
      </c>
      <c r="I9" s="40">
        <v>6.26</v>
      </c>
      <c r="J9" s="40">
        <v>0.34</v>
      </c>
      <c r="K9" s="40">
        <v>358.33</v>
      </c>
      <c r="L9" s="40">
        <v>21.72</v>
      </c>
      <c r="M9" s="40">
        <v>22.14</v>
      </c>
      <c r="N9" s="40">
        <v>0.5</v>
      </c>
      <c r="O9" s="40">
        <v>0</v>
      </c>
      <c r="P9" s="40">
        <v>0.61</v>
      </c>
      <c r="Q9" s="40">
        <v>28.27</v>
      </c>
      <c r="R9" s="38"/>
      <c r="S9" s="38"/>
      <c r="T9" s="38"/>
      <c r="U9" s="38"/>
    </row>
    <row r="10" spans="1:21" customFormat="1">
      <c r="A10" s="39" t="s">
        <v>182</v>
      </c>
      <c r="B10" s="40">
        <v>9.73</v>
      </c>
      <c r="C10" s="40">
        <v>16.96</v>
      </c>
      <c r="D10" s="40">
        <v>17.420000000000002</v>
      </c>
      <c r="E10" s="40">
        <v>8.5299999999999994</v>
      </c>
      <c r="F10" s="40">
        <v>3.87</v>
      </c>
      <c r="G10" s="40">
        <v>55.82</v>
      </c>
      <c r="H10" s="40">
        <v>19.09</v>
      </c>
      <c r="I10" s="40">
        <v>6.04</v>
      </c>
      <c r="J10" s="40">
        <v>0.62</v>
      </c>
      <c r="K10" s="40">
        <v>49.2</v>
      </c>
      <c r="L10" s="40">
        <v>20.67</v>
      </c>
      <c r="M10" s="40">
        <v>24.07</v>
      </c>
      <c r="N10" s="40">
        <v>0.6</v>
      </c>
      <c r="O10" s="40">
        <v>0</v>
      </c>
      <c r="P10" s="40">
        <v>0.59</v>
      </c>
      <c r="Q10" s="40">
        <v>28.19</v>
      </c>
      <c r="R10" s="38"/>
      <c r="S10" s="38"/>
      <c r="T10" s="38"/>
      <c r="U10" s="38"/>
    </row>
    <row r="11" spans="1:21" customFormat="1">
      <c r="A11" s="39" t="s">
        <v>183</v>
      </c>
      <c r="B11" s="40">
        <v>10.54</v>
      </c>
      <c r="C11" s="40">
        <v>16.16</v>
      </c>
      <c r="D11" s="40">
        <v>17.690000000000001</v>
      </c>
      <c r="E11" s="40">
        <v>9.8800000000000008</v>
      </c>
      <c r="F11" s="40">
        <v>3.74</v>
      </c>
      <c r="G11" s="40">
        <v>53.51</v>
      </c>
      <c r="H11" s="40">
        <v>17.760000000000002</v>
      </c>
      <c r="I11" s="40">
        <v>5.95</v>
      </c>
      <c r="J11" s="40">
        <v>0.55000000000000004</v>
      </c>
      <c r="K11" s="40">
        <v>228.02</v>
      </c>
      <c r="L11" s="40">
        <v>19.739999999999998</v>
      </c>
      <c r="M11" s="40">
        <v>27.37</v>
      </c>
      <c r="N11" s="40">
        <v>0.6</v>
      </c>
      <c r="O11" s="40">
        <v>0</v>
      </c>
      <c r="P11" s="40">
        <v>0.61</v>
      </c>
      <c r="Q11" s="40">
        <v>28.16</v>
      </c>
      <c r="R11" s="38"/>
      <c r="S11" s="38"/>
      <c r="T11" s="38"/>
      <c r="U11" s="38"/>
    </row>
    <row r="12" spans="1:21" customFormat="1">
      <c r="A12" s="39" t="s">
        <v>184</v>
      </c>
      <c r="B12" s="40">
        <v>5.27</v>
      </c>
      <c r="C12" s="40">
        <v>17.62</v>
      </c>
      <c r="D12" s="40">
        <v>14.14</v>
      </c>
      <c r="E12" s="40">
        <v>9.07</v>
      </c>
      <c r="F12" s="40">
        <v>3.81</v>
      </c>
      <c r="G12" s="40">
        <v>53.71</v>
      </c>
      <c r="H12" s="40">
        <v>16.23</v>
      </c>
      <c r="I12" s="40">
        <v>6.03</v>
      </c>
      <c r="J12" s="40">
        <v>0.46</v>
      </c>
      <c r="K12" s="40">
        <v>193.86</v>
      </c>
      <c r="L12" s="40">
        <v>18.86</v>
      </c>
      <c r="M12" s="40">
        <v>33.49</v>
      </c>
      <c r="N12" s="40">
        <v>1.2</v>
      </c>
      <c r="O12" s="40">
        <v>0</v>
      </c>
      <c r="P12" s="40">
        <v>0.63</v>
      </c>
      <c r="Q12" s="40">
        <v>28.14</v>
      </c>
      <c r="R12" s="38"/>
      <c r="S12" s="38"/>
      <c r="T12" s="38"/>
      <c r="U12" s="38"/>
    </row>
    <row r="13" spans="1:21" customFormat="1">
      <c r="A13" s="39" t="s">
        <v>185</v>
      </c>
      <c r="B13" s="40">
        <v>10.54</v>
      </c>
      <c r="C13" s="40">
        <v>16.12</v>
      </c>
      <c r="D13" s="40">
        <v>17.739999999999998</v>
      </c>
      <c r="E13" s="40">
        <v>8.43</v>
      </c>
      <c r="F13" s="40">
        <v>3.78</v>
      </c>
      <c r="G13" s="40">
        <v>50.03</v>
      </c>
      <c r="H13" s="40">
        <v>11.36</v>
      </c>
      <c r="I13" s="40">
        <v>6.15</v>
      </c>
      <c r="J13" s="40">
        <v>0.73</v>
      </c>
      <c r="K13" s="40">
        <v>151.37</v>
      </c>
      <c r="L13" s="40">
        <v>17.899999999999999</v>
      </c>
      <c r="M13" s="40">
        <v>35.08</v>
      </c>
      <c r="N13" s="40">
        <v>0.9</v>
      </c>
      <c r="O13" s="40">
        <v>0</v>
      </c>
      <c r="P13" s="40">
        <v>0.64</v>
      </c>
      <c r="Q13" s="40">
        <v>28.18</v>
      </c>
      <c r="R13" s="38"/>
      <c r="S13" s="38"/>
      <c r="T13" s="38"/>
      <c r="U13" s="38"/>
    </row>
    <row r="14" spans="1:21" customFormat="1">
      <c r="A14" s="39" t="s">
        <v>186</v>
      </c>
      <c r="B14" s="40">
        <v>12.31</v>
      </c>
      <c r="C14" s="40">
        <v>17.420000000000002</v>
      </c>
      <c r="D14" s="40">
        <v>19.510000000000002</v>
      </c>
      <c r="E14" s="40">
        <v>7.69</v>
      </c>
      <c r="F14" s="40">
        <v>3.7</v>
      </c>
      <c r="G14" s="40">
        <v>46.21</v>
      </c>
      <c r="H14" s="40">
        <v>14.04</v>
      </c>
      <c r="I14" s="40">
        <v>6.25</v>
      </c>
      <c r="J14" s="40">
        <v>0.22</v>
      </c>
      <c r="K14" s="40">
        <v>195.16</v>
      </c>
      <c r="L14" s="40">
        <v>17.059999999999999</v>
      </c>
      <c r="M14" s="40">
        <v>45.6</v>
      </c>
      <c r="N14" s="40">
        <v>1.1000000000000001</v>
      </c>
      <c r="O14" s="40">
        <v>0</v>
      </c>
      <c r="P14" s="40">
        <v>0.64</v>
      </c>
      <c r="Q14" s="40">
        <v>28.26</v>
      </c>
      <c r="R14" s="38"/>
      <c r="S14" s="38"/>
      <c r="T14" s="38"/>
      <c r="U14" s="38"/>
    </row>
    <row r="15" spans="1:21" customFormat="1">
      <c r="A15" s="39" t="s">
        <v>187</v>
      </c>
      <c r="B15" s="40">
        <v>10.99</v>
      </c>
      <c r="C15" s="40">
        <v>18.59</v>
      </c>
      <c r="D15" s="40">
        <v>18.77</v>
      </c>
      <c r="E15" s="40">
        <v>8.0399999999999991</v>
      </c>
      <c r="F15" s="40">
        <v>3.76</v>
      </c>
      <c r="G15" s="40">
        <v>56.36</v>
      </c>
      <c r="H15" s="40">
        <v>16.48</v>
      </c>
      <c r="I15" s="40">
        <v>6.73</v>
      </c>
      <c r="J15" s="40">
        <v>0.28999999999999998</v>
      </c>
      <c r="K15" s="40">
        <v>210.92</v>
      </c>
      <c r="L15" s="40">
        <v>14.74</v>
      </c>
      <c r="M15" s="40">
        <v>56.18</v>
      </c>
      <c r="N15" s="40">
        <v>16</v>
      </c>
      <c r="O15" s="40">
        <v>0</v>
      </c>
      <c r="P15" s="40">
        <v>0.68</v>
      </c>
      <c r="Q15" s="40">
        <v>28.31</v>
      </c>
      <c r="R15" s="38"/>
      <c r="S15" s="38"/>
      <c r="T15" s="38"/>
      <c r="U15" s="38"/>
    </row>
    <row r="16" spans="1:21" customFormat="1">
      <c r="A16" s="39" t="s">
        <v>188</v>
      </c>
      <c r="B16" s="40">
        <v>13.71</v>
      </c>
      <c r="C16" s="40">
        <v>17.96</v>
      </c>
      <c r="D16" s="40">
        <v>21.02</v>
      </c>
      <c r="E16" s="40">
        <v>8.66</v>
      </c>
      <c r="F16" s="40">
        <v>3.85</v>
      </c>
      <c r="G16" s="40">
        <v>68.78</v>
      </c>
      <c r="H16" s="40">
        <v>18.84</v>
      </c>
      <c r="I16" s="40">
        <v>8.56</v>
      </c>
      <c r="J16" s="40">
        <v>0.8</v>
      </c>
      <c r="K16" s="40">
        <v>174.85</v>
      </c>
      <c r="L16" s="40">
        <v>19.149999999999999</v>
      </c>
      <c r="M16" s="40">
        <v>46.12</v>
      </c>
      <c r="N16" s="40">
        <v>56.1</v>
      </c>
      <c r="O16" s="40">
        <v>0</v>
      </c>
      <c r="P16" s="40">
        <v>0.75</v>
      </c>
      <c r="Q16" s="40">
        <v>28.39</v>
      </c>
      <c r="R16" s="38"/>
      <c r="S16" s="38"/>
      <c r="T16" s="38"/>
      <c r="U16" s="38"/>
    </row>
    <row r="17" spans="1:21" customFormat="1">
      <c r="A17" s="39" t="s">
        <v>189</v>
      </c>
      <c r="B17" s="40">
        <v>16.23</v>
      </c>
      <c r="C17" s="40">
        <v>18.309999999999999</v>
      </c>
      <c r="D17" s="40">
        <v>23.51</v>
      </c>
      <c r="E17" s="40">
        <v>10.4</v>
      </c>
      <c r="F17" s="40">
        <v>4.04</v>
      </c>
      <c r="G17" s="40">
        <v>86.84</v>
      </c>
      <c r="H17" s="40">
        <v>26.9</v>
      </c>
      <c r="I17" s="40">
        <v>10.28</v>
      </c>
      <c r="J17" s="40">
        <v>1.2</v>
      </c>
      <c r="K17" s="40">
        <v>41.79</v>
      </c>
      <c r="L17" s="40">
        <v>23.89</v>
      </c>
      <c r="M17" s="40">
        <v>27.95</v>
      </c>
      <c r="N17" s="40">
        <v>296.2</v>
      </c>
      <c r="O17" s="40">
        <v>0</v>
      </c>
      <c r="P17" s="40">
        <v>0.78</v>
      </c>
      <c r="Q17" s="40">
        <v>28.41</v>
      </c>
      <c r="R17" s="38"/>
      <c r="S17" s="38"/>
      <c r="T17" s="38"/>
      <c r="U17" s="38"/>
    </row>
    <row r="18" spans="1:21" customFormat="1">
      <c r="A18" s="39" t="s">
        <v>190</v>
      </c>
      <c r="B18" s="40">
        <v>15.79</v>
      </c>
      <c r="C18" s="40">
        <v>17.72</v>
      </c>
      <c r="D18" s="40">
        <v>23.27</v>
      </c>
      <c r="E18" s="40">
        <v>9.56</v>
      </c>
      <c r="F18" s="40">
        <v>4.83</v>
      </c>
      <c r="G18" s="40">
        <v>93.43</v>
      </c>
      <c r="H18" s="40">
        <v>30.7</v>
      </c>
      <c r="I18" s="40">
        <v>10.17</v>
      </c>
      <c r="J18" s="40">
        <v>1.03</v>
      </c>
      <c r="K18" s="40">
        <v>37.729999999999997</v>
      </c>
      <c r="L18" s="40">
        <v>26.49</v>
      </c>
      <c r="M18" s="40">
        <v>16.62</v>
      </c>
      <c r="N18" s="40">
        <v>345.6</v>
      </c>
      <c r="O18" s="40">
        <v>0</v>
      </c>
      <c r="P18" s="40">
        <v>0.76</v>
      </c>
      <c r="Q18" s="40">
        <v>28.32</v>
      </c>
      <c r="R18" s="38"/>
      <c r="S18" s="38"/>
      <c r="T18" s="38"/>
      <c r="U18" s="38"/>
    </row>
    <row r="19" spans="1:21" customFormat="1">
      <c r="A19" s="39" t="s">
        <v>191</v>
      </c>
      <c r="B19" s="40">
        <v>12.74</v>
      </c>
      <c r="C19" s="40">
        <v>17.59</v>
      </c>
      <c r="D19" s="40">
        <v>20.56</v>
      </c>
      <c r="E19" s="40">
        <v>11.88</v>
      </c>
      <c r="F19" s="40">
        <v>6.88</v>
      </c>
      <c r="G19" s="40">
        <v>73.52</v>
      </c>
      <c r="H19" s="40">
        <v>25.58</v>
      </c>
      <c r="I19" s="40">
        <v>9.14</v>
      </c>
      <c r="J19" s="40">
        <v>1.3</v>
      </c>
      <c r="K19" s="40">
        <v>39.200000000000003</v>
      </c>
      <c r="L19" s="40">
        <v>28.31</v>
      </c>
      <c r="M19" s="40">
        <v>12.28</v>
      </c>
      <c r="N19" s="40">
        <v>363.7</v>
      </c>
      <c r="O19" s="40">
        <v>0</v>
      </c>
      <c r="P19" s="40">
        <v>0.7</v>
      </c>
      <c r="Q19" s="40">
        <v>28.2</v>
      </c>
      <c r="R19" s="38"/>
      <c r="S19" s="38"/>
      <c r="T19" s="38"/>
      <c r="U19" s="38"/>
    </row>
    <row r="20" spans="1:21" customFormat="1">
      <c r="A20" s="39" t="s">
        <v>192</v>
      </c>
      <c r="B20" s="40">
        <v>12.58</v>
      </c>
      <c r="C20" s="40">
        <v>16.79</v>
      </c>
      <c r="D20" s="40">
        <v>20.21</v>
      </c>
      <c r="E20" s="40">
        <v>12.51</v>
      </c>
      <c r="F20" s="40">
        <v>8.9</v>
      </c>
      <c r="G20" s="40">
        <v>57.64</v>
      </c>
      <c r="H20" s="40">
        <v>21.46</v>
      </c>
      <c r="I20" s="40">
        <v>8.18</v>
      </c>
      <c r="J20" s="40">
        <v>0.79</v>
      </c>
      <c r="K20" s="40">
        <v>352.56</v>
      </c>
      <c r="L20" s="40">
        <v>30.09</v>
      </c>
      <c r="M20" s="40">
        <v>11.19</v>
      </c>
      <c r="N20" s="40">
        <v>357.9</v>
      </c>
      <c r="O20" s="40">
        <v>0</v>
      </c>
      <c r="P20" s="40">
        <v>0.64</v>
      </c>
      <c r="Q20" s="40">
        <v>28.12</v>
      </c>
      <c r="R20" s="38"/>
      <c r="S20" s="38"/>
      <c r="T20" s="38"/>
      <c r="U20" s="38"/>
    </row>
    <row r="21" spans="1:21" customFormat="1">
      <c r="A21" s="39" t="s">
        <v>193</v>
      </c>
      <c r="B21" s="40">
        <v>9.9499999999999993</v>
      </c>
      <c r="C21" s="40">
        <v>16.77</v>
      </c>
      <c r="D21" s="40">
        <v>17.46</v>
      </c>
      <c r="E21" s="40">
        <v>10.32</v>
      </c>
      <c r="F21" s="40">
        <v>9.84</v>
      </c>
      <c r="G21" s="40">
        <v>59.14</v>
      </c>
      <c r="H21" s="40">
        <v>20.9</v>
      </c>
      <c r="I21" s="40">
        <v>7.54</v>
      </c>
      <c r="J21" s="40">
        <v>0.91</v>
      </c>
      <c r="K21" s="40">
        <v>328.59</v>
      </c>
      <c r="L21" s="40">
        <v>31.25</v>
      </c>
      <c r="M21" s="40">
        <v>9.69</v>
      </c>
      <c r="N21" s="40">
        <v>394.4</v>
      </c>
      <c r="O21" s="40">
        <v>0</v>
      </c>
      <c r="P21" s="40">
        <v>0.62</v>
      </c>
      <c r="Q21" s="40">
        <v>28.05</v>
      </c>
      <c r="R21" s="38"/>
      <c r="S21" s="38"/>
      <c r="T21" s="38"/>
      <c r="U21" s="38"/>
    </row>
    <row r="22" spans="1:21" customFormat="1">
      <c r="A22" s="39" t="s">
        <v>194</v>
      </c>
      <c r="B22" s="40">
        <v>11.75</v>
      </c>
      <c r="C22" s="40">
        <v>14.1</v>
      </c>
      <c r="D22" s="40">
        <v>17.23</v>
      </c>
      <c r="E22" s="40">
        <v>9.0500000000000007</v>
      </c>
      <c r="F22" s="40">
        <v>13.88</v>
      </c>
      <c r="G22" s="40">
        <v>57.7</v>
      </c>
      <c r="H22" s="40">
        <v>18.489999999999998</v>
      </c>
      <c r="I22" s="40">
        <v>7.1</v>
      </c>
      <c r="J22" s="40">
        <v>0.67</v>
      </c>
      <c r="K22" s="40">
        <v>353.42</v>
      </c>
      <c r="L22" s="40">
        <v>32.619999999999997</v>
      </c>
      <c r="M22" s="40">
        <v>9.3000000000000007</v>
      </c>
      <c r="N22" s="40">
        <v>389.2</v>
      </c>
      <c r="O22" s="40">
        <v>0</v>
      </c>
      <c r="P22" s="40">
        <v>0.6</v>
      </c>
      <c r="Q22" s="40">
        <v>28.02</v>
      </c>
      <c r="R22" s="38"/>
      <c r="S22" s="38"/>
      <c r="T22" s="38"/>
      <c r="U22" s="38"/>
    </row>
    <row r="23" spans="1:21" customFormat="1">
      <c r="A23" s="39" t="s">
        <v>195</v>
      </c>
      <c r="B23" s="40">
        <v>12.23</v>
      </c>
      <c r="C23" s="40">
        <v>12.02</v>
      </c>
      <c r="D23" s="40">
        <v>17.149999999999999</v>
      </c>
      <c r="E23" s="40">
        <v>8.81</v>
      </c>
      <c r="F23" s="40">
        <v>19.920000000000002</v>
      </c>
      <c r="G23" s="40">
        <v>56.91</v>
      </c>
      <c r="H23" s="40">
        <v>19.84</v>
      </c>
      <c r="I23" s="40">
        <v>6.75</v>
      </c>
      <c r="J23" s="40">
        <v>0.63</v>
      </c>
      <c r="K23" s="40">
        <v>348.33</v>
      </c>
      <c r="L23" s="40">
        <v>32.979999999999997</v>
      </c>
      <c r="M23" s="40">
        <v>7.94</v>
      </c>
      <c r="N23" s="40">
        <v>387.4</v>
      </c>
      <c r="O23" s="40">
        <v>0</v>
      </c>
      <c r="P23" s="40">
        <v>0.55000000000000004</v>
      </c>
      <c r="Q23" s="40">
        <v>28.02</v>
      </c>
      <c r="R23" s="38"/>
      <c r="S23" s="38"/>
      <c r="T23" s="38"/>
      <c r="U23" s="38"/>
    </row>
    <row r="24" spans="1:21" customFormat="1">
      <c r="A24" s="39" t="s">
        <v>196</v>
      </c>
      <c r="B24" s="40">
        <v>12.34</v>
      </c>
      <c r="C24" s="40">
        <v>11.59</v>
      </c>
      <c r="D24" s="40">
        <v>17.14</v>
      </c>
      <c r="E24" s="40">
        <v>14.97</v>
      </c>
      <c r="F24" s="40">
        <v>15.33</v>
      </c>
      <c r="G24" s="40">
        <v>49.18</v>
      </c>
      <c r="H24" s="40">
        <v>15.42</v>
      </c>
      <c r="I24" s="40">
        <v>6.45</v>
      </c>
      <c r="J24" s="40">
        <v>1.23</v>
      </c>
      <c r="K24" s="40">
        <v>45.22</v>
      </c>
      <c r="L24" s="40">
        <v>31.66</v>
      </c>
      <c r="M24" s="40">
        <v>7.75</v>
      </c>
      <c r="N24" s="40">
        <v>61.1</v>
      </c>
      <c r="O24" s="40">
        <v>0</v>
      </c>
      <c r="P24" s="40">
        <v>0.52</v>
      </c>
      <c r="Q24" s="40">
        <v>28.04</v>
      </c>
      <c r="R24" s="38"/>
      <c r="S24" s="38"/>
      <c r="T24" s="38"/>
      <c r="U24" s="38"/>
    </row>
    <row r="25" spans="1:21" customFormat="1">
      <c r="A25" s="39" t="s">
        <v>197</v>
      </c>
      <c r="B25" s="40">
        <v>12.48</v>
      </c>
      <c r="C25" s="40">
        <v>13.18</v>
      </c>
      <c r="D25" s="40">
        <v>17.62</v>
      </c>
      <c r="E25" s="40">
        <v>12.18</v>
      </c>
      <c r="F25" s="40">
        <v>16.45</v>
      </c>
      <c r="G25" s="40">
        <v>41.14</v>
      </c>
      <c r="H25" s="40">
        <v>13.87</v>
      </c>
      <c r="I25" s="40">
        <v>5.97</v>
      </c>
      <c r="J25" s="40">
        <v>1.78</v>
      </c>
      <c r="K25" s="40">
        <v>51.04</v>
      </c>
      <c r="L25" s="40">
        <v>31.01</v>
      </c>
      <c r="M25" s="40">
        <v>10.02</v>
      </c>
      <c r="N25" s="40">
        <v>71.599999999999994</v>
      </c>
      <c r="O25" s="40">
        <v>0</v>
      </c>
      <c r="P25" s="40">
        <v>0.5</v>
      </c>
      <c r="Q25" s="40">
        <v>28.05</v>
      </c>
      <c r="R25" s="38"/>
      <c r="S25" s="38"/>
      <c r="T25" s="38"/>
      <c r="U25" s="38"/>
    </row>
    <row r="26" spans="1:21" customFormat="1">
      <c r="A26" s="39" t="s">
        <v>198</v>
      </c>
      <c r="B26" s="40">
        <v>13.48</v>
      </c>
      <c r="C26" s="40">
        <v>13.86</v>
      </c>
      <c r="D26" s="40">
        <v>18.82</v>
      </c>
      <c r="E26" s="40">
        <v>9.91</v>
      </c>
      <c r="F26" s="40">
        <v>13.77</v>
      </c>
      <c r="G26" s="40">
        <v>41.6</v>
      </c>
      <c r="H26" s="40">
        <v>11.81</v>
      </c>
      <c r="I26" s="40">
        <v>5.75</v>
      </c>
      <c r="J26" s="40">
        <v>0.95</v>
      </c>
      <c r="K26" s="40">
        <v>69.98</v>
      </c>
      <c r="L26" s="40">
        <v>29.89</v>
      </c>
      <c r="M26" s="40">
        <v>13.16</v>
      </c>
      <c r="N26" s="40">
        <v>23.2</v>
      </c>
      <c r="O26" s="40">
        <v>0</v>
      </c>
      <c r="P26" s="40">
        <v>0.52</v>
      </c>
      <c r="Q26" s="40">
        <v>28.09</v>
      </c>
      <c r="R26" s="38"/>
      <c r="S26" s="38"/>
      <c r="T26" s="38"/>
      <c r="U26" s="38"/>
    </row>
    <row r="27" spans="1:21" customFormat="1">
      <c r="A27" s="39" t="s">
        <v>199</v>
      </c>
      <c r="B27" s="40">
        <v>12.36</v>
      </c>
      <c r="C27" s="40">
        <v>16.13</v>
      </c>
      <c r="D27" s="40">
        <v>18.190000000000001</v>
      </c>
      <c r="E27" s="40">
        <v>9.02</v>
      </c>
      <c r="F27" s="40">
        <v>5.16</v>
      </c>
      <c r="G27" s="40">
        <v>42.35</v>
      </c>
      <c r="H27" s="40">
        <v>10.49</v>
      </c>
      <c r="I27" s="40">
        <v>5.87</v>
      </c>
      <c r="J27" s="40">
        <v>0.31</v>
      </c>
      <c r="K27" s="40">
        <v>195.68</v>
      </c>
      <c r="L27" s="40">
        <v>27.58</v>
      </c>
      <c r="M27" s="40">
        <v>26.3</v>
      </c>
      <c r="N27" s="40">
        <v>2.2999999999999998</v>
      </c>
      <c r="O27" s="40">
        <v>0</v>
      </c>
      <c r="P27" s="40">
        <v>0.54</v>
      </c>
      <c r="Q27" s="40">
        <v>28.09</v>
      </c>
      <c r="R27" s="38"/>
      <c r="S27" s="38"/>
      <c r="T27" s="38"/>
      <c r="U27" s="38"/>
    </row>
    <row r="28" spans="1:21" customFormat="1">
      <c r="A28" s="39" t="s">
        <v>200</v>
      </c>
      <c r="B28" s="40">
        <v>9.9600000000000009</v>
      </c>
      <c r="C28" s="40">
        <v>13.97</v>
      </c>
      <c r="D28" s="40">
        <v>16.64</v>
      </c>
      <c r="E28" s="40">
        <v>8.9499999999999993</v>
      </c>
      <c r="F28" s="40">
        <v>3.87</v>
      </c>
      <c r="G28" s="40">
        <v>56.15</v>
      </c>
      <c r="H28" s="40">
        <v>13.5</v>
      </c>
      <c r="I28" s="40">
        <v>6.39</v>
      </c>
      <c r="J28" s="40">
        <v>0.28000000000000003</v>
      </c>
      <c r="K28" s="40">
        <v>195.11</v>
      </c>
      <c r="L28" s="40">
        <v>23.51</v>
      </c>
      <c r="M28" s="40">
        <v>33.340000000000003</v>
      </c>
      <c r="N28" s="40">
        <v>1.1000000000000001</v>
      </c>
      <c r="O28" s="40">
        <v>0</v>
      </c>
      <c r="P28" s="40">
        <v>0.54</v>
      </c>
      <c r="Q28" s="40">
        <v>28.08</v>
      </c>
      <c r="R28" s="38"/>
      <c r="S28" s="38"/>
      <c r="T28" s="38"/>
      <c r="U28" s="38"/>
    </row>
    <row r="29" spans="1:21" customFormat="1">
      <c r="A29" s="39" t="s">
        <v>201</v>
      </c>
      <c r="B29" s="40">
        <v>8.48</v>
      </c>
      <c r="C29" s="40">
        <v>13.75</v>
      </c>
      <c r="D29" s="40">
        <v>15.18</v>
      </c>
      <c r="E29" s="40">
        <v>8.99</v>
      </c>
      <c r="F29" s="40">
        <v>3.89</v>
      </c>
      <c r="G29" s="40">
        <v>72.45</v>
      </c>
      <c r="H29" s="40">
        <v>16.91</v>
      </c>
      <c r="I29" s="40">
        <v>7.09</v>
      </c>
      <c r="J29" s="40">
        <v>0.31</v>
      </c>
      <c r="K29" s="40">
        <v>205.21</v>
      </c>
      <c r="L29" s="40">
        <v>22.18</v>
      </c>
      <c r="M29" s="40">
        <v>38.369999999999997</v>
      </c>
      <c r="N29" s="40">
        <v>0.9</v>
      </c>
      <c r="O29" s="40">
        <v>0</v>
      </c>
      <c r="P29" s="40">
        <v>0.56999999999999995</v>
      </c>
      <c r="Q29" s="40">
        <v>28.08</v>
      </c>
      <c r="R29" s="38"/>
      <c r="S29" s="38"/>
      <c r="T29" s="38"/>
      <c r="U29" s="38"/>
    </row>
    <row r="30" spans="1:21" customFormat="1">
      <c r="A30" s="39" t="s">
        <v>202</v>
      </c>
      <c r="B30" s="40">
        <v>6.8</v>
      </c>
      <c r="C30" s="40">
        <v>16.510000000000002</v>
      </c>
      <c r="D30" s="40">
        <v>14.04</v>
      </c>
      <c r="E30" s="40">
        <v>9.27</v>
      </c>
      <c r="F30" s="40">
        <v>3.87</v>
      </c>
      <c r="G30" s="40">
        <v>83.78</v>
      </c>
      <c r="H30" s="40">
        <v>20.89</v>
      </c>
      <c r="I30" s="40">
        <v>7.76</v>
      </c>
      <c r="J30" s="40">
        <v>0.23</v>
      </c>
      <c r="K30" s="40">
        <v>192.2</v>
      </c>
      <c r="L30" s="40">
        <v>20.92</v>
      </c>
      <c r="M30" s="40">
        <v>41.34</v>
      </c>
      <c r="N30" s="40">
        <v>0.5</v>
      </c>
      <c r="O30" s="40">
        <v>0</v>
      </c>
      <c r="P30" s="40">
        <v>0.66</v>
      </c>
      <c r="Q30" s="40">
        <v>28.13</v>
      </c>
      <c r="R30" s="38"/>
      <c r="S30" s="38"/>
      <c r="T30" s="38"/>
      <c r="U30" s="38"/>
    </row>
    <row r="31" spans="1:21" customFormat="1">
      <c r="A31" s="39" t="s">
        <v>203</v>
      </c>
      <c r="B31" s="40">
        <v>2.59</v>
      </c>
      <c r="C31" s="40">
        <v>17.62</v>
      </c>
      <c r="D31" s="40">
        <v>12.64</v>
      </c>
      <c r="E31" s="40">
        <v>9.2899999999999991</v>
      </c>
      <c r="F31" s="40">
        <v>3.82</v>
      </c>
      <c r="G31" s="40">
        <v>78.98</v>
      </c>
      <c r="H31" s="40">
        <v>19.190000000000001</v>
      </c>
      <c r="I31" s="40">
        <v>8.68</v>
      </c>
      <c r="J31" s="40">
        <v>0.25</v>
      </c>
      <c r="K31" s="40">
        <v>186.88</v>
      </c>
      <c r="L31" s="40">
        <v>19.809999999999999</v>
      </c>
      <c r="M31" s="40">
        <v>47.8</v>
      </c>
      <c r="N31" s="40">
        <v>0.7</v>
      </c>
      <c r="O31" s="40">
        <v>0</v>
      </c>
      <c r="P31" s="40">
        <v>0.74</v>
      </c>
      <c r="Q31" s="40">
        <v>28.15</v>
      </c>
      <c r="R31" s="38"/>
      <c r="S31" s="38"/>
      <c r="T31" s="38"/>
      <c r="U31" s="38"/>
    </row>
    <row r="32" spans="1:21" customFormat="1">
      <c r="A32" s="39" t="s">
        <v>204</v>
      </c>
      <c r="B32" s="40">
        <v>4.03</v>
      </c>
      <c r="C32" s="40">
        <v>18.39</v>
      </c>
      <c r="D32" s="40">
        <v>13.8</v>
      </c>
      <c r="E32" s="40">
        <v>9.17</v>
      </c>
      <c r="F32" s="40">
        <v>3.82</v>
      </c>
      <c r="G32" s="40">
        <v>86.63</v>
      </c>
      <c r="H32" s="40">
        <v>22.32</v>
      </c>
      <c r="I32" s="40">
        <v>9.51</v>
      </c>
      <c r="J32" s="40">
        <v>0.23</v>
      </c>
      <c r="K32" s="40">
        <v>194.59</v>
      </c>
      <c r="L32" s="40">
        <v>18.829999999999998</v>
      </c>
      <c r="M32" s="40">
        <v>51.18</v>
      </c>
      <c r="N32" s="40">
        <v>0.6</v>
      </c>
      <c r="O32" s="40">
        <v>0</v>
      </c>
      <c r="P32" s="40">
        <v>0.81</v>
      </c>
      <c r="Q32" s="40">
        <v>28.19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2.59</v>
      </c>
      <c r="C34" s="18">
        <f t="shared" si="0"/>
        <v>11.59</v>
      </c>
      <c r="D34" s="18">
        <f t="shared" si="0"/>
        <v>12.64</v>
      </c>
      <c r="E34" s="18">
        <f t="shared" si="0"/>
        <v>7.69</v>
      </c>
      <c r="F34" s="18">
        <f t="shared" si="0"/>
        <v>3.7</v>
      </c>
      <c r="G34" s="18">
        <f t="shared" si="0"/>
        <v>41.14</v>
      </c>
      <c r="H34" s="18">
        <f t="shared" si="0"/>
        <v>10.49</v>
      </c>
      <c r="I34" s="18">
        <f t="shared" si="0"/>
        <v>5.75</v>
      </c>
      <c r="J34" s="18">
        <f t="shared" si="0"/>
        <v>0.22</v>
      </c>
      <c r="K34" s="18">
        <f t="shared" si="0"/>
        <v>37.729999999999997</v>
      </c>
      <c r="L34" s="18">
        <f t="shared" si="0"/>
        <v>14.74</v>
      </c>
      <c r="M34" s="18">
        <f t="shared" si="0"/>
        <v>7.75</v>
      </c>
      <c r="N34" s="18">
        <f t="shared" si="0"/>
        <v>0.5</v>
      </c>
      <c r="O34" s="18">
        <f t="shared" si="0"/>
        <v>0</v>
      </c>
      <c r="P34" s="18">
        <f t="shared" si="0"/>
        <v>0.5</v>
      </c>
      <c r="Q34" s="18">
        <f t="shared" si="0"/>
        <v>28.02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16.23</v>
      </c>
      <c r="C35" s="3">
        <f t="shared" si="1"/>
        <v>18.59</v>
      </c>
      <c r="D35" s="3">
        <f t="shared" si="1"/>
        <v>23.51</v>
      </c>
      <c r="E35" s="3">
        <f t="shared" si="1"/>
        <v>14.97</v>
      </c>
      <c r="F35" s="3">
        <f t="shared" si="1"/>
        <v>19.920000000000002</v>
      </c>
      <c r="G35" s="3">
        <f t="shared" si="1"/>
        <v>93.43</v>
      </c>
      <c r="H35" s="3">
        <f t="shared" si="1"/>
        <v>30.7</v>
      </c>
      <c r="I35" s="3">
        <f t="shared" si="1"/>
        <v>10.28</v>
      </c>
      <c r="J35" s="3">
        <f t="shared" si="1"/>
        <v>1.78</v>
      </c>
      <c r="K35" s="3">
        <f t="shared" si="1"/>
        <v>358.33</v>
      </c>
      <c r="L35" s="3">
        <f t="shared" si="1"/>
        <v>32.979999999999997</v>
      </c>
      <c r="M35" s="3">
        <f t="shared" si="1"/>
        <v>56.18</v>
      </c>
      <c r="N35" s="3">
        <f t="shared" si="1"/>
        <v>394.4</v>
      </c>
      <c r="O35" s="3">
        <f t="shared" si="1"/>
        <v>0</v>
      </c>
      <c r="P35" s="3">
        <f t="shared" si="1"/>
        <v>0.81</v>
      </c>
      <c r="Q35" s="3">
        <f t="shared" si="1"/>
        <v>28.41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10.676666666666664</v>
      </c>
      <c r="C36" s="18">
        <f t="shared" si="2"/>
        <v>16.1525</v>
      </c>
      <c r="D36" s="18">
        <f t="shared" si="2"/>
        <v>17.845416666666669</v>
      </c>
      <c r="E36" s="18">
        <f t="shared" si="2"/>
        <v>9.6983333333333341</v>
      </c>
      <c r="F36" s="18">
        <f t="shared" si="2"/>
        <v>7.0262499999999983</v>
      </c>
      <c r="G36" s="18">
        <f t="shared" si="2"/>
        <v>61.957916666666655</v>
      </c>
      <c r="H36" s="18">
        <f t="shared" si="2"/>
        <v>18.385000000000002</v>
      </c>
      <c r="I36" s="18">
        <f t="shared" si="2"/>
        <v>7.2749999999999995</v>
      </c>
      <c r="J36" s="18">
        <f t="shared" si="2"/>
        <v>0.67125000000000012</v>
      </c>
      <c r="K36" s="18">
        <f t="shared" si="2"/>
        <v>183.30166666666665</v>
      </c>
      <c r="L36" s="18">
        <f t="shared" si="2"/>
        <v>24.202499999999997</v>
      </c>
      <c r="M36" s="18">
        <f t="shared" si="2"/>
        <v>27.26166666666666</v>
      </c>
      <c r="N36" s="18">
        <f t="shared" si="2"/>
        <v>115.55833333333332</v>
      </c>
      <c r="O36" s="18">
        <f t="shared" si="2"/>
        <v>0</v>
      </c>
      <c r="P36" s="18">
        <f t="shared" si="2"/>
        <v>0.6333333333333333</v>
      </c>
      <c r="Q36" s="18">
        <f t="shared" si="2"/>
        <v>28.16416666666667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3.3588024090720818</v>
      </c>
      <c r="C37" s="18">
        <f t="shared" ref="C37:Q37" si="3">STDEV(C9:C32)</f>
        <v>2.1188783948527927</v>
      </c>
      <c r="D37" s="18">
        <f t="shared" si="3"/>
        <v>2.7325302483176546</v>
      </c>
      <c r="E37" s="18">
        <f t="shared" si="3"/>
        <v>1.6744386902888417</v>
      </c>
      <c r="F37" s="18">
        <f t="shared" si="3"/>
        <v>5.0173913302501711</v>
      </c>
      <c r="G37" s="18">
        <f t="shared" si="3"/>
        <v>15.298234333800938</v>
      </c>
      <c r="H37" s="18">
        <f t="shared" si="3"/>
        <v>4.9133323501070736</v>
      </c>
      <c r="I37" s="18">
        <f t="shared" si="3"/>
        <v>1.4282187142213778</v>
      </c>
      <c r="J37" s="18">
        <f t="shared" si="3"/>
        <v>0.41792772934626099</v>
      </c>
      <c r="K37" s="18">
        <f t="shared" si="3"/>
        <v>108.55393604970789</v>
      </c>
      <c r="L37" s="18">
        <f t="shared" si="3"/>
        <v>5.6589515467704645</v>
      </c>
      <c r="M37" s="18">
        <f t="shared" si="3"/>
        <v>15.458136359540411</v>
      </c>
      <c r="N37" s="18">
        <f t="shared" si="3"/>
        <v>163.783425175806</v>
      </c>
      <c r="O37" s="18">
        <f t="shared" si="3"/>
        <v>0</v>
      </c>
      <c r="P37" s="18">
        <f t="shared" si="3"/>
        <v>8.7807430935748873E-2</v>
      </c>
      <c r="Q37" s="18">
        <f t="shared" si="3"/>
        <v>0.11274891946524257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J24" sqref="J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205</v>
      </c>
      <c r="B9" s="40">
        <v>10.39</v>
      </c>
      <c r="C9" s="40">
        <v>18.149999999999999</v>
      </c>
      <c r="D9" s="40">
        <v>18.2</v>
      </c>
      <c r="E9" s="40">
        <v>9.23</v>
      </c>
      <c r="F9" s="40">
        <v>4.01</v>
      </c>
      <c r="G9" s="40">
        <v>84.62</v>
      </c>
      <c r="H9" s="40">
        <v>25.93</v>
      </c>
      <c r="I9" s="40">
        <v>10</v>
      </c>
      <c r="J9" s="40">
        <v>0.2</v>
      </c>
      <c r="K9" s="40">
        <v>174.11</v>
      </c>
      <c r="L9" s="40">
        <v>17.89</v>
      </c>
      <c r="M9" s="40">
        <v>54.45</v>
      </c>
      <c r="N9" s="40">
        <v>0.9</v>
      </c>
      <c r="O9" s="40">
        <v>0</v>
      </c>
      <c r="P9" s="40">
        <v>0.86</v>
      </c>
      <c r="Q9" s="40">
        <v>28.22</v>
      </c>
      <c r="R9" s="38"/>
      <c r="S9" s="38"/>
      <c r="T9" s="38"/>
      <c r="U9" s="38"/>
    </row>
    <row r="10" spans="1:21" customFormat="1">
      <c r="A10" s="39" t="s">
        <v>206</v>
      </c>
      <c r="B10" s="40">
        <v>9.49</v>
      </c>
      <c r="C10" s="40">
        <v>19.989999999999998</v>
      </c>
      <c r="D10" s="40">
        <v>19.09</v>
      </c>
      <c r="E10" s="40">
        <v>9.27</v>
      </c>
      <c r="F10" s="40">
        <v>4.42</v>
      </c>
      <c r="G10" s="40">
        <v>83.96</v>
      </c>
      <c r="H10" s="40">
        <v>24.11</v>
      </c>
      <c r="I10" s="40">
        <v>10.45</v>
      </c>
      <c r="J10" s="40">
        <v>0.25</v>
      </c>
      <c r="K10" s="40">
        <v>202.72</v>
      </c>
      <c r="L10" s="40">
        <v>17.149999999999999</v>
      </c>
      <c r="M10" s="40">
        <v>59.61</v>
      </c>
      <c r="N10" s="40">
        <v>0.7</v>
      </c>
      <c r="O10" s="40">
        <v>0</v>
      </c>
      <c r="P10" s="40">
        <v>0.9</v>
      </c>
      <c r="Q10" s="40">
        <v>28.32</v>
      </c>
      <c r="R10" s="38"/>
      <c r="S10" s="38"/>
      <c r="T10" s="38"/>
      <c r="U10" s="38"/>
    </row>
    <row r="11" spans="1:21" customFormat="1">
      <c r="A11" s="39" t="s">
        <v>207</v>
      </c>
      <c r="B11" s="40">
        <v>10.33</v>
      </c>
      <c r="C11" s="40">
        <v>19.760000000000002</v>
      </c>
      <c r="D11" s="40">
        <v>19.489999999999998</v>
      </c>
      <c r="E11" s="40">
        <v>8.67</v>
      </c>
      <c r="F11" s="40">
        <v>4.5</v>
      </c>
      <c r="G11" s="40">
        <v>73.78</v>
      </c>
      <c r="H11" s="40">
        <v>27.19</v>
      </c>
      <c r="I11" s="40">
        <v>17.13</v>
      </c>
      <c r="J11" s="40">
        <v>0.18</v>
      </c>
      <c r="K11" s="40">
        <v>198.87</v>
      </c>
      <c r="L11" s="40">
        <v>16.09</v>
      </c>
      <c r="M11" s="40">
        <v>63.14</v>
      </c>
      <c r="N11" s="40">
        <v>0.7</v>
      </c>
      <c r="O11" s="40">
        <v>0</v>
      </c>
      <c r="P11" s="40">
        <v>0.99</v>
      </c>
      <c r="Q11" s="40">
        <v>28.31</v>
      </c>
      <c r="R11" s="38"/>
      <c r="S11" s="38"/>
      <c r="T11" s="38"/>
      <c r="U11" s="38"/>
    </row>
    <row r="12" spans="1:21" customFormat="1">
      <c r="A12" s="39" t="s">
        <v>208</v>
      </c>
      <c r="B12" s="40">
        <v>16.8</v>
      </c>
      <c r="C12" s="40">
        <v>19.690000000000001</v>
      </c>
      <c r="D12" s="40">
        <v>25.11</v>
      </c>
      <c r="E12" s="40">
        <v>8.7100000000000009</v>
      </c>
      <c r="F12" s="40">
        <v>3.92</v>
      </c>
      <c r="G12" s="40">
        <v>89.19</v>
      </c>
      <c r="H12" s="40">
        <v>33.74</v>
      </c>
      <c r="I12" s="40">
        <v>24.5</v>
      </c>
      <c r="J12" s="40">
        <v>0.19</v>
      </c>
      <c r="K12" s="40">
        <v>173</v>
      </c>
      <c r="L12" s="40">
        <v>15.67</v>
      </c>
      <c r="M12" s="40">
        <v>64.209999999999994</v>
      </c>
      <c r="N12" s="40">
        <v>0.6</v>
      </c>
      <c r="O12" s="40">
        <v>0</v>
      </c>
      <c r="P12" s="40">
        <v>1.03</v>
      </c>
      <c r="Q12" s="40">
        <v>28.56</v>
      </c>
      <c r="R12" s="38"/>
      <c r="S12" s="38"/>
      <c r="T12" s="38"/>
      <c r="U12" s="38"/>
    </row>
    <row r="13" spans="1:21" customFormat="1">
      <c r="A13" s="39" t="s">
        <v>209</v>
      </c>
      <c r="B13" s="40">
        <v>21.87</v>
      </c>
      <c r="C13" s="40">
        <v>20.62</v>
      </c>
      <c r="D13" s="40">
        <v>29.66</v>
      </c>
      <c r="E13" s="40">
        <v>8.93</v>
      </c>
      <c r="F13" s="40">
        <v>3.72</v>
      </c>
      <c r="G13" s="40">
        <v>89.85</v>
      </c>
      <c r="H13" s="40">
        <v>33.770000000000003</v>
      </c>
      <c r="I13" s="40">
        <v>26.43</v>
      </c>
      <c r="J13" s="40">
        <v>0.38</v>
      </c>
      <c r="K13" s="40">
        <v>159.47999999999999</v>
      </c>
      <c r="L13" s="40">
        <v>17.53</v>
      </c>
      <c r="M13" s="40">
        <v>65.02</v>
      </c>
      <c r="N13" s="40">
        <v>0.5</v>
      </c>
      <c r="O13" s="40">
        <v>0</v>
      </c>
      <c r="P13" s="40">
        <v>1.06</v>
      </c>
      <c r="Q13" s="40">
        <v>28.82</v>
      </c>
      <c r="R13" s="38"/>
      <c r="S13" s="38"/>
      <c r="T13" s="38"/>
      <c r="U13" s="38"/>
    </row>
    <row r="14" spans="1:21" customFormat="1">
      <c r="A14" s="39" t="s">
        <v>210</v>
      </c>
      <c r="B14" s="40">
        <v>25.02</v>
      </c>
      <c r="C14" s="40">
        <v>21.71</v>
      </c>
      <c r="D14" s="40">
        <v>32.369999999999997</v>
      </c>
      <c r="E14" s="40">
        <v>9.19</v>
      </c>
      <c r="F14" s="40">
        <v>3.92</v>
      </c>
      <c r="G14" s="40">
        <v>95.2</v>
      </c>
      <c r="H14" s="40">
        <v>32.9</v>
      </c>
      <c r="I14" s="40">
        <v>26.44</v>
      </c>
      <c r="J14" s="40">
        <v>0.54</v>
      </c>
      <c r="K14" s="40">
        <v>199.38</v>
      </c>
      <c r="L14" s="40">
        <v>17.79</v>
      </c>
      <c r="M14" s="40">
        <v>62.21</v>
      </c>
      <c r="N14" s="40">
        <v>2.2999999999999998</v>
      </c>
      <c r="O14" s="40">
        <v>0</v>
      </c>
      <c r="P14" s="40">
        <v>1.07</v>
      </c>
      <c r="Q14" s="40">
        <v>28.93</v>
      </c>
      <c r="R14" s="38"/>
      <c r="S14" s="38"/>
      <c r="T14" s="38"/>
      <c r="U14" s="38"/>
    </row>
    <row r="15" spans="1:21" customFormat="1">
      <c r="A15" s="39" t="s">
        <v>211</v>
      </c>
      <c r="B15" s="40">
        <v>24.32</v>
      </c>
      <c r="C15" s="40">
        <v>20.309999999999999</v>
      </c>
      <c r="D15" s="40">
        <v>31.47</v>
      </c>
      <c r="E15" s="40">
        <v>8.8699999999999992</v>
      </c>
      <c r="F15" s="40">
        <v>3.85</v>
      </c>
      <c r="G15" s="40">
        <v>97.5</v>
      </c>
      <c r="H15" s="40">
        <v>34.979999999999997</v>
      </c>
      <c r="I15" s="40">
        <v>24.64</v>
      </c>
      <c r="J15" s="40">
        <v>0.19</v>
      </c>
      <c r="K15" s="40">
        <v>244.14</v>
      </c>
      <c r="L15" s="40">
        <v>15.47</v>
      </c>
      <c r="M15" s="40">
        <v>64.510000000000005</v>
      </c>
      <c r="N15" s="40">
        <v>15</v>
      </c>
      <c r="O15" s="40">
        <v>0</v>
      </c>
      <c r="P15" s="40">
        <v>1.05</v>
      </c>
      <c r="Q15" s="40">
        <v>28.89</v>
      </c>
      <c r="R15" s="38"/>
      <c r="S15" s="38"/>
      <c r="T15" s="38"/>
      <c r="U15" s="38"/>
    </row>
    <row r="16" spans="1:21" customFormat="1">
      <c r="A16" s="39" t="s">
        <v>212</v>
      </c>
      <c r="B16" s="40">
        <v>23.31</v>
      </c>
      <c r="C16" s="40">
        <v>20.55</v>
      </c>
      <c r="D16" s="40">
        <v>30.55</v>
      </c>
      <c r="E16" s="40">
        <v>8.8800000000000008</v>
      </c>
      <c r="F16" s="40">
        <v>4.0199999999999996</v>
      </c>
      <c r="G16" s="40">
        <v>93.72</v>
      </c>
      <c r="H16" s="40">
        <v>30.33</v>
      </c>
      <c r="I16" s="40">
        <v>22.7</v>
      </c>
      <c r="J16" s="40">
        <v>0.75</v>
      </c>
      <c r="K16" s="40">
        <v>173.14</v>
      </c>
      <c r="L16" s="40">
        <v>20.420000000000002</v>
      </c>
      <c r="M16" s="40">
        <v>57.47</v>
      </c>
      <c r="N16" s="40">
        <v>52</v>
      </c>
      <c r="O16" s="40">
        <v>0</v>
      </c>
      <c r="P16" s="40">
        <v>1.07</v>
      </c>
      <c r="Q16" s="40">
        <v>28.89</v>
      </c>
      <c r="R16" s="38"/>
      <c r="S16" s="38"/>
      <c r="T16" s="38"/>
      <c r="U16" s="38"/>
    </row>
    <row r="17" spans="1:21" customFormat="1">
      <c r="A17" s="39" t="s">
        <v>213</v>
      </c>
      <c r="B17" s="40">
        <v>22.38</v>
      </c>
      <c r="C17" s="40">
        <v>22.88</v>
      </c>
      <c r="D17" s="40">
        <v>30.24</v>
      </c>
      <c r="E17" s="40">
        <v>9.32</v>
      </c>
      <c r="F17" s="40">
        <v>4.3</v>
      </c>
      <c r="G17" s="40">
        <v>103.71</v>
      </c>
      <c r="H17" s="40">
        <v>34.15</v>
      </c>
      <c r="I17" s="40">
        <v>21.2</v>
      </c>
      <c r="J17" s="40">
        <v>1.1299999999999999</v>
      </c>
      <c r="K17" s="40">
        <v>54.06</v>
      </c>
      <c r="L17" s="40">
        <v>25.32</v>
      </c>
      <c r="M17" s="40">
        <v>33.200000000000003</v>
      </c>
      <c r="N17" s="40">
        <v>286.39999999999998</v>
      </c>
      <c r="O17" s="40">
        <v>0</v>
      </c>
      <c r="P17" s="40">
        <v>1.05</v>
      </c>
      <c r="Q17" s="40">
        <v>28.8</v>
      </c>
      <c r="R17" s="38"/>
      <c r="S17" s="38"/>
      <c r="T17" s="38"/>
      <c r="U17" s="38"/>
    </row>
    <row r="18" spans="1:21" customFormat="1">
      <c r="A18" s="39" t="s">
        <v>214</v>
      </c>
      <c r="B18" s="40">
        <v>21.13</v>
      </c>
      <c r="C18" s="40">
        <v>22.13</v>
      </c>
      <c r="D18" s="40">
        <v>29.59</v>
      </c>
      <c r="E18" s="40">
        <v>10.210000000000001</v>
      </c>
      <c r="F18" s="40">
        <v>4.67</v>
      </c>
      <c r="G18" s="40">
        <v>98.56</v>
      </c>
      <c r="H18" s="40">
        <v>34.33</v>
      </c>
      <c r="I18" s="40">
        <v>19.43</v>
      </c>
      <c r="J18" s="40">
        <v>1.38</v>
      </c>
      <c r="K18" s="40">
        <v>61.5</v>
      </c>
      <c r="L18" s="40">
        <v>28.16</v>
      </c>
      <c r="M18" s="40">
        <v>18.79</v>
      </c>
      <c r="N18" s="40">
        <v>338.2</v>
      </c>
      <c r="O18" s="40">
        <v>0</v>
      </c>
      <c r="P18" s="40">
        <v>1.02</v>
      </c>
      <c r="Q18" s="40">
        <v>28.71</v>
      </c>
      <c r="R18" s="38"/>
      <c r="S18" s="38"/>
      <c r="T18" s="38"/>
      <c r="U18" s="38"/>
    </row>
    <row r="19" spans="1:21" customFormat="1">
      <c r="A19" s="39" t="s">
        <v>215</v>
      </c>
      <c r="B19" s="40">
        <v>19.05</v>
      </c>
      <c r="C19" s="40">
        <v>22.27</v>
      </c>
      <c r="D19" s="40">
        <v>28.26</v>
      </c>
      <c r="E19" s="40">
        <v>10.33</v>
      </c>
      <c r="F19" s="40">
        <v>5.32</v>
      </c>
      <c r="G19" s="40">
        <v>86.55</v>
      </c>
      <c r="H19" s="40">
        <v>25.95</v>
      </c>
      <c r="I19" s="40">
        <v>17.940000000000001</v>
      </c>
      <c r="J19" s="40">
        <v>1.1399999999999999</v>
      </c>
      <c r="K19" s="40">
        <v>61.97</v>
      </c>
      <c r="L19" s="40">
        <v>30.52</v>
      </c>
      <c r="M19" s="40">
        <v>14.26</v>
      </c>
      <c r="N19" s="40">
        <v>363.9</v>
      </c>
      <c r="O19" s="40">
        <v>0</v>
      </c>
      <c r="P19" s="40">
        <v>0.94</v>
      </c>
      <c r="Q19" s="40">
        <v>28.63</v>
      </c>
      <c r="R19" s="38"/>
      <c r="S19" s="38"/>
      <c r="T19" s="38"/>
      <c r="U19" s="38"/>
    </row>
    <row r="20" spans="1:21" customFormat="1">
      <c r="A20" s="39" t="s">
        <v>216</v>
      </c>
      <c r="B20" s="40">
        <v>20.05</v>
      </c>
      <c r="C20" s="40">
        <v>19.829999999999998</v>
      </c>
      <c r="D20" s="40">
        <v>27.17</v>
      </c>
      <c r="E20" s="40">
        <v>10.69</v>
      </c>
      <c r="F20" s="40">
        <v>14.87</v>
      </c>
      <c r="G20" s="40">
        <v>70.19</v>
      </c>
      <c r="H20" s="40">
        <v>23.34</v>
      </c>
      <c r="I20" s="40">
        <v>16.149999999999999</v>
      </c>
      <c r="J20" s="40">
        <v>1.25</v>
      </c>
      <c r="K20" s="40">
        <v>73.41</v>
      </c>
      <c r="L20" s="40">
        <v>31.69</v>
      </c>
      <c r="M20" s="40">
        <v>10.64</v>
      </c>
      <c r="N20" s="40">
        <v>366.5</v>
      </c>
      <c r="O20" s="40">
        <v>0</v>
      </c>
      <c r="P20" s="40">
        <v>0.85</v>
      </c>
      <c r="Q20" s="40">
        <v>28.53</v>
      </c>
      <c r="R20" s="38"/>
      <c r="S20" s="38"/>
      <c r="T20" s="38"/>
      <c r="U20" s="38"/>
    </row>
    <row r="21" spans="1:21" customFormat="1">
      <c r="A21" s="39" t="s">
        <v>217</v>
      </c>
      <c r="B21" s="40">
        <v>19.05</v>
      </c>
      <c r="C21" s="40">
        <v>17.100000000000001</v>
      </c>
      <c r="D21" s="40">
        <v>25.56</v>
      </c>
      <c r="E21" s="40">
        <v>11.63</v>
      </c>
      <c r="F21" s="40">
        <v>33.659999999999997</v>
      </c>
      <c r="G21" s="40">
        <v>59.3</v>
      </c>
      <c r="H21" s="40">
        <v>21.1</v>
      </c>
      <c r="I21" s="40">
        <v>14.32</v>
      </c>
      <c r="J21" s="40">
        <v>0.8</v>
      </c>
      <c r="K21" s="40">
        <v>338.28</v>
      </c>
      <c r="L21" s="40">
        <v>33</v>
      </c>
      <c r="M21" s="40">
        <v>9.67</v>
      </c>
      <c r="N21" s="40">
        <v>372.6</v>
      </c>
      <c r="O21" s="40">
        <v>0</v>
      </c>
      <c r="P21" s="40">
        <v>0.77</v>
      </c>
      <c r="Q21" s="40">
        <v>28.38</v>
      </c>
      <c r="R21" s="38"/>
      <c r="S21" s="38"/>
      <c r="T21" s="38"/>
      <c r="U21" s="38"/>
    </row>
    <row r="22" spans="1:21" customFormat="1">
      <c r="A22" s="39" t="s">
        <v>218</v>
      </c>
      <c r="B22" s="40">
        <v>17.399999999999999</v>
      </c>
      <c r="C22" s="40">
        <v>16.34</v>
      </c>
      <c r="D22" s="40">
        <v>23.8</v>
      </c>
      <c r="E22" s="40">
        <v>11.5</v>
      </c>
      <c r="F22" s="40">
        <v>39.119999999999997</v>
      </c>
      <c r="G22" s="40">
        <v>55.88</v>
      </c>
      <c r="H22" s="40">
        <v>17.010000000000002</v>
      </c>
      <c r="I22" s="40">
        <v>12.46</v>
      </c>
      <c r="J22" s="40">
        <v>1.1200000000000001</v>
      </c>
      <c r="K22" s="40">
        <v>328.98</v>
      </c>
      <c r="L22" s="40">
        <v>33.200000000000003</v>
      </c>
      <c r="M22" s="40">
        <v>8.57</v>
      </c>
      <c r="N22" s="40">
        <v>372.9</v>
      </c>
      <c r="O22" s="40">
        <v>0</v>
      </c>
      <c r="P22" s="40">
        <v>0.72</v>
      </c>
      <c r="Q22" s="40">
        <v>28.2</v>
      </c>
      <c r="R22" s="38"/>
      <c r="S22" s="38"/>
      <c r="T22" s="38"/>
      <c r="U22" s="38"/>
    </row>
    <row r="23" spans="1:21" customFormat="1">
      <c r="A23" s="39" t="s">
        <v>219</v>
      </c>
      <c r="B23" s="40">
        <v>15.45</v>
      </c>
      <c r="C23" s="40">
        <v>15.74</v>
      </c>
      <c r="D23" s="40">
        <v>21.96</v>
      </c>
      <c r="E23" s="40">
        <v>9.0299999999999994</v>
      </c>
      <c r="F23" s="40">
        <v>15</v>
      </c>
      <c r="G23" s="40">
        <v>55.77</v>
      </c>
      <c r="H23" s="40">
        <v>19.53</v>
      </c>
      <c r="I23" s="40">
        <v>11.46</v>
      </c>
      <c r="J23" s="40">
        <v>0.73</v>
      </c>
      <c r="K23" s="40">
        <v>328.16</v>
      </c>
      <c r="L23" s="40">
        <v>34.119999999999997</v>
      </c>
      <c r="M23" s="40">
        <v>8.39</v>
      </c>
      <c r="N23" s="40">
        <v>371.5</v>
      </c>
      <c r="O23" s="40">
        <v>0</v>
      </c>
      <c r="P23" s="40">
        <v>0.62</v>
      </c>
      <c r="Q23" s="40">
        <v>28.08</v>
      </c>
      <c r="R23" s="38"/>
      <c r="S23" s="38"/>
      <c r="T23" s="38"/>
      <c r="U23" s="38"/>
    </row>
    <row r="24" spans="1:21" customFormat="1">
      <c r="A24" s="39" t="s">
        <v>220</v>
      </c>
      <c r="B24" s="40">
        <v>11.96</v>
      </c>
      <c r="C24" s="40">
        <v>14.18</v>
      </c>
      <c r="D24" s="40">
        <v>18.350000000000001</v>
      </c>
      <c r="E24" s="40">
        <v>9.56</v>
      </c>
      <c r="F24" s="40">
        <v>13.31</v>
      </c>
      <c r="G24" s="40">
        <v>53.65</v>
      </c>
      <c r="H24" s="40">
        <v>17.05</v>
      </c>
      <c r="I24" s="40">
        <v>9.8800000000000008</v>
      </c>
      <c r="J24" s="40">
        <v>0.83</v>
      </c>
      <c r="K24" s="40">
        <v>326.27</v>
      </c>
      <c r="L24" s="40">
        <v>32.61</v>
      </c>
      <c r="M24" s="40">
        <v>10.33</v>
      </c>
      <c r="N24" s="40">
        <v>104.5</v>
      </c>
      <c r="O24" s="40">
        <v>0</v>
      </c>
      <c r="P24" s="40">
        <v>0.57999999999999996</v>
      </c>
      <c r="Q24" s="40">
        <v>28.02</v>
      </c>
      <c r="R24" s="38"/>
      <c r="S24" s="38"/>
      <c r="T24" s="38"/>
      <c r="U24" s="38"/>
    </row>
    <row r="25" spans="1:21" customFormat="1">
      <c r="A25" s="39" t="s">
        <v>221</v>
      </c>
      <c r="B25" s="40">
        <v>13.24</v>
      </c>
      <c r="C25" s="40">
        <v>14.25</v>
      </c>
      <c r="D25" s="40">
        <v>19.420000000000002</v>
      </c>
      <c r="E25" s="40">
        <v>9.6300000000000008</v>
      </c>
      <c r="F25" s="40">
        <v>11.98</v>
      </c>
      <c r="G25" s="40">
        <v>43.76</v>
      </c>
      <c r="H25" s="40">
        <v>12.43</v>
      </c>
      <c r="I25" s="40">
        <v>8.48</v>
      </c>
      <c r="J25" s="40">
        <v>0.46</v>
      </c>
      <c r="K25" s="40">
        <v>313.85000000000002</v>
      </c>
      <c r="L25" s="40">
        <v>32.56</v>
      </c>
      <c r="M25" s="40">
        <v>12.07</v>
      </c>
      <c r="N25" s="40">
        <v>110.8</v>
      </c>
      <c r="O25" s="40">
        <v>0</v>
      </c>
      <c r="P25" s="40">
        <v>0.53</v>
      </c>
      <c r="Q25" s="40">
        <v>28.01</v>
      </c>
      <c r="R25" s="38"/>
      <c r="S25" s="38"/>
      <c r="T25" s="38"/>
      <c r="U25" s="38"/>
    </row>
    <row r="26" spans="1:21" customFormat="1">
      <c r="A26" s="39" t="s">
        <v>222</v>
      </c>
      <c r="B26" s="40">
        <v>13.29</v>
      </c>
      <c r="C26" s="40">
        <v>10.62</v>
      </c>
      <c r="D26" s="40">
        <v>17.559999999999999</v>
      </c>
      <c r="E26" s="40">
        <v>9.16</v>
      </c>
      <c r="F26" s="40">
        <v>11.59</v>
      </c>
      <c r="G26" s="40">
        <v>36.950000000000003</v>
      </c>
      <c r="H26" s="40">
        <v>12.67</v>
      </c>
      <c r="I26" s="40">
        <v>7.33</v>
      </c>
      <c r="J26" s="40">
        <v>0.26</v>
      </c>
      <c r="K26" s="40">
        <v>176.41</v>
      </c>
      <c r="L26" s="40">
        <v>31.41</v>
      </c>
      <c r="M26" s="40">
        <v>18.440000000000001</v>
      </c>
      <c r="N26" s="40">
        <v>24.9</v>
      </c>
      <c r="O26" s="40">
        <v>0</v>
      </c>
      <c r="P26" s="40">
        <v>0.5</v>
      </c>
      <c r="Q26" s="40">
        <v>28</v>
      </c>
      <c r="R26" s="38"/>
      <c r="S26" s="38"/>
      <c r="T26" s="38"/>
      <c r="U26" s="38"/>
    </row>
    <row r="27" spans="1:21" customFormat="1">
      <c r="A27" s="39" t="s">
        <v>223</v>
      </c>
      <c r="B27" s="40">
        <v>15.6</v>
      </c>
      <c r="C27" s="40">
        <v>12.9</v>
      </c>
      <c r="D27" s="40">
        <v>20.23</v>
      </c>
      <c r="E27" s="40">
        <v>8.6199999999999992</v>
      </c>
      <c r="F27" s="40">
        <v>8.26</v>
      </c>
      <c r="G27" s="40">
        <v>42.67</v>
      </c>
      <c r="H27" s="40">
        <v>12.61</v>
      </c>
      <c r="I27" s="40">
        <v>6.62</v>
      </c>
      <c r="J27" s="40">
        <v>0.28999999999999998</v>
      </c>
      <c r="K27" s="40">
        <v>170.89</v>
      </c>
      <c r="L27" s="40">
        <v>27.52</v>
      </c>
      <c r="M27" s="40">
        <v>32.700000000000003</v>
      </c>
      <c r="N27" s="40">
        <v>2.5</v>
      </c>
      <c r="O27" s="40">
        <v>0</v>
      </c>
      <c r="P27" s="40">
        <v>0.56000000000000005</v>
      </c>
      <c r="Q27" s="40">
        <v>28.01</v>
      </c>
      <c r="R27" s="38"/>
      <c r="S27" s="38"/>
      <c r="T27" s="38"/>
      <c r="U27" s="38"/>
    </row>
    <row r="28" spans="1:21" customFormat="1">
      <c r="A28" s="39" t="s">
        <v>224</v>
      </c>
      <c r="B28" s="40">
        <v>16.11</v>
      </c>
      <c r="C28" s="40">
        <v>15.22</v>
      </c>
      <c r="D28" s="40">
        <v>20.39</v>
      </c>
      <c r="E28" s="40">
        <v>8.39</v>
      </c>
      <c r="F28" s="40">
        <v>6.52</v>
      </c>
      <c r="G28" s="40">
        <v>66.900000000000006</v>
      </c>
      <c r="H28" s="40">
        <v>17.95</v>
      </c>
      <c r="I28" s="40">
        <v>6.88</v>
      </c>
      <c r="J28" s="40">
        <v>0.28000000000000003</v>
      </c>
      <c r="K28" s="40">
        <v>207.62</v>
      </c>
      <c r="L28" s="40">
        <v>24.28</v>
      </c>
      <c r="M28" s="40">
        <v>35.450000000000003</v>
      </c>
      <c r="N28" s="40">
        <v>1.2</v>
      </c>
      <c r="O28" s="40">
        <v>0</v>
      </c>
      <c r="P28" s="40">
        <v>0.56999999999999995</v>
      </c>
      <c r="Q28" s="40">
        <v>28.05</v>
      </c>
      <c r="R28" s="38"/>
      <c r="S28" s="38"/>
      <c r="T28" s="38"/>
      <c r="U28" s="38"/>
    </row>
    <row r="29" spans="1:21" customFormat="1">
      <c r="A29" s="39" t="s">
        <v>225</v>
      </c>
      <c r="B29" s="40">
        <v>13.65</v>
      </c>
      <c r="C29" s="40">
        <v>14.88</v>
      </c>
      <c r="D29" s="40">
        <v>18.41</v>
      </c>
      <c r="E29" s="40">
        <v>8.4700000000000006</v>
      </c>
      <c r="F29" s="40">
        <v>6.6</v>
      </c>
      <c r="G29" s="40">
        <v>88.49</v>
      </c>
      <c r="H29" s="40">
        <v>20.309999999999999</v>
      </c>
      <c r="I29" s="40">
        <v>7.17</v>
      </c>
      <c r="J29" s="40">
        <v>0.22</v>
      </c>
      <c r="K29" s="40">
        <v>196.7</v>
      </c>
      <c r="L29" s="40">
        <v>22.76</v>
      </c>
      <c r="M29" s="40">
        <v>42.43</v>
      </c>
      <c r="N29" s="40">
        <v>0.7</v>
      </c>
      <c r="O29" s="40">
        <v>0</v>
      </c>
      <c r="P29" s="40">
        <v>0.62</v>
      </c>
      <c r="Q29" s="40">
        <v>28.07</v>
      </c>
      <c r="R29" s="38"/>
      <c r="S29" s="38"/>
      <c r="T29" s="38"/>
      <c r="U29" s="38"/>
    </row>
    <row r="30" spans="1:21" customFormat="1">
      <c r="A30" s="39" t="s">
        <v>226</v>
      </c>
      <c r="B30" s="40">
        <v>13.47</v>
      </c>
      <c r="C30" s="40">
        <v>12.48</v>
      </c>
      <c r="D30" s="40">
        <v>18.309999999999999</v>
      </c>
      <c r="E30" s="40">
        <v>8.5299999999999994</v>
      </c>
      <c r="F30" s="40">
        <v>6.33</v>
      </c>
      <c r="G30" s="40">
        <v>85.53</v>
      </c>
      <c r="H30" s="40">
        <v>21.43</v>
      </c>
      <c r="I30" s="40">
        <v>7.57</v>
      </c>
      <c r="J30" s="40">
        <v>0.23</v>
      </c>
      <c r="K30" s="40">
        <v>203.71</v>
      </c>
      <c r="L30" s="40">
        <v>21.38</v>
      </c>
      <c r="M30" s="40">
        <v>45.98</v>
      </c>
      <c r="N30" s="40">
        <v>0.8</v>
      </c>
      <c r="O30" s="40">
        <v>0</v>
      </c>
      <c r="P30" s="40">
        <v>0.67</v>
      </c>
      <c r="Q30" s="40">
        <v>28.08</v>
      </c>
      <c r="R30" s="38"/>
      <c r="S30" s="38"/>
      <c r="T30" s="38"/>
      <c r="U30" s="38"/>
    </row>
    <row r="31" spans="1:21" customFormat="1">
      <c r="A31" s="39" t="s">
        <v>227</v>
      </c>
      <c r="B31" s="40">
        <v>13.7</v>
      </c>
      <c r="C31" s="40">
        <v>14.79</v>
      </c>
      <c r="D31" s="40">
        <v>18.97</v>
      </c>
      <c r="E31" s="40">
        <v>8.84</v>
      </c>
      <c r="F31" s="40">
        <v>5.37</v>
      </c>
      <c r="G31" s="40">
        <v>79.680000000000007</v>
      </c>
      <c r="H31" s="40">
        <v>21.55</v>
      </c>
      <c r="I31" s="40">
        <v>8.5399999999999991</v>
      </c>
      <c r="J31" s="40">
        <v>0.15</v>
      </c>
      <c r="K31" s="40">
        <v>238.15</v>
      </c>
      <c r="L31" s="40">
        <v>20.97</v>
      </c>
      <c r="M31" s="40">
        <v>46.67</v>
      </c>
      <c r="N31" s="40">
        <v>0.6</v>
      </c>
      <c r="O31" s="40">
        <v>0</v>
      </c>
      <c r="P31" s="40">
        <v>0.73</v>
      </c>
      <c r="Q31" s="40">
        <v>28.12</v>
      </c>
      <c r="R31" s="38"/>
      <c r="S31" s="38"/>
      <c r="T31" s="38"/>
      <c r="U31" s="38"/>
    </row>
    <row r="32" spans="1:21" customFormat="1">
      <c r="A32" s="39" t="s">
        <v>228</v>
      </c>
      <c r="B32" s="40">
        <v>12.78</v>
      </c>
      <c r="C32" s="40">
        <v>14.53</v>
      </c>
      <c r="D32" s="40">
        <v>18.239999999999998</v>
      </c>
      <c r="E32" s="40">
        <v>9.16</v>
      </c>
      <c r="F32" s="40">
        <v>4.7699999999999996</v>
      </c>
      <c r="G32" s="40">
        <v>78.03</v>
      </c>
      <c r="H32" s="40">
        <v>23.47</v>
      </c>
      <c r="I32" s="40">
        <v>9.2799999999999994</v>
      </c>
      <c r="J32" s="40">
        <v>0.18</v>
      </c>
      <c r="K32" s="40">
        <v>210.14</v>
      </c>
      <c r="L32" s="40">
        <v>20.329999999999998</v>
      </c>
      <c r="M32" s="40">
        <v>47.42</v>
      </c>
      <c r="N32" s="40">
        <v>0.8</v>
      </c>
      <c r="O32" s="40">
        <v>0</v>
      </c>
      <c r="P32" s="40">
        <v>0.74</v>
      </c>
      <c r="Q32" s="40">
        <v>28.11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9.49</v>
      </c>
      <c r="C34" s="18">
        <f t="shared" si="0"/>
        <v>10.62</v>
      </c>
      <c r="D34" s="18">
        <f t="shared" si="0"/>
        <v>17.559999999999999</v>
      </c>
      <c r="E34" s="18">
        <f t="shared" si="0"/>
        <v>8.39</v>
      </c>
      <c r="F34" s="18">
        <f t="shared" si="0"/>
        <v>3.72</v>
      </c>
      <c r="G34" s="18">
        <f t="shared" si="0"/>
        <v>36.950000000000003</v>
      </c>
      <c r="H34" s="18">
        <f t="shared" si="0"/>
        <v>12.43</v>
      </c>
      <c r="I34" s="18">
        <f t="shared" si="0"/>
        <v>6.62</v>
      </c>
      <c r="J34" s="18">
        <f t="shared" si="0"/>
        <v>0.15</v>
      </c>
      <c r="K34" s="18">
        <f t="shared" si="0"/>
        <v>54.06</v>
      </c>
      <c r="L34" s="18">
        <f t="shared" si="0"/>
        <v>15.47</v>
      </c>
      <c r="M34" s="18">
        <f t="shared" si="0"/>
        <v>8.39</v>
      </c>
      <c r="N34" s="18">
        <f t="shared" si="0"/>
        <v>0.5</v>
      </c>
      <c r="O34" s="18">
        <f t="shared" si="0"/>
        <v>0</v>
      </c>
      <c r="P34" s="18">
        <f t="shared" si="0"/>
        <v>0.5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25.02</v>
      </c>
      <c r="C35" s="3">
        <f t="shared" si="1"/>
        <v>22.88</v>
      </c>
      <c r="D35" s="3">
        <f t="shared" si="1"/>
        <v>32.369999999999997</v>
      </c>
      <c r="E35" s="3">
        <f t="shared" si="1"/>
        <v>11.63</v>
      </c>
      <c r="F35" s="3">
        <f t="shared" si="1"/>
        <v>39.119999999999997</v>
      </c>
      <c r="G35" s="3">
        <f t="shared" si="1"/>
        <v>103.71</v>
      </c>
      <c r="H35" s="3">
        <f t="shared" si="1"/>
        <v>34.979999999999997</v>
      </c>
      <c r="I35" s="3">
        <f t="shared" si="1"/>
        <v>26.44</v>
      </c>
      <c r="J35" s="3">
        <f t="shared" si="1"/>
        <v>1.38</v>
      </c>
      <c r="K35" s="3">
        <f t="shared" si="1"/>
        <v>338.28</v>
      </c>
      <c r="L35" s="3">
        <f t="shared" si="1"/>
        <v>34.119999999999997</v>
      </c>
      <c r="M35" s="3">
        <f t="shared" si="1"/>
        <v>65.02</v>
      </c>
      <c r="N35" s="3">
        <f t="shared" si="1"/>
        <v>372.9</v>
      </c>
      <c r="O35" s="3">
        <f t="shared" si="1"/>
        <v>0</v>
      </c>
      <c r="P35" s="3">
        <f t="shared" si="1"/>
        <v>1.07</v>
      </c>
      <c r="Q35" s="3">
        <f t="shared" si="1"/>
        <v>28.93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16.66</v>
      </c>
      <c r="C36" s="18">
        <f t="shared" si="2"/>
        <v>17.538333333333338</v>
      </c>
      <c r="D36" s="18">
        <f t="shared" si="2"/>
        <v>23.433333333333337</v>
      </c>
      <c r="E36" s="18">
        <f t="shared" si="2"/>
        <v>9.3674999999999997</v>
      </c>
      <c r="F36" s="18">
        <f t="shared" si="2"/>
        <v>9.3345833333333328</v>
      </c>
      <c r="G36" s="18">
        <f t="shared" si="2"/>
        <v>75.560000000000016</v>
      </c>
      <c r="H36" s="18">
        <f t="shared" si="2"/>
        <v>24.076249999999998</v>
      </c>
      <c r="I36" s="18">
        <f t="shared" si="2"/>
        <v>14.45833333333333</v>
      </c>
      <c r="J36" s="18">
        <f t="shared" si="2"/>
        <v>0.54708333333333337</v>
      </c>
      <c r="K36" s="18">
        <f t="shared" si="2"/>
        <v>200.62249999999995</v>
      </c>
      <c r="L36" s="18">
        <f t="shared" si="2"/>
        <v>24.493333333333336</v>
      </c>
      <c r="M36" s="18">
        <f t="shared" si="2"/>
        <v>36.901249999999997</v>
      </c>
      <c r="N36" s="18">
        <f t="shared" si="2"/>
        <v>116.3125</v>
      </c>
      <c r="O36" s="18">
        <f t="shared" si="2"/>
        <v>0</v>
      </c>
      <c r="P36" s="18">
        <f t="shared" si="2"/>
        <v>0.8125</v>
      </c>
      <c r="Q36" s="18">
        <f t="shared" si="2"/>
        <v>28.364166666666666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4.6531476022898364</v>
      </c>
      <c r="C37" s="18">
        <f t="shared" ref="C37:Q37" si="3">STDEV(C9:C32)</f>
        <v>3.5375128411709165</v>
      </c>
      <c r="D37" s="18">
        <f t="shared" si="3"/>
        <v>5.1967679476236865</v>
      </c>
      <c r="E37" s="18">
        <f t="shared" si="3"/>
        <v>0.89235034063689511</v>
      </c>
      <c r="F37" s="18">
        <f t="shared" si="3"/>
        <v>9.1348434598646442</v>
      </c>
      <c r="G37" s="18">
        <f t="shared" si="3"/>
        <v>19.432686940799723</v>
      </c>
      <c r="H37" s="18">
        <f t="shared" si="3"/>
        <v>7.3381941935151351</v>
      </c>
      <c r="I37" s="18">
        <f t="shared" si="3"/>
        <v>6.8820457440494041</v>
      </c>
      <c r="J37" s="18">
        <f t="shared" si="3"/>
        <v>0.40539276893088422</v>
      </c>
      <c r="K37" s="18">
        <f t="shared" si="3"/>
        <v>84.802000707017896</v>
      </c>
      <c r="L37" s="18">
        <f t="shared" si="3"/>
        <v>6.6298276367303561</v>
      </c>
      <c r="M37" s="18">
        <f t="shared" si="3"/>
        <v>21.647117955073604</v>
      </c>
      <c r="N37" s="18">
        <f t="shared" si="3"/>
        <v>158.95366377740675</v>
      </c>
      <c r="O37" s="18">
        <f t="shared" si="3"/>
        <v>0</v>
      </c>
      <c r="P37" s="18">
        <f t="shared" si="3"/>
        <v>0.20076484189003396</v>
      </c>
      <c r="Q37" s="18">
        <f t="shared" si="3"/>
        <v>0.33315248717388407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F9" sqref="F9:F3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229</v>
      </c>
      <c r="B9" s="40">
        <v>5.37</v>
      </c>
      <c r="C9" s="40">
        <v>12.19</v>
      </c>
      <c r="D9" s="40">
        <v>11.99</v>
      </c>
      <c r="E9" s="40">
        <v>8.91</v>
      </c>
      <c r="F9" s="40">
        <v>4.21</v>
      </c>
      <c r="G9" s="40">
        <v>75.239999999999995</v>
      </c>
      <c r="H9" s="40">
        <v>21.82</v>
      </c>
      <c r="I9" s="40">
        <v>9.51</v>
      </c>
      <c r="J9" s="40">
        <v>0.18</v>
      </c>
      <c r="K9" s="40">
        <v>185.48</v>
      </c>
      <c r="L9" s="40">
        <v>20.13</v>
      </c>
      <c r="M9" s="40">
        <v>45.91</v>
      </c>
      <c r="N9" s="40">
        <v>0.8</v>
      </c>
      <c r="O9" s="40">
        <v>0</v>
      </c>
      <c r="P9" s="40">
        <v>0.76</v>
      </c>
      <c r="Q9" s="40">
        <v>28.05</v>
      </c>
      <c r="R9" s="38"/>
      <c r="S9" s="38"/>
      <c r="T9" s="38"/>
      <c r="U9" s="38"/>
    </row>
    <row r="10" spans="1:21" customFormat="1">
      <c r="A10" s="39" t="s">
        <v>230</v>
      </c>
      <c r="B10" s="40">
        <v>4.34</v>
      </c>
      <c r="C10" s="40">
        <v>12</v>
      </c>
      <c r="D10" s="40">
        <v>11.06</v>
      </c>
      <c r="E10" s="40">
        <v>9.0299999999999994</v>
      </c>
      <c r="F10" s="40">
        <v>4.45</v>
      </c>
      <c r="G10" s="40">
        <v>64.900000000000006</v>
      </c>
      <c r="H10" s="40">
        <v>24.48</v>
      </c>
      <c r="I10" s="40">
        <v>9.68</v>
      </c>
      <c r="J10" s="40">
        <v>0.24</v>
      </c>
      <c r="K10" s="40">
        <v>187.23</v>
      </c>
      <c r="L10" s="40">
        <v>19.649999999999999</v>
      </c>
      <c r="M10" s="40">
        <v>51.91</v>
      </c>
      <c r="N10" s="40">
        <v>0.8</v>
      </c>
      <c r="O10" s="40">
        <v>0</v>
      </c>
      <c r="P10" s="40">
        <v>0.77</v>
      </c>
      <c r="Q10" s="40">
        <v>28.04</v>
      </c>
      <c r="R10" s="38"/>
      <c r="S10" s="38"/>
      <c r="T10" s="38"/>
      <c r="U10" s="38"/>
    </row>
    <row r="11" spans="1:21" customFormat="1">
      <c r="A11" s="39" t="s">
        <v>231</v>
      </c>
      <c r="B11" s="40">
        <v>3.39</v>
      </c>
      <c r="C11" s="40">
        <v>11.59</v>
      </c>
      <c r="D11" s="40">
        <v>10.130000000000001</v>
      </c>
      <c r="E11" s="40">
        <v>7.89</v>
      </c>
      <c r="F11" s="40">
        <v>4.37</v>
      </c>
      <c r="G11" s="40">
        <v>60.72</v>
      </c>
      <c r="H11" s="40">
        <v>26.66</v>
      </c>
      <c r="I11" s="40">
        <v>9.3699999999999992</v>
      </c>
      <c r="J11" s="40">
        <v>0.27</v>
      </c>
      <c r="K11" s="40">
        <v>184.58</v>
      </c>
      <c r="L11" s="40">
        <v>18.600000000000001</v>
      </c>
      <c r="M11" s="40">
        <v>52.92</v>
      </c>
      <c r="N11" s="40">
        <v>0.9</v>
      </c>
      <c r="O11" s="40">
        <v>0</v>
      </c>
      <c r="P11" s="40">
        <v>0.78</v>
      </c>
      <c r="Q11" s="40">
        <v>28.04</v>
      </c>
      <c r="R11" s="38"/>
      <c r="S11" s="38"/>
      <c r="T11" s="38"/>
      <c r="U11" s="38"/>
    </row>
    <row r="12" spans="1:21" customFormat="1">
      <c r="A12" s="39" t="s">
        <v>232</v>
      </c>
      <c r="B12" s="40">
        <v>3.59</v>
      </c>
      <c r="C12" s="40">
        <v>11.21</v>
      </c>
      <c r="D12" s="40">
        <v>10.07</v>
      </c>
      <c r="E12" s="40">
        <v>7.93</v>
      </c>
      <c r="F12" s="40">
        <v>3.88</v>
      </c>
      <c r="G12" s="40">
        <v>55.35</v>
      </c>
      <c r="H12" s="40">
        <v>23.68</v>
      </c>
      <c r="I12" s="40">
        <v>9.34</v>
      </c>
      <c r="J12" s="40">
        <v>0.27</v>
      </c>
      <c r="K12" s="40">
        <v>176.23</v>
      </c>
      <c r="L12" s="40">
        <v>18.100000000000001</v>
      </c>
      <c r="M12" s="40">
        <v>57.89</v>
      </c>
      <c r="N12" s="40">
        <v>0.8</v>
      </c>
      <c r="O12" s="40">
        <v>0</v>
      </c>
      <c r="P12" s="40">
        <v>0.79</v>
      </c>
      <c r="Q12" s="40">
        <v>28.06</v>
      </c>
      <c r="R12" s="38"/>
      <c r="S12" s="38"/>
      <c r="T12" s="38"/>
      <c r="U12" s="38"/>
    </row>
    <row r="13" spans="1:21" customFormat="1">
      <c r="A13" s="39" t="s">
        <v>233</v>
      </c>
      <c r="B13" s="40">
        <v>2.09</v>
      </c>
      <c r="C13" s="40">
        <v>12.31</v>
      </c>
      <c r="D13" s="40">
        <v>9.4600000000000009</v>
      </c>
      <c r="E13" s="40">
        <v>7.93</v>
      </c>
      <c r="F13" s="40">
        <v>3.84</v>
      </c>
      <c r="G13" s="40">
        <v>51.99</v>
      </c>
      <c r="H13" s="40">
        <v>22.43</v>
      </c>
      <c r="I13" s="40">
        <v>9.43</v>
      </c>
      <c r="J13" s="40">
        <v>0.24</v>
      </c>
      <c r="K13" s="40">
        <v>179.06</v>
      </c>
      <c r="L13" s="40">
        <v>17.25</v>
      </c>
      <c r="M13" s="40">
        <v>59.45</v>
      </c>
      <c r="N13" s="40">
        <v>1</v>
      </c>
      <c r="O13" s="40">
        <v>0</v>
      </c>
      <c r="P13" s="40">
        <v>0.82</v>
      </c>
      <c r="Q13" s="40">
        <v>28.14</v>
      </c>
      <c r="R13" s="38"/>
      <c r="S13" s="38"/>
      <c r="T13" s="38"/>
      <c r="U13" s="38"/>
    </row>
    <row r="14" spans="1:21" customFormat="1">
      <c r="A14" s="39" t="s">
        <v>234</v>
      </c>
      <c r="B14" s="40">
        <v>6.67</v>
      </c>
      <c r="C14" s="40">
        <v>16.239999999999998</v>
      </c>
      <c r="D14" s="40">
        <v>15.18</v>
      </c>
      <c r="E14" s="40">
        <v>8.1300000000000008</v>
      </c>
      <c r="F14" s="40">
        <v>3.77</v>
      </c>
      <c r="G14" s="40">
        <v>58</v>
      </c>
      <c r="H14" s="40">
        <v>23.22</v>
      </c>
      <c r="I14" s="40">
        <v>9.86</v>
      </c>
      <c r="J14" s="40">
        <v>0.28000000000000003</v>
      </c>
      <c r="K14" s="40">
        <v>170.43</v>
      </c>
      <c r="L14" s="40">
        <v>16.79</v>
      </c>
      <c r="M14" s="40">
        <v>64.069999999999993</v>
      </c>
      <c r="N14" s="40">
        <v>1.1000000000000001</v>
      </c>
      <c r="O14" s="40">
        <v>0</v>
      </c>
      <c r="P14" s="40">
        <v>0.88</v>
      </c>
      <c r="Q14" s="40">
        <v>28.36</v>
      </c>
      <c r="R14" s="38"/>
      <c r="S14" s="38"/>
      <c r="T14" s="38"/>
      <c r="U14" s="38"/>
    </row>
    <row r="15" spans="1:21" customFormat="1">
      <c r="A15" s="39" t="s">
        <v>235</v>
      </c>
      <c r="B15" s="40">
        <v>9.44</v>
      </c>
      <c r="C15" s="40">
        <v>19.45</v>
      </c>
      <c r="D15" s="40">
        <v>19.079999999999998</v>
      </c>
      <c r="E15" s="40">
        <v>8.27</v>
      </c>
      <c r="F15" s="40">
        <v>3.85</v>
      </c>
      <c r="G15" s="40">
        <v>72.900000000000006</v>
      </c>
      <c r="H15" s="40">
        <v>28.31</v>
      </c>
      <c r="I15" s="40">
        <v>10.76</v>
      </c>
      <c r="J15" s="40">
        <v>0.2</v>
      </c>
      <c r="K15" s="40">
        <v>204.09</v>
      </c>
      <c r="L15" s="40">
        <v>17.05</v>
      </c>
      <c r="M15" s="40">
        <v>65.739999999999995</v>
      </c>
      <c r="N15" s="40">
        <v>16.600000000000001</v>
      </c>
      <c r="O15" s="40">
        <v>0</v>
      </c>
      <c r="P15" s="40">
        <v>0.97</v>
      </c>
      <c r="Q15" s="40">
        <v>28.62</v>
      </c>
      <c r="R15" s="38"/>
      <c r="S15" s="38"/>
      <c r="T15" s="38"/>
      <c r="U15" s="38"/>
    </row>
    <row r="16" spans="1:21" customFormat="1">
      <c r="A16" s="39" t="s">
        <v>236</v>
      </c>
      <c r="B16" s="40">
        <v>9.7100000000000009</v>
      </c>
      <c r="C16" s="40">
        <v>21.12</v>
      </c>
      <c r="D16" s="40">
        <v>19.649999999999999</v>
      </c>
      <c r="E16" s="40">
        <v>8.2799999999999994</v>
      </c>
      <c r="F16" s="40">
        <v>3.75</v>
      </c>
      <c r="G16" s="40">
        <v>102.48</v>
      </c>
      <c r="H16" s="40">
        <v>40.299999999999997</v>
      </c>
      <c r="I16" s="40">
        <v>12.06</v>
      </c>
      <c r="J16" s="40">
        <v>0.41</v>
      </c>
      <c r="K16" s="40">
        <v>216.12</v>
      </c>
      <c r="L16" s="40">
        <v>20.83</v>
      </c>
      <c r="M16" s="40">
        <v>63.53</v>
      </c>
      <c r="N16" s="40">
        <v>56.5</v>
      </c>
      <c r="O16" s="40">
        <v>0</v>
      </c>
      <c r="P16" s="40">
        <v>1.04</v>
      </c>
      <c r="Q16" s="40">
        <v>28.69</v>
      </c>
      <c r="R16" s="38"/>
      <c r="S16" s="38"/>
      <c r="T16" s="38"/>
      <c r="U16" s="38"/>
    </row>
    <row r="17" spans="1:21" customFormat="1">
      <c r="A17" s="39" t="s">
        <v>237</v>
      </c>
      <c r="B17" s="40">
        <v>11.13</v>
      </c>
      <c r="C17" s="40">
        <v>20.87</v>
      </c>
      <c r="D17" s="40">
        <v>20.36</v>
      </c>
      <c r="E17" s="40">
        <v>8.65</v>
      </c>
      <c r="F17" s="40">
        <v>3.95</v>
      </c>
      <c r="G17" s="40">
        <v>109.72</v>
      </c>
      <c r="H17" s="40">
        <v>44.29</v>
      </c>
      <c r="I17" s="40">
        <v>12.96</v>
      </c>
      <c r="J17" s="40">
        <v>0.18</v>
      </c>
      <c r="K17" s="40">
        <v>298.26</v>
      </c>
      <c r="L17" s="40">
        <v>26.85</v>
      </c>
      <c r="M17" s="40">
        <v>40.36</v>
      </c>
      <c r="N17" s="40">
        <v>259.2</v>
      </c>
      <c r="O17" s="40">
        <v>0</v>
      </c>
      <c r="P17" s="40">
        <v>1.06</v>
      </c>
      <c r="Q17" s="40">
        <v>28.63</v>
      </c>
      <c r="R17" s="38"/>
      <c r="S17" s="38"/>
      <c r="T17" s="38"/>
      <c r="U17" s="38"/>
    </row>
    <row r="18" spans="1:21" customFormat="1">
      <c r="A18" s="39" t="s">
        <v>238</v>
      </c>
      <c r="B18" s="40">
        <v>9.9700000000000006</v>
      </c>
      <c r="C18" s="40">
        <v>20.59</v>
      </c>
      <c r="D18" s="40">
        <v>18.84</v>
      </c>
      <c r="E18" s="40">
        <v>8.84</v>
      </c>
      <c r="F18" s="40">
        <v>4.33</v>
      </c>
      <c r="G18" s="40">
        <v>115.12</v>
      </c>
      <c r="H18" s="40">
        <v>46.09</v>
      </c>
      <c r="I18" s="40">
        <v>13.01</v>
      </c>
      <c r="J18" s="40">
        <v>0.41</v>
      </c>
      <c r="K18" s="40">
        <v>271.83</v>
      </c>
      <c r="L18" s="40">
        <v>31.72</v>
      </c>
      <c r="M18" s="40">
        <v>27.49</v>
      </c>
      <c r="N18" s="40">
        <v>317.60000000000002</v>
      </c>
      <c r="O18" s="40">
        <v>0</v>
      </c>
      <c r="P18" s="40">
        <v>1.05</v>
      </c>
      <c r="Q18" s="40">
        <v>28.49</v>
      </c>
      <c r="R18" s="38"/>
      <c r="S18" s="38"/>
      <c r="T18" s="38"/>
      <c r="U18" s="38"/>
    </row>
    <row r="19" spans="1:21" customFormat="1">
      <c r="A19" s="39" t="s">
        <v>239</v>
      </c>
      <c r="B19" s="40">
        <v>2.61</v>
      </c>
      <c r="C19" s="40">
        <v>20.13</v>
      </c>
      <c r="D19" s="40">
        <v>13.96</v>
      </c>
      <c r="E19" s="40">
        <v>10.09</v>
      </c>
      <c r="F19" s="40">
        <v>6.55</v>
      </c>
      <c r="G19" s="40">
        <v>103.32</v>
      </c>
      <c r="H19" s="40">
        <v>38.31</v>
      </c>
      <c r="I19" s="40">
        <v>12.65</v>
      </c>
      <c r="J19" s="40">
        <v>0.56000000000000005</v>
      </c>
      <c r="K19" s="40">
        <v>289.42</v>
      </c>
      <c r="L19" s="40">
        <v>33.479999999999997</v>
      </c>
      <c r="M19" s="40">
        <v>16.63</v>
      </c>
      <c r="N19" s="40">
        <v>333.3</v>
      </c>
      <c r="O19" s="40">
        <v>0</v>
      </c>
      <c r="P19" s="40">
        <v>0.96</v>
      </c>
      <c r="Q19" s="40">
        <v>28.21</v>
      </c>
      <c r="R19" s="38"/>
      <c r="S19" s="38"/>
      <c r="T19" s="38"/>
      <c r="U19" s="38"/>
    </row>
    <row r="20" spans="1:21" customFormat="1">
      <c r="A20" s="39" t="s">
        <v>240</v>
      </c>
      <c r="B20" s="40">
        <v>2</v>
      </c>
      <c r="C20" s="40">
        <v>13.43</v>
      </c>
      <c r="D20" s="40">
        <v>9.9700000000000006</v>
      </c>
      <c r="E20" s="40">
        <v>16.72</v>
      </c>
      <c r="F20" s="40">
        <v>8.2200000000000006</v>
      </c>
      <c r="G20" s="40">
        <v>79.63</v>
      </c>
      <c r="H20" s="40">
        <v>27.27</v>
      </c>
      <c r="I20" s="40">
        <v>11.36</v>
      </c>
      <c r="J20" s="40">
        <v>0.65</v>
      </c>
      <c r="K20" s="40">
        <v>348.97</v>
      </c>
      <c r="L20" s="40">
        <v>34.26</v>
      </c>
      <c r="M20" s="40">
        <v>15.57</v>
      </c>
      <c r="N20" s="40">
        <v>331.6</v>
      </c>
      <c r="O20" s="40">
        <v>0</v>
      </c>
      <c r="P20" s="40">
        <v>0.85</v>
      </c>
      <c r="Q20" s="40">
        <v>28.04</v>
      </c>
      <c r="R20" s="38"/>
      <c r="S20" s="38"/>
      <c r="T20" s="38"/>
      <c r="U20" s="38"/>
    </row>
    <row r="21" spans="1:21" customFormat="1">
      <c r="A21" s="39" t="s">
        <v>241</v>
      </c>
      <c r="B21" s="40">
        <v>2</v>
      </c>
      <c r="C21" s="40">
        <v>11.4</v>
      </c>
      <c r="D21" s="40">
        <v>8.91</v>
      </c>
      <c r="E21" s="40">
        <v>16.28</v>
      </c>
      <c r="F21" s="40">
        <v>10.82</v>
      </c>
      <c r="G21" s="40">
        <v>71.44</v>
      </c>
      <c r="H21" s="40">
        <v>30.14</v>
      </c>
      <c r="I21" s="40">
        <v>10.19</v>
      </c>
      <c r="J21" s="40">
        <v>0.89</v>
      </c>
      <c r="K21" s="40">
        <v>304.35000000000002</v>
      </c>
      <c r="L21" s="40">
        <v>34.89</v>
      </c>
      <c r="M21" s="40">
        <v>15.47</v>
      </c>
      <c r="N21" s="40">
        <v>347.4</v>
      </c>
      <c r="O21" s="40">
        <v>0</v>
      </c>
      <c r="P21" s="40">
        <v>0.83</v>
      </c>
      <c r="Q21" s="40">
        <v>28.01</v>
      </c>
      <c r="R21" s="38"/>
      <c r="S21" s="38"/>
      <c r="T21" s="38"/>
      <c r="U21" s="38"/>
    </row>
    <row r="22" spans="1:21" customFormat="1">
      <c r="A22" s="39" t="s">
        <v>242</v>
      </c>
      <c r="B22" s="40">
        <v>4.63</v>
      </c>
      <c r="C22" s="40">
        <v>13.71</v>
      </c>
      <c r="D22" s="40">
        <v>12.17</v>
      </c>
      <c r="E22" s="40">
        <v>12.61</v>
      </c>
      <c r="F22" s="40">
        <v>10.47</v>
      </c>
      <c r="G22" s="40">
        <v>79.22</v>
      </c>
      <c r="H22" s="40">
        <v>28.57</v>
      </c>
      <c r="I22" s="40">
        <v>9.74</v>
      </c>
      <c r="J22" s="40">
        <v>1.1399999999999999</v>
      </c>
      <c r="K22" s="40">
        <v>357.44</v>
      </c>
      <c r="L22" s="40">
        <v>35.54</v>
      </c>
      <c r="M22" s="40">
        <v>12.35</v>
      </c>
      <c r="N22" s="40">
        <v>361.5</v>
      </c>
      <c r="O22" s="40">
        <v>0</v>
      </c>
      <c r="P22" s="40">
        <v>0.73</v>
      </c>
      <c r="Q22" s="40">
        <v>28.01</v>
      </c>
      <c r="R22" s="38"/>
      <c r="S22" s="38"/>
      <c r="T22" s="38"/>
      <c r="U22" s="38"/>
    </row>
    <row r="23" spans="1:21" customFormat="1">
      <c r="A23" s="39" t="s">
        <v>243</v>
      </c>
      <c r="B23" s="40">
        <v>4.3099999999999996</v>
      </c>
      <c r="C23" s="40">
        <v>12.75</v>
      </c>
      <c r="D23" s="40">
        <v>11.32</v>
      </c>
      <c r="E23" s="40">
        <v>11.52</v>
      </c>
      <c r="F23" s="40">
        <v>10.33</v>
      </c>
      <c r="G23" s="40">
        <v>69.08</v>
      </c>
      <c r="H23" s="40">
        <v>25.86</v>
      </c>
      <c r="I23" s="40">
        <v>8.27</v>
      </c>
      <c r="J23" s="40">
        <v>0.9</v>
      </c>
      <c r="K23" s="40">
        <v>353.69</v>
      </c>
      <c r="L23" s="40">
        <v>36.01</v>
      </c>
      <c r="M23" s="40">
        <v>12.01</v>
      </c>
      <c r="N23" s="40">
        <v>354.7</v>
      </c>
      <c r="O23" s="40">
        <v>0</v>
      </c>
      <c r="P23" s="40">
        <v>0.61</v>
      </c>
      <c r="Q23" s="40">
        <v>28.01</v>
      </c>
      <c r="R23" s="38"/>
      <c r="S23" s="38"/>
      <c r="T23" s="38"/>
      <c r="U23" s="38"/>
    </row>
    <row r="24" spans="1:21" customFormat="1">
      <c r="A24" s="39" t="s">
        <v>244</v>
      </c>
      <c r="B24" s="40">
        <v>7.9</v>
      </c>
      <c r="C24" s="40">
        <v>11.87</v>
      </c>
      <c r="D24" s="40">
        <v>13.21</v>
      </c>
      <c r="E24" s="40">
        <v>10.66</v>
      </c>
      <c r="F24" s="40">
        <v>15.91</v>
      </c>
      <c r="G24" s="40">
        <v>55.59</v>
      </c>
      <c r="H24" s="40">
        <v>22.18</v>
      </c>
      <c r="I24" s="40">
        <v>7.37</v>
      </c>
      <c r="J24" s="40">
        <v>0.73</v>
      </c>
      <c r="K24" s="40">
        <v>300.93</v>
      </c>
      <c r="L24" s="40">
        <v>34.85</v>
      </c>
      <c r="M24" s="40">
        <v>13.38</v>
      </c>
      <c r="N24" s="40">
        <v>105.4</v>
      </c>
      <c r="O24" s="40">
        <v>0</v>
      </c>
      <c r="P24" s="40">
        <v>0.59</v>
      </c>
      <c r="Q24" s="40">
        <v>28.02</v>
      </c>
      <c r="R24" s="38"/>
      <c r="S24" s="38"/>
      <c r="T24" s="38"/>
      <c r="U24" s="38"/>
    </row>
    <row r="25" spans="1:21" customFormat="1">
      <c r="A25" s="39" t="s">
        <v>245</v>
      </c>
      <c r="B25" s="40">
        <v>8.14</v>
      </c>
      <c r="C25" s="40">
        <v>16.22</v>
      </c>
      <c r="D25" s="40">
        <v>16.36</v>
      </c>
      <c r="E25" s="40">
        <v>12.71</v>
      </c>
      <c r="F25" s="40">
        <v>17.04</v>
      </c>
      <c r="G25" s="40">
        <v>39.18</v>
      </c>
      <c r="H25" s="40">
        <v>15.31</v>
      </c>
      <c r="I25" s="40">
        <v>6.89</v>
      </c>
      <c r="J25" s="40">
        <v>0.92</v>
      </c>
      <c r="K25" s="40">
        <v>230.78</v>
      </c>
      <c r="L25" s="40">
        <v>34.61</v>
      </c>
      <c r="M25" s="40">
        <v>15.6</v>
      </c>
      <c r="N25" s="40">
        <v>83.3</v>
      </c>
      <c r="O25" s="40">
        <v>0</v>
      </c>
      <c r="P25" s="40">
        <v>0.54</v>
      </c>
      <c r="Q25" s="40">
        <v>28.04</v>
      </c>
      <c r="R25" s="38"/>
      <c r="S25" s="38"/>
      <c r="T25" s="38"/>
      <c r="U25" s="38"/>
    </row>
    <row r="26" spans="1:21" customFormat="1">
      <c r="A26" s="39" t="s">
        <v>246</v>
      </c>
      <c r="B26" s="40">
        <v>8.1199999999999992</v>
      </c>
      <c r="C26" s="40">
        <v>19</v>
      </c>
      <c r="D26" s="40">
        <v>17.79</v>
      </c>
      <c r="E26" s="40">
        <v>12.34</v>
      </c>
      <c r="F26" s="40">
        <v>10.69</v>
      </c>
      <c r="G26" s="40">
        <v>41.47</v>
      </c>
      <c r="H26" s="40">
        <v>12.78</v>
      </c>
      <c r="I26" s="40">
        <v>5.98</v>
      </c>
      <c r="J26" s="40">
        <v>0.54</v>
      </c>
      <c r="K26" s="40">
        <v>161.66999999999999</v>
      </c>
      <c r="L26" s="40">
        <v>33.61</v>
      </c>
      <c r="M26" s="40">
        <v>20.38</v>
      </c>
      <c r="N26" s="40">
        <v>26</v>
      </c>
      <c r="O26" s="40">
        <v>0</v>
      </c>
      <c r="P26" s="40">
        <v>0.56999999999999995</v>
      </c>
      <c r="Q26" s="40">
        <v>28.06</v>
      </c>
      <c r="R26" s="38"/>
      <c r="S26" s="38"/>
      <c r="T26" s="38"/>
      <c r="U26" s="38"/>
    </row>
    <row r="27" spans="1:21" customFormat="1">
      <c r="A27" s="39" t="s">
        <v>247</v>
      </c>
      <c r="B27" s="40">
        <v>8.39</v>
      </c>
      <c r="C27" s="40">
        <v>16.5</v>
      </c>
      <c r="D27" s="40">
        <v>16.7</v>
      </c>
      <c r="E27" s="40">
        <v>9.4499999999999993</v>
      </c>
      <c r="F27" s="40">
        <v>7.75</v>
      </c>
      <c r="G27" s="40">
        <v>41.75</v>
      </c>
      <c r="H27" s="40">
        <v>14.05</v>
      </c>
      <c r="I27" s="40">
        <v>6.69</v>
      </c>
      <c r="J27" s="40">
        <v>0.27</v>
      </c>
      <c r="K27" s="40">
        <v>192</v>
      </c>
      <c r="L27" s="40">
        <v>30.47</v>
      </c>
      <c r="M27" s="40">
        <v>37.89</v>
      </c>
      <c r="N27" s="40">
        <v>2.2000000000000002</v>
      </c>
      <c r="O27" s="40">
        <v>0</v>
      </c>
      <c r="P27" s="40">
        <v>0.59</v>
      </c>
      <c r="Q27" s="40">
        <v>28.07</v>
      </c>
      <c r="R27" s="38"/>
      <c r="S27" s="38"/>
      <c r="T27" s="38"/>
      <c r="U27" s="38"/>
    </row>
    <row r="28" spans="1:21" customFormat="1">
      <c r="A28" s="39" t="s">
        <v>248</v>
      </c>
      <c r="B28" s="40">
        <v>2.31</v>
      </c>
      <c r="C28" s="40">
        <v>12.27</v>
      </c>
      <c r="D28" s="40">
        <v>9.61</v>
      </c>
      <c r="E28" s="40">
        <v>9.0299999999999994</v>
      </c>
      <c r="F28" s="40">
        <v>4.88</v>
      </c>
      <c r="G28" s="40">
        <v>66.34</v>
      </c>
      <c r="H28" s="40">
        <v>18.920000000000002</v>
      </c>
      <c r="I28" s="40">
        <v>6.93</v>
      </c>
      <c r="J28" s="40">
        <v>0.25</v>
      </c>
      <c r="K28" s="40">
        <v>178.68</v>
      </c>
      <c r="L28" s="40">
        <v>26.56</v>
      </c>
      <c r="M28" s="40">
        <v>41.4</v>
      </c>
      <c r="N28" s="40">
        <v>0.8</v>
      </c>
      <c r="O28" s="40">
        <v>0</v>
      </c>
      <c r="P28" s="40">
        <v>0.57999999999999996</v>
      </c>
      <c r="Q28" s="40">
        <v>28.08</v>
      </c>
      <c r="R28" s="38"/>
      <c r="S28" s="38"/>
      <c r="T28" s="38"/>
      <c r="U28" s="38"/>
    </row>
    <row r="29" spans="1:21" customFormat="1">
      <c r="A29" s="39" t="s">
        <v>249</v>
      </c>
      <c r="B29" s="40">
        <v>2</v>
      </c>
      <c r="C29" s="40">
        <v>9.9499999999999993</v>
      </c>
      <c r="D29" s="40">
        <v>8.15</v>
      </c>
      <c r="E29" s="40">
        <v>8.68</v>
      </c>
      <c r="F29" s="40">
        <v>4.1100000000000003</v>
      </c>
      <c r="G29" s="40">
        <v>81.84</v>
      </c>
      <c r="H29" s="40">
        <v>23.76</v>
      </c>
      <c r="I29" s="40">
        <v>7.53</v>
      </c>
      <c r="J29" s="40">
        <v>0.18</v>
      </c>
      <c r="K29" s="40">
        <v>200.72</v>
      </c>
      <c r="L29" s="40">
        <v>24.94</v>
      </c>
      <c r="M29" s="40">
        <v>43.28</v>
      </c>
      <c r="N29" s="40">
        <v>0.7</v>
      </c>
      <c r="O29" s="40">
        <v>0</v>
      </c>
      <c r="P29" s="40">
        <v>0.6</v>
      </c>
      <c r="Q29" s="40">
        <v>28.04</v>
      </c>
      <c r="R29" s="38"/>
      <c r="S29" s="38"/>
      <c r="T29" s="38"/>
      <c r="U29" s="38"/>
    </row>
    <row r="30" spans="1:21" customFormat="1">
      <c r="A30" s="39" t="s">
        <v>250</v>
      </c>
      <c r="B30" s="40">
        <v>2</v>
      </c>
      <c r="C30" s="40">
        <v>6.25</v>
      </c>
      <c r="D30" s="40">
        <v>6.22</v>
      </c>
      <c r="E30" s="40">
        <v>8.5</v>
      </c>
      <c r="F30" s="40">
        <v>4.1100000000000003</v>
      </c>
      <c r="G30" s="40">
        <v>78.489999999999995</v>
      </c>
      <c r="H30" s="40">
        <v>23.63</v>
      </c>
      <c r="I30" s="40">
        <v>7.54</v>
      </c>
      <c r="J30" s="40">
        <v>0.24</v>
      </c>
      <c r="K30" s="40">
        <v>201.49</v>
      </c>
      <c r="L30" s="40">
        <v>24.16</v>
      </c>
      <c r="M30" s="40">
        <v>47.55</v>
      </c>
      <c r="N30" s="40">
        <v>1</v>
      </c>
      <c r="O30" s="40">
        <v>0</v>
      </c>
      <c r="P30" s="40">
        <v>0.62</v>
      </c>
      <c r="Q30" s="40">
        <v>28.03</v>
      </c>
      <c r="R30" s="38"/>
      <c r="S30" s="38"/>
      <c r="T30" s="38"/>
      <c r="U30" s="38"/>
    </row>
    <row r="31" spans="1:21" customFormat="1">
      <c r="A31" s="39" t="s">
        <v>251</v>
      </c>
      <c r="B31" s="40">
        <v>2</v>
      </c>
      <c r="C31" s="40">
        <v>13.43</v>
      </c>
      <c r="D31" s="40">
        <v>9.9700000000000006</v>
      </c>
      <c r="E31" s="40">
        <v>8.73</v>
      </c>
      <c r="F31" s="40">
        <v>3.88</v>
      </c>
      <c r="G31" s="40">
        <v>87.3</v>
      </c>
      <c r="H31" s="40">
        <v>25.47</v>
      </c>
      <c r="I31" s="40">
        <v>7.78</v>
      </c>
      <c r="J31" s="40">
        <v>0.26</v>
      </c>
      <c r="K31" s="40">
        <v>214.89</v>
      </c>
      <c r="L31" s="40">
        <v>23.68</v>
      </c>
      <c r="M31" s="40">
        <v>50.49</v>
      </c>
      <c r="N31" s="40">
        <v>1.3</v>
      </c>
      <c r="O31" s="40">
        <v>0</v>
      </c>
      <c r="P31" s="40">
        <v>0.69</v>
      </c>
      <c r="Q31" s="40">
        <v>28.16</v>
      </c>
      <c r="R31" s="38"/>
      <c r="S31" s="38"/>
      <c r="T31" s="38"/>
      <c r="U31" s="38"/>
    </row>
    <row r="32" spans="1:21" customFormat="1">
      <c r="A32" s="39" t="s">
        <v>252</v>
      </c>
      <c r="B32" s="40">
        <v>5.28</v>
      </c>
      <c r="C32" s="40">
        <v>23.83</v>
      </c>
      <c r="D32" s="40">
        <v>18.04</v>
      </c>
      <c r="E32" s="40">
        <v>8.82</v>
      </c>
      <c r="F32" s="40">
        <v>3.81</v>
      </c>
      <c r="G32" s="40">
        <v>113.27</v>
      </c>
      <c r="H32" s="40">
        <v>27.31</v>
      </c>
      <c r="I32" s="40">
        <v>8.2100000000000009</v>
      </c>
      <c r="J32" s="40">
        <v>0.24</v>
      </c>
      <c r="K32" s="40">
        <v>180.49</v>
      </c>
      <c r="L32" s="40">
        <v>22.43</v>
      </c>
      <c r="M32" s="40">
        <v>50.88</v>
      </c>
      <c r="N32" s="40">
        <v>0.8</v>
      </c>
      <c r="O32" s="40">
        <v>0</v>
      </c>
      <c r="P32" s="40">
        <v>0.77</v>
      </c>
      <c r="Q32" s="40">
        <v>28.5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</v>
      </c>
      <c r="C34" s="18">
        <f t="shared" si="0"/>
        <v>6.25</v>
      </c>
      <c r="D34" s="18">
        <f t="shared" si="0"/>
        <v>6.22</v>
      </c>
      <c r="E34" s="18">
        <f t="shared" si="0"/>
        <v>7.89</v>
      </c>
      <c r="F34" s="18">
        <f t="shared" si="0"/>
        <v>3.75</v>
      </c>
      <c r="G34" s="18">
        <f t="shared" si="0"/>
        <v>39.18</v>
      </c>
      <c r="H34" s="18">
        <f t="shared" si="0"/>
        <v>12.78</v>
      </c>
      <c r="I34" s="18">
        <f t="shared" si="0"/>
        <v>5.98</v>
      </c>
      <c r="J34" s="18">
        <f t="shared" si="0"/>
        <v>0.18</v>
      </c>
      <c r="K34" s="18">
        <f t="shared" si="0"/>
        <v>161.66999999999999</v>
      </c>
      <c r="L34" s="18">
        <f t="shared" si="0"/>
        <v>16.79</v>
      </c>
      <c r="M34" s="18">
        <f t="shared" si="0"/>
        <v>12.01</v>
      </c>
      <c r="N34" s="18">
        <f t="shared" si="0"/>
        <v>0.7</v>
      </c>
      <c r="O34" s="18">
        <f t="shared" si="0"/>
        <v>0</v>
      </c>
      <c r="P34" s="18">
        <f t="shared" si="0"/>
        <v>0.54</v>
      </c>
      <c r="Q34" s="18">
        <f t="shared" si="0"/>
        <v>28.01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11.13</v>
      </c>
      <c r="C35" s="3">
        <f t="shared" si="1"/>
        <v>23.83</v>
      </c>
      <c r="D35" s="3">
        <f t="shared" si="1"/>
        <v>20.36</v>
      </c>
      <c r="E35" s="3">
        <f t="shared" si="1"/>
        <v>16.72</v>
      </c>
      <c r="F35" s="3">
        <f t="shared" si="1"/>
        <v>17.04</v>
      </c>
      <c r="G35" s="3">
        <f t="shared" si="1"/>
        <v>115.12</v>
      </c>
      <c r="H35" s="3">
        <f t="shared" si="1"/>
        <v>46.09</v>
      </c>
      <c r="I35" s="3">
        <f t="shared" si="1"/>
        <v>13.01</v>
      </c>
      <c r="J35" s="3">
        <f t="shared" si="1"/>
        <v>1.1399999999999999</v>
      </c>
      <c r="K35" s="3">
        <f t="shared" si="1"/>
        <v>357.44</v>
      </c>
      <c r="L35" s="3">
        <f t="shared" si="1"/>
        <v>36.01</v>
      </c>
      <c r="M35" s="3">
        <f t="shared" si="1"/>
        <v>65.739999999999995</v>
      </c>
      <c r="N35" s="3">
        <f t="shared" si="1"/>
        <v>361.5</v>
      </c>
      <c r="O35" s="3">
        <f t="shared" si="1"/>
        <v>0</v>
      </c>
      <c r="P35" s="3">
        <f t="shared" si="1"/>
        <v>1.06</v>
      </c>
      <c r="Q35" s="3">
        <f t="shared" si="1"/>
        <v>28.69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5.3079166666666673</v>
      </c>
      <c r="C36" s="18">
        <f t="shared" si="2"/>
        <v>14.929583333333333</v>
      </c>
      <c r="D36" s="18">
        <f t="shared" si="2"/>
        <v>13.258333333333335</v>
      </c>
      <c r="E36" s="18">
        <f t="shared" si="2"/>
        <v>10</v>
      </c>
      <c r="F36" s="18">
        <f t="shared" si="2"/>
        <v>6.6237500000000011</v>
      </c>
      <c r="G36" s="18">
        <f t="shared" si="2"/>
        <v>73.930833333333325</v>
      </c>
      <c r="H36" s="18">
        <f t="shared" si="2"/>
        <v>26.451666666666657</v>
      </c>
      <c r="I36" s="18">
        <f t="shared" si="2"/>
        <v>9.2962500000000006</v>
      </c>
      <c r="J36" s="18">
        <f t="shared" si="2"/>
        <v>0.43541666666666673</v>
      </c>
      <c r="K36" s="18">
        <f t="shared" si="2"/>
        <v>232.86791666666667</v>
      </c>
      <c r="L36" s="18">
        <f t="shared" si="2"/>
        <v>26.519166666666663</v>
      </c>
      <c r="M36" s="18">
        <f t="shared" si="2"/>
        <v>38.422916666666666</v>
      </c>
      <c r="N36" s="18">
        <f t="shared" si="2"/>
        <v>108.55416666666667</v>
      </c>
      <c r="O36" s="18">
        <f t="shared" si="2"/>
        <v>0</v>
      </c>
      <c r="P36" s="18">
        <f t="shared" si="2"/>
        <v>0.76874999999999993</v>
      </c>
      <c r="Q36" s="18">
        <f t="shared" si="2"/>
        <v>28.183333333333334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3.0676814345785592</v>
      </c>
      <c r="C37" s="18">
        <f t="shared" ref="C37:Q37" si="3">STDEV(C9:C32)</f>
        <v>4.3860465303809297</v>
      </c>
      <c r="D37" s="18">
        <f t="shared" si="3"/>
        <v>4.1735561592594772</v>
      </c>
      <c r="E37" s="18">
        <f t="shared" si="3"/>
        <v>2.4933912649241354</v>
      </c>
      <c r="F37" s="18">
        <f t="shared" si="3"/>
        <v>3.9549955339940688</v>
      </c>
      <c r="G37" s="18">
        <f t="shared" si="3"/>
        <v>22.444388069116584</v>
      </c>
      <c r="H37" s="18">
        <f t="shared" si="3"/>
        <v>8.5344486929592556</v>
      </c>
      <c r="I37" s="18">
        <f t="shared" si="3"/>
        <v>2.0606052561660428</v>
      </c>
      <c r="J37" s="18">
        <f t="shared" si="3"/>
        <v>0.28662927376614911</v>
      </c>
      <c r="K37" s="18">
        <f t="shared" si="3"/>
        <v>64.222949370967001</v>
      </c>
      <c r="L37" s="18">
        <f t="shared" si="3"/>
        <v>7.0243643788983841</v>
      </c>
      <c r="M37" s="18">
        <f t="shared" si="3"/>
        <v>18.903357529967977</v>
      </c>
      <c r="N37" s="18">
        <f t="shared" si="3"/>
        <v>148.27601752538541</v>
      </c>
      <c r="O37" s="18">
        <f t="shared" si="3"/>
        <v>0</v>
      </c>
      <c r="P37" s="18">
        <f t="shared" si="3"/>
        <v>0.16358251474541807</v>
      </c>
      <c r="Q37" s="18">
        <f t="shared" si="3"/>
        <v>0.22749422671445052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J25" sqref="J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253</v>
      </c>
      <c r="B9" s="40">
        <v>18.670000000000002</v>
      </c>
      <c r="C9" s="40">
        <v>25.15</v>
      </c>
      <c r="D9" s="40">
        <v>29.38</v>
      </c>
      <c r="E9" s="40">
        <v>8.86</v>
      </c>
      <c r="F9" s="40">
        <v>3.88</v>
      </c>
      <c r="G9" s="40">
        <v>136.26</v>
      </c>
      <c r="H9" s="40">
        <v>36.5</v>
      </c>
      <c r="I9" s="40">
        <v>8.6</v>
      </c>
      <c r="J9" s="40">
        <v>0.24</v>
      </c>
      <c r="K9" s="40">
        <v>186.64</v>
      </c>
      <c r="L9" s="40">
        <v>21.45</v>
      </c>
      <c r="M9" s="40">
        <v>57.23</v>
      </c>
      <c r="N9" s="40">
        <v>1.3</v>
      </c>
      <c r="O9" s="40">
        <v>0</v>
      </c>
      <c r="P9" s="40">
        <v>0.81</v>
      </c>
      <c r="Q9" s="40">
        <v>28.65</v>
      </c>
      <c r="R9" s="38"/>
      <c r="S9" s="38"/>
      <c r="T9" s="38"/>
      <c r="U9" s="38"/>
    </row>
    <row r="10" spans="1:21" customFormat="1">
      <c r="A10" s="39" t="s">
        <v>254</v>
      </c>
      <c r="B10" s="40">
        <v>19.559999999999999</v>
      </c>
      <c r="C10" s="40">
        <v>24.03</v>
      </c>
      <c r="D10" s="40">
        <v>29.36</v>
      </c>
      <c r="E10" s="40">
        <v>8.8000000000000007</v>
      </c>
      <c r="F10" s="40">
        <v>3.8</v>
      </c>
      <c r="G10" s="40">
        <v>116.79</v>
      </c>
      <c r="H10" s="40">
        <v>34.85</v>
      </c>
      <c r="I10" s="40">
        <v>8.74</v>
      </c>
      <c r="J10" s="40">
        <v>0.71</v>
      </c>
      <c r="K10" s="40">
        <v>123.42</v>
      </c>
      <c r="L10" s="40">
        <v>22.89</v>
      </c>
      <c r="M10" s="40">
        <v>54.15</v>
      </c>
      <c r="N10" s="40">
        <v>1.2</v>
      </c>
      <c r="O10" s="40">
        <v>0</v>
      </c>
      <c r="P10" s="40">
        <v>0.83</v>
      </c>
      <c r="Q10" s="40">
        <v>28.62</v>
      </c>
      <c r="R10" s="38"/>
      <c r="S10" s="38"/>
      <c r="T10" s="38"/>
      <c r="U10" s="38"/>
    </row>
    <row r="11" spans="1:21" customFormat="1">
      <c r="A11" s="39" t="s">
        <v>255</v>
      </c>
      <c r="B11" s="40">
        <v>22.31</v>
      </c>
      <c r="C11" s="40">
        <v>23.77</v>
      </c>
      <c r="D11" s="40">
        <v>30.31</v>
      </c>
      <c r="E11" s="40">
        <v>8.31</v>
      </c>
      <c r="F11" s="40">
        <v>3.83</v>
      </c>
      <c r="G11" s="40">
        <v>100.84</v>
      </c>
      <c r="H11" s="40">
        <v>33.82</v>
      </c>
      <c r="I11" s="40">
        <v>8.92</v>
      </c>
      <c r="J11" s="40">
        <v>0.25</v>
      </c>
      <c r="K11" s="40">
        <v>187.81</v>
      </c>
      <c r="L11" s="40">
        <v>22.06</v>
      </c>
      <c r="M11" s="40">
        <v>49.61</v>
      </c>
      <c r="N11" s="40">
        <v>1.6</v>
      </c>
      <c r="O11" s="40">
        <v>0</v>
      </c>
      <c r="P11" s="40">
        <v>0.84</v>
      </c>
      <c r="Q11" s="40">
        <v>28.66</v>
      </c>
      <c r="R11" s="38"/>
      <c r="S11" s="38"/>
      <c r="T11" s="38"/>
      <c r="U11" s="38"/>
    </row>
    <row r="12" spans="1:21" customFormat="1">
      <c r="A12" s="39" t="s">
        <v>256</v>
      </c>
      <c r="B12" s="40">
        <v>22.7</v>
      </c>
      <c r="C12" s="40">
        <v>20.8</v>
      </c>
      <c r="D12" s="40">
        <v>30.14</v>
      </c>
      <c r="E12" s="40">
        <v>7.82</v>
      </c>
      <c r="F12" s="40">
        <v>3.92</v>
      </c>
      <c r="G12" s="40">
        <v>100.79</v>
      </c>
      <c r="H12" s="40">
        <v>34.14</v>
      </c>
      <c r="I12" s="40">
        <v>9.01</v>
      </c>
      <c r="J12" s="40">
        <v>0.21</v>
      </c>
      <c r="K12" s="40">
        <v>202.82</v>
      </c>
      <c r="L12" s="40">
        <v>19.899999999999999</v>
      </c>
      <c r="M12" s="40">
        <v>56.87</v>
      </c>
      <c r="N12" s="40">
        <v>1.2</v>
      </c>
      <c r="O12" s="40">
        <v>0</v>
      </c>
      <c r="P12" s="40">
        <v>0.85</v>
      </c>
      <c r="Q12" s="40">
        <v>28.6</v>
      </c>
      <c r="R12" s="38"/>
      <c r="S12" s="38"/>
      <c r="T12" s="38"/>
      <c r="U12" s="38"/>
    </row>
    <row r="13" spans="1:21" customFormat="1">
      <c r="A13" s="39" t="s">
        <v>257</v>
      </c>
      <c r="B13" s="40">
        <v>22.32</v>
      </c>
      <c r="C13" s="40">
        <v>22.27</v>
      </c>
      <c r="D13" s="40">
        <v>30.03</v>
      </c>
      <c r="E13" s="40">
        <v>7.98</v>
      </c>
      <c r="F13" s="40">
        <v>3.8</v>
      </c>
      <c r="G13" s="40">
        <v>87.14</v>
      </c>
      <c r="H13" s="40">
        <v>30.12</v>
      </c>
      <c r="I13" s="40">
        <v>9.02</v>
      </c>
      <c r="J13" s="40">
        <v>0.22</v>
      </c>
      <c r="K13" s="40">
        <v>161.97999999999999</v>
      </c>
      <c r="L13" s="40">
        <v>19.72</v>
      </c>
      <c r="M13" s="40">
        <v>57.81</v>
      </c>
      <c r="N13" s="40">
        <v>1.1000000000000001</v>
      </c>
      <c r="O13" s="40">
        <v>0</v>
      </c>
      <c r="P13" s="40">
        <v>0.85</v>
      </c>
      <c r="Q13" s="40">
        <v>28.7</v>
      </c>
      <c r="R13" s="38"/>
      <c r="S13" s="38"/>
      <c r="T13" s="38"/>
      <c r="U13" s="38"/>
    </row>
    <row r="14" spans="1:21" customFormat="1">
      <c r="A14" s="39" t="s">
        <v>258</v>
      </c>
      <c r="B14" s="40">
        <v>24.23</v>
      </c>
      <c r="C14" s="40">
        <v>22.42</v>
      </c>
      <c r="D14" s="40">
        <v>32.08</v>
      </c>
      <c r="E14" s="40">
        <v>8.0399999999999991</v>
      </c>
      <c r="F14" s="40">
        <v>3.77</v>
      </c>
      <c r="G14" s="40">
        <v>103.48</v>
      </c>
      <c r="H14" s="40">
        <v>34.51</v>
      </c>
      <c r="I14" s="40">
        <v>9.16</v>
      </c>
      <c r="J14" s="40">
        <v>0.25</v>
      </c>
      <c r="K14" s="40">
        <v>182.86</v>
      </c>
      <c r="L14" s="40">
        <v>19.18</v>
      </c>
      <c r="M14" s="40">
        <v>62.63</v>
      </c>
      <c r="N14" s="40">
        <v>1.2</v>
      </c>
      <c r="O14" s="40">
        <v>0</v>
      </c>
      <c r="P14" s="40">
        <v>0.83</v>
      </c>
      <c r="Q14" s="40">
        <v>28.78</v>
      </c>
      <c r="R14" s="38"/>
      <c r="S14" s="38"/>
      <c r="T14" s="38"/>
      <c r="U14" s="38"/>
    </row>
    <row r="15" spans="1:21" customFormat="1">
      <c r="A15" s="39" t="s">
        <v>259</v>
      </c>
      <c r="B15" s="40">
        <v>26.38</v>
      </c>
      <c r="C15" s="40">
        <v>22.86</v>
      </c>
      <c r="D15" s="40">
        <v>34.450000000000003</v>
      </c>
      <c r="E15" s="40">
        <v>7.94</v>
      </c>
      <c r="F15" s="40">
        <v>3.79</v>
      </c>
      <c r="G15" s="40">
        <v>104.7</v>
      </c>
      <c r="H15" s="40">
        <v>35.26</v>
      </c>
      <c r="I15" s="40">
        <v>9.43</v>
      </c>
      <c r="J15" s="40">
        <v>0.24</v>
      </c>
      <c r="K15" s="40">
        <v>188.34</v>
      </c>
      <c r="L15" s="40">
        <v>18.8</v>
      </c>
      <c r="M15" s="40">
        <v>61.77</v>
      </c>
      <c r="N15" s="40">
        <v>17.3</v>
      </c>
      <c r="O15" s="40">
        <v>0</v>
      </c>
      <c r="P15" s="40">
        <v>0.84</v>
      </c>
      <c r="Q15" s="40">
        <v>28.91</v>
      </c>
      <c r="R15" s="38"/>
      <c r="S15" s="38"/>
      <c r="T15" s="38"/>
      <c r="U15" s="38"/>
    </row>
    <row r="16" spans="1:21" customFormat="1">
      <c r="A16" s="39" t="s">
        <v>260</v>
      </c>
      <c r="B16" s="40">
        <v>27.13</v>
      </c>
      <c r="C16" s="40">
        <v>23.19</v>
      </c>
      <c r="D16" s="40">
        <v>35.1</v>
      </c>
      <c r="E16" s="40">
        <v>8.31</v>
      </c>
      <c r="F16" s="40">
        <v>3.99</v>
      </c>
      <c r="G16" s="40">
        <v>113.55</v>
      </c>
      <c r="H16" s="40">
        <v>37.92</v>
      </c>
      <c r="I16" s="40">
        <v>10.46</v>
      </c>
      <c r="J16" s="40">
        <v>1.04</v>
      </c>
      <c r="K16" s="40">
        <v>58.03</v>
      </c>
      <c r="L16" s="40">
        <v>22.46</v>
      </c>
      <c r="M16" s="40">
        <v>54.12</v>
      </c>
      <c r="N16" s="40">
        <v>59.4</v>
      </c>
      <c r="O16" s="40">
        <v>0</v>
      </c>
      <c r="P16" s="40">
        <v>0.92</v>
      </c>
      <c r="Q16" s="40">
        <v>28.96</v>
      </c>
      <c r="R16" s="38"/>
      <c r="S16" s="38"/>
      <c r="T16" s="38"/>
      <c r="U16" s="38"/>
    </row>
    <row r="17" spans="1:21" customFormat="1">
      <c r="A17" s="39" t="s">
        <v>261</v>
      </c>
      <c r="B17" s="40">
        <v>24.96</v>
      </c>
      <c r="C17" s="40">
        <v>25.52</v>
      </c>
      <c r="D17" s="40">
        <v>33.74</v>
      </c>
      <c r="E17" s="40">
        <v>9.76</v>
      </c>
      <c r="F17" s="40">
        <v>4.3</v>
      </c>
      <c r="G17" s="40">
        <v>134.84</v>
      </c>
      <c r="H17" s="40">
        <v>44.59</v>
      </c>
      <c r="I17" s="40">
        <v>11.35</v>
      </c>
      <c r="J17" s="40">
        <v>1.07</v>
      </c>
      <c r="K17" s="40">
        <v>76.72</v>
      </c>
      <c r="L17" s="40">
        <v>27.34</v>
      </c>
      <c r="M17" s="40">
        <v>45.81</v>
      </c>
      <c r="N17" s="40">
        <v>224.1</v>
      </c>
      <c r="O17" s="40">
        <v>0</v>
      </c>
      <c r="P17" s="40">
        <v>0.93</v>
      </c>
      <c r="Q17" s="40">
        <v>28.88</v>
      </c>
      <c r="R17" s="38"/>
      <c r="S17" s="38"/>
      <c r="T17" s="38"/>
      <c r="U17" s="38"/>
    </row>
    <row r="18" spans="1:21" customFormat="1">
      <c r="A18" s="39" t="s">
        <v>262</v>
      </c>
      <c r="B18" s="40">
        <v>17.02</v>
      </c>
      <c r="C18" s="40">
        <v>27.74</v>
      </c>
      <c r="D18" s="40">
        <v>28.74</v>
      </c>
      <c r="E18" s="40">
        <v>10.02</v>
      </c>
      <c r="F18" s="40">
        <v>5.85</v>
      </c>
      <c r="G18" s="40">
        <v>122.13</v>
      </c>
      <c r="H18" s="40">
        <v>42.99</v>
      </c>
      <c r="I18" s="40">
        <v>11.64</v>
      </c>
      <c r="J18" s="40">
        <v>0.52</v>
      </c>
      <c r="K18" s="40">
        <v>84.22</v>
      </c>
      <c r="L18" s="40">
        <v>31.11</v>
      </c>
      <c r="M18" s="40">
        <v>28.67</v>
      </c>
      <c r="N18" s="40">
        <v>280.60000000000002</v>
      </c>
      <c r="O18" s="40">
        <v>0</v>
      </c>
      <c r="P18" s="40">
        <v>0.92</v>
      </c>
      <c r="Q18" s="40">
        <v>28.56</v>
      </c>
      <c r="R18" s="38"/>
      <c r="S18" s="38"/>
      <c r="T18" s="38"/>
      <c r="U18" s="38"/>
    </row>
    <row r="19" spans="1:21" customFormat="1">
      <c r="A19" s="39" t="s">
        <v>263</v>
      </c>
      <c r="B19" s="40">
        <v>8.08</v>
      </c>
      <c r="C19" s="40">
        <v>27.48</v>
      </c>
      <c r="D19" s="40">
        <v>22.19</v>
      </c>
      <c r="E19" s="40">
        <v>10.88</v>
      </c>
      <c r="F19" s="40">
        <v>9.16</v>
      </c>
      <c r="G19" s="40">
        <v>100.16</v>
      </c>
      <c r="H19" s="40">
        <v>40.64</v>
      </c>
      <c r="I19" s="40">
        <v>11.25</v>
      </c>
      <c r="J19" s="40">
        <v>0.81</v>
      </c>
      <c r="K19" s="40">
        <v>73.08</v>
      </c>
      <c r="L19" s="40">
        <v>33.619999999999997</v>
      </c>
      <c r="M19" s="40">
        <v>21.61</v>
      </c>
      <c r="N19" s="40">
        <v>309.60000000000002</v>
      </c>
      <c r="O19" s="40">
        <v>0</v>
      </c>
      <c r="P19" s="40">
        <v>0.91</v>
      </c>
      <c r="Q19" s="40">
        <v>28.2</v>
      </c>
      <c r="R19" s="38"/>
      <c r="S19" s="38"/>
      <c r="T19" s="38"/>
      <c r="U19" s="38"/>
    </row>
    <row r="20" spans="1:21" customFormat="1">
      <c r="A20" s="39" t="s">
        <v>264</v>
      </c>
      <c r="B20" s="40">
        <v>5.41</v>
      </c>
      <c r="C20" s="40">
        <v>25.31</v>
      </c>
      <c r="D20" s="40">
        <v>18.920000000000002</v>
      </c>
      <c r="E20" s="40">
        <v>11.73</v>
      </c>
      <c r="F20" s="40">
        <v>34.68</v>
      </c>
      <c r="G20" s="40">
        <v>86.68</v>
      </c>
      <c r="H20" s="40">
        <v>37.79</v>
      </c>
      <c r="I20" s="40">
        <v>10.77</v>
      </c>
      <c r="J20" s="40">
        <v>0.56000000000000005</v>
      </c>
      <c r="K20" s="40">
        <v>132.59</v>
      </c>
      <c r="L20" s="40">
        <v>35.11</v>
      </c>
      <c r="M20" s="40">
        <v>17.690000000000001</v>
      </c>
      <c r="N20" s="40">
        <v>321.89999999999998</v>
      </c>
      <c r="O20" s="40">
        <v>0</v>
      </c>
      <c r="P20" s="40">
        <v>0.9</v>
      </c>
      <c r="Q20" s="40">
        <v>28.07</v>
      </c>
      <c r="R20" s="38"/>
      <c r="S20" s="38"/>
      <c r="T20" s="38"/>
      <c r="U20" s="38"/>
    </row>
    <row r="21" spans="1:21" customFormat="1">
      <c r="A21" s="39" t="s">
        <v>265</v>
      </c>
      <c r="B21" s="40">
        <v>5.0999999999999996</v>
      </c>
      <c r="C21" s="40">
        <v>23.34</v>
      </c>
      <c r="D21" s="40">
        <v>17.420000000000002</v>
      </c>
      <c r="E21" s="40">
        <v>12.57</v>
      </c>
      <c r="F21" s="40">
        <v>11.73</v>
      </c>
      <c r="G21" s="40">
        <v>75.8</v>
      </c>
      <c r="H21" s="40">
        <v>36.630000000000003</v>
      </c>
      <c r="I21" s="40">
        <v>10.26</v>
      </c>
      <c r="J21" s="40">
        <v>0.9</v>
      </c>
      <c r="K21" s="40">
        <v>61.96</v>
      </c>
      <c r="L21" s="40">
        <v>35.56</v>
      </c>
      <c r="M21" s="40">
        <v>15.45</v>
      </c>
      <c r="N21" s="40">
        <v>330.1</v>
      </c>
      <c r="O21" s="40">
        <v>0</v>
      </c>
      <c r="P21" s="40">
        <v>0.87</v>
      </c>
      <c r="Q21" s="40">
        <v>28.03</v>
      </c>
      <c r="R21" s="38"/>
      <c r="S21" s="38"/>
      <c r="T21" s="38"/>
      <c r="U21" s="38"/>
    </row>
    <row r="22" spans="1:21" customFormat="1">
      <c r="A22" s="39" t="s">
        <v>266</v>
      </c>
      <c r="B22" s="40">
        <v>7.28</v>
      </c>
      <c r="C22" s="40">
        <v>17.440000000000001</v>
      </c>
      <c r="D22" s="40">
        <v>15.27</v>
      </c>
      <c r="E22" s="40">
        <v>11.52</v>
      </c>
      <c r="F22" s="40">
        <v>13.26</v>
      </c>
      <c r="G22" s="40">
        <v>70.13</v>
      </c>
      <c r="H22" s="40">
        <v>29.63</v>
      </c>
      <c r="I22" s="40">
        <v>9.5</v>
      </c>
      <c r="J22" s="40">
        <v>0.34</v>
      </c>
      <c r="K22" s="40">
        <v>212.42</v>
      </c>
      <c r="L22" s="40">
        <v>36.74</v>
      </c>
      <c r="M22" s="40">
        <v>13.86</v>
      </c>
      <c r="N22" s="40">
        <v>327.5</v>
      </c>
      <c r="O22" s="40">
        <v>0</v>
      </c>
      <c r="P22" s="40">
        <v>0.82</v>
      </c>
      <c r="Q22" s="40">
        <v>28.02</v>
      </c>
      <c r="R22" s="38"/>
      <c r="S22" s="38"/>
      <c r="T22" s="38"/>
      <c r="U22" s="38"/>
    </row>
    <row r="23" spans="1:21" customFormat="1">
      <c r="A23" s="39" t="s">
        <v>267</v>
      </c>
      <c r="B23" s="40">
        <v>8.7200000000000006</v>
      </c>
      <c r="C23" s="40">
        <v>14.82</v>
      </c>
      <c r="D23" s="40">
        <v>15.47</v>
      </c>
      <c r="E23" s="40">
        <v>11.45</v>
      </c>
      <c r="F23" s="40">
        <v>13.91</v>
      </c>
      <c r="G23" s="40">
        <v>60.59</v>
      </c>
      <c r="H23" s="40">
        <v>27.25</v>
      </c>
      <c r="I23" s="40">
        <v>8.8699999999999992</v>
      </c>
      <c r="J23" s="40">
        <v>0.96</v>
      </c>
      <c r="K23" s="40">
        <v>315.88</v>
      </c>
      <c r="L23" s="40">
        <v>36.6</v>
      </c>
      <c r="M23" s="40">
        <v>13.86</v>
      </c>
      <c r="N23" s="40">
        <v>317.10000000000002</v>
      </c>
      <c r="O23" s="40">
        <v>0</v>
      </c>
      <c r="P23" s="40">
        <v>0.66</v>
      </c>
      <c r="Q23" s="40">
        <v>28.03</v>
      </c>
      <c r="R23" s="38"/>
      <c r="S23" s="38"/>
      <c r="T23" s="38"/>
      <c r="U23" s="38"/>
    </row>
    <row r="24" spans="1:21" customFormat="1">
      <c r="A24" s="39" t="s">
        <v>268</v>
      </c>
      <c r="B24" s="40">
        <v>10.69</v>
      </c>
      <c r="C24" s="40">
        <v>17.43</v>
      </c>
      <c r="D24" s="40">
        <v>16.829999999999998</v>
      </c>
      <c r="E24" s="40">
        <v>15.54</v>
      </c>
      <c r="F24" s="40">
        <v>11.01</v>
      </c>
      <c r="G24" s="40">
        <v>48.96</v>
      </c>
      <c r="H24" s="40">
        <v>26.81</v>
      </c>
      <c r="I24" s="40">
        <v>8.15</v>
      </c>
      <c r="J24" s="40">
        <v>0.92</v>
      </c>
      <c r="K24" s="40">
        <v>321.83</v>
      </c>
      <c r="L24" s="40">
        <v>35.4</v>
      </c>
      <c r="M24" s="40">
        <v>14.48</v>
      </c>
      <c r="N24" s="40">
        <v>91.7</v>
      </c>
      <c r="O24" s="40">
        <v>0</v>
      </c>
      <c r="P24" s="40">
        <v>0.57999999999999996</v>
      </c>
      <c r="Q24" s="40">
        <v>28</v>
      </c>
      <c r="R24" s="38"/>
      <c r="S24" s="38"/>
      <c r="T24" s="38"/>
      <c r="U24" s="38"/>
    </row>
    <row r="25" spans="1:21" customFormat="1">
      <c r="A25" s="39" t="s">
        <v>269</v>
      </c>
      <c r="B25" s="40">
        <v>7.83</v>
      </c>
      <c r="C25" s="40">
        <v>23.97</v>
      </c>
      <c r="D25" s="40">
        <v>20.149999999999999</v>
      </c>
      <c r="E25" s="40">
        <v>26.6</v>
      </c>
      <c r="F25" s="40">
        <v>12.1</v>
      </c>
      <c r="G25" s="40">
        <v>50.4</v>
      </c>
      <c r="H25" s="40">
        <v>22.58</v>
      </c>
      <c r="I25" s="40">
        <v>7.34</v>
      </c>
      <c r="J25" s="40">
        <v>0.76</v>
      </c>
      <c r="K25" s="40">
        <v>346.57</v>
      </c>
      <c r="L25" s="40">
        <v>35.21</v>
      </c>
      <c r="M25" s="40">
        <v>19.16</v>
      </c>
      <c r="N25" s="40">
        <v>79</v>
      </c>
      <c r="O25" s="40">
        <v>0</v>
      </c>
      <c r="P25" s="40">
        <v>0.62</v>
      </c>
      <c r="Q25" s="40">
        <v>28</v>
      </c>
      <c r="R25" s="38"/>
      <c r="S25" s="38"/>
      <c r="T25" s="38"/>
      <c r="U25" s="38"/>
    </row>
    <row r="26" spans="1:21" customFormat="1">
      <c r="A26" s="39" t="s">
        <v>270</v>
      </c>
      <c r="B26" s="40">
        <v>6.14</v>
      </c>
      <c r="C26" s="40">
        <v>27.31</v>
      </c>
      <c r="D26" s="40">
        <v>19.68</v>
      </c>
      <c r="E26" s="40">
        <v>18.5</v>
      </c>
      <c r="F26" s="40">
        <v>8.86</v>
      </c>
      <c r="G26" s="40">
        <v>59.04</v>
      </c>
      <c r="H26" s="40">
        <v>24.88</v>
      </c>
      <c r="I26" s="40">
        <v>7.08</v>
      </c>
      <c r="J26" s="40">
        <v>0.91</v>
      </c>
      <c r="K26" s="40">
        <v>51.3</v>
      </c>
      <c r="L26" s="40">
        <v>33.479999999999997</v>
      </c>
      <c r="M26" s="40">
        <v>21.98</v>
      </c>
      <c r="N26" s="40">
        <v>26.9</v>
      </c>
      <c r="O26" s="40">
        <v>0</v>
      </c>
      <c r="P26" s="40">
        <v>0.63</v>
      </c>
      <c r="Q26" s="40">
        <v>28.01</v>
      </c>
      <c r="R26" s="38"/>
      <c r="S26" s="38"/>
      <c r="T26" s="38"/>
      <c r="U26" s="38"/>
    </row>
    <row r="27" spans="1:21" customFormat="1">
      <c r="A27" s="39" t="s">
        <v>271</v>
      </c>
      <c r="B27" s="40">
        <v>7.23</v>
      </c>
      <c r="C27" s="40">
        <v>30.97</v>
      </c>
      <c r="D27" s="40">
        <v>22.07</v>
      </c>
      <c r="E27" s="40">
        <v>10.039999999999999</v>
      </c>
      <c r="F27" s="40">
        <v>6.21</v>
      </c>
      <c r="G27" s="40">
        <v>71.489999999999995</v>
      </c>
      <c r="H27" s="40">
        <v>27.1</v>
      </c>
      <c r="I27" s="40">
        <v>7.28</v>
      </c>
      <c r="J27" s="40">
        <v>0.87</v>
      </c>
      <c r="K27" s="40">
        <v>81.63</v>
      </c>
      <c r="L27" s="40">
        <v>31.41</v>
      </c>
      <c r="M27" s="40">
        <v>30.43</v>
      </c>
      <c r="N27" s="40">
        <v>2.1</v>
      </c>
      <c r="O27" s="40">
        <v>0</v>
      </c>
      <c r="P27" s="40">
        <v>0.7</v>
      </c>
      <c r="Q27" s="40">
        <v>28.06</v>
      </c>
      <c r="R27" s="38"/>
      <c r="S27" s="38"/>
      <c r="T27" s="38"/>
      <c r="U27" s="38"/>
    </row>
    <row r="28" spans="1:21" customFormat="1">
      <c r="A28" s="39" t="s">
        <v>272</v>
      </c>
      <c r="B28" s="40">
        <v>7.07</v>
      </c>
      <c r="C28" s="40">
        <v>28.5</v>
      </c>
      <c r="D28" s="40">
        <v>21.85</v>
      </c>
      <c r="E28" s="40">
        <v>9.16</v>
      </c>
      <c r="F28" s="40">
        <v>4.75</v>
      </c>
      <c r="G28" s="40">
        <v>82.95</v>
      </c>
      <c r="H28" s="40">
        <v>28.38</v>
      </c>
      <c r="I28" s="40">
        <v>8.25</v>
      </c>
      <c r="J28" s="40">
        <v>0.38</v>
      </c>
      <c r="K28" s="40">
        <v>101.6</v>
      </c>
      <c r="L28" s="40">
        <v>29.52</v>
      </c>
      <c r="M28" s="40">
        <v>31.23</v>
      </c>
      <c r="N28" s="40">
        <v>1</v>
      </c>
      <c r="O28" s="40">
        <v>0</v>
      </c>
      <c r="P28" s="40">
        <v>0.73</v>
      </c>
      <c r="Q28" s="40">
        <v>28.06</v>
      </c>
      <c r="R28" s="38"/>
      <c r="S28" s="38"/>
      <c r="T28" s="38"/>
      <c r="U28" s="38"/>
    </row>
    <row r="29" spans="1:21" customFormat="1">
      <c r="A29" s="39" t="s">
        <v>273</v>
      </c>
      <c r="B29" s="40">
        <v>5.08</v>
      </c>
      <c r="C29" s="40">
        <v>27.27</v>
      </c>
      <c r="D29" s="40">
        <v>19.670000000000002</v>
      </c>
      <c r="E29" s="40">
        <v>11.23</v>
      </c>
      <c r="F29" s="40">
        <v>5.0199999999999996</v>
      </c>
      <c r="G29" s="40">
        <v>106.22</v>
      </c>
      <c r="H29" s="40">
        <v>33.42</v>
      </c>
      <c r="I29" s="40">
        <v>8.4499999999999993</v>
      </c>
      <c r="J29" s="40">
        <v>0.83</v>
      </c>
      <c r="K29" s="40">
        <v>91.53</v>
      </c>
      <c r="L29" s="40">
        <v>28.92</v>
      </c>
      <c r="M29" s="40">
        <v>30.23</v>
      </c>
      <c r="N29" s="40">
        <v>0.7</v>
      </c>
      <c r="O29" s="40">
        <v>0</v>
      </c>
      <c r="P29" s="40">
        <v>0.76</v>
      </c>
      <c r="Q29" s="40">
        <v>28.05</v>
      </c>
      <c r="R29" s="38"/>
      <c r="S29" s="38"/>
      <c r="T29" s="38"/>
      <c r="U29" s="38"/>
    </row>
    <row r="30" spans="1:21" customFormat="1">
      <c r="A30" s="39" t="s">
        <v>274</v>
      </c>
      <c r="B30" s="40">
        <v>5.25</v>
      </c>
      <c r="C30" s="40">
        <v>24.3</v>
      </c>
      <c r="D30" s="40">
        <v>18.010000000000002</v>
      </c>
      <c r="E30" s="40">
        <v>10.199999999999999</v>
      </c>
      <c r="F30" s="40">
        <v>4.16</v>
      </c>
      <c r="G30" s="40">
        <v>104.36</v>
      </c>
      <c r="H30" s="40">
        <v>31.93</v>
      </c>
      <c r="I30" s="40">
        <v>8.18</v>
      </c>
      <c r="J30" s="40">
        <v>0.6</v>
      </c>
      <c r="K30" s="40">
        <v>73.489999999999995</v>
      </c>
      <c r="L30" s="40">
        <v>27.74</v>
      </c>
      <c r="M30" s="40">
        <v>33.909999999999997</v>
      </c>
      <c r="N30" s="40">
        <v>1</v>
      </c>
      <c r="O30" s="40">
        <v>0</v>
      </c>
      <c r="P30" s="40">
        <v>0.77</v>
      </c>
      <c r="Q30" s="40">
        <v>28.07</v>
      </c>
      <c r="R30" s="38"/>
      <c r="S30" s="38"/>
      <c r="T30" s="38"/>
      <c r="U30" s="38"/>
    </row>
    <row r="31" spans="1:21" customFormat="1">
      <c r="A31" s="39" t="s">
        <v>275</v>
      </c>
      <c r="B31" s="40">
        <v>5.34</v>
      </c>
      <c r="C31" s="40">
        <v>22.52</v>
      </c>
      <c r="D31" s="40">
        <v>17.37</v>
      </c>
      <c r="E31" s="40">
        <v>8.66</v>
      </c>
      <c r="F31" s="40">
        <v>5.58</v>
      </c>
      <c r="G31" s="40">
        <v>97.49</v>
      </c>
      <c r="H31" s="40">
        <v>30.92</v>
      </c>
      <c r="I31" s="40">
        <v>8.15</v>
      </c>
      <c r="J31" s="40">
        <v>0.75</v>
      </c>
      <c r="K31" s="40">
        <v>94.31</v>
      </c>
      <c r="L31" s="40">
        <v>26.89</v>
      </c>
      <c r="M31" s="40">
        <v>36.11</v>
      </c>
      <c r="N31" s="40">
        <v>1</v>
      </c>
      <c r="O31" s="40">
        <v>0</v>
      </c>
      <c r="P31" s="40">
        <v>0.77</v>
      </c>
      <c r="Q31" s="40">
        <v>28.08</v>
      </c>
      <c r="R31" s="38"/>
      <c r="S31" s="38"/>
      <c r="T31" s="38"/>
      <c r="U31" s="38"/>
    </row>
    <row r="32" spans="1:21" customFormat="1">
      <c r="A32" s="39" t="s">
        <v>276</v>
      </c>
      <c r="B32" s="40">
        <v>5.7</v>
      </c>
      <c r="C32" s="40">
        <v>22.98</v>
      </c>
      <c r="D32" s="40">
        <v>17.78</v>
      </c>
      <c r="E32" s="40">
        <v>8.8800000000000008</v>
      </c>
      <c r="F32" s="40">
        <v>4.32</v>
      </c>
      <c r="G32" s="40">
        <v>92.9</v>
      </c>
      <c r="H32" s="40">
        <v>31.5</v>
      </c>
      <c r="I32" s="40">
        <v>8.11</v>
      </c>
      <c r="J32" s="40">
        <v>0.71</v>
      </c>
      <c r="K32" s="40">
        <v>118.05</v>
      </c>
      <c r="L32" s="40">
        <v>26.18</v>
      </c>
      <c r="M32" s="40">
        <v>38.81</v>
      </c>
      <c r="N32" s="40">
        <v>1</v>
      </c>
      <c r="O32" s="40">
        <v>0</v>
      </c>
      <c r="P32" s="40">
        <v>0.79</v>
      </c>
      <c r="Q32" s="40">
        <v>28.08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5.08</v>
      </c>
      <c r="C34" s="18">
        <f t="shared" si="0"/>
        <v>14.82</v>
      </c>
      <c r="D34" s="18">
        <f t="shared" si="0"/>
        <v>15.27</v>
      </c>
      <c r="E34" s="18">
        <f t="shared" si="0"/>
        <v>7.82</v>
      </c>
      <c r="F34" s="18">
        <f t="shared" si="0"/>
        <v>3.77</v>
      </c>
      <c r="G34" s="18">
        <f t="shared" si="0"/>
        <v>48.96</v>
      </c>
      <c r="H34" s="18">
        <f t="shared" si="0"/>
        <v>22.58</v>
      </c>
      <c r="I34" s="18">
        <f t="shared" si="0"/>
        <v>7.08</v>
      </c>
      <c r="J34" s="18">
        <f t="shared" si="0"/>
        <v>0.21</v>
      </c>
      <c r="K34" s="18">
        <f t="shared" si="0"/>
        <v>51.3</v>
      </c>
      <c r="L34" s="18">
        <f t="shared" si="0"/>
        <v>18.8</v>
      </c>
      <c r="M34" s="18">
        <f t="shared" si="0"/>
        <v>13.86</v>
      </c>
      <c r="N34" s="18">
        <f t="shared" si="0"/>
        <v>0.7</v>
      </c>
      <c r="O34" s="18">
        <f t="shared" si="0"/>
        <v>0</v>
      </c>
      <c r="P34" s="18">
        <f t="shared" si="0"/>
        <v>0.57999999999999996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27.13</v>
      </c>
      <c r="C35" s="3">
        <f t="shared" si="1"/>
        <v>30.97</v>
      </c>
      <c r="D35" s="3">
        <f t="shared" si="1"/>
        <v>35.1</v>
      </c>
      <c r="E35" s="3">
        <f t="shared" si="1"/>
        <v>26.6</v>
      </c>
      <c r="F35" s="3">
        <f t="shared" si="1"/>
        <v>34.68</v>
      </c>
      <c r="G35" s="3">
        <f t="shared" si="1"/>
        <v>136.26</v>
      </c>
      <c r="H35" s="3">
        <f t="shared" si="1"/>
        <v>44.59</v>
      </c>
      <c r="I35" s="3">
        <f t="shared" si="1"/>
        <v>11.64</v>
      </c>
      <c r="J35" s="3">
        <f t="shared" si="1"/>
        <v>1.07</v>
      </c>
      <c r="K35" s="3">
        <f t="shared" si="1"/>
        <v>346.57</v>
      </c>
      <c r="L35" s="3">
        <f t="shared" si="1"/>
        <v>36.74</v>
      </c>
      <c r="M35" s="3">
        <f t="shared" si="1"/>
        <v>62.63</v>
      </c>
      <c r="N35" s="3">
        <f t="shared" si="1"/>
        <v>330.1</v>
      </c>
      <c r="O35" s="3">
        <f t="shared" si="1"/>
        <v>0</v>
      </c>
      <c r="P35" s="3">
        <f t="shared" si="1"/>
        <v>0.93</v>
      </c>
      <c r="Q35" s="3">
        <f t="shared" si="1"/>
        <v>28.96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13.341666666666663</v>
      </c>
      <c r="C36" s="18">
        <f t="shared" si="2"/>
        <v>23.80791666666666</v>
      </c>
      <c r="D36" s="18">
        <f t="shared" si="2"/>
        <v>24.000416666666666</v>
      </c>
      <c r="E36" s="18">
        <f t="shared" si="2"/>
        <v>10.949999999999998</v>
      </c>
      <c r="F36" s="18">
        <f t="shared" si="2"/>
        <v>7.7366666666666672</v>
      </c>
      <c r="G36" s="18">
        <f t="shared" si="2"/>
        <v>92.820416666666674</v>
      </c>
      <c r="H36" s="18">
        <f t="shared" si="2"/>
        <v>33.089999999999996</v>
      </c>
      <c r="I36" s="18">
        <f t="shared" si="2"/>
        <v>9.0820833333333351</v>
      </c>
      <c r="J36" s="18">
        <f t="shared" si="2"/>
        <v>0.62708333333333333</v>
      </c>
      <c r="K36" s="18">
        <f t="shared" si="2"/>
        <v>147.04500000000002</v>
      </c>
      <c r="L36" s="18">
        <f t="shared" si="2"/>
        <v>28.220416666666665</v>
      </c>
      <c r="M36" s="18">
        <f t="shared" si="2"/>
        <v>36.145000000000003</v>
      </c>
      <c r="N36" s="18">
        <f t="shared" si="2"/>
        <v>99.983333333333306</v>
      </c>
      <c r="O36" s="18">
        <f t="shared" si="2"/>
        <v>0</v>
      </c>
      <c r="P36" s="18">
        <f t="shared" si="2"/>
        <v>0.79708333333333325</v>
      </c>
      <c r="Q36" s="18">
        <f t="shared" si="2"/>
        <v>28.336666666666662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8.2924893554435819</v>
      </c>
      <c r="C37" s="18">
        <f t="shared" ref="C37:Q37" si="3">STDEV(C9:C32)</f>
        <v>3.6890460404291621</v>
      </c>
      <c r="D37" s="18">
        <f t="shared" si="3"/>
        <v>6.719384339788669</v>
      </c>
      <c r="E37" s="18">
        <f t="shared" si="3"/>
        <v>4.1825964476002575</v>
      </c>
      <c r="F37" s="18">
        <f t="shared" si="3"/>
        <v>6.6845465305314908</v>
      </c>
      <c r="G37" s="18">
        <f t="shared" si="3"/>
        <v>24.33194294841509</v>
      </c>
      <c r="H37" s="18">
        <f t="shared" si="3"/>
        <v>5.545290990914121</v>
      </c>
      <c r="I37" s="18">
        <f t="shared" si="3"/>
        <v>1.2875962747175917</v>
      </c>
      <c r="J37" s="18">
        <f t="shared" si="3"/>
        <v>0.29354622133144692</v>
      </c>
      <c r="K37" s="18">
        <f t="shared" si="3"/>
        <v>86.126715645182244</v>
      </c>
      <c r="L37" s="18">
        <f t="shared" si="3"/>
        <v>6.2077843692707715</v>
      </c>
      <c r="M37" s="18">
        <f t="shared" si="3"/>
        <v>17.087038566016094</v>
      </c>
      <c r="N37" s="18">
        <f t="shared" si="3"/>
        <v>135.85533119643395</v>
      </c>
      <c r="O37" s="18">
        <f t="shared" si="3"/>
        <v>0</v>
      </c>
      <c r="P37" s="18">
        <f t="shared" si="3"/>
        <v>0.10015115387846762</v>
      </c>
      <c r="Q37" s="18">
        <f t="shared" si="3"/>
        <v>0.35465435306073373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J28" sqref="J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277</v>
      </c>
      <c r="B9" s="40">
        <v>5.93</v>
      </c>
      <c r="C9" s="40">
        <v>22.8</v>
      </c>
      <c r="D9" s="40">
        <v>18</v>
      </c>
      <c r="E9" s="40">
        <v>8.64</v>
      </c>
      <c r="F9" s="40">
        <v>4.1900000000000004</v>
      </c>
      <c r="G9" s="40">
        <v>88.68</v>
      </c>
      <c r="H9" s="40">
        <v>35.090000000000003</v>
      </c>
      <c r="I9" s="40">
        <v>8.27</v>
      </c>
      <c r="J9" s="40">
        <v>0.71</v>
      </c>
      <c r="K9" s="40">
        <v>58.25</v>
      </c>
      <c r="L9" s="40">
        <v>26.07</v>
      </c>
      <c r="M9" s="40">
        <v>40.56</v>
      </c>
      <c r="N9" s="40">
        <v>1.2</v>
      </c>
      <c r="O9" s="40">
        <v>0</v>
      </c>
      <c r="P9" s="40">
        <v>0.78</v>
      </c>
      <c r="Q9" s="40">
        <v>28.09</v>
      </c>
      <c r="R9" s="38"/>
      <c r="S9" s="38"/>
      <c r="T9" s="38"/>
      <c r="U9" s="38"/>
    </row>
    <row r="10" spans="1:21" customFormat="1">
      <c r="A10" s="39" t="s">
        <v>278</v>
      </c>
      <c r="B10" s="40">
        <v>5.99</v>
      </c>
      <c r="C10" s="40">
        <v>23.45</v>
      </c>
      <c r="D10" s="40">
        <v>18.29</v>
      </c>
      <c r="E10" s="40">
        <v>8.67</v>
      </c>
      <c r="F10" s="40">
        <v>4.16</v>
      </c>
      <c r="G10" s="40">
        <v>91.4</v>
      </c>
      <c r="H10" s="40">
        <v>37.44</v>
      </c>
      <c r="I10" s="40">
        <v>8.4600000000000009</v>
      </c>
      <c r="J10" s="40">
        <v>0.78</v>
      </c>
      <c r="K10" s="40">
        <v>54.05</v>
      </c>
      <c r="L10" s="40">
        <v>24.28</v>
      </c>
      <c r="M10" s="40">
        <v>42.3</v>
      </c>
      <c r="N10" s="40">
        <v>1.3</v>
      </c>
      <c r="O10" s="40">
        <v>0</v>
      </c>
      <c r="P10" s="40">
        <v>0.78</v>
      </c>
      <c r="Q10" s="40">
        <v>28.1</v>
      </c>
      <c r="R10" s="38"/>
      <c r="S10" s="38"/>
      <c r="T10" s="38"/>
      <c r="U10" s="38"/>
    </row>
    <row r="11" spans="1:21" customFormat="1">
      <c r="A11" s="39" t="s">
        <v>279</v>
      </c>
      <c r="B11" s="40">
        <v>5.39</v>
      </c>
      <c r="C11" s="40">
        <v>24.2</v>
      </c>
      <c r="D11" s="40">
        <v>18.27</v>
      </c>
      <c r="E11" s="40">
        <v>10.54</v>
      </c>
      <c r="F11" s="40">
        <v>4.2</v>
      </c>
      <c r="G11" s="40">
        <v>102.68</v>
      </c>
      <c r="H11" s="40">
        <v>36.06</v>
      </c>
      <c r="I11" s="40">
        <v>8.32</v>
      </c>
      <c r="J11" s="40">
        <v>0.69</v>
      </c>
      <c r="K11" s="40">
        <v>165.61</v>
      </c>
      <c r="L11" s="40">
        <v>24.26</v>
      </c>
      <c r="M11" s="40">
        <v>43.33</v>
      </c>
      <c r="N11" s="40">
        <v>1.5</v>
      </c>
      <c r="O11" s="40">
        <v>0</v>
      </c>
      <c r="P11" s="40">
        <v>0.78</v>
      </c>
      <c r="Q11" s="40">
        <v>28.08</v>
      </c>
      <c r="R11" s="38"/>
      <c r="S11" s="38"/>
      <c r="T11" s="38"/>
      <c r="U11" s="38"/>
    </row>
    <row r="12" spans="1:21" customFormat="1">
      <c r="A12" s="39" t="s">
        <v>280</v>
      </c>
      <c r="B12" s="40">
        <v>5.34</v>
      </c>
      <c r="C12" s="40">
        <v>23.66</v>
      </c>
      <c r="D12" s="40">
        <v>17.829999999999998</v>
      </c>
      <c r="E12" s="40">
        <v>10.06</v>
      </c>
      <c r="F12" s="40">
        <v>4.17</v>
      </c>
      <c r="G12" s="40">
        <v>93.67</v>
      </c>
      <c r="H12" s="40">
        <v>35.200000000000003</v>
      </c>
      <c r="I12" s="40">
        <v>8.35</v>
      </c>
      <c r="J12" s="40">
        <v>0.21</v>
      </c>
      <c r="K12" s="40">
        <v>171.71</v>
      </c>
      <c r="L12" s="40">
        <v>22.54</v>
      </c>
      <c r="M12" s="40">
        <v>48.09</v>
      </c>
      <c r="N12" s="40">
        <v>1.6</v>
      </c>
      <c r="O12" s="40">
        <v>0</v>
      </c>
      <c r="P12" s="40">
        <v>0.77</v>
      </c>
      <c r="Q12" s="40">
        <v>28.09</v>
      </c>
      <c r="R12" s="38"/>
      <c r="S12" s="38"/>
      <c r="T12" s="38"/>
      <c r="U12" s="38"/>
    </row>
    <row r="13" spans="1:21" customFormat="1">
      <c r="A13" s="39" t="s">
        <v>281</v>
      </c>
      <c r="B13" s="40">
        <v>9.8000000000000007</v>
      </c>
      <c r="C13" s="40">
        <v>23.62</v>
      </c>
      <c r="D13" s="40">
        <v>20.09</v>
      </c>
      <c r="E13" s="40">
        <v>9.7799999999999994</v>
      </c>
      <c r="F13" s="40">
        <v>4</v>
      </c>
      <c r="G13" s="40">
        <v>94.12</v>
      </c>
      <c r="H13" s="40">
        <v>34.130000000000003</v>
      </c>
      <c r="I13" s="40">
        <v>8.43</v>
      </c>
      <c r="J13" s="40">
        <v>0.47</v>
      </c>
      <c r="K13" s="40">
        <v>184.73</v>
      </c>
      <c r="L13" s="40">
        <v>21.81</v>
      </c>
      <c r="M13" s="40">
        <v>51.11</v>
      </c>
      <c r="N13" s="40">
        <v>1.1000000000000001</v>
      </c>
      <c r="O13" s="40">
        <v>0</v>
      </c>
      <c r="P13" s="40">
        <v>0.77</v>
      </c>
      <c r="Q13" s="40">
        <v>28.13</v>
      </c>
      <c r="R13" s="38"/>
      <c r="S13" s="38"/>
      <c r="T13" s="38"/>
      <c r="U13" s="38"/>
    </row>
    <row r="14" spans="1:21" customFormat="1">
      <c r="A14" s="39" t="s">
        <v>282</v>
      </c>
      <c r="B14" s="40">
        <v>10.11</v>
      </c>
      <c r="C14" s="40">
        <v>23.27</v>
      </c>
      <c r="D14" s="40">
        <v>21.2</v>
      </c>
      <c r="E14" s="40">
        <v>9.61</v>
      </c>
      <c r="F14" s="40">
        <v>4.13</v>
      </c>
      <c r="G14" s="40">
        <v>95.74</v>
      </c>
      <c r="H14" s="40">
        <v>31.97</v>
      </c>
      <c r="I14" s="40">
        <v>8.4700000000000006</v>
      </c>
      <c r="J14" s="40">
        <v>0.26</v>
      </c>
      <c r="K14" s="40">
        <v>207.38</v>
      </c>
      <c r="L14" s="40">
        <v>21.02</v>
      </c>
      <c r="M14" s="40">
        <v>57.58</v>
      </c>
      <c r="N14" s="40">
        <v>1.6</v>
      </c>
      <c r="O14" s="40">
        <v>0</v>
      </c>
      <c r="P14" s="40">
        <v>0.76</v>
      </c>
      <c r="Q14" s="40">
        <v>28.21</v>
      </c>
      <c r="R14" s="38"/>
      <c r="S14" s="38"/>
      <c r="T14" s="38"/>
      <c r="U14" s="38"/>
    </row>
    <row r="15" spans="1:21" customFormat="1">
      <c r="A15" s="39" t="s">
        <v>283</v>
      </c>
      <c r="B15" s="40">
        <v>11.68</v>
      </c>
      <c r="C15" s="40">
        <v>24.61</v>
      </c>
      <c r="D15" s="40">
        <v>23.56</v>
      </c>
      <c r="E15" s="40">
        <v>9.67</v>
      </c>
      <c r="F15" s="40">
        <v>4.16</v>
      </c>
      <c r="G15" s="40">
        <v>96.05</v>
      </c>
      <c r="H15" s="40">
        <v>32.770000000000003</v>
      </c>
      <c r="I15" s="40">
        <v>8.7899999999999991</v>
      </c>
      <c r="J15" s="40">
        <v>0.55000000000000004</v>
      </c>
      <c r="K15" s="40">
        <v>57.77</v>
      </c>
      <c r="L15" s="40">
        <v>21.44</v>
      </c>
      <c r="M15" s="40">
        <v>48.56</v>
      </c>
      <c r="N15" s="40">
        <v>17.2</v>
      </c>
      <c r="O15" s="40">
        <v>0</v>
      </c>
      <c r="P15" s="40">
        <v>0.78</v>
      </c>
      <c r="Q15" s="40">
        <v>28.33</v>
      </c>
      <c r="R15" s="38"/>
      <c r="S15" s="38"/>
      <c r="T15" s="38"/>
      <c r="U15" s="38"/>
    </row>
    <row r="16" spans="1:21" customFormat="1">
      <c r="A16" s="39" t="s">
        <v>284</v>
      </c>
      <c r="B16" s="40">
        <v>13.31</v>
      </c>
      <c r="C16" s="40">
        <v>24.24</v>
      </c>
      <c r="D16" s="40">
        <v>24.27</v>
      </c>
      <c r="E16" s="40">
        <v>9.83</v>
      </c>
      <c r="F16" s="40">
        <v>4.18</v>
      </c>
      <c r="G16" s="40">
        <v>100.93</v>
      </c>
      <c r="H16" s="40">
        <v>35.25</v>
      </c>
      <c r="I16" s="40">
        <v>9.34</v>
      </c>
      <c r="J16" s="40">
        <v>0.97</v>
      </c>
      <c r="K16" s="40">
        <v>57.19</v>
      </c>
      <c r="L16" s="40">
        <v>23.31</v>
      </c>
      <c r="M16" s="40">
        <v>44.94</v>
      </c>
      <c r="N16" s="40">
        <v>51.7</v>
      </c>
      <c r="O16" s="40">
        <v>0</v>
      </c>
      <c r="P16" s="40">
        <v>0.82</v>
      </c>
      <c r="Q16" s="40">
        <v>28.4</v>
      </c>
      <c r="R16" s="38"/>
      <c r="S16" s="38"/>
      <c r="T16" s="38"/>
      <c r="U16" s="38"/>
    </row>
    <row r="17" spans="1:21" customFormat="1">
      <c r="A17" s="39" t="s">
        <v>285</v>
      </c>
      <c r="B17" s="40">
        <v>14.57</v>
      </c>
      <c r="C17" s="40">
        <v>23.71</v>
      </c>
      <c r="D17" s="40">
        <v>25.15</v>
      </c>
      <c r="E17" s="40">
        <v>10.58</v>
      </c>
      <c r="F17" s="40">
        <v>4.4800000000000004</v>
      </c>
      <c r="G17" s="40">
        <v>105.82</v>
      </c>
      <c r="H17" s="40">
        <v>40.369999999999997</v>
      </c>
      <c r="I17" s="40">
        <v>9.85</v>
      </c>
      <c r="J17" s="40">
        <v>1.66</v>
      </c>
      <c r="K17" s="40">
        <v>56.07</v>
      </c>
      <c r="L17" s="40">
        <v>26.3</v>
      </c>
      <c r="M17" s="40">
        <v>37.049999999999997</v>
      </c>
      <c r="N17" s="40">
        <v>193.9</v>
      </c>
      <c r="O17" s="40">
        <v>0</v>
      </c>
      <c r="P17" s="40">
        <v>0.82</v>
      </c>
      <c r="Q17" s="40">
        <v>28.41</v>
      </c>
      <c r="R17" s="38"/>
      <c r="S17" s="38"/>
      <c r="T17" s="38"/>
      <c r="U17" s="38"/>
    </row>
    <row r="18" spans="1:21" customFormat="1">
      <c r="A18" s="39" t="s">
        <v>286</v>
      </c>
      <c r="B18" s="40">
        <v>13.55</v>
      </c>
      <c r="C18" s="40">
        <v>23.84</v>
      </c>
      <c r="D18" s="40">
        <v>24.11</v>
      </c>
      <c r="E18" s="40">
        <v>17.14</v>
      </c>
      <c r="F18" s="40">
        <v>6.03</v>
      </c>
      <c r="G18" s="40">
        <v>111.1</v>
      </c>
      <c r="H18" s="40">
        <v>35.74</v>
      </c>
      <c r="I18" s="40">
        <v>10.09</v>
      </c>
      <c r="J18" s="40">
        <v>1.02</v>
      </c>
      <c r="K18" s="40">
        <v>68.05</v>
      </c>
      <c r="L18" s="40">
        <v>29.38</v>
      </c>
      <c r="M18" s="40">
        <v>36.270000000000003</v>
      </c>
      <c r="N18" s="40">
        <v>252.1</v>
      </c>
      <c r="O18" s="40">
        <v>0</v>
      </c>
      <c r="P18" s="40">
        <v>0.83</v>
      </c>
      <c r="Q18" s="40">
        <v>28.42</v>
      </c>
      <c r="R18" s="38"/>
      <c r="S18" s="38"/>
      <c r="T18" s="38"/>
      <c r="U18" s="38"/>
    </row>
    <row r="19" spans="1:21" customFormat="1">
      <c r="A19" s="39" t="s">
        <v>287</v>
      </c>
      <c r="B19" s="40">
        <v>11.57</v>
      </c>
      <c r="C19" s="40">
        <v>26.97</v>
      </c>
      <c r="D19" s="40">
        <v>23.75</v>
      </c>
      <c r="E19" s="40">
        <v>19.43</v>
      </c>
      <c r="F19" s="40">
        <v>7.38</v>
      </c>
      <c r="G19" s="40">
        <v>106.59</v>
      </c>
      <c r="H19" s="40">
        <v>36.61</v>
      </c>
      <c r="I19" s="40">
        <v>10.08</v>
      </c>
      <c r="J19" s="40">
        <v>0.83</v>
      </c>
      <c r="K19" s="40">
        <v>63.5</v>
      </c>
      <c r="L19" s="40">
        <v>32.409999999999997</v>
      </c>
      <c r="M19" s="40">
        <v>33.83</v>
      </c>
      <c r="N19" s="40">
        <v>287</v>
      </c>
      <c r="O19" s="40">
        <v>0</v>
      </c>
      <c r="P19" s="40">
        <v>0.85</v>
      </c>
      <c r="Q19" s="40">
        <v>28.32</v>
      </c>
      <c r="R19" s="38"/>
      <c r="S19" s="38"/>
      <c r="T19" s="38"/>
      <c r="U19" s="38"/>
    </row>
    <row r="20" spans="1:21" customFormat="1">
      <c r="A20" s="39" t="s">
        <v>288</v>
      </c>
      <c r="B20" s="40">
        <v>3.94</v>
      </c>
      <c r="C20" s="40">
        <v>22.12</v>
      </c>
      <c r="D20" s="40">
        <v>15.78</v>
      </c>
      <c r="E20" s="40">
        <v>16.48</v>
      </c>
      <c r="F20" s="40">
        <v>10.62</v>
      </c>
      <c r="G20" s="40">
        <v>101.36</v>
      </c>
      <c r="H20" s="40">
        <v>36.29</v>
      </c>
      <c r="I20" s="40">
        <v>9.36</v>
      </c>
      <c r="J20" s="40">
        <v>0.85</v>
      </c>
      <c r="K20" s="40">
        <v>139.88</v>
      </c>
      <c r="L20" s="40">
        <v>33.659999999999997</v>
      </c>
      <c r="M20" s="40">
        <v>31.64</v>
      </c>
      <c r="N20" s="40">
        <v>291.8</v>
      </c>
      <c r="O20" s="40">
        <v>0</v>
      </c>
      <c r="P20" s="40">
        <v>0.68</v>
      </c>
      <c r="Q20" s="40">
        <v>28.05</v>
      </c>
      <c r="R20" s="38"/>
      <c r="S20" s="38"/>
      <c r="T20" s="38"/>
      <c r="U20" s="38"/>
    </row>
    <row r="21" spans="1:21" customFormat="1">
      <c r="A21" s="39" t="s">
        <v>289</v>
      </c>
      <c r="B21" s="40">
        <v>3.67</v>
      </c>
      <c r="C21" s="40">
        <v>18.48</v>
      </c>
      <c r="D21" s="40">
        <v>13.91</v>
      </c>
      <c r="E21" s="40">
        <v>16.02</v>
      </c>
      <c r="F21" s="40">
        <v>10.67</v>
      </c>
      <c r="G21" s="40">
        <v>95.17</v>
      </c>
      <c r="H21" s="40">
        <v>35.340000000000003</v>
      </c>
      <c r="I21" s="40">
        <v>7.77</v>
      </c>
      <c r="J21" s="40">
        <v>0.89</v>
      </c>
      <c r="K21" s="40">
        <v>329.91</v>
      </c>
      <c r="L21" s="40">
        <v>34.799999999999997</v>
      </c>
      <c r="M21" s="40">
        <v>30.52</v>
      </c>
      <c r="N21" s="40">
        <v>314.2</v>
      </c>
      <c r="O21" s="40">
        <v>0</v>
      </c>
      <c r="P21" s="40">
        <v>0.6</v>
      </c>
      <c r="Q21" s="40">
        <v>28.02</v>
      </c>
      <c r="R21" s="38"/>
      <c r="S21" s="38"/>
      <c r="T21" s="38"/>
      <c r="U21" s="38"/>
    </row>
    <row r="22" spans="1:21" customFormat="1">
      <c r="A22" s="39" t="s">
        <v>290</v>
      </c>
      <c r="B22" s="40">
        <v>6.47</v>
      </c>
      <c r="C22" s="40">
        <v>18.41</v>
      </c>
      <c r="D22" s="40">
        <v>15.62</v>
      </c>
      <c r="E22" s="40">
        <v>15.53</v>
      </c>
      <c r="F22" s="40">
        <v>13.22</v>
      </c>
      <c r="G22" s="40">
        <v>83.85</v>
      </c>
      <c r="H22" s="40">
        <v>33.880000000000003</v>
      </c>
      <c r="I22" s="40">
        <v>7.2</v>
      </c>
      <c r="J22" s="40">
        <v>0.9</v>
      </c>
      <c r="K22" s="40">
        <v>171.93</v>
      </c>
      <c r="L22" s="40">
        <v>36.19</v>
      </c>
      <c r="M22" s="40">
        <v>24.48</v>
      </c>
      <c r="N22" s="40">
        <v>308.7</v>
      </c>
      <c r="O22" s="40">
        <v>0</v>
      </c>
      <c r="P22" s="40">
        <v>0.69</v>
      </c>
      <c r="Q22" s="40">
        <v>28</v>
      </c>
      <c r="R22" s="38"/>
      <c r="S22" s="38"/>
      <c r="T22" s="38"/>
      <c r="U22" s="38"/>
    </row>
    <row r="23" spans="1:21" customFormat="1">
      <c r="A23" s="39" t="s">
        <v>291</v>
      </c>
      <c r="B23" s="40">
        <v>18.53</v>
      </c>
      <c r="C23" s="40">
        <v>35.950000000000003</v>
      </c>
      <c r="D23" s="40">
        <v>34.950000000000003</v>
      </c>
      <c r="E23" s="40">
        <v>38.950000000000003</v>
      </c>
      <c r="F23" s="40">
        <v>11.57</v>
      </c>
      <c r="G23" s="40">
        <v>76.599999999999994</v>
      </c>
      <c r="H23" s="40">
        <v>28.7</v>
      </c>
      <c r="I23" s="40">
        <v>21.97</v>
      </c>
      <c r="J23" s="40">
        <v>0.39</v>
      </c>
      <c r="K23" s="40">
        <v>350.07</v>
      </c>
      <c r="L23" s="40">
        <v>36.799999999999997</v>
      </c>
      <c r="M23" s="40">
        <v>22.11</v>
      </c>
      <c r="N23" s="40">
        <v>283.39999999999998</v>
      </c>
      <c r="O23" s="40">
        <v>0</v>
      </c>
      <c r="P23" s="40">
        <v>1.79</v>
      </c>
      <c r="Q23" s="40">
        <v>28.13</v>
      </c>
      <c r="R23" s="38"/>
      <c r="S23" s="38"/>
      <c r="T23" s="38"/>
      <c r="U23" s="38"/>
    </row>
    <row r="24" spans="1:21" customFormat="1">
      <c r="A24" s="39" t="s">
        <v>292</v>
      </c>
      <c r="B24" s="40">
        <v>4.0999999999999996</v>
      </c>
      <c r="C24" s="40">
        <v>32.520000000000003</v>
      </c>
      <c r="D24" s="40">
        <v>21.49</v>
      </c>
      <c r="E24" s="40">
        <v>21.37</v>
      </c>
      <c r="F24" s="40">
        <v>17.329999999999998</v>
      </c>
      <c r="G24" s="40">
        <v>170.06</v>
      </c>
      <c r="H24" s="40">
        <v>51.79</v>
      </c>
      <c r="I24" s="40">
        <v>21.1</v>
      </c>
      <c r="J24" s="40">
        <v>1.22</v>
      </c>
      <c r="K24" s="40">
        <v>45.35</v>
      </c>
      <c r="L24" s="40">
        <v>35.65</v>
      </c>
      <c r="M24" s="40">
        <v>21.4</v>
      </c>
      <c r="N24" s="40">
        <v>105.7</v>
      </c>
      <c r="O24" s="40">
        <v>0</v>
      </c>
      <c r="P24" s="40">
        <v>1.54</v>
      </c>
      <c r="Q24" s="40">
        <v>28.07</v>
      </c>
      <c r="R24" s="38"/>
      <c r="S24" s="38"/>
      <c r="T24" s="38"/>
      <c r="U24" s="38"/>
    </row>
    <row r="25" spans="1:21" customFormat="1">
      <c r="A25" s="39" t="s">
        <v>293</v>
      </c>
      <c r="B25" s="40">
        <v>5.49</v>
      </c>
      <c r="C25" s="40">
        <v>29.45</v>
      </c>
      <c r="D25" s="40">
        <v>21</v>
      </c>
      <c r="E25" s="40">
        <v>25.71</v>
      </c>
      <c r="F25" s="40">
        <v>20.75</v>
      </c>
      <c r="G25" s="40">
        <v>68.319999999999993</v>
      </c>
      <c r="H25" s="40">
        <v>39.6</v>
      </c>
      <c r="I25" s="40">
        <v>17.3</v>
      </c>
      <c r="J25" s="40">
        <v>1.37</v>
      </c>
      <c r="K25" s="40">
        <v>49.33</v>
      </c>
      <c r="L25" s="40">
        <v>34.68</v>
      </c>
      <c r="M25" s="40">
        <v>22.13</v>
      </c>
      <c r="N25" s="40">
        <v>62.5</v>
      </c>
      <c r="O25" s="40">
        <v>0</v>
      </c>
      <c r="P25" s="40">
        <v>1.31</v>
      </c>
      <c r="Q25" s="40">
        <v>28.05</v>
      </c>
      <c r="R25" s="38"/>
      <c r="S25" s="38"/>
      <c r="T25" s="38"/>
      <c r="U25" s="38"/>
    </row>
    <row r="26" spans="1:21" customFormat="1">
      <c r="A26" s="39" t="s">
        <v>294</v>
      </c>
      <c r="B26" s="40">
        <v>7.21</v>
      </c>
      <c r="C26" s="40">
        <v>35.36</v>
      </c>
      <c r="D26" s="40">
        <v>25.61</v>
      </c>
      <c r="E26" s="40">
        <v>24.35</v>
      </c>
      <c r="F26" s="40">
        <v>15.69</v>
      </c>
      <c r="G26" s="40">
        <v>88.37</v>
      </c>
      <c r="H26" s="40">
        <v>36.61</v>
      </c>
      <c r="I26" s="40">
        <v>11.9</v>
      </c>
      <c r="J26" s="40">
        <v>0.77</v>
      </c>
      <c r="K26" s="40">
        <v>61.19</v>
      </c>
      <c r="L26" s="40">
        <v>33.67</v>
      </c>
      <c r="M26" s="40">
        <v>21.89</v>
      </c>
      <c r="N26" s="40">
        <v>27.3</v>
      </c>
      <c r="O26" s="40">
        <v>0</v>
      </c>
      <c r="P26" s="40">
        <v>1.22</v>
      </c>
      <c r="Q26" s="40">
        <v>28.08</v>
      </c>
      <c r="R26" s="38"/>
      <c r="S26" s="38"/>
      <c r="T26" s="38"/>
      <c r="U26" s="38"/>
    </row>
    <row r="27" spans="1:21" customFormat="1">
      <c r="A27" s="39" t="s">
        <v>295</v>
      </c>
      <c r="B27" s="40">
        <v>5.94</v>
      </c>
      <c r="C27" s="40">
        <v>32.65</v>
      </c>
      <c r="D27" s="40">
        <v>23.06</v>
      </c>
      <c r="E27" s="40">
        <v>11.69</v>
      </c>
      <c r="F27" s="40">
        <v>9.33</v>
      </c>
      <c r="G27" s="40">
        <v>88.97</v>
      </c>
      <c r="H27" s="40">
        <v>33.299999999999997</v>
      </c>
      <c r="I27" s="40">
        <v>14.01</v>
      </c>
      <c r="J27" s="40">
        <v>0.27</v>
      </c>
      <c r="K27" s="40">
        <v>171.67</v>
      </c>
      <c r="L27" s="40">
        <v>30.67</v>
      </c>
      <c r="M27" s="40">
        <v>34.68</v>
      </c>
      <c r="N27" s="40">
        <v>3.1</v>
      </c>
      <c r="O27" s="40">
        <v>0</v>
      </c>
      <c r="P27" s="40">
        <v>1.21</v>
      </c>
      <c r="Q27" s="40">
        <v>28.11</v>
      </c>
      <c r="R27" s="38"/>
      <c r="S27" s="38"/>
      <c r="T27" s="38"/>
      <c r="U27" s="38"/>
    </row>
    <row r="28" spans="1:21" customFormat="1">
      <c r="A28" s="39" t="s">
        <v>296</v>
      </c>
      <c r="B28" s="40">
        <v>9.81</v>
      </c>
      <c r="C28" s="40">
        <v>32.33</v>
      </c>
      <c r="D28" s="40">
        <v>25.17</v>
      </c>
      <c r="E28" s="40">
        <v>10.16</v>
      </c>
      <c r="F28" s="40">
        <v>5.84</v>
      </c>
      <c r="G28" s="40">
        <v>160.93</v>
      </c>
      <c r="H28" s="40">
        <v>37.840000000000003</v>
      </c>
      <c r="I28" s="40">
        <v>14.49</v>
      </c>
      <c r="J28" s="40">
        <v>0.24</v>
      </c>
      <c r="K28" s="40">
        <v>190.47</v>
      </c>
      <c r="L28" s="40">
        <v>27.54</v>
      </c>
      <c r="M28" s="40">
        <v>41.23</v>
      </c>
      <c r="N28" s="40">
        <v>1</v>
      </c>
      <c r="O28" s="40">
        <v>0</v>
      </c>
      <c r="P28" s="40">
        <v>1.27</v>
      </c>
      <c r="Q28" s="40">
        <v>28.22</v>
      </c>
      <c r="R28" s="38"/>
      <c r="S28" s="38"/>
      <c r="T28" s="38"/>
      <c r="U28" s="38"/>
    </row>
    <row r="29" spans="1:21" customFormat="1">
      <c r="A29" s="39" t="s">
        <v>297</v>
      </c>
      <c r="B29" s="40">
        <v>15.59</v>
      </c>
      <c r="C29" s="40">
        <v>29.04</v>
      </c>
      <c r="D29" s="40">
        <v>28.51</v>
      </c>
      <c r="E29" s="40">
        <v>9.4</v>
      </c>
      <c r="F29" s="40">
        <v>4.59</v>
      </c>
      <c r="G29" s="40">
        <v>138.44</v>
      </c>
      <c r="H29" s="40">
        <v>43.15</v>
      </c>
      <c r="I29" s="40">
        <v>15.01</v>
      </c>
      <c r="J29" s="40">
        <v>0.28999999999999998</v>
      </c>
      <c r="K29" s="40">
        <v>206.02</v>
      </c>
      <c r="L29" s="40">
        <v>25.72</v>
      </c>
      <c r="M29" s="40">
        <v>45.37</v>
      </c>
      <c r="N29" s="40">
        <v>1</v>
      </c>
      <c r="O29" s="40">
        <v>0</v>
      </c>
      <c r="P29" s="40">
        <v>1.33</v>
      </c>
      <c r="Q29" s="40">
        <v>28.43</v>
      </c>
      <c r="R29" s="38"/>
      <c r="S29" s="38"/>
      <c r="T29" s="38"/>
      <c r="U29" s="38"/>
    </row>
    <row r="30" spans="1:21" customFormat="1">
      <c r="A30" s="39" t="s">
        <v>298</v>
      </c>
      <c r="B30" s="40">
        <v>24.43</v>
      </c>
      <c r="C30" s="40">
        <v>30.49</v>
      </c>
      <c r="D30" s="40">
        <v>36.869999999999997</v>
      </c>
      <c r="E30" s="40">
        <v>9.4</v>
      </c>
      <c r="F30" s="40">
        <v>4</v>
      </c>
      <c r="G30" s="40">
        <v>151.87</v>
      </c>
      <c r="H30" s="40">
        <v>45.94</v>
      </c>
      <c r="I30" s="40">
        <v>15.8</v>
      </c>
      <c r="J30" s="40">
        <v>0.31</v>
      </c>
      <c r="K30" s="40">
        <v>212.69</v>
      </c>
      <c r="L30" s="40">
        <v>24.92</v>
      </c>
      <c r="M30" s="40">
        <v>49.71</v>
      </c>
      <c r="N30" s="40">
        <v>0.7</v>
      </c>
      <c r="O30" s="40">
        <v>0</v>
      </c>
      <c r="P30" s="40">
        <v>1.41</v>
      </c>
      <c r="Q30" s="40">
        <v>28.76</v>
      </c>
      <c r="R30" s="38"/>
      <c r="S30" s="38"/>
      <c r="T30" s="38"/>
      <c r="U30" s="38"/>
    </row>
    <row r="31" spans="1:21" customFormat="1">
      <c r="A31" s="39" t="s">
        <v>299</v>
      </c>
      <c r="B31" s="40">
        <v>26.09</v>
      </c>
      <c r="C31" s="40">
        <v>30.81</v>
      </c>
      <c r="D31" s="40">
        <v>38.200000000000003</v>
      </c>
      <c r="E31" s="40">
        <v>9.27</v>
      </c>
      <c r="F31" s="40">
        <v>4.04</v>
      </c>
      <c r="G31" s="40">
        <v>144.65</v>
      </c>
      <c r="H31" s="40">
        <v>44.55</v>
      </c>
      <c r="I31" s="40">
        <v>16.670000000000002</v>
      </c>
      <c r="J31" s="40">
        <v>0.8</v>
      </c>
      <c r="K31" s="40">
        <v>174.1</v>
      </c>
      <c r="L31" s="40">
        <v>25.79</v>
      </c>
      <c r="M31" s="40">
        <v>52.61</v>
      </c>
      <c r="N31" s="40">
        <v>1.1000000000000001</v>
      </c>
      <c r="O31" s="40">
        <v>0</v>
      </c>
      <c r="P31" s="40">
        <v>1.45</v>
      </c>
      <c r="Q31" s="40">
        <v>28.87</v>
      </c>
      <c r="R31" s="38"/>
      <c r="S31" s="38"/>
      <c r="T31" s="38"/>
      <c r="U31" s="38"/>
    </row>
    <row r="32" spans="1:21" customFormat="1">
      <c r="A32" s="39" t="s">
        <v>300</v>
      </c>
      <c r="B32" s="40">
        <v>24.98</v>
      </c>
      <c r="C32" s="40">
        <v>31.37</v>
      </c>
      <c r="D32" s="40">
        <v>37.78</v>
      </c>
      <c r="E32" s="40">
        <v>9.7200000000000006</v>
      </c>
      <c r="F32" s="40">
        <v>4.24</v>
      </c>
      <c r="G32" s="40">
        <v>146.85</v>
      </c>
      <c r="H32" s="40">
        <v>46.09</v>
      </c>
      <c r="I32" s="40">
        <v>17.87</v>
      </c>
      <c r="J32" s="40">
        <v>0.26</v>
      </c>
      <c r="K32" s="40">
        <v>225.23</v>
      </c>
      <c r="L32" s="40">
        <v>25.41</v>
      </c>
      <c r="M32" s="40">
        <v>50.73</v>
      </c>
      <c r="N32" s="40">
        <v>1.6</v>
      </c>
      <c r="O32" s="40">
        <v>0</v>
      </c>
      <c r="P32" s="40">
        <v>1.42</v>
      </c>
      <c r="Q32" s="40">
        <v>28.85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3.67</v>
      </c>
      <c r="C34" s="18">
        <f t="shared" si="0"/>
        <v>18.41</v>
      </c>
      <c r="D34" s="18">
        <f t="shared" si="0"/>
        <v>13.91</v>
      </c>
      <c r="E34" s="18">
        <f t="shared" si="0"/>
        <v>8.64</v>
      </c>
      <c r="F34" s="18">
        <f t="shared" si="0"/>
        <v>4</v>
      </c>
      <c r="G34" s="18">
        <f t="shared" si="0"/>
        <v>68.319999999999993</v>
      </c>
      <c r="H34" s="18">
        <f t="shared" si="0"/>
        <v>28.7</v>
      </c>
      <c r="I34" s="18">
        <f t="shared" si="0"/>
        <v>7.2</v>
      </c>
      <c r="J34" s="18">
        <f t="shared" si="0"/>
        <v>0.21</v>
      </c>
      <c r="K34" s="18">
        <f t="shared" si="0"/>
        <v>45.35</v>
      </c>
      <c r="L34" s="18">
        <f t="shared" si="0"/>
        <v>21.02</v>
      </c>
      <c r="M34" s="18">
        <f t="shared" si="0"/>
        <v>21.4</v>
      </c>
      <c r="N34" s="18">
        <f t="shared" si="0"/>
        <v>0.7</v>
      </c>
      <c r="O34" s="18">
        <f t="shared" si="0"/>
        <v>0</v>
      </c>
      <c r="P34" s="18">
        <f t="shared" si="0"/>
        <v>0.6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26.09</v>
      </c>
      <c r="C35" s="3">
        <f t="shared" si="1"/>
        <v>35.950000000000003</v>
      </c>
      <c r="D35" s="3">
        <f t="shared" si="1"/>
        <v>38.200000000000003</v>
      </c>
      <c r="E35" s="3">
        <f t="shared" si="1"/>
        <v>38.950000000000003</v>
      </c>
      <c r="F35" s="3">
        <f t="shared" si="1"/>
        <v>20.75</v>
      </c>
      <c r="G35" s="3">
        <f t="shared" si="1"/>
        <v>170.06</v>
      </c>
      <c r="H35" s="3">
        <f t="shared" si="1"/>
        <v>51.79</v>
      </c>
      <c r="I35" s="3">
        <f t="shared" si="1"/>
        <v>21.97</v>
      </c>
      <c r="J35" s="3">
        <f t="shared" si="1"/>
        <v>1.66</v>
      </c>
      <c r="K35" s="3">
        <f t="shared" si="1"/>
        <v>350.07</v>
      </c>
      <c r="L35" s="3">
        <f t="shared" si="1"/>
        <v>36.799999999999997</v>
      </c>
      <c r="M35" s="3">
        <f t="shared" si="1"/>
        <v>57.58</v>
      </c>
      <c r="N35" s="3">
        <f t="shared" si="1"/>
        <v>314.2</v>
      </c>
      <c r="O35" s="3">
        <f t="shared" si="1"/>
        <v>0</v>
      </c>
      <c r="P35" s="3">
        <f t="shared" si="1"/>
        <v>1.79</v>
      </c>
      <c r="Q35" s="3">
        <f t="shared" si="1"/>
        <v>28.87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10.978750000000003</v>
      </c>
      <c r="C36" s="18">
        <f t="shared" si="2"/>
        <v>26.806249999999995</v>
      </c>
      <c r="D36" s="18">
        <f t="shared" si="2"/>
        <v>23.852916666666669</v>
      </c>
      <c r="E36" s="18">
        <f t="shared" si="2"/>
        <v>14.25</v>
      </c>
      <c r="F36" s="18">
        <f t="shared" si="2"/>
        <v>7.6237500000000011</v>
      </c>
      <c r="G36" s="18">
        <f t="shared" si="2"/>
        <v>108.42583333333333</v>
      </c>
      <c r="H36" s="18">
        <f t="shared" si="2"/>
        <v>37.654583333333342</v>
      </c>
      <c r="I36" s="18">
        <f t="shared" si="2"/>
        <v>12.037500000000001</v>
      </c>
      <c r="J36" s="18">
        <f t="shared" si="2"/>
        <v>0.69625000000000004</v>
      </c>
      <c r="K36" s="18">
        <f t="shared" si="2"/>
        <v>144.67291666666668</v>
      </c>
      <c r="L36" s="18">
        <f t="shared" si="2"/>
        <v>28.263333333333325</v>
      </c>
      <c r="M36" s="18">
        <f t="shared" si="2"/>
        <v>38.838333333333331</v>
      </c>
      <c r="N36" s="18">
        <f t="shared" si="2"/>
        <v>92.17916666666666</v>
      </c>
      <c r="O36" s="18">
        <f t="shared" si="2"/>
        <v>0</v>
      </c>
      <c r="P36" s="18">
        <f t="shared" si="2"/>
        <v>1.0275000000000001</v>
      </c>
      <c r="Q36" s="18">
        <f t="shared" si="2"/>
        <v>28.259166666666669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6.8099494427670626</v>
      </c>
      <c r="C37" s="18">
        <f t="shared" ref="C37:Q37" si="3">STDEV(C9:C32)</f>
        <v>4.9989510312708303</v>
      </c>
      <c r="D37" s="18">
        <f t="shared" si="3"/>
        <v>6.9811295206476416</v>
      </c>
      <c r="E37" s="18">
        <f t="shared" si="3"/>
        <v>7.3547488356015664</v>
      </c>
      <c r="F37" s="18">
        <f t="shared" si="3"/>
        <v>4.9280014579507982</v>
      </c>
      <c r="G37" s="18">
        <f t="shared" si="3"/>
        <v>27.887060099883104</v>
      </c>
      <c r="H37" s="18">
        <f t="shared" si="3"/>
        <v>5.2939021353666842</v>
      </c>
      <c r="I37" s="18">
        <f t="shared" si="3"/>
        <v>4.452833245591334</v>
      </c>
      <c r="J37" s="18">
        <f t="shared" si="3"/>
        <v>0.38832765748169101</v>
      </c>
      <c r="K37" s="18">
        <f t="shared" si="3"/>
        <v>88.383129979856619</v>
      </c>
      <c r="L37" s="18">
        <f t="shared" si="3"/>
        <v>5.224149330932689</v>
      </c>
      <c r="M37" s="18">
        <f t="shared" si="3"/>
        <v>10.99730428101701</v>
      </c>
      <c r="N37" s="18">
        <f t="shared" si="3"/>
        <v>124.74201544253913</v>
      </c>
      <c r="O37" s="18">
        <f t="shared" si="3"/>
        <v>0</v>
      </c>
      <c r="P37" s="18">
        <f t="shared" si="3"/>
        <v>0.33922225624276808</v>
      </c>
      <c r="Q37" s="18">
        <f t="shared" si="3"/>
        <v>0.25820309947735015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J26" sqref="J2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301</v>
      </c>
      <c r="B9" s="40">
        <v>20.43</v>
      </c>
      <c r="C9" s="40">
        <v>30.48</v>
      </c>
      <c r="D9" s="40">
        <v>33.659999999999997</v>
      </c>
      <c r="E9" s="40">
        <v>9.0399999999999991</v>
      </c>
      <c r="F9" s="40">
        <v>4.4800000000000004</v>
      </c>
      <c r="G9" s="40">
        <v>127.06</v>
      </c>
      <c r="H9" s="40">
        <v>47.79</v>
      </c>
      <c r="I9" s="40">
        <v>17.71</v>
      </c>
      <c r="J9" s="40">
        <v>0.24</v>
      </c>
      <c r="K9" s="40">
        <v>170.18</v>
      </c>
      <c r="L9" s="40">
        <v>22.61</v>
      </c>
      <c r="M9" s="40">
        <v>54.03</v>
      </c>
      <c r="N9" s="40">
        <v>1</v>
      </c>
      <c r="O9" s="40">
        <v>0</v>
      </c>
      <c r="P9" s="40">
        <v>1.35</v>
      </c>
      <c r="Q9" s="40">
        <v>28.69</v>
      </c>
      <c r="R9" s="38"/>
      <c r="S9" s="38"/>
      <c r="T9" s="38"/>
      <c r="U9" s="38"/>
    </row>
    <row r="10" spans="1:21" customFormat="1">
      <c r="A10" s="39" t="s">
        <v>302</v>
      </c>
      <c r="B10" s="40">
        <v>17.079999999999998</v>
      </c>
      <c r="C10" s="40">
        <v>28.42</v>
      </c>
      <c r="D10" s="40">
        <v>29.9</v>
      </c>
      <c r="E10" s="40">
        <v>8.83</v>
      </c>
      <c r="F10" s="40">
        <v>4.29</v>
      </c>
      <c r="G10" s="40">
        <v>127.36</v>
      </c>
      <c r="H10" s="40">
        <v>48.18</v>
      </c>
      <c r="I10" s="40">
        <v>17.04</v>
      </c>
      <c r="J10" s="40">
        <v>0.26</v>
      </c>
      <c r="K10" s="40">
        <v>173.39</v>
      </c>
      <c r="L10" s="40">
        <v>22.78</v>
      </c>
      <c r="M10" s="40">
        <v>52.11</v>
      </c>
      <c r="N10" s="40">
        <v>1</v>
      </c>
      <c r="O10" s="40">
        <v>0</v>
      </c>
      <c r="P10" s="40">
        <v>1.26</v>
      </c>
      <c r="Q10" s="40">
        <v>28.56</v>
      </c>
      <c r="R10" s="38"/>
      <c r="S10" s="38"/>
      <c r="T10" s="38"/>
      <c r="U10" s="38"/>
    </row>
    <row r="11" spans="1:21" customFormat="1">
      <c r="A11" s="39" t="s">
        <v>303</v>
      </c>
      <c r="B11" s="40">
        <v>16.329999999999998</v>
      </c>
      <c r="C11" s="40">
        <v>27.08</v>
      </c>
      <c r="D11" s="40">
        <v>28.48</v>
      </c>
      <c r="E11" s="40">
        <v>8.3000000000000007</v>
      </c>
      <c r="F11" s="40">
        <v>3.95</v>
      </c>
      <c r="G11" s="40">
        <v>105.52</v>
      </c>
      <c r="H11" s="40">
        <v>44.42</v>
      </c>
      <c r="I11" s="40">
        <v>16.46</v>
      </c>
      <c r="J11" s="40">
        <v>0.54</v>
      </c>
      <c r="K11" s="40">
        <v>72.61</v>
      </c>
      <c r="L11" s="40">
        <v>23.29</v>
      </c>
      <c r="M11" s="40">
        <v>44.69</v>
      </c>
      <c r="N11" s="40">
        <v>0.6</v>
      </c>
      <c r="O11" s="40">
        <v>0</v>
      </c>
      <c r="P11" s="40">
        <v>1.2</v>
      </c>
      <c r="Q11" s="40">
        <v>28.53</v>
      </c>
      <c r="R11" s="38"/>
      <c r="S11" s="38"/>
      <c r="T11" s="38"/>
      <c r="U11" s="38"/>
    </row>
    <row r="12" spans="1:21" customFormat="1">
      <c r="A12" s="39" t="s">
        <v>304</v>
      </c>
      <c r="B12" s="40">
        <v>16.22</v>
      </c>
      <c r="C12" s="40">
        <v>25.33</v>
      </c>
      <c r="D12" s="40">
        <v>27.59</v>
      </c>
      <c r="E12" s="40">
        <v>7.74</v>
      </c>
      <c r="F12" s="40">
        <v>3.93</v>
      </c>
      <c r="G12" s="40">
        <v>78.489999999999995</v>
      </c>
      <c r="H12" s="40">
        <v>33.369999999999997</v>
      </c>
      <c r="I12" s="40">
        <v>16.45</v>
      </c>
      <c r="J12" s="40">
        <v>0.2</v>
      </c>
      <c r="K12" s="40">
        <v>201.94</v>
      </c>
      <c r="L12" s="40">
        <v>21.7</v>
      </c>
      <c r="M12" s="40">
        <v>53.98</v>
      </c>
      <c r="N12" s="40">
        <v>1.9</v>
      </c>
      <c r="O12" s="40">
        <v>0</v>
      </c>
      <c r="P12" s="40">
        <v>1.1399999999999999</v>
      </c>
      <c r="Q12" s="40">
        <v>28.49</v>
      </c>
      <c r="R12" s="38"/>
      <c r="S12" s="38"/>
      <c r="T12" s="38"/>
      <c r="U12" s="38"/>
    </row>
    <row r="13" spans="1:21" customFormat="1">
      <c r="A13" s="39" t="s">
        <v>305</v>
      </c>
      <c r="B13" s="40">
        <v>15.15</v>
      </c>
      <c r="C13" s="40">
        <v>23.39</v>
      </c>
      <c r="D13" s="40">
        <v>25.72</v>
      </c>
      <c r="E13" s="40">
        <v>7.84</v>
      </c>
      <c r="F13" s="40">
        <v>3.97</v>
      </c>
      <c r="G13" s="40">
        <v>66.709999999999994</v>
      </c>
      <c r="H13" s="40">
        <v>25.29</v>
      </c>
      <c r="I13" s="40">
        <v>15.99</v>
      </c>
      <c r="J13" s="40">
        <v>0.19</v>
      </c>
      <c r="K13" s="40">
        <v>183.55</v>
      </c>
      <c r="L13" s="40">
        <v>19.82</v>
      </c>
      <c r="M13" s="40">
        <v>59.04</v>
      </c>
      <c r="N13" s="40">
        <v>1</v>
      </c>
      <c r="O13" s="40">
        <v>0</v>
      </c>
      <c r="P13" s="40">
        <v>1.05</v>
      </c>
      <c r="Q13" s="40">
        <v>28.42</v>
      </c>
      <c r="R13" s="38"/>
      <c r="S13" s="38"/>
      <c r="T13" s="38"/>
      <c r="U13" s="38"/>
    </row>
    <row r="14" spans="1:21" customFormat="1">
      <c r="A14" s="39" t="s">
        <v>306</v>
      </c>
      <c r="B14" s="40">
        <v>14.32</v>
      </c>
      <c r="C14" s="40">
        <v>21.96</v>
      </c>
      <c r="D14" s="40">
        <v>24.25</v>
      </c>
      <c r="E14" s="40">
        <v>7.28</v>
      </c>
      <c r="F14" s="40">
        <v>3.95</v>
      </c>
      <c r="G14" s="40">
        <v>66.930000000000007</v>
      </c>
      <c r="H14" s="40">
        <v>24.63</v>
      </c>
      <c r="I14" s="40">
        <v>15.26</v>
      </c>
      <c r="J14" s="40">
        <v>0.18</v>
      </c>
      <c r="K14" s="40">
        <v>203</v>
      </c>
      <c r="L14" s="40">
        <v>18.78</v>
      </c>
      <c r="M14" s="40">
        <v>67.13</v>
      </c>
      <c r="N14" s="40">
        <v>1.3</v>
      </c>
      <c r="O14" s="40">
        <v>0</v>
      </c>
      <c r="P14" s="40">
        <v>0.98</v>
      </c>
      <c r="Q14" s="40">
        <v>28.4</v>
      </c>
      <c r="R14" s="38"/>
      <c r="S14" s="38"/>
      <c r="T14" s="38"/>
      <c r="U14" s="38"/>
    </row>
    <row r="15" spans="1:21" customFormat="1">
      <c r="A15" s="39" t="s">
        <v>307</v>
      </c>
      <c r="B15" s="40">
        <v>18.71</v>
      </c>
      <c r="C15" s="40">
        <v>22.19</v>
      </c>
      <c r="D15" s="40">
        <v>27.95</v>
      </c>
      <c r="E15" s="40">
        <v>7.49</v>
      </c>
      <c r="F15" s="40">
        <v>3.87</v>
      </c>
      <c r="G15" s="40">
        <v>70.42</v>
      </c>
      <c r="H15" s="40">
        <v>22.26</v>
      </c>
      <c r="I15" s="40">
        <v>14.35</v>
      </c>
      <c r="J15" s="40">
        <v>0.17</v>
      </c>
      <c r="K15" s="40">
        <v>187.28</v>
      </c>
      <c r="L15" s="40">
        <v>19.09</v>
      </c>
      <c r="M15" s="40">
        <v>65.58</v>
      </c>
      <c r="N15" s="40">
        <v>18.100000000000001</v>
      </c>
      <c r="O15" s="40">
        <v>0</v>
      </c>
      <c r="P15" s="40">
        <v>0.91</v>
      </c>
      <c r="Q15" s="40">
        <v>28.56</v>
      </c>
      <c r="R15" s="38"/>
      <c r="S15" s="38"/>
      <c r="T15" s="38"/>
      <c r="U15" s="38"/>
    </row>
    <row r="16" spans="1:21" customFormat="1">
      <c r="A16" s="39" t="s">
        <v>308</v>
      </c>
      <c r="B16" s="40">
        <v>20.95</v>
      </c>
      <c r="C16" s="40">
        <v>22.79</v>
      </c>
      <c r="D16" s="40">
        <v>29.94</v>
      </c>
      <c r="E16" s="40">
        <v>7.75</v>
      </c>
      <c r="F16" s="40">
        <v>3.84</v>
      </c>
      <c r="G16" s="40">
        <v>86.95</v>
      </c>
      <c r="H16" s="40">
        <v>29.87</v>
      </c>
      <c r="I16" s="40">
        <v>13.91</v>
      </c>
      <c r="J16" s="40">
        <v>0.37</v>
      </c>
      <c r="K16" s="40">
        <v>177.68</v>
      </c>
      <c r="L16" s="40">
        <v>23.63</v>
      </c>
      <c r="M16" s="40">
        <v>64.709999999999994</v>
      </c>
      <c r="N16" s="40">
        <v>43.1</v>
      </c>
      <c r="O16" s="40">
        <v>0</v>
      </c>
      <c r="P16" s="40">
        <v>0.9</v>
      </c>
      <c r="Q16" s="40">
        <v>28.64</v>
      </c>
      <c r="R16" s="38"/>
      <c r="S16" s="38"/>
      <c r="T16" s="38"/>
      <c r="U16" s="38"/>
    </row>
    <row r="17" spans="1:21" customFormat="1">
      <c r="A17" s="39" t="s">
        <v>309</v>
      </c>
      <c r="B17" s="40">
        <v>18.73</v>
      </c>
      <c r="C17" s="40">
        <v>25.25</v>
      </c>
      <c r="D17" s="40">
        <v>28.45</v>
      </c>
      <c r="E17" s="40">
        <v>8.89</v>
      </c>
      <c r="F17" s="40">
        <v>4.22</v>
      </c>
      <c r="G17" s="40">
        <v>79.61</v>
      </c>
      <c r="H17" s="40">
        <v>26.6</v>
      </c>
      <c r="I17" s="40">
        <v>13.52</v>
      </c>
      <c r="J17" s="40">
        <v>1</v>
      </c>
      <c r="K17" s="40">
        <v>69.89</v>
      </c>
      <c r="L17" s="40">
        <v>28.41</v>
      </c>
      <c r="M17" s="40">
        <v>37.86</v>
      </c>
      <c r="N17" s="40">
        <v>247.6</v>
      </c>
      <c r="O17" s="40">
        <v>0</v>
      </c>
      <c r="P17" s="40">
        <v>0.87</v>
      </c>
      <c r="Q17" s="40">
        <v>28.55</v>
      </c>
      <c r="R17" s="38"/>
      <c r="S17" s="38"/>
      <c r="T17" s="38"/>
      <c r="U17" s="38"/>
    </row>
    <row r="18" spans="1:21" customFormat="1">
      <c r="A18" s="39" t="s">
        <v>310</v>
      </c>
      <c r="B18" s="40">
        <v>11.98</v>
      </c>
      <c r="C18" s="40">
        <v>28.97</v>
      </c>
      <c r="D18" s="40">
        <v>24.49</v>
      </c>
      <c r="E18" s="40">
        <v>15.77</v>
      </c>
      <c r="F18" s="40">
        <v>4.8499999999999996</v>
      </c>
      <c r="G18" s="40">
        <v>83.99</v>
      </c>
      <c r="H18" s="40">
        <v>31.14</v>
      </c>
      <c r="I18" s="40">
        <v>13.24</v>
      </c>
      <c r="J18" s="40">
        <v>1.54</v>
      </c>
      <c r="K18" s="40">
        <v>69.75</v>
      </c>
      <c r="L18" s="40">
        <v>30.63</v>
      </c>
      <c r="M18" s="40">
        <v>25.52</v>
      </c>
      <c r="N18" s="40">
        <v>296.3</v>
      </c>
      <c r="O18" s="40">
        <v>0</v>
      </c>
      <c r="P18" s="40">
        <v>0.81</v>
      </c>
      <c r="Q18" s="40">
        <v>28.32</v>
      </c>
      <c r="R18" s="38"/>
      <c r="S18" s="38"/>
      <c r="T18" s="38"/>
      <c r="U18" s="38"/>
    </row>
    <row r="19" spans="1:21" customFormat="1">
      <c r="A19" s="39" t="s">
        <v>311</v>
      </c>
      <c r="B19" s="40">
        <v>7.24</v>
      </c>
      <c r="C19" s="40">
        <v>29.07</v>
      </c>
      <c r="D19" s="40">
        <v>22</v>
      </c>
      <c r="E19" s="40">
        <v>20.71</v>
      </c>
      <c r="F19" s="40">
        <v>6.39</v>
      </c>
      <c r="G19" s="40">
        <v>80.150000000000006</v>
      </c>
      <c r="H19" s="40">
        <v>28.84</v>
      </c>
      <c r="I19" s="40">
        <v>12.24</v>
      </c>
      <c r="J19" s="40">
        <v>1.66</v>
      </c>
      <c r="K19" s="40">
        <v>60.23</v>
      </c>
      <c r="L19" s="40">
        <v>33.270000000000003</v>
      </c>
      <c r="M19" s="40">
        <v>21.22</v>
      </c>
      <c r="N19" s="40">
        <v>336.1</v>
      </c>
      <c r="O19" s="40">
        <v>0</v>
      </c>
      <c r="P19" s="40">
        <v>0.76</v>
      </c>
      <c r="Q19" s="40">
        <v>28.18</v>
      </c>
      <c r="R19" s="38"/>
      <c r="S19" s="38"/>
      <c r="T19" s="38"/>
      <c r="U19" s="38"/>
    </row>
    <row r="20" spans="1:21" customFormat="1">
      <c r="A20" s="39" t="s">
        <v>312</v>
      </c>
      <c r="B20" s="40">
        <v>5.67</v>
      </c>
      <c r="C20" s="40">
        <v>28.48</v>
      </c>
      <c r="D20" s="40">
        <v>20.48</v>
      </c>
      <c r="E20" s="40">
        <v>19.04</v>
      </c>
      <c r="F20" s="40">
        <v>10.83</v>
      </c>
      <c r="G20" s="40">
        <v>78.94</v>
      </c>
      <c r="H20" s="40">
        <v>29.69</v>
      </c>
      <c r="I20" s="40">
        <v>11.07</v>
      </c>
      <c r="J20" s="40">
        <v>1.73</v>
      </c>
      <c r="K20" s="40">
        <v>79.02</v>
      </c>
      <c r="L20" s="40">
        <v>35.01</v>
      </c>
      <c r="M20" s="40">
        <v>15.64</v>
      </c>
      <c r="N20" s="40">
        <v>338.2</v>
      </c>
      <c r="O20" s="40">
        <v>0</v>
      </c>
      <c r="P20" s="40">
        <v>0.67</v>
      </c>
      <c r="Q20" s="40">
        <v>28.09</v>
      </c>
      <c r="R20" s="38"/>
      <c r="S20" s="38"/>
      <c r="T20" s="38"/>
      <c r="U20" s="38"/>
    </row>
    <row r="21" spans="1:21" customFormat="1">
      <c r="A21" s="39" t="s">
        <v>313</v>
      </c>
      <c r="B21" s="40">
        <v>6.56</v>
      </c>
      <c r="C21" s="40">
        <v>24.67</v>
      </c>
      <c r="D21" s="40">
        <v>18.11</v>
      </c>
      <c r="E21" s="40">
        <v>14.53</v>
      </c>
      <c r="F21" s="40">
        <v>46.89</v>
      </c>
      <c r="G21" s="40">
        <v>66.930000000000007</v>
      </c>
      <c r="H21" s="40">
        <v>28.3</v>
      </c>
      <c r="I21" s="40">
        <v>9.7100000000000009</v>
      </c>
      <c r="J21" s="40">
        <v>1.29</v>
      </c>
      <c r="K21" s="40">
        <v>63.24</v>
      </c>
      <c r="L21" s="40">
        <v>35.67</v>
      </c>
      <c r="M21" s="40">
        <v>11.56</v>
      </c>
      <c r="N21" s="40">
        <v>368.4</v>
      </c>
      <c r="O21" s="40">
        <v>0</v>
      </c>
      <c r="P21" s="40">
        <v>0.67</v>
      </c>
      <c r="Q21" s="40">
        <v>28.07</v>
      </c>
      <c r="R21" s="38"/>
      <c r="S21" s="38"/>
      <c r="T21" s="38"/>
      <c r="U21" s="38"/>
    </row>
    <row r="22" spans="1:21" customFormat="1">
      <c r="A22" s="39" t="s">
        <v>314</v>
      </c>
      <c r="B22" s="40">
        <v>9.33</v>
      </c>
      <c r="C22" s="40">
        <v>21.68</v>
      </c>
      <c r="D22" s="40">
        <v>18.57</v>
      </c>
      <c r="E22" s="40">
        <v>14.18</v>
      </c>
      <c r="F22" s="40">
        <v>41.52</v>
      </c>
      <c r="G22" s="40">
        <v>55.73</v>
      </c>
      <c r="H22" s="40">
        <v>25.58</v>
      </c>
      <c r="I22" s="40">
        <v>8.9700000000000006</v>
      </c>
      <c r="J22" s="40">
        <v>1.1100000000000001</v>
      </c>
      <c r="K22" s="40">
        <v>52.51</v>
      </c>
      <c r="L22" s="40">
        <v>36.75</v>
      </c>
      <c r="M22" s="40">
        <v>12.23</v>
      </c>
      <c r="N22" s="40">
        <v>366.4</v>
      </c>
      <c r="O22" s="40">
        <v>0</v>
      </c>
      <c r="P22" s="40">
        <v>0.62</v>
      </c>
      <c r="Q22" s="40">
        <v>28.05</v>
      </c>
      <c r="R22" s="38"/>
      <c r="S22" s="38"/>
      <c r="T22" s="38"/>
      <c r="U22" s="38"/>
    </row>
    <row r="23" spans="1:21" customFormat="1">
      <c r="A23" s="39" t="s">
        <v>315</v>
      </c>
      <c r="B23" s="40">
        <v>6.49</v>
      </c>
      <c r="C23" s="40">
        <v>21.07</v>
      </c>
      <c r="D23" s="40">
        <v>16.8</v>
      </c>
      <c r="E23" s="40">
        <v>14.9</v>
      </c>
      <c r="F23" s="40">
        <v>38.5</v>
      </c>
      <c r="G23" s="40">
        <v>52.01</v>
      </c>
      <c r="H23" s="40">
        <v>24.21</v>
      </c>
      <c r="I23" s="40">
        <v>8.6</v>
      </c>
      <c r="J23" s="40">
        <v>1.41</v>
      </c>
      <c r="K23" s="40">
        <v>50.13</v>
      </c>
      <c r="L23" s="40">
        <v>36.869999999999997</v>
      </c>
      <c r="M23" s="40">
        <v>12.16</v>
      </c>
      <c r="N23" s="40">
        <v>354.8</v>
      </c>
      <c r="O23" s="40">
        <v>0</v>
      </c>
      <c r="P23" s="40">
        <v>0.56999999999999995</v>
      </c>
      <c r="Q23" s="40">
        <v>28.05</v>
      </c>
      <c r="R23" s="38"/>
      <c r="S23" s="38"/>
      <c r="T23" s="38"/>
      <c r="U23" s="38"/>
    </row>
    <row r="24" spans="1:21" customFormat="1">
      <c r="A24" s="39" t="s">
        <v>316</v>
      </c>
      <c r="B24" s="40">
        <v>4.92</v>
      </c>
      <c r="C24" s="40">
        <v>21.59</v>
      </c>
      <c r="D24" s="40">
        <v>16.579999999999998</v>
      </c>
      <c r="E24" s="40">
        <v>14.56</v>
      </c>
      <c r="F24" s="40">
        <v>20.76</v>
      </c>
      <c r="G24" s="40">
        <v>47.02</v>
      </c>
      <c r="H24" s="40">
        <v>22.17</v>
      </c>
      <c r="I24" s="40">
        <v>7.96</v>
      </c>
      <c r="J24" s="40">
        <v>1.39</v>
      </c>
      <c r="K24" s="40">
        <v>49.15</v>
      </c>
      <c r="L24" s="40">
        <v>35.909999999999997</v>
      </c>
      <c r="M24" s="40">
        <v>13.02</v>
      </c>
      <c r="N24" s="40">
        <v>137.5</v>
      </c>
      <c r="O24" s="40">
        <v>0</v>
      </c>
      <c r="P24" s="40">
        <v>0.53</v>
      </c>
      <c r="Q24" s="40">
        <v>28.05</v>
      </c>
      <c r="R24" s="38"/>
      <c r="S24" s="38"/>
      <c r="T24" s="38"/>
      <c r="U24" s="38"/>
    </row>
    <row r="25" spans="1:21" customFormat="1">
      <c r="A25" s="39" t="s">
        <v>317</v>
      </c>
      <c r="B25" s="40">
        <v>6.96</v>
      </c>
      <c r="C25" s="40">
        <v>21.43</v>
      </c>
      <c r="D25" s="40">
        <v>17.690000000000001</v>
      </c>
      <c r="E25" s="40">
        <v>13.57</v>
      </c>
      <c r="F25" s="40">
        <v>19.64</v>
      </c>
      <c r="G25" s="40">
        <v>39.81</v>
      </c>
      <c r="H25" s="40">
        <v>17.600000000000001</v>
      </c>
      <c r="I25" s="40">
        <v>7.19</v>
      </c>
      <c r="J25" s="40">
        <v>1.02</v>
      </c>
      <c r="K25" s="40">
        <v>50.47</v>
      </c>
      <c r="L25" s="40">
        <v>35.65</v>
      </c>
      <c r="M25" s="40">
        <v>12.51</v>
      </c>
      <c r="N25" s="40">
        <v>47.5</v>
      </c>
      <c r="O25" s="40">
        <v>0</v>
      </c>
      <c r="P25" s="40">
        <v>0.5</v>
      </c>
      <c r="Q25" s="40">
        <v>28.06</v>
      </c>
      <c r="R25" s="38"/>
      <c r="S25" s="38"/>
      <c r="T25" s="38"/>
      <c r="U25" s="38"/>
    </row>
    <row r="26" spans="1:21" customFormat="1">
      <c r="A26" s="39" t="s">
        <v>318</v>
      </c>
      <c r="B26" s="40">
        <v>11.08</v>
      </c>
      <c r="C26" s="40">
        <v>30.42</v>
      </c>
      <c r="D26" s="40">
        <v>26.04</v>
      </c>
      <c r="E26" s="40">
        <v>13.55</v>
      </c>
      <c r="F26" s="40">
        <v>14.41</v>
      </c>
      <c r="G26" s="40">
        <v>37.28</v>
      </c>
      <c r="H26" s="40">
        <v>13.96</v>
      </c>
      <c r="I26" s="40">
        <v>9.3000000000000007</v>
      </c>
      <c r="J26" s="40">
        <v>0.93</v>
      </c>
      <c r="K26" s="40">
        <v>64.150000000000006</v>
      </c>
      <c r="L26" s="40">
        <v>34.799999999999997</v>
      </c>
      <c r="M26" s="40">
        <v>15.69</v>
      </c>
      <c r="N26" s="40">
        <v>28.5</v>
      </c>
      <c r="O26" s="40">
        <v>0</v>
      </c>
      <c r="P26" s="40">
        <v>0.56000000000000005</v>
      </c>
      <c r="Q26" s="40">
        <v>28.13</v>
      </c>
      <c r="R26" s="38"/>
      <c r="S26" s="38"/>
      <c r="T26" s="38"/>
      <c r="U26" s="38"/>
    </row>
    <row r="27" spans="1:21" customFormat="1">
      <c r="A27" s="39" t="s">
        <v>319</v>
      </c>
      <c r="B27" s="40">
        <v>8.1300000000000008</v>
      </c>
      <c r="C27" s="40">
        <v>28.38</v>
      </c>
      <c r="D27" s="40">
        <v>22.55</v>
      </c>
      <c r="E27" s="40">
        <v>9.32</v>
      </c>
      <c r="F27" s="40">
        <v>5.94</v>
      </c>
      <c r="G27" s="40">
        <v>42.3</v>
      </c>
      <c r="H27" s="40">
        <v>16.45</v>
      </c>
      <c r="I27" s="40">
        <v>8.27</v>
      </c>
      <c r="J27" s="40">
        <v>0.32</v>
      </c>
      <c r="K27" s="40">
        <v>176.02</v>
      </c>
      <c r="L27" s="40">
        <v>31.6</v>
      </c>
      <c r="M27" s="40">
        <v>29.05</v>
      </c>
      <c r="N27" s="40">
        <v>3.3</v>
      </c>
      <c r="O27" s="40">
        <v>0</v>
      </c>
      <c r="P27" s="40">
        <v>0.56999999999999995</v>
      </c>
      <c r="Q27" s="40">
        <v>28.17</v>
      </c>
      <c r="R27" s="38"/>
      <c r="S27" s="38"/>
      <c r="T27" s="38"/>
      <c r="U27" s="38"/>
    </row>
    <row r="28" spans="1:21" customFormat="1">
      <c r="A28" s="39" t="s">
        <v>320</v>
      </c>
      <c r="B28" s="40">
        <v>11.14</v>
      </c>
      <c r="C28" s="40">
        <v>28.59</v>
      </c>
      <c r="D28" s="40">
        <v>24.66</v>
      </c>
      <c r="E28" s="40">
        <v>9.2899999999999991</v>
      </c>
      <c r="F28" s="40">
        <v>4.58</v>
      </c>
      <c r="G28" s="40">
        <v>49.47</v>
      </c>
      <c r="H28" s="40">
        <v>16.97</v>
      </c>
      <c r="I28" s="40">
        <v>8.84</v>
      </c>
      <c r="J28" s="40">
        <v>0.28999999999999998</v>
      </c>
      <c r="K28" s="40">
        <v>220.15</v>
      </c>
      <c r="L28" s="40">
        <v>27.98</v>
      </c>
      <c r="M28" s="40">
        <v>36.869999999999997</v>
      </c>
      <c r="N28" s="40">
        <v>1.1000000000000001</v>
      </c>
      <c r="O28" s="40">
        <v>0</v>
      </c>
      <c r="P28" s="40">
        <v>0.65</v>
      </c>
      <c r="Q28" s="40">
        <v>28.34</v>
      </c>
      <c r="R28" s="38"/>
      <c r="S28" s="38"/>
      <c r="T28" s="38"/>
      <c r="U28" s="38"/>
    </row>
    <row r="29" spans="1:21" customFormat="1">
      <c r="A29" s="39" t="s">
        <v>321</v>
      </c>
      <c r="B29" s="40">
        <v>11.1</v>
      </c>
      <c r="C29" s="40">
        <v>25.39</v>
      </c>
      <c r="D29" s="40">
        <v>23.44</v>
      </c>
      <c r="E29" s="40">
        <v>9.0500000000000007</v>
      </c>
      <c r="F29" s="40">
        <v>4.4000000000000004</v>
      </c>
      <c r="G29" s="40">
        <v>72.14</v>
      </c>
      <c r="H29" s="40">
        <v>19.97</v>
      </c>
      <c r="I29" s="40">
        <v>9.7899999999999991</v>
      </c>
      <c r="J29" s="40">
        <v>0.22</v>
      </c>
      <c r="K29" s="40">
        <v>214</v>
      </c>
      <c r="L29" s="40">
        <v>25.85</v>
      </c>
      <c r="M29" s="40">
        <v>40.61</v>
      </c>
      <c r="N29" s="40">
        <v>0.8</v>
      </c>
      <c r="O29" s="40">
        <v>0</v>
      </c>
      <c r="P29" s="40">
        <v>0.68</v>
      </c>
      <c r="Q29" s="40">
        <v>28.33</v>
      </c>
      <c r="R29" s="38"/>
      <c r="S29" s="38"/>
      <c r="T29" s="38"/>
      <c r="U29" s="38"/>
    </row>
    <row r="30" spans="1:21" customFormat="1">
      <c r="A30" s="39" t="s">
        <v>322</v>
      </c>
      <c r="B30" s="40">
        <v>11.23</v>
      </c>
      <c r="C30" s="40">
        <v>23.44</v>
      </c>
      <c r="D30" s="40">
        <v>22.08</v>
      </c>
      <c r="E30" s="40">
        <v>8.67</v>
      </c>
      <c r="F30" s="40">
        <v>4.21</v>
      </c>
      <c r="G30" s="40">
        <v>75.84</v>
      </c>
      <c r="H30" s="40">
        <v>22.57</v>
      </c>
      <c r="I30" s="40">
        <v>10.07</v>
      </c>
      <c r="J30" s="40">
        <v>0.2</v>
      </c>
      <c r="K30" s="40">
        <v>204.77</v>
      </c>
      <c r="L30" s="40">
        <v>24.5</v>
      </c>
      <c r="M30" s="40">
        <v>43.12</v>
      </c>
      <c r="N30" s="40">
        <v>0.7</v>
      </c>
      <c r="O30" s="40">
        <v>0</v>
      </c>
      <c r="P30" s="40">
        <v>0.74</v>
      </c>
      <c r="Q30" s="40">
        <v>28.31</v>
      </c>
      <c r="R30" s="38"/>
      <c r="S30" s="38"/>
      <c r="T30" s="38"/>
      <c r="U30" s="38"/>
    </row>
    <row r="31" spans="1:21" customFormat="1">
      <c r="A31" s="39" t="s">
        <v>323</v>
      </c>
      <c r="B31" s="40">
        <v>12.03</v>
      </c>
      <c r="C31" s="40">
        <v>21.01</v>
      </c>
      <c r="D31" s="40">
        <v>21.47</v>
      </c>
      <c r="E31" s="40">
        <v>8.75</v>
      </c>
      <c r="F31" s="40">
        <v>4.12</v>
      </c>
      <c r="G31" s="40">
        <v>78.61</v>
      </c>
      <c r="H31" s="40">
        <v>22.13</v>
      </c>
      <c r="I31" s="40">
        <v>10.43</v>
      </c>
      <c r="J31" s="40">
        <v>0.23</v>
      </c>
      <c r="K31" s="40">
        <v>187.05</v>
      </c>
      <c r="L31" s="40">
        <v>23.41</v>
      </c>
      <c r="M31" s="40">
        <v>48.16</v>
      </c>
      <c r="N31" s="40">
        <v>1.1000000000000001</v>
      </c>
      <c r="O31" s="40">
        <v>0</v>
      </c>
      <c r="P31" s="40">
        <v>0.78</v>
      </c>
      <c r="Q31" s="40">
        <v>28.32</v>
      </c>
      <c r="R31" s="38"/>
      <c r="S31" s="38"/>
      <c r="T31" s="38"/>
      <c r="U31" s="38"/>
    </row>
    <row r="32" spans="1:21" customFormat="1">
      <c r="A32" s="39" t="s">
        <v>324</v>
      </c>
      <c r="B32" s="40">
        <v>12.89</v>
      </c>
      <c r="C32" s="40">
        <v>19.38</v>
      </c>
      <c r="D32" s="40">
        <v>21.49</v>
      </c>
      <c r="E32" s="40">
        <v>9.0500000000000007</v>
      </c>
      <c r="F32" s="40">
        <v>4.12</v>
      </c>
      <c r="G32" s="40">
        <v>79.53</v>
      </c>
      <c r="H32" s="40">
        <v>24.8</v>
      </c>
      <c r="I32" s="40">
        <v>10.75</v>
      </c>
      <c r="J32" s="40">
        <v>0.22</v>
      </c>
      <c r="K32" s="40">
        <v>195.13</v>
      </c>
      <c r="L32" s="40">
        <v>22.49</v>
      </c>
      <c r="M32" s="40">
        <v>53.48</v>
      </c>
      <c r="N32" s="40">
        <v>0.9</v>
      </c>
      <c r="O32" s="40">
        <v>0</v>
      </c>
      <c r="P32" s="40">
        <v>0.8</v>
      </c>
      <c r="Q32" s="40">
        <v>28.36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4.92</v>
      </c>
      <c r="C34" s="18">
        <f t="shared" si="0"/>
        <v>19.38</v>
      </c>
      <c r="D34" s="18">
        <f t="shared" si="0"/>
        <v>16.579999999999998</v>
      </c>
      <c r="E34" s="18">
        <f t="shared" si="0"/>
        <v>7.28</v>
      </c>
      <c r="F34" s="18">
        <f t="shared" si="0"/>
        <v>3.84</v>
      </c>
      <c r="G34" s="18">
        <f t="shared" si="0"/>
        <v>37.28</v>
      </c>
      <c r="H34" s="18">
        <f t="shared" si="0"/>
        <v>13.96</v>
      </c>
      <c r="I34" s="18">
        <f t="shared" si="0"/>
        <v>7.19</v>
      </c>
      <c r="J34" s="18">
        <f t="shared" si="0"/>
        <v>0.17</v>
      </c>
      <c r="K34" s="18">
        <f t="shared" si="0"/>
        <v>49.15</v>
      </c>
      <c r="L34" s="18">
        <f t="shared" si="0"/>
        <v>18.78</v>
      </c>
      <c r="M34" s="18">
        <f t="shared" si="0"/>
        <v>11.56</v>
      </c>
      <c r="N34" s="18">
        <f t="shared" si="0"/>
        <v>0.6</v>
      </c>
      <c r="O34" s="18">
        <f t="shared" si="0"/>
        <v>0</v>
      </c>
      <c r="P34" s="18">
        <f t="shared" si="0"/>
        <v>0.5</v>
      </c>
      <c r="Q34" s="18">
        <f t="shared" si="0"/>
        <v>28.05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20.95</v>
      </c>
      <c r="C35" s="3">
        <f t="shared" si="1"/>
        <v>30.48</v>
      </c>
      <c r="D35" s="3">
        <f t="shared" si="1"/>
        <v>33.659999999999997</v>
      </c>
      <c r="E35" s="3">
        <f t="shared" si="1"/>
        <v>20.71</v>
      </c>
      <c r="F35" s="3">
        <f t="shared" si="1"/>
        <v>46.89</v>
      </c>
      <c r="G35" s="3">
        <f t="shared" si="1"/>
        <v>127.36</v>
      </c>
      <c r="H35" s="3">
        <f t="shared" si="1"/>
        <v>48.18</v>
      </c>
      <c r="I35" s="3">
        <f t="shared" si="1"/>
        <v>17.71</v>
      </c>
      <c r="J35" s="3">
        <f t="shared" si="1"/>
        <v>1.73</v>
      </c>
      <c r="K35" s="3">
        <f t="shared" si="1"/>
        <v>220.15</v>
      </c>
      <c r="L35" s="3">
        <f t="shared" si="1"/>
        <v>36.869999999999997</v>
      </c>
      <c r="M35" s="3">
        <f t="shared" si="1"/>
        <v>67.13</v>
      </c>
      <c r="N35" s="3">
        <f t="shared" si="1"/>
        <v>368.4</v>
      </c>
      <c r="O35" s="3">
        <f t="shared" si="1"/>
        <v>0</v>
      </c>
      <c r="P35" s="3">
        <f t="shared" si="1"/>
        <v>1.35</v>
      </c>
      <c r="Q35" s="3">
        <f t="shared" si="1"/>
        <v>28.69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12.277916666666668</v>
      </c>
      <c r="C36" s="18">
        <f t="shared" si="2"/>
        <v>25.019166666666667</v>
      </c>
      <c r="D36" s="18">
        <f t="shared" si="2"/>
        <v>23.849583333333339</v>
      </c>
      <c r="E36" s="18">
        <f t="shared" si="2"/>
        <v>11.170833333333334</v>
      </c>
      <c r="F36" s="18">
        <f t="shared" si="2"/>
        <v>11.152500000000002</v>
      </c>
      <c r="G36" s="18">
        <f t="shared" si="2"/>
        <v>72.86666666666666</v>
      </c>
      <c r="H36" s="18">
        <f t="shared" si="2"/>
        <v>26.949583333333337</v>
      </c>
      <c r="I36" s="18">
        <f t="shared" si="2"/>
        <v>11.963333333333336</v>
      </c>
      <c r="J36" s="18">
        <f t="shared" si="2"/>
        <v>0.69624999999999992</v>
      </c>
      <c r="K36" s="18">
        <f t="shared" si="2"/>
        <v>132.30375000000004</v>
      </c>
      <c r="L36" s="18">
        <f t="shared" si="2"/>
        <v>27.9375</v>
      </c>
      <c r="M36" s="18">
        <f t="shared" si="2"/>
        <v>37.08208333333333</v>
      </c>
      <c r="N36" s="18">
        <f t="shared" si="2"/>
        <v>108.21666666666668</v>
      </c>
      <c r="O36" s="18">
        <f t="shared" si="2"/>
        <v>0</v>
      </c>
      <c r="P36" s="18">
        <f t="shared" si="2"/>
        <v>0.81541666666666668</v>
      </c>
      <c r="Q36" s="18">
        <f t="shared" si="2"/>
        <v>28.319583333333338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4.8516944410458649</v>
      </c>
      <c r="C37" s="18">
        <f t="shared" ref="C37:Q37" si="3">STDEV(C9:C32)</f>
        <v>3.4262045380029256</v>
      </c>
      <c r="D37" s="18">
        <f t="shared" si="3"/>
        <v>4.5928644838125283</v>
      </c>
      <c r="E37" s="18">
        <f t="shared" si="3"/>
        <v>3.8786605898189248</v>
      </c>
      <c r="F37" s="18">
        <f t="shared" si="3"/>
        <v>13.024161910781855</v>
      </c>
      <c r="G37" s="18">
        <f t="shared" si="3"/>
        <v>23.683148598449336</v>
      </c>
      <c r="H37" s="18">
        <f t="shared" si="3"/>
        <v>9.0762056231936725</v>
      </c>
      <c r="I37" s="18">
        <f t="shared" si="3"/>
        <v>3.2798723022155127</v>
      </c>
      <c r="J37" s="18">
        <f t="shared" si="3"/>
        <v>0.5624002326983254</v>
      </c>
      <c r="K37" s="18">
        <f t="shared" si="3"/>
        <v>67.478374237039077</v>
      </c>
      <c r="L37" s="18">
        <f t="shared" si="3"/>
        <v>6.3078441504278659</v>
      </c>
      <c r="M37" s="18">
        <f t="shared" si="3"/>
        <v>19.446901391529831</v>
      </c>
      <c r="N37" s="18">
        <f t="shared" si="3"/>
        <v>149.69766826526714</v>
      </c>
      <c r="O37" s="18">
        <f t="shared" si="3"/>
        <v>0</v>
      </c>
      <c r="P37" s="18">
        <f t="shared" si="3"/>
        <v>0.24146255748390191</v>
      </c>
      <c r="Q37" s="18">
        <f t="shared" si="3"/>
        <v>0.20630241977688263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60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H23" sqref="H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325</v>
      </c>
      <c r="B9" s="40">
        <v>13.81</v>
      </c>
      <c r="C9" s="40">
        <v>18.68</v>
      </c>
      <c r="D9" s="40">
        <v>22.14</v>
      </c>
      <c r="E9" s="40">
        <v>9.4</v>
      </c>
      <c r="F9" s="40">
        <v>3.99</v>
      </c>
      <c r="G9" s="40">
        <v>77.63</v>
      </c>
      <c r="H9" s="40">
        <v>26.41</v>
      </c>
      <c r="I9" s="40">
        <v>10.98</v>
      </c>
      <c r="J9" s="40">
        <v>0.25</v>
      </c>
      <c r="K9" s="40">
        <v>213.21</v>
      </c>
      <c r="L9" s="40">
        <v>21.78</v>
      </c>
      <c r="M9" s="40">
        <v>55.77</v>
      </c>
      <c r="N9" s="40">
        <v>0.9</v>
      </c>
      <c r="O9" s="40">
        <v>0</v>
      </c>
      <c r="P9" s="40">
        <v>0.84</v>
      </c>
      <c r="Q9" s="40">
        <v>28.39</v>
      </c>
      <c r="R9" s="38"/>
      <c r="S9" s="38"/>
      <c r="T9" s="38"/>
      <c r="U9" s="38"/>
    </row>
    <row r="10" spans="1:21" customFormat="1">
      <c r="A10" s="39" t="s">
        <v>326</v>
      </c>
      <c r="B10" s="40">
        <v>14.03</v>
      </c>
      <c r="C10" s="40">
        <v>18.53</v>
      </c>
      <c r="D10" s="40">
        <v>22.28</v>
      </c>
      <c r="E10" s="40">
        <v>9.1999999999999993</v>
      </c>
      <c r="F10" s="40">
        <v>3.95</v>
      </c>
      <c r="G10" s="40">
        <v>79.790000000000006</v>
      </c>
      <c r="H10" s="40">
        <v>26.77</v>
      </c>
      <c r="I10" s="40">
        <v>11.26</v>
      </c>
      <c r="J10" s="40">
        <v>0.23</v>
      </c>
      <c r="K10" s="40">
        <v>191.02</v>
      </c>
      <c r="L10" s="40">
        <v>21.51</v>
      </c>
      <c r="M10" s="40">
        <v>54.19</v>
      </c>
      <c r="N10" s="40">
        <v>0.9</v>
      </c>
      <c r="O10" s="40">
        <v>0</v>
      </c>
      <c r="P10" s="40">
        <v>0.87</v>
      </c>
      <c r="Q10" s="40">
        <v>28.39</v>
      </c>
      <c r="R10" s="38"/>
      <c r="S10" s="38"/>
      <c r="T10" s="38"/>
      <c r="U10" s="38"/>
    </row>
    <row r="11" spans="1:21" customFormat="1">
      <c r="A11" s="39" t="s">
        <v>327</v>
      </c>
      <c r="B11" s="40">
        <v>13.42</v>
      </c>
      <c r="C11" s="40">
        <v>18.46</v>
      </c>
      <c r="D11" s="40">
        <v>21.64</v>
      </c>
      <c r="E11" s="40">
        <v>8.91</v>
      </c>
      <c r="F11" s="40">
        <v>4.0599999999999996</v>
      </c>
      <c r="G11" s="40">
        <v>74.150000000000006</v>
      </c>
      <c r="H11" s="40">
        <v>28.43</v>
      </c>
      <c r="I11" s="40">
        <v>11.43</v>
      </c>
      <c r="J11" s="40">
        <v>0.24</v>
      </c>
      <c r="K11" s="40">
        <v>190.28</v>
      </c>
      <c r="L11" s="40">
        <v>21.34</v>
      </c>
      <c r="M11" s="40">
        <v>54.09</v>
      </c>
      <c r="N11" s="40">
        <v>0.7</v>
      </c>
      <c r="O11" s="40">
        <v>0</v>
      </c>
      <c r="P11" s="40">
        <v>0.86</v>
      </c>
      <c r="Q11" s="40">
        <v>28.36</v>
      </c>
      <c r="R11" s="38"/>
      <c r="S11" s="38"/>
      <c r="T11" s="38"/>
      <c r="U11" s="38"/>
    </row>
    <row r="12" spans="1:21" customFormat="1">
      <c r="A12" s="39" t="s">
        <v>328</v>
      </c>
      <c r="B12" s="40">
        <v>10.89</v>
      </c>
      <c r="C12" s="40">
        <v>18.46</v>
      </c>
      <c r="D12" s="40">
        <v>19.73</v>
      </c>
      <c r="E12" s="40">
        <v>8.9</v>
      </c>
      <c r="F12" s="40">
        <v>3.97</v>
      </c>
      <c r="G12" s="40">
        <v>69.84</v>
      </c>
      <c r="H12" s="40">
        <v>27.43</v>
      </c>
      <c r="I12" s="40">
        <v>11.46</v>
      </c>
      <c r="J12" s="40">
        <v>0.24</v>
      </c>
      <c r="K12" s="40">
        <v>180.84</v>
      </c>
      <c r="L12" s="40">
        <v>20.63</v>
      </c>
      <c r="M12" s="40">
        <v>56.71</v>
      </c>
      <c r="N12" s="40">
        <v>0.9</v>
      </c>
      <c r="O12" s="40">
        <v>0</v>
      </c>
      <c r="P12" s="40">
        <v>0.85</v>
      </c>
      <c r="Q12" s="40">
        <v>28.29</v>
      </c>
      <c r="R12" s="38"/>
      <c r="S12" s="38"/>
      <c r="T12" s="38"/>
      <c r="U12" s="38"/>
    </row>
    <row r="13" spans="1:21" customFormat="1">
      <c r="A13" s="39" t="s">
        <v>329</v>
      </c>
      <c r="B13" s="40">
        <v>9.2200000000000006</v>
      </c>
      <c r="C13" s="40">
        <v>18.329999999999998</v>
      </c>
      <c r="D13" s="40">
        <v>18.32</v>
      </c>
      <c r="E13" s="40">
        <v>9.15</v>
      </c>
      <c r="F13" s="40">
        <v>3.87</v>
      </c>
      <c r="G13" s="40">
        <v>58.55</v>
      </c>
      <c r="H13" s="40">
        <v>22.8</v>
      </c>
      <c r="I13" s="40">
        <v>11.37</v>
      </c>
      <c r="J13" s="40">
        <v>0.25</v>
      </c>
      <c r="K13" s="40">
        <v>207.03</v>
      </c>
      <c r="L13" s="40">
        <v>19.72</v>
      </c>
      <c r="M13" s="40">
        <v>61.04</v>
      </c>
      <c r="N13" s="40">
        <v>1.2</v>
      </c>
      <c r="O13" s="40">
        <v>0</v>
      </c>
      <c r="P13" s="40">
        <v>0.86</v>
      </c>
      <c r="Q13" s="40">
        <v>28.23</v>
      </c>
      <c r="R13" s="38"/>
      <c r="S13" s="38"/>
      <c r="T13" s="38"/>
      <c r="U13" s="38"/>
    </row>
    <row r="14" spans="1:21" customFormat="1">
      <c r="A14" s="39" t="s">
        <v>330</v>
      </c>
      <c r="B14" s="40">
        <v>8.23</v>
      </c>
      <c r="C14" s="40">
        <v>18.010000000000002</v>
      </c>
      <c r="D14" s="40">
        <v>17.329999999999998</v>
      </c>
      <c r="E14" s="40">
        <v>8.82</v>
      </c>
      <c r="F14" s="40">
        <v>3.87</v>
      </c>
      <c r="G14" s="40">
        <v>56.06</v>
      </c>
      <c r="H14" s="40">
        <v>23.08</v>
      </c>
      <c r="I14" s="40">
        <v>11.64</v>
      </c>
      <c r="J14" s="40">
        <v>0.25</v>
      </c>
      <c r="K14" s="40">
        <v>184.19</v>
      </c>
      <c r="L14" s="40">
        <v>19.440000000000001</v>
      </c>
      <c r="M14" s="40">
        <v>62.3</v>
      </c>
      <c r="N14" s="40">
        <v>0.9</v>
      </c>
      <c r="O14" s="40">
        <v>0</v>
      </c>
      <c r="P14" s="40">
        <v>0.91</v>
      </c>
      <c r="Q14" s="40">
        <v>28.19</v>
      </c>
      <c r="R14" s="38"/>
      <c r="S14" s="38"/>
      <c r="T14" s="38"/>
      <c r="U14" s="38"/>
    </row>
    <row r="15" spans="1:21" customFormat="1">
      <c r="A15" s="39" t="s">
        <v>331</v>
      </c>
      <c r="B15" s="40">
        <v>7.58</v>
      </c>
      <c r="C15" s="40">
        <v>17.98</v>
      </c>
      <c r="D15" s="40">
        <v>16.829999999999998</v>
      </c>
      <c r="E15" s="40">
        <v>8.48</v>
      </c>
      <c r="F15" s="40">
        <v>4.01</v>
      </c>
      <c r="G15" s="40">
        <v>61.21</v>
      </c>
      <c r="H15" s="40">
        <v>26.43</v>
      </c>
      <c r="I15" s="40">
        <v>12.15</v>
      </c>
      <c r="J15" s="40">
        <v>0.26</v>
      </c>
      <c r="K15" s="40">
        <v>181.86</v>
      </c>
      <c r="L15" s="40">
        <v>19.45</v>
      </c>
      <c r="M15" s="40">
        <v>64.27</v>
      </c>
      <c r="N15" s="40">
        <v>18.2</v>
      </c>
      <c r="O15" s="40">
        <v>0</v>
      </c>
      <c r="P15" s="40">
        <v>0.96</v>
      </c>
      <c r="Q15" s="40">
        <v>28.18</v>
      </c>
      <c r="R15" s="38"/>
      <c r="S15" s="38"/>
      <c r="T15" s="38"/>
      <c r="U15" s="38"/>
    </row>
    <row r="16" spans="1:21" customFormat="1">
      <c r="A16" s="39" t="s">
        <v>332</v>
      </c>
      <c r="B16" s="40">
        <v>7.78</v>
      </c>
      <c r="C16" s="40">
        <v>19.36</v>
      </c>
      <c r="D16" s="40">
        <v>17.71</v>
      </c>
      <c r="E16" s="40">
        <v>8.4499999999999993</v>
      </c>
      <c r="F16" s="40">
        <v>4.2</v>
      </c>
      <c r="G16" s="40">
        <v>65.5</v>
      </c>
      <c r="H16" s="40">
        <v>27.48</v>
      </c>
      <c r="I16" s="40">
        <v>12.42</v>
      </c>
      <c r="J16" s="40">
        <v>0.39</v>
      </c>
      <c r="K16" s="40">
        <v>166.83</v>
      </c>
      <c r="L16" s="40">
        <v>23.91</v>
      </c>
      <c r="M16" s="40">
        <v>60.07</v>
      </c>
      <c r="N16" s="40">
        <v>44.2</v>
      </c>
      <c r="O16" s="40">
        <v>0</v>
      </c>
      <c r="P16" s="40">
        <v>1.02</v>
      </c>
      <c r="Q16" s="40">
        <v>28.18</v>
      </c>
      <c r="R16" s="38"/>
      <c r="S16" s="38"/>
      <c r="T16" s="38"/>
      <c r="U16" s="38"/>
    </row>
    <row r="17" spans="1:21" customFormat="1">
      <c r="A17" s="39" t="s">
        <v>333</v>
      </c>
      <c r="B17" s="40">
        <v>7.86</v>
      </c>
      <c r="C17" s="40">
        <v>20.64</v>
      </c>
      <c r="D17" s="40">
        <v>18.13</v>
      </c>
      <c r="E17" s="40">
        <v>9.75</v>
      </c>
      <c r="F17" s="40">
        <v>4.37</v>
      </c>
      <c r="G17" s="40">
        <v>71.45</v>
      </c>
      <c r="H17" s="40">
        <v>38.380000000000003</v>
      </c>
      <c r="I17" s="40">
        <v>13</v>
      </c>
      <c r="J17" s="40">
        <v>0.56000000000000005</v>
      </c>
      <c r="K17" s="40">
        <v>253.68</v>
      </c>
      <c r="L17" s="40">
        <v>29.76</v>
      </c>
      <c r="M17" s="40">
        <v>43.28</v>
      </c>
      <c r="N17" s="40">
        <v>241.4</v>
      </c>
      <c r="O17" s="40">
        <v>0</v>
      </c>
      <c r="P17" s="40">
        <v>1.04</v>
      </c>
      <c r="Q17" s="40">
        <v>28.19</v>
      </c>
      <c r="R17" s="38"/>
      <c r="S17" s="38"/>
      <c r="T17" s="38"/>
      <c r="U17" s="38"/>
    </row>
    <row r="18" spans="1:21" customFormat="1">
      <c r="A18" s="39" t="s">
        <v>334</v>
      </c>
      <c r="B18" s="40">
        <v>6.49</v>
      </c>
      <c r="C18" s="40">
        <v>20.81</v>
      </c>
      <c r="D18" s="40">
        <v>17.41</v>
      </c>
      <c r="E18" s="40">
        <v>11.05</v>
      </c>
      <c r="F18" s="40">
        <v>4.83</v>
      </c>
      <c r="G18" s="40">
        <v>86.56</v>
      </c>
      <c r="H18" s="40">
        <v>40.69</v>
      </c>
      <c r="I18" s="40">
        <v>14.09</v>
      </c>
      <c r="J18" s="40">
        <v>1.0900000000000001</v>
      </c>
      <c r="K18" s="40">
        <v>261.93</v>
      </c>
      <c r="L18" s="40">
        <v>31.05</v>
      </c>
      <c r="M18" s="40">
        <v>32.630000000000003</v>
      </c>
      <c r="N18" s="40">
        <v>296.60000000000002</v>
      </c>
      <c r="O18" s="40">
        <v>0</v>
      </c>
      <c r="P18" s="40">
        <v>1.05</v>
      </c>
      <c r="Q18" s="40">
        <v>28.14</v>
      </c>
      <c r="R18" s="38"/>
      <c r="S18" s="38"/>
      <c r="T18" s="38"/>
      <c r="U18" s="38"/>
    </row>
    <row r="19" spans="1:21" customFormat="1">
      <c r="A19" s="39" t="s">
        <v>335</v>
      </c>
      <c r="B19" s="40">
        <v>4.1900000000000004</v>
      </c>
      <c r="C19" s="40">
        <v>20.16</v>
      </c>
      <c r="D19" s="40">
        <v>15.25</v>
      </c>
      <c r="E19" s="40">
        <v>9</v>
      </c>
      <c r="F19" s="40">
        <v>6.89</v>
      </c>
      <c r="G19" s="40">
        <v>90.92</v>
      </c>
      <c r="H19" s="40">
        <v>36.68</v>
      </c>
      <c r="I19" s="40">
        <v>14.99</v>
      </c>
      <c r="J19" s="40">
        <v>0.92</v>
      </c>
      <c r="K19" s="40">
        <v>262</v>
      </c>
      <c r="L19" s="40">
        <v>34.47</v>
      </c>
      <c r="M19" s="40">
        <v>25.45</v>
      </c>
      <c r="N19" s="40">
        <v>325.3</v>
      </c>
      <c r="O19" s="40">
        <v>0</v>
      </c>
      <c r="P19" s="40">
        <v>1.03</v>
      </c>
      <c r="Q19" s="40">
        <v>28.05</v>
      </c>
      <c r="R19" s="38"/>
      <c r="S19" s="38"/>
      <c r="T19" s="38"/>
      <c r="U19" s="38"/>
    </row>
    <row r="20" spans="1:21" customFormat="1">
      <c r="A20" s="39" t="s">
        <v>336</v>
      </c>
      <c r="B20" s="40">
        <v>3.65</v>
      </c>
      <c r="C20" s="40">
        <v>18.09</v>
      </c>
      <c r="D20" s="40">
        <v>13.71</v>
      </c>
      <c r="E20" s="40">
        <v>9.61</v>
      </c>
      <c r="F20" s="40">
        <v>7.11</v>
      </c>
      <c r="G20" s="40">
        <v>86.86</v>
      </c>
      <c r="H20" s="40">
        <v>35.950000000000003</v>
      </c>
      <c r="I20" s="40">
        <v>13.91</v>
      </c>
      <c r="J20" s="40">
        <v>1.22</v>
      </c>
      <c r="K20" s="40">
        <v>293.08999999999997</v>
      </c>
      <c r="L20" s="40">
        <v>36.54</v>
      </c>
      <c r="M20" s="40">
        <v>20.72</v>
      </c>
      <c r="N20" s="40">
        <v>326.3</v>
      </c>
      <c r="O20" s="40">
        <v>0</v>
      </c>
      <c r="P20" s="40">
        <v>0.99</v>
      </c>
      <c r="Q20" s="40">
        <v>28.02</v>
      </c>
      <c r="R20" s="38"/>
      <c r="S20" s="38"/>
      <c r="T20" s="38"/>
      <c r="U20" s="38"/>
    </row>
    <row r="21" spans="1:21" customFormat="1">
      <c r="A21" s="39" t="s">
        <v>337</v>
      </c>
      <c r="B21" s="40">
        <v>3.68</v>
      </c>
      <c r="C21" s="40">
        <v>19.03</v>
      </c>
      <c r="D21" s="40">
        <v>14.24</v>
      </c>
      <c r="E21" s="40">
        <v>11.48</v>
      </c>
      <c r="F21" s="40">
        <v>10.39</v>
      </c>
      <c r="G21" s="40">
        <v>81.03</v>
      </c>
      <c r="H21" s="40">
        <v>35.64</v>
      </c>
      <c r="I21" s="40">
        <v>12.77</v>
      </c>
      <c r="J21" s="40">
        <v>1.1499999999999999</v>
      </c>
      <c r="K21" s="40">
        <v>308.94</v>
      </c>
      <c r="L21" s="40">
        <v>37.520000000000003</v>
      </c>
      <c r="M21" s="40">
        <v>13.77</v>
      </c>
      <c r="N21" s="40">
        <v>338.4</v>
      </c>
      <c r="O21" s="40">
        <v>0</v>
      </c>
      <c r="P21" s="40">
        <v>0.91</v>
      </c>
      <c r="Q21" s="40">
        <v>28.03</v>
      </c>
      <c r="R21" s="38"/>
      <c r="S21" s="38"/>
      <c r="T21" s="38"/>
      <c r="U21" s="38"/>
    </row>
    <row r="22" spans="1:21" customFormat="1">
      <c r="A22" s="39" t="s">
        <v>338</v>
      </c>
      <c r="B22" s="40">
        <v>3.77</v>
      </c>
      <c r="C22" s="40">
        <v>18.37</v>
      </c>
      <c r="D22" s="40">
        <v>13.97</v>
      </c>
      <c r="E22" s="40">
        <v>10.039999999999999</v>
      </c>
      <c r="F22" s="40">
        <v>12.37</v>
      </c>
      <c r="G22" s="40">
        <v>76.27</v>
      </c>
      <c r="H22" s="40">
        <v>34.33</v>
      </c>
      <c r="I22" s="40">
        <v>12.57</v>
      </c>
      <c r="J22" s="40">
        <v>1.33</v>
      </c>
      <c r="K22" s="40">
        <v>323.79000000000002</v>
      </c>
      <c r="L22" s="40">
        <v>37.770000000000003</v>
      </c>
      <c r="M22" s="40">
        <v>12.55</v>
      </c>
      <c r="N22" s="40">
        <v>342.6</v>
      </c>
      <c r="O22" s="40">
        <v>0</v>
      </c>
      <c r="P22" s="40">
        <v>0.82</v>
      </c>
      <c r="Q22" s="40">
        <v>28.02</v>
      </c>
      <c r="R22" s="38"/>
      <c r="S22" s="38"/>
      <c r="T22" s="38"/>
      <c r="U22" s="38"/>
    </row>
    <row r="23" spans="1:21" customFormat="1">
      <c r="A23" s="39" t="s">
        <v>339</v>
      </c>
      <c r="B23" s="40">
        <v>3.81</v>
      </c>
      <c r="C23" s="40">
        <v>18.829999999999998</v>
      </c>
      <c r="D23" s="40">
        <v>14.24</v>
      </c>
      <c r="E23" s="40">
        <v>12.58</v>
      </c>
      <c r="F23" s="40">
        <v>13.26</v>
      </c>
      <c r="G23" s="40">
        <v>70.11</v>
      </c>
      <c r="H23" s="40">
        <v>27.46</v>
      </c>
      <c r="I23" s="40">
        <v>10.48</v>
      </c>
      <c r="J23" s="40">
        <v>1.1499999999999999</v>
      </c>
      <c r="K23" s="40">
        <v>336.69</v>
      </c>
      <c r="L23" s="40">
        <v>38.090000000000003</v>
      </c>
      <c r="M23" s="40">
        <v>13.06</v>
      </c>
      <c r="N23" s="40">
        <v>333.1</v>
      </c>
      <c r="O23" s="40">
        <v>0</v>
      </c>
      <c r="P23" s="40">
        <v>0.69</v>
      </c>
      <c r="Q23" s="40">
        <v>28.01</v>
      </c>
      <c r="R23" s="38"/>
      <c r="S23" s="38"/>
      <c r="T23" s="38"/>
      <c r="U23" s="38"/>
    </row>
    <row r="24" spans="1:21" customFormat="1">
      <c r="A24" s="39" t="s">
        <v>340</v>
      </c>
      <c r="B24" s="40">
        <v>4.17</v>
      </c>
      <c r="C24" s="40">
        <v>20.72</v>
      </c>
      <c r="D24" s="40">
        <v>15.52</v>
      </c>
      <c r="E24" s="40">
        <v>20.11</v>
      </c>
      <c r="F24" s="40">
        <v>15.66</v>
      </c>
      <c r="G24" s="40">
        <v>65.430000000000007</v>
      </c>
      <c r="H24" s="40">
        <v>27.89</v>
      </c>
      <c r="I24" s="40">
        <v>8.9700000000000006</v>
      </c>
      <c r="J24" s="40">
        <v>1.42</v>
      </c>
      <c r="K24" s="40">
        <v>323.68</v>
      </c>
      <c r="L24" s="40">
        <v>37.72</v>
      </c>
      <c r="M24" s="40">
        <v>13.38</v>
      </c>
      <c r="N24" s="40">
        <v>137</v>
      </c>
      <c r="O24" s="40">
        <v>0</v>
      </c>
      <c r="P24" s="40">
        <v>0.62</v>
      </c>
      <c r="Q24" s="40">
        <v>28.02</v>
      </c>
      <c r="R24" s="38"/>
      <c r="S24" s="38"/>
      <c r="T24" s="38"/>
      <c r="U24" s="38"/>
    </row>
    <row r="25" spans="1:21" customFormat="1">
      <c r="A25" s="39" t="s">
        <v>341</v>
      </c>
      <c r="B25" s="40">
        <v>3.29</v>
      </c>
      <c r="C25" s="40">
        <v>14.79</v>
      </c>
      <c r="D25" s="40">
        <v>11.71</v>
      </c>
      <c r="E25" s="40">
        <v>23.9</v>
      </c>
      <c r="F25" s="40">
        <v>22.55</v>
      </c>
      <c r="G25" s="40">
        <v>53.98</v>
      </c>
      <c r="H25" s="40">
        <v>22.94</v>
      </c>
      <c r="I25" s="40">
        <v>7.85</v>
      </c>
      <c r="J25" s="40">
        <v>0.59</v>
      </c>
      <c r="K25" s="40">
        <v>280.26</v>
      </c>
      <c r="L25" s="40">
        <v>37.479999999999997</v>
      </c>
      <c r="M25" s="40">
        <v>14.46</v>
      </c>
      <c r="N25" s="40">
        <v>68.5</v>
      </c>
      <c r="O25" s="40">
        <v>0</v>
      </c>
      <c r="P25" s="40">
        <v>0.52</v>
      </c>
      <c r="Q25" s="40">
        <v>28.03</v>
      </c>
      <c r="R25" s="38"/>
      <c r="S25" s="38"/>
      <c r="T25" s="38"/>
      <c r="U25" s="38"/>
    </row>
    <row r="26" spans="1:21" customFormat="1">
      <c r="A26" s="39" t="s">
        <v>342</v>
      </c>
      <c r="B26" s="40">
        <v>3.48</v>
      </c>
      <c r="C26" s="40">
        <v>14.16</v>
      </c>
      <c r="D26" s="40">
        <v>11.49</v>
      </c>
      <c r="E26" s="40">
        <v>23.72</v>
      </c>
      <c r="F26" s="40">
        <v>18.489999999999998</v>
      </c>
      <c r="G26" s="40">
        <v>53.54</v>
      </c>
      <c r="H26" s="40">
        <v>20.91</v>
      </c>
      <c r="I26" s="40">
        <v>6.44</v>
      </c>
      <c r="J26" s="40">
        <v>0.31</v>
      </c>
      <c r="K26" s="40">
        <v>216.53</v>
      </c>
      <c r="L26" s="40">
        <v>35.450000000000003</v>
      </c>
      <c r="M26" s="40">
        <v>20.34</v>
      </c>
      <c r="N26" s="40">
        <v>32.5</v>
      </c>
      <c r="O26" s="40">
        <v>0</v>
      </c>
      <c r="P26" s="40">
        <v>0.54</v>
      </c>
      <c r="Q26" s="40">
        <v>28.01</v>
      </c>
      <c r="R26" s="38"/>
      <c r="S26" s="38"/>
      <c r="T26" s="38"/>
      <c r="U26" s="38"/>
    </row>
    <row r="27" spans="1:21" customFormat="1">
      <c r="A27" s="39" t="s">
        <v>343</v>
      </c>
      <c r="B27" s="40">
        <v>3.74</v>
      </c>
      <c r="C27" s="40">
        <v>14.56</v>
      </c>
      <c r="D27" s="40">
        <v>11.96</v>
      </c>
      <c r="E27" s="40">
        <v>15.43</v>
      </c>
      <c r="F27" s="40">
        <v>10.36</v>
      </c>
      <c r="G27" s="40">
        <v>49.64</v>
      </c>
      <c r="H27" s="40">
        <v>20.23</v>
      </c>
      <c r="I27" s="40">
        <v>6.44</v>
      </c>
      <c r="J27" s="40">
        <v>0.24</v>
      </c>
      <c r="K27" s="40">
        <v>184.57</v>
      </c>
      <c r="L27" s="40">
        <v>31.73</v>
      </c>
      <c r="M27" s="40">
        <v>34.67</v>
      </c>
      <c r="N27" s="40">
        <v>3</v>
      </c>
      <c r="O27" s="40">
        <v>0</v>
      </c>
      <c r="P27" s="40">
        <v>0.59</v>
      </c>
      <c r="Q27" s="40">
        <v>28.02</v>
      </c>
      <c r="R27" s="38"/>
      <c r="S27" s="38"/>
      <c r="T27" s="38"/>
      <c r="U27" s="38"/>
    </row>
    <row r="28" spans="1:21" customFormat="1">
      <c r="A28" s="39" t="s">
        <v>344</v>
      </c>
      <c r="B28" s="40">
        <v>4.21</v>
      </c>
      <c r="C28" s="40">
        <v>16.170000000000002</v>
      </c>
      <c r="D28" s="40">
        <v>13.18</v>
      </c>
      <c r="E28" s="40">
        <v>12.19</v>
      </c>
      <c r="F28" s="40">
        <v>5.2</v>
      </c>
      <c r="G28" s="40">
        <v>65.13</v>
      </c>
      <c r="H28" s="40">
        <v>26.84</v>
      </c>
      <c r="I28" s="40">
        <v>7.27</v>
      </c>
      <c r="J28" s="40">
        <v>0.21</v>
      </c>
      <c r="K28" s="40">
        <v>186.82</v>
      </c>
      <c r="L28" s="40">
        <v>28.68</v>
      </c>
      <c r="M28" s="40">
        <v>37.72</v>
      </c>
      <c r="N28" s="40">
        <v>1</v>
      </c>
      <c r="O28" s="40">
        <v>0</v>
      </c>
      <c r="P28" s="40">
        <v>0.64</v>
      </c>
      <c r="Q28" s="40">
        <v>28.03</v>
      </c>
      <c r="R28" s="38"/>
      <c r="S28" s="38"/>
      <c r="T28" s="38"/>
      <c r="U28" s="38"/>
    </row>
    <row r="29" spans="1:21" customFormat="1">
      <c r="A29" s="39" t="s">
        <v>345</v>
      </c>
      <c r="B29" s="40">
        <v>4.75</v>
      </c>
      <c r="C29" s="40">
        <v>16.239999999999998</v>
      </c>
      <c r="D29" s="40">
        <v>13.65</v>
      </c>
      <c r="E29" s="40">
        <v>10.23</v>
      </c>
      <c r="F29" s="40">
        <v>4.1399999999999997</v>
      </c>
      <c r="G29" s="40">
        <v>69.59</v>
      </c>
      <c r="H29" s="40">
        <v>25.83</v>
      </c>
      <c r="I29" s="40">
        <v>7.88</v>
      </c>
      <c r="J29" s="40">
        <v>0.14000000000000001</v>
      </c>
      <c r="K29" s="40">
        <v>182.14</v>
      </c>
      <c r="L29" s="40">
        <v>27.14</v>
      </c>
      <c r="M29" s="40">
        <v>41.54</v>
      </c>
      <c r="N29" s="40">
        <v>0.7</v>
      </c>
      <c r="O29" s="40">
        <v>0</v>
      </c>
      <c r="P29" s="40">
        <v>0.66</v>
      </c>
      <c r="Q29" s="40">
        <v>28.04</v>
      </c>
      <c r="R29" s="38"/>
      <c r="S29" s="38"/>
      <c r="T29" s="38"/>
      <c r="U29" s="38"/>
    </row>
    <row r="30" spans="1:21" customFormat="1">
      <c r="A30" s="39" t="s">
        <v>346</v>
      </c>
      <c r="B30" s="40">
        <v>5.23</v>
      </c>
      <c r="C30" s="40">
        <v>16.239999999999998</v>
      </c>
      <c r="D30" s="40">
        <v>13.96</v>
      </c>
      <c r="E30" s="40">
        <v>10.02</v>
      </c>
      <c r="F30" s="40">
        <v>4.3099999999999996</v>
      </c>
      <c r="G30" s="40">
        <v>75.44</v>
      </c>
      <c r="H30" s="40">
        <v>27.91</v>
      </c>
      <c r="I30" s="40">
        <v>8.24</v>
      </c>
      <c r="J30" s="40">
        <v>0.18</v>
      </c>
      <c r="K30" s="40">
        <v>191.62</v>
      </c>
      <c r="L30" s="40">
        <v>26.32</v>
      </c>
      <c r="M30" s="40">
        <v>43.37</v>
      </c>
      <c r="N30" s="40">
        <v>0.6</v>
      </c>
      <c r="O30" s="40">
        <v>0</v>
      </c>
      <c r="P30" s="40">
        <v>0.7</v>
      </c>
      <c r="Q30" s="40">
        <v>28.06</v>
      </c>
      <c r="R30" s="38"/>
      <c r="S30" s="38"/>
      <c r="T30" s="38"/>
      <c r="U30" s="38"/>
    </row>
    <row r="31" spans="1:21" customFormat="1">
      <c r="A31" s="39" t="s">
        <v>347</v>
      </c>
      <c r="B31" s="40">
        <v>4.92</v>
      </c>
      <c r="C31" s="40">
        <v>16.739999999999998</v>
      </c>
      <c r="D31" s="40">
        <v>13.79</v>
      </c>
      <c r="E31" s="40">
        <v>9.3000000000000007</v>
      </c>
      <c r="F31" s="40">
        <v>3.93</v>
      </c>
      <c r="G31" s="40">
        <v>74.61</v>
      </c>
      <c r="H31" s="40">
        <v>27.2</v>
      </c>
      <c r="I31" s="40">
        <v>8.64</v>
      </c>
      <c r="J31" s="40">
        <v>0.19</v>
      </c>
      <c r="K31" s="40">
        <v>212.89</v>
      </c>
      <c r="L31" s="40">
        <v>25.63</v>
      </c>
      <c r="M31" s="40">
        <v>44.56</v>
      </c>
      <c r="N31" s="40">
        <v>0.7</v>
      </c>
      <c r="O31" s="40">
        <v>0</v>
      </c>
      <c r="P31" s="40">
        <v>0.73</v>
      </c>
      <c r="Q31" s="40">
        <v>28.05</v>
      </c>
      <c r="R31" s="38"/>
      <c r="S31" s="38"/>
      <c r="T31" s="38"/>
      <c r="U31" s="38"/>
    </row>
    <row r="32" spans="1:21" customFormat="1">
      <c r="A32" s="39" t="s">
        <v>348</v>
      </c>
      <c r="B32" s="40">
        <v>5.65</v>
      </c>
      <c r="C32" s="40">
        <v>19.21</v>
      </c>
      <c r="D32" s="40">
        <v>15.92</v>
      </c>
      <c r="E32" s="40">
        <v>9.2899999999999991</v>
      </c>
      <c r="F32" s="40">
        <v>4.34</v>
      </c>
      <c r="G32" s="40">
        <v>73.87</v>
      </c>
      <c r="H32" s="40">
        <v>28.42</v>
      </c>
      <c r="I32" s="40">
        <v>8.9600000000000009</v>
      </c>
      <c r="J32" s="40">
        <v>0.28000000000000003</v>
      </c>
      <c r="K32" s="40">
        <v>197.16</v>
      </c>
      <c r="L32" s="40">
        <v>25.32</v>
      </c>
      <c r="M32" s="40">
        <v>47.66</v>
      </c>
      <c r="N32" s="40">
        <v>1.1000000000000001</v>
      </c>
      <c r="O32" s="40">
        <v>0</v>
      </c>
      <c r="P32" s="40">
        <v>0.77</v>
      </c>
      <c r="Q32" s="40">
        <v>28.05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3.29</v>
      </c>
      <c r="C34" s="18">
        <f t="shared" si="0"/>
        <v>14.16</v>
      </c>
      <c r="D34" s="18">
        <f t="shared" si="0"/>
        <v>11.49</v>
      </c>
      <c r="E34" s="18">
        <f t="shared" si="0"/>
        <v>8.4499999999999993</v>
      </c>
      <c r="F34" s="18">
        <f t="shared" si="0"/>
        <v>3.87</v>
      </c>
      <c r="G34" s="18">
        <f t="shared" si="0"/>
        <v>49.64</v>
      </c>
      <c r="H34" s="18">
        <f t="shared" si="0"/>
        <v>20.23</v>
      </c>
      <c r="I34" s="18">
        <f t="shared" si="0"/>
        <v>6.44</v>
      </c>
      <c r="J34" s="18">
        <f t="shared" si="0"/>
        <v>0.14000000000000001</v>
      </c>
      <c r="K34" s="18">
        <f t="shared" si="0"/>
        <v>166.83</v>
      </c>
      <c r="L34" s="18">
        <f t="shared" si="0"/>
        <v>19.440000000000001</v>
      </c>
      <c r="M34" s="18">
        <f t="shared" si="0"/>
        <v>12.55</v>
      </c>
      <c r="N34" s="18">
        <f t="shared" si="0"/>
        <v>0.6</v>
      </c>
      <c r="O34" s="18">
        <f t="shared" si="0"/>
        <v>0</v>
      </c>
      <c r="P34" s="18">
        <f t="shared" si="0"/>
        <v>0.52</v>
      </c>
      <c r="Q34" s="18">
        <f t="shared" si="0"/>
        <v>28.01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14.03</v>
      </c>
      <c r="C35" s="3">
        <f t="shared" si="1"/>
        <v>20.81</v>
      </c>
      <c r="D35" s="3">
        <f t="shared" si="1"/>
        <v>22.28</v>
      </c>
      <c r="E35" s="3">
        <f t="shared" si="1"/>
        <v>23.9</v>
      </c>
      <c r="F35" s="3">
        <f t="shared" si="1"/>
        <v>22.55</v>
      </c>
      <c r="G35" s="3">
        <f t="shared" si="1"/>
        <v>90.92</v>
      </c>
      <c r="H35" s="3">
        <f t="shared" si="1"/>
        <v>40.69</v>
      </c>
      <c r="I35" s="3">
        <f t="shared" si="1"/>
        <v>14.99</v>
      </c>
      <c r="J35" s="3">
        <f t="shared" si="1"/>
        <v>1.42</v>
      </c>
      <c r="K35" s="3">
        <f t="shared" si="1"/>
        <v>336.69</v>
      </c>
      <c r="L35" s="3">
        <f t="shared" si="1"/>
        <v>38.090000000000003</v>
      </c>
      <c r="M35" s="3">
        <f t="shared" si="1"/>
        <v>64.27</v>
      </c>
      <c r="N35" s="3">
        <f t="shared" si="1"/>
        <v>342.6</v>
      </c>
      <c r="O35" s="3">
        <f t="shared" si="1"/>
        <v>0</v>
      </c>
      <c r="P35" s="3">
        <f t="shared" si="1"/>
        <v>1.05</v>
      </c>
      <c r="Q35" s="3">
        <f t="shared" si="1"/>
        <v>28.39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6.5770833333333334</v>
      </c>
      <c r="C36" s="18">
        <f t="shared" si="2"/>
        <v>18.02375</v>
      </c>
      <c r="D36" s="18">
        <f t="shared" si="2"/>
        <v>16.004583333333333</v>
      </c>
      <c r="E36" s="18">
        <f t="shared" si="2"/>
        <v>11.625416666666668</v>
      </c>
      <c r="F36" s="18">
        <f t="shared" si="2"/>
        <v>7.504999999999999</v>
      </c>
      <c r="G36" s="18">
        <f t="shared" si="2"/>
        <v>70.298333333333332</v>
      </c>
      <c r="H36" s="18">
        <f t="shared" si="2"/>
        <v>28.588750000000001</v>
      </c>
      <c r="I36" s="18">
        <f t="shared" si="2"/>
        <v>10.633750000000001</v>
      </c>
      <c r="J36" s="18">
        <f t="shared" si="2"/>
        <v>0.54541666666666666</v>
      </c>
      <c r="K36" s="18">
        <f t="shared" si="2"/>
        <v>230.46041666666665</v>
      </c>
      <c r="L36" s="18">
        <f t="shared" si="2"/>
        <v>28.685416666666672</v>
      </c>
      <c r="M36" s="18">
        <f t="shared" si="2"/>
        <v>38.65</v>
      </c>
      <c r="N36" s="18">
        <f t="shared" si="2"/>
        <v>104.86249999999997</v>
      </c>
      <c r="O36" s="18">
        <f t="shared" si="2"/>
        <v>0</v>
      </c>
      <c r="P36" s="18">
        <f t="shared" si="2"/>
        <v>0.81124999999999992</v>
      </c>
      <c r="Q36" s="18">
        <f t="shared" si="2"/>
        <v>28.124166666666653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3.4509488035796094</v>
      </c>
      <c r="C37" s="18">
        <f t="shared" ref="C37:Q37" si="3">STDEV(C9:C32)</f>
        <v>1.8814374996840697</v>
      </c>
      <c r="D37" s="18">
        <f t="shared" si="3"/>
        <v>3.1903059403063008</v>
      </c>
      <c r="E37" s="18">
        <f t="shared" si="3"/>
        <v>4.5538936795809688</v>
      </c>
      <c r="F37" s="18">
        <f t="shared" si="3"/>
        <v>5.327822787234382</v>
      </c>
      <c r="G37" s="18">
        <f t="shared" si="3"/>
        <v>11.041493545265766</v>
      </c>
      <c r="H37" s="18">
        <f t="shared" si="3"/>
        <v>5.5144263862676972</v>
      </c>
      <c r="I37" s="18">
        <f t="shared" si="3"/>
        <v>2.4808988772480016</v>
      </c>
      <c r="J37" s="18">
        <f t="shared" si="3"/>
        <v>0.4381282239022159</v>
      </c>
      <c r="K37" s="18">
        <f t="shared" si="3"/>
        <v>54.480493316349232</v>
      </c>
      <c r="L37" s="18">
        <f t="shared" si="3"/>
        <v>6.870037009688688</v>
      </c>
      <c r="M37" s="18">
        <f t="shared" si="3"/>
        <v>18.064958152275867</v>
      </c>
      <c r="N37" s="18">
        <f t="shared" si="3"/>
        <v>142.08002586570711</v>
      </c>
      <c r="O37" s="18">
        <f t="shared" si="3"/>
        <v>0</v>
      </c>
      <c r="P37" s="18">
        <f t="shared" si="3"/>
        <v>0.16371535478172003</v>
      </c>
      <c r="Q37" s="18">
        <f t="shared" si="3"/>
        <v>0.12761752185361519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H24" sqref="H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349</v>
      </c>
      <c r="B9" s="40">
        <v>5.21</v>
      </c>
      <c r="C9" s="40">
        <v>18.77</v>
      </c>
      <c r="D9" s="40">
        <v>15.33</v>
      </c>
      <c r="E9" s="40">
        <v>8.82</v>
      </c>
      <c r="F9" s="40">
        <v>3.83</v>
      </c>
      <c r="G9" s="40">
        <v>78.28</v>
      </c>
      <c r="H9" s="40">
        <v>32.159999999999997</v>
      </c>
      <c r="I9" s="40">
        <v>9.16</v>
      </c>
      <c r="J9" s="40">
        <v>0.28999999999999998</v>
      </c>
      <c r="K9" s="40">
        <v>194.31</v>
      </c>
      <c r="L9" s="40">
        <v>24.26</v>
      </c>
      <c r="M9" s="40">
        <v>50.79</v>
      </c>
      <c r="N9" s="40">
        <v>1.3</v>
      </c>
      <c r="O9" s="40">
        <v>0</v>
      </c>
      <c r="P9" s="40">
        <v>0.78</v>
      </c>
      <c r="Q9" s="40">
        <v>28.07</v>
      </c>
      <c r="R9" s="38"/>
      <c r="S9" s="38"/>
      <c r="T9" s="38"/>
      <c r="U9" s="38"/>
    </row>
    <row r="10" spans="1:21" customFormat="1">
      <c r="A10" s="39" t="s">
        <v>350</v>
      </c>
      <c r="B10" s="40">
        <v>4.72</v>
      </c>
      <c r="C10" s="40">
        <v>18.079999999999998</v>
      </c>
      <c r="D10" s="40">
        <v>14.58</v>
      </c>
      <c r="E10" s="40">
        <v>8.86</v>
      </c>
      <c r="F10" s="40">
        <v>3.8</v>
      </c>
      <c r="G10" s="40">
        <v>70.430000000000007</v>
      </c>
      <c r="H10" s="40">
        <v>33.47</v>
      </c>
      <c r="I10" s="40">
        <v>9.2100000000000009</v>
      </c>
      <c r="J10" s="40">
        <v>0.23</v>
      </c>
      <c r="K10" s="40">
        <v>181.54</v>
      </c>
      <c r="L10" s="40">
        <v>23.43</v>
      </c>
      <c r="M10" s="40">
        <v>50.79</v>
      </c>
      <c r="N10" s="40">
        <v>0.9</v>
      </c>
      <c r="O10" s="40">
        <v>0</v>
      </c>
      <c r="P10" s="40">
        <v>0.8</v>
      </c>
      <c r="Q10" s="40">
        <v>28.05</v>
      </c>
      <c r="R10" s="38"/>
      <c r="S10" s="38"/>
      <c r="T10" s="38"/>
      <c r="U10" s="38"/>
    </row>
    <row r="11" spans="1:21" customFormat="1">
      <c r="A11" s="39" t="s">
        <v>351</v>
      </c>
      <c r="B11" s="40">
        <v>4.5199999999999996</v>
      </c>
      <c r="C11" s="40">
        <v>17.57</v>
      </c>
      <c r="D11" s="40">
        <v>14.15</v>
      </c>
      <c r="E11" s="40">
        <v>7.83</v>
      </c>
      <c r="F11" s="40">
        <v>3.9</v>
      </c>
      <c r="G11" s="40">
        <v>69.05</v>
      </c>
      <c r="H11" s="40">
        <v>29.22</v>
      </c>
      <c r="I11" s="40">
        <v>9.17</v>
      </c>
      <c r="J11" s="40">
        <v>0.21</v>
      </c>
      <c r="K11" s="40">
        <v>185.5</v>
      </c>
      <c r="L11" s="40">
        <v>23.24</v>
      </c>
      <c r="M11" s="40">
        <v>53.04</v>
      </c>
      <c r="N11" s="40">
        <v>1</v>
      </c>
      <c r="O11" s="40">
        <v>0</v>
      </c>
      <c r="P11" s="40">
        <v>0.8</v>
      </c>
      <c r="Q11" s="40">
        <v>28.04</v>
      </c>
      <c r="R11" s="38"/>
      <c r="S11" s="38"/>
      <c r="T11" s="38"/>
      <c r="U11" s="38"/>
    </row>
    <row r="12" spans="1:21" customFormat="1">
      <c r="A12" s="39" t="s">
        <v>352</v>
      </c>
      <c r="B12" s="40">
        <v>5.21</v>
      </c>
      <c r="C12" s="40">
        <v>17.3</v>
      </c>
      <c r="D12" s="40">
        <v>14.43</v>
      </c>
      <c r="E12" s="40">
        <v>7.98</v>
      </c>
      <c r="F12" s="40">
        <v>4.08</v>
      </c>
      <c r="G12" s="40">
        <v>66.3</v>
      </c>
      <c r="H12" s="40">
        <v>29.3</v>
      </c>
      <c r="I12" s="40">
        <v>9.11</v>
      </c>
      <c r="J12" s="40">
        <v>0.19</v>
      </c>
      <c r="K12" s="40">
        <v>218.13</v>
      </c>
      <c r="L12" s="40">
        <v>22.82</v>
      </c>
      <c r="M12" s="40">
        <v>52.77</v>
      </c>
      <c r="N12" s="40">
        <v>0.8</v>
      </c>
      <c r="O12" s="40">
        <v>0</v>
      </c>
      <c r="P12" s="40">
        <v>0.8</v>
      </c>
      <c r="Q12" s="40">
        <v>28.08</v>
      </c>
      <c r="R12" s="38"/>
      <c r="S12" s="38"/>
      <c r="T12" s="38"/>
      <c r="U12" s="38"/>
    </row>
    <row r="13" spans="1:21" customFormat="1">
      <c r="A13" s="39" t="s">
        <v>353</v>
      </c>
      <c r="B13" s="40">
        <v>5.48</v>
      </c>
      <c r="C13" s="40">
        <v>16.95</v>
      </c>
      <c r="D13" s="40">
        <v>14.47</v>
      </c>
      <c r="E13" s="40">
        <v>7.84</v>
      </c>
      <c r="F13" s="40">
        <v>4.09</v>
      </c>
      <c r="G13" s="40">
        <v>62.65</v>
      </c>
      <c r="H13" s="40">
        <v>25.82</v>
      </c>
      <c r="I13" s="40">
        <v>9.25</v>
      </c>
      <c r="J13" s="40">
        <v>0.2</v>
      </c>
      <c r="K13" s="40">
        <v>214.55</v>
      </c>
      <c r="L13" s="40">
        <v>23.47</v>
      </c>
      <c r="M13" s="40">
        <v>47.77</v>
      </c>
      <c r="N13" s="40">
        <v>1.2</v>
      </c>
      <c r="O13" s="40">
        <v>0</v>
      </c>
      <c r="P13" s="40">
        <v>0.81</v>
      </c>
      <c r="Q13" s="40">
        <v>28.06</v>
      </c>
      <c r="R13" s="38"/>
      <c r="S13" s="38"/>
      <c r="T13" s="38"/>
      <c r="U13" s="38"/>
    </row>
    <row r="14" spans="1:21" customFormat="1">
      <c r="A14" s="39" t="s">
        <v>354</v>
      </c>
      <c r="B14" s="40">
        <v>5.75</v>
      </c>
      <c r="C14" s="40">
        <v>16.62</v>
      </c>
      <c r="D14" s="40">
        <v>14.47</v>
      </c>
      <c r="E14" s="40">
        <v>7.63</v>
      </c>
      <c r="F14" s="40">
        <v>4.07</v>
      </c>
      <c r="G14" s="40">
        <v>64.42</v>
      </c>
      <c r="H14" s="40">
        <v>25.73</v>
      </c>
      <c r="I14" s="40">
        <v>9.4600000000000009</v>
      </c>
      <c r="J14" s="40">
        <v>0.24</v>
      </c>
      <c r="K14" s="40">
        <v>168.55</v>
      </c>
      <c r="L14" s="40">
        <v>22.77</v>
      </c>
      <c r="M14" s="40">
        <v>56</v>
      </c>
      <c r="N14" s="40">
        <v>1.3</v>
      </c>
      <c r="O14" s="40">
        <v>0</v>
      </c>
      <c r="P14" s="40">
        <v>0.83</v>
      </c>
      <c r="Q14" s="40">
        <v>28.08</v>
      </c>
      <c r="R14" s="38"/>
      <c r="S14" s="38"/>
      <c r="T14" s="38"/>
      <c r="U14" s="38"/>
    </row>
    <row r="15" spans="1:21" customFormat="1">
      <c r="A15" s="39" t="s">
        <v>355</v>
      </c>
      <c r="B15" s="40">
        <v>6.15</v>
      </c>
      <c r="C15" s="40">
        <v>16.21</v>
      </c>
      <c r="D15" s="40">
        <v>14.71</v>
      </c>
      <c r="E15" s="40">
        <v>7.81</v>
      </c>
      <c r="F15" s="40">
        <v>3.92</v>
      </c>
      <c r="G15" s="40">
        <v>60.6</v>
      </c>
      <c r="H15" s="40">
        <v>30.33</v>
      </c>
      <c r="I15" s="40">
        <v>9.73</v>
      </c>
      <c r="J15" s="40">
        <v>0.2</v>
      </c>
      <c r="K15" s="40">
        <v>166.55</v>
      </c>
      <c r="L15" s="40">
        <v>21.76</v>
      </c>
      <c r="M15" s="40">
        <v>60.6</v>
      </c>
      <c r="N15" s="40">
        <v>19.2</v>
      </c>
      <c r="O15" s="40">
        <v>0</v>
      </c>
      <c r="P15" s="40">
        <v>0.86</v>
      </c>
      <c r="Q15" s="40">
        <v>28.11</v>
      </c>
      <c r="R15" s="38"/>
      <c r="S15" s="38"/>
      <c r="T15" s="38"/>
      <c r="U15" s="38"/>
    </row>
    <row r="16" spans="1:21" customFormat="1">
      <c r="A16" s="39" t="s">
        <v>356</v>
      </c>
      <c r="B16" s="40">
        <v>6.88</v>
      </c>
      <c r="C16" s="40">
        <v>17.63</v>
      </c>
      <c r="D16" s="40">
        <v>16.03</v>
      </c>
      <c r="E16" s="40">
        <v>7.75</v>
      </c>
      <c r="F16" s="40">
        <v>4.09</v>
      </c>
      <c r="G16" s="40">
        <v>60.63</v>
      </c>
      <c r="H16" s="40">
        <v>29.77</v>
      </c>
      <c r="I16" s="40">
        <v>10.16</v>
      </c>
      <c r="J16" s="40">
        <v>0.47</v>
      </c>
      <c r="K16" s="40">
        <v>175.15</v>
      </c>
      <c r="L16" s="40">
        <v>25.46</v>
      </c>
      <c r="M16" s="40">
        <v>59.31</v>
      </c>
      <c r="N16" s="40">
        <v>52.3</v>
      </c>
      <c r="O16" s="40">
        <v>0</v>
      </c>
      <c r="P16" s="40">
        <v>0.91</v>
      </c>
      <c r="Q16" s="40">
        <v>28.13</v>
      </c>
      <c r="R16" s="38"/>
      <c r="S16" s="38"/>
      <c r="T16" s="38"/>
      <c r="U16" s="38"/>
    </row>
    <row r="17" spans="1:21" customFormat="1">
      <c r="A17" s="39" t="s">
        <v>357</v>
      </c>
      <c r="B17" s="40">
        <v>6.46</v>
      </c>
      <c r="C17" s="40">
        <v>18.78</v>
      </c>
      <c r="D17" s="40">
        <v>16.03</v>
      </c>
      <c r="E17" s="40">
        <v>8.58</v>
      </c>
      <c r="F17" s="40">
        <v>4.1500000000000004</v>
      </c>
      <c r="G17" s="40">
        <v>72.62</v>
      </c>
      <c r="H17" s="40">
        <v>34.19</v>
      </c>
      <c r="I17" s="40">
        <v>10.66</v>
      </c>
      <c r="J17" s="40">
        <v>0.37</v>
      </c>
      <c r="K17" s="40">
        <v>234.85</v>
      </c>
      <c r="L17" s="40">
        <v>29.79</v>
      </c>
      <c r="M17" s="40">
        <v>43.75</v>
      </c>
      <c r="N17" s="40">
        <v>201.2</v>
      </c>
      <c r="O17" s="40">
        <v>0</v>
      </c>
      <c r="P17" s="40">
        <v>0.93</v>
      </c>
      <c r="Q17" s="40">
        <v>28.13</v>
      </c>
      <c r="R17" s="38"/>
      <c r="S17" s="38"/>
      <c r="T17" s="38"/>
      <c r="U17" s="38"/>
    </row>
    <row r="18" spans="1:21" customFormat="1">
      <c r="A18" s="39" t="s">
        <v>358</v>
      </c>
      <c r="B18" s="40">
        <v>4.0999999999999996</v>
      </c>
      <c r="C18" s="40">
        <v>18.68</v>
      </c>
      <c r="D18" s="40">
        <v>14.4</v>
      </c>
      <c r="E18" s="40">
        <v>9.35</v>
      </c>
      <c r="F18" s="40">
        <v>4.75</v>
      </c>
      <c r="G18" s="40">
        <v>78.91</v>
      </c>
      <c r="H18" s="40">
        <v>38.99</v>
      </c>
      <c r="I18" s="40">
        <v>10.81</v>
      </c>
      <c r="J18" s="40">
        <v>0.77</v>
      </c>
      <c r="K18" s="40">
        <v>260.41000000000003</v>
      </c>
      <c r="L18" s="40">
        <v>32.840000000000003</v>
      </c>
      <c r="M18" s="40">
        <v>33.54</v>
      </c>
      <c r="N18" s="40">
        <v>265.7</v>
      </c>
      <c r="O18" s="40">
        <v>0</v>
      </c>
      <c r="P18" s="40">
        <v>0.93</v>
      </c>
      <c r="Q18" s="40">
        <v>28.02</v>
      </c>
      <c r="R18" s="38"/>
      <c r="S18" s="38"/>
      <c r="T18" s="38"/>
      <c r="U18" s="38"/>
    </row>
    <row r="19" spans="1:21" customFormat="1">
      <c r="A19" s="39" t="s">
        <v>359</v>
      </c>
      <c r="B19" s="40">
        <v>3.52</v>
      </c>
      <c r="C19" s="40">
        <v>17.489999999999998</v>
      </c>
      <c r="D19" s="40">
        <v>13.31</v>
      </c>
      <c r="E19" s="40">
        <v>9.83</v>
      </c>
      <c r="F19" s="40">
        <v>6.51</v>
      </c>
      <c r="G19" s="40">
        <v>82.62</v>
      </c>
      <c r="H19" s="40">
        <v>38.46</v>
      </c>
      <c r="I19" s="40">
        <v>10.65</v>
      </c>
      <c r="J19" s="40">
        <v>1.34</v>
      </c>
      <c r="K19" s="40">
        <v>274.81</v>
      </c>
      <c r="L19" s="40">
        <v>35.380000000000003</v>
      </c>
      <c r="M19" s="40">
        <v>31.03</v>
      </c>
      <c r="N19" s="40">
        <v>304.5</v>
      </c>
      <c r="O19" s="40">
        <v>0</v>
      </c>
      <c r="P19" s="40">
        <v>0.89</v>
      </c>
      <c r="Q19" s="40">
        <v>28.02</v>
      </c>
      <c r="R19" s="38"/>
      <c r="S19" s="38"/>
      <c r="T19" s="38"/>
      <c r="U19" s="38"/>
    </row>
    <row r="20" spans="1:21" customFormat="1">
      <c r="A20" s="39" t="s">
        <v>360</v>
      </c>
      <c r="B20" s="40">
        <v>3.57</v>
      </c>
      <c r="C20" s="40">
        <v>16.829999999999998</v>
      </c>
      <c r="D20" s="40">
        <v>12.99</v>
      </c>
      <c r="E20" s="40">
        <v>10.85</v>
      </c>
      <c r="F20" s="40">
        <v>9.01</v>
      </c>
      <c r="G20" s="40">
        <v>85.79</v>
      </c>
      <c r="H20" s="40">
        <v>39.200000000000003</v>
      </c>
      <c r="I20" s="40">
        <v>10.039999999999999</v>
      </c>
      <c r="J20" s="40">
        <v>1.57</v>
      </c>
      <c r="K20" s="40">
        <v>283.06</v>
      </c>
      <c r="L20" s="40">
        <v>36.97</v>
      </c>
      <c r="M20" s="40">
        <v>25.9</v>
      </c>
      <c r="N20" s="40">
        <v>315</v>
      </c>
      <c r="O20" s="40">
        <v>0</v>
      </c>
      <c r="P20" s="40">
        <v>0.82</v>
      </c>
      <c r="Q20" s="40">
        <v>28</v>
      </c>
      <c r="R20" s="38"/>
      <c r="S20" s="38"/>
      <c r="T20" s="38"/>
      <c r="U20" s="38"/>
    </row>
    <row r="21" spans="1:21" customFormat="1">
      <c r="A21" s="39" t="s">
        <v>361</v>
      </c>
      <c r="B21" s="40">
        <v>3.6</v>
      </c>
      <c r="C21" s="40">
        <v>17.23</v>
      </c>
      <c r="D21" s="40">
        <v>13.18</v>
      </c>
      <c r="E21" s="40">
        <v>16.09</v>
      </c>
      <c r="F21" s="40">
        <v>13.3</v>
      </c>
      <c r="G21" s="40">
        <v>98.62</v>
      </c>
      <c r="H21" s="40">
        <v>36.299999999999997</v>
      </c>
      <c r="I21" s="40">
        <v>9</v>
      </c>
      <c r="J21" s="40">
        <v>1.32</v>
      </c>
      <c r="K21" s="40">
        <v>276.64999999999998</v>
      </c>
      <c r="L21" s="40">
        <v>38.19</v>
      </c>
      <c r="M21" s="40">
        <v>21.37</v>
      </c>
      <c r="N21" s="40">
        <v>332.3</v>
      </c>
      <c r="O21" s="40">
        <v>0</v>
      </c>
      <c r="P21" s="40">
        <v>0.84</v>
      </c>
      <c r="Q21" s="40">
        <v>28</v>
      </c>
      <c r="R21" s="38"/>
      <c r="S21" s="38"/>
      <c r="T21" s="38"/>
      <c r="U21" s="38"/>
    </row>
    <row r="22" spans="1:21" customFormat="1">
      <c r="A22" s="39" t="s">
        <v>362</v>
      </c>
      <c r="B22" s="40">
        <v>3.79</v>
      </c>
      <c r="C22" s="40">
        <v>17.850000000000001</v>
      </c>
      <c r="D22" s="40">
        <v>13.71</v>
      </c>
      <c r="E22" s="40">
        <v>19.41</v>
      </c>
      <c r="F22" s="40">
        <v>15.45</v>
      </c>
      <c r="G22" s="40">
        <v>96.17</v>
      </c>
      <c r="H22" s="40">
        <v>36.340000000000003</v>
      </c>
      <c r="I22" s="40">
        <v>9.0299999999999994</v>
      </c>
      <c r="J22" s="40">
        <v>1.07</v>
      </c>
      <c r="K22" s="40">
        <v>301.61</v>
      </c>
      <c r="L22" s="40">
        <v>39.06</v>
      </c>
      <c r="M22" s="40">
        <v>18.04</v>
      </c>
      <c r="N22" s="40">
        <v>329.3</v>
      </c>
      <c r="O22" s="40">
        <v>0</v>
      </c>
      <c r="P22" s="40">
        <v>0.84</v>
      </c>
      <c r="Q22" s="40">
        <v>28</v>
      </c>
      <c r="R22" s="38"/>
      <c r="S22" s="38"/>
      <c r="T22" s="38"/>
      <c r="U22" s="38"/>
    </row>
    <row r="23" spans="1:21" customFormat="1">
      <c r="A23" s="39" t="s">
        <v>363</v>
      </c>
      <c r="B23" s="40">
        <v>3.68</v>
      </c>
      <c r="C23" s="40">
        <v>17.149999999999999</v>
      </c>
      <c r="D23" s="40">
        <v>13.26</v>
      </c>
      <c r="E23" s="40">
        <v>11.99</v>
      </c>
      <c r="F23" s="40">
        <v>17.579999999999998</v>
      </c>
      <c r="G23" s="40">
        <v>85.48</v>
      </c>
      <c r="H23" s="40">
        <v>32.25</v>
      </c>
      <c r="I23" s="40">
        <v>8.69</v>
      </c>
      <c r="J23" s="40">
        <v>0.99</v>
      </c>
      <c r="K23" s="40">
        <v>302.73</v>
      </c>
      <c r="L23" s="40">
        <v>39.1</v>
      </c>
      <c r="M23" s="40">
        <v>14.54</v>
      </c>
      <c r="N23" s="40">
        <v>301.10000000000002</v>
      </c>
      <c r="O23" s="40">
        <v>0</v>
      </c>
      <c r="P23" s="40">
        <v>0.73</v>
      </c>
      <c r="Q23" s="40">
        <v>28.01</v>
      </c>
      <c r="R23" s="38"/>
      <c r="S23" s="38"/>
      <c r="T23" s="38"/>
      <c r="U23" s="38"/>
    </row>
    <row r="24" spans="1:21" customFormat="1">
      <c r="A24" s="39" t="s">
        <v>364</v>
      </c>
      <c r="B24" s="40">
        <v>3.77</v>
      </c>
      <c r="C24" s="40">
        <v>16.95</v>
      </c>
      <c r="D24" s="40">
        <v>13.13</v>
      </c>
      <c r="E24" s="40">
        <v>10.98</v>
      </c>
      <c r="F24" s="40">
        <v>20.239999999999998</v>
      </c>
      <c r="G24" s="40">
        <v>69.099999999999994</v>
      </c>
      <c r="H24" s="40">
        <v>30</v>
      </c>
      <c r="I24" s="40">
        <v>8.25</v>
      </c>
      <c r="J24" s="40">
        <v>1.45</v>
      </c>
      <c r="K24" s="40">
        <v>291.66000000000003</v>
      </c>
      <c r="L24" s="40">
        <v>38.619999999999997</v>
      </c>
      <c r="M24" s="40">
        <v>13.02</v>
      </c>
      <c r="N24" s="40">
        <v>189</v>
      </c>
      <c r="O24" s="40">
        <v>0</v>
      </c>
      <c r="P24" s="40">
        <v>0.7</v>
      </c>
      <c r="Q24" s="40">
        <v>28.01</v>
      </c>
      <c r="R24" s="38"/>
      <c r="S24" s="38"/>
      <c r="T24" s="38"/>
      <c r="U24" s="38"/>
    </row>
    <row r="25" spans="1:21" customFormat="1">
      <c r="A25" s="39" t="s">
        <v>365</v>
      </c>
      <c r="B25" s="40">
        <v>3.98</v>
      </c>
      <c r="C25" s="40">
        <v>15.89</v>
      </c>
      <c r="D25" s="40">
        <v>12.85</v>
      </c>
      <c r="E25" s="40">
        <v>9.0299999999999994</v>
      </c>
      <c r="F25" s="40">
        <v>28.98</v>
      </c>
      <c r="G25" s="40">
        <v>51.83</v>
      </c>
      <c r="H25" s="40">
        <v>25.41</v>
      </c>
      <c r="I25" s="40">
        <v>7.48</v>
      </c>
      <c r="J25" s="40">
        <v>0.91</v>
      </c>
      <c r="K25" s="40">
        <v>290.14</v>
      </c>
      <c r="L25" s="40">
        <v>38.520000000000003</v>
      </c>
      <c r="M25" s="40">
        <v>9.8800000000000008</v>
      </c>
      <c r="N25" s="40">
        <v>72.900000000000006</v>
      </c>
      <c r="O25" s="40">
        <v>0</v>
      </c>
      <c r="P25" s="40">
        <v>0.61</v>
      </c>
      <c r="Q25" s="40">
        <v>28.01</v>
      </c>
      <c r="R25" s="38"/>
      <c r="S25" s="38"/>
      <c r="T25" s="38"/>
      <c r="U25" s="38"/>
    </row>
    <row r="26" spans="1:21" customFormat="1">
      <c r="A26" s="39" t="s">
        <v>366</v>
      </c>
      <c r="B26" s="40">
        <v>3.64</v>
      </c>
      <c r="C26" s="40">
        <v>14.39</v>
      </c>
      <c r="D26" s="40">
        <v>11.79</v>
      </c>
      <c r="E26" s="40">
        <v>8.69</v>
      </c>
      <c r="F26" s="40">
        <v>17.34</v>
      </c>
      <c r="G26" s="40">
        <v>43.59</v>
      </c>
      <c r="H26" s="40">
        <v>23.31</v>
      </c>
      <c r="I26" s="40">
        <v>6.28</v>
      </c>
      <c r="J26" s="40">
        <v>0.93</v>
      </c>
      <c r="K26" s="40">
        <v>254.77</v>
      </c>
      <c r="L26" s="40">
        <v>36.86</v>
      </c>
      <c r="M26" s="40">
        <v>15.98</v>
      </c>
      <c r="N26" s="40">
        <v>33.299999999999997</v>
      </c>
      <c r="O26" s="40">
        <v>0</v>
      </c>
      <c r="P26" s="40">
        <v>0.55000000000000004</v>
      </c>
      <c r="Q26" s="40">
        <v>28.01</v>
      </c>
      <c r="R26" s="38"/>
      <c r="S26" s="38"/>
      <c r="T26" s="38"/>
      <c r="U26" s="38"/>
    </row>
    <row r="27" spans="1:21" customFormat="1">
      <c r="A27" s="39" t="s">
        <v>367</v>
      </c>
      <c r="B27" s="40">
        <v>3.48</v>
      </c>
      <c r="C27" s="40">
        <v>14.47</v>
      </c>
      <c r="D27" s="40">
        <v>11.7</v>
      </c>
      <c r="E27" s="40">
        <v>10.6</v>
      </c>
      <c r="F27" s="40">
        <v>8.1199999999999992</v>
      </c>
      <c r="G27" s="40">
        <v>38.15</v>
      </c>
      <c r="H27" s="40">
        <v>19.98</v>
      </c>
      <c r="I27" s="40">
        <v>6.36</v>
      </c>
      <c r="J27" s="40">
        <v>0.22</v>
      </c>
      <c r="K27" s="40">
        <v>192.57</v>
      </c>
      <c r="L27" s="40">
        <v>32.69</v>
      </c>
      <c r="M27" s="40">
        <v>28.57</v>
      </c>
      <c r="N27" s="40">
        <v>2.8</v>
      </c>
      <c r="O27" s="40">
        <v>0</v>
      </c>
      <c r="P27" s="40">
        <v>0.56999999999999995</v>
      </c>
      <c r="Q27" s="40">
        <v>28.03</v>
      </c>
      <c r="R27" s="38"/>
      <c r="S27" s="38"/>
      <c r="T27" s="38"/>
      <c r="U27" s="38"/>
    </row>
    <row r="28" spans="1:21" customFormat="1">
      <c r="A28" s="39" t="s">
        <v>368</v>
      </c>
      <c r="B28" s="40">
        <v>3.69</v>
      </c>
      <c r="C28" s="40">
        <v>15.19</v>
      </c>
      <c r="D28" s="40">
        <v>12.25</v>
      </c>
      <c r="E28" s="40">
        <v>10.38</v>
      </c>
      <c r="F28" s="40">
        <v>6.26</v>
      </c>
      <c r="G28" s="40">
        <v>43.61</v>
      </c>
      <c r="H28" s="40">
        <v>19.670000000000002</v>
      </c>
      <c r="I28" s="40">
        <v>6.97</v>
      </c>
      <c r="J28" s="40">
        <v>0.22</v>
      </c>
      <c r="K28" s="40">
        <v>177.29</v>
      </c>
      <c r="L28" s="40">
        <v>29.32</v>
      </c>
      <c r="M28" s="40">
        <v>30.22</v>
      </c>
      <c r="N28" s="40">
        <v>0.7</v>
      </c>
      <c r="O28" s="40">
        <v>0</v>
      </c>
      <c r="P28" s="40">
        <v>0.6</v>
      </c>
      <c r="Q28" s="40">
        <v>28.02</v>
      </c>
      <c r="R28" s="38"/>
      <c r="S28" s="38"/>
      <c r="T28" s="38"/>
      <c r="U28" s="38"/>
    </row>
    <row r="29" spans="1:21" customFormat="1">
      <c r="A29" s="39" t="s">
        <v>369</v>
      </c>
      <c r="B29" s="40">
        <v>3.8</v>
      </c>
      <c r="C29" s="40">
        <v>15.39</v>
      </c>
      <c r="D29" s="40">
        <v>12.44</v>
      </c>
      <c r="E29" s="40">
        <v>10.01</v>
      </c>
      <c r="F29" s="40">
        <v>4.79</v>
      </c>
      <c r="G29" s="40">
        <v>45.51</v>
      </c>
      <c r="H29" s="40">
        <v>19.05</v>
      </c>
      <c r="I29" s="40">
        <v>7.68</v>
      </c>
      <c r="J29" s="40">
        <v>0.25</v>
      </c>
      <c r="K29" s="40">
        <v>193.08</v>
      </c>
      <c r="L29" s="40">
        <v>28.16</v>
      </c>
      <c r="M29" s="40">
        <v>35.31</v>
      </c>
      <c r="N29" s="40">
        <v>0.9</v>
      </c>
      <c r="O29" s="40">
        <v>0</v>
      </c>
      <c r="P29" s="40">
        <v>0.64</v>
      </c>
      <c r="Q29" s="40">
        <v>28.02</v>
      </c>
      <c r="R29" s="38"/>
      <c r="S29" s="38"/>
      <c r="T29" s="38"/>
      <c r="U29" s="38"/>
    </row>
    <row r="30" spans="1:21" customFormat="1">
      <c r="A30" s="39" t="s">
        <v>370</v>
      </c>
      <c r="B30" s="40">
        <v>8.58</v>
      </c>
      <c r="C30" s="40">
        <v>19.64</v>
      </c>
      <c r="D30" s="40">
        <v>18.489999999999998</v>
      </c>
      <c r="E30" s="40">
        <v>9.9600000000000009</v>
      </c>
      <c r="F30" s="40">
        <v>4.2</v>
      </c>
      <c r="G30" s="40">
        <v>48.64</v>
      </c>
      <c r="H30" s="40">
        <v>18.95</v>
      </c>
      <c r="I30" s="40">
        <v>8.26</v>
      </c>
      <c r="J30" s="40">
        <v>0.24</v>
      </c>
      <c r="K30" s="40">
        <v>186.66</v>
      </c>
      <c r="L30" s="40">
        <v>27.17</v>
      </c>
      <c r="M30" s="40">
        <v>36.01</v>
      </c>
      <c r="N30" s="40">
        <v>1</v>
      </c>
      <c r="O30" s="40">
        <v>0</v>
      </c>
      <c r="P30" s="40">
        <v>0.72</v>
      </c>
      <c r="Q30" s="40">
        <v>28.08</v>
      </c>
      <c r="R30" s="38"/>
      <c r="S30" s="38"/>
      <c r="T30" s="38"/>
      <c r="U30" s="38"/>
    </row>
    <row r="31" spans="1:21" customFormat="1">
      <c r="A31" s="39" t="s">
        <v>371</v>
      </c>
      <c r="B31" s="40">
        <v>8.06</v>
      </c>
      <c r="C31" s="40">
        <v>19.5</v>
      </c>
      <c r="D31" s="40">
        <v>17.850000000000001</v>
      </c>
      <c r="E31" s="40">
        <v>9.7799999999999994</v>
      </c>
      <c r="F31" s="40">
        <v>4.0199999999999996</v>
      </c>
      <c r="G31" s="40">
        <v>61.97</v>
      </c>
      <c r="H31" s="40">
        <v>20.22</v>
      </c>
      <c r="I31" s="40">
        <v>9.2799999999999994</v>
      </c>
      <c r="J31" s="40">
        <v>0.23</v>
      </c>
      <c r="K31" s="40">
        <v>186.55</v>
      </c>
      <c r="L31" s="40">
        <v>26.02</v>
      </c>
      <c r="M31" s="40">
        <v>43.37</v>
      </c>
      <c r="N31" s="40">
        <v>1.2</v>
      </c>
      <c r="O31" s="40">
        <v>0</v>
      </c>
      <c r="P31" s="40">
        <v>0.8</v>
      </c>
      <c r="Q31" s="40">
        <v>28.19</v>
      </c>
      <c r="R31" s="38"/>
      <c r="S31" s="38"/>
      <c r="T31" s="38"/>
      <c r="U31" s="38"/>
    </row>
    <row r="32" spans="1:21" customFormat="1">
      <c r="A32" s="39" t="s">
        <v>372</v>
      </c>
      <c r="B32" s="40">
        <v>8.57</v>
      </c>
      <c r="C32" s="40">
        <v>18.66</v>
      </c>
      <c r="D32" s="40">
        <v>17.68</v>
      </c>
      <c r="E32" s="40">
        <v>9.66</v>
      </c>
      <c r="F32" s="40">
        <v>3.92</v>
      </c>
      <c r="G32" s="40">
        <v>64.89</v>
      </c>
      <c r="H32" s="40">
        <v>24.82</v>
      </c>
      <c r="I32" s="40">
        <v>9.7200000000000006</v>
      </c>
      <c r="J32" s="40">
        <v>0.2</v>
      </c>
      <c r="K32" s="40">
        <v>213.02</v>
      </c>
      <c r="L32" s="40">
        <v>24.05</v>
      </c>
      <c r="M32" s="40">
        <v>47.42</v>
      </c>
      <c r="N32" s="40">
        <v>0.9</v>
      </c>
      <c r="O32" s="40">
        <v>0</v>
      </c>
      <c r="P32" s="40">
        <v>0.83</v>
      </c>
      <c r="Q32" s="40">
        <v>28.2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3.48</v>
      </c>
      <c r="C34" s="18">
        <f t="shared" si="0"/>
        <v>14.39</v>
      </c>
      <c r="D34" s="18">
        <f t="shared" si="0"/>
        <v>11.7</v>
      </c>
      <c r="E34" s="18">
        <f t="shared" si="0"/>
        <v>7.63</v>
      </c>
      <c r="F34" s="18">
        <f t="shared" si="0"/>
        <v>3.8</v>
      </c>
      <c r="G34" s="18">
        <f t="shared" si="0"/>
        <v>38.15</v>
      </c>
      <c r="H34" s="18">
        <f t="shared" si="0"/>
        <v>18.95</v>
      </c>
      <c r="I34" s="18">
        <f t="shared" si="0"/>
        <v>6.28</v>
      </c>
      <c r="J34" s="18">
        <f t="shared" si="0"/>
        <v>0.19</v>
      </c>
      <c r="K34" s="18">
        <f t="shared" si="0"/>
        <v>166.55</v>
      </c>
      <c r="L34" s="18">
        <f t="shared" si="0"/>
        <v>21.76</v>
      </c>
      <c r="M34" s="18">
        <f t="shared" si="0"/>
        <v>9.8800000000000008</v>
      </c>
      <c r="N34" s="18">
        <f t="shared" si="0"/>
        <v>0.7</v>
      </c>
      <c r="O34" s="18">
        <f t="shared" si="0"/>
        <v>0</v>
      </c>
      <c r="P34" s="18">
        <f t="shared" si="0"/>
        <v>0.55000000000000004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8.58</v>
      </c>
      <c r="C35" s="3">
        <f t="shared" si="1"/>
        <v>19.64</v>
      </c>
      <c r="D35" s="3">
        <f t="shared" si="1"/>
        <v>18.489999999999998</v>
      </c>
      <c r="E35" s="3">
        <f t="shared" si="1"/>
        <v>19.41</v>
      </c>
      <c r="F35" s="3">
        <f t="shared" si="1"/>
        <v>28.98</v>
      </c>
      <c r="G35" s="3">
        <f t="shared" si="1"/>
        <v>98.62</v>
      </c>
      <c r="H35" s="3">
        <f t="shared" si="1"/>
        <v>39.200000000000003</v>
      </c>
      <c r="I35" s="3">
        <f t="shared" si="1"/>
        <v>10.81</v>
      </c>
      <c r="J35" s="3">
        <f t="shared" si="1"/>
        <v>1.57</v>
      </c>
      <c r="K35" s="3">
        <f t="shared" si="1"/>
        <v>302.73</v>
      </c>
      <c r="L35" s="3">
        <f t="shared" si="1"/>
        <v>39.1</v>
      </c>
      <c r="M35" s="3">
        <f t="shared" si="1"/>
        <v>60.6</v>
      </c>
      <c r="N35" s="3">
        <f t="shared" si="1"/>
        <v>332.3</v>
      </c>
      <c r="O35" s="3">
        <f t="shared" si="1"/>
        <v>0</v>
      </c>
      <c r="P35" s="3">
        <f t="shared" si="1"/>
        <v>0.93</v>
      </c>
      <c r="Q35" s="3">
        <f t="shared" si="1"/>
        <v>28.2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5.00875</v>
      </c>
      <c r="C36" s="18">
        <f t="shared" si="2"/>
        <v>17.217499999999998</v>
      </c>
      <c r="D36" s="18">
        <f t="shared" si="2"/>
        <v>14.301250000000003</v>
      </c>
      <c r="E36" s="18">
        <f t="shared" si="2"/>
        <v>9.9879166666666652</v>
      </c>
      <c r="F36" s="18">
        <f t="shared" si="2"/>
        <v>8.35</v>
      </c>
      <c r="G36" s="18">
        <f t="shared" si="2"/>
        <v>66.660833333333329</v>
      </c>
      <c r="H36" s="18">
        <f t="shared" si="2"/>
        <v>28.872499999999999</v>
      </c>
      <c r="I36" s="18">
        <f t="shared" si="2"/>
        <v>8.9337499999999999</v>
      </c>
      <c r="J36" s="18">
        <f t="shared" si="2"/>
        <v>0.58791666666666675</v>
      </c>
      <c r="K36" s="18">
        <f t="shared" si="2"/>
        <v>226.00583333333336</v>
      </c>
      <c r="L36" s="18">
        <f t="shared" si="2"/>
        <v>29.997916666666665</v>
      </c>
      <c r="M36" s="18">
        <f t="shared" si="2"/>
        <v>36.625833333333333</v>
      </c>
      <c r="N36" s="18">
        <f t="shared" si="2"/>
        <v>101.24166666666667</v>
      </c>
      <c r="O36" s="18">
        <f t="shared" si="2"/>
        <v>0</v>
      </c>
      <c r="P36" s="18">
        <f t="shared" si="2"/>
        <v>0.77458333333333318</v>
      </c>
      <c r="Q36" s="18">
        <f t="shared" si="2"/>
        <v>28.057083333333335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1.6574294200986932</v>
      </c>
      <c r="C37" s="18">
        <f t="shared" ref="C37:Q37" si="3">STDEV(C9:C32)</f>
        <v>1.4460658773856503</v>
      </c>
      <c r="D37" s="18">
        <f t="shared" si="3"/>
        <v>1.8481161089536264</v>
      </c>
      <c r="E37" s="18">
        <f t="shared" si="3"/>
        <v>2.7082241561049099</v>
      </c>
      <c r="F37" s="18">
        <f t="shared" si="3"/>
        <v>6.8156259082889203</v>
      </c>
      <c r="G37" s="18">
        <f t="shared" si="3"/>
        <v>16.420294684817105</v>
      </c>
      <c r="H37" s="18">
        <f t="shared" si="3"/>
        <v>6.5941906250881184</v>
      </c>
      <c r="I37" s="18">
        <f t="shared" si="3"/>
        <v>1.2569694835630181</v>
      </c>
      <c r="J37" s="18">
        <f t="shared" si="3"/>
        <v>0.47745684227151253</v>
      </c>
      <c r="K37" s="18">
        <f t="shared" si="3"/>
        <v>47.733154817595945</v>
      </c>
      <c r="L37" s="18">
        <f t="shared" si="3"/>
        <v>6.3884419949772351</v>
      </c>
      <c r="M37" s="18">
        <f t="shared" si="3"/>
        <v>15.827390654417304</v>
      </c>
      <c r="N37" s="18">
        <f t="shared" si="3"/>
        <v>133.80990057822189</v>
      </c>
      <c r="O37" s="18">
        <f t="shared" si="3"/>
        <v>0</v>
      </c>
      <c r="P37" s="18">
        <f t="shared" si="3"/>
        <v>0.11158849740731987</v>
      </c>
      <c r="Q37" s="18">
        <f t="shared" si="3"/>
        <v>5.8419708308417105E-2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I23" sqref="I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373</v>
      </c>
      <c r="B9" s="40">
        <v>9.1199999999999992</v>
      </c>
      <c r="C9" s="40">
        <v>17.13</v>
      </c>
      <c r="D9" s="40">
        <v>17.43</v>
      </c>
      <c r="E9" s="40">
        <v>9.57</v>
      </c>
      <c r="F9" s="41">
        <v>4.03</v>
      </c>
      <c r="G9" s="40">
        <v>62.64</v>
      </c>
      <c r="H9" s="40">
        <v>25.17</v>
      </c>
      <c r="I9" s="40">
        <v>10.34</v>
      </c>
      <c r="J9" s="40">
        <v>0.27</v>
      </c>
      <c r="K9" s="40">
        <v>191.63</v>
      </c>
      <c r="L9" s="40">
        <v>24.11</v>
      </c>
      <c r="M9" s="40">
        <v>45.3</v>
      </c>
      <c r="N9" s="40">
        <v>0.8</v>
      </c>
      <c r="O9" s="40">
        <v>0</v>
      </c>
      <c r="P9" s="40">
        <v>0.89</v>
      </c>
      <c r="Q9" s="40">
        <v>28.19</v>
      </c>
      <c r="R9" s="38"/>
      <c r="S9" s="38"/>
      <c r="T9" s="38"/>
      <c r="U9" s="38"/>
    </row>
    <row r="10" spans="1:21" customFormat="1">
      <c r="A10" s="39" t="s">
        <v>374</v>
      </c>
      <c r="B10" s="40">
        <v>9.19</v>
      </c>
      <c r="C10" s="40">
        <v>16.61</v>
      </c>
      <c r="D10" s="40">
        <v>17.38</v>
      </c>
      <c r="E10" s="40">
        <v>9.65</v>
      </c>
      <c r="F10" s="41">
        <v>4.0199999999999996</v>
      </c>
      <c r="G10" s="40">
        <v>67.19</v>
      </c>
      <c r="H10" s="40">
        <v>27.69</v>
      </c>
      <c r="I10" s="40">
        <v>11.2</v>
      </c>
      <c r="J10" s="40">
        <v>0.21</v>
      </c>
      <c r="K10" s="40">
        <v>185.14</v>
      </c>
      <c r="L10" s="40">
        <v>23.9</v>
      </c>
      <c r="M10" s="40">
        <v>43.86</v>
      </c>
      <c r="N10" s="40">
        <v>0.8</v>
      </c>
      <c r="O10" s="40">
        <v>0</v>
      </c>
      <c r="P10" s="40">
        <v>0.96</v>
      </c>
      <c r="Q10" s="40">
        <v>28.21</v>
      </c>
      <c r="R10" s="38"/>
      <c r="S10" s="38"/>
      <c r="T10" s="38"/>
      <c r="U10" s="38"/>
    </row>
    <row r="11" spans="1:21" customFormat="1">
      <c r="A11" s="39" t="s">
        <v>375</v>
      </c>
      <c r="B11" s="40">
        <v>9.2200000000000006</v>
      </c>
      <c r="C11" s="40">
        <v>16.25</v>
      </c>
      <c r="D11" s="40">
        <v>17.21</v>
      </c>
      <c r="E11" s="40">
        <v>9.0399999999999991</v>
      </c>
      <c r="F11" s="41">
        <v>4.0599999999999996</v>
      </c>
      <c r="G11" s="40">
        <v>69.62</v>
      </c>
      <c r="H11" s="40">
        <v>32.76</v>
      </c>
      <c r="I11" s="40">
        <v>12.02</v>
      </c>
      <c r="J11" s="40">
        <v>0.39</v>
      </c>
      <c r="K11" s="40">
        <v>186.27</v>
      </c>
      <c r="L11" s="40">
        <v>23.92</v>
      </c>
      <c r="M11" s="40">
        <v>47.27</v>
      </c>
      <c r="N11" s="40">
        <v>1.3</v>
      </c>
      <c r="O11" s="40">
        <v>0</v>
      </c>
      <c r="P11" s="40">
        <v>1.04</v>
      </c>
      <c r="Q11" s="40">
        <v>28.2</v>
      </c>
      <c r="R11" s="38"/>
      <c r="S11" s="38"/>
      <c r="T11" s="38"/>
      <c r="U11" s="38"/>
    </row>
    <row r="12" spans="1:21" customFormat="1">
      <c r="A12" s="39" t="s">
        <v>376</v>
      </c>
      <c r="B12" s="40">
        <v>9.0399999999999991</v>
      </c>
      <c r="C12" s="40">
        <v>16.440000000000001</v>
      </c>
      <c r="D12" s="40">
        <v>17</v>
      </c>
      <c r="E12" s="40">
        <v>9.1199999999999992</v>
      </c>
      <c r="F12" s="41">
        <v>3.89</v>
      </c>
      <c r="G12" s="40">
        <v>73.09</v>
      </c>
      <c r="H12" s="40">
        <v>33.64</v>
      </c>
      <c r="I12" s="40">
        <v>13.09</v>
      </c>
      <c r="J12" s="40">
        <v>0.26</v>
      </c>
      <c r="K12" s="40">
        <v>184.89</v>
      </c>
      <c r="L12" s="40">
        <v>23.61</v>
      </c>
      <c r="M12" s="40">
        <v>49.12</v>
      </c>
      <c r="N12" s="40">
        <v>1.1000000000000001</v>
      </c>
      <c r="O12" s="40">
        <v>0</v>
      </c>
      <c r="P12" s="40">
        <v>1.1499999999999999</v>
      </c>
      <c r="Q12" s="40">
        <v>28.2</v>
      </c>
      <c r="R12" s="38"/>
      <c r="S12" s="38"/>
      <c r="T12" s="38"/>
      <c r="U12" s="38"/>
    </row>
    <row r="13" spans="1:21" customFormat="1">
      <c r="A13" s="39" t="s">
        <v>377</v>
      </c>
      <c r="B13" s="40">
        <v>7.38</v>
      </c>
      <c r="C13" s="40">
        <v>16.600000000000001</v>
      </c>
      <c r="D13" s="40">
        <v>15.95</v>
      </c>
      <c r="E13" s="40">
        <v>9.0299999999999994</v>
      </c>
      <c r="F13" s="41">
        <v>3.85</v>
      </c>
      <c r="G13" s="40">
        <v>71.02</v>
      </c>
      <c r="H13" s="40">
        <v>37.35</v>
      </c>
      <c r="I13" s="40">
        <v>14.38</v>
      </c>
      <c r="J13" s="40">
        <v>0.22</v>
      </c>
      <c r="K13" s="40">
        <v>167.81</v>
      </c>
      <c r="L13" s="40">
        <v>23.18</v>
      </c>
      <c r="M13" s="40">
        <v>51.7</v>
      </c>
      <c r="N13" s="40">
        <v>1.1000000000000001</v>
      </c>
      <c r="O13" s="40">
        <v>0</v>
      </c>
      <c r="P13" s="40">
        <v>1.23</v>
      </c>
      <c r="Q13" s="40">
        <v>28.16</v>
      </c>
      <c r="R13" s="38"/>
      <c r="S13" s="38"/>
      <c r="T13" s="38"/>
      <c r="U13" s="38"/>
    </row>
    <row r="14" spans="1:21" customFormat="1">
      <c r="A14" s="39" t="s">
        <v>378</v>
      </c>
      <c r="B14" s="40">
        <v>6.17</v>
      </c>
      <c r="C14" s="40">
        <v>16.989999999999998</v>
      </c>
      <c r="D14" s="40">
        <v>14.99</v>
      </c>
      <c r="E14" s="40">
        <v>8.9499999999999993</v>
      </c>
      <c r="F14" s="41">
        <v>3.69</v>
      </c>
      <c r="G14" s="40">
        <v>72.03</v>
      </c>
      <c r="H14" s="40">
        <v>34.57</v>
      </c>
      <c r="I14" s="40">
        <v>15.12</v>
      </c>
      <c r="J14" s="40">
        <v>0.23</v>
      </c>
      <c r="K14" s="40">
        <v>180.53</v>
      </c>
      <c r="L14" s="40">
        <v>23.08</v>
      </c>
      <c r="M14" s="40">
        <v>54.88</v>
      </c>
      <c r="N14" s="40">
        <v>1.3</v>
      </c>
      <c r="O14" s="40">
        <v>0</v>
      </c>
      <c r="P14" s="40">
        <v>1.24</v>
      </c>
      <c r="Q14" s="40">
        <v>28.1</v>
      </c>
      <c r="R14" s="38"/>
      <c r="S14" s="38"/>
      <c r="T14" s="38"/>
      <c r="U14" s="38"/>
    </row>
    <row r="15" spans="1:21" customFormat="1">
      <c r="A15" s="39" t="s">
        <v>379</v>
      </c>
      <c r="B15" s="40">
        <v>5.52</v>
      </c>
      <c r="C15" s="40">
        <v>16.920000000000002</v>
      </c>
      <c r="D15" s="40">
        <v>14.62</v>
      </c>
      <c r="E15" s="40">
        <v>9.15</v>
      </c>
      <c r="F15" s="41">
        <v>3.75</v>
      </c>
      <c r="G15" s="40">
        <v>71.89</v>
      </c>
      <c r="H15" s="40">
        <v>34.799999999999997</v>
      </c>
      <c r="I15" s="40">
        <v>15.24</v>
      </c>
      <c r="J15" s="40">
        <v>0.21</v>
      </c>
      <c r="K15" s="40">
        <v>168.9</v>
      </c>
      <c r="L15" s="40">
        <v>22.93</v>
      </c>
      <c r="M15" s="40">
        <v>55.94</v>
      </c>
      <c r="N15" s="40">
        <v>20.2</v>
      </c>
      <c r="O15" s="40">
        <v>0</v>
      </c>
      <c r="P15" s="40">
        <v>1.25</v>
      </c>
      <c r="Q15" s="40">
        <v>28.1</v>
      </c>
      <c r="R15" s="38"/>
      <c r="S15" s="38"/>
      <c r="T15" s="38"/>
      <c r="U15" s="38"/>
    </row>
    <row r="16" spans="1:21" customFormat="1">
      <c r="A16" s="39" t="s">
        <v>380</v>
      </c>
      <c r="B16" s="40">
        <v>4.87</v>
      </c>
      <c r="C16" s="40">
        <v>16.59</v>
      </c>
      <c r="D16" s="40">
        <v>13.92</v>
      </c>
      <c r="E16" s="40">
        <v>8.6</v>
      </c>
      <c r="F16" s="41">
        <v>3.88</v>
      </c>
      <c r="G16" s="40">
        <v>73.84</v>
      </c>
      <c r="H16" s="40">
        <v>36.78</v>
      </c>
      <c r="I16" s="40">
        <v>15.16</v>
      </c>
      <c r="J16" s="40">
        <v>0.27</v>
      </c>
      <c r="K16" s="40">
        <v>258.79000000000002</v>
      </c>
      <c r="L16" s="40">
        <v>26.27</v>
      </c>
      <c r="M16" s="40">
        <v>51.16</v>
      </c>
      <c r="N16" s="40">
        <v>58.6</v>
      </c>
      <c r="O16" s="40">
        <v>0</v>
      </c>
      <c r="P16" s="40">
        <v>1.22</v>
      </c>
      <c r="Q16" s="40">
        <v>28.06</v>
      </c>
      <c r="R16" s="38"/>
      <c r="S16" s="38"/>
      <c r="T16" s="38"/>
      <c r="U16" s="38"/>
    </row>
    <row r="17" spans="1:21" customFormat="1">
      <c r="A17" s="39" t="s">
        <v>381</v>
      </c>
      <c r="B17" s="40">
        <v>4.26</v>
      </c>
      <c r="C17" s="40">
        <v>16.68</v>
      </c>
      <c r="D17" s="40">
        <v>13.38</v>
      </c>
      <c r="E17" s="40">
        <v>8.83</v>
      </c>
      <c r="F17" s="41">
        <v>4.97</v>
      </c>
      <c r="G17" s="40">
        <v>64.38</v>
      </c>
      <c r="H17" s="40">
        <v>36.68</v>
      </c>
      <c r="I17" s="40">
        <v>14.55</v>
      </c>
      <c r="J17" s="40">
        <v>0.6</v>
      </c>
      <c r="K17" s="40">
        <v>259.75</v>
      </c>
      <c r="L17" s="40">
        <v>29.64</v>
      </c>
      <c r="M17" s="40">
        <v>40.74</v>
      </c>
      <c r="N17" s="40">
        <v>200.3</v>
      </c>
      <c r="O17" s="40">
        <v>0</v>
      </c>
      <c r="P17" s="40">
        <v>1.18</v>
      </c>
      <c r="Q17" s="40">
        <v>28.04</v>
      </c>
      <c r="R17" s="38"/>
      <c r="S17" s="38"/>
      <c r="T17" s="38"/>
      <c r="U17" s="38"/>
    </row>
    <row r="18" spans="1:21" customFormat="1">
      <c r="A18" s="39" t="s">
        <v>382</v>
      </c>
      <c r="B18" s="40">
        <v>4.09</v>
      </c>
      <c r="C18" s="40">
        <v>15.98</v>
      </c>
      <c r="D18" s="40">
        <v>12.98</v>
      </c>
      <c r="E18" s="40">
        <v>9.4700000000000006</v>
      </c>
      <c r="F18" s="41">
        <v>5.83</v>
      </c>
      <c r="G18" s="40">
        <v>63.67</v>
      </c>
      <c r="H18" s="40">
        <v>35.67</v>
      </c>
      <c r="I18" s="40">
        <v>13.85</v>
      </c>
      <c r="J18" s="40">
        <v>0.98</v>
      </c>
      <c r="K18" s="40">
        <v>265.81</v>
      </c>
      <c r="L18" s="40">
        <v>32.96</v>
      </c>
      <c r="M18" s="40">
        <v>35.770000000000003</v>
      </c>
      <c r="N18" s="40">
        <v>266.89999999999998</v>
      </c>
      <c r="O18" s="40">
        <v>0</v>
      </c>
      <c r="P18" s="40">
        <v>1.1299999999999999</v>
      </c>
      <c r="Q18" s="40">
        <v>28.04</v>
      </c>
      <c r="R18" s="38"/>
      <c r="S18" s="38"/>
      <c r="T18" s="38"/>
      <c r="U18" s="38"/>
    </row>
    <row r="19" spans="1:21" customFormat="1">
      <c r="A19" s="39" t="s">
        <v>383</v>
      </c>
      <c r="B19" s="40">
        <v>3.81</v>
      </c>
      <c r="C19" s="40">
        <v>15.64</v>
      </c>
      <c r="D19" s="40">
        <v>12.58</v>
      </c>
      <c r="E19" s="40">
        <v>12.88</v>
      </c>
      <c r="F19" s="41">
        <v>13.45</v>
      </c>
      <c r="G19" s="40">
        <v>62.66</v>
      </c>
      <c r="H19" s="40">
        <v>34.39</v>
      </c>
      <c r="I19" s="40">
        <v>13.17</v>
      </c>
      <c r="J19" s="40">
        <v>1.25</v>
      </c>
      <c r="K19" s="40">
        <v>261.89</v>
      </c>
      <c r="L19" s="40">
        <v>35.83</v>
      </c>
      <c r="M19" s="40">
        <v>31.35</v>
      </c>
      <c r="N19" s="40">
        <v>307</v>
      </c>
      <c r="O19" s="40">
        <v>0</v>
      </c>
      <c r="P19" s="40">
        <v>1.08</v>
      </c>
      <c r="Q19" s="40">
        <v>28.03</v>
      </c>
      <c r="R19" s="38"/>
      <c r="S19" s="38"/>
      <c r="T19" s="38"/>
      <c r="U19" s="38"/>
    </row>
    <row r="20" spans="1:21" customFormat="1">
      <c r="A20" s="39" t="s">
        <v>384</v>
      </c>
      <c r="B20" s="40">
        <v>3.65</v>
      </c>
      <c r="C20" s="40">
        <v>15.57</v>
      </c>
      <c r="D20" s="40">
        <v>12.41</v>
      </c>
      <c r="E20" s="40">
        <v>16.309999999999999</v>
      </c>
      <c r="F20" s="41">
        <v>27.2</v>
      </c>
      <c r="G20" s="40">
        <v>60.33</v>
      </c>
      <c r="H20" s="40">
        <v>33.090000000000003</v>
      </c>
      <c r="I20" s="40">
        <v>11.98</v>
      </c>
      <c r="J20" s="40">
        <v>1.05</v>
      </c>
      <c r="K20" s="40">
        <v>299.25</v>
      </c>
      <c r="L20" s="40">
        <v>37.4</v>
      </c>
      <c r="M20" s="40">
        <v>22.76</v>
      </c>
      <c r="N20" s="40">
        <v>307.7</v>
      </c>
      <c r="O20" s="40">
        <v>0</v>
      </c>
      <c r="P20" s="40">
        <v>0.99</v>
      </c>
      <c r="Q20" s="40">
        <v>28</v>
      </c>
      <c r="R20" s="38"/>
      <c r="S20" s="38"/>
      <c r="T20" s="38"/>
      <c r="U20" s="38"/>
    </row>
    <row r="21" spans="1:21" customFormat="1">
      <c r="A21" s="39" t="s">
        <v>385</v>
      </c>
      <c r="B21" s="40">
        <v>3.79</v>
      </c>
      <c r="C21" s="40">
        <v>15.42</v>
      </c>
      <c r="D21" s="40">
        <v>12.45</v>
      </c>
      <c r="E21" s="40">
        <v>14.16</v>
      </c>
      <c r="F21" s="41">
        <v>37.07</v>
      </c>
      <c r="G21" s="40">
        <v>61.31</v>
      </c>
      <c r="H21" s="40">
        <v>29.79</v>
      </c>
      <c r="I21" s="40">
        <v>11.66</v>
      </c>
      <c r="J21" s="40">
        <v>1.3</v>
      </c>
      <c r="K21" s="40">
        <v>300.23</v>
      </c>
      <c r="L21" s="40">
        <v>37.93</v>
      </c>
      <c r="M21" s="40">
        <v>17.260000000000002</v>
      </c>
      <c r="N21" s="40">
        <v>328.4</v>
      </c>
      <c r="O21" s="40">
        <v>0</v>
      </c>
      <c r="P21" s="40">
        <v>0.93</v>
      </c>
      <c r="Q21" s="40">
        <v>28</v>
      </c>
      <c r="R21" s="38"/>
      <c r="S21" s="38"/>
      <c r="T21" s="38"/>
      <c r="U21" s="38"/>
    </row>
    <row r="22" spans="1:21" customFormat="1">
      <c r="A22" s="39" t="s">
        <v>386</v>
      </c>
      <c r="B22" s="40">
        <v>3.79</v>
      </c>
      <c r="C22" s="40">
        <v>15.42</v>
      </c>
      <c r="D22" s="40">
        <v>12.45</v>
      </c>
      <c r="E22" s="40">
        <v>13.81</v>
      </c>
      <c r="F22" s="41">
        <v>27.62</v>
      </c>
      <c r="G22" s="40">
        <v>61.31</v>
      </c>
      <c r="H22" s="40">
        <v>29.79</v>
      </c>
      <c r="I22" s="40">
        <v>11.61</v>
      </c>
      <c r="J22" s="40">
        <v>1.19</v>
      </c>
      <c r="K22" s="40">
        <v>294.85000000000002</v>
      </c>
      <c r="L22" s="40">
        <v>37.93</v>
      </c>
      <c r="M22" s="40">
        <v>17.260000000000002</v>
      </c>
      <c r="N22" s="40">
        <v>325</v>
      </c>
      <c r="O22" s="40">
        <v>0</v>
      </c>
      <c r="P22" s="40">
        <v>0.92</v>
      </c>
      <c r="Q22" s="40">
        <v>28</v>
      </c>
      <c r="R22" s="38"/>
      <c r="S22" s="38"/>
      <c r="T22" s="38"/>
      <c r="U22" s="38"/>
    </row>
    <row r="23" spans="1:21" customFormat="1">
      <c r="A23" s="39" t="s">
        <v>387</v>
      </c>
      <c r="B23" s="40">
        <v>3.77</v>
      </c>
      <c r="C23" s="40">
        <v>14.59</v>
      </c>
      <c r="D23" s="40">
        <v>12</v>
      </c>
      <c r="E23" s="40">
        <v>15.45</v>
      </c>
      <c r="F23" s="41">
        <v>52.52</v>
      </c>
      <c r="G23" s="40">
        <v>57.48</v>
      </c>
      <c r="H23" s="40">
        <v>29.17</v>
      </c>
      <c r="I23" s="40">
        <v>10.09</v>
      </c>
      <c r="J23" s="40">
        <v>1.01</v>
      </c>
      <c r="K23" s="40">
        <v>301.18</v>
      </c>
      <c r="L23" s="40">
        <v>39.44</v>
      </c>
      <c r="M23" s="40">
        <v>13.91</v>
      </c>
      <c r="N23" s="40">
        <v>322.3</v>
      </c>
      <c r="O23" s="40">
        <v>0</v>
      </c>
      <c r="P23" s="40">
        <v>0.8</v>
      </c>
      <c r="Q23" s="40">
        <v>28.01</v>
      </c>
      <c r="R23" s="38"/>
      <c r="S23" s="38"/>
      <c r="T23" s="38"/>
      <c r="U23" s="38"/>
    </row>
    <row r="24" spans="1:21" customFormat="1">
      <c r="A24" s="39" t="s">
        <v>388</v>
      </c>
      <c r="B24" s="40">
        <v>3.55</v>
      </c>
      <c r="C24" s="40">
        <v>13.47</v>
      </c>
      <c r="D24" s="40">
        <v>11.24</v>
      </c>
      <c r="E24" s="40">
        <v>19.39</v>
      </c>
      <c r="F24" s="41">
        <v>19.579999999999998</v>
      </c>
      <c r="G24" s="40">
        <v>47.81</v>
      </c>
      <c r="H24" s="40">
        <v>22.97</v>
      </c>
      <c r="I24" s="40">
        <v>8.2799999999999994</v>
      </c>
      <c r="J24" s="40">
        <v>0.9</v>
      </c>
      <c r="K24" s="40">
        <v>272.76</v>
      </c>
      <c r="L24" s="40">
        <v>39.44</v>
      </c>
      <c r="M24" s="40">
        <v>14.52</v>
      </c>
      <c r="N24" s="40">
        <v>217.7</v>
      </c>
      <c r="O24" s="40">
        <v>0</v>
      </c>
      <c r="P24" s="40">
        <v>0.73</v>
      </c>
      <c r="Q24" s="40">
        <v>28.01</v>
      </c>
      <c r="R24" s="38"/>
      <c r="S24" s="38"/>
      <c r="T24" s="38"/>
      <c r="U24" s="38"/>
    </row>
    <row r="25" spans="1:21" customFormat="1">
      <c r="A25" s="39" t="s">
        <v>389</v>
      </c>
      <c r="B25" s="40">
        <v>3.49</v>
      </c>
      <c r="C25" s="40">
        <v>11.71</v>
      </c>
      <c r="D25" s="40">
        <v>10.220000000000001</v>
      </c>
      <c r="E25" s="40">
        <v>19.010000000000002</v>
      </c>
      <c r="F25" s="41">
        <v>20.55</v>
      </c>
      <c r="G25" s="40">
        <v>46.89</v>
      </c>
      <c r="H25" s="40">
        <v>21.3</v>
      </c>
      <c r="I25" s="40">
        <v>7.82</v>
      </c>
      <c r="J25" s="40">
        <v>0.62</v>
      </c>
      <c r="K25" s="40">
        <v>258.27</v>
      </c>
      <c r="L25" s="40">
        <v>38.6</v>
      </c>
      <c r="M25" s="40">
        <v>15.63</v>
      </c>
      <c r="N25" s="40">
        <v>68.5</v>
      </c>
      <c r="O25" s="40">
        <v>0</v>
      </c>
      <c r="P25" s="40">
        <v>0.66</v>
      </c>
      <c r="Q25" s="40">
        <v>28</v>
      </c>
      <c r="R25" s="38"/>
      <c r="S25" s="38"/>
      <c r="T25" s="38"/>
      <c r="U25" s="38"/>
    </row>
    <row r="26" spans="1:21" customFormat="1">
      <c r="A26" s="39" t="s">
        <v>390</v>
      </c>
      <c r="B26" s="40">
        <v>3.5</v>
      </c>
      <c r="C26" s="40">
        <v>12.02</v>
      </c>
      <c r="D26" s="40">
        <v>10.44</v>
      </c>
      <c r="E26" s="40">
        <v>17.940000000000001</v>
      </c>
      <c r="F26" s="41">
        <v>15.94</v>
      </c>
      <c r="G26" s="40">
        <v>40.799999999999997</v>
      </c>
      <c r="H26" s="40">
        <v>18.149999999999999</v>
      </c>
      <c r="I26" s="40">
        <v>7.2</v>
      </c>
      <c r="J26" s="40">
        <v>0.66</v>
      </c>
      <c r="K26" s="40">
        <v>253.6</v>
      </c>
      <c r="L26" s="40">
        <v>36.76</v>
      </c>
      <c r="M26" s="40">
        <v>16.079999999999998</v>
      </c>
      <c r="N26" s="40">
        <v>32.6</v>
      </c>
      <c r="O26" s="40">
        <v>0</v>
      </c>
      <c r="P26" s="40">
        <v>0.68</v>
      </c>
      <c r="Q26" s="40">
        <v>28</v>
      </c>
      <c r="R26" s="38"/>
      <c r="S26" s="38"/>
      <c r="T26" s="38"/>
      <c r="U26" s="38"/>
    </row>
    <row r="27" spans="1:21" customFormat="1">
      <c r="A27" s="39" t="s">
        <v>391</v>
      </c>
      <c r="B27" s="40">
        <v>3.7</v>
      </c>
      <c r="C27" s="40">
        <v>16.350000000000001</v>
      </c>
      <c r="D27" s="40">
        <v>12.86</v>
      </c>
      <c r="E27" s="40">
        <v>11.36</v>
      </c>
      <c r="F27" s="41">
        <v>7.2</v>
      </c>
      <c r="G27" s="40">
        <v>38.57</v>
      </c>
      <c r="H27" s="40">
        <v>19.579999999999998</v>
      </c>
      <c r="I27" s="40">
        <v>6.78</v>
      </c>
      <c r="J27" s="40">
        <v>0.41</v>
      </c>
      <c r="K27" s="40">
        <v>234.22</v>
      </c>
      <c r="L27" s="40">
        <v>34.32</v>
      </c>
      <c r="M27" s="40">
        <v>19.149999999999999</v>
      </c>
      <c r="N27" s="40">
        <v>2.6</v>
      </c>
      <c r="O27" s="40">
        <v>0</v>
      </c>
      <c r="P27" s="40">
        <v>0.68</v>
      </c>
      <c r="Q27" s="40">
        <v>28.01</v>
      </c>
      <c r="R27" s="38"/>
      <c r="S27" s="38"/>
      <c r="T27" s="38"/>
      <c r="U27" s="38"/>
    </row>
    <row r="28" spans="1:21" customFormat="1">
      <c r="A28" s="39" t="s">
        <v>392</v>
      </c>
      <c r="B28" s="40">
        <v>4.2</v>
      </c>
      <c r="C28" s="40">
        <v>15.66</v>
      </c>
      <c r="D28" s="40">
        <v>12.6</v>
      </c>
      <c r="E28" s="40">
        <v>9.1199999999999992</v>
      </c>
      <c r="F28" s="41">
        <v>4.75</v>
      </c>
      <c r="G28" s="40">
        <v>39.729999999999997</v>
      </c>
      <c r="H28" s="40">
        <v>20.32</v>
      </c>
      <c r="I28" s="40">
        <v>7.02</v>
      </c>
      <c r="J28" s="40">
        <v>0.32</v>
      </c>
      <c r="K28" s="40">
        <v>202.55</v>
      </c>
      <c r="L28" s="40">
        <v>31.26</v>
      </c>
      <c r="M28" s="40">
        <v>30.68</v>
      </c>
      <c r="N28" s="40">
        <v>1.7</v>
      </c>
      <c r="O28" s="40">
        <v>0</v>
      </c>
      <c r="P28" s="40">
        <v>0.7</v>
      </c>
      <c r="Q28" s="40">
        <v>28.04</v>
      </c>
      <c r="R28" s="38"/>
      <c r="S28" s="38"/>
      <c r="T28" s="38"/>
      <c r="U28" s="38"/>
    </row>
    <row r="29" spans="1:21" customFormat="1">
      <c r="A29" s="39" t="s">
        <v>393</v>
      </c>
      <c r="B29" s="40">
        <v>4.71</v>
      </c>
      <c r="C29" s="40">
        <v>14.94</v>
      </c>
      <c r="D29" s="40">
        <v>12.94</v>
      </c>
      <c r="E29" s="40">
        <v>9.5399999999999991</v>
      </c>
      <c r="F29" s="41">
        <v>4.33</v>
      </c>
      <c r="G29" s="40">
        <v>41.64</v>
      </c>
      <c r="H29" s="40">
        <v>17.55</v>
      </c>
      <c r="I29" s="40">
        <v>7.46</v>
      </c>
      <c r="J29" s="40">
        <v>0.3</v>
      </c>
      <c r="K29" s="40">
        <v>210.6</v>
      </c>
      <c r="L29" s="40">
        <v>28.45</v>
      </c>
      <c r="M29" s="40">
        <v>33.44</v>
      </c>
      <c r="N29" s="40">
        <v>0.8</v>
      </c>
      <c r="O29" s="40">
        <v>0</v>
      </c>
      <c r="P29" s="40">
        <v>0.74</v>
      </c>
      <c r="Q29" s="40">
        <v>28.03</v>
      </c>
      <c r="R29" s="38"/>
      <c r="S29" s="38"/>
      <c r="T29" s="38"/>
      <c r="U29" s="38"/>
    </row>
    <row r="30" spans="1:21" customFormat="1">
      <c r="A30" s="39" t="s">
        <v>394</v>
      </c>
      <c r="B30" s="40">
        <v>11.37</v>
      </c>
      <c r="C30" s="40">
        <v>20.55</v>
      </c>
      <c r="D30" s="40">
        <v>21.21</v>
      </c>
      <c r="E30" s="40">
        <v>10.33</v>
      </c>
      <c r="F30" s="41">
        <v>6.12</v>
      </c>
      <c r="G30" s="40">
        <v>45.71</v>
      </c>
      <c r="H30" s="40">
        <v>21.39</v>
      </c>
      <c r="I30" s="40">
        <v>8.39</v>
      </c>
      <c r="J30" s="40">
        <v>0.25</v>
      </c>
      <c r="K30" s="40">
        <v>185.78</v>
      </c>
      <c r="L30" s="40">
        <v>27.62</v>
      </c>
      <c r="M30" s="40">
        <v>37.78</v>
      </c>
      <c r="N30" s="40">
        <v>0.9</v>
      </c>
      <c r="O30" s="40">
        <v>0</v>
      </c>
      <c r="P30" s="40">
        <v>0.84</v>
      </c>
      <c r="Q30" s="40">
        <v>28.1</v>
      </c>
      <c r="R30" s="38"/>
      <c r="S30" s="38"/>
      <c r="T30" s="38"/>
      <c r="U30" s="38"/>
    </row>
    <row r="31" spans="1:21" customFormat="1">
      <c r="A31" s="39" t="s">
        <v>395</v>
      </c>
      <c r="B31" s="40">
        <v>7.41</v>
      </c>
      <c r="C31" s="40">
        <v>16.760000000000002</v>
      </c>
      <c r="D31" s="40">
        <v>16.02</v>
      </c>
      <c r="E31" s="40">
        <v>8.81</v>
      </c>
      <c r="F31" s="41">
        <v>6.79</v>
      </c>
      <c r="G31" s="40">
        <v>52.46</v>
      </c>
      <c r="H31" s="40">
        <v>21.77</v>
      </c>
      <c r="I31" s="40">
        <v>8.69</v>
      </c>
      <c r="J31" s="40">
        <v>0.23</v>
      </c>
      <c r="K31" s="40">
        <v>192.64</v>
      </c>
      <c r="L31" s="40">
        <v>25.86</v>
      </c>
      <c r="M31" s="40">
        <v>41.77</v>
      </c>
      <c r="N31" s="40">
        <v>1.2</v>
      </c>
      <c r="O31" s="40">
        <v>0</v>
      </c>
      <c r="P31" s="40">
        <v>0.81</v>
      </c>
      <c r="Q31" s="40">
        <v>28.13</v>
      </c>
      <c r="R31" s="38"/>
      <c r="S31" s="38"/>
      <c r="T31" s="38"/>
      <c r="U31" s="38"/>
    </row>
    <row r="32" spans="1:21" customFormat="1">
      <c r="A32" s="39" t="s">
        <v>396</v>
      </c>
      <c r="B32" s="40">
        <v>7.37</v>
      </c>
      <c r="C32" s="40">
        <v>16.02</v>
      </c>
      <c r="D32" s="40">
        <v>15.37</v>
      </c>
      <c r="E32" s="40">
        <v>8.6999999999999993</v>
      </c>
      <c r="F32" s="41">
        <v>5.08</v>
      </c>
      <c r="G32" s="40">
        <v>53.24</v>
      </c>
      <c r="H32" s="40">
        <v>22.1</v>
      </c>
      <c r="I32" s="40">
        <v>9.34</v>
      </c>
      <c r="J32" s="40">
        <v>0.34</v>
      </c>
      <c r="K32" s="40">
        <v>190.92</v>
      </c>
      <c r="L32" s="40">
        <v>25.03</v>
      </c>
      <c r="M32" s="40">
        <v>46.39</v>
      </c>
      <c r="N32" s="40">
        <v>0.9</v>
      </c>
      <c r="O32" s="40">
        <v>0</v>
      </c>
      <c r="P32" s="40">
        <v>0.85</v>
      </c>
      <c r="Q32" s="40">
        <v>28.12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3.49</v>
      </c>
      <c r="C34" s="18">
        <f t="shared" si="0"/>
        <v>11.71</v>
      </c>
      <c r="D34" s="18">
        <f t="shared" si="0"/>
        <v>10.220000000000001</v>
      </c>
      <c r="E34" s="18">
        <f t="shared" si="0"/>
        <v>8.6</v>
      </c>
      <c r="F34" s="18">
        <f t="shared" si="0"/>
        <v>3.69</v>
      </c>
      <c r="G34" s="18">
        <f t="shared" si="0"/>
        <v>38.57</v>
      </c>
      <c r="H34" s="18">
        <f t="shared" si="0"/>
        <v>17.55</v>
      </c>
      <c r="I34" s="18">
        <f t="shared" si="0"/>
        <v>6.78</v>
      </c>
      <c r="J34" s="18">
        <f t="shared" si="0"/>
        <v>0.21</v>
      </c>
      <c r="K34" s="18">
        <f t="shared" si="0"/>
        <v>167.81</v>
      </c>
      <c r="L34" s="18">
        <f t="shared" si="0"/>
        <v>22.93</v>
      </c>
      <c r="M34" s="18">
        <f t="shared" si="0"/>
        <v>13.91</v>
      </c>
      <c r="N34" s="18">
        <f t="shared" si="0"/>
        <v>0.8</v>
      </c>
      <c r="O34" s="18">
        <f t="shared" si="0"/>
        <v>0</v>
      </c>
      <c r="P34" s="18">
        <f t="shared" si="0"/>
        <v>0.66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11.37</v>
      </c>
      <c r="C35" s="3">
        <f t="shared" si="1"/>
        <v>20.55</v>
      </c>
      <c r="D35" s="3">
        <f t="shared" si="1"/>
        <v>21.21</v>
      </c>
      <c r="E35" s="3">
        <f t="shared" si="1"/>
        <v>19.39</v>
      </c>
      <c r="F35" s="3">
        <f t="shared" si="1"/>
        <v>52.52</v>
      </c>
      <c r="G35" s="3">
        <f t="shared" si="1"/>
        <v>73.84</v>
      </c>
      <c r="H35" s="3">
        <f t="shared" si="1"/>
        <v>37.35</v>
      </c>
      <c r="I35" s="3">
        <f t="shared" si="1"/>
        <v>15.24</v>
      </c>
      <c r="J35" s="3">
        <f t="shared" si="1"/>
        <v>1.3</v>
      </c>
      <c r="K35" s="3">
        <f t="shared" si="1"/>
        <v>301.18</v>
      </c>
      <c r="L35" s="3">
        <f t="shared" si="1"/>
        <v>39.44</v>
      </c>
      <c r="M35" s="3">
        <f t="shared" si="1"/>
        <v>55.94</v>
      </c>
      <c r="N35" s="3">
        <f t="shared" si="1"/>
        <v>328.4</v>
      </c>
      <c r="O35" s="3">
        <f t="shared" si="1"/>
        <v>0</v>
      </c>
      <c r="P35" s="3">
        <f t="shared" si="1"/>
        <v>1.25</v>
      </c>
      <c r="Q35" s="3">
        <f t="shared" si="1"/>
        <v>28.21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5.7070833333333342</v>
      </c>
      <c r="C36" s="18">
        <f t="shared" si="2"/>
        <v>15.846249999999998</v>
      </c>
      <c r="D36" s="18">
        <f t="shared" si="2"/>
        <v>14.152083333333332</v>
      </c>
      <c r="E36" s="18">
        <f t="shared" si="2"/>
        <v>11.592499999999999</v>
      </c>
      <c r="F36" s="18">
        <f t="shared" si="2"/>
        <v>12.090416666666668</v>
      </c>
      <c r="G36" s="18">
        <f t="shared" si="2"/>
        <v>58.304583333333333</v>
      </c>
      <c r="H36" s="18">
        <f t="shared" si="2"/>
        <v>28.186250000000001</v>
      </c>
      <c r="I36" s="18">
        <f t="shared" si="2"/>
        <v>11.018333333333331</v>
      </c>
      <c r="J36" s="18">
        <f t="shared" si="2"/>
        <v>0.56125000000000003</v>
      </c>
      <c r="K36" s="18">
        <f t="shared" si="2"/>
        <v>229.51083333333335</v>
      </c>
      <c r="L36" s="18">
        <f t="shared" si="2"/>
        <v>30.39458333333334</v>
      </c>
      <c r="M36" s="18">
        <f t="shared" si="2"/>
        <v>34.73833333333333</v>
      </c>
      <c r="N36" s="18">
        <f t="shared" si="2"/>
        <v>102.90416666666665</v>
      </c>
      <c r="O36" s="18">
        <f t="shared" si="2"/>
        <v>0</v>
      </c>
      <c r="P36" s="18">
        <f t="shared" si="2"/>
        <v>0.94583333333333319</v>
      </c>
      <c r="Q36" s="18">
        <f t="shared" si="2"/>
        <v>28.074166666666667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2.4145023416785083</v>
      </c>
      <c r="C37" s="18">
        <f t="shared" ref="C37:Q37" si="3">STDEV(C9:C32)</f>
        <v>1.751994670678839</v>
      </c>
      <c r="D37" s="18">
        <f t="shared" si="3"/>
        <v>2.6275314570849742</v>
      </c>
      <c r="E37" s="18">
        <f t="shared" si="3"/>
        <v>3.5849616455409978</v>
      </c>
      <c r="F37" s="18">
        <f t="shared" si="3"/>
        <v>12.769541028545627</v>
      </c>
      <c r="G37" s="18">
        <f t="shared" si="3"/>
        <v>11.619586155605406</v>
      </c>
      <c r="H37" s="18">
        <f t="shared" si="3"/>
        <v>6.7500523749980843</v>
      </c>
      <c r="I37" s="18">
        <f t="shared" si="3"/>
        <v>2.8788821300707443</v>
      </c>
      <c r="J37" s="18">
        <f t="shared" si="3"/>
        <v>0.38039238894228339</v>
      </c>
      <c r="K37" s="18">
        <f t="shared" si="3"/>
        <v>46.484264089808008</v>
      </c>
      <c r="L37" s="18">
        <f t="shared" si="3"/>
        <v>6.2405148750561183</v>
      </c>
      <c r="M37" s="18">
        <f t="shared" si="3"/>
        <v>14.424762424889105</v>
      </c>
      <c r="N37" s="18">
        <f t="shared" si="3"/>
        <v>135.21338202092366</v>
      </c>
      <c r="O37" s="18">
        <f t="shared" si="3"/>
        <v>0</v>
      </c>
      <c r="P37" s="18">
        <f t="shared" si="3"/>
        <v>0.20119029855309681</v>
      </c>
      <c r="Q37" s="18">
        <f t="shared" si="3"/>
        <v>7.3892793474981178E-2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I25" sqref="I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397</v>
      </c>
      <c r="B9" s="40">
        <v>6.66</v>
      </c>
      <c r="C9" s="40">
        <v>16.02</v>
      </c>
      <c r="D9" s="40">
        <v>15.06</v>
      </c>
      <c r="E9" s="40">
        <v>8.59</v>
      </c>
      <c r="F9" s="41">
        <v>5.75</v>
      </c>
      <c r="G9" s="40">
        <v>53.17</v>
      </c>
      <c r="H9" s="40">
        <v>21.02</v>
      </c>
      <c r="I9" s="40">
        <v>10.31</v>
      </c>
      <c r="J9" s="40">
        <v>0.27</v>
      </c>
      <c r="K9" s="40">
        <v>188.39</v>
      </c>
      <c r="L9" s="40">
        <v>24.07</v>
      </c>
      <c r="M9" s="40">
        <v>49.75</v>
      </c>
      <c r="N9" s="40">
        <v>0.8</v>
      </c>
      <c r="O9" s="40">
        <v>0</v>
      </c>
      <c r="P9" s="40">
        <v>0.89</v>
      </c>
      <c r="Q9" s="40">
        <v>28.13</v>
      </c>
      <c r="R9" s="38"/>
      <c r="S9" s="38"/>
      <c r="T9" s="38"/>
      <c r="U9" s="38"/>
    </row>
    <row r="10" spans="1:21" customFormat="1">
      <c r="A10" s="39" t="s">
        <v>398</v>
      </c>
      <c r="B10" s="40">
        <v>6.32</v>
      </c>
      <c r="C10" s="40">
        <v>15.78</v>
      </c>
      <c r="D10" s="40">
        <v>14.65</v>
      </c>
      <c r="E10" s="40">
        <v>8.48</v>
      </c>
      <c r="F10" s="41">
        <v>6.03</v>
      </c>
      <c r="G10" s="40">
        <v>56.39</v>
      </c>
      <c r="H10" s="40">
        <v>20.87</v>
      </c>
      <c r="I10" s="40">
        <v>10.89</v>
      </c>
      <c r="J10" s="40">
        <v>0.18</v>
      </c>
      <c r="K10" s="40">
        <v>178.6</v>
      </c>
      <c r="L10" s="40">
        <v>23.85</v>
      </c>
      <c r="M10" s="40">
        <v>46.84</v>
      </c>
      <c r="N10" s="40">
        <v>0.7</v>
      </c>
      <c r="O10" s="40">
        <v>0</v>
      </c>
      <c r="P10" s="40">
        <v>0.9</v>
      </c>
      <c r="Q10" s="40">
        <v>28.09</v>
      </c>
      <c r="R10" s="38"/>
      <c r="S10" s="38"/>
      <c r="T10" s="38"/>
      <c r="U10" s="38"/>
    </row>
    <row r="11" spans="1:21" customFormat="1">
      <c r="A11" s="39" t="s">
        <v>399</v>
      </c>
      <c r="B11" s="40">
        <v>5.39</v>
      </c>
      <c r="C11" s="40">
        <v>15.66</v>
      </c>
      <c r="D11" s="40">
        <v>13.86</v>
      </c>
      <c r="E11" s="40">
        <v>9.0299999999999994</v>
      </c>
      <c r="F11" s="41">
        <v>4.88</v>
      </c>
      <c r="G11" s="40">
        <v>52.48</v>
      </c>
      <c r="H11" s="40">
        <v>24.12</v>
      </c>
      <c r="I11" s="40">
        <v>10.97</v>
      </c>
      <c r="J11" s="40">
        <v>0.22</v>
      </c>
      <c r="K11" s="40">
        <v>218.82</v>
      </c>
      <c r="L11" s="40">
        <v>23.48</v>
      </c>
      <c r="M11" s="40">
        <v>48.18</v>
      </c>
      <c r="N11" s="40">
        <v>0.8</v>
      </c>
      <c r="O11" s="40">
        <v>0</v>
      </c>
      <c r="P11" s="40">
        <v>0.89</v>
      </c>
      <c r="Q11" s="40">
        <v>28.07</v>
      </c>
      <c r="R11" s="38"/>
      <c r="S11" s="38"/>
      <c r="T11" s="38"/>
      <c r="U11" s="38"/>
    </row>
    <row r="12" spans="1:21" customFormat="1">
      <c r="A12" s="39" t="s">
        <v>400</v>
      </c>
      <c r="B12" s="40">
        <v>4.63</v>
      </c>
      <c r="C12" s="40">
        <v>15.27</v>
      </c>
      <c r="D12" s="40">
        <v>13.04</v>
      </c>
      <c r="E12" s="40">
        <v>9.02</v>
      </c>
      <c r="F12" s="41">
        <v>4.3899999999999997</v>
      </c>
      <c r="G12" s="40">
        <v>47.54</v>
      </c>
      <c r="H12" s="40">
        <v>21.11</v>
      </c>
      <c r="I12" s="40">
        <v>10.79</v>
      </c>
      <c r="J12" s="40">
        <v>0.24</v>
      </c>
      <c r="K12" s="40">
        <v>193.82</v>
      </c>
      <c r="L12" s="40">
        <v>23.1</v>
      </c>
      <c r="M12" s="40">
        <v>50.39</v>
      </c>
      <c r="N12" s="40">
        <v>1</v>
      </c>
      <c r="O12" s="40">
        <v>0</v>
      </c>
      <c r="P12" s="40">
        <v>0.87</v>
      </c>
      <c r="Q12" s="40">
        <v>28.05</v>
      </c>
      <c r="R12" s="38"/>
      <c r="S12" s="38"/>
      <c r="T12" s="38"/>
      <c r="U12" s="38"/>
    </row>
    <row r="13" spans="1:21" customFormat="1">
      <c r="A13" s="39" t="s">
        <v>401</v>
      </c>
      <c r="B13" s="40">
        <v>5.61</v>
      </c>
      <c r="C13" s="40">
        <v>16.12</v>
      </c>
      <c r="D13" s="40">
        <v>14.27</v>
      </c>
      <c r="E13" s="40">
        <v>8.56</v>
      </c>
      <c r="F13" s="41">
        <v>4.26</v>
      </c>
      <c r="G13" s="40">
        <v>35.46</v>
      </c>
      <c r="H13" s="40">
        <v>14.52</v>
      </c>
      <c r="I13" s="40">
        <v>10.39</v>
      </c>
      <c r="J13" s="40">
        <v>0.28000000000000003</v>
      </c>
      <c r="K13" s="40">
        <v>222.3</v>
      </c>
      <c r="L13" s="40">
        <v>22.92</v>
      </c>
      <c r="M13" s="40">
        <v>55.14</v>
      </c>
      <c r="N13" s="40">
        <v>1.5</v>
      </c>
      <c r="O13" s="40">
        <v>0</v>
      </c>
      <c r="P13" s="40">
        <v>0.87</v>
      </c>
      <c r="Q13" s="40">
        <v>28.07</v>
      </c>
      <c r="R13" s="38"/>
      <c r="S13" s="38"/>
      <c r="T13" s="38"/>
      <c r="U13" s="38"/>
    </row>
    <row r="14" spans="1:21" customFormat="1">
      <c r="A14" s="39" t="s">
        <v>402</v>
      </c>
      <c r="B14" s="40">
        <v>6.65</v>
      </c>
      <c r="C14" s="40">
        <v>15.91</v>
      </c>
      <c r="D14" s="40">
        <v>14.93</v>
      </c>
      <c r="E14" s="40">
        <v>8.67</v>
      </c>
      <c r="F14" s="41">
        <v>4.07</v>
      </c>
      <c r="G14" s="40">
        <v>39.78</v>
      </c>
      <c r="H14" s="40">
        <v>18.93</v>
      </c>
      <c r="I14" s="40">
        <v>10.18</v>
      </c>
      <c r="J14" s="40">
        <v>0.3</v>
      </c>
      <c r="K14" s="40">
        <v>198.88</v>
      </c>
      <c r="L14" s="40">
        <v>21.53</v>
      </c>
      <c r="M14" s="40">
        <v>57.46</v>
      </c>
      <c r="N14" s="40">
        <v>1.2</v>
      </c>
      <c r="O14" s="40">
        <v>0</v>
      </c>
      <c r="P14" s="40">
        <v>0.87</v>
      </c>
      <c r="Q14" s="40">
        <v>28.11</v>
      </c>
      <c r="R14" s="38"/>
      <c r="S14" s="38"/>
      <c r="T14" s="38"/>
      <c r="U14" s="38"/>
    </row>
    <row r="15" spans="1:21" customFormat="1">
      <c r="A15" s="39" t="s">
        <v>403</v>
      </c>
      <c r="B15" s="40">
        <v>7.04</v>
      </c>
      <c r="C15" s="40">
        <v>15.79</v>
      </c>
      <c r="D15" s="40">
        <v>15.11</v>
      </c>
      <c r="E15" s="40">
        <v>8.8000000000000007</v>
      </c>
      <c r="F15" s="41">
        <v>3.93</v>
      </c>
      <c r="G15" s="40">
        <v>38.630000000000003</v>
      </c>
      <c r="H15" s="40">
        <v>17.41</v>
      </c>
      <c r="I15" s="40">
        <v>10.07</v>
      </c>
      <c r="J15" s="40">
        <v>0.26</v>
      </c>
      <c r="K15" s="40">
        <v>219.95</v>
      </c>
      <c r="L15" s="40">
        <v>21.78</v>
      </c>
      <c r="M15" s="40">
        <v>57.27</v>
      </c>
      <c r="N15" s="40">
        <v>20.2</v>
      </c>
      <c r="O15" s="40">
        <v>0</v>
      </c>
      <c r="P15" s="40">
        <v>0.88</v>
      </c>
      <c r="Q15" s="40">
        <v>28.13</v>
      </c>
      <c r="R15" s="38"/>
      <c r="S15" s="38"/>
      <c r="T15" s="38"/>
      <c r="U15" s="38"/>
    </row>
    <row r="16" spans="1:21" customFormat="1">
      <c r="A16" s="39" t="s">
        <v>404</v>
      </c>
      <c r="B16" s="40">
        <v>7.28</v>
      </c>
      <c r="C16" s="40">
        <v>15.29</v>
      </c>
      <c r="D16" s="40">
        <v>15.17</v>
      </c>
      <c r="E16" s="40">
        <v>8.98</v>
      </c>
      <c r="F16" s="41">
        <v>4.07</v>
      </c>
      <c r="G16" s="40">
        <v>37.520000000000003</v>
      </c>
      <c r="H16" s="40">
        <v>18.14</v>
      </c>
      <c r="I16" s="40">
        <v>10.19</v>
      </c>
      <c r="J16" s="40">
        <v>0.24</v>
      </c>
      <c r="K16" s="40">
        <v>169.31</v>
      </c>
      <c r="L16" s="40">
        <v>25.93</v>
      </c>
      <c r="M16" s="40">
        <v>54.31</v>
      </c>
      <c r="N16" s="40">
        <v>65.3</v>
      </c>
      <c r="O16" s="40">
        <v>0</v>
      </c>
      <c r="P16" s="40">
        <v>0.9</v>
      </c>
      <c r="Q16" s="40">
        <v>28.15</v>
      </c>
      <c r="R16" s="38"/>
      <c r="S16" s="38"/>
      <c r="T16" s="38"/>
      <c r="U16" s="38"/>
    </row>
    <row r="17" spans="1:21" customFormat="1">
      <c r="A17" s="39" t="s">
        <v>405</v>
      </c>
      <c r="B17" s="40">
        <v>7.21</v>
      </c>
      <c r="C17" s="40">
        <v>15.44</v>
      </c>
      <c r="D17" s="40">
        <v>15.13</v>
      </c>
      <c r="E17" s="40">
        <v>9.5299999999999994</v>
      </c>
      <c r="F17" s="41">
        <v>4.3600000000000003</v>
      </c>
      <c r="G17" s="40">
        <v>42.31</v>
      </c>
      <c r="H17" s="40">
        <v>21.46</v>
      </c>
      <c r="I17" s="40">
        <v>10.3</v>
      </c>
      <c r="J17" s="40">
        <v>0.64</v>
      </c>
      <c r="K17" s="40">
        <v>262.13</v>
      </c>
      <c r="L17" s="40">
        <v>30.07</v>
      </c>
      <c r="M17" s="40">
        <v>40.14</v>
      </c>
      <c r="N17" s="40">
        <v>184.4</v>
      </c>
      <c r="O17" s="40">
        <v>0</v>
      </c>
      <c r="P17" s="40">
        <v>0.91</v>
      </c>
      <c r="Q17" s="40">
        <v>28.15</v>
      </c>
      <c r="R17" s="38"/>
      <c r="S17" s="38"/>
      <c r="T17" s="38"/>
      <c r="U17" s="38"/>
    </row>
    <row r="18" spans="1:21" customFormat="1">
      <c r="A18" s="39" t="s">
        <v>406</v>
      </c>
      <c r="B18" s="40">
        <v>5.13</v>
      </c>
      <c r="C18" s="40">
        <v>16.52</v>
      </c>
      <c r="D18" s="40">
        <v>13.64</v>
      </c>
      <c r="E18" s="40">
        <v>10.33</v>
      </c>
      <c r="F18" s="41">
        <v>6.04</v>
      </c>
      <c r="G18" s="40">
        <v>46.9</v>
      </c>
      <c r="H18" s="40">
        <v>23.26</v>
      </c>
      <c r="I18" s="40">
        <v>10.36</v>
      </c>
      <c r="J18" s="40">
        <v>0.72</v>
      </c>
      <c r="K18" s="40">
        <v>261.7</v>
      </c>
      <c r="L18" s="40">
        <v>32.99</v>
      </c>
      <c r="M18" s="40">
        <v>31.13</v>
      </c>
      <c r="N18" s="40">
        <v>248.2</v>
      </c>
      <c r="O18" s="40">
        <v>0</v>
      </c>
      <c r="P18" s="40">
        <v>1</v>
      </c>
      <c r="Q18" s="40">
        <v>28.06</v>
      </c>
      <c r="R18" s="38"/>
      <c r="S18" s="38"/>
      <c r="T18" s="38"/>
      <c r="U18" s="38"/>
    </row>
    <row r="19" spans="1:21" customFormat="1">
      <c r="A19" s="39" t="s">
        <v>407</v>
      </c>
      <c r="B19" s="40">
        <v>3.55</v>
      </c>
      <c r="C19" s="40">
        <v>17.73</v>
      </c>
      <c r="D19" s="40">
        <v>13.44</v>
      </c>
      <c r="E19" s="40">
        <v>12.48</v>
      </c>
      <c r="F19" s="41">
        <v>9.57</v>
      </c>
      <c r="G19" s="40">
        <v>50.27</v>
      </c>
      <c r="H19" s="40">
        <v>25.99</v>
      </c>
      <c r="I19" s="40">
        <v>13.14</v>
      </c>
      <c r="J19" s="40">
        <v>0.88</v>
      </c>
      <c r="K19" s="40">
        <v>284.62</v>
      </c>
      <c r="L19" s="40">
        <v>35.85</v>
      </c>
      <c r="M19" s="40">
        <v>28.63</v>
      </c>
      <c r="N19" s="40">
        <v>285.89999999999998</v>
      </c>
      <c r="O19" s="40">
        <v>0</v>
      </c>
      <c r="P19" s="40">
        <v>1.19</v>
      </c>
      <c r="Q19" s="40">
        <v>28.02</v>
      </c>
      <c r="R19" s="38"/>
      <c r="S19" s="38"/>
      <c r="T19" s="38"/>
      <c r="U19" s="38"/>
    </row>
    <row r="20" spans="1:21" customFormat="1">
      <c r="A20" s="39" t="s">
        <v>408</v>
      </c>
      <c r="B20" s="40">
        <v>3.46</v>
      </c>
      <c r="C20" s="40">
        <v>16.93</v>
      </c>
      <c r="D20" s="40">
        <v>12.92</v>
      </c>
      <c r="E20" s="40">
        <v>11.78</v>
      </c>
      <c r="F20" s="41">
        <v>11.52</v>
      </c>
      <c r="G20" s="40">
        <v>69.209999999999994</v>
      </c>
      <c r="H20" s="40">
        <v>35.549999999999997</v>
      </c>
      <c r="I20" s="40">
        <v>13.78</v>
      </c>
      <c r="J20" s="40">
        <v>1.1100000000000001</v>
      </c>
      <c r="K20" s="40">
        <v>271.18</v>
      </c>
      <c r="L20" s="40">
        <v>37.549999999999997</v>
      </c>
      <c r="M20" s="40">
        <v>25.32</v>
      </c>
      <c r="N20" s="40">
        <v>303.2</v>
      </c>
      <c r="O20" s="40">
        <v>0</v>
      </c>
      <c r="P20" s="40">
        <v>1.1399999999999999</v>
      </c>
      <c r="Q20" s="40">
        <v>28.01</v>
      </c>
      <c r="R20" s="38"/>
      <c r="S20" s="38"/>
      <c r="T20" s="38"/>
      <c r="U20" s="38"/>
    </row>
    <row r="21" spans="1:21" customFormat="1">
      <c r="A21" s="39" t="s">
        <v>409</v>
      </c>
      <c r="B21" s="40">
        <v>3.53</v>
      </c>
      <c r="C21" s="40">
        <v>15.56</v>
      </c>
      <c r="D21" s="40">
        <v>12.32</v>
      </c>
      <c r="E21" s="40">
        <v>12.79</v>
      </c>
      <c r="F21" s="41">
        <v>12.86</v>
      </c>
      <c r="G21" s="40">
        <v>65.59</v>
      </c>
      <c r="H21" s="40">
        <v>32.1</v>
      </c>
      <c r="I21" s="40">
        <v>12.31</v>
      </c>
      <c r="J21" s="40">
        <v>1.35</v>
      </c>
      <c r="K21" s="40">
        <v>288.14</v>
      </c>
      <c r="L21" s="40">
        <v>38.869999999999997</v>
      </c>
      <c r="M21" s="40">
        <v>22.97</v>
      </c>
      <c r="N21" s="40">
        <v>315.7</v>
      </c>
      <c r="O21" s="40">
        <v>0</v>
      </c>
      <c r="P21" s="40">
        <v>1.04</v>
      </c>
      <c r="Q21" s="40">
        <v>28.03</v>
      </c>
      <c r="R21" s="38"/>
      <c r="S21" s="38"/>
      <c r="T21" s="38"/>
      <c r="U21" s="38"/>
    </row>
    <row r="22" spans="1:21" customFormat="1">
      <c r="A22" s="39" t="s">
        <v>410</v>
      </c>
      <c r="B22" s="40">
        <v>3.5</v>
      </c>
      <c r="C22" s="40">
        <v>15.14</v>
      </c>
      <c r="D22" s="40">
        <v>12.05</v>
      </c>
      <c r="E22" s="40">
        <v>11.54</v>
      </c>
      <c r="F22" s="41">
        <v>18.850000000000001</v>
      </c>
      <c r="G22" s="40">
        <v>59.5</v>
      </c>
      <c r="H22" s="40">
        <v>30.78</v>
      </c>
      <c r="I22" s="40">
        <v>10.89</v>
      </c>
      <c r="J22" s="40">
        <v>1.19</v>
      </c>
      <c r="K22" s="40">
        <v>287.64</v>
      </c>
      <c r="L22" s="40">
        <v>39.299999999999997</v>
      </c>
      <c r="M22" s="40">
        <v>21.82</v>
      </c>
      <c r="N22" s="40">
        <v>306.7</v>
      </c>
      <c r="O22" s="40">
        <v>0</v>
      </c>
      <c r="P22" s="40">
        <v>0.95</v>
      </c>
      <c r="Q22" s="40">
        <v>28.01</v>
      </c>
      <c r="R22" s="38"/>
      <c r="S22" s="38"/>
      <c r="T22" s="38"/>
      <c r="U22" s="38"/>
    </row>
    <row r="23" spans="1:21" customFormat="1">
      <c r="A23" s="39" t="s">
        <v>411</v>
      </c>
      <c r="B23" s="40">
        <v>3.56</v>
      </c>
      <c r="C23" s="40">
        <v>14.75</v>
      </c>
      <c r="D23" s="40">
        <v>11.91</v>
      </c>
      <c r="E23" s="40">
        <v>12.27</v>
      </c>
      <c r="F23" s="41">
        <v>24.12</v>
      </c>
      <c r="G23" s="40">
        <v>59.13</v>
      </c>
      <c r="H23" s="40">
        <v>28.19</v>
      </c>
      <c r="I23" s="40">
        <v>9.56</v>
      </c>
      <c r="J23" s="40">
        <v>1.1200000000000001</v>
      </c>
      <c r="K23" s="40">
        <v>304.79000000000002</v>
      </c>
      <c r="L23" s="40">
        <v>39.42</v>
      </c>
      <c r="M23" s="40">
        <v>19.28</v>
      </c>
      <c r="N23" s="40">
        <v>296.8</v>
      </c>
      <c r="O23" s="40">
        <v>0</v>
      </c>
      <c r="P23" s="40">
        <v>0.82</v>
      </c>
      <c r="Q23" s="40">
        <v>28</v>
      </c>
      <c r="R23" s="38"/>
      <c r="S23" s="38"/>
      <c r="T23" s="38"/>
      <c r="U23" s="38"/>
    </row>
    <row r="24" spans="1:21" customFormat="1">
      <c r="A24" s="39" t="s">
        <v>412</v>
      </c>
      <c r="B24" s="40">
        <v>3.6</v>
      </c>
      <c r="C24" s="40">
        <v>13.84</v>
      </c>
      <c r="D24" s="40">
        <v>11.47</v>
      </c>
      <c r="E24" s="40">
        <v>12.69</v>
      </c>
      <c r="F24" s="41">
        <v>29.74</v>
      </c>
      <c r="G24" s="40">
        <v>53.34</v>
      </c>
      <c r="H24" s="40">
        <v>26.06</v>
      </c>
      <c r="I24" s="40">
        <v>8.3699999999999992</v>
      </c>
      <c r="J24" s="40">
        <v>0.79</v>
      </c>
      <c r="K24" s="40">
        <v>288.58</v>
      </c>
      <c r="L24" s="40">
        <v>39.31</v>
      </c>
      <c r="M24" s="40">
        <v>12.64</v>
      </c>
      <c r="N24" s="40">
        <v>197.9</v>
      </c>
      <c r="O24" s="40">
        <v>0</v>
      </c>
      <c r="P24" s="40">
        <v>0.72</v>
      </c>
      <c r="Q24" s="40">
        <v>28.01</v>
      </c>
      <c r="R24" s="38"/>
      <c r="S24" s="38"/>
      <c r="T24" s="38"/>
      <c r="U24" s="38"/>
    </row>
    <row r="25" spans="1:21" customFormat="1">
      <c r="A25" s="39" t="s">
        <v>413</v>
      </c>
      <c r="B25" s="40">
        <v>3.49</v>
      </c>
      <c r="C25" s="40">
        <v>12.08</v>
      </c>
      <c r="D25" s="40">
        <v>10.46</v>
      </c>
      <c r="E25" s="40">
        <v>16.850000000000001</v>
      </c>
      <c r="F25" s="41">
        <v>36.43</v>
      </c>
      <c r="G25" s="40">
        <v>35.450000000000003</v>
      </c>
      <c r="H25" s="40">
        <v>22.11</v>
      </c>
      <c r="I25" s="40">
        <v>7.44</v>
      </c>
      <c r="J25" s="40">
        <v>0.52</v>
      </c>
      <c r="K25" s="40">
        <v>259.66000000000003</v>
      </c>
      <c r="L25" s="40">
        <v>38.53</v>
      </c>
      <c r="M25" s="40">
        <v>18.43</v>
      </c>
      <c r="N25" s="40">
        <v>78.900000000000006</v>
      </c>
      <c r="O25" s="40">
        <v>0</v>
      </c>
      <c r="P25" s="40">
        <v>0.68</v>
      </c>
      <c r="Q25" s="40">
        <v>28</v>
      </c>
      <c r="R25" s="38"/>
      <c r="S25" s="38"/>
      <c r="T25" s="38"/>
      <c r="U25" s="38"/>
    </row>
    <row r="26" spans="1:21" customFormat="1">
      <c r="A26" s="39" t="s">
        <v>414</v>
      </c>
      <c r="B26" s="40">
        <v>3.39</v>
      </c>
      <c r="C26" s="40">
        <v>10.46</v>
      </c>
      <c r="D26" s="40">
        <v>9.52</v>
      </c>
      <c r="E26" s="40">
        <v>17.09</v>
      </c>
      <c r="F26" s="41">
        <v>33.64</v>
      </c>
      <c r="G26" s="40">
        <v>21.27</v>
      </c>
      <c r="H26" s="40">
        <v>22.94</v>
      </c>
      <c r="I26" s="40">
        <v>6.78</v>
      </c>
      <c r="J26" s="40">
        <v>0.26</v>
      </c>
      <c r="K26" s="40">
        <v>200.2</v>
      </c>
      <c r="L26" s="40">
        <v>36.299999999999997</v>
      </c>
      <c r="M26" s="40">
        <v>22.25</v>
      </c>
      <c r="N26" s="40">
        <v>34.9</v>
      </c>
      <c r="O26" s="40">
        <v>0</v>
      </c>
      <c r="P26" s="40">
        <v>0.62</v>
      </c>
      <c r="Q26" s="40">
        <v>28.01</v>
      </c>
      <c r="R26" s="38"/>
      <c r="S26" s="38"/>
      <c r="T26" s="38"/>
      <c r="U26" s="38"/>
    </row>
    <row r="27" spans="1:21" customFormat="1">
      <c r="A27" s="39" t="s">
        <v>415</v>
      </c>
      <c r="B27" s="40">
        <v>3.74</v>
      </c>
      <c r="C27" s="40">
        <v>23.21</v>
      </c>
      <c r="D27" s="40">
        <v>16.48</v>
      </c>
      <c r="E27" s="40">
        <v>14.13</v>
      </c>
      <c r="F27" s="41">
        <v>17.600000000000001</v>
      </c>
      <c r="G27" s="40">
        <v>13.19</v>
      </c>
      <c r="H27" s="40">
        <v>19.29</v>
      </c>
      <c r="I27" s="40">
        <v>7.36</v>
      </c>
      <c r="J27" s="40">
        <v>0.21</v>
      </c>
      <c r="K27" s="40">
        <v>190.44</v>
      </c>
      <c r="L27" s="40">
        <v>32.880000000000003</v>
      </c>
      <c r="M27" s="40">
        <v>26.8</v>
      </c>
      <c r="N27" s="40">
        <v>2.9</v>
      </c>
      <c r="O27" s="40">
        <v>0</v>
      </c>
      <c r="P27" s="40">
        <v>0.81</v>
      </c>
      <c r="Q27" s="40">
        <v>28.02</v>
      </c>
      <c r="R27" s="38"/>
      <c r="S27" s="38"/>
      <c r="T27" s="38"/>
      <c r="U27" s="38"/>
    </row>
    <row r="28" spans="1:21" customFormat="1">
      <c r="A28" s="39" t="s">
        <v>416</v>
      </c>
      <c r="B28" s="40">
        <v>4.01</v>
      </c>
      <c r="C28" s="40">
        <v>20.32</v>
      </c>
      <c r="D28" s="40">
        <v>15.03</v>
      </c>
      <c r="E28" s="40">
        <v>9.69</v>
      </c>
      <c r="F28" s="41">
        <v>5.42</v>
      </c>
      <c r="G28" s="40">
        <v>8.44</v>
      </c>
      <c r="H28" s="40">
        <v>19.48</v>
      </c>
      <c r="I28" s="40">
        <v>8.6300000000000008</v>
      </c>
      <c r="J28" s="40">
        <v>0.35</v>
      </c>
      <c r="K28" s="40">
        <v>177.9</v>
      </c>
      <c r="L28" s="40">
        <v>31.11</v>
      </c>
      <c r="M28" s="40">
        <v>35.81</v>
      </c>
      <c r="N28" s="40">
        <v>1.6</v>
      </c>
      <c r="O28" s="40">
        <v>0</v>
      </c>
      <c r="P28" s="40">
        <v>0.79</v>
      </c>
      <c r="Q28" s="40">
        <v>28.03</v>
      </c>
      <c r="R28" s="38"/>
      <c r="S28" s="38"/>
      <c r="T28" s="38"/>
      <c r="U28" s="38"/>
    </row>
    <row r="29" spans="1:21" customFormat="1">
      <c r="A29" s="39" t="s">
        <v>417</v>
      </c>
      <c r="B29" s="40">
        <v>4.08</v>
      </c>
      <c r="C29" s="40">
        <v>17.21</v>
      </c>
      <c r="D29" s="40">
        <v>13.57</v>
      </c>
      <c r="E29" s="40">
        <v>9.3699999999999992</v>
      </c>
      <c r="F29" s="41">
        <v>4.42</v>
      </c>
      <c r="G29" s="40">
        <v>5.57</v>
      </c>
      <c r="H29" s="40">
        <v>24.32</v>
      </c>
      <c r="I29" s="40">
        <v>8.8699999999999992</v>
      </c>
      <c r="J29" s="40">
        <v>0.25</v>
      </c>
      <c r="K29" s="40">
        <v>194</v>
      </c>
      <c r="L29" s="40">
        <v>29.39</v>
      </c>
      <c r="M29" s="40">
        <v>38.44</v>
      </c>
      <c r="N29" s="40">
        <v>1.1000000000000001</v>
      </c>
      <c r="O29" s="40">
        <v>0</v>
      </c>
      <c r="P29" s="40">
        <v>0.81</v>
      </c>
      <c r="Q29" s="40">
        <v>28.04</v>
      </c>
      <c r="R29" s="38"/>
      <c r="S29" s="38"/>
      <c r="T29" s="38"/>
      <c r="U29" s="38"/>
    </row>
    <row r="30" spans="1:21" customFormat="1">
      <c r="A30" s="39" t="s">
        <v>418</v>
      </c>
      <c r="B30" s="40">
        <v>16.309999999999999</v>
      </c>
      <c r="C30" s="40">
        <v>24.09</v>
      </c>
      <c r="D30" s="40">
        <v>27.02</v>
      </c>
      <c r="E30" s="40">
        <v>9.2100000000000009</v>
      </c>
      <c r="F30" s="41">
        <v>4.46</v>
      </c>
      <c r="G30" s="40">
        <v>3.84</v>
      </c>
      <c r="H30" s="40">
        <v>26.72</v>
      </c>
      <c r="I30" s="40">
        <v>9.9499999999999993</v>
      </c>
      <c r="J30" s="40">
        <v>0.41</v>
      </c>
      <c r="K30" s="40">
        <v>227.55</v>
      </c>
      <c r="L30" s="40">
        <v>28.8</v>
      </c>
      <c r="M30" s="40">
        <v>42.37</v>
      </c>
      <c r="N30" s="40">
        <v>1.2</v>
      </c>
      <c r="O30" s="40">
        <v>0</v>
      </c>
      <c r="P30" s="40">
        <v>0.94</v>
      </c>
      <c r="Q30" s="40">
        <v>28.19</v>
      </c>
      <c r="R30" s="38"/>
      <c r="S30" s="38"/>
      <c r="T30" s="38"/>
      <c r="U30" s="38"/>
    </row>
    <row r="31" spans="1:21" customFormat="1">
      <c r="A31" s="39" t="s">
        <v>419</v>
      </c>
      <c r="B31" s="40">
        <v>8.02</v>
      </c>
      <c r="C31" s="40">
        <v>19.850000000000001</v>
      </c>
      <c r="D31" s="40">
        <v>18.16</v>
      </c>
      <c r="E31" s="40">
        <v>8.66</v>
      </c>
      <c r="F31" s="41">
        <v>4.1100000000000003</v>
      </c>
      <c r="G31" s="40">
        <v>4.21</v>
      </c>
      <c r="H31" s="40">
        <v>27.54</v>
      </c>
      <c r="I31" s="40">
        <v>10.19</v>
      </c>
      <c r="J31" s="40">
        <v>0.28000000000000003</v>
      </c>
      <c r="K31" s="40">
        <v>207.98</v>
      </c>
      <c r="L31" s="40">
        <v>27.67</v>
      </c>
      <c r="M31" s="40">
        <v>42.7</v>
      </c>
      <c r="N31" s="40">
        <v>1.1000000000000001</v>
      </c>
      <c r="O31" s="40">
        <v>0</v>
      </c>
      <c r="P31" s="40">
        <v>0.95</v>
      </c>
      <c r="Q31" s="40">
        <v>28.19</v>
      </c>
      <c r="R31" s="38"/>
      <c r="S31" s="38"/>
      <c r="T31" s="38"/>
      <c r="U31" s="38"/>
    </row>
    <row r="32" spans="1:21" customFormat="1">
      <c r="A32" s="39" t="s">
        <v>420</v>
      </c>
      <c r="B32" s="40">
        <v>6.9</v>
      </c>
      <c r="C32" s="40">
        <v>19.260000000000002</v>
      </c>
      <c r="D32" s="40">
        <v>16.940000000000001</v>
      </c>
      <c r="E32" s="40">
        <v>8.43</v>
      </c>
      <c r="F32" s="41">
        <v>4.17</v>
      </c>
      <c r="G32" s="40">
        <v>2.95</v>
      </c>
      <c r="H32" s="40">
        <v>29.19</v>
      </c>
      <c r="I32" s="40">
        <v>11.19</v>
      </c>
      <c r="J32" s="40">
        <v>0.22</v>
      </c>
      <c r="K32" s="40">
        <v>219.12</v>
      </c>
      <c r="L32" s="40">
        <v>26.81</v>
      </c>
      <c r="M32" s="40">
        <v>47.48</v>
      </c>
      <c r="N32" s="40">
        <v>1</v>
      </c>
      <c r="O32" s="40">
        <v>0</v>
      </c>
      <c r="P32" s="40">
        <v>1</v>
      </c>
      <c r="Q32" s="40">
        <v>28.13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3.39</v>
      </c>
      <c r="C34" s="18">
        <f t="shared" si="0"/>
        <v>10.46</v>
      </c>
      <c r="D34" s="18">
        <f t="shared" si="0"/>
        <v>9.52</v>
      </c>
      <c r="E34" s="18">
        <f t="shared" si="0"/>
        <v>8.43</v>
      </c>
      <c r="F34" s="18">
        <f t="shared" si="0"/>
        <v>3.93</v>
      </c>
      <c r="G34" s="18">
        <f t="shared" si="0"/>
        <v>2.95</v>
      </c>
      <c r="H34" s="18">
        <f t="shared" si="0"/>
        <v>14.52</v>
      </c>
      <c r="I34" s="18">
        <f t="shared" si="0"/>
        <v>6.78</v>
      </c>
      <c r="J34" s="18">
        <f t="shared" si="0"/>
        <v>0.18</v>
      </c>
      <c r="K34" s="18">
        <f t="shared" si="0"/>
        <v>169.31</v>
      </c>
      <c r="L34" s="18">
        <f t="shared" si="0"/>
        <v>21.53</v>
      </c>
      <c r="M34" s="18">
        <f t="shared" si="0"/>
        <v>12.64</v>
      </c>
      <c r="N34" s="18">
        <f t="shared" si="0"/>
        <v>0.7</v>
      </c>
      <c r="O34" s="18">
        <f t="shared" si="0"/>
        <v>0</v>
      </c>
      <c r="P34" s="18">
        <f t="shared" si="0"/>
        <v>0.62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16.309999999999999</v>
      </c>
      <c r="C35" s="3">
        <f t="shared" si="1"/>
        <v>24.09</v>
      </c>
      <c r="D35" s="3">
        <f t="shared" si="1"/>
        <v>27.02</v>
      </c>
      <c r="E35" s="3">
        <f t="shared" si="1"/>
        <v>17.09</v>
      </c>
      <c r="F35" s="3">
        <f t="shared" si="1"/>
        <v>36.43</v>
      </c>
      <c r="G35" s="3">
        <f t="shared" si="1"/>
        <v>69.209999999999994</v>
      </c>
      <c r="H35" s="3">
        <f t="shared" si="1"/>
        <v>35.549999999999997</v>
      </c>
      <c r="I35" s="3">
        <f t="shared" si="1"/>
        <v>13.78</v>
      </c>
      <c r="J35" s="3">
        <f t="shared" si="1"/>
        <v>1.35</v>
      </c>
      <c r="K35" s="3">
        <f t="shared" si="1"/>
        <v>304.79000000000002</v>
      </c>
      <c r="L35" s="3">
        <f t="shared" si="1"/>
        <v>39.42</v>
      </c>
      <c r="M35" s="3">
        <f t="shared" si="1"/>
        <v>57.46</v>
      </c>
      <c r="N35" s="3">
        <f t="shared" si="1"/>
        <v>315.7</v>
      </c>
      <c r="O35" s="3">
        <f t="shared" si="1"/>
        <v>0</v>
      </c>
      <c r="P35" s="3">
        <f t="shared" si="1"/>
        <v>1.19</v>
      </c>
      <c r="Q35" s="3">
        <f t="shared" si="1"/>
        <v>28.19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5.5441666666666656</v>
      </c>
      <c r="C36" s="18">
        <f t="shared" si="2"/>
        <v>16.592916666666664</v>
      </c>
      <c r="D36" s="18">
        <f t="shared" si="2"/>
        <v>14.422916666666666</v>
      </c>
      <c r="E36" s="18">
        <f t="shared" si="2"/>
        <v>10.707083333333335</v>
      </c>
      <c r="F36" s="18">
        <f t="shared" si="2"/>
        <v>11.028750000000002</v>
      </c>
      <c r="G36" s="18">
        <f t="shared" si="2"/>
        <v>37.589166666666678</v>
      </c>
      <c r="H36" s="18">
        <f t="shared" si="2"/>
        <v>23.795833333333334</v>
      </c>
      <c r="I36" s="18">
        <f t="shared" si="2"/>
        <v>10.12125</v>
      </c>
      <c r="J36" s="18">
        <f t="shared" si="2"/>
        <v>0.51208333333333333</v>
      </c>
      <c r="K36" s="18">
        <f t="shared" si="2"/>
        <v>229.82083333333324</v>
      </c>
      <c r="L36" s="18">
        <f t="shared" si="2"/>
        <v>30.479583333333327</v>
      </c>
      <c r="M36" s="18">
        <f t="shared" si="2"/>
        <v>37.314583333333339</v>
      </c>
      <c r="N36" s="18">
        <f t="shared" si="2"/>
        <v>98.041666666666643</v>
      </c>
      <c r="O36" s="18">
        <f t="shared" si="2"/>
        <v>0</v>
      </c>
      <c r="P36" s="18">
        <f t="shared" si="2"/>
        <v>0.8933333333333332</v>
      </c>
      <c r="Q36" s="18">
        <f t="shared" si="2"/>
        <v>28.070833333333329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2.7732196273373813</v>
      </c>
      <c r="C37" s="18">
        <f t="shared" ref="C37:Q37" si="3">STDEV(C9:C32)</f>
        <v>3.0467423503269129</v>
      </c>
      <c r="D37" s="18">
        <f t="shared" si="3"/>
        <v>3.3458715367718082</v>
      </c>
      <c r="E37" s="18">
        <f t="shared" si="3"/>
        <v>2.5736279234585857</v>
      </c>
      <c r="F37" s="18">
        <f t="shared" si="3"/>
        <v>10.211678869122693</v>
      </c>
      <c r="G37" s="18">
        <f t="shared" si="3"/>
        <v>21.231084044630027</v>
      </c>
      <c r="H37" s="18">
        <f t="shared" si="3"/>
        <v>5.0708244048603728</v>
      </c>
      <c r="I37" s="18">
        <f t="shared" si="3"/>
        <v>1.6703587547485801</v>
      </c>
      <c r="J37" s="18">
        <f t="shared" si="3"/>
        <v>0.36860464465056769</v>
      </c>
      <c r="K37" s="18">
        <f t="shared" si="3"/>
        <v>42.228755597050103</v>
      </c>
      <c r="L37" s="18">
        <f t="shared" si="3"/>
        <v>6.4056099591901043</v>
      </c>
      <c r="M37" s="18">
        <f t="shared" si="3"/>
        <v>13.903470314110891</v>
      </c>
      <c r="N37" s="18">
        <f t="shared" si="3"/>
        <v>127.12665343857972</v>
      </c>
      <c r="O37" s="18">
        <f t="shared" si="3"/>
        <v>0</v>
      </c>
      <c r="P37" s="18">
        <f t="shared" si="3"/>
        <v>0.12923408712627785</v>
      </c>
      <c r="Q37" s="18">
        <f t="shared" si="3"/>
        <v>6.1919770437352625E-2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H22" sqref="H2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421</v>
      </c>
      <c r="B9" s="40">
        <v>7.02</v>
      </c>
      <c r="C9" s="40">
        <v>18.190000000000001</v>
      </c>
      <c r="D9" s="40">
        <v>16.38</v>
      </c>
      <c r="E9" s="40">
        <v>8.4600000000000009</v>
      </c>
      <c r="F9" s="41">
        <v>4.43</v>
      </c>
      <c r="G9" s="40">
        <v>2.57</v>
      </c>
      <c r="H9" s="40">
        <v>30.27</v>
      </c>
      <c r="I9" s="40">
        <v>11.65</v>
      </c>
      <c r="J9" s="40">
        <v>0.16</v>
      </c>
      <c r="K9" s="40">
        <v>226.08</v>
      </c>
      <c r="L9" s="40">
        <v>25.8</v>
      </c>
      <c r="M9" s="40">
        <v>48.87</v>
      </c>
      <c r="N9" s="40">
        <v>1.2</v>
      </c>
      <c r="O9" s="40">
        <v>0</v>
      </c>
      <c r="P9" s="40">
        <v>1.01</v>
      </c>
      <c r="Q9" s="40">
        <v>28.14</v>
      </c>
      <c r="R9" s="38"/>
      <c r="S9" s="38"/>
      <c r="T9" s="38"/>
      <c r="U9" s="38"/>
    </row>
    <row r="10" spans="1:21" customFormat="1">
      <c r="A10" s="39" t="s">
        <v>422</v>
      </c>
      <c r="B10" s="40">
        <v>7.26</v>
      </c>
      <c r="C10" s="40">
        <v>17.16</v>
      </c>
      <c r="D10" s="40">
        <v>16.010000000000002</v>
      </c>
      <c r="E10" s="40">
        <v>8.58</v>
      </c>
      <c r="F10" s="41">
        <v>4.96</v>
      </c>
      <c r="G10" s="40">
        <v>2.35</v>
      </c>
      <c r="H10" s="40">
        <v>29.08</v>
      </c>
      <c r="I10" s="40">
        <v>11.94</v>
      </c>
      <c r="J10" s="40">
        <v>0.15</v>
      </c>
      <c r="K10" s="40">
        <v>169.71</v>
      </c>
      <c r="L10" s="40">
        <v>25.11</v>
      </c>
      <c r="M10" s="40">
        <v>52.06</v>
      </c>
      <c r="N10" s="40">
        <v>0.9</v>
      </c>
      <c r="O10" s="40">
        <v>0</v>
      </c>
      <c r="P10" s="40">
        <v>1.03</v>
      </c>
      <c r="Q10" s="40">
        <v>28.14</v>
      </c>
      <c r="R10" s="38"/>
      <c r="S10" s="38"/>
      <c r="T10" s="38"/>
      <c r="U10" s="38"/>
    </row>
    <row r="11" spans="1:21" customFormat="1">
      <c r="A11" s="39" t="s">
        <v>423</v>
      </c>
      <c r="B11" s="40">
        <v>8.91</v>
      </c>
      <c r="C11" s="40">
        <v>17.37</v>
      </c>
      <c r="D11" s="40">
        <v>17.57</v>
      </c>
      <c r="E11" s="40">
        <v>8.3699999999999992</v>
      </c>
      <c r="F11" s="41">
        <v>5.88</v>
      </c>
      <c r="G11" s="40">
        <v>2.2400000000000002</v>
      </c>
      <c r="H11" s="40">
        <v>29.44</v>
      </c>
      <c r="I11" s="40">
        <v>12.06</v>
      </c>
      <c r="J11" s="40">
        <v>0.27</v>
      </c>
      <c r="K11" s="40">
        <v>242.57</v>
      </c>
      <c r="L11" s="40">
        <v>24.97</v>
      </c>
      <c r="M11" s="40">
        <v>54.13</v>
      </c>
      <c r="N11" s="40">
        <v>1.2</v>
      </c>
      <c r="O11" s="40">
        <v>0</v>
      </c>
      <c r="P11" s="40">
        <v>1.04</v>
      </c>
      <c r="Q11" s="40">
        <v>28.19</v>
      </c>
      <c r="R11" s="38"/>
      <c r="S11" s="38"/>
      <c r="T11" s="38"/>
      <c r="U11" s="38"/>
    </row>
    <row r="12" spans="1:21" customFormat="1">
      <c r="A12" s="39" t="s">
        <v>424</v>
      </c>
      <c r="B12" s="40">
        <v>8.59</v>
      </c>
      <c r="C12" s="40">
        <v>16.38</v>
      </c>
      <c r="D12" s="40">
        <v>16.79</v>
      </c>
      <c r="E12" s="40">
        <v>8.5299999999999994</v>
      </c>
      <c r="F12" s="41">
        <v>5.35</v>
      </c>
      <c r="G12" s="40">
        <v>1.73</v>
      </c>
      <c r="H12" s="40">
        <v>30.58</v>
      </c>
      <c r="I12" s="40">
        <v>12.07</v>
      </c>
      <c r="J12" s="40">
        <v>0.21</v>
      </c>
      <c r="K12" s="40">
        <v>224.63</v>
      </c>
      <c r="L12" s="40">
        <v>23.99</v>
      </c>
      <c r="M12" s="40">
        <v>56.57</v>
      </c>
      <c r="N12" s="40">
        <v>1.3</v>
      </c>
      <c r="O12" s="40">
        <v>0</v>
      </c>
      <c r="P12" s="40">
        <v>1.04</v>
      </c>
      <c r="Q12" s="40">
        <v>28.19</v>
      </c>
      <c r="R12" s="38"/>
      <c r="S12" s="38"/>
      <c r="T12" s="38"/>
      <c r="U12" s="38"/>
    </row>
    <row r="13" spans="1:21" customFormat="1">
      <c r="A13" s="39" t="s">
        <v>425</v>
      </c>
      <c r="B13" s="40">
        <v>9.43</v>
      </c>
      <c r="C13" s="40">
        <v>16.829999999999998</v>
      </c>
      <c r="D13" s="40">
        <v>17.62</v>
      </c>
      <c r="E13" s="40">
        <v>8.5500000000000007</v>
      </c>
      <c r="F13" s="41">
        <v>4.71</v>
      </c>
      <c r="G13" s="40">
        <v>2.89</v>
      </c>
      <c r="H13" s="40">
        <v>27.25</v>
      </c>
      <c r="I13" s="40">
        <v>12.14</v>
      </c>
      <c r="J13" s="40">
        <v>0.18</v>
      </c>
      <c r="K13" s="40">
        <v>171.58</v>
      </c>
      <c r="L13" s="40">
        <v>23.75</v>
      </c>
      <c r="M13" s="40">
        <v>57.39</v>
      </c>
      <c r="N13" s="40">
        <v>1.1000000000000001</v>
      </c>
      <c r="O13" s="40">
        <v>0</v>
      </c>
      <c r="P13" s="40">
        <v>1.05</v>
      </c>
      <c r="Q13" s="40">
        <v>28.21</v>
      </c>
      <c r="R13" s="38"/>
      <c r="S13" s="38"/>
      <c r="T13" s="38"/>
      <c r="U13" s="38"/>
    </row>
    <row r="14" spans="1:21" customFormat="1">
      <c r="A14" s="39" t="s">
        <v>426</v>
      </c>
      <c r="B14" s="40">
        <v>8.42</v>
      </c>
      <c r="C14" s="40">
        <v>17.079999999999998</v>
      </c>
      <c r="D14" s="40">
        <v>16.97</v>
      </c>
      <c r="E14" s="40">
        <v>8.58</v>
      </c>
      <c r="F14" s="41">
        <v>4.57</v>
      </c>
      <c r="G14" s="40">
        <v>2.19</v>
      </c>
      <c r="H14" s="40">
        <v>29.41</v>
      </c>
      <c r="I14" s="40">
        <v>12.11</v>
      </c>
      <c r="J14" s="40">
        <v>0.24</v>
      </c>
      <c r="K14" s="40">
        <v>185.26</v>
      </c>
      <c r="L14" s="40">
        <v>23.7</v>
      </c>
      <c r="M14" s="40">
        <v>60.28</v>
      </c>
      <c r="N14" s="40">
        <v>1.2</v>
      </c>
      <c r="O14" s="40">
        <v>0</v>
      </c>
      <c r="P14" s="40">
        <v>1.04</v>
      </c>
      <c r="Q14" s="40">
        <v>28.16</v>
      </c>
      <c r="R14" s="38"/>
      <c r="S14" s="38"/>
      <c r="T14" s="38"/>
      <c r="U14" s="38"/>
    </row>
    <row r="15" spans="1:21" customFormat="1">
      <c r="A15" s="39" t="s">
        <v>427</v>
      </c>
      <c r="B15" s="40">
        <v>6.59</v>
      </c>
      <c r="C15" s="40">
        <v>17</v>
      </c>
      <c r="D15" s="40">
        <v>15.52</v>
      </c>
      <c r="E15" s="40">
        <v>8.2200000000000006</v>
      </c>
      <c r="F15" s="41">
        <v>4.25</v>
      </c>
      <c r="G15" s="40">
        <v>1.78</v>
      </c>
      <c r="H15" s="40">
        <v>30.27</v>
      </c>
      <c r="I15" s="40">
        <v>11.85</v>
      </c>
      <c r="J15" s="40">
        <v>0.19</v>
      </c>
      <c r="K15" s="40">
        <v>215.86</v>
      </c>
      <c r="L15" s="40">
        <v>23.59</v>
      </c>
      <c r="M15" s="40">
        <v>59.02</v>
      </c>
      <c r="N15" s="40">
        <v>20.8</v>
      </c>
      <c r="O15" s="40">
        <v>0</v>
      </c>
      <c r="P15" s="40">
        <v>1.04</v>
      </c>
      <c r="Q15" s="40">
        <v>28.12</v>
      </c>
      <c r="R15" s="38"/>
      <c r="S15" s="38"/>
      <c r="T15" s="38"/>
      <c r="U15" s="38"/>
    </row>
    <row r="16" spans="1:21" customFormat="1">
      <c r="A16" s="39" t="s">
        <v>428</v>
      </c>
      <c r="B16" s="40">
        <v>5.47</v>
      </c>
      <c r="C16" s="40">
        <v>17.05</v>
      </c>
      <c r="D16" s="40">
        <v>14.56</v>
      </c>
      <c r="E16" s="40">
        <v>8.25</v>
      </c>
      <c r="F16" s="41">
        <v>4.07</v>
      </c>
      <c r="G16" s="40">
        <v>1.49</v>
      </c>
      <c r="H16" s="40">
        <v>30.71</v>
      </c>
      <c r="I16" s="40">
        <v>11.77</v>
      </c>
      <c r="J16" s="40">
        <v>0.34</v>
      </c>
      <c r="K16" s="40">
        <v>182.92</v>
      </c>
      <c r="L16" s="40">
        <v>27.07</v>
      </c>
      <c r="M16" s="40">
        <v>57.74</v>
      </c>
      <c r="N16" s="40">
        <v>71.099999999999994</v>
      </c>
      <c r="O16" s="40">
        <v>0</v>
      </c>
      <c r="P16" s="40">
        <v>1.06</v>
      </c>
      <c r="Q16" s="40">
        <v>28.07</v>
      </c>
      <c r="R16" s="38"/>
      <c r="S16" s="38"/>
      <c r="T16" s="38"/>
      <c r="U16" s="38"/>
    </row>
    <row r="17" spans="1:21" customFormat="1">
      <c r="A17" s="39" t="s">
        <v>429</v>
      </c>
      <c r="B17" s="40">
        <v>4.93</v>
      </c>
      <c r="C17" s="40">
        <v>17.78</v>
      </c>
      <c r="D17" s="40">
        <v>14.23</v>
      </c>
      <c r="E17" s="40">
        <v>8.39</v>
      </c>
      <c r="F17" s="41">
        <v>4.34</v>
      </c>
      <c r="G17" s="40">
        <v>1.58</v>
      </c>
      <c r="H17" s="40">
        <v>33.380000000000003</v>
      </c>
      <c r="I17" s="40">
        <v>12.25</v>
      </c>
      <c r="J17" s="40">
        <v>0.74</v>
      </c>
      <c r="K17" s="40">
        <v>277.61</v>
      </c>
      <c r="L17" s="40">
        <v>30.44</v>
      </c>
      <c r="M17" s="40">
        <v>47.75</v>
      </c>
      <c r="N17" s="40">
        <v>158</v>
      </c>
      <c r="O17" s="40">
        <v>0</v>
      </c>
      <c r="P17" s="40">
        <v>1.08</v>
      </c>
      <c r="Q17" s="40">
        <v>28.05</v>
      </c>
      <c r="R17" s="38"/>
      <c r="S17" s="38"/>
      <c r="T17" s="38"/>
      <c r="U17" s="38"/>
    </row>
    <row r="18" spans="1:21" customFormat="1">
      <c r="A18" s="39" t="s">
        <v>430</v>
      </c>
      <c r="B18" s="40">
        <v>4.12</v>
      </c>
      <c r="C18" s="40">
        <v>18.39</v>
      </c>
      <c r="D18" s="40">
        <v>14.13</v>
      </c>
      <c r="E18" s="40">
        <v>9.39</v>
      </c>
      <c r="F18" s="41">
        <v>4.16</v>
      </c>
      <c r="G18" s="40">
        <v>1.38</v>
      </c>
      <c r="H18" s="40">
        <v>35.56</v>
      </c>
      <c r="I18" s="40">
        <v>14.45</v>
      </c>
      <c r="J18" s="40">
        <v>0.76</v>
      </c>
      <c r="K18" s="40">
        <v>261.17</v>
      </c>
      <c r="L18" s="40">
        <v>32.08</v>
      </c>
      <c r="M18" s="40">
        <v>40.43</v>
      </c>
      <c r="N18" s="40">
        <v>221.6</v>
      </c>
      <c r="O18" s="40">
        <v>0</v>
      </c>
      <c r="P18" s="40">
        <v>1.1100000000000001</v>
      </c>
      <c r="Q18" s="40">
        <v>28.03</v>
      </c>
      <c r="R18" s="38"/>
      <c r="S18" s="38"/>
      <c r="T18" s="38"/>
      <c r="U18" s="38"/>
    </row>
    <row r="19" spans="1:21" customFormat="1">
      <c r="A19" s="39" t="s">
        <v>431</v>
      </c>
      <c r="B19" s="40">
        <v>4.03</v>
      </c>
      <c r="C19" s="40">
        <v>18.02</v>
      </c>
      <c r="D19" s="40">
        <v>14</v>
      </c>
      <c r="E19" s="40">
        <v>9.7799999999999994</v>
      </c>
      <c r="F19" s="41">
        <v>4.43</v>
      </c>
      <c r="G19" s="40">
        <v>2.4</v>
      </c>
      <c r="H19" s="40">
        <v>34.44</v>
      </c>
      <c r="I19" s="40">
        <v>14.61</v>
      </c>
      <c r="J19" s="40">
        <v>1.44</v>
      </c>
      <c r="K19" s="40">
        <v>277.33999999999997</v>
      </c>
      <c r="L19" s="40">
        <v>34.64</v>
      </c>
      <c r="M19" s="40">
        <v>34.340000000000003</v>
      </c>
      <c r="N19" s="40">
        <v>279.89999999999998</v>
      </c>
      <c r="O19" s="40">
        <v>0</v>
      </c>
      <c r="P19" s="40">
        <v>1.08</v>
      </c>
      <c r="Q19" s="40">
        <v>28.03</v>
      </c>
      <c r="R19" s="38"/>
      <c r="S19" s="38"/>
      <c r="T19" s="38"/>
      <c r="U19" s="38"/>
    </row>
    <row r="20" spans="1:21" customFormat="1">
      <c r="A20" s="39" t="s">
        <v>432</v>
      </c>
      <c r="B20" s="40">
        <v>3.9</v>
      </c>
      <c r="C20" s="40">
        <v>16.98</v>
      </c>
      <c r="D20" s="40">
        <v>13.35</v>
      </c>
      <c r="E20" s="40">
        <v>11.76</v>
      </c>
      <c r="F20" s="41">
        <v>5.5</v>
      </c>
      <c r="G20" s="40">
        <v>2.11</v>
      </c>
      <c r="H20" s="40">
        <v>29.21</v>
      </c>
      <c r="I20" s="40">
        <v>13.26</v>
      </c>
      <c r="J20" s="40">
        <v>1.73</v>
      </c>
      <c r="K20" s="40">
        <v>272.38</v>
      </c>
      <c r="L20" s="40">
        <v>36.1</v>
      </c>
      <c r="M20" s="40">
        <v>24.06</v>
      </c>
      <c r="N20" s="40">
        <v>303.60000000000002</v>
      </c>
      <c r="O20" s="40">
        <v>0</v>
      </c>
      <c r="P20" s="40">
        <v>0.98</v>
      </c>
      <c r="Q20" s="40">
        <v>28.02</v>
      </c>
      <c r="R20" s="38"/>
      <c r="S20" s="38"/>
      <c r="T20" s="38"/>
      <c r="U20" s="38"/>
    </row>
    <row r="21" spans="1:21" customFormat="1">
      <c r="A21" s="39" t="s">
        <v>433</v>
      </c>
      <c r="B21" s="40">
        <v>3.84</v>
      </c>
      <c r="C21" s="40">
        <v>16.760000000000002</v>
      </c>
      <c r="D21" s="40">
        <v>13.19</v>
      </c>
      <c r="E21" s="40">
        <v>12.36</v>
      </c>
      <c r="F21" s="41">
        <v>7.84</v>
      </c>
      <c r="G21" s="40">
        <v>1.9</v>
      </c>
      <c r="H21" s="40">
        <v>30.04</v>
      </c>
      <c r="I21" s="40">
        <v>11.65</v>
      </c>
      <c r="J21" s="40">
        <v>1.92</v>
      </c>
      <c r="K21" s="40">
        <v>270.48</v>
      </c>
      <c r="L21" s="40">
        <v>37.409999999999997</v>
      </c>
      <c r="M21" s="40">
        <v>20.52</v>
      </c>
      <c r="N21" s="40">
        <v>317.10000000000002</v>
      </c>
      <c r="O21" s="40">
        <v>0</v>
      </c>
      <c r="P21" s="40">
        <v>0.89</v>
      </c>
      <c r="Q21" s="40">
        <v>28</v>
      </c>
      <c r="R21" s="38"/>
      <c r="S21" s="38"/>
      <c r="T21" s="38"/>
      <c r="U21" s="38"/>
    </row>
    <row r="22" spans="1:21" customFormat="1">
      <c r="A22" s="39" t="s">
        <v>434</v>
      </c>
      <c r="B22" s="40">
        <v>3.71</v>
      </c>
      <c r="C22" s="40">
        <v>15.8</v>
      </c>
      <c r="D22" s="40">
        <v>12.58</v>
      </c>
      <c r="E22" s="40">
        <v>9.6199999999999992</v>
      </c>
      <c r="F22" s="41">
        <v>7.24</v>
      </c>
      <c r="G22" s="40">
        <v>1.75</v>
      </c>
      <c r="H22" s="40">
        <v>30.33</v>
      </c>
      <c r="I22" s="40">
        <v>10.48</v>
      </c>
      <c r="J22" s="40">
        <v>1.7</v>
      </c>
      <c r="K22" s="40">
        <v>271.26</v>
      </c>
      <c r="L22" s="40">
        <v>38.119999999999997</v>
      </c>
      <c r="M22" s="40">
        <v>18.489999999999998</v>
      </c>
      <c r="N22" s="40">
        <v>314.89999999999998</v>
      </c>
      <c r="O22" s="40">
        <v>0</v>
      </c>
      <c r="P22" s="40">
        <v>0.78</v>
      </c>
      <c r="Q22" s="40">
        <v>28</v>
      </c>
      <c r="R22" s="38"/>
      <c r="S22" s="38"/>
      <c r="T22" s="38"/>
      <c r="U22" s="38"/>
    </row>
    <row r="23" spans="1:21" customFormat="1">
      <c r="A23" s="39" t="s">
        <v>435</v>
      </c>
      <c r="B23" s="40">
        <v>3.65</v>
      </c>
      <c r="C23" s="40">
        <v>15.82</v>
      </c>
      <c r="D23" s="40">
        <v>12.55</v>
      </c>
      <c r="E23" s="40">
        <v>9.99</v>
      </c>
      <c r="F23" s="41">
        <v>6.32</v>
      </c>
      <c r="G23" s="40">
        <v>1.64</v>
      </c>
      <c r="H23" s="40">
        <v>30.78</v>
      </c>
      <c r="I23" s="40">
        <v>9.09</v>
      </c>
      <c r="J23" s="40">
        <v>1.53</v>
      </c>
      <c r="K23" s="40">
        <v>280.92</v>
      </c>
      <c r="L23" s="40">
        <v>38.380000000000003</v>
      </c>
      <c r="M23" s="40">
        <v>18.260000000000002</v>
      </c>
      <c r="N23" s="40">
        <v>308.89999999999998</v>
      </c>
      <c r="O23" s="40">
        <v>0</v>
      </c>
      <c r="P23" s="40">
        <v>0.71</v>
      </c>
      <c r="Q23" s="40">
        <v>28</v>
      </c>
      <c r="R23" s="38"/>
      <c r="S23" s="38"/>
      <c r="T23" s="38"/>
      <c r="U23" s="38"/>
    </row>
    <row r="24" spans="1:21" customFormat="1">
      <c r="A24" s="39" t="s">
        <v>436</v>
      </c>
      <c r="B24" s="40">
        <v>3.74</v>
      </c>
      <c r="C24" s="40">
        <v>14.32</v>
      </c>
      <c r="D24" s="40">
        <v>11.81</v>
      </c>
      <c r="E24" s="40">
        <v>10.53</v>
      </c>
      <c r="F24" s="41">
        <v>7.14</v>
      </c>
      <c r="G24" s="40">
        <v>1.58</v>
      </c>
      <c r="H24" s="40">
        <v>30.44</v>
      </c>
      <c r="I24" s="40">
        <v>8.43</v>
      </c>
      <c r="J24" s="40">
        <v>1.22</v>
      </c>
      <c r="K24" s="40">
        <v>272.42</v>
      </c>
      <c r="L24" s="40">
        <v>38.33</v>
      </c>
      <c r="M24" s="40">
        <v>18.579999999999998</v>
      </c>
      <c r="N24" s="40">
        <v>178.3</v>
      </c>
      <c r="O24" s="40">
        <v>0</v>
      </c>
      <c r="P24" s="40">
        <v>0.64</v>
      </c>
      <c r="Q24" s="40">
        <v>28.01</v>
      </c>
      <c r="R24" s="38"/>
      <c r="S24" s="38"/>
      <c r="T24" s="38"/>
      <c r="U24" s="38"/>
    </row>
    <row r="25" spans="1:21" customFormat="1">
      <c r="A25" s="39" t="s">
        <v>437</v>
      </c>
      <c r="B25" s="40">
        <v>3.78</v>
      </c>
      <c r="C25" s="40">
        <v>14.1</v>
      </c>
      <c r="D25" s="40">
        <v>11.75</v>
      </c>
      <c r="E25" s="40">
        <v>12.89</v>
      </c>
      <c r="F25" s="41">
        <v>7.66</v>
      </c>
      <c r="G25" s="40">
        <v>1.53</v>
      </c>
      <c r="H25" s="40">
        <v>28.36</v>
      </c>
      <c r="I25" s="40">
        <v>7.49</v>
      </c>
      <c r="J25" s="40">
        <v>1.06</v>
      </c>
      <c r="K25" s="40">
        <v>270.86</v>
      </c>
      <c r="L25" s="40">
        <v>37.700000000000003</v>
      </c>
      <c r="M25" s="40">
        <v>19.7</v>
      </c>
      <c r="N25" s="40">
        <v>82.7</v>
      </c>
      <c r="O25" s="40">
        <v>0</v>
      </c>
      <c r="P25" s="40">
        <v>0.62</v>
      </c>
      <c r="Q25" s="40">
        <v>28</v>
      </c>
      <c r="R25" s="38"/>
      <c r="S25" s="38"/>
      <c r="T25" s="38"/>
      <c r="U25" s="38"/>
    </row>
    <row r="26" spans="1:21" customFormat="1">
      <c r="A26" s="39" t="s">
        <v>438</v>
      </c>
      <c r="B26" s="40">
        <v>3.69</v>
      </c>
      <c r="C26" s="40">
        <v>15.33</v>
      </c>
      <c r="D26" s="40">
        <v>12.32</v>
      </c>
      <c r="E26" s="40">
        <v>14.57</v>
      </c>
      <c r="F26" s="41">
        <v>7.91</v>
      </c>
      <c r="G26" s="40">
        <v>1.49</v>
      </c>
      <c r="H26" s="40">
        <v>24.51</v>
      </c>
      <c r="I26" s="40">
        <v>7.43</v>
      </c>
      <c r="J26" s="40">
        <v>0.81</v>
      </c>
      <c r="K26" s="40">
        <v>271.64999999999998</v>
      </c>
      <c r="L26" s="40">
        <v>36.5</v>
      </c>
      <c r="M26" s="40">
        <v>23.46</v>
      </c>
      <c r="N26" s="40">
        <v>34.799999999999997</v>
      </c>
      <c r="O26" s="40">
        <v>0</v>
      </c>
      <c r="P26" s="40">
        <v>0.7</v>
      </c>
      <c r="Q26" s="40">
        <v>28.02</v>
      </c>
      <c r="R26" s="38"/>
      <c r="S26" s="38"/>
      <c r="T26" s="38"/>
      <c r="U26" s="38"/>
    </row>
    <row r="27" spans="1:21" customFormat="1">
      <c r="A27" s="39" t="s">
        <v>439</v>
      </c>
      <c r="B27" s="40">
        <v>3.92</v>
      </c>
      <c r="C27" s="40">
        <v>25.25</v>
      </c>
      <c r="D27" s="40">
        <v>17.690000000000001</v>
      </c>
      <c r="E27" s="40">
        <v>10.99</v>
      </c>
      <c r="F27" s="41">
        <v>6.1</v>
      </c>
      <c r="G27" s="40">
        <v>1.45</v>
      </c>
      <c r="H27" s="40">
        <v>26.31</v>
      </c>
      <c r="I27" s="40">
        <v>9.76</v>
      </c>
      <c r="J27" s="40">
        <v>0.23</v>
      </c>
      <c r="K27" s="40">
        <v>226.02</v>
      </c>
      <c r="L27" s="40">
        <v>34.340000000000003</v>
      </c>
      <c r="M27" s="40">
        <v>29.13</v>
      </c>
      <c r="N27" s="40">
        <v>2.4</v>
      </c>
      <c r="O27" s="40">
        <v>0</v>
      </c>
      <c r="P27" s="40">
        <v>0.89</v>
      </c>
      <c r="Q27" s="40">
        <v>28.01</v>
      </c>
      <c r="R27" s="38"/>
      <c r="S27" s="38"/>
      <c r="T27" s="38"/>
      <c r="U27" s="38"/>
    </row>
    <row r="28" spans="1:21" customFormat="1">
      <c r="A28" s="39" t="s">
        <v>440</v>
      </c>
      <c r="B28" s="40">
        <v>4.76</v>
      </c>
      <c r="C28" s="40">
        <v>29.12</v>
      </c>
      <c r="D28" s="40">
        <v>20.37</v>
      </c>
      <c r="E28" s="40">
        <v>13.73</v>
      </c>
      <c r="F28" s="41">
        <v>4.82</v>
      </c>
      <c r="G28" s="40">
        <v>1.45</v>
      </c>
      <c r="H28" s="40">
        <v>28.58</v>
      </c>
      <c r="I28" s="40">
        <v>9.92</v>
      </c>
      <c r="J28" s="40">
        <v>0.36</v>
      </c>
      <c r="K28" s="40">
        <v>280.12</v>
      </c>
      <c r="L28" s="40">
        <v>32.82</v>
      </c>
      <c r="M28" s="40">
        <v>36.270000000000003</v>
      </c>
      <c r="N28" s="40">
        <v>1.8</v>
      </c>
      <c r="O28" s="40">
        <v>0</v>
      </c>
      <c r="P28" s="40">
        <v>1.03</v>
      </c>
      <c r="Q28" s="40">
        <v>28.06</v>
      </c>
      <c r="R28" s="38"/>
      <c r="S28" s="38"/>
      <c r="T28" s="38"/>
      <c r="U28" s="38"/>
    </row>
    <row r="29" spans="1:21" customFormat="1">
      <c r="A29" s="39" t="s">
        <v>441</v>
      </c>
      <c r="B29" s="40">
        <v>4.96</v>
      </c>
      <c r="C29" s="40">
        <v>22.89</v>
      </c>
      <c r="D29" s="40">
        <v>16.93</v>
      </c>
      <c r="E29" s="40">
        <v>10.53</v>
      </c>
      <c r="F29" s="41">
        <v>4.3899999999999997</v>
      </c>
      <c r="G29" s="40">
        <v>1.5</v>
      </c>
      <c r="H29" s="40">
        <v>30.99</v>
      </c>
      <c r="I29" s="40">
        <v>10.41</v>
      </c>
      <c r="J29" s="40">
        <v>0.32</v>
      </c>
      <c r="K29" s="40">
        <v>181.58</v>
      </c>
      <c r="L29" s="40">
        <v>29.67</v>
      </c>
      <c r="M29" s="40">
        <v>42.53</v>
      </c>
      <c r="N29" s="40">
        <v>2.1</v>
      </c>
      <c r="O29" s="40">
        <v>0</v>
      </c>
      <c r="P29" s="40">
        <v>0.93</v>
      </c>
      <c r="Q29" s="40">
        <v>28.08</v>
      </c>
      <c r="R29" s="38"/>
      <c r="S29" s="38"/>
      <c r="T29" s="38"/>
      <c r="U29" s="38"/>
    </row>
    <row r="30" spans="1:21" customFormat="1">
      <c r="A30" s="39" t="s">
        <v>442</v>
      </c>
      <c r="B30" s="40">
        <v>5.47</v>
      </c>
      <c r="C30" s="40">
        <v>18.29</v>
      </c>
      <c r="D30" s="40">
        <v>15.22</v>
      </c>
      <c r="E30" s="40">
        <v>8.4</v>
      </c>
      <c r="F30" s="41">
        <v>4.09</v>
      </c>
      <c r="G30" s="40">
        <v>1.6</v>
      </c>
      <c r="H30" s="40">
        <v>29.16</v>
      </c>
      <c r="I30" s="40">
        <v>10.09</v>
      </c>
      <c r="J30" s="40">
        <v>0.17</v>
      </c>
      <c r="K30" s="40">
        <v>213.14</v>
      </c>
      <c r="L30" s="40">
        <v>28.1</v>
      </c>
      <c r="M30" s="40">
        <v>46.66</v>
      </c>
      <c r="N30" s="40">
        <v>1</v>
      </c>
      <c r="O30" s="40">
        <v>0</v>
      </c>
      <c r="P30" s="40">
        <v>0.95</v>
      </c>
      <c r="Q30" s="40">
        <v>28.09</v>
      </c>
      <c r="R30" s="38"/>
      <c r="S30" s="38"/>
      <c r="T30" s="38"/>
      <c r="U30" s="38"/>
    </row>
    <row r="31" spans="1:21" customFormat="1">
      <c r="A31" s="39" t="s">
        <v>443</v>
      </c>
      <c r="B31" s="40">
        <v>5.96</v>
      </c>
      <c r="C31" s="40">
        <v>18.079999999999998</v>
      </c>
      <c r="D31" s="40">
        <v>15.33</v>
      </c>
      <c r="E31" s="40">
        <v>7.82</v>
      </c>
      <c r="F31" s="41">
        <v>4.26</v>
      </c>
      <c r="G31" s="40">
        <v>1.77</v>
      </c>
      <c r="H31" s="40">
        <v>30.56</v>
      </c>
      <c r="I31" s="40">
        <v>10.39</v>
      </c>
      <c r="J31" s="40">
        <v>0.27</v>
      </c>
      <c r="K31" s="40">
        <v>207.23</v>
      </c>
      <c r="L31" s="40">
        <v>27.19</v>
      </c>
      <c r="M31" s="40">
        <v>51.86</v>
      </c>
      <c r="N31" s="40">
        <v>1.4</v>
      </c>
      <c r="O31" s="40">
        <v>0</v>
      </c>
      <c r="P31" s="40">
        <v>0.98</v>
      </c>
      <c r="Q31" s="40">
        <v>28.09</v>
      </c>
      <c r="R31" s="38"/>
      <c r="S31" s="38"/>
      <c r="T31" s="38"/>
      <c r="U31" s="38"/>
    </row>
    <row r="32" spans="1:21" customFormat="1">
      <c r="A32" s="39" t="s">
        <v>444</v>
      </c>
      <c r="B32" s="40">
        <v>6.13</v>
      </c>
      <c r="C32" s="40">
        <v>17.190000000000001</v>
      </c>
      <c r="D32" s="40">
        <v>15.1</v>
      </c>
      <c r="E32" s="40">
        <v>7.7</v>
      </c>
      <c r="F32" s="41">
        <v>4.37</v>
      </c>
      <c r="G32" s="40">
        <v>1.72</v>
      </c>
      <c r="H32" s="40">
        <v>29.78</v>
      </c>
      <c r="I32" s="40">
        <v>10.74</v>
      </c>
      <c r="J32" s="40">
        <v>0.15</v>
      </c>
      <c r="K32" s="40">
        <v>222.89</v>
      </c>
      <c r="L32" s="40">
        <v>26.42</v>
      </c>
      <c r="M32" s="40">
        <v>50.89</v>
      </c>
      <c r="N32" s="40">
        <v>1</v>
      </c>
      <c r="O32" s="40">
        <v>0</v>
      </c>
      <c r="P32" s="40">
        <v>0.99</v>
      </c>
      <c r="Q32" s="40">
        <v>28.09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3.65</v>
      </c>
      <c r="C34" s="18">
        <f t="shared" si="0"/>
        <v>14.1</v>
      </c>
      <c r="D34" s="18">
        <f t="shared" si="0"/>
        <v>11.75</v>
      </c>
      <c r="E34" s="18">
        <f t="shared" si="0"/>
        <v>7.7</v>
      </c>
      <c r="F34" s="18">
        <f t="shared" si="0"/>
        <v>4.07</v>
      </c>
      <c r="G34" s="18">
        <f t="shared" si="0"/>
        <v>1.38</v>
      </c>
      <c r="H34" s="18">
        <f t="shared" si="0"/>
        <v>24.51</v>
      </c>
      <c r="I34" s="18">
        <f t="shared" si="0"/>
        <v>7.43</v>
      </c>
      <c r="J34" s="18">
        <f t="shared" si="0"/>
        <v>0.15</v>
      </c>
      <c r="K34" s="18">
        <f t="shared" si="0"/>
        <v>169.71</v>
      </c>
      <c r="L34" s="18">
        <f t="shared" si="0"/>
        <v>23.59</v>
      </c>
      <c r="M34" s="18">
        <f t="shared" si="0"/>
        <v>18.260000000000002</v>
      </c>
      <c r="N34" s="18">
        <f t="shared" si="0"/>
        <v>0.9</v>
      </c>
      <c r="O34" s="18">
        <f t="shared" si="0"/>
        <v>0</v>
      </c>
      <c r="P34" s="18">
        <f t="shared" si="0"/>
        <v>0.62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9.43</v>
      </c>
      <c r="C35" s="3">
        <f t="shared" si="1"/>
        <v>29.12</v>
      </c>
      <c r="D35" s="3">
        <f t="shared" si="1"/>
        <v>20.37</v>
      </c>
      <c r="E35" s="3">
        <f t="shared" si="1"/>
        <v>14.57</v>
      </c>
      <c r="F35" s="3">
        <f t="shared" si="1"/>
        <v>7.91</v>
      </c>
      <c r="G35" s="3">
        <f t="shared" si="1"/>
        <v>2.89</v>
      </c>
      <c r="H35" s="3">
        <f t="shared" si="1"/>
        <v>35.56</v>
      </c>
      <c r="I35" s="3">
        <f t="shared" si="1"/>
        <v>14.61</v>
      </c>
      <c r="J35" s="3">
        <f t="shared" si="1"/>
        <v>1.92</v>
      </c>
      <c r="K35" s="3">
        <f t="shared" si="1"/>
        <v>280.92</v>
      </c>
      <c r="L35" s="3">
        <f t="shared" si="1"/>
        <v>38.380000000000003</v>
      </c>
      <c r="M35" s="3">
        <f t="shared" si="1"/>
        <v>60.28</v>
      </c>
      <c r="N35" s="3">
        <f t="shared" si="1"/>
        <v>317.10000000000002</v>
      </c>
      <c r="O35" s="3">
        <f t="shared" si="1"/>
        <v>0</v>
      </c>
      <c r="P35" s="3">
        <f t="shared" si="1"/>
        <v>1.1100000000000001</v>
      </c>
      <c r="Q35" s="3">
        <f t="shared" si="1"/>
        <v>28.21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5.5116666666666667</v>
      </c>
      <c r="C36" s="18">
        <f t="shared" si="2"/>
        <v>17.965833333333332</v>
      </c>
      <c r="D36" s="18">
        <f t="shared" si="2"/>
        <v>15.082083333333335</v>
      </c>
      <c r="E36" s="18">
        <f t="shared" si="2"/>
        <v>9.8329166666666659</v>
      </c>
      <c r="F36" s="18">
        <f t="shared" si="2"/>
        <v>5.36625</v>
      </c>
      <c r="G36" s="18">
        <f t="shared" si="2"/>
        <v>1.8370833333333338</v>
      </c>
      <c r="H36" s="18">
        <f t="shared" si="2"/>
        <v>29.976666666666659</v>
      </c>
      <c r="I36" s="18">
        <f t="shared" si="2"/>
        <v>11.084999999999999</v>
      </c>
      <c r="J36" s="18">
        <f t="shared" si="2"/>
        <v>0.67291666666666661</v>
      </c>
      <c r="K36" s="18">
        <f t="shared" si="2"/>
        <v>236.48666666666671</v>
      </c>
      <c r="L36" s="18">
        <f t="shared" si="2"/>
        <v>30.675833333333333</v>
      </c>
      <c r="M36" s="18">
        <f t="shared" si="2"/>
        <v>40.374583333333327</v>
      </c>
      <c r="N36" s="18">
        <f t="shared" si="2"/>
        <v>96.179166666666688</v>
      </c>
      <c r="O36" s="18">
        <f t="shared" si="2"/>
        <v>0</v>
      </c>
      <c r="P36" s="18">
        <f t="shared" si="2"/>
        <v>0.94458333333333344</v>
      </c>
      <c r="Q36" s="18">
        <f t="shared" si="2"/>
        <v>28.075000000000003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1.8806882798053219</v>
      </c>
      <c r="C37" s="18">
        <f t="shared" ref="C37:Q37" si="3">STDEV(C9:C32)</f>
        <v>3.342616674386119</v>
      </c>
      <c r="D37" s="18">
        <f t="shared" si="3"/>
        <v>2.2054733873522081</v>
      </c>
      <c r="E37" s="18">
        <f t="shared" si="3"/>
        <v>1.9560841076579265</v>
      </c>
      <c r="F37" s="18">
        <f t="shared" si="3"/>
        <v>1.3146757328743479</v>
      </c>
      <c r="G37" s="18">
        <f t="shared" si="3"/>
        <v>0.40734003706620908</v>
      </c>
      <c r="H37" s="18">
        <f t="shared" si="3"/>
        <v>2.3232467286792509</v>
      </c>
      <c r="I37" s="18">
        <f t="shared" si="3"/>
        <v>1.8554713452499094</v>
      </c>
      <c r="J37" s="18">
        <f t="shared" si="3"/>
        <v>0.60164614160662999</v>
      </c>
      <c r="K37" s="18">
        <f t="shared" si="3"/>
        <v>38.896136911866137</v>
      </c>
      <c r="L37" s="18">
        <f t="shared" si="3"/>
        <v>5.5045885338993346</v>
      </c>
      <c r="M37" s="18">
        <f t="shared" si="3"/>
        <v>15.227026881335975</v>
      </c>
      <c r="N37" s="18">
        <f t="shared" si="3"/>
        <v>125.64014513220117</v>
      </c>
      <c r="O37" s="18">
        <f t="shared" si="3"/>
        <v>0</v>
      </c>
      <c r="P37" s="18">
        <f t="shared" si="3"/>
        <v>0.14664299051324028</v>
      </c>
      <c r="Q37" s="18">
        <f t="shared" si="3"/>
        <v>6.7566392469217779E-2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I23" sqref="I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445</v>
      </c>
      <c r="B9" s="40">
        <v>6.44</v>
      </c>
      <c r="C9" s="40">
        <v>16.98</v>
      </c>
      <c r="D9" s="40">
        <v>15.36</v>
      </c>
      <c r="E9" s="40">
        <v>7.57</v>
      </c>
      <c r="F9" s="41">
        <v>4.6399999999999997</v>
      </c>
      <c r="G9" s="40">
        <v>1.65</v>
      </c>
      <c r="H9" s="40">
        <v>32.39</v>
      </c>
      <c r="I9" s="40">
        <v>10.89</v>
      </c>
      <c r="J9" s="40">
        <v>0.19</v>
      </c>
      <c r="K9" s="40">
        <v>160.03</v>
      </c>
      <c r="L9" s="40">
        <v>25.89</v>
      </c>
      <c r="M9" s="40">
        <v>51.44</v>
      </c>
      <c r="N9" s="40">
        <v>0.9</v>
      </c>
      <c r="O9" s="40">
        <v>0</v>
      </c>
      <c r="P9" s="40">
        <v>0.98</v>
      </c>
      <c r="Q9" s="40">
        <v>28.1</v>
      </c>
      <c r="R9" s="38"/>
      <c r="S9" s="38"/>
      <c r="T9" s="38"/>
      <c r="U9" s="38"/>
    </row>
    <row r="10" spans="1:21" customFormat="1">
      <c r="A10" s="39" t="s">
        <v>446</v>
      </c>
      <c r="B10" s="40">
        <v>5.92</v>
      </c>
      <c r="C10" s="40">
        <v>19.149999999999999</v>
      </c>
      <c r="D10" s="40">
        <v>15.55</v>
      </c>
      <c r="E10" s="40">
        <v>8.9499999999999993</v>
      </c>
      <c r="F10" s="41">
        <v>4.66</v>
      </c>
      <c r="G10" s="40">
        <v>1.55</v>
      </c>
      <c r="H10" s="40">
        <v>31.37</v>
      </c>
      <c r="I10" s="40">
        <v>10.87</v>
      </c>
      <c r="J10" s="40">
        <v>0.66</v>
      </c>
      <c r="K10" s="40">
        <v>356.07</v>
      </c>
      <c r="L10" s="40">
        <v>27.5</v>
      </c>
      <c r="M10" s="40">
        <v>47.23</v>
      </c>
      <c r="N10" s="40">
        <v>1.4</v>
      </c>
      <c r="O10" s="40">
        <v>0</v>
      </c>
      <c r="P10" s="40">
        <v>1.05</v>
      </c>
      <c r="Q10" s="40">
        <v>28.07</v>
      </c>
      <c r="R10" s="38"/>
      <c r="S10" s="38"/>
      <c r="T10" s="38"/>
      <c r="U10" s="38"/>
    </row>
    <row r="11" spans="1:21" customFormat="1">
      <c r="A11" s="39" t="s">
        <v>447</v>
      </c>
      <c r="B11" s="40">
        <v>5.4</v>
      </c>
      <c r="C11" s="40">
        <v>20.309999999999999</v>
      </c>
      <c r="D11" s="40">
        <v>16.29</v>
      </c>
      <c r="E11" s="40">
        <v>9.93</v>
      </c>
      <c r="F11" s="41">
        <v>4.4000000000000004</v>
      </c>
      <c r="G11" s="40">
        <v>1.49</v>
      </c>
      <c r="H11" s="40">
        <v>34.229999999999997</v>
      </c>
      <c r="I11" s="40">
        <v>11.55</v>
      </c>
      <c r="J11" s="40">
        <v>0.36</v>
      </c>
      <c r="K11" s="40">
        <v>211.69</v>
      </c>
      <c r="L11" s="40">
        <v>26.91</v>
      </c>
      <c r="M11" s="40">
        <v>50.13</v>
      </c>
      <c r="N11" s="40">
        <v>1.9</v>
      </c>
      <c r="O11" s="40">
        <v>0</v>
      </c>
      <c r="P11" s="40">
        <v>1.1499999999999999</v>
      </c>
      <c r="Q11" s="40">
        <v>28.07</v>
      </c>
      <c r="R11" s="38"/>
      <c r="S11" s="38"/>
      <c r="T11" s="38"/>
      <c r="U11" s="38"/>
    </row>
    <row r="12" spans="1:21" customFormat="1">
      <c r="A12" s="39" t="s">
        <v>448</v>
      </c>
      <c r="B12" s="40">
        <v>5.42</v>
      </c>
      <c r="C12" s="40">
        <v>20.7</v>
      </c>
      <c r="D12" s="40">
        <v>16.52</v>
      </c>
      <c r="E12" s="40">
        <v>10.18</v>
      </c>
      <c r="F12" s="41">
        <v>4.22</v>
      </c>
      <c r="G12" s="40">
        <v>1.45</v>
      </c>
      <c r="H12" s="40">
        <v>41.36</v>
      </c>
      <c r="I12" s="40">
        <v>12.25</v>
      </c>
      <c r="J12" s="40">
        <v>0.64</v>
      </c>
      <c r="K12" s="40">
        <v>264.17</v>
      </c>
      <c r="L12" s="40">
        <v>29.13</v>
      </c>
      <c r="M12" s="40">
        <v>45.73</v>
      </c>
      <c r="N12" s="40">
        <v>1.4</v>
      </c>
      <c r="O12" s="40">
        <v>0</v>
      </c>
      <c r="P12" s="40">
        <v>1.1399999999999999</v>
      </c>
      <c r="Q12" s="40">
        <v>28.09</v>
      </c>
      <c r="R12" s="38"/>
      <c r="S12" s="38"/>
      <c r="T12" s="38"/>
      <c r="U12" s="38"/>
    </row>
    <row r="13" spans="1:21" customFormat="1">
      <c r="A13" s="39" t="s">
        <v>449</v>
      </c>
      <c r="B13" s="40">
        <v>4.53</v>
      </c>
      <c r="C13" s="40">
        <v>20.03</v>
      </c>
      <c r="D13" s="40">
        <v>15.45</v>
      </c>
      <c r="E13" s="40">
        <v>9.35</v>
      </c>
      <c r="F13" s="41">
        <v>4.1900000000000004</v>
      </c>
      <c r="G13" s="40">
        <v>1.4</v>
      </c>
      <c r="H13" s="40">
        <v>40.61</v>
      </c>
      <c r="I13" s="40">
        <v>11.99</v>
      </c>
      <c r="J13" s="40">
        <v>0.56999999999999995</v>
      </c>
      <c r="K13" s="40">
        <v>245.84</v>
      </c>
      <c r="L13" s="40">
        <v>28.54</v>
      </c>
      <c r="M13" s="40">
        <v>36.19</v>
      </c>
      <c r="N13" s="40">
        <v>1.7</v>
      </c>
      <c r="O13" s="40">
        <v>0</v>
      </c>
      <c r="P13" s="40">
        <v>1.0900000000000001</v>
      </c>
      <c r="Q13" s="40">
        <v>28.04</v>
      </c>
      <c r="R13" s="38"/>
      <c r="S13" s="38"/>
      <c r="T13" s="38"/>
      <c r="U13" s="38"/>
    </row>
    <row r="14" spans="1:21" customFormat="1">
      <c r="A14" s="39" t="s">
        <v>450</v>
      </c>
      <c r="B14" s="40">
        <v>5.0599999999999996</v>
      </c>
      <c r="C14" s="40">
        <v>19.149999999999999</v>
      </c>
      <c r="D14" s="40">
        <v>14.99</v>
      </c>
      <c r="E14" s="40">
        <v>8.9600000000000009</v>
      </c>
      <c r="F14" s="41">
        <v>4.24</v>
      </c>
      <c r="G14" s="40">
        <v>1.36</v>
      </c>
      <c r="H14" s="40">
        <v>38.31</v>
      </c>
      <c r="I14" s="40">
        <v>12.65</v>
      </c>
      <c r="J14" s="40">
        <v>0.22</v>
      </c>
      <c r="K14" s="40">
        <v>176.31</v>
      </c>
      <c r="L14" s="40">
        <v>26.68</v>
      </c>
      <c r="M14" s="40">
        <v>51.93</v>
      </c>
      <c r="N14" s="40">
        <v>2.1</v>
      </c>
      <c r="O14" s="40">
        <v>0</v>
      </c>
      <c r="P14" s="40">
        <v>1.05</v>
      </c>
      <c r="Q14" s="40">
        <v>28.06</v>
      </c>
      <c r="R14" s="38"/>
      <c r="S14" s="38"/>
      <c r="T14" s="38"/>
      <c r="U14" s="38"/>
    </row>
    <row r="15" spans="1:21" customFormat="1">
      <c r="A15" s="39" t="s">
        <v>451</v>
      </c>
      <c r="B15" s="40">
        <v>5.9</v>
      </c>
      <c r="C15" s="40">
        <v>18</v>
      </c>
      <c r="D15" s="40">
        <v>15.13</v>
      </c>
      <c r="E15" s="40">
        <v>8.49</v>
      </c>
      <c r="F15" s="41">
        <v>4.0199999999999996</v>
      </c>
      <c r="G15" s="40">
        <v>1.33</v>
      </c>
      <c r="H15" s="40">
        <v>39.979999999999997</v>
      </c>
      <c r="I15" s="40">
        <v>13.06</v>
      </c>
      <c r="J15" s="40">
        <v>0.25</v>
      </c>
      <c r="K15" s="40">
        <v>210.27</v>
      </c>
      <c r="L15" s="40">
        <v>24.26</v>
      </c>
      <c r="M15" s="40">
        <v>53.85</v>
      </c>
      <c r="N15" s="40">
        <v>22</v>
      </c>
      <c r="O15" s="40">
        <v>0</v>
      </c>
      <c r="P15" s="40">
        <v>1.04</v>
      </c>
      <c r="Q15" s="40">
        <v>28.08</v>
      </c>
      <c r="R15" s="38"/>
      <c r="S15" s="38"/>
      <c r="T15" s="38"/>
      <c r="U15" s="38"/>
    </row>
    <row r="16" spans="1:21" customFormat="1">
      <c r="A16" s="39" t="s">
        <v>452</v>
      </c>
      <c r="B16" s="40">
        <v>7.07</v>
      </c>
      <c r="C16" s="40">
        <v>17.71</v>
      </c>
      <c r="D16" s="40">
        <v>16.27</v>
      </c>
      <c r="E16" s="40">
        <v>8.5</v>
      </c>
      <c r="F16" s="41">
        <v>4.01</v>
      </c>
      <c r="G16" s="40">
        <v>1.29</v>
      </c>
      <c r="H16" s="40">
        <v>35.78</v>
      </c>
      <c r="I16" s="40">
        <v>13.66</v>
      </c>
      <c r="J16" s="40">
        <v>0.3</v>
      </c>
      <c r="K16" s="40">
        <v>259.29000000000002</v>
      </c>
      <c r="L16" s="40">
        <v>27.66</v>
      </c>
      <c r="M16" s="40">
        <v>50.14</v>
      </c>
      <c r="N16" s="40">
        <v>83.4</v>
      </c>
      <c r="O16" s="40">
        <v>0</v>
      </c>
      <c r="P16" s="40">
        <v>1.1000000000000001</v>
      </c>
      <c r="Q16" s="40">
        <v>28.12</v>
      </c>
      <c r="R16" s="38"/>
      <c r="S16" s="38"/>
      <c r="T16" s="38"/>
      <c r="U16" s="38"/>
    </row>
    <row r="17" spans="1:21" customFormat="1">
      <c r="A17" s="39" t="s">
        <v>453</v>
      </c>
      <c r="B17" s="40">
        <v>7.51</v>
      </c>
      <c r="C17" s="40">
        <v>17.63</v>
      </c>
      <c r="D17" s="40">
        <v>16.149999999999999</v>
      </c>
      <c r="E17" s="40">
        <v>9.1300000000000008</v>
      </c>
      <c r="F17" s="41">
        <v>4.26</v>
      </c>
      <c r="G17" s="40">
        <v>1.25</v>
      </c>
      <c r="H17" s="40">
        <v>39.869999999999997</v>
      </c>
      <c r="I17" s="40">
        <v>14.89</v>
      </c>
      <c r="J17" s="40">
        <v>0.76</v>
      </c>
      <c r="K17" s="40">
        <v>276.79000000000002</v>
      </c>
      <c r="L17" s="40">
        <v>30.33</v>
      </c>
      <c r="M17" s="40">
        <v>36.950000000000003</v>
      </c>
      <c r="N17" s="40">
        <v>198.1</v>
      </c>
      <c r="O17" s="40">
        <v>0</v>
      </c>
      <c r="P17" s="40">
        <v>1.21</v>
      </c>
      <c r="Q17" s="40">
        <v>28.12</v>
      </c>
      <c r="R17" s="38"/>
      <c r="S17" s="38"/>
      <c r="T17" s="38"/>
      <c r="U17" s="38"/>
    </row>
    <row r="18" spans="1:21" customFormat="1">
      <c r="A18" s="39" t="s">
        <v>454</v>
      </c>
      <c r="B18" s="40">
        <v>5.88</v>
      </c>
      <c r="C18" s="40">
        <v>18.18</v>
      </c>
      <c r="D18" s="40">
        <v>15.16</v>
      </c>
      <c r="E18" s="40">
        <v>8.86</v>
      </c>
      <c r="F18" s="41">
        <v>4.37</v>
      </c>
      <c r="G18" s="40">
        <v>1.22</v>
      </c>
      <c r="H18" s="40">
        <v>60.18</v>
      </c>
      <c r="I18" s="40">
        <v>16.100000000000001</v>
      </c>
      <c r="J18" s="40">
        <v>1.05</v>
      </c>
      <c r="K18" s="40">
        <v>291.48</v>
      </c>
      <c r="L18" s="40">
        <v>32.43</v>
      </c>
      <c r="M18" s="40">
        <v>35.69</v>
      </c>
      <c r="N18" s="40">
        <v>250.5</v>
      </c>
      <c r="O18" s="40">
        <v>0</v>
      </c>
      <c r="P18" s="40">
        <v>1.19</v>
      </c>
      <c r="Q18" s="40">
        <v>28.08</v>
      </c>
      <c r="R18" s="38"/>
      <c r="S18" s="38"/>
      <c r="T18" s="38"/>
      <c r="U18" s="38"/>
    </row>
    <row r="19" spans="1:21" customFormat="1">
      <c r="A19" s="39" t="s">
        <v>455</v>
      </c>
      <c r="B19" s="40">
        <v>4.3899999999999997</v>
      </c>
      <c r="C19" s="40">
        <v>18.48</v>
      </c>
      <c r="D19" s="40">
        <v>14.53</v>
      </c>
      <c r="E19" s="40">
        <v>14.58</v>
      </c>
      <c r="F19" s="41">
        <v>6.17</v>
      </c>
      <c r="G19" s="40">
        <v>1.26</v>
      </c>
      <c r="H19" s="40">
        <v>46.15</v>
      </c>
      <c r="I19" s="40">
        <v>14.65</v>
      </c>
      <c r="J19" s="40">
        <v>1.61</v>
      </c>
      <c r="K19" s="40">
        <v>282.17</v>
      </c>
      <c r="L19" s="40">
        <v>34.44</v>
      </c>
      <c r="M19" s="40">
        <v>29.67</v>
      </c>
      <c r="N19" s="40">
        <v>295.3</v>
      </c>
      <c r="O19" s="40">
        <v>0</v>
      </c>
      <c r="P19" s="40">
        <v>1.17</v>
      </c>
      <c r="Q19" s="40">
        <v>28.04</v>
      </c>
      <c r="R19" s="38"/>
      <c r="S19" s="38"/>
      <c r="T19" s="38"/>
      <c r="U19" s="38"/>
    </row>
    <row r="20" spans="1:21" customFormat="1">
      <c r="A20" s="39" t="s">
        <v>456</v>
      </c>
      <c r="B20" s="40">
        <v>3.74</v>
      </c>
      <c r="C20" s="40">
        <v>18.149999999999999</v>
      </c>
      <c r="D20" s="40">
        <v>13.51</v>
      </c>
      <c r="E20" s="40">
        <v>19.809999999999999</v>
      </c>
      <c r="F20" s="41">
        <v>8.33</v>
      </c>
      <c r="G20" s="40">
        <v>63.55</v>
      </c>
      <c r="H20" s="40">
        <v>29.8</v>
      </c>
      <c r="I20" s="40">
        <v>12.7</v>
      </c>
      <c r="J20" s="40">
        <v>1.31</v>
      </c>
      <c r="K20" s="40">
        <v>312.13</v>
      </c>
      <c r="L20" s="40">
        <v>35.76</v>
      </c>
      <c r="M20" s="40">
        <v>25.86</v>
      </c>
      <c r="N20" s="40">
        <v>292.8</v>
      </c>
      <c r="O20" s="40">
        <v>0</v>
      </c>
      <c r="P20" s="40">
        <v>1.01</v>
      </c>
      <c r="Q20" s="40">
        <v>28.06</v>
      </c>
      <c r="R20" s="38"/>
      <c r="S20" s="38"/>
      <c r="T20" s="38"/>
      <c r="U20" s="38"/>
    </row>
    <row r="21" spans="1:21" customFormat="1">
      <c r="A21" s="39" t="s">
        <v>457</v>
      </c>
      <c r="B21" s="40">
        <v>4.4000000000000004</v>
      </c>
      <c r="C21" s="40">
        <v>18.260000000000002</v>
      </c>
      <c r="D21" s="40">
        <v>13.76</v>
      </c>
      <c r="E21" s="40">
        <v>15.71</v>
      </c>
      <c r="F21" s="41">
        <v>8.2799999999999994</v>
      </c>
      <c r="G21" s="40">
        <v>86.66</v>
      </c>
      <c r="H21" s="40">
        <v>30.72</v>
      </c>
      <c r="I21" s="40">
        <v>12.08</v>
      </c>
      <c r="J21" s="40">
        <v>1.36</v>
      </c>
      <c r="K21" s="40">
        <v>322.11</v>
      </c>
      <c r="L21" s="40">
        <v>37.18</v>
      </c>
      <c r="M21" s="40">
        <v>21.94</v>
      </c>
      <c r="N21" s="40">
        <v>329.9</v>
      </c>
      <c r="O21" s="40">
        <v>0</v>
      </c>
      <c r="P21" s="40">
        <v>0.93</v>
      </c>
      <c r="Q21" s="40">
        <v>28.09</v>
      </c>
      <c r="R21" s="38"/>
      <c r="S21" s="38"/>
      <c r="T21" s="38"/>
      <c r="U21" s="38"/>
    </row>
    <row r="22" spans="1:21" customFormat="1">
      <c r="A22" s="39" t="s">
        <v>458</v>
      </c>
      <c r="B22" s="40">
        <v>3.73</v>
      </c>
      <c r="C22" s="40">
        <v>15.99</v>
      </c>
      <c r="D22" s="40">
        <v>12.32</v>
      </c>
      <c r="E22" s="40">
        <v>15.51</v>
      </c>
      <c r="F22" s="41">
        <v>9.19</v>
      </c>
      <c r="G22" s="40">
        <v>75.77</v>
      </c>
      <c r="H22" s="40">
        <v>30.85</v>
      </c>
      <c r="I22" s="40">
        <v>8.17</v>
      </c>
      <c r="J22" s="40">
        <v>1.17</v>
      </c>
      <c r="K22" s="40">
        <v>326.08</v>
      </c>
      <c r="L22" s="40">
        <v>37.78</v>
      </c>
      <c r="M22" s="40">
        <v>19.32</v>
      </c>
      <c r="N22" s="40">
        <v>330.1</v>
      </c>
      <c r="O22" s="40">
        <v>0</v>
      </c>
      <c r="P22" s="40">
        <v>0.66</v>
      </c>
      <c r="Q22" s="40">
        <v>28.08</v>
      </c>
      <c r="R22" s="38"/>
      <c r="S22" s="38"/>
      <c r="T22" s="38"/>
      <c r="U22" s="38"/>
    </row>
    <row r="23" spans="1:21" customFormat="1">
      <c r="A23" s="39" t="s">
        <v>459</v>
      </c>
      <c r="B23" s="40">
        <v>3.43</v>
      </c>
      <c r="C23" s="40">
        <v>17.579999999999998</v>
      </c>
      <c r="D23" s="40">
        <v>13.29</v>
      </c>
      <c r="E23" s="40">
        <v>11.39</v>
      </c>
      <c r="F23" s="41">
        <v>10.81</v>
      </c>
      <c r="G23" s="40">
        <v>68.91</v>
      </c>
      <c r="H23" s="40">
        <v>30.98</v>
      </c>
      <c r="I23" s="40">
        <v>6.69</v>
      </c>
      <c r="J23" s="40">
        <v>1.06</v>
      </c>
      <c r="K23" s="40">
        <v>288.05</v>
      </c>
      <c r="L23" s="40">
        <v>38.229999999999997</v>
      </c>
      <c r="M23" s="40">
        <v>17.29</v>
      </c>
      <c r="N23" s="40">
        <v>326.7</v>
      </c>
      <c r="O23" s="40">
        <v>0</v>
      </c>
      <c r="P23" s="40">
        <v>0.63</v>
      </c>
      <c r="Q23" s="40">
        <v>28.04</v>
      </c>
      <c r="R23" s="38"/>
      <c r="S23" s="38"/>
      <c r="T23" s="38"/>
      <c r="U23" s="38"/>
    </row>
    <row r="24" spans="1:21" customFormat="1">
      <c r="A24" s="39" t="s">
        <v>460</v>
      </c>
      <c r="B24" s="40">
        <v>3.6</v>
      </c>
      <c r="C24" s="40">
        <v>16.95</v>
      </c>
      <c r="D24" s="40">
        <v>12.96</v>
      </c>
      <c r="E24" s="40">
        <v>14.25</v>
      </c>
      <c r="F24" s="41">
        <v>11.75</v>
      </c>
      <c r="G24" s="40">
        <v>56.39</v>
      </c>
      <c r="H24" s="40">
        <v>26.51</v>
      </c>
      <c r="I24" s="40">
        <v>7.19</v>
      </c>
      <c r="J24" s="40">
        <v>0.85</v>
      </c>
      <c r="K24" s="40">
        <v>306.39999999999998</v>
      </c>
      <c r="L24" s="40">
        <v>37.72</v>
      </c>
      <c r="M24" s="40">
        <v>18.55</v>
      </c>
      <c r="N24" s="40">
        <v>189.3</v>
      </c>
      <c r="O24" s="40">
        <v>0</v>
      </c>
      <c r="P24" s="40">
        <v>0.69</v>
      </c>
      <c r="Q24" s="40">
        <v>28.02</v>
      </c>
      <c r="R24" s="38"/>
      <c r="S24" s="38"/>
      <c r="T24" s="38"/>
      <c r="U24" s="38"/>
    </row>
    <row r="25" spans="1:21" customFormat="1">
      <c r="A25" s="39" t="s">
        <v>461</v>
      </c>
      <c r="B25" s="40">
        <v>4.62</v>
      </c>
      <c r="C25" s="40">
        <v>19.98</v>
      </c>
      <c r="D25" s="40">
        <v>15.49</v>
      </c>
      <c r="E25" s="40">
        <v>12.3</v>
      </c>
      <c r="F25" s="41">
        <v>16.21</v>
      </c>
      <c r="G25" s="40">
        <v>56.74</v>
      </c>
      <c r="H25" s="40">
        <v>26.35</v>
      </c>
      <c r="I25" s="40">
        <v>7.25</v>
      </c>
      <c r="J25" s="40">
        <v>1.23</v>
      </c>
      <c r="K25" s="40">
        <v>289.7</v>
      </c>
      <c r="L25" s="40">
        <v>37.19</v>
      </c>
      <c r="M25" s="40">
        <v>16.12</v>
      </c>
      <c r="N25" s="40">
        <v>90.8</v>
      </c>
      <c r="O25" s="40">
        <v>0</v>
      </c>
      <c r="P25" s="40">
        <v>0.66</v>
      </c>
      <c r="Q25" s="40">
        <v>28.03</v>
      </c>
      <c r="R25" s="38"/>
      <c r="S25" s="38"/>
      <c r="T25" s="38"/>
      <c r="U25" s="38"/>
    </row>
    <row r="26" spans="1:21" customFormat="1">
      <c r="A26" s="39" t="s">
        <v>462</v>
      </c>
      <c r="B26" s="40">
        <v>4.1100000000000003</v>
      </c>
      <c r="C26" s="40">
        <v>21.59</v>
      </c>
      <c r="D26" s="40">
        <v>15.86</v>
      </c>
      <c r="E26" s="40">
        <v>12.04</v>
      </c>
      <c r="F26" s="41">
        <v>11.54</v>
      </c>
      <c r="G26" s="40">
        <v>57.18</v>
      </c>
      <c r="H26" s="40">
        <v>22.89</v>
      </c>
      <c r="I26" s="40">
        <v>6.96</v>
      </c>
      <c r="J26" s="40">
        <v>0.87</v>
      </c>
      <c r="K26" s="40">
        <v>285.89</v>
      </c>
      <c r="L26" s="40">
        <v>36.03</v>
      </c>
      <c r="M26" s="40">
        <v>18.57</v>
      </c>
      <c r="N26" s="40">
        <v>42.4</v>
      </c>
      <c r="O26" s="40">
        <v>0</v>
      </c>
      <c r="P26" s="40">
        <v>0.68</v>
      </c>
      <c r="Q26" s="40">
        <v>28.03</v>
      </c>
      <c r="R26" s="38"/>
      <c r="S26" s="38"/>
      <c r="T26" s="38"/>
      <c r="U26" s="38"/>
    </row>
    <row r="27" spans="1:21" customFormat="1">
      <c r="A27" s="39" t="s">
        <v>463</v>
      </c>
      <c r="B27" s="40">
        <v>5.22</v>
      </c>
      <c r="C27" s="40">
        <v>23.31</v>
      </c>
      <c r="D27" s="40">
        <v>17.72</v>
      </c>
      <c r="E27" s="40">
        <v>10.37</v>
      </c>
      <c r="F27" s="41">
        <v>9.1300000000000008</v>
      </c>
      <c r="G27" s="40">
        <v>53.29</v>
      </c>
      <c r="H27" s="40">
        <v>20.62</v>
      </c>
      <c r="I27" s="40">
        <v>7.81</v>
      </c>
      <c r="J27" s="40">
        <v>0.57999999999999996</v>
      </c>
      <c r="K27" s="40">
        <v>290.37</v>
      </c>
      <c r="L27" s="40">
        <v>34.11</v>
      </c>
      <c r="M27" s="40">
        <v>20.97</v>
      </c>
      <c r="N27" s="40">
        <v>7.8</v>
      </c>
      <c r="O27" s="40">
        <v>0</v>
      </c>
      <c r="P27" s="40">
        <v>0.75</v>
      </c>
      <c r="Q27" s="40">
        <v>28.07</v>
      </c>
      <c r="R27" s="38"/>
      <c r="S27" s="38"/>
      <c r="T27" s="38"/>
      <c r="U27" s="38"/>
    </row>
    <row r="28" spans="1:21" customFormat="1">
      <c r="A28" s="39" t="s">
        <v>464</v>
      </c>
      <c r="B28" s="40">
        <v>5.21</v>
      </c>
      <c r="C28" s="40">
        <v>23.22</v>
      </c>
      <c r="D28" s="40">
        <v>17.670000000000002</v>
      </c>
      <c r="E28" s="40">
        <v>11.68</v>
      </c>
      <c r="F28" s="41">
        <v>5.68</v>
      </c>
      <c r="G28" s="40">
        <v>53.31</v>
      </c>
      <c r="H28" s="40">
        <v>20.78</v>
      </c>
      <c r="I28" s="40">
        <v>8.3800000000000008</v>
      </c>
      <c r="J28" s="40">
        <v>0.93</v>
      </c>
      <c r="K28" s="40">
        <v>292.81</v>
      </c>
      <c r="L28" s="40">
        <v>33.22</v>
      </c>
      <c r="M28" s="40">
        <v>23.35</v>
      </c>
      <c r="N28" s="40">
        <v>6.1</v>
      </c>
      <c r="O28" s="40">
        <v>0</v>
      </c>
      <c r="P28" s="40">
        <v>0.72</v>
      </c>
      <c r="Q28" s="40">
        <v>28.07</v>
      </c>
      <c r="R28" s="38"/>
      <c r="S28" s="38"/>
      <c r="T28" s="38"/>
      <c r="U28" s="38"/>
    </row>
    <row r="29" spans="1:21" customFormat="1">
      <c r="A29" s="39" t="s">
        <v>465</v>
      </c>
      <c r="B29" s="40">
        <v>4.2699999999999996</v>
      </c>
      <c r="C29" s="40">
        <v>22.3</v>
      </c>
      <c r="D29" s="40">
        <v>16.34</v>
      </c>
      <c r="E29" s="40">
        <v>10.31</v>
      </c>
      <c r="F29" s="41">
        <v>4.83</v>
      </c>
      <c r="G29" s="40">
        <v>58.88</v>
      </c>
      <c r="H29" s="40">
        <v>21.76</v>
      </c>
      <c r="I29" s="40">
        <v>8.49</v>
      </c>
      <c r="J29" s="40">
        <v>0.89</v>
      </c>
      <c r="K29" s="40">
        <v>305.36</v>
      </c>
      <c r="L29" s="40">
        <v>32.07</v>
      </c>
      <c r="M29" s="40">
        <v>23.85</v>
      </c>
      <c r="N29" s="40">
        <v>5.6</v>
      </c>
      <c r="O29" s="40">
        <v>0</v>
      </c>
      <c r="P29" s="40">
        <v>0.76</v>
      </c>
      <c r="Q29" s="40">
        <v>28.04</v>
      </c>
      <c r="R29" s="38"/>
      <c r="S29" s="38"/>
      <c r="T29" s="38"/>
      <c r="U29" s="38"/>
    </row>
    <row r="30" spans="1:21" customFormat="1">
      <c r="A30" s="39" t="s">
        <v>466</v>
      </c>
      <c r="B30" s="40">
        <v>4.5199999999999996</v>
      </c>
      <c r="C30" s="40">
        <v>23.63</v>
      </c>
      <c r="D30" s="40">
        <v>17.32</v>
      </c>
      <c r="E30" s="40">
        <v>22.75</v>
      </c>
      <c r="F30" s="41">
        <v>4.68</v>
      </c>
      <c r="G30" s="40">
        <v>72.56</v>
      </c>
      <c r="H30" s="40">
        <v>29.16</v>
      </c>
      <c r="I30" s="40">
        <v>8.4600000000000009</v>
      </c>
      <c r="J30" s="40">
        <v>0.79</v>
      </c>
      <c r="K30" s="40">
        <v>314.25</v>
      </c>
      <c r="L30" s="40">
        <v>31.67</v>
      </c>
      <c r="M30" s="40">
        <v>24.88</v>
      </c>
      <c r="N30" s="40">
        <v>5.8</v>
      </c>
      <c r="O30" s="40">
        <v>0</v>
      </c>
      <c r="P30" s="40">
        <v>0.78</v>
      </c>
      <c r="Q30" s="40">
        <v>28.04</v>
      </c>
      <c r="R30" s="38"/>
      <c r="S30" s="38"/>
      <c r="T30" s="38"/>
      <c r="U30" s="38"/>
    </row>
    <row r="31" spans="1:21" customFormat="1">
      <c r="A31" s="39" t="s">
        <v>467</v>
      </c>
      <c r="B31" s="40">
        <v>4.8099999999999996</v>
      </c>
      <c r="C31" s="40">
        <v>24.35</v>
      </c>
      <c r="D31" s="40">
        <v>17.93</v>
      </c>
      <c r="E31" s="40">
        <v>21.58</v>
      </c>
      <c r="F31" s="41">
        <v>4.49</v>
      </c>
      <c r="G31" s="40">
        <v>81.260000000000005</v>
      </c>
      <c r="H31" s="40">
        <v>32.450000000000003</v>
      </c>
      <c r="I31" s="40">
        <v>8.2200000000000006</v>
      </c>
      <c r="J31" s="40">
        <v>0.57999999999999996</v>
      </c>
      <c r="K31" s="40">
        <v>306.64999999999998</v>
      </c>
      <c r="L31" s="40">
        <v>30.68</v>
      </c>
      <c r="M31" s="40">
        <v>27.68</v>
      </c>
      <c r="N31" s="40">
        <v>6</v>
      </c>
      <c r="O31" s="40">
        <v>0</v>
      </c>
      <c r="P31" s="40">
        <v>0.78</v>
      </c>
      <c r="Q31" s="40">
        <v>28.07</v>
      </c>
      <c r="R31" s="38"/>
      <c r="S31" s="38"/>
      <c r="T31" s="38"/>
      <c r="U31" s="38"/>
    </row>
    <row r="32" spans="1:21" customFormat="1">
      <c r="A32" s="39" t="s">
        <v>468</v>
      </c>
      <c r="B32" s="40">
        <v>5.69</v>
      </c>
      <c r="C32" s="40">
        <v>22.93</v>
      </c>
      <c r="D32" s="40">
        <v>17.899999999999999</v>
      </c>
      <c r="E32" s="40">
        <v>21.1</v>
      </c>
      <c r="F32" s="41">
        <v>4.47</v>
      </c>
      <c r="G32" s="40">
        <v>87.47</v>
      </c>
      <c r="H32" s="40">
        <v>34.4</v>
      </c>
      <c r="I32" s="40">
        <v>8.0299999999999994</v>
      </c>
      <c r="J32" s="40">
        <v>0.28000000000000003</v>
      </c>
      <c r="K32" s="40">
        <v>181.38</v>
      </c>
      <c r="L32" s="40">
        <v>29.05</v>
      </c>
      <c r="M32" s="40">
        <v>35.39</v>
      </c>
      <c r="N32" s="40">
        <v>6.3</v>
      </c>
      <c r="O32" s="40">
        <v>0</v>
      </c>
      <c r="P32" s="40">
        <v>0.78</v>
      </c>
      <c r="Q32" s="40">
        <v>28.07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3.43</v>
      </c>
      <c r="C34" s="18">
        <f t="shared" si="0"/>
        <v>15.99</v>
      </c>
      <c r="D34" s="18">
        <f t="shared" si="0"/>
        <v>12.32</v>
      </c>
      <c r="E34" s="18">
        <f t="shared" si="0"/>
        <v>7.57</v>
      </c>
      <c r="F34" s="18">
        <f t="shared" si="0"/>
        <v>4.01</v>
      </c>
      <c r="G34" s="18">
        <f t="shared" si="0"/>
        <v>1.22</v>
      </c>
      <c r="H34" s="18">
        <f t="shared" si="0"/>
        <v>20.62</v>
      </c>
      <c r="I34" s="18">
        <f t="shared" si="0"/>
        <v>6.69</v>
      </c>
      <c r="J34" s="18">
        <f t="shared" si="0"/>
        <v>0.19</v>
      </c>
      <c r="K34" s="18">
        <f t="shared" si="0"/>
        <v>160.03</v>
      </c>
      <c r="L34" s="18">
        <f t="shared" si="0"/>
        <v>24.26</v>
      </c>
      <c r="M34" s="18">
        <f t="shared" si="0"/>
        <v>16.12</v>
      </c>
      <c r="N34" s="18">
        <f t="shared" si="0"/>
        <v>0.9</v>
      </c>
      <c r="O34" s="18">
        <f t="shared" si="0"/>
        <v>0</v>
      </c>
      <c r="P34" s="18">
        <f t="shared" si="0"/>
        <v>0.63</v>
      </c>
      <c r="Q34" s="18">
        <f t="shared" si="0"/>
        <v>28.02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7.51</v>
      </c>
      <c r="C35" s="3">
        <f t="shared" si="1"/>
        <v>24.35</v>
      </c>
      <c r="D35" s="3">
        <f t="shared" si="1"/>
        <v>17.93</v>
      </c>
      <c r="E35" s="3">
        <f t="shared" si="1"/>
        <v>22.75</v>
      </c>
      <c r="F35" s="3">
        <f t="shared" si="1"/>
        <v>16.21</v>
      </c>
      <c r="G35" s="3">
        <f t="shared" si="1"/>
        <v>87.47</v>
      </c>
      <c r="H35" s="3">
        <f t="shared" si="1"/>
        <v>60.18</v>
      </c>
      <c r="I35" s="3">
        <f t="shared" si="1"/>
        <v>16.100000000000001</v>
      </c>
      <c r="J35" s="3">
        <f t="shared" si="1"/>
        <v>1.61</v>
      </c>
      <c r="K35" s="3">
        <f t="shared" si="1"/>
        <v>356.07</v>
      </c>
      <c r="L35" s="3">
        <f t="shared" si="1"/>
        <v>38.229999999999997</v>
      </c>
      <c r="M35" s="3">
        <f t="shared" si="1"/>
        <v>53.85</v>
      </c>
      <c r="N35" s="3">
        <f t="shared" si="1"/>
        <v>330.1</v>
      </c>
      <c r="O35" s="3">
        <f t="shared" si="1"/>
        <v>0</v>
      </c>
      <c r="P35" s="3">
        <f t="shared" si="1"/>
        <v>1.21</v>
      </c>
      <c r="Q35" s="3">
        <f t="shared" si="1"/>
        <v>28.12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5.0362499999999999</v>
      </c>
      <c r="C36" s="18">
        <f t="shared" si="2"/>
        <v>19.77333333333333</v>
      </c>
      <c r="D36" s="18">
        <f t="shared" si="2"/>
        <v>15.561249999999996</v>
      </c>
      <c r="E36" s="18">
        <f t="shared" si="2"/>
        <v>12.637500000000001</v>
      </c>
      <c r="F36" s="18">
        <f t="shared" si="2"/>
        <v>6.6070833333333345</v>
      </c>
      <c r="G36" s="18">
        <f t="shared" si="2"/>
        <v>36.967500000000001</v>
      </c>
      <c r="H36" s="18">
        <f t="shared" si="2"/>
        <v>33.229166666666671</v>
      </c>
      <c r="I36" s="18">
        <f t="shared" si="2"/>
        <v>10.54125</v>
      </c>
      <c r="J36" s="18">
        <f t="shared" si="2"/>
        <v>0.77124999999999988</v>
      </c>
      <c r="K36" s="18">
        <f t="shared" si="2"/>
        <v>273.13708333333335</v>
      </c>
      <c r="L36" s="18">
        <f t="shared" si="2"/>
        <v>31.852500000000003</v>
      </c>
      <c r="M36" s="18">
        <f t="shared" si="2"/>
        <v>32.613333333333337</v>
      </c>
      <c r="N36" s="18">
        <f t="shared" si="2"/>
        <v>104.09583333333336</v>
      </c>
      <c r="O36" s="18">
        <f t="shared" si="2"/>
        <v>0</v>
      </c>
      <c r="P36" s="18">
        <f t="shared" si="2"/>
        <v>0.91666666666666685</v>
      </c>
      <c r="Q36" s="18">
        <f t="shared" si="2"/>
        <v>28.065833333333334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1.0689442678765222</v>
      </c>
      <c r="C37" s="18">
        <f t="shared" ref="C37:Q37" si="3">STDEV(C9:C32)</f>
        <v>2.448775499974519</v>
      </c>
      <c r="D37" s="18">
        <f t="shared" si="3"/>
        <v>1.587363996228256</v>
      </c>
      <c r="E37" s="18">
        <f t="shared" si="3"/>
        <v>4.5717889658016873</v>
      </c>
      <c r="F37" s="18">
        <f t="shared" si="3"/>
        <v>3.2973328868445559</v>
      </c>
      <c r="G37" s="18">
        <f t="shared" si="3"/>
        <v>34.639667667097449</v>
      </c>
      <c r="H37" s="18">
        <f t="shared" si="3"/>
        <v>8.9278128762660867</v>
      </c>
      <c r="I37" s="18">
        <f t="shared" si="3"/>
        <v>2.8606221769276798</v>
      </c>
      <c r="J37" s="18">
        <f t="shared" si="3"/>
        <v>0.39649894456792495</v>
      </c>
      <c r="K37" s="18">
        <f t="shared" si="3"/>
        <v>50.932971253289381</v>
      </c>
      <c r="L37" s="18">
        <f t="shared" si="3"/>
        <v>4.2972966729854551</v>
      </c>
      <c r="M37" s="18">
        <f t="shared" si="3"/>
        <v>12.948232938586028</v>
      </c>
      <c r="N37" s="18">
        <f t="shared" si="3"/>
        <v>130.71191515884365</v>
      </c>
      <c r="O37" s="18">
        <f t="shared" si="3"/>
        <v>0</v>
      </c>
      <c r="P37" s="18">
        <f t="shared" si="3"/>
        <v>0.20053551494342048</v>
      </c>
      <c r="Q37" s="18">
        <f t="shared" si="3"/>
        <v>2.7173623186860126E-2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H18" sqref="H1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469</v>
      </c>
      <c r="B9" s="40">
        <v>5.22</v>
      </c>
      <c r="C9" s="40">
        <v>21.79</v>
      </c>
      <c r="D9" s="40">
        <v>16.68</v>
      </c>
      <c r="E9" s="40">
        <v>10.98</v>
      </c>
      <c r="F9" s="41">
        <v>4.32</v>
      </c>
      <c r="G9" s="40">
        <v>89.15</v>
      </c>
      <c r="H9" s="40">
        <v>34.46</v>
      </c>
      <c r="I9" s="40">
        <v>8.0299999999999994</v>
      </c>
      <c r="J9" s="40">
        <v>0.33</v>
      </c>
      <c r="K9" s="40">
        <v>210.5</v>
      </c>
      <c r="L9" s="40">
        <v>27.02</v>
      </c>
      <c r="M9" s="40">
        <v>42.51</v>
      </c>
      <c r="N9" s="40">
        <v>6.3</v>
      </c>
      <c r="O9" s="40">
        <v>0</v>
      </c>
      <c r="P9" s="40">
        <v>0.78</v>
      </c>
      <c r="Q9" s="40">
        <v>28.06</v>
      </c>
      <c r="R9" s="38"/>
      <c r="S9" s="38"/>
      <c r="T9" s="38"/>
      <c r="U9" s="38"/>
    </row>
    <row r="10" spans="1:21" customFormat="1">
      <c r="A10" s="39" t="s">
        <v>470</v>
      </c>
      <c r="B10" s="40">
        <v>6.43</v>
      </c>
      <c r="C10" s="40">
        <v>19.579999999999998</v>
      </c>
      <c r="D10" s="40">
        <v>16.010000000000002</v>
      </c>
      <c r="E10" s="40">
        <v>7.93</v>
      </c>
      <c r="F10" s="41">
        <v>4.1399999999999997</v>
      </c>
      <c r="G10" s="40">
        <v>85.66</v>
      </c>
      <c r="H10" s="40">
        <v>32.01</v>
      </c>
      <c r="I10" s="40">
        <v>7.99</v>
      </c>
      <c r="J10" s="40">
        <v>0.2</v>
      </c>
      <c r="K10" s="40">
        <v>193.5</v>
      </c>
      <c r="L10" s="40">
        <v>24.84</v>
      </c>
      <c r="M10" s="40">
        <v>48.14</v>
      </c>
      <c r="N10" s="40">
        <v>6.1</v>
      </c>
      <c r="O10" s="40">
        <v>0</v>
      </c>
      <c r="P10" s="40">
        <v>0.77</v>
      </c>
      <c r="Q10" s="40">
        <v>28.1</v>
      </c>
      <c r="R10" s="38"/>
      <c r="S10" s="38"/>
      <c r="T10" s="38"/>
      <c r="U10" s="38"/>
    </row>
    <row r="11" spans="1:21" customFormat="1">
      <c r="A11" s="39" t="s">
        <v>471</v>
      </c>
      <c r="B11" s="40">
        <v>8.6</v>
      </c>
      <c r="C11" s="40">
        <v>18.41</v>
      </c>
      <c r="D11" s="40">
        <v>17.86</v>
      </c>
      <c r="E11" s="40">
        <v>9.5299999999999994</v>
      </c>
      <c r="F11" s="41">
        <v>3.94</v>
      </c>
      <c r="G11" s="40">
        <v>79.510000000000005</v>
      </c>
      <c r="H11" s="40">
        <v>29.24</v>
      </c>
      <c r="I11" s="40">
        <v>8.07</v>
      </c>
      <c r="J11" s="40">
        <v>0.32</v>
      </c>
      <c r="K11" s="40">
        <v>204.33</v>
      </c>
      <c r="L11" s="40">
        <v>24.74</v>
      </c>
      <c r="M11" s="40">
        <v>50.18</v>
      </c>
      <c r="N11" s="40">
        <v>6.6</v>
      </c>
      <c r="O11" s="40">
        <v>0</v>
      </c>
      <c r="P11" s="40">
        <v>0.78</v>
      </c>
      <c r="Q11" s="40">
        <v>28.15</v>
      </c>
      <c r="R11" s="38"/>
      <c r="S11" s="38"/>
      <c r="T11" s="38"/>
      <c r="U11" s="38"/>
    </row>
    <row r="12" spans="1:21" customFormat="1">
      <c r="A12" s="39" t="s">
        <v>472</v>
      </c>
      <c r="B12" s="40">
        <v>9.1999999999999993</v>
      </c>
      <c r="C12" s="40">
        <v>16.91</v>
      </c>
      <c r="D12" s="40">
        <v>17.22</v>
      </c>
      <c r="E12" s="40">
        <v>9.2200000000000006</v>
      </c>
      <c r="F12" s="41">
        <v>3.93</v>
      </c>
      <c r="G12" s="40">
        <v>77.25</v>
      </c>
      <c r="H12" s="40">
        <v>28.97</v>
      </c>
      <c r="I12" s="40">
        <v>8.2200000000000006</v>
      </c>
      <c r="J12" s="40">
        <v>0.16</v>
      </c>
      <c r="K12" s="40">
        <v>206.74</v>
      </c>
      <c r="L12" s="40">
        <v>23.2</v>
      </c>
      <c r="M12" s="40">
        <v>53.06</v>
      </c>
      <c r="N12" s="40">
        <v>6</v>
      </c>
      <c r="O12" s="40">
        <v>0</v>
      </c>
      <c r="P12" s="40">
        <v>0.78</v>
      </c>
      <c r="Q12" s="40">
        <v>28.19</v>
      </c>
      <c r="R12" s="38"/>
      <c r="S12" s="38"/>
      <c r="T12" s="38"/>
      <c r="U12" s="38"/>
    </row>
    <row r="13" spans="1:21" customFormat="1">
      <c r="A13" s="39" t="s">
        <v>473</v>
      </c>
      <c r="B13" s="40">
        <v>11.33</v>
      </c>
      <c r="C13" s="40">
        <v>16.52</v>
      </c>
      <c r="D13" s="40">
        <v>19.07</v>
      </c>
      <c r="E13" s="40">
        <v>9.1999999999999993</v>
      </c>
      <c r="F13" s="41">
        <v>4.01</v>
      </c>
      <c r="G13" s="40">
        <v>76.09</v>
      </c>
      <c r="H13" s="40">
        <v>26.89</v>
      </c>
      <c r="I13" s="40">
        <v>8.4600000000000009</v>
      </c>
      <c r="J13" s="40">
        <v>0.6</v>
      </c>
      <c r="K13" s="40">
        <v>151.02000000000001</v>
      </c>
      <c r="L13" s="40">
        <v>24.47</v>
      </c>
      <c r="M13" s="40">
        <v>52.07</v>
      </c>
      <c r="N13" s="40">
        <v>5.6</v>
      </c>
      <c r="O13" s="40">
        <v>0</v>
      </c>
      <c r="P13" s="40">
        <v>0.79</v>
      </c>
      <c r="Q13" s="40">
        <v>28.26</v>
      </c>
      <c r="R13" s="38"/>
      <c r="S13" s="38"/>
      <c r="T13" s="38"/>
      <c r="U13" s="38"/>
    </row>
    <row r="14" spans="1:21" customFormat="1">
      <c r="A14" s="39" t="s">
        <v>474</v>
      </c>
      <c r="B14" s="40">
        <v>11.74</v>
      </c>
      <c r="C14" s="40">
        <v>17.010000000000002</v>
      </c>
      <c r="D14" s="40">
        <v>19.5</v>
      </c>
      <c r="E14" s="40">
        <v>9.41</v>
      </c>
      <c r="F14" s="41">
        <v>4.0199999999999996</v>
      </c>
      <c r="G14" s="40">
        <v>72.989999999999995</v>
      </c>
      <c r="H14" s="40">
        <v>26.9</v>
      </c>
      <c r="I14" s="40">
        <v>8.48</v>
      </c>
      <c r="J14" s="40">
        <v>0.67</v>
      </c>
      <c r="K14" s="40">
        <v>42.71</v>
      </c>
      <c r="L14" s="40">
        <v>24.41</v>
      </c>
      <c r="M14" s="40">
        <v>43.86</v>
      </c>
      <c r="N14" s="40">
        <v>6.2</v>
      </c>
      <c r="O14" s="40">
        <v>0</v>
      </c>
      <c r="P14" s="40">
        <v>0.79</v>
      </c>
      <c r="Q14" s="40">
        <v>28.29</v>
      </c>
      <c r="R14" s="38"/>
      <c r="S14" s="38"/>
      <c r="T14" s="38"/>
      <c r="U14" s="38"/>
    </row>
    <row r="15" spans="1:21" customFormat="1">
      <c r="A15" s="39" t="s">
        <v>475</v>
      </c>
      <c r="B15" s="40">
        <v>11.16</v>
      </c>
      <c r="C15" s="40">
        <v>18.93</v>
      </c>
      <c r="D15" s="40">
        <v>19.46</v>
      </c>
      <c r="E15" s="40">
        <v>9.2899999999999991</v>
      </c>
      <c r="F15" s="41">
        <v>3.96</v>
      </c>
      <c r="G15" s="40">
        <v>71.209999999999994</v>
      </c>
      <c r="H15" s="40">
        <v>25.08</v>
      </c>
      <c r="I15" s="40">
        <v>8.57</v>
      </c>
      <c r="J15" s="40">
        <v>0.73</v>
      </c>
      <c r="K15" s="40">
        <v>74.03</v>
      </c>
      <c r="L15" s="40">
        <v>24.28</v>
      </c>
      <c r="M15" s="40">
        <v>45.36</v>
      </c>
      <c r="N15" s="40">
        <v>27</v>
      </c>
      <c r="O15" s="40">
        <v>0</v>
      </c>
      <c r="P15" s="40">
        <v>0.8</v>
      </c>
      <c r="Q15" s="40">
        <v>28.25</v>
      </c>
      <c r="R15" s="38"/>
      <c r="S15" s="38"/>
      <c r="T15" s="38"/>
      <c r="U15" s="38"/>
    </row>
    <row r="16" spans="1:21" customFormat="1">
      <c r="A16" s="39" t="s">
        <v>476</v>
      </c>
      <c r="B16" s="40">
        <v>9.93</v>
      </c>
      <c r="C16" s="40">
        <v>20.13</v>
      </c>
      <c r="D16" s="40">
        <v>19.48</v>
      </c>
      <c r="E16" s="40">
        <v>9.01</v>
      </c>
      <c r="F16" s="41">
        <v>4.0599999999999996</v>
      </c>
      <c r="G16" s="40">
        <v>72.84</v>
      </c>
      <c r="H16" s="40">
        <v>26.13</v>
      </c>
      <c r="I16" s="40">
        <v>8.89</v>
      </c>
      <c r="J16" s="40">
        <v>0.86</v>
      </c>
      <c r="K16" s="40">
        <v>57.51</v>
      </c>
      <c r="L16" s="40">
        <v>26.27</v>
      </c>
      <c r="M16" s="40">
        <v>45.06</v>
      </c>
      <c r="N16" s="40">
        <v>105.3</v>
      </c>
      <c r="O16" s="40">
        <v>0</v>
      </c>
      <c r="P16" s="40">
        <v>0.79</v>
      </c>
      <c r="Q16" s="40">
        <v>28.21</v>
      </c>
      <c r="R16" s="38"/>
      <c r="S16" s="38"/>
      <c r="T16" s="38"/>
      <c r="U16" s="38"/>
    </row>
    <row r="17" spans="1:21" customFormat="1">
      <c r="A17" s="39" t="s">
        <v>477</v>
      </c>
      <c r="B17" s="40">
        <v>10.73</v>
      </c>
      <c r="C17" s="40">
        <v>23.49</v>
      </c>
      <c r="D17" s="40">
        <v>22.23</v>
      </c>
      <c r="E17" s="40">
        <v>11.07</v>
      </c>
      <c r="F17" s="41">
        <v>4.24</v>
      </c>
      <c r="G17" s="40">
        <v>74.94</v>
      </c>
      <c r="H17" s="40">
        <v>26.17</v>
      </c>
      <c r="I17" s="40">
        <v>8.94</v>
      </c>
      <c r="J17" s="40">
        <v>1.52</v>
      </c>
      <c r="K17" s="40">
        <v>64.709999999999994</v>
      </c>
      <c r="L17" s="40">
        <v>29.88</v>
      </c>
      <c r="M17" s="40">
        <v>34.96</v>
      </c>
      <c r="N17" s="40">
        <v>237.4</v>
      </c>
      <c r="O17" s="40">
        <v>0</v>
      </c>
      <c r="P17" s="40">
        <v>0.77</v>
      </c>
      <c r="Q17" s="40">
        <v>28.25</v>
      </c>
      <c r="R17" s="38"/>
      <c r="S17" s="38"/>
      <c r="T17" s="38"/>
      <c r="U17" s="38"/>
    </row>
    <row r="18" spans="1:21" customFormat="1">
      <c r="A18" s="39" t="s">
        <v>478</v>
      </c>
      <c r="B18" s="40">
        <v>10.31</v>
      </c>
      <c r="C18" s="40">
        <v>26.25</v>
      </c>
      <c r="D18" s="40">
        <v>22.85</v>
      </c>
      <c r="E18" s="40">
        <v>21.03</v>
      </c>
      <c r="F18" s="41">
        <v>4.32</v>
      </c>
      <c r="G18" s="40">
        <v>75.5</v>
      </c>
      <c r="H18" s="40">
        <v>23.96</v>
      </c>
      <c r="I18" s="40">
        <v>8.4600000000000009</v>
      </c>
      <c r="J18" s="40">
        <v>1.6</v>
      </c>
      <c r="K18" s="40">
        <v>72.510000000000005</v>
      </c>
      <c r="L18" s="40">
        <v>32.11</v>
      </c>
      <c r="M18" s="40">
        <v>24.57</v>
      </c>
      <c r="N18" s="40">
        <v>307.5</v>
      </c>
      <c r="O18" s="40">
        <v>0</v>
      </c>
      <c r="P18" s="40">
        <v>0.7</v>
      </c>
      <c r="Q18" s="40">
        <v>28.25</v>
      </c>
      <c r="R18" s="38"/>
      <c r="S18" s="38"/>
      <c r="T18" s="38"/>
      <c r="U18" s="38"/>
    </row>
    <row r="19" spans="1:21" customFormat="1">
      <c r="A19" s="39" t="s">
        <v>479</v>
      </c>
      <c r="B19" s="40">
        <v>9.02</v>
      </c>
      <c r="C19" s="40">
        <v>25.65</v>
      </c>
      <c r="D19" s="40">
        <v>21.98</v>
      </c>
      <c r="E19" s="40">
        <v>16.63</v>
      </c>
      <c r="F19" s="41">
        <v>4.5599999999999996</v>
      </c>
      <c r="G19" s="40">
        <v>74.099999999999994</v>
      </c>
      <c r="H19" s="40">
        <v>24.55</v>
      </c>
      <c r="I19" s="40">
        <v>7.77</v>
      </c>
      <c r="J19" s="40">
        <v>0.93</v>
      </c>
      <c r="K19" s="40">
        <v>86.45</v>
      </c>
      <c r="L19" s="40">
        <v>34.880000000000003</v>
      </c>
      <c r="M19" s="40">
        <v>22.2</v>
      </c>
      <c r="N19" s="40">
        <v>341.6</v>
      </c>
      <c r="O19" s="40">
        <v>0</v>
      </c>
      <c r="P19" s="40">
        <v>0.65</v>
      </c>
      <c r="Q19" s="40">
        <v>28.2</v>
      </c>
      <c r="R19" s="38"/>
      <c r="S19" s="38"/>
      <c r="T19" s="38"/>
      <c r="U19" s="38"/>
    </row>
    <row r="20" spans="1:21" customFormat="1">
      <c r="A20" s="39" t="s">
        <v>480</v>
      </c>
      <c r="B20" s="40">
        <v>5.76</v>
      </c>
      <c r="C20" s="40">
        <v>23.99</v>
      </c>
      <c r="D20" s="40">
        <v>18.5</v>
      </c>
      <c r="E20" s="40">
        <v>15.58</v>
      </c>
      <c r="F20" s="41">
        <v>8.3800000000000008</v>
      </c>
      <c r="G20" s="40">
        <v>73.13</v>
      </c>
      <c r="H20" s="40">
        <v>28.81</v>
      </c>
      <c r="I20" s="40">
        <v>7.41</v>
      </c>
      <c r="J20" s="40">
        <v>0.69</v>
      </c>
      <c r="K20" s="40">
        <v>145.68</v>
      </c>
      <c r="L20" s="40">
        <v>36.11</v>
      </c>
      <c r="M20" s="40">
        <v>21.14</v>
      </c>
      <c r="N20" s="40">
        <v>337.4</v>
      </c>
      <c r="O20" s="40">
        <v>0</v>
      </c>
      <c r="P20" s="40">
        <v>0.65</v>
      </c>
      <c r="Q20" s="40">
        <v>28.09</v>
      </c>
      <c r="R20" s="38"/>
      <c r="S20" s="38"/>
      <c r="T20" s="38"/>
      <c r="U20" s="38"/>
    </row>
    <row r="21" spans="1:21" customFormat="1">
      <c r="A21" s="39" t="s">
        <v>481</v>
      </c>
      <c r="B21" s="40">
        <v>4.92</v>
      </c>
      <c r="C21" s="40">
        <v>21.56</v>
      </c>
      <c r="D21" s="40">
        <v>16.559999999999999</v>
      </c>
      <c r="E21" s="40">
        <v>14.62</v>
      </c>
      <c r="F21" s="41">
        <v>10.61</v>
      </c>
      <c r="G21" s="40">
        <v>75.89</v>
      </c>
      <c r="H21" s="40">
        <v>28.87</v>
      </c>
      <c r="I21" s="40">
        <v>7.38</v>
      </c>
      <c r="J21" s="40">
        <v>0.65</v>
      </c>
      <c r="K21" s="40">
        <v>358.24</v>
      </c>
      <c r="L21" s="40">
        <v>37.049999999999997</v>
      </c>
      <c r="M21" s="40">
        <v>17.86</v>
      </c>
      <c r="N21" s="40">
        <v>362</v>
      </c>
      <c r="O21" s="40">
        <v>0</v>
      </c>
      <c r="P21" s="40">
        <v>0.64</v>
      </c>
      <c r="Q21" s="40">
        <v>28.05</v>
      </c>
      <c r="R21" s="38"/>
      <c r="S21" s="38"/>
      <c r="T21" s="38"/>
      <c r="U21" s="38"/>
    </row>
    <row r="22" spans="1:21" customFormat="1">
      <c r="A22" s="39" t="s">
        <v>482</v>
      </c>
      <c r="B22" s="40">
        <v>4.37</v>
      </c>
      <c r="C22" s="40">
        <v>18.62</v>
      </c>
      <c r="D22" s="40">
        <v>14.54</v>
      </c>
      <c r="E22" s="40">
        <v>19.079999999999998</v>
      </c>
      <c r="F22" s="41">
        <v>16.59</v>
      </c>
      <c r="G22" s="40">
        <v>76.709999999999994</v>
      </c>
      <c r="H22" s="40">
        <v>27.49</v>
      </c>
      <c r="I22" s="40">
        <v>6.87</v>
      </c>
      <c r="J22" s="40">
        <v>0.79</v>
      </c>
      <c r="K22" s="40">
        <v>316.62</v>
      </c>
      <c r="L22" s="40">
        <v>37.81</v>
      </c>
      <c r="M22" s="40">
        <v>15.54</v>
      </c>
      <c r="N22" s="40">
        <v>362.3</v>
      </c>
      <c r="O22" s="40">
        <v>0</v>
      </c>
      <c r="P22" s="40">
        <v>0.6</v>
      </c>
      <c r="Q22" s="40">
        <v>28.03</v>
      </c>
      <c r="R22" s="38"/>
      <c r="S22" s="38"/>
      <c r="T22" s="38"/>
      <c r="U22" s="38"/>
    </row>
    <row r="23" spans="1:21" customFormat="1">
      <c r="A23" s="39" t="s">
        <v>483</v>
      </c>
      <c r="B23" s="40">
        <v>4.7</v>
      </c>
      <c r="C23" s="40">
        <v>18.61</v>
      </c>
      <c r="D23" s="40">
        <v>14.73</v>
      </c>
      <c r="E23" s="40">
        <v>22.19</v>
      </c>
      <c r="F23" s="41">
        <v>5.13</v>
      </c>
      <c r="G23" s="40">
        <v>65.89</v>
      </c>
      <c r="H23" s="40">
        <v>26.97</v>
      </c>
      <c r="I23" s="40">
        <v>6.55</v>
      </c>
      <c r="J23" s="40">
        <v>0.93</v>
      </c>
      <c r="K23" s="40">
        <v>351.59</v>
      </c>
      <c r="L23" s="40">
        <v>38.26</v>
      </c>
      <c r="M23" s="40">
        <v>15.04</v>
      </c>
      <c r="N23" s="40">
        <v>343.1</v>
      </c>
      <c r="O23" s="40">
        <v>0</v>
      </c>
      <c r="P23" s="40">
        <v>0.59</v>
      </c>
      <c r="Q23" s="40">
        <v>28.03</v>
      </c>
      <c r="R23" s="38"/>
      <c r="S23" s="38"/>
      <c r="T23" s="38"/>
      <c r="U23" s="38"/>
    </row>
    <row r="24" spans="1:21" customFormat="1">
      <c r="A24" s="39" t="s">
        <v>484</v>
      </c>
      <c r="B24" s="40">
        <v>4.74</v>
      </c>
      <c r="C24" s="40">
        <v>19.329999999999998</v>
      </c>
      <c r="D24" s="40">
        <v>15.25</v>
      </c>
      <c r="E24" s="40">
        <v>17.940000000000001</v>
      </c>
      <c r="F24" s="41">
        <v>3.06</v>
      </c>
      <c r="G24" s="40">
        <v>63.8</v>
      </c>
      <c r="H24" s="40">
        <v>23.84</v>
      </c>
      <c r="I24" s="40">
        <v>6.36</v>
      </c>
      <c r="J24" s="40">
        <v>1.19</v>
      </c>
      <c r="K24" s="40">
        <v>326.51</v>
      </c>
      <c r="L24" s="40">
        <v>37.549999999999997</v>
      </c>
      <c r="M24" s="40">
        <v>14.81</v>
      </c>
      <c r="N24" s="40">
        <v>297.89999999999998</v>
      </c>
      <c r="O24" s="40">
        <v>0</v>
      </c>
      <c r="P24" s="40">
        <v>0.56999999999999995</v>
      </c>
      <c r="Q24" s="40">
        <v>28.05</v>
      </c>
      <c r="R24" s="38"/>
      <c r="S24" s="38"/>
      <c r="T24" s="38"/>
      <c r="U24" s="38"/>
    </row>
    <row r="25" spans="1:21" customFormat="1">
      <c r="A25" s="39" t="s">
        <v>485</v>
      </c>
      <c r="B25" s="40">
        <v>4.46</v>
      </c>
      <c r="C25" s="40">
        <v>19.46</v>
      </c>
      <c r="D25" s="40">
        <v>14.96</v>
      </c>
      <c r="E25" s="40">
        <v>14.7</v>
      </c>
      <c r="F25" s="41">
        <v>3.3</v>
      </c>
      <c r="G25" s="40">
        <v>61.69</v>
      </c>
      <c r="H25" s="40">
        <v>23.62</v>
      </c>
      <c r="I25" s="40">
        <v>5.95</v>
      </c>
      <c r="J25" s="40">
        <v>1.18</v>
      </c>
      <c r="K25" s="40">
        <v>319.39999999999998</v>
      </c>
      <c r="L25" s="40">
        <v>37.07</v>
      </c>
      <c r="M25" s="40">
        <v>15.87</v>
      </c>
      <c r="N25" s="40">
        <v>125.2</v>
      </c>
      <c r="O25" s="40">
        <v>0</v>
      </c>
      <c r="P25" s="40">
        <v>0.52</v>
      </c>
      <c r="Q25" s="40">
        <v>28.02</v>
      </c>
      <c r="R25" s="38"/>
      <c r="S25" s="38"/>
      <c r="T25" s="38"/>
      <c r="U25" s="38"/>
    </row>
    <row r="26" spans="1:21" customFormat="1">
      <c r="A26" s="39" t="s">
        <v>486</v>
      </c>
      <c r="B26" s="40">
        <v>3.72</v>
      </c>
      <c r="C26" s="40">
        <v>14.63</v>
      </c>
      <c r="D26" s="40">
        <v>11.98</v>
      </c>
      <c r="E26" s="40">
        <v>14.54</v>
      </c>
      <c r="F26" s="41">
        <v>3.28</v>
      </c>
      <c r="G26" s="40">
        <v>53.28</v>
      </c>
      <c r="H26" s="40">
        <v>21.11</v>
      </c>
      <c r="I26" s="40">
        <v>5.41</v>
      </c>
      <c r="J26" s="40">
        <v>0.36</v>
      </c>
      <c r="K26" s="40">
        <v>210.68</v>
      </c>
      <c r="L26" s="40">
        <v>35.96</v>
      </c>
      <c r="M26" s="40">
        <v>25.54</v>
      </c>
      <c r="N26" s="40">
        <v>40.1</v>
      </c>
      <c r="O26" s="40">
        <v>0</v>
      </c>
      <c r="P26" s="40">
        <v>0.51</v>
      </c>
      <c r="Q26" s="40">
        <v>28.01</v>
      </c>
      <c r="R26" s="38"/>
      <c r="S26" s="38"/>
      <c r="T26" s="38"/>
      <c r="U26" s="38"/>
    </row>
    <row r="27" spans="1:21" customFormat="1">
      <c r="A27" s="39" t="s">
        <v>487</v>
      </c>
      <c r="B27" s="40">
        <v>3.8</v>
      </c>
      <c r="C27" s="40">
        <v>15</v>
      </c>
      <c r="D27" s="40">
        <v>12.24</v>
      </c>
      <c r="E27" s="40">
        <v>12.2</v>
      </c>
      <c r="F27" s="41">
        <v>3.35</v>
      </c>
      <c r="G27" s="40">
        <v>58.17</v>
      </c>
      <c r="H27" s="40">
        <v>20.55</v>
      </c>
      <c r="I27" s="40">
        <v>6.13</v>
      </c>
      <c r="J27" s="40">
        <v>0.26</v>
      </c>
      <c r="K27" s="40">
        <v>173.26</v>
      </c>
      <c r="L27" s="40">
        <v>32.06</v>
      </c>
      <c r="M27" s="40">
        <v>34.19</v>
      </c>
      <c r="N27" s="40">
        <v>7.9</v>
      </c>
      <c r="O27" s="40">
        <v>0</v>
      </c>
      <c r="P27" s="40">
        <v>0.56999999999999995</v>
      </c>
      <c r="Q27" s="40">
        <v>28.01</v>
      </c>
      <c r="R27" s="38"/>
      <c r="S27" s="38"/>
      <c r="T27" s="38"/>
      <c r="U27" s="38"/>
    </row>
    <row r="28" spans="1:21" customFormat="1">
      <c r="A28" s="39" t="s">
        <v>488</v>
      </c>
      <c r="B28" s="40">
        <v>7.8</v>
      </c>
      <c r="C28" s="40">
        <v>25.42</v>
      </c>
      <c r="D28" s="40">
        <v>19.7</v>
      </c>
      <c r="E28" s="40">
        <v>11.55</v>
      </c>
      <c r="F28" s="41">
        <v>2.91</v>
      </c>
      <c r="G28" s="40">
        <v>167.88</v>
      </c>
      <c r="H28" s="40">
        <v>44.43</v>
      </c>
      <c r="I28" s="40">
        <v>9.75</v>
      </c>
      <c r="J28" s="40">
        <v>0.28000000000000003</v>
      </c>
      <c r="K28" s="40">
        <v>171.11</v>
      </c>
      <c r="L28" s="40">
        <v>29.62</v>
      </c>
      <c r="M28" s="40">
        <v>32.64</v>
      </c>
      <c r="N28" s="40">
        <v>5.6</v>
      </c>
      <c r="O28" s="40">
        <v>0</v>
      </c>
      <c r="P28" s="40">
        <v>0.82</v>
      </c>
      <c r="Q28" s="40">
        <v>28.03</v>
      </c>
      <c r="R28" s="38"/>
      <c r="S28" s="38"/>
      <c r="T28" s="38"/>
      <c r="U28" s="38"/>
    </row>
    <row r="29" spans="1:21" customFormat="1">
      <c r="A29" s="39" t="s">
        <v>489</v>
      </c>
      <c r="B29" s="40">
        <v>17.71</v>
      </c>
      <c r="C29" s="40">
        <v>29.66</v>
      </c>
      <c r="D29" s="40">
        <v>31.05</v>
      </c>
      <c r="E29" s="40">
        <v>12.29</v>
      </c>
      <c r="F29" s="41">
        <v>2.67</v>
      </c>
      <c r="G29" s="40">
        <v>207.12</v>
      </c>
      <c r="H29" s="40">
        <v>44.79</v>
      </c>
      <c r="I29" s="40">
        <v>10.5</v>
      </c>
      <c r="J29" s="40">
        <v>0.22</v>
      </c>
      <c r="K29" s="40">
        <v>225.98</v>
      </c>
      <c r="L29" s="40">
        <v>28.57</v>
      </c>
      <c r="M29" s="40">
        <v>37.64</v>
      </c>
      <c r="N29" s="40">
        <v>6</v>
      </c>
      <c r="O29" s="40">
        <v>0</v>
      </c>
      <c r="P29" s="40">
        <v>1.06</v>
      </c>
      <c r="Q29" s="40">
        <v>28.13</v>
      </c>
      <c r="R29" s="38"/>
      <c r="S29" s="38"/>
      <c r="T29" s="38"/>
      <c r="U29" s="38"/>
    </row>
    <row r="30" spans="1:21" customFormat="1">
      <c r="A30" s="39" t="s">
        <v>490</v>
      </c>
      <c r="B30" s="40">
        <v>13.33</v>
      </c>
      <c r="C30" s="40">
        <v>26.87</v>
      </c>
      <c r="D30" s="40">
        <v>26.08</v>
      </c>
      <c r="E30" s="40">
        <v>10.96</v>
      </c>
      <c r="F30" s="41">
        <v>2.97</v>
      </c>
      <c r="G30" s="40">
        <v>142.29</v>
      </c>
      <c r="H30" s="40">
        <v>44.12</v>
      </c>
      <c r="I30" s="40">
        <v>11.36</v>
      </c>
      <c r="J30" s="40">
        <v>0.27</v>
      </c>
      <c r="K30" s="40">
        <v>208.19</v>
      </c>
      <c r="L30" s="40">
        <v>28.13</v>
      </c>
      <c r="M30" s="40">
        <v>47.28</v>
      </c>
      <c r="N30" s="40">
        <v>6.4</v>
      </c>
      <c r="O30" s="40">
        <v>0</v>
      </c>
      <c r="P30" s="40">
        <v>0.94</v>
      </c>
      <c r="Q30" s="40">
        <v>28.23</v>
      </c>
      <c r="R30" s="38"/>
      <c r="S30" s="38"/>
      <c r="T30" s="38"/>
      <c r="U30" s="38"/>
    </row>
    <row r="31" spans="1:21" customFormat="1">
      <c r="A31" s="39" t="s">
        <v>491</v>
      </c>
      <c r="B31" s="40">
        <v>20.65</v>
      </c>
      <c r="C31" s="40">
        <v>27.65</v>
      </c>
      <c r="D31" s="40">
        <v>32.36</v>
      </c>
      <c r="E31" s="40">
        <v>10.1</v>
      </c>
      <c r="F31" s="41">
        <v>2.75</v>
      </c>
      <c r="G31" s="40">
        <v>142.76</v>
      </c>
      <c r="H31" s="40">
        <v>44.13</v>
      </c>
      <c r="I31" s="40">
        <v>11.33</v>
      </c>
      <c r="J31" s="40">
        <v>0.35</v>
      </c>
      <c r="K31" s="40">
        <v>219.28</v>
      </c>
      <c r="L31" s="40">
        <v>26.96</v>
      </c>
      <c r="M31" s="40">
        <v>46.16</v>
      </c>
      <c r="N31" s="40">
        <v>5.5</v>
      </c>
      <c r="O31" s="40">
        <v>0</v>
      </c>
      <c r="P31" s="40">
        <v>1.07</v>
      </c>
      <c r="Q31" s="40">
        <v>28.35</v>
      </c>
      <c r="R31" s="38"/>
      <c r="S31" s="38"/>
      <c r="T31" s="38"/>
      <c r="U31" s="38"/>
    </row>
    <row r="32" spans="1:21" customFormat="1">
      <c r="A32" s="39" t="s">
        <v>492</v>
      </c>
      <c r="B32" s="40">
        <v>19.23</v>
      </c>
      <c r="C32" s="40">
        <v>26.08</v>
      </c>
      <c r="D32" s="40">
        <v>30.4</v>
      </c>
      <c r="E32" s="40">
        <v>10.87</v>
      </c>
      <c r="F32" s="41">
        <v>2.93</v>
      </c>
      <c r="G32" s="40">
        <v>134.28</v>
      </c>
      <c r="H32" s="40">
        <v>43.33</v>
      </c>
      <c r="I32" s="40">
        <v>12.77</v>
      </c>
      <c r="J32" s="40">
        <v>0.44</v>
      </c>
      <c r="K32" s="40">
        <v>166.49</v>
      </c>
      <c r="L32" s="40">
        <v>27.75</v>
      </c>
      <c r="M32" s="40">
        <v>45.46</v>
      </c>
      <c r="N32" s="40">
        <v>7</v>
      </c>
      <c r="O32" s="40">
        <v>0</v>
      </c>
      <c r="P32" s="40">
        <v>1.07</v>
      </c>
      <c r="Q32" s="40">
        <v>28.46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3.72</v>
      </c>
      <c r="C34" s="18">
        <f t="shared" si="0"/>
        <v>14.63</v>
      </c>
      <c r="D34" s="18">
        <f t="shared" si="0"/>
        <v>11.98</v>
      </c>
      <c r="E34" s="18">
        <f t="shared" si="0"/>
        <v>7.93</v>
      </c>
      <c r="F34" s="18">
        <f t="shared" si="0"/>
        <v>2.67</v>
      </c>
      <c r="G34" s="18">
        <f t="shared" si="0"/>
        <v>53.28</v>
      </c>
      <c r="H34" s="18">
        <f t="shared" si="0"/>
        <v>20.55</v>
      </c>
      <c r="I34" s="18">
        <f t="shared" si="0"/>
        <v>5.41</v>
      </c>
      <c r="J34" s="18">
        <f t="shared" si="0"/>
        <v>0.16</v>
      </c>
      <c r="K34" s="18">
        <f t="shared" si="0"/>
        <v>42.71</v>
      </c>
      <c r="L34" s="18">
        <f t="shared" si="0"/>
        <v>23.2</v>
      </c>
      <c r="M34" s="18">
        <f t="shared" si="0"/>
        <v>14.81</v>
      </c>
      <c r="N34" s="18">
        <f t="shared" si="0"/>
        <v>5.5</v>
      </c>
      <c r="O34" s="18">
        <f t="shared" si="0"/>
        <v>0</v>
      </c>
      <c r="P34" s="18">
        <f t="shared" si="0"/>
        <v>0.51</v>
      </c>
      <c r="Q34" s="18">
        <f t="shared" si="0"/>
        <v>28.01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20.65</v>
      </c>
      <c r="C35" s="3">
        <f t="shared" si="1"/>
        <v>29.66</v>
      </c>
      <c r="D35" s="3">
        <f t="shared" si="1"/>
        <v>32.36</v>
      </c>
      <c r="E35" s="3">
        <f t="shared" si="1"/>
        <v>22.19</v>
      </c>
      <c r="F35" s="3">
        <f t="shared" si="1"/>
        <v>16.59</v>
      </c>
      <c r="G35" s="3">
        <f t="shared" si="1"/>
        <v>207.12</v>
      </c>
      <c r="H35" s="3">
        <f t="shared" si="1"/>
        <v>44.79</v>
      </c>
      <c r="I35" s="3">
        <f t="shared" si="1"/>
        <v>12.77</v>
      </c>
      <c r="J35" s="3">
        <f t="shared" si="1"/>
        <v>1.6</v>
      </c>
      <c r="K35" s="3">
        <f t="shared" si="1"/>
        <v>358.24</v>
      </c>
      <c r="L35" s="3">
        <f t="shared" si="1"/>
        <v>38.26</v>
      </c>
      <c r="M35" s="3">
        <f t="shared" si="1"/>
        <v>53.06</v>
      </c>
      <c r="N35" s="3">
        <f t="shared" si="1"/>
        <v>362.3</v>
      </c>
      <c r="O35" s="3">
        <f t="shared" si="1"/>
        <v>0</v>
      </c>
      <c r="P35" s="3">
        <f t="shared" si="1"/>
        <v>1.07</v>
      </c>
      <c r="Q35" s="3">
        <f t="shared" si="1"/>
        <v>28.46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9.1191666666666702</v>
      </c>
      <c r="C36" s="18">
        <f t="shared" si="2"/>
        <v>21.314583333333335</v>
      </c>
      <c r="D36" s="18">
        <f t="shared" si="2"/>
        <v>19.612083333333334</v>
      </c>
      <c r="E36" s="18">
        <f t="shared" si="2"/>
        <v>12.913333333333334</v>
      </c>
      <c r="F36" s="18">
        <f t="shared" si="2"/>
        <v>4.7262500000000003</v>
      </c>
      <c r="G36" s="18">
        <f t="shared" si="2"/>
        <v>90.505416666666676</v>
      </c>
      <c r="H36" s="18">
        <f t="shared" si="2"/>
        <v>30.267499999999998</v>
      </c>
      <c r="I36" s="18">
        <f t="shared" si="2"/>
        <v>8.3187500000000014</v>
      </c>
      <c r="J36" s="18">
        <f t="shared" si="2"/>
        <v>0.64708333333333323</v>
      </c>
      <c r="K36" s="18">
        <f t="shared" si="2"/>
        <v>189.87666666666667</v>
      </c>
      <c r="L36" s="18">
        <f t="shared" si="2"/>
        <v>30.375000000000004</v>
      </c>
      <c r="M36" s="18">
        <f t="shared" si="2"/>
        <v>34.630833333333321</v>
      </c>
      <c r="N36" s="18">
        <f t="shared" si="2"/>
        <v>123.41666666666667</v>
      </c>
      <c r="O36" s="18">
        <f t="shared" si="2"/>
        <v>0</v>
      </c>
      <c r="P36" s="18">
        <f t="shared" si="2"/>
        <v>0.75041666666666673</v>
      </c>
      <c r="Q36" s="18">
        <f t="shared" si="2"/>
        <v>28.154166666666669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4.8503956957960694</v>
      </c>
      <c r="C37" s="18">
        <f t="shared" ref="C37:Q37" si="3">STDEV(C9:C32)</f>
        <v>4.2809202374851596</v>
      </c>
      <c r="D37" s="18">
        <f t="shared" si="3"/>
        <v>5.5895492383917489</v>
      </c>
      <c r="E37" s="18">
        <f t="shared" si="3"/>
        <v>4.0381492388670255</v>
      </c>
      <c r="F37" s="18">
        <f t="shared" si="3"/>
        <v>3.0903254542270262</v>
      </c>
      <c r="G37" s="18">
        <f t="shared" si="3"/>
        <v>38.706380215463909</v>
      </c>
      <c r="H37" s="18">
        <f t="shared" si="3"/>
        <v>7.8906082038133931</v>
      </c>
      <c r="I37" s="18">
        <f t="shared" si="3"/>
        <v>1.817497832066161</v>
      </c>
      <c r="J37" s="18">
        <f t="shared" si="3"/>
        <v>0.41459754363527773</v>
      </c>
      <c r="K37" s="18">
        <f t="shared" si="3"/>
        <v>94.925754358760386</v>
      </c>
      <c r="L37" s="18">
        <f t="shared" si="3"/>
        <v>5.2161163297243816</v>
      </c>
      <c r="M37" s="18">
        <f t="shared" si="3"/>
        <v>13.44463200352266</v>
      </c>
      <c r="N37" s="18">
        <f t="shared" si="3"/>
        <v>149.52502383756101</v>
      </c>
      <c r="O37" s="18">
        <f t="shared" si="3"/>
        <v>0</v>
      </c>
      <c r="P37" s="18">
        <f t="shared" si="3"/>
        <v>0.1629478221812832</v>
      </c>
      <c r="Q37" s="18">
        <f t="shared" si="3"/>
        <v>0.12254250963101193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H15" sqref="H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493</v>
      </c>
      <c r="B9" s="40">
        <v>16.77</v>
      </c>
      <c r="C9" s="40">
        <v>21.57</v>
      </c>
      <c r="D9" s="40">
        <v>26.01</v>
      </c>
      <c r="E9" s="40">
        <v>10.38</v>
      </c>
      <c r="F9" s="41">
        <v>2.96</v>
      </c>
      <c r="G9" s="40">
        <v>134.66999999999999</v>
      </c>
      <c r="H9" s="40">
        <v>41.04</v>
      </c>
      <c r="I9" s="40">
        <v>12.33</v>
      </c>
      <c r="J9" s="40">
        <v>0.48</v>
      </c>
      <c r="K9" s="40">
        <v>83.6</v>
      </c>
      <c r="L9" s="40">
        <v>27.24</v>
      </c>
      <c r="M9" s="40">
        <v>37.06</v>
      </c>
      <c r="N9" s="40">
        <v>5.6</v>
      </c>
      <c r="O9" s="40">
        <v>0</v>
      </c>
      <c r="P9" s="40">
        <v>1.04</v>
      </c>
      <c r="Q9" s="40">
        <v>28.48</v>
      </c>
      <c r="R9" s="38"/>
      <c r="S9" s="38"/>
      <c r="T9" s="38"/>
      <c r="U9" s="38"/>
    </row>
    <row r="10" spans="1:21" customFormat="1">
      <c r="A10" s="39" t="s">
        <v>494</v>
      </c>
      <c r="B10" s="40">
        <v>16.760000000000002</v>
      </c>
      <c r="C10" s="40">
        <v>21.81</v>
      </c>
      <c r="D10" s="40">
        <v>25.79</v>
      </c>
      <c r="E10" s="40">
        <v>9.8800000000000008</v>
      </c>
      <c r="F10" s="41">
        <v>2.82</v>
      </c>
      <c r="G10" s="40">
        <v>88.84</v>
      </c>
      <c r="H10" s="40">
        <v>37.950000000000003</v>
      </c>
      <c r="I10" s="40">
        <v>12.07</v>
      </c>
      <c r="J10" s="40">
        <v>0.43</v>
      </c>
      <c r="K10" s="40">
        <v>88.98</v>
      </c>
      <c r="L10" s="40">
        <v>26.65</v>
      </c>
      <c r="M10" s="40">
        <v>37.68</v>
      </c>
      <c r="N10" s="40">
        <v>6</v>
      </c>
      <c r="O10" s="40">
        <v>0</v>
      </c>
      <c r="P10" s="40">
        <v>1.02</v>
      </c>
      <c r="Q10" s="40">
        <v>28.47</v>
      </c>
      <c r="R10" s="38"/>
      <c r="S10" s="38"/>
      <c r="T10" s="38"/>
      <c r="U10" s="38"/>
    </row>
    <row r="11" spans="1:21" customFormat="1">
      <c r="A11" s="39" t="s">
        <v>495</v>
      </c>
      <c r="B11" s="40">
        <v>14.78</v>
      </c>
      <c r="C11" s="40">
        <v>22.42</v>
      </c>
      <c r="D11" s="40">
        <v>24.52</v>
      </c>
      <c r="E11" s="40">
        <v>10.72</v>
      </c>
      <c r="F11" s="41">
        <v>2.85</v>
      </c>
      <c r="G11" s="40">
        <v>83.4</v>
      </c>
      <c r="H11" s="40">
        <v>36.979999999999997</v>
      </c>
      <c r="I11" s="40">
        <v>11.61</v>
      </c>
      <c r="J11" s="40">
        <v>0.47</v>
      </c>
      <c r="K11" s="40">
        <v>157.82</v>
      </c>
      <c r="L11" s="40">
        <v>26.57</v>
      </c>
      <c r="M11" s="40">
        <v>43.46</v>
      </c>
      <c r="N11" s="40">
        <v>6.4</v>
      </c>
      <c r="O11" s="40">
        <v>0</v>
      </c>
      <c r="P11" s="40">
        <v>0.98</v>
      </c>
      <c r="Q11" s="40">
        <v>28.41</v>
      </c>
      <c r="R11" s="38"/>
      <c r="S11" s="38"/>
      <c r="T11" s="38"/>
      <c r="U11" s="38"/>
    </row>
    <row r="12" spans="1:21" customFormat="1">
      <c r="A12" s="39" t="s">
        <v>496</v>
      </c>
      <c r="B12" s="40">
        <v>12.35</v>
      </c>
      <c r="C12" s="40">
        <v>22.71</v>
      </c>
      <c r="D12" s="40">
        <v>22.83</v>
      </c>
      <c r="E12" s="40">
        <v>10.63</v>
      </c>
      <c r="F12" s="41">
        <v>2.86</v>
      </c>
      <c r="G12" s="40">
        <v>74.290000000000006</v>
      </c>
      <c r="H12" s="40">
        <v>33.08</v>
      </c>
      <c r="I12" s="40">
        <v>11.11</v>
      </c>
      <c r="J12" s="40">
        <v>0.53</v>
      </c>
      <c r="K12" s="40">
        <v>84.61</v>
      </c>
      <c r="L12" s="40">
        <v>25.99</v>
      </c>
      <c r="M12" s="40">
        <v>37.28</v>
      </c>
      <c r="N12" s="40">
        <v>5.8</v>
      </c>
      <c r="O12" s="40">
        <v>0</v>
      </c>
      <c r="P12" s="40">
        <v>0.92</v>
      </c>
      <c r="Q12" s="40">
        <v>28.31</v>
      </c>
      <c r="R12" s="38"/>
      <c r="S12" s="38"/>
      <c r="T12" s="38"/>
      <c r="U12" s="38"/>
    </row>
    <row r="13" spans="1:21" customFormat="1">
      <c r="A13" s="39" t="s">
        <v>497</v>
      </c>
      <c r="B13" s="40">
        <v>10.119999999999999</v>
      </c>
      <c r="C13" s="40">
        <v>22.8</v>
      </c>
      <c r="D13" s="40">
        <v>21.35</v>
      </c>
      <c r="E13" s="40">
        <v>10.49</v>
      </c>
      <c r="F13" s="41">
        <v>2.86</v>
      </c>
      <c r="G13" s="40">
        <v>58.28</v>
      </c>
      <c r="H13" s="40">
        <v>30.19</v>
      </c>
      <c r="I13" s="40">
        <v>10.63</v>
      </c>
      <c r="J13" s="40">
        <v>0.3</v>
      </c>
      <c r="K13" s="40">
        <v>170.28</v>
      </c>
      <c r="L13" s="40">
        <v>25.73</v>
      </c>
      <c r="M13" s="40">
        <v>44.39</v>
      </c>
      <c r="N13" s="40">
        <v>6.5</v>
      </c>
      <c r="O13" s="40">
        <v>0</v>
      </c>
      <c r="P13" s="40">
        <v>0.87</v>
      </c>
      <c r="Q13" s="40">
        <v>28.25</v>
      </c>
      <c r="R13" s="38"/>
      <c r="S13" s="38"/>
      <c r="T13" s="38"/>
      <c r="U13" s="38"/>
    </row>
    <row r="14" spans="1:21" customFormat="1">
      <c r="A14" s="39" t="s">
        <v>498</v>
      </c>
      <c r="B14" s="40">
        <v>9.02</v>
      </c>
      <c r="C14" s="40">
        <v>22.65</v>
      </c>
      <c r="D14" s="40">
        <v>20.41</v>
      </c>
      <c r="E14" s="40">
        <v>9.69</v>
      </c>
      <c r="F14" s="41">
        <v>2.9</v>
      </c>
      <c r="G14" s="40">
        <v>60.96</v>
      </c>
      <c r="H14" s="40">
        <v>29.73</v>
      </c>
      <c r="I14" s="40">
        <v>10.25</v>
      </c>
      <c r="J14" s="40">
        <v>0.32</v>
      </c>
      <c r="K14" s="40">
        <v>199.92</v>
      </c>
      <c r="L14" s="40">
        <v>24.78</v>
      </c>
      <c r="M14" s="40">
        <v>52.06</v>
      </c>
      <c r="N14" s="40">
        <v>7</v>
      </c>
      <c r="O14" s="40">
        <v>0</v>
      </c>
      <c r="P14" s="40">
        <v>0.85</v>
      </c>
      <c r="Q14" s="40">
        <v>28.21</v>
      </c>
      <c r="R14" s="38"/>
      <c r="S14" s="38"/>
      <c r="T14" s="38"/>
      <c r="U14" s="38"/>
    </row>
    <row r="15" spans="1:21" customFormat="1">
      <c r="A15" s="39" t="s">
        <v>499</v>
      </c>
      <c r="B15" s="40">
        <v>8.49</v>
      </c>
      <c r="C15" s="40">
        <v>21.48</v>
      </c>
      <c r="D15" s="40">
        <v>19.190000000000001</v>
      </c>
      <c r="E15" s="40">
        <v>9.6300000000000008</v>
      </c>
      <c r="F15" s="41">
        <v>2.87</v>
      </c>
      <c r="G15" s="40">
        <v>68.86</v>
      </c>
      <c r="H15" s="40">
        <v>28.38</v>
      </c>
      <c r="I15" s="40">
        <v>10.17</v>
      </c>
      <c r="J15" s="40">
        <v>0.51</v>
      </c>
      <c r="K15" s="40">
        <v>147.11000000000001</v>
      </c>
      <c r="L15" s="40">
        <v>24.71</v>
      </c>
      <c r="M15" s="40">
        <v>51.14</v>
      </c>
      <c r="N15" s="40">
        <v>26.1</v>
      </c>
      <c r="O15" s="40">
        <v>0</v>
      </c>
      <c r="P15" s="40">
        <v>0.83</v>
      </c>
      <c r="Q15" s="40">
        <v>28.19</v>
      </c>
      <c r="R15" s="38"/>
      <c r="S15" s="38"/>
      <c r="T15" s="38"/>
      <c r="U15" s="38"/>
    </row>
    <row r="16" spans="1:21" customFormat="1">
      <c r="A16" s="39" t="s">
        <v>500</v>
      </c>
      <c r="B16" s="40">
        <v>9.6199999999999992</v>
      </c>
      <c r="C16" s="40">
        <v>20.5</v>
      </c>
      <c r="D16" s="40">
        <v>19.47</v>
      </c>
      <c r="E16" s="40">
        <v>9.8699999999999992</v>
      </c>
      <c r="F16" s="41">
        <v>2.84</v>
      </c>
      <c r="G16" s="40">
        <v>77.099999999999994</v>
      </c>
      <c r="H16" s="40">
        <v>29.2</v>
      </c>
      <c r="I16" s="40">
        <v>10.43</v>
      </c>
      <c r="J16" s="40">
        <v>0.78</v>
      </c>
      <c r="K16" s="40">
        <v>68.930000000000007</v>
      </c>
      <c r="L16" s="40">
        <v>26.84</v>
      </c>
      <c r="M16" s="40">
        <v>41.51</v>
      </c>
      <c r="N16" s="40">
        <v>87.7</v>
      </c>
      <c r="O16" s="40">
        <v>0</v>
      </c>
      <c r="P16" s="40">
        <v>0.85</v>
      </c>
      <c r="Q16" s="40">
        <v>28.24</v>
      </c>
      <c r="R16" s="38"/>
      <c r="S16" s="38"/>
      <c r="T16" s="38"/>
      <c r="U16" s="38"/>
    </row>
    <row r="17" spans="1:21" customFormat="1">
      <c r="A17" s="39" t="s">
        <v>501</v>
      </c>
      <c r="B17" s="40">
        <v>9.68</v>
      </c>
      <c r="C17" s="40">
        <v>19.920000000000002</v>
      </c>
      <c r="D17" s="40">
        <v>19.53</v>
      </c>
      <c r="E17" s="40">
        <v>15.06</v>
      </c>
      <c r="F17" s="41">
        <v>3.08</v>
      </c>
      <c r="G17" s="40">
        <v>88.78</v>
      </c>
      <c r="H17" s="40">
        <v>37.39</v>
      </c>
      <c r="I17" s="40">
        <v>10.58</v>
      </c>
      <c r="J17" s="40">
        <v>0.95</v>
      </c>
      <c r="K17" s="40">
        <v>55.58</v>
      </c>
      <c r="L17" s="40">
        <v>29.69</v>
      </c>
      <c r="M17" s="40">
        <v>35.590000000000003</v>
      </c>
      <c r="N17" s="40">
        <v>168.8</v>
      </c>
      <c r="O17" s="40">
        <v>0</v>
      </c>
      <c r="P17" s="40">
        <v>0.89</v>
      </c>
      <c r="Q17" s="40">
        <v>28.24</v>
      </c>
      <c r="R17" s="38"/>
      <c r="S17" s="38"/>
      <c r="T17" s="38"/>
      <c r="U17" s="38"/>
    </row>
    <row r="18" spans="1:21" customFormat="1">
      <c r="A18" s="39" t="s">
        <v>502</v>
      </c>
      <c r="B18" s="40">
        <v>9.44</v>
      </c>
      <c r="C18" s="40">
        <v>20.85</v>
      </c>
      <c r="D18" s="40">
        <v>19.440000000000001</v>
      </c>
      <c r="E18" s="40">
        <v>15.83</v>
      </c>
      <c r="F18" s="41">
        <v>3.04</v>
      </c>
      <c r="G18" s="40">
        <v>92.47</v>
      </c>
      <c r="H18" s="40">
        <v>37.51</v>
      </c>
      <c r="I18" s="40">
        <v>10.65</v>
      </c>
      <c r="J18" s="40">
        <v>0.89</v>
      </c>
      <c r="K18" s="40">
        <v>344.21</v>
      </c>
      <c r="L18" s="40">
        <v>32.78</v>
      </c>
      <c r="M18" s="40">
        <v>31.07</v>
      </c>
      <c r="N18" s="40">
        <v>242.4</v>
      </c>
      <c r="O18" s="40">
        <v>0</v>
      </c>
      <c r="P18" s="40">
        <v>0.9</v>
      </c>
      <c r="Q18" s="40">
        <v>28.21</v>
      </c>
      <c r="R18" s="38"/>
      <c r="S18" s="38"/>
      <c r="T18" s="38"/>
      <c r="U18" s="38"/>
    </row>
    <row r="19" spans="1:21" customFormat="1">
      <c r="A19" s="39" t="s">
        <v>503</v>
      </c>
      <c r="B19" s="40">
        <v>7.44</v>
      </c>
      <c r="C19" s="40">
        <v>21.11</v>
      </c>
      <c r="D19" s="40">
        <v>18.21</v>
      </c>
      <c r="E19" s="40">
        <v>17.440000000000001</v>
      </c>
      <c r="F19" s="41">
        <v>3.09</v>
      </c>
      <c r="G19" s="40">
        <v>93.95</v>
      </c>
      <c r="H19" s="40">
        <v>36.07</v>
      </c>
      <c r="I19" s="40">
        <v>10.53</v>
      </c>
      <c r="J19" s="40">
        <v>0.7</v>
      </c>
      <c r="K19" s="40">
        <v>280.01</v>
      </c>
      <c r="L19" s="40">
        <v>33.94</v>
      </c>
      <c r="M19" s="40">
        <v>27</v>
      </c>
      <c r="N19" s="40">
        <v>275.60000000000002</v>
      </c>
      <c r="O19" s="40">
        <v>0</v>
      </c>
      <c r="P19" s="40">
        <v>0.9</v>
      </c>
      <c r="Q19" s="40">
        <v>28.15</v>
      </c>
      <c r="R19" s="38"/>
      <c r="S19" s="38"/>
      <c r="T19" s="38"/>
      <c r="U19" s="38"/>
    </row>
    <row r="20" spans="1:21" customFormat="1">
      <c r="A20" s="39" t="s">
        <v>504</v>
      </c>
      <c r="B20" s="40">
        <v>4.68</v>
      </c>
      <c r="C20" s="40">
        <v>21.32</v>
      </c>
      <c r="D20" s="40">
        <v>16.100000000000001</v>
      </c>
      <c r="E20" s="40">
        <v>12.76</v>
      </c>
      <c r="F20" s="41">
        <v>3.15</v>
      </c>
      <c r="G20" s="40">
        <v>94.58</v>
      </c>
      <c r="H20" s="40">
        <v>36.07</v>
      </c>
      <c r="I20" s="40">
        <v>10.49</v>
      </c>
      <c r="J20" s="40">
        <v>0.94</v>
      </c>
      <c r="K20" s="40">
        <v>341.11</v>
      </c>
      <c r="L20" s="40">
        <v>35.6</v>
      </c>
      <c r="M20" s="40">
        <v>25.16</v>
      </c>
      <c r="N20" s="40">
        <v>281.3</v>
      </c>
      <c r="O20" s="40">
        <v>0</v>
      </c>
      <c r="P20" s="40">
        <v>0.91</v>
      </c>
      <c r="Q20" s="40">
        <v>28.06</v>
      </c>
      <c r="R20" s="38"/>
      <c r="S20" s="38"/>
      <c r="T20" s="38"/>
      <c r="U20" s="38"/>
    </row>
    <row r="21" spans="1:21" customFormat="1">
      <c r="A21" s="39" t="s">
        <v>505</v>
      </c>
      <c r="B21" s="40">
        <v>3.65</v>
      </c>
      <c r="C21" s="40">
        <v>19.309999999999999</v>
      </c>
      <c r="D21" s="40">
        <v>14.28</v>
      </c>
      <c r="E21" s="40">
        <v>14.18</v>
      </c>
      <c r="F21" s="41">
        <v>3.33</v>
      </c>
      <c r="G21" s="40">
        <v>87.3</v>
      </c>
      <c r="H21" s="40">
        <v>38.909999999999997</v>
      </c>
      <c r="I21" s="40">
        <v>10.37</v>
      </c>
      <c r="J21" s="40">
        <v>0.98</v>
      </c>
      <c r="K21" s="40">
        <v>317.04000000000002</v>
      </c>
      <c r="L21" s="40">
        <v>36.65</v>
      </c>
      <c r="M21" s="40">
        <v>23.98</v>
      </c>
      <c r="N21" s="40">
        <v>296.3</v>
      </c>
      <c r="O21" s="40">
        <v>0</v>
      </c>
      <c r="P21" s="40">
        <v>0.86</v>
      </c>
      <c r="Q21" s="40">
        <v>28.01</v>
      </c>
      <c r="R21" s="38"/>
      <c r="S21" s="38"/>
      <c r="T21" s="38"/>
      <c r="U21" s="38"/>
    </row>
    <row r="22" spans="1:21" customFormat="1">
      <c r="A22" s="39" t="s">
        <v>506</v>
      </c>
      <c r="B22" s="40">
        <v>3.61</v>
      </c>
      <c r="C22" s="40">
        <v>19.21</v>
      </c>
      <c r="D22" s="40">
        <v>14.28</v>
      </c>
      <c r="E22" s="40">
        <v>19.25</v>
      </c>
      <c r="F22" s="41">
        <v>3.72</v>
      </c>
      <c r="G22" s="40">
        <v>86.79</v>
      </c>
      <c r="H22" s="40">
        <v>38.96</v>
      </c>
      <c r="I22" s="40">
        <v>9.89</v>
      </c>
      <c r="J22" s="40">
        <v>0.5</v>
      </c>
      <c r="K22" s="40">
        <v>349.92</v>
      </c>
      <c r="L22" s="40">
        <v>37.69</v>
      </c>
      <c r="M22" s="40">
        <v>22.54</v>
      </c>
      <c r="N22" s="40">
        <v>293.2</v>
      </c>
      <c r="O22" s="40">
        <v>0</v>
      </c>
      <c r="P22" s="40">
        <v>0.88</v>
      </c>
      <c r="Q22" s="40">
        <v>28.01</v>
      </c>
      <c r="R22" s="38"/>
      <c r="S22" s="38"/>
      <c r="T22" s="38"/>
      <c r="U22" s="38"/>
    </row>
    <row r="23" spans="1:21" customFormat="1">
      <c r="A23" s="39" t="s">
        <v>507</v>
      </c>
      <c r="B23" s="40">
        <v>4.7699999999999996</v>
      </c>
      <c r="C23" s="40">
        <v>24.83</v>
      </c>
      <c r="D23" s="40">
        <v>18.149999999999999</v>
      </c>
      <c r="E23" s="40">
        <v>18.66</v>
      </c>
      <c r="F23" s="41">
        <v>4.21</v>
      </c>
      <c r="G23" s="40">
        <v>88.75</v>
      </c>
      <c r="H23" s="40">
        <v>38.06</v>
      </c>
      <c r="I23" s="40">
        <v>10.98</v>
      </c>
      <c r="J23" s="40">
        <v>0.93</v>
      </c>
      <c r="K23" s="40">
        <v>304.5</v>
      </c>
      <c r="L23" s="40">
        <v>37.72</v>
      </c>
      <c r="M23" s="40">
        <v>22.98</v>
      </c>
      <c r="N23" s="40">
        <v>264.8</v>
      </c>
      <c r="O23" s="40">
        <v>0</v>
      </c>
      <c r="P23" s="40">
        <v>0.93</v>
      </c>
      <c r="Q23" s="40">
        <v>28.01</v>
      </c>
      <c r="R23" s="38"/>
      <c r="S23" s="38"/>
      <c r="T23" s="38"/>
      <c r="U23" s="38"/>
    </row>
    <row r="24" spans="1:21" customFormat="1">
      <c r="A24" s="39" t="s">
        <v>508</v>
      </c>
      <c r="B24" s="40">
        <v>4.0599999999999996</v>
      </c>
      <c r="C24" s="40">
        <v>22.4</v>
      </c>
      <c r="D24" s="40">
        <v>16.309999999999999</v>
      </c>
      <c r="E24" s="40">
        <v>18.739999999999998</v>
      </c>
      <c r="F24" s="41">
        <v>4.7300000000000004</v>
      </c>
      <c r="G24" s="40">
        <v>89.3</v>
      </c>
      <c r="H24" s="40">
        <v>38.090000000000003</v>
      </c>
      <c r="I24" s="40">
        <v>10.96</v>
      </c>
      <c r="J24" s="40">
        <v>1.1000000000000001</v>
      </c>
      <c r="K24" s="40">
        <v>308.58999999999997</v>
      </c>
      <c r="L24" s="40">
        <v>36.82</v>
      </c>
      <c r="M24" s="40">
        <v>24.19</v>
      </c>
      <c r="N24" s="40">
        <v>192</v>
      </c>
      <c r="O24" s="40">
        <v>0</v>
      </c>
      <c r="P24" s="40">
        <v>0.92</v>
      </c>
      <c r="Q24" s="40">
        <v>28.01</v>
      </c>
      <c r="R24" s="38"/>
      <c r="S24" s="38"/>
      <c r="T24" s="38"/>
      <c r="U24" s="38"/>
    </row>
    <row r="25" spans="1:21" customFormat="1">
      <c r="A25" s="39" t="s">
        <v>509</v>
      </c>
      <c r="B25" s="40">
        <v>3.99</v>
      </c>
      <c r="C25" s="40">
        <v>25.13</v>
      </c>
      <c r="D25" s="40">
        <v>17.68</v>
      </c>
      <c r="E25" s="40">
        <v>32.35</v>
      </c>
      <c r="F25" s="41">
        <v>4.95</v>
      </c>
      <c r="G25" s="40">
        <v>84.94</v>
      </c>
      <c r="H25" s="40">
        <v>37.47</v>
      </c>
      <c r="I25" s="40">
        <v>11.22</v>
      </c>
      <c r="J25" s="40">
        <v>0.56999999999999995</v>
      </c>
      <c r="K25" s="40">
        <v>346.85</v>
      </c>
      <c r="L25" s="40">
        <v>36.46</v>
      </c>
      <c r="M25" s="40">
        <v>24.85</v>
      </c>
      <c r="N25" s="40">
        <v>81</v>
      </c>
      <c r="O25" s="40">
        <v>0</v>
      </c>
      <c r="P25" s="40">
        <v>1.08</v>
      </c>
      <c r="Q25" s="40">
        <v>28.02</v>
      </c>
      <c r="R25" s="38"/>
      <c r="S25" s="38"/>
      <c r="T25" s="38"/>
      <c r="U25" s="38"/>
    </row>
    <row r="26" spans="1:21" customFormat="1">
      <c r="A26" s="39" t="s">
        <v>510</v>
      </c>
      <c r="B26" s="40">
        <v>6.3</v>
      </c>
      <c r="C26" s="40">
        <v>33.549999999999997</v>
      </c>
      <c r="D26" s="40">
        <v>23.93</v>
      </c>
      <c r="E26" s="40">
        <v>30.75</v>
      </c>
      <c r="F26" s="41">
        <v>3.9</v>
      </c>
      <c r="G26" s="40">
        <v>95.93</v>
      </c>
      <c r="H26" s="40">
        <v>37.840000000000003</v>
      </c>
      <c r="I26" s="40">
        <v>13.33</v>
      </c>
      <c r="J26" s="40">
        <v>0.64</v>
      </c>
      <c r="K26" s="40">
        <v>63.76</v>
      </c>
      <c r="L26" s="40">
        <v>35.770000000000003</v>
      </c>
      <c r="M26" s="40">
        <v>27.33</v>
      </c>
      <c r="N26" s="40">
        <v>34.299999999999997</v>
      </c>
      <c r="O26" s="40">
        <v>0</v>
      </c>
      <c r="P26" s="40">
        <v>1.19</v>
      </c>
      <c r="Q26" s="40">
        <v>28.04</v>
      </c>
      <c r="R26" s="38"/>
      <c r="S26" s="38"/>
      <c r="T26" s="38"/>
      <c r="U26" s="38"/>
    </row>
    <row r="27" spans="1:21" customFormat="1">
      <c r="A27" s="39" t="s">
        <v>511</v>
      </c>
      <c r="B27" s="40">
        <v>5.29</v>
      </c>
      <c r="C27" s="40">
        <v>33.76</v>
      </c>
      <c r="D27" s="40">
        <v>23.16</v>
      </c>
      <c r="E27" s="40">
        <v>21.57</v>
      </c>
      <c r="F27" s="41">
        <v>3.18</v>
      </c>
      <c r="G27" s="40">
        <v>115.39</v>
      </c>
      <c r="H27" s="40">
        <v>42.77</v>
      </c>
      <c r="I27" s="40">
        <v>13.1</v>
      </c>
      <c r="J27" s="40">
        <v>0.34</v>
      </c>
      <c r="K27" s="40">
        <v>159.65</v>
      </c>
      <c r="L27" s="40">
        <v>33.85</v>
      </c>
      <c r="M27" s="40">
        <v>35.799999999999997</v>
      </c>
      <c r="N27" s="40">
        <v>8</v>
      </c>
      <c r="O27" s="40">
        <v>0</v>
      </c>
      <c r="P27" s="40">
        <v>1.21</v>
      </c>
      <c r="Q27" s="40">
        <v>28.06</v>
      </c>
      <c r="R27" s="38"/>
      <c r="S27" s="38"/>
      <c r="T27" s="38"/>
      <c r="U27" s="38"/>
    </row>
    <row r="28" spans="1:21" customFormat="1">
      <c r="A28" s="39" t="s">
        <v>512</v>
      </c>
      <c r="B28" s="40">
        <v>4.04</v>
      </c>
      <c r="C28" s="40">
        <v>26.1</v>
      </c>
      <c r="D28" s="40">
        <v>18.18</v>
      </c>
      <c r="E28" s="40">
        <v>18.22</v>
      </c>
      <c r="F28" s="41">
        <v>3.33</v>
      </c>
      <c r="G28" s="40">
        <v>127.06</v>
      </c>
      <c r="H28" s="40">
        <v>43.07</v>
      </c>
      <c r="I28" s="40">
        <v>12.82</v>
      </c>
      <c r="J28" s="40">
        <v>0.28999999999999998</v>
      </c>
      <c r="K28" s="40">
        <v>182.39</v>
      </c>
      <c r="L28" s="40">
        <v>31.51</v>
      </c>
      <c r="M28" s="40">
        <v>41.55</v>
      </c>
      <c r="N28" s="40">
        <v>6.5</v>
      </c>
      <c r="O28" s="40">
        <v>0</v>
      </c>
      <c r="P28" s="40">
        <v>1.1299999999999999</v>
      </c>
      <c r="Q28" s="40">
        <v>28.05</v>
      </c>
      <c r="R28" s="38"/>
      <c r="S28" s="38"/>
      <c r="T28" s="38"/>
      <c r="U28" s="38"/>
    </row>
    <row r="29" spans="1:21" customFormat="1">
      <c r="A29" s="39" t="s">
        <v>513</v>
      </c>
      <c r="B29" s="40">
        <v>4.17</v>
      </c>
      <c r="C29" s="40">
        <v>20.79</v>
      </c>
      <c r="D29" s="40">
        <v>15.48</v>
      </c>
      <c r="E29" s="40">
        <v>14.42</v>
      </c>
      <c r="F29" s="41">
        <v>3.67</v>
      </c>
      <c r="G29" s="40">
        <v>136.30000000000001</v>
      </c>
      <c r="H29" s="40">
        <v>47.51</v>
      </c>
      <c r="I29" s="40">
        <v>12.2</v>
      </c>
      <c r="J29" s="40">
        <v>0.3</v>
      </c>
      <c r="K29" s="40">
        <v>232.73</v>
      </c>
      <c r="L29" s="40">
        <v>29.63</v>
      </c>
      <c r="M29" s="40">
        <v>44.33</v>
      </c>
      <c r="N29" s="40">
        <v>6.3</v>
      </c>
      <c r="O29" s="40">
        <v>0</v>
      </c>
      <c r="P29" s="40">
        <v>1.1299999999999999</v>
      </c>
      <c r="Q29" s="40">
        <v>28.04</v>
      </c>
      <c r="R29" s="38"/>
      <c r="S29" s="38"/>
      <c r="T29" s="38"/>
      <c r="U29" s="38"/>
    </row>
    <row r="30" spans="1:21" customFormat="1">
      <c r="A30" s="39" t="s">
        <v>514</v>
      </c>
      <c r="B30" s="40">
        <v>4.01</v>
      </c>
      <c r="C30" s="40">
        <v>18.95</v>
      </c>
      <c r="D30" s="40">
        <v>14.47</v>
      </c>
      <c r="E30" s="40">
        <v>10.52</v>
      </c>
      <c r="F30" s="41">
        <v>2.93</v>
      </c>
      <c r="G30" s="40">
        <v>138.88999999999999</v>
      </c>
      <c r="H30" s="40">
        <v>47.58</v>
      </c>
      <c r="I30" s="40">
        <v>12.42</v>
      </c>
      <c r="J30" s="40">
        <v>0.24</v>
      </c>
      <c r="K30" s="40">
        <v>243.67</v>
      </c>
      <c r="L30" s="40">
        <v>29.29</v>
      </c>
      <c r="M30" s="40">
        <v>47.37</v>
      </c>
      <c r="N30" s="40">
        <v>6.1</v>
      </c>
      <c r="O30" s="40">
        <v>0</v>
      </c>
      <c r="P30" s="40">
        <v>1.1100000000000001</v>
      </c>
      <c r="Q30" s="40">
        <v>28.02</v>
      </c>
      <c r="R30" s="38"/>
      <c r="S30" s="38"/>
      <c r="T30" s="38"/>
      <c r="U30" s="38"/>
    </row>
    <row r="31" spans="1:21" customFormat="1">
      <c r="A31" s="39" t="s">
        <v>515</v>
      </c>
      <c r="B31" s="40">
        <v>3.78</v>
      </c>
      <c r="C31" s="40">
        <v>18.16</v>
      </c>
      <c r="D31" s="40">
        <v>13.78</v>
      </c>
      <c r="E31" s="40">
        <v>9.0299999999999994</v>
      </c>
      <c r="F31" s="41">
        <v>3.01</v>
      </c>
      <c r="G31" s="40">
        <v>103.02</v>
      </c>
      <c r="H31" s="40">
        <v>42.99</v>
      </c>
      <c r="I31" s="40">
        <v>11.6</v>
      </c>
      <c r="J31" s="40">
        <v>0.21</v>
      </c>
      <c r="K31" s="40">
        <v>222.08</v>
      </c>
      <c r="L31" s="40">
        <v>28.27</v>
      </c>
      <c r="M31" s="40">
        <v>52.68</v>
      </c>
      <c r="N31" s="40">
        <v>6.2</v>
      </c>
      <c r="O31" s="40">
        <v>0</v>
      </c>
      <c r="P31" s="40">
        <v>1.0900000000000001</v>
      </c>
      <c r="Q31" s="40">
        <v>28.02</v>
      </c>
      <c r="R31" s="38"/>
      <c r="S31" s="38"/>
      <c r="T31" s="38"/>
      <c r="U31" s="38"/>
    </row>
    <row r="32" spans="1:21" customFormat="1">
      <c r="A32" s="39" t="s">
        <v>516</v>
      </c>
      <c r="B32" s="40">
        <v>3.84</v>
      </c>
      <c r="C32" s="40">
        <v>18.05</v>
      </c>
      <c r="D32" s="40">
        <v>13.86</v>
      </c>
      <c r="E32" s="40">
        <v>9.01</v>
      </c>
      <c r="F32" s="41">
        <v>3.1</v>
      </c>
      <c r="G32" s="40">
        <v>97.27</v>
      </c>
      <c r="H32" s="40">
        <v>42.34</v>
      </c>
      <c r="I32" s="40">
        <v>11.29</v>
      </c>
      <c r="J32" s="40">
        <v>0.28000000000000003</v>
      </c>
      <c r="K32" s="40">
        <v>241.76</v>
      </c>
      <c r="L32" s="40">
        <v>27.6</v>
      </c>
      <c r="M32" s="40">
        <v>53.34</v>
      </c>
      <c r="N32" s="40">
        <v>6</v>
      </c>
      <c r="O32" s="40">
        <v>0</v>
      </c>
      <c r="P32" s="40">
        <v>1.07</v>
      </c>
      <c r="Q32" s="40">
        <v>28.02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3.61</v>
      </c>
      <c r="C34" s="18">
        <f t="shared" si="0"/>
        <v>18.05</v>
      </c>
      <c r="D34" s="18">
        <f t="shared" si="0"/>
        <v>13.78</v>
      </c>
      <c r="E34" s="18">
        <f t="shared" si="0"/>
        <v>9.01</v>
      </c>
      <c r="F34" s="18">
        <f t="shared" si="0"/>
        <v>2.82</v>
      </c>
      <c r="G34" s="18">
        <f t="shared" si="0"/>
        <v>58.28</v>
      </c>
      <c r="H34" s="18">
        <f t="shared" si="0"/>
        <v>28.38</v>
      </c>
      <c r="I34" s="18">
        <f t="shared" si="0"/>
        <v>9.89</v>
      </c>
      <c r="J34" s="18">
        <f t="shared" si="0"/>
        <v>0.21</v>
      </c>
      <c r="K34" s="18">
        <f t="shared" si="0"/>
        <v>55.58</v>
      </c>
      <c r="L34" s="18">
        <f t="shared" si="0"/>
        <v>24.71</v>
      </c>
      <c r="M34" s="18">
        <f t="shared" si="0"/>
        <v>22.54</v>
      </c>
      <c r="N34" s="18">
        <f t="shared" si="0"/>
        <v>5.6</v>
      </c>
      <c r="O34" s="18">
        <f t="shared" si="0"/>
        <v>0</v>
      </c>
      <c r="P34" s="18">
        <f t="shared" si="0"/>
        <v>0.83</v>
      </c>
      <c r="Q34" s="18">
        <f t="shared" si="0"/>
        <v>28.01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16.77</v>
      </c>
      <c r="C35" s="3">
        <f t="shared" si="1"/>
        <v>33.76</v>
      </c>
      <c r="D35" s="3">
        <f t="shared" si="1"/>
        <v>26.01</v>
      </c>
      <c r="E35" s="3">
        <f t="shared" si="1"/>
        <v>32.35</v>
      </c>
      <c r="F35" s="3">
        <f t="shared" si="1"/>
        <v>4.95</v>
      </c>
      <c r="G35" s="3">
        <f t="shared" si="1"/>
        <v>138.88999999999999</v>
      </c>
      <c r="H35" s="3">
        <f t="shared" si="1"/>
        <v>47.58</v>
      </c>
      <c r="I35" s="3">
        <f t="shared" si="1"/>
        <v>13.33</v>
      </c>
      <c r="J35" s="3">
        <f t="shared" si="1"/>
        <v>1.1000000000000001</v>
      </c>
      <c r="K35" s="3">
        <f t="shared" si="1"/>
        <v>349.92</v>
      </c>
      <c r="L35" s="3">
        <f t="shared" si="1"/>
        <v>37.72</v>
      </c>
      <c r="M35" s="3">
        <f t="shared" si="1"/>
        <v>53.34</v>
      </c>
      <c r="N35" s="3">
        <f t="shared" si="1"/>
        <v>296.3</v>
      </c>
      <c r="O35" s="3">
        <f t="shared" si="1"/>
        <v>0</v>
      </c>
      <c r="P35" s="3">
        <f t="shared" si="1"/>
        <v>1.21</v>
      </c>
      <c r="Q35" s="3">
        <f t="shared" si="1"/>
        <v>28.48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7.5275000000000007</v>
      </c>
      <c r="C36" s="18">
        <f t="shared" si="2"/>
        <v>22.474166666666662</v>
      </c>
      <c r="D36" s="18">
        <f t="shared" si="2"/>
        <v>19.017083333333336</v>
      </c>
      <c r="E36" s="18">
        <f t="shared" si="2"/>
        <v>14.961666666666666</v>
      </c>
      <c r="F36" s="18">
        <f t="shared" si="2"/>
        <v>3.3075000000000006</v>
      </c>
      <c r="G36" s="18">
        <f t="shared" si="2"/>
        <v>94.463333333333324</v>
      </c>
      <c r="H36" s="18">
        <f t="shared" si="2"/>
        <v>37.882500000000007</v>
      </c>
      <c r="I36" s="18">
        <f t="shared" si="2"/>
        <v>11.292916666666668</v>
      </c>
      <c r="J36" s="18">
        <f t="shared" si="2"/>
        <v>0.57000000000000006</v>
      </c>
      <c r="K36" s="18">
        <f t="shared" si="2"/>
        <v>208.12916666666669</v>
      </c>
      <c r="L36" s="18">
        <f t="shared" si="2"/>
        <v>30.907499999999999</v>
      </c>
      <c r="M36" s="18">
        <f t="shared" si="2"/>
        <v>36.847500000000004</v>
      </c>
      <c r="N36" s="18">
        <f t="shared" si="2"/>
        <v>96.662500000000009</v>
      </c>
      <c r="O36" s="18">
        <f t="shared" si="2"/>
        <v>0</v>
      </c>
      <c r="P36" s="18">
        <f t="shared" si="2"/>
        <v>0.98166666666666658</v>
      </c>
      <c r="Q36" s="18">
        <f t="shared" si="2"/>
        <v>28.147083333333327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4.2203670250449656</v>
      </c>
      <c r="C37" s="18">
        <f t="shared" ref="C37:Q37" si="3">STDEV(C9:C32)</f>
        <v>4.003273569887833</v>
      </c>
      <c r="D37" s="18">
        <f t="shared" si="3"/>
        <v>3.8491822724660083</v>
      </c>
      <c r="E37" s="18">
        <f t="shared" si="3"/>
        <v>6.3961834181674764</v>
      </c>
      <c r="F37" s="18">
        <f t="shared" si="3"/>
        <v>0.59780213390748715</v>
      </c>
      <c r="G37" s="18">
        <f t="shared" si="3"/>
        <v>22.038277307145965</v>
      </c>
      <c r="H37" s="18">
        <f t="shared" si="3"/>
        <v>5.1838916470828362</v>
      </c>
      <c r="I37" s="18">
        <f t="shared" si="3"/>
        <v>0.98825924765706596</v>
      </c>
      <c r="J37" s="18">
        <f t="shared" si="3"/>
        <v>0.27490709893249077</v>
      </c>
      <c r="K37" s="18">
        <f t="shared" si="3"/>
        <v>100.94559998235236</v>
      </c>
      <c r="L37" s="18">
        <f t="shared" si="3"/>
        <v>4.5495783368877127</v>
      </c>
      <c r="M37" s="18">
        <f t="shared" si="3"/>
        <v>10.420335574167508</v>
      </c>
      <c r="N37" s="18">
        <f t="shared" si="3"/>
        <v>117.1087707423428</v>
      </c>
      <c r="O37" s="18">
        <f t="shared" si="3"/>
        <v>0</v>
      </c>
      <c r="P37" s="18">
        <f t="shared" si="3"/>
        <v>0.1184195440195461</v>
      </c>
      <c r="Q37" s="18">
        <f t="shared" si="3"/>
        <v>0.15261429549162728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J25" sqref="J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517</v>
      </c>
      <c r="B9" s="40">
        <v>3.68</v>
      </c>
      <c r="C9" s="40">
        <v>17.71</v>
      </c>
      <c r="D9" s="40">
        <v>13.5</v>
      </c>
      <c r="E9" s="40">
        <v>8.9700000000000006</v>
      </c>
      <c r="F9" s="41">
        <v>2.9</v>
      </c>
      <c r="G9" s="40">
        <v>84.37</v>
      </c>
      <c r="H9" s="40">
        <v>42.35</v>
      </c>
      <c r="I9" s="40">
        <v>10.87</v>
      </c>
      <c r="J9" s="40">
        <v>0.17</v>
      </c>
      <c r="K9" s="40">
        <v>221.36</v>
      </c>
      <c r="L9" s="40">
        <v>27.11</v>
      </c>
      <c r="M9" s="40">
        <v>53.36</v>
      </c>
      <c r="N9" s="40">
        <v>6</v>
      </c>
      <c r="O9" s="40">
        <v>0</v>
      </c>
      <c r="P9" s="40">
        <v>1.02</v>
      </c>
      <c r="Q9" s="40">
        <v>28.01</v>
      </c>
      <c r="R9" s="38"/>
      <c r="S9" s="38"/>
      <c r="T9" s="38"/>
      <c r="U9" s="38"/>
    </row>
    <row r="10" spans="1:21" customFormat="1">
      <c r="A10" s="39" t="s">
        <v>518</v>
      </c>
      <c r="B10" s="40">
        <v>3.77</v>
      </c>
      <c r="C10" s="40">
        <v>17.25</v>
      </c>
      <c r="D10" s="40">
        <v>13.33</v>
      </c>
      <c r="E10" s="40">
        <v>8.7100000000000009</v>
      </c>
      <c r="F10" s="41">
        <v>2.91</v>
      </c>
      <c r="G10" s="40">
        <v>66.16</v>
      </c>
      <c r="H10" s="40">
        <v>34.11</v>
      </c>
      <c r="I10" s="40">
        <v>10.31</v>
      </c>
      <c r="J10" s="40">
        <v>0.17</v>
      </c>
      <c r="K10" s="40">
        <v>210.37</v>
      </c>
      <c r="L10" s="40">
        <v>26.21</v>
      </c>
      <c r="M10" s="40">
        <v>56.09</v>
      </c>
      <c r="N10" s="40">
        <v>6</v>
      </c>
      <c r="O10" s="40">
        <v>0</v>
      </c>
      <c r="P10" s="40">
        <v>0.96</v>
      </c>
      <c r="Q10" s="40">
        <v>28</v>
      </c>
      <c r="R10" s="38"/>
      <c r="S10" s="38"/>
      <c r="T10" s="38"/>
      <c r="U10" s="38"/>
    </row>
    <row r="11" spans="1:21" customFormat="1">
      <c r="A11" s="39" t="s">
        <v>519</v>
      </c>
      <c r="B11" s="40">
        <v>4.3600000000000003</v>
      </c>
      <c r="C11" s="40">
        <v>16.72</v>
      </c>
      <c r="D11" s="40">
        <v>13.58</v>
      </c>
      <c r="E11" s="40">
        <v>9.27</v>
      </c>
      <c r="F11" s="41">
        <v>2.87</v>
      </c>
      <c r="G11" s="40">
        <v>56.53</v>
      </c>
      <c r="H11" s="40">
        <v>32.75</v>
      </c>
      <c r="I11" s="40">
        <v>9.84</v>
      </c>
      <c r="J11" s="40">
        <v>0.19</v>
      </c>
      <c r="K11" s="40">
        <v>227.1</v>
      </c>
      <c r="L11" s="40">
        <v>25.89</v>
      </c>
      <c r="M11" s="40">
        <v>57.07</v>
      </c>
      <c r="N11" s="40">
        <v>6</v>
      </c>
      <c r="O11" s="40">
        <v>0</v>
      </c>
      <c r="P11" s="40">
        <v>0.93</v>
      </c>
      <c r="Q11" s="40">
        <v>28.04</v>
      </c>
      <c r="R11" s="38"/>
      <c r="S11" s="38"/>
      <c r="T11" s="38"/>
      <c r="U11" s="38"/>
    </row>
    <row r="12" spans="1:21" customFormat="1">
      <c r="A12" s="39" t="s">
        <v>520</v>
      </c>
      <c r="B12" s="40">
        <v>4.9400000000000004</v>
      </c>
      <c r="C12" s="40">
        <v>16.98</v>
      </c>
      <c r="D12" s="40">
        <v>14.18</v>
      </c>
      <c r="E12" s="40">
        <v>9.11</v>
      </c>
      <c r="F12" s="41">
        <v>2.8</v>
      </c>
      <c r="G12" s="40">
        <v>51.89</v>
      </c>
      <c r="H12" s="40">
        <v>28.72</v>
      </c>
      <c r="I12" s="40">
        <v>9.58</v>
      </c>
      <c r="J12" s="40">
        <v>0.19</v>
      </c>
      <c r="K12" s="40">
        <v>229.78</v>
      </c>
      <c r="L12" s="40">
        <v>25.57</v>
      </c>
      <c r="M12" s="40">
        <v>59.21</v>
      </c>
      <c r="N12" s="40">
        <v>6.1</v>
      </c>
      <c r="O12" s="40">
        <v>0</v>
      </c>
      <c r="P12" s="40">
        <v>0.9</v>
      </c>
      <c r="Q12" s="40">
        <v>28.05</v>
      </c>
      <c r="R12" s="38"/>
      <c r="S12" s="38"/>
      <c r="T12" s="38"/>
      <c r="U12" s="38"/>
    </row>
    <row r="13" spans="1:21" customFormat="1">
      <c r="A13" s="39" t="s">
        <v>521</v>
      </c>
      <c r="B13" s="40">
        <v>5.43</v>
      </c>
      <c r="C13" s="40">
        <v>16.850000000000001</v>
      </c>
      <c r="D13" s="40">
        <v>14.39</v>
      </c>
      <c r="E13" s="40">
        <v>9</v>
      </c>
      <c r="F13" s="41">
        <v>3</v>
      </c>
      <c r="G13" s="40">
        <v>50.26</v>
      </c>
      <c r="H13" s="40">
        <v>28.85</v>
      </c>
      <c r="I13" s="40">
        <v>9.4499999999999993</v>
      </c>
      <c r="J13" s="40">
        <v>0.13</v>
      </c>
      <c r="K13" s="40">
        <v>206.44</v>
      </c>
      <c r="L13" s="40">
        <v>25.11</v>
      </c>
      <c r="M13" s="40">
        <v>60.85</v>
      </c>
      <c r="N13" s="40">
        <v>6.1</v>
      </c>
      <c r="O13" s="40">
        <v>0</v>
      </c>
      <c r="P13" s="40">
        <v>0.89</v>
      </c>
      <c r="Q13" s="40">
        <v>28.07</v>
      </c>
      <c r="R13" s="38"/>
      <c r="S13" s="38"/>
      <c r="T13" s="38"/>
      <c r="U13" s="38"/>
    </row>
    <row r="14" spans="1:21" customFormat="1">
      <c r="A14" s="39" t="s">
        <v>522</v>
      </c>
      <c r="B14" s="40">
        <v>5.98</v>
      </c>
      <c r="C14" s="40">
        <v>16.760000000000002</v>
      </c>
      <c r="D14" s="40">
        <v>14.85</v>
      </c>
      <c r="E14" s="40">
        <v>9.35</v>
      </c>
      <c r="F14" s="41">
        <v>2.87</v>
      </c>
      <c r="G14" s="40">
        <v>47.05</v>
      </c>
      <c r="H14" s="40">
        <v>28.85</v>
      </c>
      <c r="I14" s="40">
        <v>9.2899999999999991</v>
      </c>
      <c r="J14" s="40">
        <v>0.19</v>
      </c>
      <c r="K14" s="40">
        <v>181.67</v>
      </c>
      <c r="L14" s="40">
        <v>24.81</v>
      </c>
      <c r="M14" s="40">
        <v>65.709999999999994</v>
      </c>
      <c r="N14" s="40">
        <v>6.6</v>
      </c>
      <c r="O14" s="40">
        <v>0</v>
      </c>
      <c r="P14" s="40">
        <v>0.88</v>
      </c>
      <c r="Q14" s="40">
        <v>28.09</v>
      </c>
      <c r="R14" s="38"/>
      <c r="S14" s="38"/>
      <c r="T14" s="38"/>
      <c r="U14" s="38"/>
    </row>
    <row r="15" spans="1:21" customFormat="1">
      <c r="A15" s="39" t="s">
        <v>523</v>
      </c>
      <c r="B15" s="40">
        <v>6.35</v>
      </c>
      <c r="C15" s="40">
        <v>16.399999999999999</v>
      </c>
      <c r="D15" s="40">
        <v>14.95</v>
      </c>
      <c r="E15" s="40">
        <v>9.27</v>
      </c>
      <c r="F15" s="41">
        <v>2.94</v>
      </c>
      <c r="G15" s="40">
        <v>51.27</v>
      </c>
      <c r="H15" s="40">
        <v>29</v>
      </c>
      <c r="I15" s="40">
        <v>9.31</v>
      </c>
      <c r="J15" s="40">
        <v>0.15</v>
      </c>
      <c r="K15" s="40">
        <v>206.68</v>
      </c>
      <c r="L15" s="40">
        <v>25.07</v>
      </c>
      <c r="M15" s="40">
        <v>66.08</v>
      </c>
      <c r="N15" s="40">
        <v>27.6</v>
      </c>
      <c r="O15" s="40">
        <v>0</v>
      </c>
      <c r="P15" s="40">
        <v>0.89</v>
      </c>
      <c r="Q15" s="40">
        <v>28.1</v>
      </c>
      <c r="R15" s="38"/>
      <c r="S15" s="38"/>
      <c r="T15" s="38"/>
      <c r="U15" s="38"/>
    </row>
    <row r="16" spans="1:21" customFormat="1">
      <c r="A16" s="39" t="s">
        <v>524</v>
      </c>
      <c r="B16" s="40">
        <v>10.91</v>
      </c>
      <c r="C16" s="40">
        <v>20.32</v>
      </c>
      <c r="D16" s="40">
        <v>20.190000000000001</v>
      </c>
      <c r="E16" s="40">
        <v>9.07</v>
      </c>
      <c r="F16" s="41">
        <v>2.85</v>
      </c>
      <c r="G16" s="40">
        <v>59.71</v>
      </c>
      <c r="H16" s="40">
        <v>31.95</v>
      </c>
      <c r="I16" s="40">
        <v>9.65</v>
      </c>
      <c r="J16" s="40">
        <v>0.31</v>
      </c>
      <c r="K16" s="40">
        <v>324.89999999999998</v>
      </c>
      <c r="L16" s="40">
        <v>28.23</v>
      </c>
      <c r="M16" s="40">
        <v>60.39</v>
      </c>
      <c r="N16" s="40">
        <v>85.1</v>
      </c>
      <c r="O16" s="40">
        <v>0</v>
      </c>
      <c r="P16" s="40">
        <v>0.96</v>
      </c>
      <c r="Q16" s="40">
        <v>28.15</v>
      </c>
      <c r="R16" s="38"/>
      <c r="S16" s="38"/>
      <c r="T16" s="38"/>
      <c r="U16" s="38"/>
    </row>
    <row r="17" spans="1:21" customFormat="1">
      <c r="A17" s="39" t="s">
        <v>525</v>
      </c>
      <c r="B17" s="40">
        <v>7.63</v>
      </c>
      <c r="C17" s="40">
        <v>22.21</v>
      </c>
      <c r="D17" s="40">
        <v>18.489999999999998</v>
      </c>
      <c r="E17" s="40">
        <v>9.67</v>
      </c>
      <c r="F17" s="41">
        <v>3.24</v>
      </c>
      <c r="G17" s="40">
        <v>69.489999999999995</v>
      </c>
      <c r="H17" s="40">
        <v>36.85</v>
      </c>
      <c r="I17" s="40">
        <v>10.56</v>
      </c>
      <c r="J17" s="40">
        <v>0.52</v>
      </c>
      <c r="K17" s="40">
        <v>308.67</v>
      </c>
      <c r="L17" s="40">
        <v>30.74</v>
      </c>
      <c r="M17" s="40">
        <v>48.4</v>
      </c>
      <c r="N17" s="40">
        <v>174.5</v>
      </c>
      <c r="O17" s="40">
        <v>0</v>
      </c>
      <c r="P17" s="40">
        <v>1.03</v>
      </c>
      <c r="Q17" s="40">
        <v>28.15</v>
      </c>
      <c r="R17" s="38"/>
      <c r="S17" s="38"/>
      <c r="T17" s="38"/>
      <c r="U17" s="38"/>
    </row>
    <row r="18" spans="1:21" customFormat="1">
      <c r="A18" s="39" t="s">
        <v>526</v>
      </c>
      <c r="B18" s="40">
        <v>5.24</v>
      </c>
      <c r="C18" s="40">
        <v>22.81</v>
      </c>
      <c r="D18" s="40">
        <v>17.29</v>
      </c>
      <c r="E18" s="40">
        <v>9.77</v>
      </c>
      <c r="F18" s="41">
        <v>3.27</v>
      </c>
      <c r="G18" s="40">
        <v>74.27</v>
      </c>
      <c r="H18" s="40">
        <v>37</v>
      </c>
      <c r="I18" s="40">
        <v>12.37</v>
      </c>
      <c r="J18" s="40">
        <v>0.93</v>
      </c>
      <c r="K18" s="40">
        <v>309.25</v>
      </c>
      <c r="L18" s="40">
        <v>32.549999999999997</v>
      </c>
      <c r="M18" s="40">
        <v>42.78</v>
      </c>
      <c r="N18" s="40">
        <v>250.7</v>
      </c>
      <c r="O18" s="40">
        <v>0</v>
      </c>
      <c r="P18" s="40">
        <v>1.1100000000000001</v>
      </c>
      <c r="Q18" s="40">
        <v>28.08</v>
      </c>
      <c r="R18" s="38"/>
      <c r="S18" s="38"/>
      <c r="T18" s="38"/>
      <c r="U18" s="38"/>
    </row>
    <row r="19" spans="1:21" customFormat="1">
      <c r="A19" s="39" t="s">
        <v>527</v>
      </c>
      <c r="B19" s="40">
        <v>4.71</v>
      </c>
      <c r="C19" s="40">
        <v>22.6</v>
      </c>
      <c r="D19" s="40">
        <v>16.72</v>
      </c>
      <c r="E19" s="40">
        <v>8.8000000000000007</v>
      </c>
      <c r="F19" s="41">
        <v>3.49</v>
      </c>
      <c r="G19" s="40">
        <v>75.069999999999993</v>
      </c>
      <c r="H19" s="40">
        <v>35.19</v>
      </c>
      <c r="I19" s="40">
        <v>12.51</v>
      </c>
      <c r="J19" s="40">
        <v>1.1499999999999999</v>
      </c>
      <c r="K19" s="40">
        <v>319.95999999999998</v>
      </c>
      <c r="L19" s="40">
        <v>34.21</v>
      </c>
      <c r="M19" s="40">
        <v>40.479999999999997</v>
      </c>
      <c r="N19" s="40">
        <v>293.39999999999998</v>
      </c>
      <c r="O19" s="40">
        <v>0</v>
      </c>
      <c r="P19" s="40">
        <v>1.07</v>
      </c>
      <c r="Q19" s="40">
        <v>28.05</v>
      </c>
      <c r="R19" s="38"/>
      <c r="S19" s="38"/>
      <c r="T19" s="38"/>
      <c r="U19" s="38"/>
    </row>
    <row r="20" spans="1:21" customFormat="1">
      <c r="A20" s="39" t="s">
        <v>528</v>
      </c>
      <c r="B20" s="40">
        <v>4.03</v>
      </c>
      <c r="C20" s="40">
        <v>21.96</v>
      </c>
      <c r="D20" s="40">
        <v>16.059999999999999</v>
      </c>
      <c r="E20" s="40">
        <v>9.66</v>
      </c>
      <c r="F20" s="41">
        <v>4.16</v>
      </c>
      <c r="G20" s="40">
        <v>69.69</v>
      </c>
      <c r="H20" s="40">
        <v>32.26</v>
      </c>
      <c r="I20" s="40">
        <v>11.81</v>
      </c>
      <c r="J20" s="40">
        <v>0.87</v>
      </c>
      <c r="K20" s="40">
        <v>296.14999999999998</v>
      </c>
      <c r="L20" s="40">
        <v>35.29</v>
      </c>
      <c r="M20" s="40">
        <v>33.89</v>
      </c>
      <c r="N20" s="40">
        <v>315.5</v>
      </c>
      <c r="O20" s="40">
        <v>0</v>
      </c>
      <c r="P20" s="40">
        <v>0.99</v>
      </c>
      <c r="Q20" s="40">
        <v>28.04</v>
      </c>
      <c r="R20" s="38"/>
      <c r="S20" s="38"/>
      <c r="T20" s="38"/>
      <c r="U20" s="38"/>
    </row>
    <row r="21" spans="1:21" customFormat="1">
      <c r="A21" s="39" t="s">
        <v>529</v>
      </c>
      <c r="B21" s="40">
        <v>4.13</v>
      </c>
      <c r="C21" s="40">
        <v>20.61</v>
      </c>
      <c r="D21" s="40">
        <v>15.15</v>
      </c>
      <c r="E21" s="40">
        <v>8.24</v>
      </c>
      <c r="F21" s="41">
        <v>4.4400000000000004</v>
      </c>
      <c r="G21" s="40">
        <v>62.5</v>
      </c>
      <c r="H21" s="40">
        <v>25.66</v>
      </c>
      <c r="I21" s="40">
        <v>10.99</v>
      </c>
      <c r="J21" s="40">
        <v>1.17</v>
      </c>
      <c r="K21" s="40">
        <v>272.62</v>
      </c>
      <c r="L21" s="40">
        <v>36.49</v>
      </c>
      <c r="M21" s="40">
        <v>26.25</v>
      </c>
      <c r="N21" s="40">
        <v>341</v>
      </c>
      <c r="O21" s="40">
        <v>0</v>
      </c>
      <c r="P21" s="40">
        <v>0.92</v>
      </c>
      <c r="Q21" s="40">
        <v>28.03</v>
      </c>
      <c r="R21" s="38"/>
      <c r="S21" s="38"/>
      <c r="T21" s="38"/>
      <c r="U21" s="38"/>
    </row>
    <row r="22" spans="1:21" customFormat="1">
      <c r="A22" s="39" t="s">
        <v>530</v>
      </c>
      <c r="B22" s="40">
        <v>4.2</v>
      </c>
      <c r="C22" s="40">
        <v>19.02</v>
      </c>
      <c r="D22" s="40">
        <v>14.53</v>
      </c>
      <c r="E22" s="40">
        <v>7.84</v>
      </c>
      <c r="F22" s="41">
        <v>5.41</v>
      </c>
      <c r="G22" s="40">
        <v>48.29</v>
      </c>
      <c r="H22" s="40">
        <v>20.420000000000002</v>
      </c>
      <c r="I22" s="40">
        <v>9.92</v>
      </c>
      <c r="J22" s="40">
        <v>1.04</v>
      </c>
      <c r="K22" s="40">
        <v>283.52999999999997</v>
      </c>
      <c r="L22" s="40">
        <v>37.29</v>
      </c>
      <c r="M22" s="40">
        <v>22.74</v>
      </c>
      <c r="N22" s="40">
        <v>340.4</v>
      </c>
      <c r="O22" s="40">
        <v>0</v>
      </c>
      <c r="P22" s="40">
        <v>0.84</v>
      </c>
      <c r="Q22" s="40">
        <v>28.03</v>
      </c>
      <c r="R22" s="38"/>
      <c r="S22" s="38"/>
      <c r="T22" s="38"/>
      <c r="U22" s="38"/>
    </row>
    <row r="23" spans="1:21" customFormat="1">
      <c r="A23" s="39" t="s">
        <v>531</v>
      </c>
      <c r="B23" s="40">
        <v>4.12</v>
      </c>
      <c r="C23" s="40">
        <v>17.91</v>
      </c>
      <c r="D23" s="40">
        <v>14.01</v>
      </c>
      <c r="E23" s="40">
        <v>7.28</v>
      </c>
      <c r="F23" s="41">
        <v>7.42</v>
      </c>
      <c r="G23" s="40">
        <v>42.04</v>
      </c>
      <c r="H23" s="40">
        <v>18.239999999999998</v>
      </c>
      <c r="I23" s="40">
        <v>8.9499999999999993</v>
      </c>
      <c r="J23" s="40">
        <v>0.92</v>
      </c>
      <c r="K23" s="40">
        <v>276.81</v>
      </c>
      <c r="L23" s="40">
        <v>37.31</v>
      </c>
      <c r="M23" s="40">
        <v>20.170000000000002</v>
      </c>
      <c r="N23" s="40">
        <v>335.1</v>
      </c>
      <c r="O23" s="40">
        <v>0</v>
      </c>
      <c r="P23" s="40">
        <v>0.64</v>
      </c>
      <c r="Q23" s="40">
        <v>28.03</v>
      </c>
      <c r="R23" s="38"/>
      <c r="S23" s="38"/>
      <c r="T23" s="38"/>
      <c r="U23" s="38"/>
    </row>
    <row r="24" spans="1:21" customFormat="1">
      <c r="A24" s="39" t="s">
        <v>532</v>
      </c>
      <c r="B24" s="40">
        <v>4.05</v>
      </c>
      <c r="C24" s="40">
        <v>16.54</v>
      </c>
      <c r="D24" s="40">
        <v>13.24</v>
      </c>
      <c r="E24" s="40">
        <v>7.48</v>
      </c>
      <c r="F24" s="41">
        <v>7.2</v>
      </c>
      <c r="G24" s="40">
        <v>37.83</v>
      </c>
      <c r="H24" s="40">
        <v>18.239999999999998</v>
      </c>
      <c r="I24" s="40">
        <v>8.01</v>
      </c>
      <c r="J24" s="40">
        <v>0.81</v>
      </c>
      <c r="K24" s="40">
        <v>298.17</v>
      </c>
      <c r="L24" s="40">
        <v>37.020000000000003</v>
      </c>
      <c r="M24" s="40">
        <v>22.45</v>
      </c>
      <c r="N24" s="40">
        <v>256.3</v>
      </c>
      <c r="O24" s="40">
        <v>0</v>
      </c>
      <c r="P24" s="40">
        <v>0.57999999999999996</v>
      </c>
      <c r="Q24" s="40">
        <v>28.03</v>
      </c>
      <c r="R24" s="38"/>
      <c r="S24" s="38"/>
      <c r="T24" s="38"/>
      <c r="U24" s="38"/>
    </row>
    <row r="25" spans="1:21" customFormat="1">
      <c r="A25" s="39" t="s">
        <v>533</v>
      </c>
      <c r="B25" s="40">
        <v>4.0199999999999996</v>
      </c>
      <c r="C25" s="40">
        <v>15.4</v>
      </c>
      <c r="D25" s="40">
        <v>12.52</v>
      </c>
      <c r="E25" s="40">
        <v>9.75</v>
      </c>
      <c r="F25" s="41">
        <v>5.6</v>
      </c>
      <c r="G25" s="40">
        <v>32.28</v>
      </c>
      <c r="H25" s="40">
        <v>16.41</v>
      </c>
      <c r="I25" s="40">
        <v>7.1</v>
      </c>
      <c r="J25" s="40">
        <v>0.8</v>
      </c>
      <c r="K25" s="40">
        <v>275.51</v>
      </c>
      <c r="L25" s="40">
        <v>36.35</v>
      </c>
      <c r="M25" s="40">
        <v>24.97</v>
      </c>
      <c r="N25" s="40">
        <v>128.6</v>
      </c>
      <c r="O25" s="40">
        <v>0</v>
      </c>
      <c r="P25" s="40">
        <v>0.51</v>
      </c>
      <c r="Q25" s="40">
        <v>28.01</v>
      </c>
      <c r="R25" s="38"/>
      <c r="S25" s="38"/>
      <c r="T25" s="38"/>
      <c r="U25" s="38"/>
    </row>
    <row r="26" spans="1:21" customFormat="1">
      <c r="A26" s="39" t="s">
        <v>534</v>
      </c>
      <c r="B26" s="40">
        <v>6.34</v>
      </c>
      <c r="C26" s="40">
        <v>24.52</v>
      </c>
      <c r="D26" s="40">
        <v>19.25</v>
      </c>
      <c r="E26" s="40">
        <v>14.32</v>
      </c>
      <c r="F26" s="41">
        <v>4.37</v>
      </c>
      <c r="G26" s="40">
        <v>30.38</v>
      </c>
      <c r="H26" s="40">
        <v>14.5</v>
      </c>
      <c r="I26" s="40">
        <v>6.55</v>
      </c>
      <c r="J26" s="40">
        <v>0.91</v>
      </c>
      <c r="K26" s="40">
        <v>312.02</v>
      </c>
      <c r="L26" s="40">
        <v>35.299999999999997</v>
      </c>
      <c r="M26" s="40">
        <v>25.89</v>
      </c>
      <c r="N26" s="40">
        <v>43.2</v>
      </c>
      <c r="O26" s="40">
        <v>0</v>
      </c>
      <c r="P26" s="40">
        <v>0.62</v>
      </c>
      <c r="Q26" s="40">
        <v>28.03</v>
      </c>
      <c r="R26" s="38"/>
      <c r="S26" s="38"/>
      <c r="T26" s="38"/>
      <c r="U26" s="38"/>
    </row>
    <row r="27" spans="1:21" customFormat="1">
      <c r="A27" s="39" t="s">
        <v>535</v>
      </c>
      <c r="B27" s="40">
        <v>6.2</v>
      </c>
      <c r="C27" s="40">
        <v>27.27</v>
      </c>
      <c r="D27" s="40">
        <v>20.43</v>
      </c>
      <c r="E27" s="40">
        <v>19.010000000000002</v>
      </c>
      <c r="F27" s="41">
        <v>4.07</v>
      </c>
      <c r="G27" s="40">
        <v>37.75</v>
      </c>
      <c r="H27" s="40">
        <v>17.97</v>
      </c>
      <c r="I27" s="40">
        <v>8.5399999999999991</v>
      </c>
      <c r="J27" s="40">
        <v>0.3</v>
      </c>
      <c r="K27" s="40">
        <v>262.79000000000002</v>
      </c>
      <c r="L27" s="40">
        <v>33.9</v>
      </c>
      <c r="M27" s="40">
        <v>33.83</v>
      </c>
      <c r="N27" s="40">
        <v>7.7</v>
      </c>
      <c r="O27" s="40">
        <v>0</v>
      </c>
      <c r="P27" s="40">
        <v>0.72</v>
      </c>
      <c r="Q27" s="40">
        <v>28.05</v>
      </c>
      <c r="R27" s="38"/>
      <c r="S27" s="38"/>
      <c r="T27" s="38"/>
      <c r="U27" s="38"/>
    </row>
    <row r="28" spans="1:21" customFormat="1">
      <c r="A28" s="39" t="s">
        <v>536</v>
      </c>
      <c r="B28" s="40">
        <v>4.5</v>
      </c>
      <c r="C28" s="40">
        <v>24.75</v>
      </c>
      <c r="D28" s="40">
        <v>17.68</v>
      </c>
      <c r="E28" s="40">
        <v>13.58</v>
      </c>
      <c r="F28" s="41">
        <v>3.2</v>
      </c>
      <c r="G28" s="40">
        <v>58.62</v>
      </c>
      <c r="H28" s="40">
        <v>22.87</v>
      </c>
      <c r="I28" s="40">
        <v>9.58</v>
      </c>
      <c r="J28" s="40">
        <v>0.26</v>
      </c>
      <c r="K28" s="40">
        <v>217.15</v>
      </c>
      <c r="L28" s="40">
        <v>30.63</v>
      </c>
      <c r="M28" s="40">
        <v>41</v>
      </c>
      <c r="N28" s="40">
        <v>6.5</v>
      </c>
      <c r="O28" s="40">
        <v>0</v>
      </c>
      <c r="P28" s="40">
        <v>0.78</v>
      </c>
      <c r="Q28" s="40">
        <v>28.06</v>
      </c>
      <c r="R28" s="38"/>
      <c r="S28" s="38"/>
      <c r="T28" s="38"/>
      <c r="U28" s="38"/>
    </row>
    <row r="29" spans="1:21" customFormat="1">
      <c r="A29" s="39" t="s">
        <v>537</v>
      </c>
      <c r="B29" s="40">
        <v>4.62</v>
      </c>
      <c r="C29" s="40">
        <v>22.16</v>
      </c>
      <c r="D29" s="40">
        <v>16.559999999999999</v>
      </c>
      <c r="E29" s="40">
        <v>10.87</v>
      </c>
      <c r="F29" s="41">
        <v>2.94</v>
      </c>
      <c r="G29" s="40">
        <v>65.260000000000005</v>
      </c>
      <c r="H29" s="40">
        <v>22.94</v>
      </c>
      <c r="I29" s="40">
        <v>9.89</v>
      </c>
      <c r="J29" s="40">
        <v>0.23</v>
      </c>
      <c r="K29" s="40">
        <v>201.07</v>
      </c>
      <c r="L29" s="40">
        <v>29.04</v>
      </c>
      <c r="M29" s="40">
        <v>46.52</v>
      </c>
      <c r="N29" s="40">
        <v>5.9</v>
      </c>
      <c r="O29" s="40">
        <v>0</v>
      </c>
      <c r="P29" s="40">
        <v>0.83</v>
      </c>
      <c r="Q29" s="40">
        <v>28.07</v>
      </c>
      <c r="R29" s="38"/>
      <c r="S29" s="38"/>
      <c r="T29" s="38"/>
      <c r="U29" s="38"/>
    </row>
    <row r="30" spans="1:21" customFormat="1">
      <c r="A30" s="39" t="s">
        <v>538</v>
      </c>
      <c r="B30" s="40">
        <v>5.17</v>
      </c>
      <c r="C30" s="40">
        <v>21.06</v>
      </c>
      <c r="D30" s="40">
        <v>16.170000000000002</v>
      </c>
      <c r="E30" s="40">
        <v>9.84</v>
      </c>
      <c r="F30" s="41">
        <v>2.89</v>
      </c>
      <c r="G30" s="40">
        <v>64.930000000000007</v>
      </c>
      <c r="H30" s="40">
        <v>22.36</v>
      </c>
      <c r="I30" s="40">
        <v>10.5</v>
      </c>
      <c r="J30" s="40">
        <v>0.21</v>
      </c>
      <c r="K30" s="40">
        <v>208.85</v>
      </c>
      <c r="L30" s="40">
        <v>27.93</v>
      </c>
      <c r="M30" s="40">
        <v>48.37</v>
      </c>
      <c r="N30" s="40">
        <v>5.8</v>
      </c>
      <c r="O30" s="40">
        <v>0</v>
      </c>
      <c r="P30" s="40">
        <v>0.87</v>
      </c>
      <c r="Q30" s="40">
        <v>28.08</v>
      </c>
      <c r="R30" s="38"/>
      <c r="S30" s="38"/>
      <c r="T30" s="38"/>
      <c r="U30" s="38"/>
    </row>
    <row r="31" spans="1:21" customFormat="1">
      <c r="A31" s="39" t="s">
        <v>539</v>
      </c>
      <c r="B31" s="40">
        <v>6.23</v>
      </c>
      <c r="C31" s="40">
        <v>19.52</v>
      </c>
      <c r="D31" s="40">
        <v>16.12</v>
      </c>
      <c r="E31" s="40">
        <v>9.3699999999999992</v>
      </c>
      <c r="F31" s="41">
        <v>2.99</v>
      </c>
      <c r="G31" s="40">
        <v>67.790000000000006</v>
      </c>
      <c r="H31" s="40">
        <v>24.34</v>
      </c>
      <c r="I31" s="40">
        <v>10.89</v>
      </c>
      <c r="J31" s="40">
        <v>0.19</v>
      </c>
      <c r="K31" s="40">
        <v>205.85</v>
      </c>
      <c r="L31" s="40">
        <v>27.25</v>
      </c>
      <c r="M31" s="40">
        <v>49.37</v>
      </c>
      <c r="N31" s="40">
        <v>5.8</v>
      </c>
      <c r="O31" s="40">
        <v>0</v>
      </c>
      <c r="P31" s="40">
        <v>0.88</v>
      </c>
      <c r="Q31" s="40">
        <v>28.11</v>
      </c>
      <c r="R31" s="38"/>
      <c r="S31" s="38"/>
      <c r="T31" s="38"/>
      <c r="U31" s="38"/>
    </row>
    <row r="32" spans="1:21" customFormat="1">
      <c r="A32" s="39" t="s">
        <v>540</v>
      </c>
      <c r="B32" s="40">
        <v>6.95</v>
      </c>
      <c r="C32" s="40">
        <v>18.690000000000001</v>
      </c>
      <c r="D32" s="40">
        <v>16.329999999999998</v>
      </c>
      <c r="E32" s="40">
        <v>9.1999999999999993</v>
      </c>
      <c r="F32" s="41">
        <v>2.97</v>
      </c>
      <c r="G32" s="40">
        <v>68.61</v>
      </c>
      <c r="H32" s="40">
        <v>24.39</v>
      </c>
      <c r="I32" s="40">
        <v>11.11</v>
      </c>
      <c r="J32" s="40">
        <v>0.21</v>
      </c>
      <c r="K32" s="40">
        <v>171.11</v>
      </c>
      <c r="L32" s="40">
        <v>26.78</v>
      </c>
      <c r="M32" s="40">
        <v>50.53</v>
      </c>
      <c r="N32" s="40">
        <v>6.1</v>
      </c>
      <c r="O32" s="40">
        <v>0</v>
      </c>
      <c r="P32" s="40">
        <v>0.89</v>
      </c>
      <c r="Q32" s="40">
        <v>28.13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3.68</v>
      </c>
      <c r="C34" s="18">
        <f t="shared" si="0"/>
        <v>15.4</v>
      </c>
      <c r="D34" s="18">
        <f t="shared" si="0"/>
        <v>12.52</v>
      </c>
      <c r="E34" s="18">
        <f t="shared" si="0"/>
        <v>7.28</v>
      </c>
      <c r="F34" s="18">
        <f t="shared" si="0"/>
        <v>2.8</v>
      </c>
      <c r="G34" s="18">
        <f t="shared" si="0"/>
        <v>30.38</v>
      </c>
      <c r="H34" s="18">
        <f t="shared" si="0"/>
        <v>14.5</v>
      </c>
      <c r="I34" s="18">
        <f t="shared" si="0"/>
        <v>6.55</v>
      </c>
      <c r="J34" s="18">
        <f t="shared" si="0"/>
        <v>0.13</v>
      </c>
      <c r="K34" s="18">
        <f t="shared" si="0"/>
        <v>171.11</v>
      </c>
      <c r="L34" s="18">
        <f t="shared" si="0"/>
        <v>24.81</v>
      </c>
      <c r="M34" s="18">
        <f t="shared" si="0"/>
        <v>20.170000000000002</v>
      </c>
      <c r="N34" s="18">
        <f t="shared" si="0"/>
        <v>5.8</v>
      </c>
      <c r="O34" s="18">
        <f t="shared" si="0"/>
        <v>0</v>
      </c>
      <c r="P34" s="18">
        <f t="shared" si="0"/>
        <v>0.51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10.91</v>
      </c>
      <c r="C35" s="3">
        <f t="shared" si="1"/>
        <v>27.27</v>
      </c>
      <c r="D35" s="3">
        <f t="shared" si="1"/>
        <v>20.43</v>
      </c>
      <c r="E35" s="3">
        <f t="shared" si="1"/>
        <v>19.010000000000002</v>
      </c>
      <c r="F35" s="3">
        <f t="shared" si="1"/>
        <v>7.42</v>
      </c>
      <c r="G35" s="3">
        <f t="shared" si="1"/>
        <v>84.37</v>
      </c>
      <c r="H35" s="3">
        <f t="shared" si="1"/>
        <v>42.35</v>
      </c>
      <c r="I35" s="3">
        <f t="shared" si="1"/>
        <v>12.51</v>
      </c>
      <c r="J35" s="3">
        <f t="shared" si="1"/>
        <v>1.17</v>
      </c>
      <c r="K35" s="3">
        <f t="shared" si="1"/>
        <v>324.89999999999998</v>
      </c>
      <c r="L35" s="3">
        <f t="shared" si="1"/>
        <v>37.31</v>
      </c>
      <c r="M35" s="3">
        <f t="shared" si="1"/>
        <v>66.08</v>
      </c>
      <c r="N35" s="3">
        <f t="shared" si="1"/>
        <v>341</v>
      </c>
      <c r="O35" s="3">
        <f t="shared" si="1"/>
        <v>0</v>
      </c>
      <c r="P35" s="3">
        <f t="shared" si="1"/>
        <v>1.1100000000000001</v>
      </c>
      <c r="Q35" s="3">
        <f t="shared" si="1"/>
        <v>28.15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5.3150000000000004</v>
      </c>
      <c r="C36" s="18">
        <f t="shared" si="2"/>
        <v>19.834166666666665</v>
      </c>
      <c r="D36" s="18">
        <f t="shared" si="2"/>
        <v>15.813333333333333</v>
      </c>
      <c r="E36" s="18">
        <f t="shared" si="2"/>
        <v>9.8929166666666664</v>
      </c>
      <c r="F36" s="18">
        <f t="shared" si="2"/>
        <v>3.7833333333333332</v>
      </c>
      <c r="G36" s="18">
        <f t="shared" si="2"/>
        <v>57.168333333333322</v>
      </c>
      <c r="H36" s="18">
        <f t="shared" si="2"/>
        <v>26.92583333333334</v>
      </c>
      <c r="I36" s="18">
        <f t="shared" si="2"/>
        <v>9.899166666666666</v>
      </c>
      <c r="J36" s="18">
        <f t="shared" si="2"/>
        <v>0.50083333333333346</v>
      </c>
      <c r="K36" s="18">
        <f t="shared" si="2"/>
        <v>251.15874999999997</v>
      </c>
      <c r="L36" s="18">
        <f t="shared" si="2"/>
        <v>30.669999999999991</v>
      </c>
      <c r="M36" s="18">
        <f t="shared" si="2"/>
        <v>44.016666666666673</v>
      </c>
      <c r="N36" s="18">
        <f t="shared" si="2"/>
        <v>111.08333333333333</v>
      </c>
      <c r="O36" s="18">
        <f t="shared" si="2"/>
        <v>0</v>
      </c>
      <c r="P36" s="18">
        <f t="shared" si="2"/>
        <v>0.86291666666666655</v>
      </c>
      <c r="Q36" s="18">
        <f t="shared" si="2"/>
        <v>28.06208333333333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1.617714437099449</v>
      </c>
      <c r="C37" s="18">
        <f t="shared" ref="C37:Q37" si="3">STDEV(C9:C32)</f>
        <v>3.1712251324338063</v>
      </c>
      <c r="D37" s="18">
        <f t="shared" si="3"/>
        <v>2.213770473681707</v>
      </c>
      <c r="E37" s="18">
        <f t="shared" si="3"/>
        <v>2.5053446854182835</v>
      </c>
      <c r="F37" s="18">
        <f t="shared" si="3"/>
        <v>1.3513943416585221</v>
      </c>
      <c r="G37" s="18">
        <f t="shared" si="3"/>
        <v>14.382537015926417</v>
      </c>
      <c r="H37" s="18">
        <f t="shared" si="3"/>
        <v>7.4210077346072945</v>
      </c>
      <c r="I37" s="18">
        <f t="shared" si="3"/>
        <v>1.4548088673704556</v>
      </c>
      <c r="J37" s="18">
        <f t="shared" si="3"/>
        <v>0.37603095000587206</v>
      </c>
      <c r="K37" s="18">
        <f t="shared" si="3"/>
        <v>48.453110396188556</v>
      </c>
      <c r="L37" s="18">
        <f t="shared" si="3"/>
        <v>4.5903556743885847</v>
      </c>
      <c r="M37" s="18">
        <f t="shared" si="3"/>
        <v>14.717018444102655</v>
      </c>
      <c r="N37" s="18">
        <f t="shared" si="3"/>
        <v>135.09835923010561</v>
      </c>
      <c r="O37" s="18">
        <f t="shared" si="3"/>
        <v>0</v>
      </c>
      <c r="P37" s="18">
        <f t="shared" si="3"/>
        <v>0.15403215832124667</v>
      </c>
      <c r="Q37" s="18">
        <f t="shared" si="3"/>
        <v>4.2321663346396705E-2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L32" sqref="L3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541</v>
      </c>
      <c r="B9" s="40">
        <v>7.69</v>
      </c>
      <c r="C9" s="40">
        <v>18.14</v>
      </c>
      <c r="D9" s="40">
        <v>16.72</v>
      </c>
      <c r="E9" s="40">
        <v>9.1999999999999993</v>
      </c>
      <c r="F9" s="41">
        <v>2.97</v>
      </c>
      <c r="G9" s="40">
        <v>68.349999999999994</v>
      </c>
      <c r="H9" s="40">
        <v>21.92</v>
      </c>
      <c r="I9" s="40">
        <v>11.23</v>
      </c>
      <c r="J9" s="40">
        <v>0.2</v>
      </c>
      <c r="K9" s="40">
        <v>200.49</v>
      </c>
      <c r="L9" s="40">
        <v>26.47</v>
      </c>
      <c r="M9" s="40">
        <v>50.81</v>
      </c>
      <c r="N9" s="40">
        <v>6.4</v>
      </c>
      <c r="O9" s="40">
        <v>0</v>
      </c>
      <c r="P9" s="40">
        <v>0.89</v>
      </c>
      <c r="Q9" s="40">
        <v>28.14</v>
      </c>
      <c r="R9" s="38"/>
      <c r="S9" s="38"/>
      <c r="T9" s="38"/>
      <c r="U9" s="38"/>
    </row>
    <row r="10" spans="1:21" customFormat="1">
      <c r="A10" s="39" t="s">
        <v>542</v>
      </c>
      <c r="B10" s="40">
        <v>8.1300000000000008</v>
      </c>
      <c r="C10" s="40">
        <v>17.3</v>
      </c>
      <c r="D10" s="40">
        <v>16.78</v>
      </c>
      <c r="E10" s="40">
        <v>8.92</v>
      </c>
      <c r="F10" s="41">
        <v>2.91</v>
      </c>
      <c r="G10" s="40">
        <v>65.650000000000006</v>
      </c>
      <c r="H10" s="40">
        <v>23.74</v>
      </c>
      <c r="I10" s="40">
        <v>11.32</v>
      </c>
      <c r="J10" s="40">
        <v>0.17</v>
      </c>
      <c r="K10" s="40">
        <v>179.07</v>
      </c>
      <c r="L10" s="40">
        <v>26.46</v>
      </c>
      <c r="M10" s="40">
        <v>53.53</v>
      </c>
      <c r="N10" s="40">
        <v>6.4</v>
      </c>
      <c r="O10" s="40">
        <v>0</v>
      </c>
      <c r="P10" s="40">
        <v>0.89</v>
      </c>
      <c r="Q10" s="40">
        <v>28.17</v>
      </c>
      <c r="R10" s="38"/>
      <c r="S10" s="38"/>
      <c r="T10" s="38"/>
      <c r="U10" s="38"/>
    </row>
    <row r="11" spans="1:21" customFormat="1">
      <c r="A11" s="39" t="s">
        <v>543</v>
      </c>
      <c r="B11" s="40">
        <v>9.25</v>
      </c>
      <c r="C11" s="40">
        <v>18.86</v>
      </c>
      <c r="D11" s="40">
        <v>18.12</v>
      </c>
      <c r="E11" s="40">
        <v>10.94</v>
      </c>
      <c r="F11" s="41">
        <v>2.89</v>
      </c>
      <c r="G11" s="40">
        <v>64.790000000000006</v>
      </c>
      <c r="H11" s="40">
        <v>26.04</v>
      </c>
      <c r="I11" s="40">
        <v>11.3</v>
      </c>
      <c r="J11" s="40">
        <v>0.86</v>
      </c>
      <c r="K11" s="40">
        <v>349.18</v>
      </c>
      <c r="L11" s="40">
        <v>28.2</v>
      </c>
      <c r="M11" s="40">
        <v>45.89</v>
      </c>
      <c r="N11" s="40">
        <v>6.7</v>
      </c>
      <c r="O11" s="40">
        <v>0</v>
      </c>
      <c r="P11" s="40">
        <v>0.91</v>
      </c>
      <c r="Q11" s="40">
        <v>28.16</v>
      </c>
      <c r="R11" s="38"/>
      <c r="S11" s="38"/>
      <c r="T11" s="38"/>
      <c r="U11" s="38"/>
    </row>
    <row r="12" spans="1:21" customFormat="1">
      <c r="A12" s="39" t="s">
        <v>544</v>
      </c>
      <c r="B12" s="40">
        <v>8.08</v>
      </c>
      <c r="C12" s="40">
        <v>20.95</v>
      </c>
      <c r="D12" s="40">
        <v>18.54</v>
      </c>
      <c r="E12" s="40">
        <v>10.87</v>
      </c>
      <c r="F12" s="41">
        <v>2.79</v>
      </c>
      <c r="G12" s="40">
        <v>76.959999999999994</v>
      </c>
      <c r="H12" s="40">
        <v>29.52</v>
      </c>
      <c r="I12" s="40">
        <v>11.33</v>
      </c>
      <c r="J12" s="40">
        <v>0.92</v>
      </c>
      <c r="K12" s="40">
        <v>43.88</v>
      </c>
      <c r="L12" s="40">
        <v>27.57</v>
      </c>
      <c r="M12" s="40">
        <v>46.51</v>
      </c>
      <c r="N12" s="40">
        <v>6.7</v>
      </c>
      <c r="O12" s="40">
        <v>0</v>
      </c>
      <c r="P12" s="40">
        <v>0.9</v>
      </c>
      <c r="Q12" s="40">
        <v>28.17</v>
      </c>
      <c r="R12" s="38"/>
      <c r="S12" s="38"/>
      <c r="T12" s="38"/>
      <c r="U12" s="38"/>
    </row>
    <row r="13" spans="1:21" customFormat="1">
      <c r="A13" s="39" t="s">
        <v>545</v>
      </c>
      <c r="B13" s="40">
        <v>7.97</v>
      </c>
      <c r="C13" s="40">
        <v>22.2</v>
      </c>
      <c r="D13" s="40">
        <v>19.2</v>
      </c>
      <c r="E13" s="40">
        <v>9.76</v>
      </c>
      <c r="F13" s="41">
        <v>2.75</v>
      </c>
      <c r="G13" s="40">
        <v>82.77</v>
      </c>
      <c r="H13" s="40">
        <v>31.64</v>
      </c>
      <c r="I13" s="40">
        <v>11.13</v>
      </c>
      <c r="J13" s="40">
        <v>0.97</v>
      </c>
      <c r="K13" s="40">
        <v>68.22</v>
      </c>
      <c r="L13" s="40">
        <v>26.49</v>
      </c>
      <c r="M13" s="40">
        <v>50.12</v>
      </c>
      <c r="N13" s="40">
        <v>6.5</v>
      </c>
      <c r="O13" s="40">
        <v>0</v>
      </c>
      <c r="P13" s="40">
        <v>0.87</v>
      </c>
      <c r="Q13" s="40">
        <v>28.15</v>
      </c>
      <c r="R13" s="38"/>
      <c r="S13" s="38"/>
      <c r="T13" s="38"/>
      <c r="U13" s="38"/>
    </row>
    <row r="14" spans="1:21" customFormat="1">
      <c r="A14" s="39" t="s">
        <v>546</v>
      </c>
      <c r="B14" s="40">
        <v>7.37</v>
      </c>
      <c r="C14" s="40">
        <v>22.22</v>
      </c>
      <c r="D14" s="40">
        <v>18.809999999999999</v>
      </c>
      <c r="E14" s="40">
        <v>9.2200000000000006</v>
      </c>
      <c r="F14" s="41">
        <v>3.19</v>
      </c>
      <c r="G14" s="40">
        <v>83.37</v>
      </c>
      <c r="H14" s="40">
        <v>31.97</v>
      </c>
      <c r="I14" s="40">
        <v>10.82</v>
      </c>
      <c r="J14" s="40">
        <v>0.66</v>
      </c>
      <c r="K14" s="40">
        <v>108.44</v>
      </c>
      <c r="L14" s="40">
        <v>26.13</v>
      </c>
      <c r="M14" s="40">
        <v>59.25</v>
      </c>
      <c r="N14" s="40">
        <v>6.9</v>
      </c>
      <c r="O14" s="40">
        <v>0</v>
      </c>
      <c r="P14" s="40">
        <v>0.86</v>
      </c>
      <c r="Q14" s="40">
        <v>28.13</v>
      </c>
      <c r="R14" s="38"/>
      <c r="S14" s="38"/>
      <c r="T14" s="38"/>
      <c r="U14" s="38"/>
    </row>
    <row r="15" spans="1:21" customFormat="1">
      <c r="A15" s="39" t="s">
        <v>547</v>
      </c>
      <c r="B15" s="40">
        <v>5.76</v>
      </c>
      <c r="C15" s="40">
        <v>22.6</v>
      </c>
      <c r="D15" s="40">
        <v>17.559999999999999</v>
      </c>
      <c r="E15" s="40">
        <v>8.65</v>
      </c>
      <c r="F15" s="41">
        <v>2.88</v>
      </c>
      <c r="G15" s="40">
        <v>89.16</v>
      </c>
      <c r="H15" s="40">
        <v>33.58</v>
      </c>
      <c r="I15" s="40">
        <v>10.7</v>
      </c>
      <c r="J15" s="40">
        <v>0.64</v>
      </c>
      <c r="K15" s="40">
        <v>130.79</v>
      </c>
      <c r="L15" s="40">
        <v>25.85</v>
      </c>
      <c r="M15" s="40">
        <v>61.08</v>
      </c>
      <c r="N15" s="40">
        <v>30.9</v>
      </c>
      <c r="O15" s="40">
        <v>0</v>
      </c>
      <c r="P15" s="40">
        <v>0.88</v>
      </c>
      <c r="Q15" s="40">
        <v>28.09</v>
      </c>
      <c r="R15" s="38"/>
      <c r="S15" s="38"/>
      <c r="T15" s="38"/>
      <c r="U15" s="38"/>
    </row>
    <row r="16" spans="1:21" customFormat="1">
      <c r="A16" s="39" t="s">
        <v>548</v>
      </c>
      <c r="B16" s="40">
        <v>4.99</v>
      </c>
      <c r="C16" s="40">
        <v>22.41</v>
      </c>
      <c r="D16" s="40">
        <v>17.059999999999999</v>
      </c>
      <c r="E16" s="40">
        <v>8.81</v>
      </c>
      <c r="F16" s="41">
        <v>2.87</v>
      </c>
      <c r="G16" s="40">
        <v>91.9</v>
      </c>
      <c r="H16" s="40">
        <v>35.950000000000003</v>
      </c>
      <c r="I16" s="40">
        <v>10.76</v>
      </c>
      <c r="J16" s="40">
        <v>0.25</v>
      </c>
      <c r="K16" s="40">
        <v>155.9</v>
      </c>
      <c r="L16" s="40">
        <v>26.74</v>
      </c>
      <c r="M16" s="40">
        <v>60.61</v>
      </c>
      <c r="N16" s="40">
        <v>55</v>
      </c>
      <c r="O16" s="40">
        <v>0</v>
      </c>
      <c r="P16" s="40">
        <v>0.87</v>
      </c>
      <c r="Q16" s="40">
        <v>28.07</v>
      </c>
      <c r="R16" s="38"/>
      <c r="S16" s="38"/>
      <c r="T16" s="38"/>
      <c r="U16" s="38"/>
    </row>
    <row r="17" spans="1:21" customFormat="1">
      <c r="A17" s="39" t="s">
        <v>549</v>
      </c>
      <c r="B17" s="40">
        <v>5.12</v>
      </c>
      <c r="C17" s="40">
        <v>20.25</v>
      </c>
      <c r="D17" s="40">
        <v>15.94</v>
      </c>
      <c r="E17" s="40">
        <v>9.2100000000000009</v>
      </c>
      <c r="F17" s="41">
        <v>2.98</v>
      </c>
      <c r="G17" s="40">
        <v>83.57</v>
      </c>
      <c r="H17" s="40">
        <v>35.979999999999997</v>
      </c>
      <c r="I17" s="40">
        <v>10.73</v>
      </c>
      <c r="J17" s="40">
        <v>0.26</v>
      </c>
      <c r="K17" s="40">
        <v>183.69</v>
      </c>
      <c r="L17" s="40">
        <v>29.33</v>
      </c>
      <c r="M17" s="40">
        <v>56.24</v>
      </c>
      <c r="N17" s="40">
        <v>120.6</v>
      </c>
      <c r="O17" s="40">
        <v>0</v>
      </c>
      <c r="P17" s="40">
        <v>0.87</v>
      </c>
      <c r="Q17" s="40">
        <v>28.08</v>
      </c>
      <c r="R17" s="38"/>
      <c r="S17" s="38"/>
      <c r="T17" s="38"/>
      <c r="U17" s="38"/>
    </row>
    <row r="18" spans="1:21" customFormat="1">
      <c r="A18" s="39" t="s">
        <v>550</v>
      </c>
      <c r="B18" s="40">
        <v>7.8</v>
      </c>
      <c r="C18" s="40">
        <v>22.6</v>
      </c>
      <c r="D18" s="40">
        <v>19.41</v>
      </c>
      <c r="E18" s="40">
        <v>12.58</v>
      </c>
      <c r="F18" s="41">
        <v>3.05</v>
      </c>
      <c r="G18" s="40">
        <v>86.44</v>
      </c>
      <c r="H18" s="40">
        <v>41.84</v>
      </c>
      <c r="I18" s="40">
        <v>10.77</v>
      </c>
      <c r="J18" s="40">
        <v>0.88</v>
      </c>
      <c r="K18" s="40">
        <v>274.5</v>
      </c>
      <c r="L18" s="40">
        <v>31.71</v>
      </c>
      <c r="M18" s="40">
        <v>48.46</v>
      </c>
      <c r="N18" s="40">
        <v>226.6</v>
      </c>
      <c r="O18" s="40">
        <v>0</v>
      </c>
      <c r="P18" s="40">
        <v>1.08</v>
      </c>
      <c r="Q18" s="40">
        <v>28.07</v>
      </c>
      <c r="R18" s="38"/>
      <c r="S18" s="38"/>
      <c r="T18" s="38"/>
      <c r="U18" s="38"/>
    </row>
    <row r="19" spans="1:21" customFormat="1">
      <c r="A19" s="39" t="s">
        <v>551</v>
      </c>
      <c r="B19" s="40">
        <v>6.58</v>
      </c>
      <c r="C19" s="40">
        <v>21.73</v>
      </c>
      <c r="D19" s="40">
        <v>17.98</v>
      </c>
      <c r="E19" s="40">
        <v>10.45</v>
      </c>
      <c r="F19" s="41">
        <v>3.83</v>
      </c>
      <c r="G19" s="40">
        <v>100.95</v>
      </c>
      <c r="H19" s="40">
        <v>57.36</v>
      </c>
      <c r="I19" s="40">
        <v>14.95</v>
      </c>
      <c r="J19" s="40">
        <v>0.87</v>
      </c>
      <c r="K19" s="40">
        <v>255.39</v>
      </c>
      <c r="L19" s="40">
        <v>32.700000000000003</v>
      </c>
      <c r="M19" s="40">
        <v>42.35</v>
      </c>
      <c r="N19" s="40">
        <v>264.39999999999998</v>
      </c>
      <c r="O19" s="40">
        <v>0</v>
      </c>
      <c r="P19" s="40">
        <v>1.1100000000000001</v>
      </c>
      <c r="Q19" s="40">
        <v>28.09</v>
      </c>
      <c r="R19" s="38"/>
      <c r="S19" s="38"/>
      <c r="T19" s="38"/>
      <c r="U19" s="38"/>
    </row>
    <row r="20" spans="1:21" customFormat="1">
      <c r="A20" s="39" t="s">
        <v>552</v>
      </c>
      <c r="B20" s="40">
        <v>5.0999999999999996</v>
      </c>
      <c r="C20" s="40">
        <v>19.54</v>
      </c>
      <c r="D20" s="40">
        <v>15.45</v>
      </c>
      <c r="E20" s="40">
        <v>9.67</v>
      </c>
      <c r="F20" s="41">
        <v>7.93</v>
      </c>
      <c r="G20" s="40">
        <v>106.22</v>
      </c>
      <c r="H20" s="40">
        <v>57.73</v>
      </c>
      <c r="I20" s="40">
        <v>14.64</v>
      </c>
      <c r="J20" s="40">
        <v>1.1499999999999999</v>
      </c>
      <c r="K20" s="40">
        <v>264.54000000000002</v>
      </c>
      <c r="L20" s="40">
        <v>34.14</v>
      </c>
      <c r="M20" s="40">
        <v>38.57</v>
      </c>
      <c r="N20" s="40">
        <v>332.8</v>
      </c>
      <c r="O20" s="40">
        <v>0</v>
      </c>
      <c r="P20" s="40">
        <v>1.05</v>
      </c>
      <c r="Q20" s="40">
        <v>28.05</v>
      </c>
      <c r="R20" s="38"/>
      <c r="S20" s="38"/>
      <c r="T20" s="38"/>
      <c r="U20" s="38"/>
    </row>
    <row r="21" spans="1:21" customFormat="1">
      <c r="A21" s="39" t="s">
        <v>553</v>
      </c>
      <c r="B21" s="40">
        <v>4.24</v>
      </c>
      <c r="C21" s="40">
        <v>18.61</v>
      </c>
      <c r="D21" s="40">
        <v>14.47</v>
      </c>
      <c r="E21" s="40">
        <v>9.08</v>
      </c>
      <c r="F21" s="41">
        <v>5.52</v>
      </c>
      <c r="G21" s="40">
        <v>82.3</v>
      </c>
      <c r="H21" s="40">
        <v>36.44</v>
      </c>
      <c r="I21" s="40">
        <v>13.29</v>
      </c>
      <c r="J21" s="40">
        <v>1.21</v>
      </c>
      <c r="K21" s="40">
        <v>270.29000000000002</v>
      </c>
      <c r="L21" s="40">
        <v>35.78</v>
      </c>
      <c r="M21" s="40">
        <v>31.75</v>
      </c>
      <c r="N21" s="40">
        <v>344.9</v>
      </c>
      <c r="O21" s="40">
        <v>0</v>
      </c>
      <c r="P21" s="40">
        <v>0.95</v>
      </c>
      <c r="Q21" s="40">
        <v>28.02</v>
      </c>
      <c r="R21" s="38"/>
      <c r="S21" s="38"/>
      <c r="T21" s="38"/>
      <c r="U21" s="38"/>
    </row>
    <row r="22" spans="1:21" customFormat="1">
      <c r="A22" s="39" t="s">
        <v>554</v>
      </c>
      <c r="B22" s="40">
        <v>3.72</v>
      </c>
      <c r="C22" s="40">
        <v>17.52</v>
      </c>
      <c r="D22" s="40">
        <v>13.49</v>
      </c>
      <c r="E22" s="40">
        <v>8.66</v>
      </c>
      <c r="F22" s="41">
        <v>5.83</v>
      </c>
      <c r="G22" s="40">
        <v>62.24</v>
      </c>
      <c r="H22" s="40">
        <v>24.7</v>
      </c>
      <c r="I22" s="40">
        <v>11.66</v>
      </c>
      <c r="J22" s="40">
        <v>1.06</v>
      </c>
      <c r="K22" s="40">
        <v>267.49</v>
      </c>
      <c r="L22" s="40">
        <v>35.950000000000003</v>
      </c>
      <c r="M22" s="40">
        <v>28.27</v>
      </c>
      <c r="N22" s="40">
        <v>359.9</v>
      </c>
      <c r="O22" s="40">
        <v>0</v>
      </c>
      <c r="P22" s="40">
        <v>0.79</v>
      </c>
      <c r="Q22" s="40">
        <v>28.02</v>
      </c>
      <c r="R22" s="38"/>
      <c r="S22" s="38"/>
      <c r="T22" s="38"/>
      <c r="U22" s="38"/>
    </row>
    <row r="23" spans="1:21" customFormat="1">
      <c r="A23" s="39" t="s">
        <v>555</v>
      </c>
      <c r="B23" s="40">
        <v>3.62</v>
      </c>
      <c r="C23" s="40">
        <v>16.21</v>
      </c>
      <c r="D23" s="40">
        <v>12.71</v>
      </c>
      <c r="E23" s="40">
        <v>9.0399999999999991</v>
      </c>
      <c r="F23" s="41">
        <v>3.8</v>
      </c>
      <c r="G23" s="40">
        <v>53.91</v>
      </c>
      <c r="H23" s="40">
        <v>21.77</v>
      </c>
      <c r="I23" s="40">
        <v>9.92</v>
      </c>
      <c r="J23" s="40">
        <v>0.78</v>
      </c>
      <c r="K23" s="40">
        <v>260.56</v>
      </c>
      <c r="L23" s="40">
        <v>36.03</v>
      </c>
      <c r="M23" s="40">
        <v>30.64</v>
      </c>
      <c r="N23" s="40">
        <v>293.3</v>
      </c>
      <c r="O23" s="40">
        <v>0</v>
      </c>
      <c r="P23" s="40">
        <v>0.6</v>
      </c>
      <c r="Q23" s="40">
        <v>28.02</v>
      </c>
      <c r="R23" s="38"/>
      <c r="S23" s="38"/>
      <c r="T23" s="38"/>
      <c r="U23" s="38"/>
    </row>
    <row r="24" spans="1:21" customFormat="1">
      <c r="A24" s="39" t="s">
        <v>556</v>
      </c>
      <c r="B24" s="40">
        <v>4.05</v>
      </c>
      <c r="C24" s="40">
        <v>16.989999999999998</v>
      </c>
      <c r="D24" s="40">
        <v>13.35</v>
      </c>
      <c r="E24" s="40">
        <v>9.16</v>
      </c>
      <c r="F24" s="41">
        <v>4</v>
      </c>
      <c r="G24" s="40">
        <v>63.94</v>
      </c>
      <c r="H24" s="40">
        <v>21.8</v>
      </c>
      <c r="I24" s="40">
        <v>8.59</v>
      </c>
      <c r="J24" s="40">
        <v>0.8</v>
      </c>
      <c r="K24" s="40">
        <v>285.88</v>
      </c>
      <c r="L24" s="40">
        <v>33.81</v>
      </c>
      <c r="M24" s="40">
        <v>83.62</v>
      </c>
      <c r="N24" s="40">
        <v>55.7</v>
      </c>
      <c r="O24" s="40">
        <v>0.6</v>
      </c>
      <c r="P24" s="40">
        <v>0.56000000000000005</v>
      </c>
      <c r="Q24" s="40">
        <v>28</v>
      </c>
      <c r="R24" s="38"/>
      <c r="S24" s="38"/>
      <c r="T24" s="38"/>
      <c r="U24" s="38"/>
    </row>
    <row r="25" spans="1:21" customFormat="1">
      <c r="A25" s="39" t="s">
        <v>557</v>
      </c>
      <c r="B25" s="40">
        <v>4.29</v>
      </c>
      <c r="C25" s="40">
        <v>18.399999999999999</v>
      </c>
      <c r="D25" s="40">
        <v>14.41</v>
      </c>
      <c r="E25" s="40">
        <v>8.77</v>
      </c>
      <c r="F25" s="41">
        <v>3.91</v>
      </c>
      <c r="G25" s="40">
        <v>71.25</v>
      </c>
      <c r="H25" s="40">
        <v>21.02</v>
      </c>
      <c r="I25" s="27" t="s">
        <v>8</v>
      </c>
      <c r="J25" s="40">
        <v>0.63</v>
      </c>
      <c r="K25" s="40">
        <v>203.22</v>
      </c>
      <c r="L25" s="40">
        <v>26.69</v>
      </c>
      <c r="M25" s="40">
        <v>76.42</v>
      </c>
      <c r="N25" s="40">
        <v>76.7</v>
      </c>
      <c r="O25" s="40">
        <v>0</v>
      </c>
      <c r="P25" s="40">
        <v>0.54</v>
      </c>
      <c r="Q25" s="40">
        <v>28.03</v>
      </c>
      <c r="R25" s="38"/>
      <c r="S25" s="38"/>
      <c r="T25" s="38"/>
      <c r="U25" s="38"/>
    </row>
    <row r="26" spans="1:21" customFormat="1">
      <c r="A26" s="39" t="s">
        <v>558</v>
      </c>
      <c r="B26" s="40">
        <v>4.99</v>
      </c>
      <c r="C26" s="40">
        <v>18.420000000000002</v>
      </c>
      <c r="D26" s="40">
        <v>14.48</v>
      </c>
      <c r="E26" s="40">
        <v>9.2100000000000009</v>
      </c>
      <c r="F26" s="41">
        <v>7.49</v>
      </c>
      <c r="G26" s="40">
        <v>58.3</v>
      </c>
      <c r="H26" s="40">
        <v>17.829999999999998</v>
      </c>
      <c r="I26" s="27" t="s">
        <v>8</v>
      </c>
      <c r="J26" s="40">
        <v>0.34</v>
      </c>
      <c r="K26" s="40">
        <v>208.83</v>
      </c>
      <c r="L26" s="40">
        <v>26.47</v>
      </c>
      <c r="M26" s="40">
        <v>78.36</v>
      </c>
      <c r="N26" s="40">
        <v>50</v>
      </c>
      <c r="O26" s="40">
        <v>0</v>
      </c>
      <c r="P26" s="40">
        <v>0.52</v>
      </c>
      <c r="Q26" s="40">
        <v>28.04</v>
      </c>
      <c r="R26" s="38"/>
      <c r="S26" s="38"/>
      <c r="T26" s="38"/>
      <c r="U26" s="38"/>
    </row>
    <row r="27" spans="1:21" customFormat="1">
      <c r="A27" s="39" t="s">
        <v>559</v>
      </c>
      <c r="B27" s="40">
        <v>5.8</v>
      </c>
      <c r="C27" s="40">
        <v>16.920000000000002</v>
      </c>
      <c r="D27" s="40">
        <v>14.83</v>
      </c>
      <c r="E27" s="40">
        <v>8.19</v>
      </c>
      <c r="F27" s="41">
        <v>5.85</v>
      </c>
      <c r="G27" s="40">
        <v>36.090000000000003</v>
      </c>
      <c r="H27" s="40">
        <v>13.55</v>
      </c>
      <c r="I27" s="27" t="s">
        <v>8</v>
      </c>
      <c r="J27" s="40">
        <v>0.37</v>
      </c>
      <c r="K27" s="40">
        <v>204.85</v>
      </c>
      <c r="L27" s="40">
        <v>26.17</v>
      </c>
      <c r="M27" s="40">
        <v>86.18</v>
      </c>
      <c r="N27" s="40">
        <v>9</v>
      </c>
      <c r="O27" s="40">
        <v>0</v>
      </c>
      <c r="P27" s="40">
        <v>0.51</v>
      </c>
      <c r="Q27" s="40">
        <v>28.09</v>
      </c>
      <c r="R27" s="38"/>
      <c r="S27" s="38"/>
      <c r="T27" s="38"/>
      <c r="U27" s="38"/>
    </row>
    <row r="28" spans="1:21" customFormat="1">
      <c r="A28" s="39" t="s">
        <v>560</v>
      </c>
      <c r="B28" s="40">
        <v>7.24</v>
      </c>
      <c r="C28" s="40">
        <v>17.95</v>
      </c>
      <c r="D28" s="40">
        <v>16.54</v>
      </c>
      <c r="E28" s="40">
        <v>8.74</v>
      </c>
      <c r="F28" s="41">
        <v>4</v>
      </c>
      <c r="G28" s="40">
        <v>40.479999999999997</v>
      </c>
      <c r="H28" s="40">
        <v>22.91</v>
      </c>
      <c r="I28" s="27" t="s">
        <v>8</v>
      </c>
      <c r="J28" s="40">
        <v>0.22</v>
      </c>
      <c r="K28" s="40">
        <v>207.76</v>
      </c>
      <c r="L28" s="40">
        <v>25.82</v>
      </c>
      <c r="M28" s="40">
        <v>89.64</v>
      </c>
      <c r="N28" s="40">
        <v>6.6</v>
      </c>
      <c r="O28" s="40">
        <v>0</v>
      </c>
      <c r="P28" s="40">
        <v>0.54</v>
      </c>
      <c r="Q28" s="40">
        <v>28.13</v>
      </c>
      <c r="R28" s="38"/>
      <c r="S28" s="38"/>
      <c r="T28" s="38"/>
      <c r="U28" s="38"/>
    </row>
    <row r="29" spans="1:21" customFormat="1">
      <c r="A29" s="39" t="s">
        <v>561</v>
      </c>
      <c r="B29" s="40">
        <v>7.97</v>
      </c>
      <c r="C29" s="40">
        <v>18.34</v>
      </c>
      <c r="D29" s="40">
        <v>17.170000000000002</v>
      </c>
      <c r="E29" s="40">
        <v>8.5399999999999991</v>
      </c>
      <c r="F29" s="41">
        <v>2.99</v>
      </c>
      <c r="G29" s="40">
        <v>44.14</v>
      </c>
      <c r="H29" s="40">
        <v>23.12</v>
      </c>
      <c r="I29" s="27" t="s">
        <v>8</v>
      </c>
      <c r="J29" s="40">
        <v>0.26</v>
      </c>
      <c r="K29" s="40">
        <v>247.59</v>
      </c>
      <c r="L29" s="40">
        <v>26.44</v>
      </c>
      <c r="M29" s="40">
        <v>77.2</v>
      </c>
      <c r="N29" s="40">
        <v>6.7</v>
      </c>
      <c r="O29" s="40">
        <v>0</v>
      </c>
      <c r="P29" s="40">
        <v>0.56000000000000005</v>
      </c>
      <c r="Q29" s="40">
        <v>28.17</v>
      </c>
      <c r="R29" s="38"/>
      <c r="S29" s="38"/>
      <c r="T29" s="38"/>
      <c r="U29" s="38"/>
    </row>
    <row r="30" spans="1:21" customFormat="1">
      <c r="A30" s="39" t="s">
        <v>562</v>
      </c>
      <c r="B30" s="40">
        <v>8.15</v>
      </c>
      <c r="C30" s="40">
        <v>17.95</v>
      </c>
      <c r="D30" s="40">
        <v>17.260000000000002</v>
      </c>
      <c r="E30" s="40">
        <v>8.89</v>
      </c>
      <c r="F30" s="41">
        <v>2.93</v>
      </c>
      <c r="G30" s="40">
        <v>39.44</v>
      </c>
      <c r="H30" s="40">
        <v>21.8</v>
      </c>
      <c r="I30" s="27" t="s">
        <v>8</v>
      </c>
      <c r="J30" s="40">
        <v>0.3</v>
      </c>
      <c r="K30" s="40">
        <v>249.77</v>
      </c>
      <c r="L30" s="40">
        <v>25.95</v>
      </c>
      <c r="M30" s="40">
        <v>67.819999999999993</v>
      </c>
      <c r="N30" s="40">
        <v>6.9</v>
      </c>
      <c r="O30" s="40">
        <v>0</v>
      </c>
      <c r="P30" s="40">
        <v>0.56999999999999995</v>
      </c>
      <c r="Q30" s="40">
        <v>28.17</v>
      </c>
      <c r="R30" s="38"/>
      <c r="S30" s="38"/>
      <c r="T30" s="38"/>
      <c r="U30" s="38"/>
    </row>
    <row r="31" spans="1:21" customFormat="1">
      <c r="A31" s="39" t="s">
        <v>563</v>
      </c>
      <c r="B31" s="40">
        <v>8.06</v>
      </c>
      <c r="C31" s="40">
        <v>19.46</v>
      </c>
      <c r="D31" s="40">
        <v>17.670000000000002</v>
      </c>
      <c r="E31" s="40">
        <v>8.6</v>
      </c>
      <c r="F31" s="41">
        <v>2.78</v>
      </c>
      <c r="G31" s="40">
        <v>40.89</v>
      </c>
      <c r="H31" s="40">
        <v>21.86</v>
      </c>
      <c r="I31" s="27" t="s">
        <v>8</v>
      </c>
      <c r="J31" s="40">
        <v>0.3</v>
      </c>
      <c r="K31" s="40">
        <v>240.09</v>
      </c>
      <c r="L31" s="40">
        <v>25.51</v>
      </c>
      <c r="M31" s="40">
        <v>67.08</v>
      </c>
      <c r="N31" s="40">
        <v>6.8</v>
      </c>
      <c r="O31" s="40">
        <v>0</v>
      </c>
      <c r="P31" s="40">
        <v>0.57999999999999996</v>
      </c>
      <c r="Q31" s="40">
        <v>28.17</v>
      </c>
      <c r="R31" s="38"/>
      <c r="S31" s="38"/>
      <c r="T31" s="38"/>
      <c r="U31" s="38"/>
    </row>
    <row r="32" spans="1:21" customFormat="1">
      <c r="A32" s="39" t="s">
        <v>564</v>
      </c>
      <c r="B32" s="40">
        <v>6.17</v>
      </c>
      <c r="C32" s="40">
        <v>19.53</v>
      </c>
      <c r="D32" s="40">
        <v>16.510000000000002</v>
      </c>
      <c r="E32" s="40">
        <v>8.4600000000000009</v>
      </c>
      <c r="F32" s="41">
        <v>2.89</v>
      </c>
      <c r="G32" s="40">
        <v>26.83</v>
      </c>
      <c r="H32" s="40">
        <v>17.63</v>
      </c>
      <c r="I32" s="27" t="s">
        <v>8</v>
      </c>
      <c r="J32" s="40">
        <v>0.18</v>
      </c>
      <c r="K32" s="40">
        <v>227.7</v>
      </c>
      <c r="L32" s="40">
        <v>24.25</v>
      </c>
      <c r="M32" s="40">
        <v>71.02</v>
      </c>
      <c r="N32" s="40">
        <v>6.6</v>
      </c>
      <c r="O32" s="40">
        <v>0</v>
      </c>
      <c r="P32" s="40">
        <v>0.53</v>
      </c>
      <c r="Q32" s="40">
        <v>28.11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3.62</v>
      </c>
      <c r="C34" s="18">
        <f t="shared" si="0"/>
        <v>16.21</v>
      </c>
      <c r="D34" s="18">
        <f t="shared" si="0"/>
        <v>12.71</v>
      </c>
      <c r="E34" s="18">
        <f t="shared" si="0"/>
        <v>8.19</v>
      </c>
      <c r="F34" s="18">
        <f t="shared" si="0"/>
        <v>2.75</v>
      </c>
      <c r="G34" s="18">
        <f t="shared" si="0"/>
        <v>26.83</v>
      </c>
      <c r="H34" s="18">
        <f t="shared" si="0"/>
        <v>13.55</v>
      </c>
      <c r="I34" s="18">
        <f t="shared" si="0"/>
        <v>8.59</v>
      </c>
      <c r="J34" s="18">
        <f t="shared" si="0"/>
        <v>0.17</v>
      </c>
      <c r="K34" s="18">
        <f t="shared" si="0"/>
        <v>43.88</v>
      </c>
      <c r="L34" s="18">
        <f t="shared" si="0"/>
        <v>24.25</v>
      </c>
      <c r="M34" s="18">
        <f t="shared" si="0"/>
        <v>28.27</v>
      </c>
      <c r="N34" s="18">
        <f t="shared" si="0"/>
        <v>6.4</v>
      </c>
      <c r="O34" s="18">
        <f t="shared" si="0"/>
        <v>0</v>
      </c>
      <c r="P34" s="18">
        <f t="shared" si="0"/>
        <v>0.51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9.25</v>
      </c>
      <c r="C35" s="3">
        <f t="shared" si="1"/>
        <v>22.6</v>
      </c>
      <c r="D35" s="3">
        <f t="shared" si="1"/>
        <v>19.41</v>
      </c>
      <c r="E35" s="3">
        <f t="shared" si="1"/>
        <v>12.58</v>
      </c>
      <c r="F35" s="3">
        <f t="shared" si="1"/>
        <v>7.93</v>
      </c>
      <c r="G35" s="3">
        <f t="shared" si="1"/>
        <v>106.22</v>
      </c>
      <c r="H35" s="3">
        <f t="shared" si="1"/>
        <v>57.73</v>
      </c>
      <c r="I35" s="3">
        <f t="shared" si="1"/>
        <v>14.95</v>
      </c>
      <c r="J35" s="3">
        <f t="shared" si="1"/>
        <v>1.21</v>
      </c>
      <c r="K35" s="3">
        <f t="shared" si="1"/>
        <v>349.18</v>
      </c>
      <c r="L35" s="3">
        <f t="shared" si="1"/>
        <v>36.03</v>
      </c>
      <c r="M35" s="3">
        <f t="shared" si="1"/>
        <v>89.64</v>
      </c>
      <c r="N35" s="3">
        <f t="shared" si="1"/>
        <v>359.9</v>
      </c>
      <c r="O35" s="3">
        <f t="shared" si="1"/>
        <v>0.6</v>
      </c>
      <c r="P35" s="3">
        <f t="shared" si="1"/>
        <v>1.1100000000000001</v>
      </c>
      <c r="Q35" s="3">
        <f t="shared" si="1"/>
        <v>28.17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6.3391666666666664</v>
      </c>
      <c r="C36" s="18">
        <f t="shared" si="2"/>
        <v>19.379166666666663</v>
      </c>
      <c r="D36" s="18">
        <f t="shared" si="2"/>
        <v>16.435833333333335</v>
      </c>
      <c r="E36" s="18">
        <f t="shared" si="2"/>
        <v>9.3175000000000008</v>
      </c>
      <c r="F36" s="18">
        <f t="shared" si="2"/>
        <v>3.8762499999999993</v>
      </c>
      <c r="G36" s="18">
        <f t="shared" si="2"/>
        <v>67.497500000000016</v>
      </c>
      <c r="H36" s="18">
        <f t="shared" si="2"/>
        <v>28.820833333333326</v>
      </c>
      <c r="I36" s="18">
        <f t="shared" si="2"/>
        <v>11.446249999999999</v>
      </c>
      <c r="J36" s="18">
        <f t="shared" si="2"/>
        <v>0.59500000000000008</v>
      </c>
      <c r="K36" s="18">
        <f t="shared" si="2"/>
        <v>212.005</v>
      </c>
      <c r="L36" s="18">
        <f t="shared" si="2"/>
        <v>28.777500000000003</v>
      </c>
      <c r="M36" s="18">
        <f t="shared" si="2"/>
        <v>58.392500000000005</v>
      </c>
      <c r="N36" s="18">
        <f t="shared" si="2"/>
        <v>95.541666666666643</v>
      </c>
      <c r="O36" s="18">
        <f t="shared" si="2"/>
        <v>2.4999999999999998E-2</v>
      </c>
      <c r="P36" s="18">
        <f t="shared" si="2"/>
        <v>0.76791666666666647</v>
      </c>
      <c r="Q36" s="18">
        <f t="shared" si="2"/>
        <v>28.097499999999993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1.7141100280920718</v>
      </c>
      <c r="C37" s="18">
        <f t="shared" ref="C37:Q37" si="3">STDEV(C9:C32)</f>
        <v>2.0193346228004456</v>
      </c>
      <c r="D37" s="18">
        <f t="shared" si="3"/>
        <v>1.9116801548618716</v>
      </c>
      <c r="E37" s="18">
        <f t="shared" si="3"/>
        <v>0.99409670599473332</v>
      </c>
      <c r="F37" s="18">
        <f t="shared" si="3"/>
        <v>1.5171449516601345</v>
      </c>
      <c r="G37" s="18">
        <f t="shared" si="3"/>
        <v>21.709815301719647</v>
      </c>
      <c r="H37" s="18">
        <f t="shared" si="3"/>
        <v>11.273826523978197</v>
      </c>
      <c r="I37" s="18">
        <f t="shared" si="3"/>
        <v>1.6123890142683821</v>
      </c>
      <c r="J37" s="18">
        <f t="shared" si="3"/>
        <v>0.34529130738627334</v>
      </c>
      <c r="K37" s="18">
        <f t="shared" si="3"/>
        <v>71.313217812566862</v>
      </c>
      <c r="L37" s="18">
        <f t="shared" si="3"/>
        <v>3.8378200900352368</v>
      </c>
      <c r="M37" s="18">
        <f t="shared" si="3"/>
        <v>17.921471758759086</v>
      </c>
      <c r="N37" s="18">
        <f t="shared" si="3"/>
        <v>128.20170899175176</v>
      </c>
      <c r="O37" s="18">
        <f t="shared" si="3"/>
        <v>0.1224744871391589</v>
      </c>
      <c r="P37" s="18">
        <f t="shared" si="3"/>
        <v>0.20054229016575958</v>
      </c>
      <c r="Q37" s="18">
        <f t="shared" si="3"/>
        <v>5.7728751031459379E-2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>COUNT(I9:I32)+8</f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I39" sqref="I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565</v>
      </c>
      <c r="B9" s="40">
        <v>5.49</v>
      </c>
      <c r="C9" s="40">
        <v>19.59</v>
      </c>
      <c r="D9" s="40">
        <v>15.99</v>
      </c>
      <c r="E9" s="40">
        <v>8.44</v>
      </c>
      <c r="F9" s="41">
        <v>2.97</v>
      </c>
      <c r="G9" s="40">
        <v>21.65</v>
      </c>
      <c r="H9" s="40">
        <v>12.73</v>
      </c>
      <c r="I9" s="27" t="s">
        <v>8</v>
      </c>
      <c r="J9" s="40">
        <v>0.25</v>
      </c>
      <c r="K9" s="40">
        <v>185.23</v>
      </c>
      <c r="L9" s="40">
        <v>23.71</v>
      </c>
      <c r="M9" s="40">
        <v>74.7</v>
      </c>
      <c r="N9" s="40">
        <v>6.7</v>
      </c>
      <c r="O9" s="40">
        <v>0</v>
      </c>
      <c r="P9" s="40">
        <v>0.49</v>
      </c>
      <c r="Q9" s="40">
        <v>28.06</v>
      </c>
      <c r="R9" s="38"/>
      <c r="S9" s="38"/>
      <c r="T9" s="38"/>
      <c r="U9" s="38"/>
    </row>
    <row r="10" spans="1:21" customFormat="1">
      <c r="A10" s="39" t="s">
        <v>566</v>
      </c>
      <c r="B10" s="40">
        <v>5.51</v>
      </c>
      <c r="C10" s="40">
        <v>19.04</v>
      </c>
      <c r="D10" s="40">
        <v>15.7</v>
      </c>
      <c r="E10" s="40">
        <v>8.1999999999999993</v>
      </c>
      <c r="F10" s="41">
        <v>2.85</v>
      </c>
      <c r="G10" s="40">
        <v>20.76</v>
      </c>
      <c r="H10" s="40">
        <v>11.87</v>
      </c>
      <c r="I10" s="27" t="s">
        <v>8</v>
      </c>
      <c r="J10" s="40">
        <v>0.28000000000000003</v>
      </c>
      <c r="K10" s="40">
        <v>234.3</v>
      </c>
      <c r="L10" s="40">
        <v>22.88</v>
      </c>
      <c r="M10" s="40">
        <v>78.34</v>
      </c>
      <c r="N10" s="40">
        <v>6.4</v>
      </c>
      <c r="O10" s="40">
        <v>0</v>
      </c>
      <c r="P10" s="40">
        <v>0.46</v>
      </c>
      <c r="Q10" s="40">
        <v>28.07</v>
      </c>
      <c r="R10" s="38"/>
      <c r="S10" s="38"/>
      <c r="T10" s="38"/>
      <c r="U10" s="38"/>
    </row>
    <row r="11" spans="1:21" customFormat="1">
      <c r="A11" s="39" t="s">
        <v>567</v>
      </c>
      <c r="B11" s="40">
        <v>6.47</v>
      </c>
      <c r="C11" s="40">
        <v>19.41</v>
      </c>
      <c r="D11" s="40">
        <v>16.68</v>
      </c>
      <c r="E11" s="40">
        <v>8.3699999999999992</v>
      </c>
      <c r="F11" s="41">
        <v>2.97</v>
      </c>
      <c r="G11" s="40">
        <v>21.98</v>
      </c>
      <c r="H11" s="40">
        <v>14.36</v>
      </c>
      <c r="I11" s="27" t="s">
        <v>8</v>
      </c>
      <c r="J11" s="40">
        <v>0.46</v>
      </c>
      <c r="K11" s="40">
        <v>330.28</v>
      </c>
      <c r="L11" s="40">
        <v>22.9</v>
      </c>
      <c r="M11" s="40">
        <v>76.989999999999995</v>
      </c>
      <c r="N11" s="40">
        <v>6.4</v>
      </c>
      <c r="O11" s="40">
        <v>0</v>
      </c>
      <c r="P11" s="40">
        <v>0.44</v>
      </c>
      <c r="Q11" s="40">
        <v>28.08</v>
      </c>
      <c r="R11" s="38"/>
      <c r="S11" s="38"/>
      <c r="T11" s="38"/>
      <c r="U11" s="38"/>
    </row>
    <row r="12" spans="1:21" customFormat="1">
      <c r="A12" s="39" t="s">
        <v>568</v>
      </c>
      <c r="B12" s="40">
        <v>8.2200000000000006</v>
      </c>
      <c r="C12" s="40">
        <v>18.64</v>
      </c>
      <c r="D12" s="40">
        <v>17.68</v>
      </c>
      <c r="E12" s="40">
        <v>8.59</v>
      </c>
      <c r="F12" s="41">
        <v>2.99</v>
      </c>
      <c r="G12" s="40">
        <v>22.23</v>
      </c>
      <c r="H12" s="40">
        <v>14.43</v>
      </c>
      <c r="I12" s="27" t="s">
        <v>8</v>
      </c>
      <c r="J12" s="40">
        <v>0.18</v>
      </c>
      <c r="K12" s="40">
        <v>175.44</v>
      </c>
      <c r="L12" s="40">
        <v>22.59</v>
      </c>
      <c r="M12" s="40">
        <v>81.5</v>
      </c>
      <c r="N12" s="40">
        <v>6.7</v>
      </c>
      <c r="O12" s="40">
        <v>0</v>
      </c>
      <c r="P12" s="40">
        <v>0.43</v>
      </c>
      <c r="Q12" s="40">
        <v>28.16</v>
      </c>
      <c r="R12" s="38"/>
      <c r="S12" s="38"/>
      <c r="T12" s="38"/>
      <c r="U12" s="38"/>
    </row>
    <row r="13" spans="1:21" customFormat="1">
      <c r="A13" s="39" t="s">
        <v>569</v>
      </c>
      <c r="B13" s="40">
        <v>9.75</v>
      </c>
      <c r="C13" s="40">
        <v>18.739999999999998</v>
      </c>
      <c r="D13" s="40">
        <v>18.96</v>
      </c>
      <c r="E13" s="40">
        <v>8.76</v>
      </c>
      <c r="F13" s="41">
        <v>2.95</v>
      </c>
      <c r="G13" s="40">
        <v>22.65</v>
      </c>
      <c r="H13" s="40">
        <v>13.35</v>
      </c>
      <c r="I13" s="27" t="s">
        <v>8</v>
      </c>
      <c r="J13" s="40">
        <v>0.37</v>
      </c>
      <c r="K13" s="40">
        <v>140.91</v>
      </c>
      <c r="L13" s="40">
        <v>22.67</v>
      </c>
      <c r="M13" s="40">
        <v>81.010000000000005</v>
      </c>
      <c r="N13" s="40">
        <v>6.3</v>
      </c>
      <c r="O13" s="40">
        <v>0</v>
      </c>
      <c r="P13" s="40">
        <v>0.44</v>
      </c>
      <c r="Q13" s="40">
        <v>28.2</v>
      </c>
      <c r="R13" s="38"/>
      <c r="S13" s="38"/>
      <c r="T13" s="38"/>
      <c r="U13" s="38"/>
    </row>
    <row r="14" spans="1:21" customFormat="1">
      <c r="A14" s="39" t="s">
        <v>570</v>
      </c>
      <c r="B14" s="40">
        <v>11.11</v>
      </c>
      <c r="C14" s="40">
        <v>18.5</v>
      </c>
      <c r="D14" s="40">
        <v>19.93</v>
      </c>
      <c r="E14" s="40">
        <v>8.61</v>
      </c>
      <c r="F14" s="41">
        <v>2.91</v>
      </c>
      <c r="G14" s="40">
        <v>26.95</v>
      </c>
      <c r="H14" s="40">
        <v>13.42</v>
      </c>
      <c r="I14" s="27" t="s">
        <v>8</v>
      </c>
      <c r="J14" s="40">
        <v>0.2</v>
      </c>
      <c r="K14" s="40">
        <v>168.25</v>
      </c>
      <c r="L14" s="40">
        <v>22.63</v>
      </c>
      <c r="M14" s="40">
        <v>80.09</v>
      </c>
      <c r="N14" s="40">
        <v>7.2</v>
      </c>
      <c r="O14" s="40">
        <v>0</v>
      </c>
      <c r="P14" s="40">
        <v>0.43</v>
      </c>
      <c r="Q14" s="40">
        <v>28.26</v>
      </c>
      <c r="R14" s="38"/>
      <c r="S14" s="38"/>
      <c r="T14" s="38"/>
      <c r="U14" s="38"/>
    </row>
    <row r="15" spans="1:21" customFormat="1">
      <c r="A15" s="39" t="s">
        <v>571</v>
      </c>
      <c r="B15" s="40">
        <v>12.71</v>
      </c>
      <c r="C15" s="40">
        <v>18.41</v>
      </c>
      <c r="D15" s="40">
        <v>21.12</v>
      </c>
      <c r="E15" s="40">
        <v>8.6300000000000008</v>
      </c>
      <c r="F15" s="41">
        <v>2.98</v>
      </c>
      <c r="G15" s="40">
        <v>28.36</v>
      </c>
      <c r="H15" s="40">
        <v>13.74</v>
      </c>
      <c r="I15" s="27" t="s">
        <v>8</v>
      </c>
      <c r="J15" s="40">
        <v>0.97</v>
      </c>
      <c r="K15" s="40">
        <v>72.900000000000006</v>
      </c>
      <c r="L15" s="40">
        <v>22.5</v>
      </c>
      <c r="M15" s="40">
        <v>82.61</v>
      </c>
      <c r="N15" s="40">
        <v>57</v>
      </c>
      <c r="O15" s="40">
        <v>0</v>
      </c>
      <c r="P15" s="40">
        <v>0.45</v>
      </c>
      <c r="Q15" s="40">
        <v>28.29</v>
      </c>
      <c r="R15" s="38"/>
      <c r="S15" s="38"/>
      <c r="T15" s="38"/>
      <c r="U15" s="38"/>
    </row>
    <row r="16" spans="1:21" customFormat="1">
      <c r="A16" s="39" t="s">
        <v>572</v>
      </c>
      <c r="B16" s="40">
        <v>13.06</v>
      </c>
      <c r="C16" s="40">
        <v>18.420000000000002</v>
      </c>
      <c r="D16" s="40">
        <v>21.34</v>
      </c>
      <c r="E16" s="40">
        <v>8.64</v>
      </c>
      <c r="F16" s="41">
        <v>2.91</v>
      </c>
      <c r="G16" s="40">
        <v>29.57</v>
      </c>
      <c r="H16" s="40">
        <v>13.98</v>
      </c>
      <c r="I16" s="27" t="s">
        <v>8</v>
      </c>
      <c r="J16" s="40">
        <v>0.71</v>
      </c>
      <c r="K16" s="40">
        <v>100.45</v>
      </c>
      <c r="L16" s="40">
        <v>24.59</v>
      </c>
      <c r="M16" s="40">
        <v>80.59</v>
      </c>
      <c r="N16" s="40">
        <v>149.30000000000001</v>
      </c>
      <c r="O16" s="40">
        <v>0</v>
      </c>
      <c r="P16" s="40">
        <v>0.48</v>
      </c>
      <c r="Q16" s="40">
        <v>28.33</v>
      </c>
      <c r="R16" s="38"/>
      <c r="S16" s="38"/>
      <c r="T16" s="38"/>
      <c r="U16" s="38"/>
    </row>
    <row r="17" spans="1:21" customFormat="1">
      <c r="A17" s="39" t="s">
        <v>573</v>
      </c>
      <c r="B17" s="40">
        <v>12.55</v>
      </c>
      <c r="C17" s="40">
        <v>19.64</v>
      </c>
      <c r="D17" s="40">
        <v>20.9</v>
      </c>
      <c r="E17" s="40">
        <v>8.2799999999999994</v>
      </c>
      <c r="F17" s="41">
        <v>3.09</v>
      </c>
      <c r="G17" s="40">
        <v>30.89</v>
      </c>
      <c r="H17" s="40">
        <v>17.54</v>
      </c>
      <c r="I17" s="27" t="s">
        <v>8</v>
      </c>
      <c r="J17" s="40">
        <v>0.41</v>
      </c>
      <c r="K17" s="40">
        <v>153.94999999999999</v>
      </c>
      <c r="L17" s="40">
        <v>27.69</v>
      </c>
      <c r="M17" s="40">
        <v>68.510000000000005</v>
      </c>
      <c r="N17" s="40">
        <v>357.5</v>
      </c>
      <c r="O17" s="40">
        <v>0</v>
      </c>
      <c r="P17" s="40">
        <v>0.49</v>
      </c>
      <c r="Q17" s="40">
        <v>28.28</v>
      </c>
      <c r="R17" s="38"/>
      <c r="S17" s="38"/>
      <c r="T17" s="38"/>
      <c r="U17" s="38"/>
    </row>
    <row r="18" spans="1:21" customFormat="1">
      <c r="A18" s="39" t="s">
        <v>574</v>
      </c>
      <c r="B18" s="40">
        <v>9.16</v>
      </c>
      <c r="C18" s="40">
        <v>20.68</v>
      </c>
      <c r="D18" s="40">
        <v>19.11</v>
      </c>
      <c r="E18" s="40">
        <v>8.24</v>
      </c>
      <c r="F18" s="41">
        <v>3.13</v>
      </c>
      <c r="G18" s="40">
        <v>31.11</v>
      </c>
      <c r="H18" s="40">
        <v>17.59</v>
      </c>
      <c r="I18" s="27" t="s">
        <v>8</v>
      </c>
      <c r="J18" s="40">
        <v>0.53</v>
      </c>
      <c r="K18" s="40">
        <v>219.36</v>
      </c>
      <c r="L18" s="40">
        <v>29.53</v>
      </c>
      <c r="M18" s="40">
        <v>57.93</v>
      </c>
      <c r="N18" s="40">
        <v>547.6</v>
      </c>
      <c r="O18" s="40">
        <v>0</v>
      </c>
      <c r="P18" s="40">
        <v>0.46</v>
      </c>
      <c r="Q18" s="40">
        <v>28.19</v>
      </c>
      <c r="R18" s="38"/>
      <c r="S18" s="38"/>
      <c r="T18" s="38"/>
      <c r="U18" s="38"/>
    </row>
    <row r="19" spans="1:21" customFormat="1">
      <c r="A19" s="39" t="s">
        <v>575</v>
      </c>
      <c r="B19" s="40">
        <v>6.1</v>
      </c>
      <c r="C19" s="40">
        <v>20.75</v>
      </c>
      <c r="D19" s="40">
        <v>17.079999999999998</v>
      </c>
      <c r="E19" s="40">
        <v>8.0399999999999991</v>
      </c>
      <c r="F19" s="41">
        <v>3.46</v>
      </c>
      <c r="G19" s="40">
        <v>31.12</v>
      </c>
      <c r="H19" s="40">
        <v>13.73</v>
      </c>
      <c r="I19" s="27" t="s">
        <v>8</v>
      </c>
      <c r="J19" s="40">
        <v>0.75</v>
      </c>
      <c r="K19" s="40">
        <v>257.3</v>
      </c>
      <c r="L19" s="40">
        <v>30.83</v>
      </c>
      <c r="M19" s="40">
        <v>50.35</v>
      </c>
      <c r="N19" s="40">
        <v>648</v>
      </c>
      <c r="O19" s="40">
        <v>0</v>
      </c>
      <c r="P19" s="40">
        <v>0.46</v>
      </c>
      <c r="Q19" s="40">
        <v>28.1</v>
      </c>
      <c r="R19" s="38"/>
      <c r="S19" s="38"/>
      <c r="T19" s="38"/>
      <c r="U19" s="38"/>
    </row>
    <row r="20" spans="1:21" customFormat="1">
      <c r="A20" s="39" t="s">
        <v>576</v>
      </c>
      <c r="B20" s="40">
        <v>4.29</v>
      </c>
      <c r="C20" s="40">
        <v>20.36</v>
      </c>
      <c r="D20" s="40">
        <v>15.43</v>
      </c>
      <c r="E20" s="40">
        <v>8.23</v>
      </c>
      <c r="F20" s="41">
        <v>3.55</v>
      </c>
      <c r="G20" s="40">
        <v>31.45</v>
      </c>
      <c r="H20" s="40">
        <v>12.62</v>
      </c>
      <c r="I20" s="27" t="s">
        <v>8</v>
      </c>
      <c r="J20" s="40">
        <v>0.91</v>
      </c>
      <c r="K20" s="40">
        <v>283.97000000000003</v>
      </c>
      <c r="L20" s="40">
        <v>31.92</v>
      </c>
      <c r="M20" s="40">
        <v>45</v>
      </c>
      <c r="N20" s="40">
        <v>779.1</v>
      </c>
      <c r="O20" s="40">
        <v>0</v>
      </c>
      <c r="P20" s="40">
        <v>0.46</v>
      </c>
      <c r="Q20" s="40">
        <v>28.04</v>
      </c>
      <c r="R20" s="38"/>
      <c r="S20" s="38"/>
      <c r="T20" s="38"/>
      <c r="U20" s="38"/>
    </row>
    <row r="21" spans="1:21" customFormat="1">
      <c r="A21" s="39" t="s">
        <v>577</v>
      </c>
      <c r="B21" s="40">
        <v>3.8</v>
      </c>
      <c r="C21" s="40">
        <v>20.100000000000001</v>
      </c>
      <c r="D21" s="40">
        <v>14.81</v>
      </c>
      <c r="E21" s="40">
        <v>8.3000000000000007</v>
      </c>
      <c r="F21" s="41">
        <v>4.66</v>
      </c>
      <c r="G21" s="40">
        <v>34.51</v>
      </c>
      <c r="H21" s="40">
        <v>14.79</v>
      </c>
      <c r="I21" s="27" t="s">
        <v>8</v>
      </c>
      <c r="J21" s="40">
        <v>0.84</v>
      </c>
      <c r="K21" s="40">
        <v>277.3</v>
      </c>
      <c r="L21" s="40">
        <v>32.81</v>
      </c>
      <c r="M21" s="40">
        <v>42.24</v>
      </c>
      <c r="N21" s="40">
        <v>743.4</v>
      </c>
      <c r="O21" s="40">
        <v>0</v>
      </c>
      <c r="P21" s="40">
        <v>0.53</v>
      </c>
      <c r="Q21" s="40">
        <v>28.01</v>
      </c>
      <c r="R21" s="38"/>
      <c r="S21" s="38"/>
      <c r="T21" s="38"/>
      <c r="U21" s="38"/>
    </row>
    <row r="22" spans="1:21" customFormat="1">
      <c r="A22" s="39" t="s">
        <v>578</v>
      </c>
      <c r="B22" s="40">
        <v>3.86</v>
      </c>
      <c r="C22" s="40">
        <v>18.059999999999999</v>
      </c>
      <c r="D22" s="40">
        <v>13.79</v>
      </c>
      <c r="E22" s="40">
        <v>9.17</v>
      </c>
      <c r="F22" s="41">
        <v>10.32</v>
      </c>
      <c r="G22" s="40">
        <v>36.130000000000003</v>
      </c>
      <c r="H22" s="40">
        <v>17.05</v>
      </c>
      <c r="I22" s="27" t="s">
        <v>8</v>
      </c>
      <c r="J22" s="40">
        <v>0.55000000000000004</v>
      </c>
      <c r="K22" s="40">
        <v>287.2</v>
      </c>
      <c r="L22" s="40">
        <v>34.4</v>
      </c>
      <c r="M22" s="40">
        <v>39.24</v>
      </c>
      <c r="N22" s="40">
        <v>671.2</v>
      </c>
      <c r="O22" s="40">
        <v>0</v>
      </c>
      <c r="P22" s="40">
        <v>0.57999999999999996</v>
      </c>
      <c r="Q22" s="40">
        <v>28.03</v>
      </c>
      <c r="R22" s="38"/>
      <c r="S22" s="38"/>
      <c r="T22" s="38"/>
      <c r="U22" s="38"/>
    </row>
    <row r="23" spans="1:21" customFormat="1">
      <c r="A23" s="39" t="s">
        <v>579</v>
      </c>
      <c r="B23" s="40">
        <v>3.9</v>
      </c>
      <c r="C23" s="40">
        <v>14.36</v>
      </c>
      <c r="D23" s="40">
        <v>11.96</v>
      </c>
      <c r="E23" s="40">
        <v>9.14</v>
      </c>
      <c r="F23" s="41">
        <v>12.25</v>
      </c>
      <c r="G23" s="40">
        <v>37.159999999999997</v>
      </c>
      <c r="H23" s="40">
        <v>17.09</v>
      </c>
      <c r="I23" s="27" t="s">
        <v>8</v>
      </c>
      <c r="J23" s="40">
        <v>0.48</v>
      </c>
      <c r="K23" s="40">
        <v>299.83</v>
      </c>
      <c r="L23" s="40">
        <v>35.200000000000003</v>
      </c>
      <c r="M23" s="40">
        <v>35.94</v>
      </c>
      <c r="N23" s="40">
        <v>603.6</v>
      </c>
      <c r="O23" s="40">
        <v>0</v>
      </c>
      <c r="P23" s="40">
        <v>0.66</v>
      </c>
      <c r="Q23" s="40">
        <v>28.01</v>
      </c>
      <c r="R23" s="38"/>
      <c r="S23" s="38"/>
      <c r="T23" s="38"/>
      <c r="U23" s="38"/>
    </row>
    <row r="24" spans="1:21" customFormat="1">
      <c r="A24" s="39" t="s">
        <v>580</v>
      </c>
      <c r="B24" s="40">
        <v>3.95</v>
      </c>
      <c r="C24" s="40">
        <v>14.44</v>
      </c>
      <c r="D24" s="40">
        <v>12.06</v>
      </c>
      <c r="E24" s="40">
        <v>12.79</v>
      </c>
      <c r="F24" s="41">
        <v>12.12</v>
      </c>
      <c r="G24" s="40">
        <v>37.450000000000003</v>
      </c>
      <c r="H24" s="40">
        <v>20.170000000000002</v>
      </c>
      <c r="I24" s="27" t="s">
        <v>8</v>
      </c>
      <c r="J24" s="40">
        <v>0.6</v>
      </c>
      <c r="K24" s="40">
        <v>356.42</v>
      </c>
      <c r="L24" s="40">
        <v>34.5</v>
      </c>
      <c r="M24" s="40">
        <v>32.96</v>
      </c>
      <c r="N24" s="40">
        <v>413.1</v>
      </c>
      <c r="O24" s="40">
        <v>0</v>
      </c>
      <c r="P24" s="40">
        <v>0.69</v>
      </c>
      <c r="Q24" s="40">
        <v>28</v>
      </c>
      <c r="R24" s="38"/>
      <c r="S24" s="38"/>
      <c r="T24" s="38"/>
      <c r="U24" s="38"/>
    </row>
    <row r="25" spans="1:21" customFormat="1">
      <c r="A25" s="39" t="s">
        <v>581</v>
      </c>
      <c r="B25" s="40">
        <v>3.92</v>
      </c>
      <c r="C25" s="40">
        <v>14.79</v>
      </c>
      <c r="D25" s="40">
        <v>12.23</v>
      </c>
      <c r="E25" s="40">
        <v>15.59</v>
      </c>
      <c r="F25" s="41">
        <v>8.24</v>
      </c>
      <c r="G25" s="40">
        <v>43.84</v>
      </c>
      <c r="H25" s="40">
        <v>20.239999999999998</v>
      </c>
      <c r="I25" s="27" t="s">
        <v>8</v>
      </c>
      <c r="J25" s="40">
        <v>0.43</v>
      </c>
      <c r="K25" s="40">
        <v>307</v>
      </c>
      <c r="L25" s="40">
        <v>34.11</v>
      </c>
      <c r="M25" s="40">
        <v>30.54</v>
      </c>
      <c r="N25" s="40">
        <v>150.30000000000001</v>
      </c>
      <c r="O25" s="40">
        <v>0</v>
      </c>
      <c r="P25" s="40">
        <v>0.73</v>
      </c>
      <c r="Q25" s="40">
        <v>28.02</v>
      </c>
      <c r="R25" s="38"/>
      <c r="S25" s="38"/>
      <c r="T25" s="38"/>
      <c r="U25" s="38"/>
    </row>
    <row r="26" spans="1:21" customFormat="1">
      <c r="A26" s="39" t="s">
        <v>582</v>
      </c>
      <c r="B26" s="40">
        <v>3.64</v>
      </c>
      <c r="C26" s="40">
        <v>13.83</v>
      </c>
      <c r="D26" s="40">
        <v>11.49</v>
      </c>
      <c r="E26" s="40">
        <v>14.81</v>
      </c>
      <c r="F26" s="41">
        <v>6.57</v>
      </c>
      <c r="G26" s="40">
        <v>50.66</v>
      </c>
      <c r="H26" s="40">
        <v>18.86</v>
      </c>
      <c r="I26" s="27" t="s">
        <v>8</v>
      </c>
      <c r="J26" s="40">
        <v>0.23</v>
      </c>
      <c r="K26" s="40">
        <v>214.43</v>
      </c>
      <c r="L26" s="40">
        <v>33.14</v>
      </c>
      <c r="M26" s="40">
        <v>37.409999999999997</v>
      </c>
      <c r="N26" s="40">
        <v>62.4</v>
      </c>
      <c r="O26" s="40">
        <v>0</v>
      </c>
      <c r="P26" s="40">
        <v>0.75</v>
      </c>
      <c r="Q26" s="40">
        <v>28.01</v>
      </c>
      <c r="R26" s="38"/>
      <c r="S26" s="38"/>
      <c r="T26" s="38"/>
      <c r="U26" s="38"/>
    </row>
    <row r="27" spans="1:21" customFormat="1">
      <c r="A27" s="39" t="s">
        <v>583</v>
      </c>
      <c r="B27" s="40">
        <v>3.58</v>
      </c>
      <c r="C27" s="40">
        <v>15.52</v>
      </c>
      <c r="D27" s="40">
        <v>12.33</v>
      </c>
      <c r="E27" s="40">
        <v>10.72</v>
      </c>
      <c r="F27" s="41">
        <v>3.22</v>
      </c>
      <c r="G27" s="40">
        <v>56.41</v>
      </c>
      <c r="H27" s="40">
        <v>21.3</v>
      </c>
      <c r="I27" s="27" t="s">
        <v>8</v>
      </c>
      <c r="J27" s="40">
        <v>0.23</v>
      </c>
      <c r="K27" s="40">
        <v>218.41</v>
      </c>
      <c r="L27" s="40">
        <v>30.95</v>
      </c>
      <c r="M27" s="40">
        <v>46.08</v>
      </c>
      <c r="N27" s="40">
        <v>10.1</v>
      </c>
      <c r="O27" s="40">
        <v>0</v>
      </c>
      <c r="P27" s="40">
        <v>0.78</v>
      </c>
      <c r="Q27" s="40">
        <v>28.01</v>
      </c>
      <c r="R27" s="38"/>
      <c r="S27" s="38"/>
      <c r="T27" s="38"/>
      <c r="U27" s="38"/>
    </row>
    <row r="28" spans="1:21" customFormat="1">
      <c r="A28" s="39" t="s">
        <v>584</v>
      </c>
      <c r="B28" s="40">
        <v>5.21</v>
      </c>
      <c r="C28" s="40">
        <v>19.989999999999998</v>
      </c>
      <c r="D28" s="40">
        <v>15.71</v>
      </c>
      <c r="E28" s="40">
        <v>9.77</v>
      </c>
      <c r="F28" s="41">
        <v>3.08</v>
      </c>
      <c r="G28" s="40">
        <v>59</v>
      </c>
      <c r="H28" s="40">
        <v>26.26</v>
      </c>
      <c r="I28" s="27" t="s">
        <v>8</v>
      </c>
      <c r="J28" s="40">
        <v>1.37</v>
      </c>
      <c r="K28" s="40">
        <v>68.11</v>
      </c>
      <c r="L28" s="40">
        <v>30.07</v>
      </c>
      <c r="M28" s="40">
        <v>54.79</v>
      </c>
      <c r="N28" s="40">
        <v>6.8</v>
      </c>
      <c r="O28" s="40">
        <v>0</v>
      </c>
      <c r="P28" s="40">
        <v>0.79</v>
      </c>
      <c r="Q28" s="40">
        <v>28.02</v>
      </c>
      <c r="R28" s="38"/>
      <c r="S28" s="38"/>
      <c r="T28" s="38"/>
      <c r="U28" s="38"/>
    </row>
    <row r="29" spans="1:21" customFormat="1">
      <c r="A29" s="39" t="s">
        <v>585</v>
      </c>
      <c r="B29" s="40">
        <v>3.8</v>
      </c>
      <c r="C29" s="40">
        <v>18.93</v>
      </c>
      <c r="D29" s="40">
        <v>14.29</v>
      </c>
      <c r="E29" s="40">
        <v>9.2799999999999994</v>
      </c>
      <c r="F29" s="41">
        <v>2.89</v>
      </c>
      <c r="G29" s="40">
        <v>59.37</v>
      </c>
      <c r="H29" s="40">
        <v>26.34</v>
      </c>
      <c r="I29" s="27" t="s">
        <v>8</v>
      </c>
      <c r="J29" s="40">
        <v>0.88</v>
      </c>
      <c r="K29" s="40">
        <v>70.03</v>
      </c>
      <c r="L29" s="40">
        <v>29.08</v>
      </c>
      <c r="M29" s="40">
        <v>58.85</v>
      </c>
      <c r="N29" s="40">
        <v>6.5</v>
      </c>
      <c r="O29" s="40">
        <v>0</v>
      </c>
      <c r="P29" s="40">
        <v>0.76</v>
      </c>
      <c r="Q29" s="40">
        <v>28.02</v>
      </c>
      <c r="R29" s="38"/>
      <c r="S29" s="38"/>
      <c r="T29" s="38"/>
      <c r="U29" s="38"/>
    </row>
    <row r="30" spans="1:21" customFormat="1">
      <c r="A30" s="39" t="s">
        <v>586</v>
      </c>
      <c r="B30" s="40">
        <v>4.01</v>
      </c>
      <c r="C30" s="40">
        <v>19.86</v>
      </c>
      <c r="D30" s="40">
        <v>14.94</v>
      </c>
      <c r="E30" s="40">
        <v>9.19</v>
      </c>
      <c r="F30" s="41">
        <v>2.97</v>
      </c>
      <c r="G30" s="40">
        <v>54.37</v>
      </c>
      <c r="H30" s="40">
        <v>22.66</v>
      </c>
      <c r="I30" s="27" t="s">
        <v>8</v>
      </c>
      <c r="J30" s="40">
        <v>0.72</v>
      </c>
      <c r="K30" s="40">
        <v>71.58</v>
      </c>
      <c r="L30" s="40">
        <v>28.09</v>
      </c>
      <c r="M30" s="40">
        <v>62.31</v>
      </c>
      <c r="N30" s="40">
        <v>6.4</v>
      </c>
      <c r="O30" s="40">
        <v>0</v>
      </c>
      <c r="P30" s="40">
        <v>0.74</v>
      </c>
      <c r="Q30" s="40">
        <v>28.03</v>
      </c>
      <c r="R30" s="38"/>
      <c r="S30" s="38"/>
      <c r="T30" s="38"/>
      <c r="U30" s="38"/>
    </row>
    <row r="31" spans="1:21" customFormat="1">
      <c r="A31" s="39" t="s">
        <v>587</v>
      </c>
      <c r="B31" s="40">
        <v>4.18</v>
      </c>
      <c r="C31" s="40">
        <v>20.03</v>
      </c>
      <c r="D31" s="40">
        <v>15.09</v>
      </c>
      <c r="E31" s="40">
        <v>9.27</v>
      </c>
      <c r="F31" s="41">
        <v>2.85</v>
      </c>
      <c r="G31" s="40">
        <v>52.9</v>
      </c>
      <c r="H31" s="40">
        <v>22.4</v>
      </c>
      <c r="I31" s="27" t="s">
        <v>8</v>
      </c>
      <c r="J31" s="40">
        <v>1.17</v>
      </c>
      <c r="K31" s="40">
        <v>71.87</v>
      </c>
      <c r="L31" s="40">
        <v>27.34</v>
      </c>
      <c r="M31" s="40">
        <v>66.11</v>
      </c>
      <c r="N31" s="40">
        <v>6.6</v>
      </c>
      <c r="O31" s="40">
        <v>0</v>
      </c>
      <c r="P31" s="40">
        <v>0.73</v>
      </c>
      <c r="Q31" s="40">
        <v>28.03</v>
      </c>
      <c r="R31" s="38"/>
      <c r="S31" s="38"/>
      <c r="T31" s="38"/>
      <c r="U31" s="38"/>
    </row>
    <row r="32" spans="1:21" customFormat="1">
      <c r="A32" s="39" t="s">
        <v>588</v>
      </c>
      <c r="B32" s="40">
        <v>4.95</v>
      </c>
      <c r="C32" s="40">
        <v>19.57</v>
      </c>
      <c r="D32" s="40">
        <v>15.09</v>
      </c>
      <c r="E32" s="40">
        <v>9.36</v>
      </c>
      <c r="F32" s="41">
        <v>3.12</v>
      </c>
      <c r="G32" s="40">
        <v>48.64</v>
      </c>
      <c r="H32" s="40">
        <v>20.84</v>
      </c>
      <c r="I32" s="27" t="s">
        <v>8</v>
      </c>
      <c r="J32" s="40">
        <v>1</v>
      </c>
      <c r="K32" s="40">
        <v>76.010000000000005</v>
      </c>
      <c r="L32" s="40">
        <v>26.48</v>
      </c>
      <c r="M32" s="40">
        <v>68.28</v>
      </c>
      <c r="N32" s="40">
        <v>6.4</v>
      </c>
      <c r="O32" s="40">
        <v>0</v>
      </c>
      <c r="P32" s="40">
        <v>0.71</v>
      </c>
      <c r="Q32" s="40">
        <v>28.05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3.58</v>
      </c>
      <c r="C34" s="18">
        <f t="shared" si="0"/>
        <v>13.83</v>
      </c>
      <c r="D34" s="18">
        <f t="shared" si="0"/>
        <v>11.49</v>
      </c>
      <c r="E34" s="18">
        <f t="shared" si="0"/>
        <v>8.0399999999999991</v>
      </c>
      <c r="F34" s="18">
        <f t="shared" si="0"/>
        <v>2.85</v>
      </c>
      <c r="G34" s="18">
        <f t="shared" si="0"/>
        <v>20.76</v>
      </c>
      <c r="H34" s="18">
        <f t="shared" si="0"/>
        <v>11.87</v>
      </c>
      <c r="I34" s="18">
        <f t="shared" si="0"/>
        <v>0</v>
      </c>
      <c r="J34" s="18">
        <f t="shared" si="0"/>
        <v>0.18</v>
      </c>
      <c r="K34" s="18">
        <f t="shared" si="0"/>
        <v>68.11</v>
      </c>
      <c r="L34" s="18">
        <f t="shared" si="0"/>
        <v>22.5</v>
      </c>
      <c r="M34" s="18">
        <f t="shared" si="0"/>
        <v>30.54</v>
      </c>
      <c r="N34" s="18">
        <f t="shared" si="0"/>
        <v>6.3</v>
      </c>
      <c r="O34" s="18">
        <f t="shared" si="0"/>
        <v>0</v>
      </c>
      <c r="P34" s="18">
        <f t="shared" si="0"/>
        <v>0.43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13.06</v>
      </c>
      <c r="C35" s="3">
        <f t="shared" si="1"/>
        <v>20.75</v>
      </c>
      <c r="D35" s="3">
        <f t="shared" si="1"/>
        <v>21.34</v>
      </c>
      <c r="E35" s="3">
        <f t="shared" si="1"/>
        <v>15.59</v>
      </c>
      <c r="F35" s="3">
        <f t="shared" si="1"/>
        <v>12.25</v>
      </c>
      <c r="G35" s="3">
        <f t="shared" si="1"/>
        <v>59.37</v>
      </c>
      <c r="H35" s="3">
        <f t="shared" si="1"/>
        <v>26.34</v>
      </c>
      <c r="I35" s="3">
        <f t="shared" si="1"/>
        <v>0</v>
      </c>
      <c r="J35" s="3">
        <f t="shared" si="1"/>
        <v>1.37</v>
      </c>
      <c r="K35" s="3">
        <f t="shared" si="1"/>
        <v>356.42</v>
      </c>
      <c r="L35" s="3">
        <f t="shared" si="1"/>
        <v>35.200000000000003</v>
      </c>
      <c r="M35" s="3">
        <f t="shared" si="1"/>
        <v>82.61</v>
      </c>
      <c r="N35" s="3">
        <f t="shared" si="1"/>
        <v>779.1</v>
      </c>
      <c r="O35" s="3">
        <f t="shared" si="1"/>
        <v>0</v>
      </c>
      <c r="P35" s="3">
        <f t="shared" si="1"/>
        <v>0.79</v>
      </c>
      <c r="Q35" s="3">
        <f t="shared" si="1"/>
        <v>28.33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6.3841666666666663</v>
      </c>
      <c r="C36" s="18">
        <f t="shared" si="2"/>
        <v>18.4025</v>
      </c>
      <c r="D36" s="18">
        <f t="shared" si="2"/>
        <v>15.987916666666665</v>
      </c>
      <c r="E36" s="18">
        <f t="shared" si="2"/>
        <v>9.5175000000000001</v>
      </c>
      <c r="F36" s="18">
        <f t="shared" si="2"/>
        <v>4.5437499999999993</v>
      </c>
      <c r="G36" s="18">
        <f t="shared" si="2"/>
        <v>37.048333333333325</v>
      </c>
      <c r="H36" s="18">
        <f t="shared" si="2"/>
        <v>17.389999999999997</v>
      </c>
      <c r="I36" s="18" t="e">
        <f t="shared" si="2"/>
        <v>#DIV/0!</v>
      </c>
      <c r="J36" s="18">
        <f t="shared" si="2"/>
        <v>0.60500000000000009</v>
      </c>
      <c r="K36" s="18">
        <f t="shared" si="2"/>
        <v>193.35541666666666</v>
      </c>
      <c r="L36" s="18">
        <f t="shared" si="2"/>
        <v>28.358750000000011</v>
      </c>
      <c r="M36" s="18">
        <f t="shared" si="2"/>
        <v>59.682083333333317</v>
      </c>
      <c r="N36" s="18">
        <f t="shared" si="2"/>
        <v>219.37500000000003</v>
      </c>
      <c r="O36" s="18">
        <f t="shared" si="2"/>
        <v>0</v>
      </c>
      <c r="P36" s="18">
        <f t="shared" si="2"/>
        <v>0.58083333333333342</v>
      </c>
      <c r="Q36" s="18">
        <f t="shared" si="2"/>
        <v>28.095833333333328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3.2342970698796205</v>
      </c>
      <c r="C37" s="18">
        <f t="shared" ref="C37:Q37" si="3">STDEV(C9:C32)</f>
        <v>2.1398501572895587</v>
      </c>
      <c r="D37" s="18">
        <f t="shared" si="3"/>
        <v>3.0176048365011909</v>
      </c>
      <c r="E37" s="18">
        <f t="shared" si="3"/>
        <v>2.0230524719709528</v>
      </c>
      <c r="F37" s="18">
        <f t="shared" si="3"/>
        <v>3.0127898561617781</v>
      </c>
      <c r="G37" s="18">
        <f t="shared" si="3"/>
        <v>12.86888011298262</v>
      </c>
      <c r="H37" s="18">
        <f t="shared" si="3"/>
        <v>4.3097109758836707</v>
      </c>
      <c r="I37" s="18" t="e">
        <f t="shared" si="3"/>
        <v>#DIV/0!</v>
      </c>
      <c r="J37" s="18">
        <f t="shared" si="3"/>
        <v>0.3290037663323469</v>
      </c>
      <c r="K37" s="18">
        <f t="shared" si="3"/>
        <v>94.15142382627306</v>
      </c>
      <c r="L37" s="18">
        <f t="shared" si="3"/>
        <v>4.4750013966477677</v>
      </c>
      <c r="M37" s="18">
        <f t="shared" si="3"/>
        <v>17.747070298127198</v>
      </c>
      <c r="N37" s="18">
        <f t="shared" si="3"/>
        <v>286.6829459904078</v>
      </c>
      <c r="O37" s="18">
        <f t="shared" si="3"/>
        <v>0</v>
      </c>
      <c r="P37" s="18">
        <f t="shared" si="3"/>
        <v>0.1381214546400524</v>
      </c>
      <c r="Q37" s="18">
        <f t="shared" si="3"/>
        <v>0.10500172531363725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>COUNT(I9:I32)+24</f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22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589</v>
      </c>
      <c r="B9" s="40">
        <v>5.97</v>
      </c>
      <c r="C9" s="40">
        <v>18.68</v>
      </c>
      <c r="D9" s="40">
        <v>15.69</v>
      </c>
      <c r="E9" s="40">
        <v>9.49</v>
      </c>
      <c r="F9" s="27" t="s">
        <v>8</v>
      </c>
      <c r="G9" s="40">
        <v>45.61</v>
      </c>
      <c r="H9" s="40">
        <v>17.72</v>
      </c>
      <c r="I9" s="27" t="s">
        <v>8</v>
      </c>
      <c r="J9" s="40">
        <v>0.93</v>
      </c>
      <c r="K9" s="40">
        <v>69.209999999999994</v>
      </c>
      <c r="L9" s="40">
        <v>25.82</v>
      </c>
      <c r="M9" s="40">
        <v>69.28</v>
      </c>
      <c r="N9" s="40">
        <v>6.4</v>
      </c>
      <c r="O9" s="40">
        <v>0</v>
      </c>
      <c r="P9" s="40">
        <v>0.69</v>
      </c>
      <c r="Q9" s="40">
        <v>28.08</v>
      </c>
      <c r="R9" s="38"/>
      <c r="S9" s="38"/>
      <c r="T9" s="38"/>
      <c r="U9" s="38"/>
    </row>
    <row r="10" spans="1:21" customFormat="1">
      <c r="A10" s="39" t="s">
        <v>590</v>
      </c>
      <c r="B10" s="40">
        <v>6.3</v>
      </c>
      <c r="C10" s="40">
        <v>18.41</v>
      </c>
      <c r="D10" s="40">
        <v>16.02</v>
      </c>
      <c r="E10" s="40">
        <v>9.3699999999999992</v>
      </c>
      <c r="F10" s="27" t="s">
        <v>8</v>
      </c>
      <c r="G10" s="40">
        <v>44.37</v>
      </c>
      <c r="H10" s="40">
        <v>21.36</v>
      </c>
      <c r="I10" s="27" t="s">
        <v>8</v>
      </c>
      <c r="J10" s="40">
        <v>0.96</v>
      </c>
      <c r="K10" s="40">
        <v>76.150000000000006</v>
      </c>
      <c r="L10" s="40">
        <v>25.76</v>
      </c>
      <c r="M10" s="40">
        <v>69.73</v>
      </c>
      <c r="N10" s="40">
        <v>6.7</v>
      </c>
      <c r="O10" s="40">
        <v>0</v>
      </c>
      <c r="P10" s="40">
        <v>0.68</v>
      </c>
      <c r="Q10" s="40">
        <v>28.1</v>
      </c>
      <c r="R10" s="38"/>
      <c r="S10" s="38"/>
      <c r="T10" s="38"/>
      <c r="U10" s="38"/>
    </row>
    <row r="11" spans="1:21" customFormat="1">
      <c r="A11" s="39" t="s">
        <v>591</v>
      </c>
      <c r="B11" s="40">
        <v>6.7</v>
      </c>
      <c r="C11" s="40">
        <v>17.829999999999998</v>
      </c>
      <c r="D11" s="40">
        <v>16.04</v>
      </c>
      <c r="E11" s="40">
        <v>8.82</v>
      </c>
      <c r="F11" s="27" t="s">
        <v>8</v>
      </c>
      <c r="G11" s="40">
        <v>44.45</v>
      </c>
      <c r="H11" s="40">
        <v>21.48</v>
      </c>
      <c r="I11" s="27" t="s">
        <v>8</v>
      </c>
      <c r="J11" s="40">
        <v>1.03</v>
      </c>
      <c r="K11" s="40">
        <v>71.7</v>
      </c>
      <c r="L11" s="40">
        <v>25.19</v>
      </c>
      <c r="M11" s="40">
        <v>71.92</v>
      </c>
      <c r="N11" s="40">
        <v>6.7</v>
      </c>
      <c r="O11" s="40">
        <v>0</v>
      </c>
      <c r="P11" s="40">
        <v>0.68</v>
      </c>
      <c r="Q11" s="40">
        <v>28.11</v>
      </c>
      <c r="R11" s="38"/>
      <c r="S11" s="38"/>
      <c r="T11" s="38"/>
      <c r="U11" s="38"/>
    </row>
    <row r="12" spans="1:21" customFormat="1">
      <c r="A12" s="39" t="s">
        <v>592</v>
      </c>
      <c r="B12" s="40">
        <v>6.93</v>
      </c>
      <c r="C12" s="40">
        <v>18.07</v>
      </c>
      <c r="D12" s="40">
        <v>16.309999999999999</v>
      </c>
      <c r="E12" s="40">
        <v>8.9499999999999993</v>
      </c>
      <c r="F12" s="27" t="s">
        <v>8</v>
      </c>
      <c r="G12" s="40">
        <v>41.38</v>
      </c>
      <c r="H12" s="40">
        <v>19.93</v>
      </c>
      <c r="I12" s="27" t="s">
        <v>8</v>
      </c>
      <c r="J12" s="40">
        <v>0.77</v>
      </c>
      <c r="K12" s="40">
        <v>119.09</v>
      </c>
      <c r="L12" s="40">
        <v>24.9</v>
      </c>
      <c r="M12" s="40">
        <v>75.680000000000007</v>
      </c>
      <c r="N12" s="40">
        <v>6.9</v>
      </c>
      <c r="O12" s="40">
        <v>0</v>
      </c>
      <c r="P12" s="40">
        <v>0.67</v>
      </c>
      <c r="Q12" s="40">
        <v>28.11</v>
      </c>
      <c r="R12" s="38"/>
      <c r="S12" s="38"/>
      <c r="T12" s="38"/>
      <c r="U12" s="38"/>
    </row>
    <row r="13" spans="1:21" customFormat="1">
      <c r="A13" s="39" t="s">
        <v>593</v>
      </c>
      <c r="B13" s="40">
        <v>6.71</v>
      </c>
      <c r="C13" s="40">
        <v>18.34</v>
      </c>
      <c r="D13" s="40">
        <v>16.170000000000002</v>
      </c>
      <c r="E13" s="40">
        <v>8.56</v>
      </c>
      <c r="F13" s="27" t="s">
        <v>8</v>
      </c>
      <c r="G13" s="40">
        <v>37.840000000000003</v>
      </c>
      <c r="H13" s="40">
        <v>20.100000000000001</v>
      </c>
      <c r="I13" s="27" t="s">
        <v>8</v>
      </c>
      <c r="J13" s="40">
        <v>0.48</v>
      </c>
      <c r="K13" s="40">
        <v>138.26</v>
      </c>
      <c r="L13" s="40">
        <v>24.3</v>
      </c>
      <c r="M13" s="40">
        <v>79.91</v>
      </c>
      <c r="N13" s="40">
        <v>6.5</v>
      </c>
      <c r="O13" s="40">
        <v>0</v>
      </c>
      <c r="P13" s="40">
        <v>0.67</v>
      </c>
      <c r="Q13" s="40">
        <v>28.11</v>
      </c>
      <c r="R13" s="38"/>
      <c r="S13" s="38"/>
      <c r="T13" s="38"/>
      <c r="U13" s="38"/>
    </row>
    <row r="14" spans="1:21" customFormat="1">
      <c r="A14" s="39" t="s">
        <v>594</v>
      </c>
      <c r="B14" s="40">
        <v>7.36</v>
      </c>
      <c r="C14" s="40">
        <v>18.7</v>
      </c>
      <c r="D14" s="40">
        <v>17.03</v>
      </c>
      <c r="E14" s="40">
        <v>8.26</v>
      </c>
      <c r="F14" s="27" t="s">
        <v>8</v>
      </c>
      <c r="G14" s="40">
        <v>31.92</v>
      </c>
      <c r="H14" s="40">
        <v>16.48</v>
      </c>
      <c r="I14" s="27" t="s">
        <v>8</v>
      </c>
      <c r="J14" s="40">
        <v>0.74</v>
      </c>
      <c r="K14" s="40">
        <v>74.97</v>
      </c>
      <c r="L14" s="40">
        <v>23.74</v>
      </c>
      <c r="M14" s="40">
        <v>81.97</v>
      </c>
      <c r="N14" s="40">
        <v>7.4</v>
      </c>
      <c r="O14" s="40">
        <v>0</v>
      </c>
      <c r="P14" s="40">
        <v>0.63</v>
      </c>
      <c r="Q14" s="40">
        <v>28.14</v>
      </c>
      <c r="R14" s="38"/>
      <c r="S14" s="38"/>
      <c r="T14" s="38"/>
      <c r="U14" s="38"/>
    </row>
    <row r="15" spans="1:21" customFormat="1">
      <c r="A15" s="39" t="s">
        <v>595</v>
      </c>
      <c r="B15" s="40">
        <v>8.68</v>
      </c>
      <c r="C15" s="40">
        <v>18.98</v>
      </c>
      <c r="D15" s="40">
        <v>18.23</v>
      </c>
      <c r="E15" s="40">
        <v>8.5</v>
      </c>
      <c r="F15" s="27" t="s">
        <v>8</v>
      </c>
      <c r="G15" s="40">
        <v>31.52</v>
      </c>
      <c r="H15" s="40">
        <v>17.82</v>
      </c>
      <c r="I15" s="27" t="s">
        <v>8</v>
      </c>
      <c r="J15" s="40">
        <v>0.78</v>
      </c>
      <c r="K15" s="40">
        <v>75.91</v>
      </c>
      <c r="L15" s="40">
        <v>23.55</v>
      </c>
      <c r="M15" s="40">
        <v>81.8</v>
      </c>
      <c r="N15" s="40">
        <v>65.400000000000006</v>
      </c>
      <c r="O15" s="40">
        <v>0</v>
      </c>
      <c r="P15" s="40">
        <v>0.61</v>
      </c>
      <c r="Q15" s="40">
        <v>28.17</v>
      </c>
      <c r="R15" s="38"/>
      <c r="S15" s="38"/>
      <c r="T15" s="38"/>
      <c r="U15" s="38"/>
    </row>
    <row r="16" spans="1:21" customFormat="1">
      <c r="A16" s="39" t="s">
        <v>596</v>
      </c>
      <c r="B16" s="40">
        <v>9.25</v>
      </c>
      <c r="C16" s="40">
        <v>20.81</v>
      </c>
      <c r="D16" s="40">
        <v>19.64</v>
      </c>
      <c r="E16" s="40">
        <v>8.74</v>
      </c>
      <c r="F16" s="27" t="s">
        <v>8</v>
      </c>
      <c r="G16" s="40">
        <v>32.18</v>
      </c>
      <c r="H16" s="40">
        <v>17.920000000000002</v>
      </c>
      <c r="I16" s="27" t="s">
        <v>8</v>
      </c>
      <c r="J16" s="40">
        <v>0.95</v>
      </c>
      <c r="K16" s="40">
        <v>198.29</v>
      </c>
      <c r="L16" s="40">
        <v>24.21</v>
      </c>
      <c r="M16" s="40">
        <v>79.2</v>
      </c>
      <c r="N16" s="40">
        <v>76.099999999999994</v>
      </c>
      <c r="O16" s="40">
        <v>0</v>
      </c>
      <c r="P16" s="40">
        <v>0.63</v>
      </c>
      <c r="Q16" s="40">
        <v>28.18</v>
      </c>
      <c r="R16" s="38"/>
      <c r="S16" s="38"/>
      <c r="T16" s="38"/>
      <c r="U16" s="38"/>
    </row>
    <row r="17" spans="1:21" customFormat="1">
      <c r="A17" s="39" t="s">
        <v>597</v>
      </c>
      <c r="B17" s="40">
        <v>10.3</v>
      </c>
      <c r="C17" s="40">
        <v>19.89</v>
      </c>
      <c r="D17" s="40">
        <v>19.649999999999999</v>
      </c>
      <c r="E17" s="40">
        <v>8.15</v>
      </c>
      <c r="F17" s="27" t="s">
        <v>8</v>
      </c>
      <c r="G17" s="40">
        <v>32.54</v>
      </c>
      <c r="H17" s="40">
        <v>15.65</v>
      </c>
      <c r="I17" s="27" t="s">
        <v>8</v>
      </c>
      <c r="J17" s="40">
        <v>1.1399999999999999</v>
      </c>
      <c r="K17" s="40">
        <v>72.28</v>
      </c>
      <c r="L17" s="40">
        <v>24.8</v>
      </c>
      <c r="M17" s="40">
        <v>74.27</v>
      </c>
      <c r="N17" s="40">
        <v>96.5</v>
      </c>
      <c r="O17" s="40">
        <v>0</v>
      </c>
      <c r="P17" s="40">
        <v>0.62</v>
      </c>
      <c r="Q17" s="40">
        <v>28.21</v>
      </c>
      <c r="R17" s="38"/>
      <c r="S17" s="38"/>
      <c r="T17" s="38"/>
      <c r="U17" s="38"/>
    </row>
    <row r="18" spans="1:21" customFormat="1">
      <c r="A18" s="39" t="s">
        <v>598</v>
      </c>
      <c r="B18" s="40">
        <v>11.09</v>
      </c>
      <c r="C18" s="40">
        <v>17.920000000000002</v>
      </c>
      <c r="D18" s="40">
        <v>19.329999999999998</v>
      </c>
      <c r="E18" s="40">
        <v>8.42</v>
      </c>
      <c r="F18" s="27" t="s">
        <v>8</v>
      </c>
      <c r="G18" s="40">
        <v>34.61</v>
      </c>
      <c r="H18" s="40">
        <v>17.28</v>
      </c>
      <c r="I18" s="27" t="s">
        <v>8</v>
      </c>
      <c r="J18" s="40">
        <v>0.64</v>
      </c>
      <c r="K18" s="40">
        <v>185.18</v>
      </c>
      <c r="L18" s="40">
        <v>26.7</v>
      </c>
      <c r="M18" s="40">
        <v>70.75</v>
      </c>
      <c r="N18" s="40">
        <v>251.3</v>
      </c>
      <c r="O18" s="40">
        <v>0</v>
      </c>
      <c r="P18" s="40">
        <v>0.6</v>
      </c>
      <c r="Q18" s="40">
        <v>28.26</v>
      </c>
      <c r="R18" s="38"/>
      <c r="S18" s="38"/>
      <c r="T18" s="38"/>
      <c r="U18" s="38"/>
    </row>
    <row r="19" spans="1:21" customFormat="1">
      <c r="A19" s="39" t="s">
        <v>599</v>
      </c>
      <c r="B19" s="40">
        <v>11.16</v>
      </c>
      <c r="C19" s="40">
        <v>17.62</v>
      </c>
      <c r="D19" s="40">
        <v>19.46</v>
      </c>
      <c r="E19" s="40">
        <v>8.84</v>
      </c>
      <c r="F19" s="27" t="s">
        <v>8</v>
      </c>
      <c r="G19" s="40">
        <v>36.18</v>
      </c>
      <c r="H19" s="40">
        <v>17.309999999999999</v>
      </c>
      <c r="I19" s="27" t="s">
        <v>8</v>
      </c>
      <c r="J19" s="40">
        <v>0.53</v>
      </c>
      <c r="K19" s="40">
        <v>202.12</v>
      </c>
      <c r="L19" s="40">
        <v>28.99</v>
      </c>
      <c r="M19" s="40">
        <v>63.64</v>
      </c>
      <c r="N19" s="40">
        <v>400.2</v>
      </c>
      <c r="O19" s="40">
        <v>0</v>
      </c>
      <c r="P19" s="40">
        <v>0.61</v>
      </c>
      <c r="Q19" s="40">
        <v>28.24</v>
      </c>
      <c r="R19" s="38"/>
      <c r="S19" s="38"/>
      <c r="T19" s="38"/>
      <c r="U19" s="38"/>
    </row>
    <row r="20" spans="1:21" customFormat="1">
      <c r="A20" s="39" t="s">
        <v>600</v>
      </c>
      <c r="B20" s="40">
        <v>10.26</v>
      </c>
      <c r="C20" s="40">
        <v>18.41</v>
      </c>
      <c r="D20" s="40">
        <v>18.78</v>
      </c>
      <c r="E20" s="40">
        <v>9.9700000000000006</v>
      </c>
      <c r="F20" s="27" t="s">
        <v>8</v>
      </c>
      <c r="G20" s="40">
        <v>37.17</v>
      </c>
      <c r="H20" s="40">
        <v>18.43</v>
      </c>
      <c r="I20" s="27" t="s">
        <v>8</v>
      </c>
      <c r="J20" s="40">
        <v>0.64</v>
      </c>
      <c r="K20" s="40">
        <v>343.17</v>
      </c>
      <c r="L20" s="40">
        <v>32.5</v>
      </c>
      <c r="M20" s="40">
        <v>52.13</v>
      </c>
      <c r="N20" s="40">
        <v>687.9</v>
      </c>
      <c r="O20" s="40">
        <v>0</v>
      </c>
      <c r="P20" s="40">
        <v>0.61</v>
      </c>
      <c r="Q20" s="40">
        <v>28.2</v>
      </c>
      <c r="R20" s="38"/>
      <c r="S20" s="38"/>
      <c r="T20" s="38"/>
      <c r="U20" s="38"/>
    </row>
    <row r="21" spans="1:21" customFormat="1">
      <c r="A21" s="39" t="s">
        <v>601</v>
      </c>
      <c r="B21" s="40">
        <v>7.76</v>
      </c>
      <c r="C21" s="40">
        <v>16.07</v>
      </c>
      <c r="D21" s="40">
        <v>15.97</v>
      </c>
      <c r="E21" s="40">
        <v>11.03</v>
      </c>
      <c r="F21" s="27" t="s">
        <v>8</v>
      </c>
      <c r="G21" s="40">
        <v>44.95</v>
      </c>
      <c r="H21" s="40">
        <v>21.51</v>
      </c>
      <c r="I21" s="27" t="s">
        <v>8</v>
      </c>
      <c r="J21" s="40">
        <v>0.8</v>
      </c>
      <c r="K21" s="40">
        <v>320.45</v>
      </c>
      <c r="L21" s="40">
        <v>33.17</v>
      </c>
      <c r="M21" s="40">
        <v>43.5</v>
      </c>
      <c r="N21" s="40">
        <v>693.8</v>
      </c>
      <c r="O21" s="40">
        <v>0</v>
      </c>
      <c r="P21" s="40">
        <v>0.62</v>
      </c>
      <c r="Q21" s="40">
        <v>28.13</v>
      </c>
      <c r="R21" s="38"/>
      <c r="S21" s="38"/>
      <c r="T21" s="38"/>
      <c r="U21" s="38"/>
    </row>
    <row r="22" spans="1:21" customFormat="1">
      <c r="A22" s="39" t="s">
        <v>602</v>
      </c>
      <c r="B22" s="40">
        <v>5.34</v>
      </c>
      <c r="C22" s="40">
        <v>16.45</v>
      </c>
      <c r="D22" s="40">
        <v>13.58</v>
      </c>
      <c r="E22" s="40">
        <v>10.74</v>
      </c>
      <c r="F22" s="27" t="s">
        <v>8</v>
      </c>
      <c r="G22" s="40">
        <v>50.09</v>
      </c>
      <c r="H22" s="40">
        <v>22.61</v>
      </c>
      <c r="I22" s="27" t="s">
        <v>8</v>
      </c>
      <c r="J22" s="40">
        <v>0.83</v>
      </c>
      <c r="K22" s="40">
        <v>342.57</v>
      </c>
      <c r="L22" s="40">
        <v>34.47</v>
      </c>
      <c r="M22" s="40">
        <v>41.57</v>
      </c>
      <c r="N22" s="40">
        <v>563.20000000000005</v>
      </c>
      <c r="O22" s="40">
        <v>0</v>
      </c>
      <c r="P22" s="40">
        <v>0.62</v>
      </c>
      <c r="Q22" s="40">
        <v>28.04</v>
      </c>
      <c r="R22" s="38"/>
      <c r="S22" s="38"/>
      <c r="T22" s="38"/>
      <c r="U22" s="38"/>
    </row>
    <row r="23" spans="1:21" customFormat="1">
      <c r="A23" s="39" t="s">
        <v>603</v>
      </c>
      <c r="B23" s="40">
        <v>4.3</v>
      </c>
      <c r="C23" s="40">
        <v>17.73</v>
      </c>
      <c r="D23" s="40">
        <v>14.06</v>
      </c>
      <c r="E23" s="40">
        <v>9.64</v>
      </c>
      <c r="F23" s="27" t="s">
        <v>8</v>
      </c>
      <c r="G23" s="40">
        <v>51.02</v>
      </c>
      <c r="H23" s="40">
        <v>22.63</v>
      </c>
      <c r="I23" s="27" t="s">
        <v>8</v>
      </c>
      <c r="J23" s="40">
        <v>0.86</v>
      </c>
      <c r="K23" s="40">
        <v>342.93</v>
      </c>
      <c r="L23" s="40">
        <v>35.24</v>
      </c>
      <c r="M23" s="40">
        <v>37.270000000000003</v>
      </c>
      <c r="N23" s="40">
        <v>578.79999999999995</v>
      </c>
      <c r="O23" s="40">
        <v>0</v>
      </c>
      <c r="P23" s="40">
        <v>0.64</v>
      </c>
      <c r="Q23" s="40">
        <v>28.01</v>
      </c>
      <c r="R23" s="38"/>
      <c r="S23" s="38"/>
      <c r="T23" s="38"/>
      <c r="U23" s="38"/>
    </row>
    <row r="24" spans="1:21" customFormat="1">
      <c r="A24" s="39" t="s">
        <v>604</v>
      </c>
      <c r="B24" s="40">
        <v>4.46</v>
      </c>
      <c r="C24" s="40">
        <v>18.63</v>
      </c>
      <c r="D24" s="40">
        <v>14.66</v>
      </c>
      <c r="E24" s="40">
        <v>10.57</v>
      </c>
      <c r="F24" s="27" t="s">
        <v>8</v>
      </c>
      <c r="G24" s="40">
        <v>48.25</v>
      </c>
      <c r="H24" s="40">
        <v>20.22</v>
      </c>
      <c r="I24" s="27" t="s">
        <v>8</v>
      </c>
      <c r="J24" s="40">
        <v>1.1000000000000001</v>
      </c>
      <c r="K24" s="40">
        <v>58.79</v>
      </c>
      <c r="L24" s="40">
        <v>34.25</v>
      </c>
      <c r="M24" s="40">
        <v>27.86</v>
      </c>
      <c r="N24" s="40">
        <v>255</v>
      </c>
      <c r="O24" s="40">
        <v>0</v>
      </c>
      <c r="P24" s="40">
        <v>0.62</v>
      </c>
      <c r="Q24" s="40">
        <v>28.02</v>
      </c>
      <c r="R24" s="38"/>
      <c r="S24" s="38"/>
      <c r="T24" s="38"/>
      <c r="U24" s="38"/>
    </row>
    <row r="25" spans="1:21" customFormat="1">
      <c r="A25" s="39" t="s">
        <v>605</v>
      </c>
      <c r="B25" s="40">
        <v>4.8099999999999996</v>
      </c>
      <c r="C25" s="40">
        <v>20.21</v>
      </c>
      <c r="D25" s="40">
        <v>15.77</v>
      </c>
      <c r="E25" s="40">
        <v>12.46</v>
      </c>
      <c r="F25" s="27" t="s">
        <v>8</v>
      </c>
      <c r="G25" s="40">
        <v>48.6</v>
      </c>
      <c r="H25" s="40">
        <v>20.22</v>
      </c>
      <c r="I25" s="27" t="s">
        <v>8</v>
      </c>
      <c r="J25" s="40">
        <v>1.1499999999999999</v>
      </c>
      <c r="K25" s="40">
        <v>60.1</v>
      </c>
      <c r="L25" s="40">
        <v>33.69</v>
      </c>
      <c r="M25" s="40">
        <v>25.6</v>
      </c>
      <c r="N25" s="40">
        <v>127.9</v>
      </c>
      <c r="O25" s="40">
        <v>0</v>
      </c>
      <c r="P25" s="40">
        <v>0.62</v>
      </c>
      <c r="Q25" s="40">
        <v>28.02</v>
      </c>
      <c r="R25" s="38"/>
      <c r="S25" s="38"/>
      <c r="T25" s="38"/>
      <c r="U25" s="38"/>
    </row>
    <row r="26" spans="1:21" customFormat="1">
      <c r="A26" s="39" t="s">
        <v>606</v>
      </c>
      <c r="B26" s="40">
        <v>4.66</v>
      </c>
      <c r="C26" s="40">
        <v>20.36</v>
      </c>
      <c r="D26" s="40">
        <v>15.72</v>
      </c>
      <c r="E26" s="40">
        <v>12.94</v>
      </c>
      <c r="F26" s="27" t="s">
        <v>8</v>
      </c>
      <c r="G26" s="40">
        <v>43.11</v>
      </c>
      <c r="H26" s="40">
        <v>19.059999999999999</v>
      </c>
      <c r="I26" s="27" t="s">
        <v>8</v>
      </c>
      <c r="J26" s="40">
        <v>0.57999999999999996</v>
      </c>
      <c r="K26" s="40">
        <v>182.58</v>
      </c>
      <c r="L26" s="40">
        <v>33.479999999999997</v>
      </c>
      <c r="M26" s="40">
        <v>33.450000000000003</v>
      </c>
      <c r="N26" s="40">
        <v>68.400000000000006</v>
      </c>
      <c r="O26" s="40">
        <v>0</v>
      </c>
      <c r="P26" s="40">
        <v>0.62</v>
      </c>
      <c r="Q26" s="40">
        <v>28.03</v>
      </c>
      <c r="R26" s="38"/>
      <c r="S26" s="38"/>
      <c r="T26" s="38"/>
      <c r="U26" s="38"/>
    </row>
    <row r="27" spans="1:21" customFormat="1">
      <c r="A27" s="39" t="s">
        <v>607</v>
      </c>
      <c r="B27" s="40">
        <v>4.6500000000000004</v>
      </c>
      <c r="C27" s="40">
        <v>18.2</v>
      </c>
      <c r="D27" s="40">
        <v>14.31</v>
      </c>
      <c r="E27" s="40">
        <v>13.19</v>
      </c>
      <c r="F27" s="27" t="s">
        <v>8</v>
      </c>
      <c r="G27" s="40">
        <v>44.26</v>
      </c>
      <c r="H27" s="40">
        <v>18.239999999999998</v>
      </c>
      <c r="I27" s="27" t="s">
        <v>8</v>
      </c>
      <c r="J27" s="40">
        <v>0.24</v>
      </c>
      <c r="K27" s="40">
        <v>177.36</v>
      </c>
      <c r="L27" s="40">
        <v>30.45</v>
      </c>
      <c r="M27" s="40">
        <v>38.6</v>
      </c>
      <c r="N27" s="40">
        <v>9.6999999999999993</v>
      </c>
      <c r="O27" s="40">
        <v>0</v>
      </c>
      <c r="P27" s="40">
        <v>0.62</v>
      </c>
      <c r="Q27" s="40">
        <v>28.04</v>
      </c>
      <c r="R27" s="38"/>
      <c r="S27" s="38"/>
      <c r="T27" s="38"/>
      <c r="U27" s="38"/>
    </row>
    <row r="28" spans="1:21" customFormat="1">
      <c r="A28" s="39" t="s">
        <v>608</v>
      </c>
      <c r="B28" s="40">
        <v>5.75</v>
      </c>
      <c r="C28" s="40">
        <v>18.149999999999999</v>
      </c>
      <c r="D28" s="40">
        <v>15.42</v>
      </c>
      <c r="E28" s="40">
        <v>11.36</v>
      </c>
      <c r="F28" s="27" t="s">
        <v>8</v>
      </c>
      <c r="G28" s="40">
        <v>50.48</v>
      </c>
      <c r="H28" s="40">
        <v>20.8</v>
      </c>
      <c r="I28" s="27" t="s">
        <v>8</v>
      </c>
      <c r="J28" s="40">
        <v>0.21</v>
      </c>
      <c r="K28" s="40">
        <v>201.1</v>
      </c>
      <c r="L28" s="40">
        <v>28.12</v>
      </c>
      <c r="M28" s="40">
        <v>47.08</v>
      </c>
      <c r="N28" s="40">
        <v>6.7</v>
      </c>
      <c r="O28" s="40">
        <v>0</v>
      </c>
      <c r="P28" s="40">
        <v>0.64</v>
      </c>
      <c r="Q28" s="40">
        <v>28.07</v>
      </c>
      <c r="R28" s="38"/>
      <c r="S28" s="38"/>
      <c r="T28" s="38"/>
      <c r="U28" s="38"/>
    </row>
    <row r="29" spans="1:21" customFormat="1">
      <c r="A29" s="39" t="s">
        <v>609</v>
      </c>
      <c r="B29" s="40">
        <v>7.09</v>
      </c>
      <c r="C29" s="40">
        <v>18.41</v>
      </c>
      <c r="D29" s="40">
        <v>16.649999999999999</v>
      </c>
      <c r="E29" s="40">
        <v>9.75</v>
      </c>
      <c r="F29" s="27" t="s">
        <v>8</v>
      </c>
      <c r="G29" s="40">
        <v>60.29</v>
      </c>
      <c r="H29" s="40">
        <v>21.84</v>
      </c>
      <c r="I29" s="27" t="s">
        <v>8</v>
      </c>
      <c r="J29" s="40">
        <v>0.15</v>
      </c>
      <c r="K29" s="40">
        <v>207.22</v>
      </c>
      <c r="L29" s="40">
        <v>26.8</v>
      </c>
      <c r="M29" s="40">
        <v>54.82</v>
      </c>
      <c r="N29" s="40">
        <v>6.3</v>
      </c>
      <c r="O29" s="40">
        <v>0</v>
      </c>
      <c r="P29" s="40">
        <v>0.68</v>
      </c>
      <c r="Q29" s="40">
        <v>28.1</v>
      </c>
      <c r="R29" s="38"/>
      <c r="S29" s="38"/>
      <c r="T29" s="38"/>
      <c r="U29" s="38"/>
    </row>
    <row r="30" spans="1:21" customFormat="1">
      <c r="A30" s="39" t="s">
        <v>610</v>
      </c>
      <c r="B30" s="40">
        <v>9.8000000000000007</v>
      </c>
      <c r="C30" s="40">
        <v>21.24</v>
      </c>
      <c r="D30" s="40">
        <v>20.309999999999999</v>
      </c>
      <c r="E30" s="40">
        <v>10.19</v>
      </c>
      <c r="F30" s="27" t="s">
        <v>8</v>
      </c>
      <c r="G30" s="40">
        <v>64.150000000000006</v>
      </c>
      <c r="H30" s="40">
        <v>29.08</v>
      </c>
      <c r="I30" s="27" t="s">
        <v>8</v>
      </c>
      <c r="J30" s="40">
        <v>0.55000000000000004</v>
      </c>
      <c r="K30" s="40">
        <v>173.55</v>
      </c>
      <c r="L30" s="40">
        <v>26.9</v>
      </c>
      <c r="M30" s="40">
        <v>61.7</v>
      </c>
      <c r="N30" s="40">
        <v>6.6</v>
      </c>
      <c r="O30" s="40">
        <v>0</v>
      </c>
      <c r="P30" s="40">
        <v>0.74</v>
      </c>
      <c r="Q30" s="40">
        <v>28.19</v>
      </c>
      <c r="R30" s="38"/>
      <c r="S30" s="38"/>
      <c r="T30" s="38"/>
      <c r="U30" s="38"/>
    </row>
    <row r="31" spans="1:21" customFormat="1">
      <c r="A31" s="39" t="s">
        <v>611</v>
      </c>
      <c r="B31" s="40">
        <v>9.86</v>
      </c>
      <c r="C31" s="40">
        <v>19.47</v>
      </c>
      <c r="D31" s="40">
        <v>19.39</v>
      </c>
      <c r="E31" s="40">
        <v>9.98</v>
      </c>
      <c r="F31" s="27" t="s">
        <v>8</v>
      </c>
      <c r="G31" s="40">
        <v>66.2</v>
      </c>
      <c r="H31" s="40">
        <v>29.19</v>
      </c>
      <c r="I31" s="27" t="s">
        <v>8</v>
      </c>
      <c r="J31" s="40">
        <v>0.17</v>
      </c>
      <c r="K31" s="40">
        <v>224.13</v>
      </c>
      <c r="L31" s="40">
        <v>25.94</v>
      </c>
      <c r="M31" s="40">
        <v>66.650000000000006</v>
      </c>
      <c r="N31" s="40">
        <v>6.4</v>
      </c>
      <c r="O31" s="40">
        <v>0</v>
      </c>
      <c r="P31" s="40">
        <v>0.75</v>
      </c>
      <c r="Q31" s="40">
        <v>28.21</v>
      </c>
      <c r="R31" s="38"/>
      <c r="S31" s="38"/>
      <c r="T31" s="38"/>
      <c r="U31" s="38"/>
    </row>
    <row r="32" spans="1:21" customFormat="1">
      <c r="A32" s="39" t="s">
        <v>612</v>
      </c>
      <c r="B32" s="40">
        <v>13.99</v>
      </c>
      <c r="C32" s="40">
        <v>22.13</v>
      </c>
      <c r="D32" s="40">
        <v>24.13</v>
      </c>
      <c r="E32" s="40">
        <v>9.89</v>
      </c>
      <c r="F32" s="27" t="s">
        <v>8</v>
      </c>
      <c r="G32" s="40">
        <v>66.819999999999993</v>
      </c>
      <c r="H32" s="40">
        <v>27.65</v>
      </c>
      <c r="I32" s="27" t="s">
        <v>8</v>
      </c>
      <c r="J32" s="40">
        <v>0.55000000000000004</v>
      </c>
      <c r="K32" s="40">
        <v>53.37</v>
      </c>
      <c r="L32" s="40">
        <v>26.24</v>
      </c>
      <c r="M32" s="40">
        <v>65</v>
      </c>
      <c r="N32" s="40">
        <v>6.3</v>
      </c>
      <c r="O32" s="40">
        <v>0</v>
      </c>
      <c r="P32" s="40">
        <v>0.79</v>
      </c>
      <c r="Q32" s="40">
        <v>28.25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4.3</v>
      </c>
      <c r="C34" s="18">
        <f t="shared" si="0"/>
        <v>16.07</v>
      </c>
      <c r="D34" s="18">
        <f t="shared" si="0"/>
        <v>13.58</v>
      </c>
      <c r="E34" s="18">
        <f t="shared" si="0"/>
        <v>8.15</v>
      </c>
      <c r="F34" s="18">
        <f t="shared" si="0"/>
        <v>0</v>
      </c>
      <c r="G34" s="18">
        <f t="shared" si="0"/>
        <v>31.52</v>
      </c>
      <c r="H34" s="18">
        <f t="shared" si="0"/>
        <v>15.65</v>
      </c>
      <c r="I34" s="18">
        <f t="shared" si="0"/>
        <v>0</v>
      </c>
      <c r="J34" s="18">
        <f t="shared" si="0"/>
        <v>0.15</v>
      </c>
      <c r="K34" s="18">
        <f t="shared" si="0"/>
        <v>53.37</v>
      </c>
      <c r="L34" s="18">
        <f t="shared" si="0"/>
        <v>23.55</v>
      </c>
      <c r="M34" s="18">
        <f t="shared" si="0"/>
        <v>25.6</v>
      </c>
      <c r="N34" s="18">
        <f t="shared" si="0"/>
        <v>6.3</v>
      </c>
      <c r="O34" s="18">
        <f t="shared" si="0"/>
        <v>0</v>
      </c>
      <c r="P34" s="18">
        <f t="shared" si="0"/>
        <v>0.6</v>
      </c>
      <c r="Q34" s="18">
        <f t="shared" si="0"/>
        <v>28.01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13.99</v>
      </c>
      <c r="C35" s="3">
        <f t="shared" si="1"/>
        <v>22.13</v>
      </c>
      <c r="D35" s="3">
        <f t="shared" si="1"/>
        <v>24.13</v>
      </c>
      <c r="E35" s="3">
        <f t="shared" si="1"/>
        <v>13.19</v>
      </c>
      <c r="F35" s="3">
        <f t="shared" si="1"/>
        <v>0</v>
      </c>
      <c r="G35" s="3">
        <f t="shared" si="1"/>
        <v>66.819999999999993</v>
      </c>
      <c r="H35" s="3">
        <f t="shared" si="1"/>
        <v>29.19</v>
      </c>
      <c r="I35" s="3">
        <f t="shared" si="1"/>
        <v>0</v>
      </c>
      <c r="J35" s="3">
        <f t="shared" si="1"/>
        <v>1.1499999999999999</v>
      </c>
      <c r="K35" s="3">
        <f t="shared" si="1"/>
        <v>343.17</v>
      </c>
      <c r="L35" s="3">
        <f t="shared" si="1"/>
        <v>35.24</v>
      </c>
      <c r="M35" s="3">
        <f t="shared" si="1"/>
        <v>81.97</v>
      </c>
      <c r="N35" s="3">
        <f t="shared" si="1"/>
        <v>693.8</v>
      </c>
      <c r="O35" s="3">
        <f t="shared" si="1"/>
        <v>0</v>
      </c>
      <c r="P35" s="3">
        <f t="shared" si="1"/>
        <v>0.79</v>
      </c>
      <c r="Q35" s="3">
        <f t="shared" si="1"/>
        <v>28.26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7.6325000000000029</v>
      </c>
      <c r="C36" s="18">
        <f t="shared" si="2"/>
        <v>18.779583333333335</v>
      </c>
      <c r="D36" s="18">
        <f t="shared" si="2"/>
        <v>17.180000000000003</v>
      </c>
      <c r="E36" s="18">
        <f t="shared" si="2"/>
        <v>9.9087499999999995</v>
      </c>
      <c r="F36" s="18" t="e">
        <f t="shared" si="2"/>
        <v>#DIV/0!</v>
      </c>
      <c r="G36" s="18">
        <f t="shared" si="2"/>
        <v>45.332916666666669</v>
      </c>
      <c r="H36" s="18">
        <f t="shared" si="2"/>
        <v>20.605416666666667</v>
      </c>
      <c r="I36" s="18" t="e">
        <f t="shared" si="2"/>
        <v>#DIV/0!</v>
      </c>
      <c r="J36" s="18">
        <f t="shared" si="2"/>
        <v>0.69916666666666683</v>
      </c>
      <c r="K36" s="18">
        <f t="shared" si="2"/>
        <v>165.43666666666664</v>
      </c>
      <c r="L36" s="18">
        <f t="shared" si="2"/>
        <v>28.300416666666667</v>
      </c>
      <c r="M36" s="18">
        <f t="shared" si="2"/>
        <v>58.890833333333326</v>
      </c>
      <c r="N36" s="18">
        <f t="shared" si="2"/>
        <v>164.46250000000001</v>
      </c>
      <c r="O36" s="18">
        <f t="shared" si="2"/>
        <v>0</v>
      </c>
      <c r="P36" s="18">
        <f t="shared" si="2"/>
        <v>0.65249999999999986</v>
      </c>
      <c r="Q36" s="18">
        <f t="shared" si="2"/>
        <v>28.125833333333336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2.596097824243806</v>
      </c>
      <c r="C37" s="18">
        <f t="shared" ref="C37:Q37" si="3">STDEV(C9:C32)</f>
        <v>1.4207820233839581</v>
      </c>
      <c r="D37" s="18">
        <f t="shared" si="3"/>
        <v>2.4806047649716287</v>
      </c>
      <c r="E37" s="18">
        <f t="shared" si="3"/>
        <v>1.4454014411529283</v>
      </c>
      <c r="F37" s="18" t="e">
        <f t="shared" si="3"/>
        <v>#DIV/0!</v>
      </c>
      <c r="G37" s="18">
        <f t="shared" si="3"/>
        <v>10.689528187077265</v>
      </c>
      <c r="H37" s="18">
        <f t="shared" si="3"/>
        <v>3.6563547767719573</v>
      </c>
      <c r="I37" s="18" t="e">
        <f t="shared" si="3"/>
        <v>#DIV/0!</v>
      </c>
      <c r="J37" s="18">
        <f t="shared" si="3"/>
        <v>0.30161761952146776</v>
      </c>
      <c r="K37" s="18">
        <f t="shared" si="3"/>
        <v>97.152544850943087</v>
      </c>
      <c r="L37" s="18">
        <f t="shared" si="3"/>
        <v>3.9714135903727317</v>
      </c>
      <c r="M37" s="18">
        <f t="shared" si="3"/>
        <v>17.973659692828921</v>
      </c>
      <c r="N37" s="18">
        <f t="shared" si="3"/>
        <v>236.5468200966271</v>
      </c>
      <c r="O37" s="18">
        <f t="shared" si="3"/>
        <v>0</v>
      </c>
      <c r="P37" s="18">
        <f t="shared" si="3"/>
        <v>4.9891185942835731E-2</v>
      </c>
      <c r="Q37" s="18">
        <f t="shared" si="3"/>
        <v>7.8680237100208009E-2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>COUNT(I9:I32)+24</f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I39" sqref="I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613</v>
      </c>
      <c r="B9" s="40">
        <v>12.87</v>
      </c>
      <c r="C9" s="40">
        <v>22.11</v>
      </c>
      <c r="D9" s="40">
        <v>23.1</v>
      </c>
      <c r="E9" s="40">
        <v>9.51</v>
      </c>
      <c r="F9" s="27" t="s">
        <v>8</v>
      </c>
      <c r="G9" s="40">
        <v>67.94</v>
      </c>
      <c r="H9" s="40">
        <v>24.51</v>
      </c>
      <c r="I9" s="27" t="s">
        <v>8</v>
      </c>
      <c r="J9" s="40">
        <v>1.1599999999999999</v>
      </c>
      <c r="K9" s="40">
        <v>74.28</v>
      </c>
      <c r="L9" s="40">
        <v>25.99</v>
      </c>
      <c r="M9" s="40">
        <v>61.97</v>
      </c>
      <c r="N9" s="40">
        <v>6.5</v>
      </c>
      <c r="O9" s="40">
        <v>0</v>
      </c>
      <c r="P9" s="40">
        <v>0.79</v>
      </c>
      <c r="Q9" s="40">
        <v>28.31</v>
      </c>
      <c r="R9" s="38"/>
      <c r="S9" s="38"/>
      <c r="T9" s="38"/>
      <c r="U9" s="38"/>
    </row>
    <row r="10" spans="1:21" customFormat="1">
      <c r="A10" s="39" t="s">
        <v>614</v>
      </c>
      <c r="B10" s="40">
        <v>11.87</v>
      </c>
      <c r="C10" s="40">
        <v>21.93</v>
      </c>
      <c r="D10" s="40">
        <v>22.32</v>
      </c>
      <c r="E10" s="40">
        <v>9.3699999999999992</v>
      </c>
      <c r="F10" s="27" t="s">
        <v>8</v>
      </c>
      <c r="G10" s="40">
        <v>68.459999999999994</v>
      </c>
      <c r="H10" s="40">
        <v>23.27</v>
      </c>
      <c r="I10" s="27" t="s">
        <v>8</v>
      </c>
      <c r="J10" s="40">
        <v>0.76</v>
      </c>
      <c r="K10" s="40">
        <v>75.73</v>
      </c>
      <c r="L10" s="40">
        <v>25.54</v>
      </c>
      <c r="M10" s="40">
        <v>68.94</v>
      </c>
      <c r="N10" s="40">
        <v>6.3</v>
      </c>
      <c r="O10" s="40">
        <v>0</v>
      </c>
      <c r="P10" s="40">
        <v>0.76</v>
      </c>
      <c r="Q10" s="40">
        <v>28.29</v>
      </c>
      <c r="R10" s="38"/>
      <c r="S10" s="38"/>
      <c r="T10" s="38"/>
      <c r="U10" s="38"/>
    </row>
    <row r="11" spans="1:21" customFormat="1">
      <c r="A11" s="39" t="s">
        <v>615</v>
      </c>
      <c r="B11" s="40">
        <v>9.36</v>
      </c>
      <c r="C11" s="40">
        <v>21.58</v>
      </c>
      <c r="D11" s="40">
        <v>20.13</v>
      </c>
      <c r="E11" s="40">
        <v>8.08</v>
      </c>
      <c r="F11" s="27" t="s">
        <v>8</v>
      </c>
      <c r="G11" s="40">
        <v>64.11</v>
      </c>
      <c r="H11" s="40">
        <v>22.83</v>
      </c>
      <c r="I11" s="27" t="s">
        <v>8</v>
      </c>
      <c r="J11" s="40">
        <v>0.76</v>
      </c>
      <c r="K11" s="40">
        <v>111.15</v>
      </c>
      <c r="L11" s="40">
        <v>24.98</v>
      </c>
      <c r="M11" s="40">
        <v>74.47</v>
      </c>
      <c r="N11" s="40">
        <v>6.4</v>
      </c>
      <c r="O11" s="40">
        <v>0</v>
      </c>
      <c r="P11" s="40">
        <v>0.74</v>
      </c>
      <c r="Q11" s="40">
        <v>28.2</v>
      </c>
      <c r="R11" s="38"/>
      <c r="S11" s="38"/>
      <c r="T11" s="38"/>
      <c r="U11" s="38"/>
    </row>
    <row r="12" spans="1:21" customFormat="1">
      <c r="A12" s="39" t="s">
        <v>616</v>
      </c>
      <c r="B12" s="40">
        <v>7.77</v>
      </c>
      <c r="C12" s="40">
        <v>21.05</v>
      </c>
      <c r="D12" s="40">
        <v>18.579999999999998</v>
      </c>
      <c r="E12" s="40">
        <v>7.91</v>
      </c>
      <c r="F12" s="27" t="s">
        <v>8</v>
      </c>
      <c r="G12" s="40">
        <v>55.44</v>
      </c>
      <c r="H12" s="40">
        <v>22.4</v>
      </c>
      <c r="I12" s="27" t="s">
        <v>8</v>
      </c>
      <c r="J12" s="40">
        <v>0.66</v>
      </c>
      <c r="K12" s="40">
        <v>73.63</v>
      </c>
      <c r="L12" s="40">
        <v>24.24</v>
      </c>
      <c r="M12" s="40">
        <v>77.239999999999995</v>
      </c>
      <c r="N12" s="40">
        <v>6.4</v>
      </c>
      <c r="O12" s="40">
        <v>0</v>
      </c>
      <c r="P12" s="40">
        <v>0.7</v>
      </c>
      <c r="Q12" s="40">
        <v>28.15</v>
      </c>
      <c r="R12" s="38"/>
      <c r="S12" s="38"/>
      <c r="T12" s="38"/>
      <c r="U12" s="38"/>
    </row>
    <row r="13" spans="1:21" customFormat="1">
      <c r="A13" s="39" t="s">
        <v>617</v>
      </c>
      <c r="B13" s="40">
        <v>8.98</v>
      </c>
      <c r="C13" s="40">
        <v>21.16</v>
      </c>
      <c r="D13" s="40">
        <v>19.23</v>
      </c>
      <c r="E13" s="40">
        <v>8.15</v>
      </c>
      <c r="F13" s="27" t="s">
        <v>8</v>
      </c>
      <c r="G13" s="40">
        <v>43.78</v>
      </c>
      <c r="H13" s="40">
        <v>20.92</v>
      </c>
      <c r="I13" s="27" t="s">
        <v>8</v>
      </c>
      <c r="J13" s="40">
        <v>0.42</v>
      </c>
      <c r="K13" s="40">
        <v>159.02000000000001</v>
      </c>
      <c r="L13" s="40">
        <v>23.53</v>
      </c>
      <c r="M13" s="40">
        <v>80.91</v>
      </c>
      <c r="N13" s="40">
        <v>6.4</v>
      </c>
      <c r="O13" s="40">
        <v>0</v>
      </c>
      <c r="P13" s="40">
        <v>0.67</v>
      </c>
      <c r="Q13" s="40">
        <v>28.18</v>
      </c>
      <c r="R13" s="38"/>
      <c r="S13" s="38"/>
      <c r="T13" s="38"/>
      <c r="U13" s="38"/>
    </row>
    <row r="14" spans="1:21" customFormat="1">
      <c r="A14" s="39" t="s">
        <v>618</v>
      </c>
      <c r="B14" s="40">
        <v>11.04</v>
      </c>
      <c r="C14" s="40">
        <v>19.46</v>
      </c>
      <c r="D14" s="40">
        <v>20.059999999999999</v>
      </c>
      <c r="E14" s="40">
        <v>8.66</v>
      </c>
      <c r="F14" s="27" t="s">
        <v>8</v>
      </c>
      <c r="G14" s="40">
        <v>36.76</v>
      </c>
      <c r="H14" s="40">
        <v>18.899999999999999</v>
      </c>
      <c r="I14" s="27" t="s">
        <v>8</v>
      </c>
      <c r="J14" s="40">
        <v>0.95</v>
      </c>
      <c r="K14" s="40">
        <v>170.63</v>
      </c>
      <c r="L14" s="40">
        <v>22.9</v>
      </c>
      <c r="M14" s="40">
        <v>81.28</v>
      </c>
      <c r="N14" s="40">
        <v>7.6</v>
      </c>
      <c r="O14" s="40">
        <v>0</v>
      </c>
      <c r="P14" s="40">
        <v>0.67</v>
      </c>
      <c r="Q14" s="40">
        <v>28.25</v>
      </c>
      <c r="R14" s="38"/>
      <c r="S14" s="38"/>
      <c r="T14" s="38"/>
      <c r="U14" s="38"/>
    </row>
    <row r="15" spans="1:21" customFormat="1">
      <c r="A15" s="39" t="s">
        <v>619</v>
      </c>
      <c r="B15" s="40">
        <v>13.64</v>
      </c>
      <c r="C15" s="40">
        <v>19.170000000000002</v>
      </c>
      <c r="D15" s="40">
        <v>22.3</v>
      </c>
      <c r="E15" s="40">
        <v>8.65</v>
      </c>
      <c r="F15" s="27" t="s">
        <v>8</v>
      </c>
      <c r="G15" s="40">
        <v>40.22</v>
      </c>
      <c r="H15" s="40">
        <v>18.920000000000002</v>
      </c>
      <c r="I15" s="27" t="s">
        <v>8</v>
      </c>
      <c r="J15" s="40">
        <v>1.35</v>
      </c>
      <c r="K15" s="40">
        <v>59.92</v>
      </c>
      <c r="L15" s="40">
        <v>22.9</v>
      </c>
      <c r="M15" s="40">
        <v>79.22</v>
      </c>
      <c r="N15" s="40">
        <v>48</v>
      </c>
      <c r="O15" s="40">
        <v>0</v>
      </c>
      <c r="P15" s="40">
        <v>0.69</v>
      </c>
      <c r="Q15" s="40">
        <v>28.33</v>
      </c>
      <c r="R15" s="38"/>
      <c r="S15" s="38"/>
      <c r="T15" s="38"/>
      <c r="U15" s="38"/>
    </row>
    <row r="16" spans="1:21" customFormat="1">
      <c r="A16" s="39" t="s">
        <v>620</v>
      </c>
      <c r="B16" s="40">
        <v>14.99</v>
      </c>
      <c r="C16" s="40">
        <v>18.87</v>
      </c>
      <c r="D16" s="40">
        <v>23.01</v>
      </c>
      <c r="E16" s="40">
        <v>8.59</v>
      </c>
      <c r="F16" s="27" t="s">
        <v>8</v>
      </c>
      <c r="G16" s="40">
        <v>46.35</v>
      </c>
      <c r="H16" s="40">
        <v>18.809999999999999</v>
      </c>
      <c r="I16" s="27" t="s">
        <v>8</v>
      </c>
      <c r="J16" s="40">
        <v>1.41</v>
      </c>
      <c r="K16" s="40">
        <v>59.23</v>
      </c>
      <c r="L16" s="40">
        <v>24.34</v>
      </c>
      <c r="M16" s="40">
        <v>75.02</v>
      </c>
      <c r="N16" s="40">
        <v>121.9</v>
      </c>
      <c r="O16" s="40">
        <v>0</v>
      </c>
      <c r="P16" s="40">
        <v>0.7</v>
      </c>
      <c r="Q16" s="40">
        <v>28.38</v>
      </c>
      <c r="R16" s="38"/>
      <c r="S16" s="38"/>
      <c r="T16" s="38"/>
      <c r="U16" s="38"/>
    </row>
    <row r="17" spans="1:21" customFormat="1">
      <c r="A17" s="39" t="s">
        <v>621</v>
      </c>
      <c r="B17" s="40">
        <v>15.53</v>
      </c>
      <c r="C17" s="40">
        <v>18.02</v>
      </c>
      <c r="D17" s="40">
        <v>23.09</v>
      </c>
      <c r="E17" s="40">
        <v>8.64</v>
      </c>
      <c r="F17" s="27" t="s">
        <v>8</v>
      </c>
      <c r="G17" s="40">
        <v>52</v>
      </c>
      <c r="H17" s="40">
        <v>20.68</v>
      </c>
      <c r="I17" s="27" t="s">
        <v>8</v>
      </c>
      <c r="J17" s="40">
        <v>1.1399999999999999</v>
      </c>
      <c r="K17" s="40">
        <v>57.54</v>
      </c>
      <c r="L17" s="40">
        <v>27.24</v>
      </c>
      <c r="M17" s="40">
        <v>67.849999999999994</v>
      </c>
      <c r="N17" s="40">
        <v>331</v>
      </c>
      <c r="O17" s="40">
        <v>0</v>
      </c>
      <c r="P17" s="40">
        <v>0.72</v>
      </c>
      <c r="Q17" s="40">
        <v>28.39</v>
      </c>
      <c r="R17" s="38"/>
      <c r="S17" s="38"/>
      <c r="T17" s="38"/>
      <c r="U17" s="38"/>
    </row>
    <row r="18" spans="1:21" customFormat="1">
      <c r="A18" s="39" t="s">
        <v>622</v>
      </c>
      <c r="B18" s="40">
        <v>14.6</v>
      </c>
      <c r="C18" s="40">
        <v>20.92</v>
      </c>
      <c r="D18" s="40">
        <v>22.27</v>
      </c>
      <c r="E18" s="40">
        <v>8.0399999999999991</v>
      </c>
      <c r="F18" s="27" t="s">
        <v>8</v>
      </c>
      <c r="G18" s="40">
        <v>53.41</v>
      </c>
      <c r="H18" s="40">
        <v>21.47</v>
      </c>
      <c r="I18" s="27" t="s">
        <v>8</v>
      </c>
      <c r="J18" s="40">
        <v>0.73</v>
      </c>
      <c r="K18" s="40">
        <v>64</v>
      </c>
      <c r="L18" s="40">
        <v>30.51</v>
      </c>
      <c r="M18" s="40">
        <v>58.33</v>
      </c>
      <c r="N18" s="40">
        <v>525.9</v>
      </c>
      <c r="O18" s="40">
        <v>0</v>
      </c>
      <c r="P18" s="40">
        <v>0.73</v>
      </c>
      <c r="Q18" s="40">
        <v>28.37</v>
      </c>
      <c r="R18" s="38"/>
      <c r="S18" s="38"/>
      <c r="T18" s="38"/>
      <c r="U18" s="38"/>
    </row>
    <row r="19" spans="1:21" customFormat="1">
      <c r="A19" s="39" t="s">
        <v>623</v>
      </c>
      <c r="B19" s="40">
        <v>10.66</v>
      </c>
      <c r="C19" s="40">
        <v>20.65</v>
      </c>
      <c r="D19" s="40">
        <v>20.68</v>
      </c>
      <c r="E19" s="40">
        <v>8.7899999999999991</v>
      </c>
      <c r="F19" s="27" t="s">
        <v>8</v>
      </c>
      <c r="G19" s="40">
        <v>51.36</v>
      </c>
      <c r="H19" s="40">
        <v>21.48</v>
      </c>
      <c r="I19" s="27" t="s">
        <v>8</v>
      </c>
      <c r="J19" s="40">
        <v>0.43</v>
      </c>
      <c r="K19" s="40">
        <v>271.33999999999997</v>
      </c>
      <c r="L19" s="40">
        <v>32.369999999999997</v>
      </c>
      <c r="M19" s="40">
        <v>48.82</v>
      </c>
      <c r="N19" s="40">
        <v>666.8</v>
      </c>
      <c r="O19" s="40">
        <v>0</v>
      </c>
      <c r="P19" s="40">
        <v>0.72</v>
      </c>
      <c r="Q19" s="40">
        <v>28.23</v>
      </c>
      <c r="R19" s="38"/>
      <c r="S19" s="38"/>
      <c r="T19" s="38"/>
      <c r="U19" s="38"/>
    </row>
    <row r="20" spans="1:21" customFormat="1">
      <c r="A20" s="39" t="s">
        <v>624</v>
      </c>
      <c r="B20" s="40">
        <v>5.82</v>
      </c>
      <c r="C20" s="40">
        <v>19.75</v>
      </c>
      <c r="D20" s="40">
        <v>16.3</v>
      </c>
      <c r="E20" s="40">
        <v>8.82</v>
      </c>
      <c r="F20" s="27" t="s">
        <v>8</v>
      </c>
      <c r="G20" s="40">
        <v>50.32</v>
      </c>
      <c r="H20" s="40">
        <v>19.170000000000002</v>
      </c>
      <c r="I20" s="27" t="s">
        <v>8</v>
      </c>
      <c r="J20" s="40">
        <v>0.72</v>
      </c>
      <c r="K20" s="40">
        <v>308.14999999999998</v>
      </c>
      <c r="L20" s="40">
        <v>33.869999999999997</v>
      </c>
      <c r="M20" s="40">
        <v>43.81</v>
      </c>
      <c r="N20" s="40">
        <v>764.9</v>
      </c>
      <c r="O20" s="40">
        <v>0</v>
      </c>
      <c r="P20" s="40">
        <v>0.65</v>
      </c>
      <c r="Q20" s="40">
        <v>28.08</v>
      </c>
      <c r="R20" s="38"/>
      <c r="S20" s="38"/>
      <c r="T20" s="38"/>
      <c r="U20" s="38"/>
    </row>
    <row r="21" spans="1:21" customFormat="1">
      <c r="A21" s="39" t="s">
        <v>625</v>
      </c>
      <c r="B21" s="40">
        <v>3.98</v>
      </c>
      <c r="C21" s="40">
        <v>15.39</v>
      </c>
      <c r="D21" s="40">
        <v>12.68</v>
      </c>
      <c r="E21" s="40">
        <v>8.76</v>
      </c>
      <c r="F21" s="27" t="s">
        <v>8</v>
      </c>
      <c r="G21" s="40">
        <v>44.62</v>
      </c>
      <c r="H21" s="40">
        <v>18.5</v>
      </c>
      <c r="I21" s="40">
        <v>6.63</v>
      </c>
      <c r="J21" s="40">
        <v>1.01</v>
      </c>
      <c r="K21" s="40">
        <v>322.16000000000003</v>
      </c>
      <c r="L21" s="40">
        <v>34.950000000000003</v>
      </c>
      <c r="M21" s="40">
        <v>36.659999999999997</v>
      </c>
      <c r="N21" s="40">
        <v>787.9</v>
      </c>
      <c r="O21" s="40">
        <v>0</v>
      </c>
      <c r="P21" s="40">
        <v>0.59</v>
      </c>
      <c r="Q21" s="40">
        <v>28.06</v>
      </c>
      <c r="R21" s="38"/>
      <c r="S21" s="38"/>
      <c r="T21" s="38"/>
      <c r="U21" s="38"/>
    </row>
    <row r="22" spans="1:21" customFormat="1">
      <c r="A22" s="39" t="s">
        <v>626</v>
      </c>
      <c r="B22" s="40">
        <v>5.28</v>
      </c>
      <c r="C22" s="40">
        <v>15.89</v>
      </c>
      <c r="D22" s="40">
        <v>13.45</v>
      </c>
      <c r="E22" s="40">
        <v>16.45</v>
      </c>
      <c r="F22" s="27" t="s">
        <v>8</v>
      </c>
      <c r="G22" s="40">
        <v>41.58</v>
      </c>
      <c r="H22" s="40">
        <v>16.329999999999998</v>
      </c>
      <c r="I22" s="40">
        <v>4.99</v>
      </c>
      <c r="J22" s="40">
        <v>1.1200000000000001</v>
      </c>
      <c r="K22" s="40">
        <v>58.29</v>
      </c>
      <c r="L22" s="40">
        <v>35.799999999999997</v>
      </c>
      <c r="M22" s="40">
        <v>29.03</v>
      </c>
      <c r="N22" s="40">
        <v>687.7</v>
      </c>
      <c r="O22" s="40">
        <v>0</v>
      </c>
      <c r="P22" s="40">
        <v>0.56000000000000005</v>
      </c>
      <c r="Q22" s="40">
        <v>28.09</v>
      </c>
      <c r="R22" s="38"/>
      <c r="S22" s="38"/>
      <c r="T22" s="38"/>
      <c r="U22" s="38"/>
    </row>
    <row r="23" spans="1:21" customFormat="1">
      <c r="A23" s="39" t="s">
        <v>627</v>
      </c>
      <c r="B23" s="40">
        <v>4.79</v>
      </c>
      <c r="C23" s="40">
        <v>19.78</v>
      </c>
      <c r="D23" s="40">
        <v>15.11</v>
      </c>
      <c r="E23" s="40">
        <v>17.97</v>
      </c>
      <c r="F23" s="27" t="s">
        <v>8</v>
      </c>
      <c r="G23" s="40">
        <v>43.81</v>
      </c>
      <c r="H23" s="40">
        <v>17</v>
      </c>
      <c r="I23" s="40">
        <v>5.1100000000000003</v>
      </c>
      <c r="J23" s="40">
        <v>1.1100000000000001</v>
      </c>
      <c r="K23" s="40">
        <v>329.63</v>
      </c>
      <c r="L23" s="40">
        <v>35.78</v>
      </c>
      <c r="M23" s="40">
        <v>22.51</v>
      </c>
      <c r="N23" s="40">
        <v>577.1</v>
      </c>
      <c r="O23" s="40">
        <v>0</v>
      </c>
      <c r="P23" s="40">
        <v>0.59</v>
      </c>
      <c r="Q23" s="40">
        <v>28.08</v>
      </c>
      <c r="R23" s="38"/>
      <c r="S23" s="38"/>
      <c r="T23" s="38"/>
      <c r="U23" s="38"/>
    </row>
    <row r="24" spans="1:21" customFormat="1">
      <c r="A24" s="39" t="s">
        <v>628</v>
      </c>
      <c r="B24" s="40">
        <v>4.26</v>
      </c>
      <c r="C24" s="40">
        <v>20.02</v>
      </c>
      <c r="D24" s="40">
        <v>15.22</v>
      </c>
      <c r="E24" s="40">
        <v>15.73</v>
      </c>
      <c r="F24" s="27" t="s">
        <v>8</v>
      </c>
      <c r="G24" s="40">
        <v>44.6</v>
      </c>
      <c r="H24" s="40">
        <v>17.059999999999999</v>
      </c>
      <c r="I24" s="40">
        <v>5.28</v>
      </c>
      <c r="J24" s="40">
        <v>1.1299999999999999</v>
      </c>
      <c r="K24" s="40">
        <v>351.51</v>
      </c>
      <c r="L24" s="40">
        <v>35.67</v>
      </c>
      <c r="M24" s="40">
        <v>19.46</v>
      </c>
      <c r="N24" s="40">
        <v>455.3</v>
      </c>
      <c r="O24" s="40">
        <v>0</v>
      </c>
      <c r="P24" s="40">
        <v>0.6</v>
      </c>
      <c r="Q24" s="40">
        <v>28.08</v>
      </c>
      <c r="R24" s="38"/>
      <c r="S24" s="38"/>
      <c r="T24" s="38"/>
      <c r="U24" s="38"/>
    </row>
    <row r="25" spans="1:21" customFormat="1">
      <c r="A25" s="39" t="s">
        <v>629</v>
      </c>
      <c r="B25" s="40">
        <v>4.6500000000000004</v>
      </c>
      <c r="C25" s="40">
        <v>17.809999999999999</v>
      </c>
      <c r="D25" s="40">
        <v>14.39</v>
      </c>
      <c r="E25" s="40">
        <v>16.46</v>
      </c>
      <c r="F25" s="27" t="s">
        <v>8</v>
      </c>
      <c r="G25" s="40">
        <v>46.72</v>
      </c>
      <c r="H25" s="40">
        <v>19.13</v>
      </c>
      <c r="I25" s="40">
        <v>4.8</v>
      </c>
      <c r="J25" s="40">
        <v>1.07</v>
      </c>
      <c r="K25" s="40">
        <v>337.35</v>
      </c>
      <c r="L25" s="40">
        <v>34.71</v>
      </c>
      <c r="M25" s="40">
        <v>21.5</v>
      </c>
      <c r="N25" s="40">
        <v>150.9</v>
      </c>
      <c r="O25" s="40">
        <v>0</v>
      </c>
      <c r="P25" s="40">
        <v>0.55000000000000004</v>
      </c>
      <c r="Q25" s="40">
        <v>28.08</v>
      </c>
      <c r="R25" s="38"/>
      <c r="S25" s="38"/>
      <c r="T25" s="38"/>
      <c r="U25" s="38"/>
    </row>
    <row r="26" spans="1:21" customFormat="1">
      <c r="A26" s="39" t="s">
        <v>630</v>
      </c>
      <c r="B26" s="40">
        <v>6.84</v>
      </c>
      <c r="C26" s="40">
        <v>22.55</v>
      </c>
      <c r="D26" s="40">
        <v>18.62</v>
      </c>
      <c r="E26" s="40">
        <v>11.77</v>
      </c>
      <c r="F26" s="27" t="s">
        <v>8</v>
      </c>
      <c r="G26" s="40">
        <v>47.99</v>
      </c>
      <c r="H26" s="40">
        <v>19.23</v>
      </c>
      <c r="I26" s="40">
        <v>4.84</v>
      </c>
      <c r="J26" s="40">
        <v>0.63</v>
      </c>
      <c r="K26" s="40">
        <v>341.27</v>
      </c>
      <c r="L26" s="40">
        <v>33.659999999999997</v>
      </c>
      <c r="M26" s="40">
        <v>21.9</v>
      </c>
      <c r="N26" s="40">
        <v>62.4</v>
      </c>
      <c r="O26" s="40">
        <v>0</v>
      </c>
      <c r="P26" s="40">
        <v>0.59</v>
      </c>
      <c r="Q26" s="40">
        <v>28.1</v>
      </c>
      <c r="R26" s="38"/>
      <c r="S26" s="38"/>
      <c r="T26" s="38"/>
      <c r="U26" s="38"/>
    </row>
    <row r="27" spans="1:21" customFormat="1">
      <c r="A27" s="39" t="s">
        <v>631</v>
      </c>
      <c r="B27" s="40">
        <v>10.68</v>
      </c>
      <c r="C27" s="40">
        <v>30.12</v>
      </c>
      <c r="D27" s="40">
        <v>25.66</v>
      </c>
      <c r="E27" s="40">
        <v>13.27</v>
      </c>
      <c r="F27" s="27" t="s">
        <v>8</v>
      </c>
      <c r="G27" s="40">
        <v>50.65</v>
      </c>
      <c r="H27" s="40">
        <v>18.57</v>
      </c>
      <c r="I27" s="40">
        <v>5.74</v>
      </c>
      <c r="J27" s="40">
        <v>0.6</v>
      </c>
      <c r="K27" s="40">
        <v>53.23</v>
      </c>
      <c r="L27" s="40">
        <v>32.04</v>
      </c>
      <c r="M27" s="40">
        <v>22.12</v>
      </c>
      <c r="N27" s="40">
        <v>9.4</v>
      </c>
      <c r="O27" s="40">
        <v>0</v>
      </c>
      <c r="P27" s="40">
        <v>0.69</v>
      </c>
      <c r="Q27" s="40">
        <v>28.18</v>
      </c>
      <c r="R27" s="38"/>
      <c r="S27" s="38"/>
      <c r="T27" s="38"/>
      <c r="U27" s="38"/>
    </row>
    <row r="28" spans="1:21" customFormat="1">
      <c r="A28" s="39" t="s">
        <v>632</v>
      </c>
      <c r="B28" s="40">
        <v>10.27</v>
      </c>
      <c r="C28" s="40">
        <v>29.39</v>
      </c>
      <c r="D28" s="40">
        <v>24.94</v>
      </c>
      <c r="E28" s="40">
        <v>8.67</v>
      </c>
      <c r="F28" s="27" t="s">
        <v>8</v>
      </c>
      <c r="G28" s="40">
        <v>64.42</v>
      </c>
      <c r="H28" s="40">
        <v>23.74</v>
      </c>
      <c r="I28" s="40">
        <v>7.64</v>
      </c>
      <c r="J28" s="40">
        <v>0.48</v>
      </c>
      <c r="K28" s="40">
        <v>168.79</v>
      </c>
      <c r="L28" s="40">
        <v>30.18</v>
      </c>
      <c r="M28" s="40">
        <v>30.97</v>
      </c>
      <c r="N28" s="40">
        <v>6.8</v>
      </c>
      <c r="O28" s="40">
        <v>0</v>
      </c>
      <c r="P28" s="40">
        <v>0.76</v>
      </c>
      <c r="Q28" s="40">
        <v>28.24</v>
      </c>
      <c r="R28" s="38"/>
      <c r="S28" s="38"/>
      <c r="T28" s="38"/>
      <c r="U28" s="38"/>
    </row>
    <row r="29" spans="1:21" customFormat="1">
      <c r="A29" s="39" t="s">
        <v>633</v>
      </c>
      <c r="B29" s="40">
        <v>8.99</v>
      </c>
      <c r="C29" s="40">
        <v>27.61</v>
      </c>
      <c r="D29" s="40">
        <v>22.99</v>
      </c>
      <c r="E29" s="40">
        <v>8.2100000000000009</v>
      </c>
      <c r="F29" s="27" t="s">
        <v>8</v>
      </c>
      <c r="G29" s="40">
        <v>79.45</v>
      </c>
      <c r="H29" s="40">
        <v>25.46</v>
      </c>
      <c r="I29" s="40">
        <v>10.26</v>
      </c>
      <c r="J29" s="40">
        <v>0.34</v>
      </c>
      <c r="K29" s="40">
        <v>203.63</v>
      </c>
      <c r="L29" s="40">
        <v>27.57</v>
      </c>
      <c r="M29" s="40">
        <v>41.94</v>
      </c>
      <c r="N29" s="40">
        <v>6.6</v>
      </c>
      <c r="O29" s="40">
        <v>0</v>
      </c>
      <c r="P29" s="40">
        <v>0.81</v>
      </c>
      <c r="Q29" s="40">
        <v>28.25</v>
      </c>
      <c r="R29" s="38"/>
      <c r="S29" s="38"/>
      <c r="T29" s="38"/>
      <c r="U29" s="38"/>
    </row>
    <row r="30" spans="1:21" customFormat="1">
      <c r="A30" s="39" t="s">
        <v>634</v>
      </c>
      <c r="B30" s="40">
        <v>8.67</v>
      </c>
      <c r="C30" s="40">
        <v>24</v>
      </c>
      <c r="D30" s="40">
        <v>20.84</v>
      </c>
      <c r="E30" s="40">
        <v>8.06</v>
      </c>
      <c r="F30" s="27" t="s">
        <v>8</v>
      </c>
      <c r="G30" s="40">
        <v>83.3</v>
      </c>
      <c r="H30" s="40">
        <v>25.51</v>
      </c>
      <c r="I30" s="40">
        <v>10.3</v>
      </c>
      <c r="J30" s="40">
        <v>0.34</v>
      </c>
      <c r="K30" s="40">
        <v>253.09</v>
      </c>
      <c r="L30" s="40">
        <v>24.88</v>
      </c>
      <c r="M30" s="40">
        <v>43.4</v>
      </c>
      <c r="N30" s="40">
        <v>5.8</v>
      </c>
      <c r="O30" s="40">
        <v>0</v>
      </c>
      <c r="P30" s="40">
        <v>0.83</v>
      </c>
      <c r="Q30" s="40">
        <v>28.26</v>
      </c>
      <c r="R30" s="38"/>
      <c r="S30" s="38"/>
      <c r="T30" s="38"/>
      <c r="U30" s="38"/>
    </row>
    <row r="31" spans="1:21" customFormat="1">
      <c r="A31" s="39" t="s">
        <v>635</v>
      </c>
      <c r="B31" s="40">
        <v>11.25</v>
      </c>
      <c r="C31" s="40">
        <v>23.12</v>
      </c>
      <c r="D31" s="40">
        <v>22.25</v>
      </c>
      <c r="E31" s="40">
        <v>8.07</v>
      </c>
      <c r="F31" s="27" t="s">
        <v>8</v>
      </c>
      <c r="G31" s="40">
        <v>88.09</v>
      </c>
      <c r="H31" s="40">
        <v>29.26</v>
      </c>
      <c r="I31" s="40">
        <v>10.29</v>
      </c>
      <c r="J31" s="40">
        <v>0.33</v>
      </c>
      <c r="K31" s="40">
        <v>218.47</v>
      </c>
      <c r="L31" s="40">
        <v>24.69</v>
      </c>
      <c r="M31" s="40">
        <v>46.8</v>
      </c>
      <c r="N31" s="40">
        <v>6.1</v>
      </c>
      <c r="O31" s="40">
        <v>0</v>
      </c>
      <c r="P31" s="40">
        <v>0.88</v>
      </c>
      <c r="Q31" s="40">
        <v>28.31</v>
      </c>
      <c r="R31" s="38"/>
      <c r="S31" s="38"/>
      <c r="T31" s="38"/>
      <c r="U31" s="38"/>
    </row>
    <row r="32" spans="1:21" customFormat="1">
      <c r="A32" s="39" t="s">
        <v>636</v>
      </c>
      <c r="B32" s="40">
        <v>14.7</v>
      </c>
      <c r="C32" s="40">
        <v>23.45</v>
      </c>
      <c r="D32" s="40">
        <v>25.28</v>
      </c>
      <c r="E32" s="40">
        <v>8.41</v>
      </c>
      <c r="F32" s="27" t="s">
        <v>8</v>
      </c>
      <c r="G32" s="40">
        <v>94.43</v>
      </c>
      <c r="H32" s="40">
        <v>29.72</v>
      </c>
      <c r="I32" s="40">
        <v>10.23</v>
      </c>
      <c r="J32" s="40">
        <v>0.32</v>
      </c>
      <c r="K32" s="40">
        <v>201.75</v>
      </c>
      <c r="L32" s="40">
        <v>23.99</v>
      </c>
      <c r="M32" s="40">
        <v>50.79</v>
      </c>
      <c r="N32" s="40">
        <v>6.5</v>
      </c>
      <c r="O32" s="40">
        <v>0</v>
      </c>
      <c r="P32" s="40">
        <v>0.91</v>
      </c>
      <c r="Q32" s="40">
        <v>28.42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3.98</v>
      </c>
      <c r="C34" s="18">
        <f t="shared" si="0"/>
        <v>15.39</v>
      </c>
      <c r="D34" s="18">
        <f t="shared" si="0"/>
        <v>12.68</v>
      </c>
      <c r="E34" s="18">
        <f t="shared" si="0"/>
        <v>7.91</v>
      </c>
      <c r="F34" s="18">
        <f t="shared" si="0"/>
        <v>0</v>
      </c>
      <c r="G34" s="18">
        <f t="shared" si="0"/>
        <v>36.76</v>
      </c>
      <c r="H34" s="18">
        <f t="shared" si="0"/>
        <v>16.329999999999998</v>
      </c>
      <c r="I34" s="18">
        <f t="shared" si="0"/>
        <v>4.8</v>
      </c>
      <c r="J34" s="18">
        <f t="shared" si="0"/>
        <v>0.32</v>
      </c>
      <c r="K34" s="18">
        <f t="shared" si="0"/>
        <v>53.23</v>
      </c>
      <c r="L34" s="18">
        <f t="shared" si="0"/>
        <v>22.9</v>
      </c>
      <c r="M34" s="18">
        <f t="shared" si="0"/>
        <v>19.46</v>
      </c>
      <c r="N34" s="18">
        <f t="shared" si="0"/>
        <v>5.8</v>
      </c>
      <c r="O34" s="18">
        <f t="shared" si="0"/>
        <v>0</v>
      </c>
      <c r="P34" s="18">
        <f t="shared" si="0"/>
        <v>0.55000000000000004</v>
      </c>
      <c r="Q34" s="18">
        <f t="shared" si="0"/>
        <v>28.06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15.53</v>
      </c>
      <c r="C35" s="3">
        <f t="shared" si="1"/>
        <v>30.12</v>
      </c>
      <c r="D35" s="3">
        <f t="shared" si="1"/>
        <v>25.66</v>
      </c>
      <c r="E35" s="3">
        <f t="shared" si="1"/>
        <v>17.97</v>
      </c>
      <c r="F35" s="3">
        <f t="shared" si="1"/>
        <v>0</v>
      </c>
      <c r="G35" s="3">
        <f t="shared" si="1"/>
        <v>94.43</v>
      </c>
      <c r="H35" s="3">
        <f t="shared" si="1"/>
        <v>29.72</v>
      </c>
      <c r="I35" s="3">
        <f t="shared" si="1"/>
        <v>10.3</v>
      </c>
      <c r="J35" s="3">
        <f t="shared" si="1"/>
        <v>1.41</v>
      </c>
      <c r="K35" s="3">
        <f t="shared" si="1"/>
        <v>351.51</v>
      </c>
      <c r="L35" s="3">
        <f t="shared" si="1"/>
        <v>35.799999999999997</v>
      </c>
      <c r="M35" s="3">
        <f t="shared" si="1"/>
        <v>81.28</v>
      </c>
      <c r="N35" s="3">
        <f t="shared" si="1"/>
        <v>787.9</v>
      </c>
      <c r="O35" s="3">
        <f t="shared" si="1"/>
        <v>0</v>
      </c>
      <c r="P35" s="3">
        <f t="shared" si="1"/>
        <v>0.91</v>
      </c>
      <c r="Q35" s="3">
        <f t="shared" si="1"/>
        <v>28.42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9.6454166666666659</v>
      </c>
      <c r="C36" s="18">
        <f t="shared" si="2"/>
        <v>21.408333333333335</v>
      </c>
      <c r="D36" s="18">
        <f t="shared" si="2"/>
        <v>20.104166666666668</v>
      </c>
      <c r="E36" s="18">
        <f t="shared" si="2"/>
        <v>10.209999999999999</v>
      </c>
      <c r="F36" s="18" t="e">
        <f t="shared" si="2"/>
        <v>#DIV/0!</v>
      </c>
      <c r="G36" s="18">
        <f t="shared" si="2"/>
        <v>56.658749999999998</v>
      </c>
      <c r="H36" s="18">
        <f t="shared" si="2"/>
        <v>21.369583333333335</v>
      </c>
      <c r="I36" s="18">
        <f t="shared" si="2"/>
        <v>7.1758333333333333</v>
      </c>
      <c r="J36" s="18">
        <f t="shared" si="2"/>
        <v>0.79041666666666666</v>
      </c>
      <c r="K36" s="18">
        <f t="shared" si="2"/>
        <v>180.15791666666667</v>
      </c>
      <c r="L36" s="18">
        <f t="shared" si="2"/>
        <v>28.847083333333334</v>
      </c>
      <c r="M36" s="18">
        <f t="shared" si="2"/>
        <v>50.205833333333338</v>
      </c>
      <c r="N36" s="18">
        <f t="shared" si="2"/>
        <v>219.19166666666669</v>
      </c>
      <c r="O36" s="18">
        <f t="shared" si="2"/>
        <v>0</v>
      </c>
      <c r="P36" s="18">
        <f t="shared" si="2"/>
        <v>0.70416666666666661</v>
      </c>
      <c r="Q36" s="18">
        <f t="shared" si="2"/>
        <v>28.221249999999994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3.6606889101781754</v>
      </c>
      <c r="C37" s="18">
        <f t="shared" ref="C37:Q37" si="3">STDEV(C9:C32)</f>
        <v>3.663308870960492</v>
      </c>
      <c r="D37" s="18">
        <f t="shared" si="3"/>
        <v>3.8233435363699022</v>
      </c>
      <c r="E37" s="18">
        <f t="shared" si="3"/>
        <v>3.1981679538244392</v>
      </c>
      <c r="F37" s="18" t="e">
        <f t="shared" si="3"/>
        <v>#DIV/0!</v>
      </c>
      <c r="G37" s="18">
        <f t="shared" si="3"/>
        <v>16.096506321586361</v>
      </c>
      <c r="H37" s="18">
        <f t="shared" si="3"/>
        <v>3.617996658213031</v>
      </c>
      <c r="I37" s="18">
        <f t="shared" si="3"/>
        <v>2.423631603919036</v>
      </c>
      <c r="J37" s="18">
        <f t="shared" si="3"/>
        <v>0.34425065648848591</v>
      </c>
      <c r="K37" s="18">
        <f t="shared" si="3"/>
        <v>110.82656760350996</v>
      </c>
      <c r="L37" s="18">
        <f t="shared" si="3"/>
        <v>4.7801468771018385</v>
      </c>
      <c r="M37" s="18">
        <f t="shared" si="3"/>
        <v>21.71950894565942</v>
      </c>
      <c r="N37" s="18">
        <f t="shared" si="3"/>
        <v>290.51592774813969</v>
      </c>
      <c r="O37" s="18">
        <f t="shared" si="3"/>
        <v>0</v>
      </c>
      <c r="P37" s="18">
        <f t="shared" si="3"/>
        <v>9.7039510853398181E-2</v>
      </c>
      <c r="Q37" s="18">
        <f t="shared" si="3"/>
        <v>0.11380045464874455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>COUNT(I9:I32)+12</f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G33" sqref="G3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637</v>
      </c>
      <c r="B9" s="40">
        <v>16.559999999999999</v>
      </c>
      <c r="C9" s="40">
        <v>25.02</v>
      </c>
      <c r="D9" s="40">
        <v>27.7</v>
      </c>
      <c r="E9" s="40">
        <v>8.5500000000000007</v>
      </c>
      <c r="F9" s="27" t="s">
        <v>8</v>
      </c>
      <c r="G9" s="40">
        <v>96.03</v>
      </c>
      <c r="H9" s="40">
        <v>29.74</v>
      </c>
      <c r="I9" s="40">
        <v>10.25</v>
      </c>
      <c r="J9" s="40">
        <v>0.28999999999999998</v>
      </c>
      <c r="K9" s="40">
        <v>251.91</v>
      </c>
      <c r="L9" s="40">
        <v>23.21</v>
      </c>
      <c r="M9" s="40">
        <v>52.92</v>
      </c>
      <c r="N9" s="40">
        <v>6</v>
      </c>
      <c r="O9" s="40">
        <v>0</v>
      </c>
      <c r="P9" s="40">
        <v>0.89</v>
      </c>
      <c r="Q9" s="40">
        <v>28.52</v>
      </c>
      <c r="R9" s="38"/>
      <c r="S9" s="38"/>
      <c r="T9" s="38"/>
      <c r="U9" s="38"/>
    </row>
    <row r="10" spans="1:21" customFormat="1">
      <c r="A10" s="39" t="s">
        <v>638</v>
      </c>
      <c r="B10" s="40">
        <v>20.329999999999998</v>
      </c>
      <c r="C10" s="40">
        <v>26.32</v>
      </c>
      <c r="D10" s="40">
        <v>31.4</v>
      </c>
      <c r="E10" s="40">
        <v>8.9499999999999993</v>
      </c>
      <c r="F10" s="27" t="s">
        <v>8</v>
      </c>
      <c r="G10" s="40">
        <v>98</v>
      </c>
      <c r="H10" s="40">
        <v>32.590000000000003</v>
      </c>
      <c r="I10" s="40">
        <v>10.130000000000001</v>
      </c>
      <c r="J10" s="40">
        <v>0.32</v>
      </c>
      <c r="K10" s="40">
        <v>336.03</v>
      </c>
      <c r="L10" s="40">
        <v>22.48</v>
      </c>
      <c r="M10" s="40">
        <v>61.32</v>
      </c>
      <c r="N10" s="40">
        <v>6.4</v>
      </c>
      <c r="O10" s="40">
        <v>0</v>
      </c>
      <c r="P10" s="40">
        <v>0.9</v>
      </c>
      <c r="Q10" s="40">
        <v>28.63</v>
      </c>
      <c r="R10" s="38"/>
      <c r="S10" s="38"/>
      <c r="T10" s="38"/>
      <c r="U10" s="38"/>
    </row>
    <row r="11" spans="1:21" customFormat="1">
      <c r="A11" s="39" t="s">
        <v>639</v>
      </c>
      <c r="B11" s="40">
        <v>20.85</v>
      </c>
      <c r="C11" s="40">
        <v>25.86</v>
      </c>
      <c r="D11" s="40">
        <v>31.51</v>
      </c>
      <c r="E11" s="40">
        <v>8.52</v>
      </c>
      <c r="F11" s="27" t="s">
        <v>8</v>
      </c>
      <c r="G11" s="40">
        <v>99.49</v>
      </c>
      <c r="H11" s="40">
        <v>34.340000000000003</v>
      </c>
      <c r="I11" s="40">
        <v>10.050000000000001</v>
      </c>
      <c r="J11" s="40">
        <v>1.05</v>
      </c>
      <c r="K11" s="40">
        <v>206.02</v>
      </c>
      <c r="L11" s="40">
        <v>23.38</v>
      </c>
      <c r="M11" s="40">
        <v>58.52</v>
      </c>
      <c r="N11" s="40">
        <v>5.9</v>
      </c>
      <c r="O11" s="40">
        <v>0</v>
      </c>
      <c r="P11" s="40">
        <v>0.9</v>
      </c>
      <c r="Q11" s="40">
        <v>28.65</v>
      </c>
      <c r="R11" s="38"/>
      <c r="S11" s="38"/>
      <c r="T11" s="38"/>
      <c r="U11" s="38"/>
    </row>
    <row r="12" spans="1:21" customFormat="1">
      <c r="A12" s="39" t="s">
        <v>640</v>
      </c>
      <c r="B12" s="40">
        <v>20.77</v>
      </c>
      <c r="C12" s="40">
        <v>24.91</v>
      </c>
      <c r="D12" s="40">
        <v>30.73</v>
      </c>
      <c r="E12" s="40">
        <v>8.64</v>
      </c>
      <c r="F12" s="27" t="s">
        <v>8</v>
      </c>
      <c r="G12" s="40">
        <v>97.98</v>
      </c>
      <c r="H12" s="40">
        <v>34.39</v>
      </c>
      <c r="I12" s="40">
        <v>9.93</v>
      </c>
      <c r="J12" s="40">
        <v>0.81</v>
      </c>
      <c r="K12" s="40">
        <v>208.46</v>
      </c>
      <c r="L12" s="40">
        <v>23.51</v>
      </c>
      <c r="M12" s="40">
        <v>59.72</v>
      </c>
      <c r="N12" s="40">
        <v>6.9</v>
      </c>
      <c r="O12" s="40">
        <v>0</v>
      </c>
      <c r="P12" s="40">
        <v>0.89</v>
      </c>
      <c r="Q12" s="40">
        <v>28.64</v>
      </c>
      <c r="R12" s="38"/>
      <c r="S12" s="38"/>
      <c r="T12" s="38"/>
      <c r="U12" s="38"/>
    </row>
    <row r="13" spans="1:21" customFormat="1">
      <c r="A13" s="39" t="s">
        <v>641</v>
      </c>
      <c r="B13" s="40">
        <v>19.7</v>
      </c>
      <c r="C13" s="40">
        <v>24.71</v>
      </c>
      <c r="D13" s="40">
        <v>29.57</v>
      </c>
      <c r="E13" s="40">
        <v>8.5399999999999991</v>
      </c>
      <c r="F13" s="27" t="s">
        <v>8</v>
      </c>
      <c r="G13" s="40">
        <v>89.56</v>
      </c>
      <c r="H13" s="40">
        <v>31.67</v>
      </c>
      <c r="I13" s="40">
        <v>9.82</v>
      </c>
      <c r="J13" s="40">
        <v>0.24</v>
      </c>
      <c r="K13" s="40">
        <v>206.3</v>
      </c>
      <c r="L13" s="40">
        <v>21.05</v>
      </c>
      <c r="M13" s="40">
        <v>64.34</v>
      </c>
      <c r="N13" s="40">
        <v>6.3</v>
      </c>
      <c r="O13" s="40">
        <v>0</v>
      </c>
      <c r="P13" s="40">
        <v>0.89</v>
      </c>
      <c r="Q13" s="40">
        <v>28.62</v>
      </c>
      <c r="R13" s="38"/>
      <c r="S13" s="38"/>
      <c r="T13" s="38"/>
      <c r="U13" s="38"/>
    </row>
    <row r="14" spans="1:21" customFormat="1">
      <c r="A14" s="39" t="s">
        <v>642</v>
      </c>
      <c r="B14" s="40">
        <v>16.77</v>
      </c>
      <c r="C14" s="40">
        <v>24.23</v>
      </c>
      <c r="D14" s="40">
        <v>27.46</v>
      </c>
      <c r="E14" s="40">
        <v>8.35</v>
      </c>
      <c r="F14" s="27" t="s">
        <v>8</v>
      </c>
      <c r="G14" s="40">
        <v>79.66</v>
      </c>
      <c r="H14" s="40">
        <v>30</v>
      </c>
      <c r="I14" s="40">
        <v>9.61</v>
      </c>
      <c r="J14" s="40">
        <v>0.19</v>
      </c>
      <c r="K14" s="40">
        <v>197.27</v>
      </c>
      <c r="L14" s="40">
        <v>20.86</v>
      </c>
      <c r="M14" s="40">
        <v>67.400000000000006</v>
      </c>
      <c r="N14" s="40">
        <v>7.6</v>
      </c>
      <c r="O14" s="40">
        <v>0</v>
      </c>
      <c r="P14" s="40">
        <v>0.87</v>
      </c>
      <c r="Q14" s="40">
        <v>28.51</v>
      </c>
      <c r="R14" s="38"/>
      <c r="S14" s="38"/>
      <c r="T14" s="38"/>
      <c r="U14" s="38"/>
    </row>
    <row r="15" spans="1:21" customFormat="1">
      <c r="A15" s="39" t="s">
        <v>643</v>
      </c>
      <c r="B15" s="40">
        <v>14.31</v>
      </c>
      <c r="C15" s="40">
        <v>22.73</v>
      </c>
      <c r="D15" s="40">
        <v>24.7</v>
      </c>
      <c r="E15" s="40">
        <v>8.31</v>
      </c>
      <c r="F15" s="27" t="s">
        <v>8</v>
      </c>
      <c r="G15" s="40">
        <v>81.8</v>
      </c>
      <c r="H15" s="40">
        <v>27.98</v>
      </c>
      <c r="I15" s="40">
        <v>9.44</v>
      </c>
      <c r="J15" s="40">
        <v>0.28999999999999998</v>
      </c>
      <c r="K15" s="40">
        <v>184.42</v>
      </c>
      <c r="L15" s="40">
        <v>21.18</v>
      </c>
      <c r="M15" s="40">
        <v>68.36</v>
      </c>
      <c r="N15" s="40">
        <v>46.2</v>
      </c>
      <c r="O15" s="40">
        <v>0</v>
      </c>
      <c r="P15" s="40">
        <v>0.88</v>
      </c>
      <c r="Q15" s="40">
        <v>28.41</v>
      </c>
      <c r="R15" s="38"/>
      <c r="S15" s="38"/>
      <c r="T15" s="38"/>
      <c r="U15" s="38"/>
    </row>
    <row r="16" spans="1:21" customFormat="1">
      <c r="A16" s="39" t="s">
        <v>644</v>
      </c>
      <c r="B16" s="40">
        <v>14.11</v>
      </c>
      <c r="C16" s="40">
        <v>23.29</v>
      </c>
      <c r="D16" s="40">
        <v>24.83</v>
      </c>
      <c r="E16" s="40">
        <v>7.95</v>
      </c>
      <c r="F16" s="27" t="s">
        <v>8</v>
      </c>
      <c r="G16" s="40">
        <v>101.16</v>
      </c>
      <c r="H16" s="40">
        <v>37.729999999999997</v>
      </c>
      <c r="I16" s="40">
        <v>9.9</v>
      </c>
      <c r="J16" s="40">
        <v>0.44</v>
      </c>
      <c r="K16" s="40">
        <v>302.33</v>
      </c>
      <c r="L16" s="40">
        <v>25.76</v>
      </c>
      <c r="M16" s="40">
        <v>63.8</v>
      </c>
      <c r="N16" s="40">
        <v>116.8</v>
      </c>
      <c r="O16" s="40">
        <v>0</v>
      </c>
      <c r="P16" s="40">
        <v>0.95</v>
      </c>
      <c r="Q16" s="40">
        <v>28.41</v>
      </c>
      <c r="R16" s="38"/>
      <c r="S16" s="38"/>
      <c r="T16" s="38"/>
      <c r="U16" s="38"/>
    </row>
    <row r="17" spans="1:21" customFormat="1">
      <c r="A17" s="39" t="s">
        <v>645</v>
      </c>
      <c r="B17" s="40">
        <v>13.73</v>
      </c>
      <c r="C17" s="40">
        <v>25.7</v>
      </c>
      <c r="D17" s="40">
        <v>24.78</v>
      </c>
      <c r="E17" s="40">
        <v>8.35</v>
      </c>
      <c r="F17" s="27" t="s">
        <v>8</v>
      </c>
      <c r="G17" s="40">
        <v>113.37</v>
      </c>
      <c r="H17" s="40">
        <v>41.24</v>
      </c>
      <c r="I17" s="40">
        <v>10.76</v>
      </c>
      <c r="J17" s="40">
        <v>0.79</v>
      </c>
      <c r="K17" s="40">
        <v>91.44</v>
      </c>
      <c r="L17" s="40">
        <v>29.97</v>
      </c>
      <c r="M17" s="40">
        <v>41.64</v>
      </c>
      <c r="N17" s="40">
        <v>352</v>
      </c>
      <c r="O17" s="40">
        <v>0</v>
      </c>
      <c r="P17" s="40">
        <v>0.96</v>
      </c>
      <c r="Q17" s="40">
        <v>28.42</v>
      </c>
      <c r="R17" s="38"/>
      <c r="S17" s="38"/>
      <c r="T17" s="38"/>
      <c r="U17" s="38"/>
    </row>
    <row r="18" spans="1:21" customFormat="1">
      <c r="A18" s="39" t="s">
        <v>646</v>
      </c>
      <c r="B18" s="40">
        <v>8.9700000000000006</v>
      </c>
      <c r="C18" s="40">
        <v>26.51</v>
      </c>
      <c r="D18" s="40">
        <v>22.22</v>
      </c>
      <c r="E18" s="40">
        <v>9.24</v>
      </c>
      <c r="F18" s="27" t="s">
        <v>8</v>
      </c>
      <c r="G18" s="40">
        <v>115.78</v>
      </c>
      <c r="H18" s="40">
        <v>42.26</v>
      </c>
      <c r="I18" s="40">
        <v>10.77</v>
      </c>
      <c r="J18" s="40">
        <v>0.55000000000000004</v>
      </c>
      <c r="K18" s="40">
        <v>151.1</v>
      </c>
      <c r="L18" s="40">
        <v>32.57</v>
      </c>
      <c r="M18" s="40">
        <v>34.479999999999997</v>
      </c>
      <c r="N18" s="40">
        <v>585.20000000000005</v>
      </c>
      <c r="O18" s="40">
        <v>0</v>
      </c>
      <c r="P18" s="40">
        <v>0.93</v>
      </c>
      <c r="Q18" s="40">
        <v>28.25</v>
      </c>
      <c r="R18" s="38"/>
      <c r="S18" s="38"/>
      <c r="T18" s="38"/>
      <c r="U18" s="38"/>
    </row>
    <row r="19" spans="1:21" customFormat="1">
      <c r="A19" s="39" t="s">
        <v>647</v>
      </c>
      <c r="B19" s="40">
        <v>5.55</v>
      </c>
      <c r="C19" s="40">
        <v>25.16</v>
      </c>
      <c r="D19" s="40">
        <v>18.95</v>
      </c>
      <c r="E19" s="40">
        <v>12.89</v>
      </c>
      <c r="F19" s="27" t="s">
        <v>8</v>
      </c>
      <c r="G19" s="40">
        <v>105.14</v>
      </c>
      <c r="H19" s="40">
        <v>42.29</v>
      </c>
      <c r="I19" s="40">
        <v>10.220000000000001</v>
      </c>
      <c r="J19" s="40">
        <v>0.56999999999999995</v>
      </c>
      <c r="K19" s="40">
        <v>172.62</v>
      </c>
      <c r="L19" s="40">
        <v>34.76</v>
      </c>
      <c r="M19" s="40">
        <v>29.05</v>
      </c>
      <c r="N19" s="40">
        <v>741.5</v>
      </c>
      <c r="O19" s="40">
        <v>0</v>
      </c>
      <c r="P19" s="40">
        <v>0.89</v>
      </c>
      <c r="Q19" s="40">
        <v>28.17</v>
      </c>
      <c r="R19" s="38"/>
      <c r="S19" s="38"/>
      <c r="T19" s="38"/>
      <c r="U19" s="38"/>
    </row>
    <row r="20" spans="1:21" customFormat="1">
      <c r="A20" s="39" t="s">
        <v>648</v>
      </c>
      <c r="B20" s="40">
        <v>4.47</v>
      </c>
      <c r="C20" s="40">
        <v>20.260000000000002</v>
      </c>
      <c r="D20" s="40">
        <v>15.43</v>
      </c>
      <c r="E20" s="40">
        <v>13.37</v>
      </c>
      <c r="F20" s="27" t="s">
        <v>8</v>
      </c>
      <c r="G20" s="40">
        <v>85.43</v>
      </c>
      <c r="H20" s="40">
        <v>37.729999999999997</v>
      </c>
      <c r="I20" s="40">
        <v>9.43</v>
      </c>
      <c r="J20" s="40">
        <v>0.92</v>
      </c>
      <c r="K20" s="40">
        <v>334.14</v>
      </c>
      <c r="L20" s="40">
        <v>35.99</v>
      </c>
      <c r="M20" s="40">
        <v>23.97</v>
      </c>
      <c r="N20" s="40">
        <v>789.5</v>
      </c>
      <c r="O20" s="40">
        <v>0</v>
      </c>
      <c r="P20" s="40">
        <v>0.82</v>
      </c>
      <c r="Q20" s="40">
        <v>28.1</v>
      </c>
      <c r="R20" s="38"/>
      <c r="S20" s="38"/>
      <c r="T20" s="38"/>
      <c r="U20" s="38"/>
    </row>
    <row r="21" spans="1:21" customFormat="1">
      <c r="A21" s="39" t="s">
        <v>649</v>
      </c>
      <c r="B21" s="40">
        <v>4.08</v>
      </c>
      <c r="C21" s="40">
        <v>19.63</v>
      </c>
      <c r="D21" s="40">
        <v>14.87</v>
      </c>
      <c r="E21" s="40">
        <v>13.18</v>
      </c>
      <c r="F21" s="27" t="s">
        <v>8</v>
      </c>
      <c r="G21" s="40">
        <v>68.09</v>
      </c>
      <c r="H21" s="40">
        <v>32.74</v>
      </c>
      <c r="I21" s="40">
        <v>8.6</v>
      </c>
      <c r="J21" s="40">
        <v>0.8</v>
      </c>
      <c r="K21" s="40">
        <v>320.02999999999997</v>
      </c>
      <c r="L21" s="40">
        <v>36.799999999999997</v>
      </c>
      <c r="M21" s="40">
        <v>19.09</v>
      </c>
      <c r="N21" s="40">
        <v>796.1</v>
      </c>
      <c r="O21" s="40">
        <v>0</v>
      </c>
      <c r="P21" s="40">
        <v>0.75</v>
      </c>
      <c r="Q21" s="40">
        <v>28.09</v>
      </c>
      <c r="R21" s="38"/>
      <c r="S21" s="38"/>
      <c r="T21" s="38"/>
      <c r="U21" s="38"/>
    </row>
    <row r="22" spans="1:21" customFormat="1">
      <c r="A22" s="39" t="s">
        <v>650</v>
      </c>
      <c r="B22" s="40">
        <v>4.04</v>
      </c>
      <c r="C22" s="40">
        <v>19.010000000000002</v>
      </c>
      <c r="D22" s="40">
        <v>14.52</v>
      </c>
      <c r="E22" s="40">
        <v>20.87</v>
      </c>
      <c r="F22" s="27" t="s">
        <v>8</v>
      </c>
      <c r="G22" s="40">
        <v>63.42</v>
      </c>
      <c r="H22" s="40">
        <v>33.61</v>
      </c>
      <c r="I22" s="40">
        <v>8.1199999999999992</v>
      </c>
      <c r="J22" s="40">
        <v>0.89</v>
      </c>
      <c r="K22" s="40">
        <v>333.45</v>
      </c>
      <c r="L22" s="40">
        <v>37.630000000000003</v>
      </c>
      <c r="M22" s="40">
        <v>16.760000000000002</v>
      </c>
      <c r="N22" s="40">
        <v>677.3</v>
      </c>
      <c r="O22" s="40">
        <v>0</v>
      </c>
      <c r="P22" s="40">
        <v>0.72</v>
      </c>
      <c r="Q22" s="40">
        <v>28.08</v>
      </c>
      <c r="R22" s="38"/>
      <c r="S22" s="38"/>
      <c r="T22" s="38"/>
      <c r="U22" s="38"/>
    </row>
    <row r="23" spans="1:21" customFormat="1">
      <c r="A23" s="39" t="s">
        <v>651</v>
      </c>
      <c r="B23" s="40">
        <v>3.85</v>
      </c>
      <c r="C23" s="40">
        <v>18.989999999999998</v>
      </c>
      <c r="D23" s="40">
        <v>14.36</v>
      </c>
      <c r="E23" s="40">
        <v>16.29</v>
      </c>
      <c r="F23" s="27" t="s">
        <v>8</v>
      </c>
      <c r="G23" s="40">
        <v>69.739999999999995</v>
      </c>
      <c r="H23" s="40">
        <v>33.630000000000003</v>
      </c>
      <c r="I23" s="40">
        <v>7.63</v>
      </c>
      <c r="J23" s="40">
        <v>0.84</v>
      </c>
      <c r="K23" s="40">
        <v>336.89</v>
      </c>
      <c r="L23" s="40">
        <v>37.14</v>
      </c>
      <c r="M23" s="40">
        <v>15.93</v>
      </c>
      <c r="N23" s="40">
        <v>543.5</v>
      </c>
      <c r="O23" s="40">
        <v>0</v>
      </c>
      <c r="P23" s="40">
        <v>0.69</v>
      </c>
      <c r="Q23" s="40">
        <v>28.08</v>
      </c>
      <c r="R23" s="38"/>
      <c r="S23" s="38"/>
      <c r="T23" s="38"/>
      <c r="U23" s="38"/>
    </row>
    <row r="24" spans="1:21" customFormat="1">
      <c r="A24" s="39" t="s">
        <v>652</v>
      </c>
      <c r="B24" s="40">
        <v>3.96</v>
      </c>
      <c r="C24" s="40">
        <v>20.91</v>
      </c>
      <c r="D24" s="40">
        <v>15.39</v>
      </c>
      <c r="E24" s="40">
        <v>18.63</v>
      </c>
      <c r="F24" s="27" t="s">
        <v>8</v>
      </c>
      <c r="G24" s="40">
        <v>71.89</v>
      </c>
      <c r="H24" s="40">
        <v>34.58</v>
      </c>
      <c r="I24" s="40">
        <v>7.25</v>
      </c>
      <c r="J24" s="40">
        <v>1</v>
      </c>
      <c r="K24" s="40">
        <v>209.15</v>
      </c>
      <c r="L24" s="40">
        <v>37.15</v>
      </c>
      <c r="M24" s="40">
        <v>13.65</v>
      </c>
      <c r="N24" s="40">
        <v>418.6</v>
      </c>
      <c r="O24" s="40">
        <v>0</v>
      </c>
      <c r="P24" s="40">
        <v>0.64</v>
      </c>
      <c r="Q24" s="40">
        <v>28.09</v>
      </c>
      <c r="R24" s="38"/>
      <c r="S24" s="38"/>
      <c r="T24" s="38"/>
      <c r="U24" s="38"/>
    </row>
    <row r="25" spans="1:21" customFormat="1">
      <c r="A25" s="39" t="s">
        <v>653</v>
      </c>
      <c r="B25" s="40">
        <v>3.43</v>
      </c>
      <c r="C25" s="40">
        <v>17.38</v>
      </c>
      <c r="D25" s="40">
        <v>13.18</v>
      </c>
      <c r="E25" s="40">
        <v>23.57</v>
      </c>
      <c r="F25" s="27" t="s">
        <v>8</v>
      </c>
      <c r="G25" s="40">
        <v>70.650000000000006</v>
      </c>
      <c r="H25" s="40">
        <v>34.619999999999997</v>
      </c>
      <c r="I25" s="40">
        <v>6.69</v>
      </c>
      <c r="J25" s="40">
        <v>0.32</v>
      </c>
      <c r="K25" s="40">
        <v>222.8</v>
      </c>
      <c r="L25" s="40">
        <v>36.71</v>
      </c>
      <c r="M25" s="40">
        <v>16.82</v>
      </c>
      <c r="N25" s="40">
        <v>140</v>
      </c>
      <c r="O25" s="40">
        <v>0</v>
      </c>
      <c r="P25" s="40">
        <v>0.6</v>
      </c>
      <c r="Q25" s="40">
        <v>28.08</v>
      </c>
      <c r="R25" s="38"/>
      <c r="S25" s="38"/>
      <c r="T25" s="38"/>
      <c r="U25" s="38"/>
    </row>
    <row r="26" spans="1:21" customFormat="1">
      <c r="A26" s="39" t="s">
        <v>654</v>
      </c>
      <c r="B26" s="40">
        <v>3.28</v>
      </c>
      <c r="C26" s="40">
        <v>14.78</v>
      </c>
      <c r="D26" s="40">
        <v>11.7</v>
      </c>
      <c r="E26" s="40">
        <v>22.9</v>
      </c>
      <c r="F26" s="27" t="s">
        <v>8</v>
      </c>
      <c r="G26" s="40">
        <v>69.59</v>
      </c>
      <c r="H26" s="40">
        <v>33.74</v>
      </c>
      <c r="I26" s="40">
        <v>6.05</v>
      </c>
      <c r="J26" s="40">
        <v>0.25</v>
      </c>
      <c r="K26" s="40">
        <v>214.37</v>
      </c>
      <c r="L26" s="40">
        <v>35.020000000000003</v>
      </c>
      <c r="M26" s="40">
        <v>22.37</v>
      </c>
      <c r="N26" s="40">
        <v>63.3</v>
      </c>
      <c r="O26" s="40">
        <v>0</v>
      </c>
      <c r="P26" s="40">
        <v>0.6</v>
      </c>
      <c r="Q26" s="40">
        <v>28.08</v>
      </c>
      <c r="R26" s="38"/>
      <c r="S26" s="38"/>
      <c r="T26" s="38"/>
      <c r="U26" s="38"/>
    </row>
    <row r="27" spans="1:21" customFormat="1">
      <c r="A27" s="39" t="s">
        <v>655</v>
      </c>
      <c r="B27" s="40">
        <v>3.37</v>
      </c>
      <c r="C27" s="40">
        <v>16.34</v>
      </c>
      <c r="D27" s="40">
        <v>12.59</v>
      </c>
      <c r="E27" s="40">
        <v>15.63</v>
      </c>
      <c r="F27" s="27" t="s">
        <v>8</v>
      </c>
      <c r="G27" s="40">
        <v>79.56</v>
      </c>
      <c r="H27" s="40">
        <v>35.200000000000003</v>
      </c>
      <c r="I27" s="40">
        <v>7.15</v>
      </c>
      <c r="J27" s="40">
        <v>0.28999999999999998</v>
      </c>
      <c r="K27" s="40">
        <v>176.62</v>
      </c>
      <c r="L27" s="40">
        <v>32.03</v>
      </c>
      <c r="M27" s="40">
        <v>29.94</v>
      </c>
      <c r="N27" s="40">
        <v>9.6</v>
      </c>
      <c r="O27" s="40">
        <v>0</v>
      </c>
      <c r="P27" s="40">
        <v>0.66</v>
      </c>
      <c r="Q27" s="40">
        <v>28.07</v>
      </c>
      <c r="R27" s="38"/>
      <c r="S27" s="38"/>
      <c r="T27" s="38"/>
      <c r="U27" s="38"/>
    </row>
    <row r="28" spans="1:21" customFormat="1">
      <c r="A28" s="39" t="s">
        <v>656</v>
      </c>
      <c r="B28" s="40">
        <v>3.65</v>
      </c>
      <c r="C28" s="40">
        <v>16.62</v>
      </c>
      <c r="D28" s="40">
        <v>12.78</v>
      </c>
      <c r="E28" s="40">
        <v>13.54</v>
      </c>
      <c r="F28" s="27" t="s">
        <v>8</v>
      </c>
      <c r="G28" s="40">
        <v>85.32</v>
      </c>
      <c r="H28" s="40">
        <v>35.79</v>
      </c>
      <c r="I28" s="40">
        <v>6.87</v>
      </c>
      <c r="J28" s="40">
        <v>0.2</v>
      </c>
      <c r="K28" s="40">
        <v>230.27</v>
      </c>
      <c r="L28" s="40">
        <v>29.32</v>
      </c>
      <c r="M28" s="40">
        <v>36.83</v>
      </c>
      <c r="N28" s="40">
        <v>6</v>
      </c>
      <c r="O28" s="40">
        <v>0</v>
      </c>
      <c r="P28" s="40">
        <v>0.68</v>
      </c>
      <c r="Q28" s="40">
        <v>28.08</v>
      </c>
      <c r="R28" s="38"/>
      <c r="S28" s="38"/>
      <c r="T28" s="38"/>
      <c r="U28" s="38"/>
    </row>
    <row r="29" spans="1:21" customFormat="1">
      <c r="A29" s="39" t="s">
        <v>657</v>
      </c>
      <c r="B29" s="40">
        <v>3.95</v>
      </c>
      <c r="C29" s="40">
        <v>16.100000000000001</v>
      </c>
      <c r="D29" s="40">
        <v>12.79</v>
      </c>
      <c r="E29" s="40">
        <v>11.98</v>
      </c>
      <c r="F29" s="27" t="s">
        <v>8</v>
      </c>
      <c r="G29" s="40">
        <v>86.09</v>
      </c>
      <c r="H29" s="40">
        <v>36.89</v>
      </c>
      <c r="I29" s="40">
        <v>7.13</v>
      </c>
      <c r="J29" s="40">
        <v>0.13</v>
      </c>
      <c r="K29" s="40">
        <v>228.17</v>
      </c>
      <c r="L29" s="40">
        <v>27.8</v>
      </c>
      <c r="M29" s="40">
        <v>38.979999999999997</v>
      </c>
      <c r="N29" s="40">
        <v>5.7</v>
      </c>
      <c r="O29" s="40">
        <v>0</v>
      </c>
      <c r="P29" s="40">
        <v>0.69</v>
      </c>
      <c r="Q29" s="40">
        <v>28.1</v>
      </c>
      <c r="R29" s="38"/>
      <c r="S29" s="38"/>
      <c r="T29" s="38"/>
      <c r="U29" s="38"/>
    </row>
    <row r="30" spans="1:21" customFormat="1">
      <c r="A30" s="39" t="s">
        <v>658</v>
      </c>
      <c r="B30" s="40">
        <v>4.53</v>
      </c>
      <c r="C30" s="40">
        <v>16.149999999999999</v>
      </c>
      <c r="D30" s="40">
        <v>13.3</v>
      </c>
      <c r="E30" s="40">
        <v>10.01</v>
      </c>
      <c r="F30" s="27" t="s">
        <v>8</v>
      </c>
      <c r="G30" s="40">
        <v>83.88</v>
      </c>
      <c r="H30" s="40">
        <v>36.909999999999997</v>
      </c>
      <c r="I30" s="40">
        <v>7.26</v>
      </c>
      <c r="J30" s="40">
        <v>0.16</v>
      </c>
      <c r="K30" s="40">
        <v>219.34</v>
      </c>
      <c r="L30" s="40">
        <v>27.06</v>
      </c>
      <c r="M30" s="40">
        <v>43.71</v>
      </c>
      <c r="N30" s="40">
        <v>6</v>
      </c>
      <c r="O30" s="40">
        <v>0</v>
      </c>
      <c r="P30" s="40">
        <v>0.71</v>
      </c>
      <c r="Q30" s="40">
        <v>28.12</v>
      </c>
      <c r="R30" s="38"/>
      <c r="S30" s="38"/>
      <c r="T30" s="38"/>
      <c r="U30" s="38"/>
    </row>
    <row r="31" spans="1:21" customFormat="1">
      <c r="A31" s="39" t="s">
        <v>659</v>
      </c>
      <c r="B31" s="40">
        <v>5.0999999999999996</v>
      </c>
      <c r="C31" s="40">
        <v>15.89</v>
      </c>
      <c r="D31" s="40">
        <v>13.74</v>
      </c>
      <c r="E31" s="40">
        <v>9.31</v>
      </c>
      <c r="F31" s="27" t="s">
        <v>8</v>
      </c>
      <c r="G31" s="40">
        <v>80.27</v>
      </c>
      <c r="H31" s="40">
        <v>36.64</v>
      </c>
      <c r="I31" s="40">
        <v>7.46</v>
      </c>
      <c r="J31" s="40">
        <v>0.23</v>
      </c>
      <c r="K31" s="40">
        <v>163.19</v>
      </c>
      <c r="L31" s="40">
        <v>25.91</v>
      </c>
      <c r="M31" s="40">
        <v>45.83</v>
      </c>
      <c r="N31" s="40">
        <v>5.9</v>
      </c>
      <c r="O31" s="40">
        <v>0</v>
      </c>
      <c r="P31" s="40">
        <v>0.73</v>
      </c>
      <c r="Q31" s="40">
        <v>28.14</v>
      </c>
      <c r="R31" s="38"/>
      <c r="S31" s="38"/>
      <c r="T31" s="38"/>
      <c r="U31" s="38"/>
    </row>
    <row r="32" spans="1:21" customFormat="1">
      <c r="A32" s="39" t="s">
        <v>660</v>
      </c>
      <c r="B32" s="40">
        <v>5.77</v>
      </c>
      <c r="C32" s="40">
        <v>16.18</v>
      </c>
      <c r="D32" s="40">
        <v>14.43</v>
      </c>
      <c r="E32" s="40">
        <v>9.15</v>
      </c>
      <c r="F32" s="27" t="s">
        <v>8</v>
      </c>
      <c r="G32" s="40">
        <v>75.22</v>
      </c>
      <c r="H32" s="40">
        <v>36.68</v>
      </c>
      <c r="I32" s="40">
        <v>7.61</v>
      </c>
      <c r="J32" s="40">
        <v>0.22</v>
      </c>
      <c r="K32" s="40">
        <v>165.08</v>
      </c>
      <c r="L32" s="40">
        <v>25.24</v>
      </c>
      <c r="M32" s="40">
        <v>47.02</v>
      </c>
      <c r="N32" s="40">
        <v>6</v>
      </c>
      <c r="O32" s="40">
        <v>0</v>
      </c>
      <c r="P32" s="40">
        <v>0.74</v>
      </c>
      <c r="Q32" s="40">
        <v>28.15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3.28</v>
      </c>
      <c r="C34" s="18">
        <f t="shared" si="0"/>
        <v>14.78</v>
      </c>
      <c r="D34" s="18">
        <f t="shared" si="0"/>
        <v>11.7</v>
      </c>
      <c r="E34" s="18">
        <f t="shared" si="0"/>
        <v>7.95</v>
      </c>
      <c r="F34" s="18">
        <f t="shared" si="0"/>
        <v>0</v>
      </c>
      <c r="G34" s="18">
        <f t="shared" si="0"/>
        <v>63.42</v>
      </c>
      <c r="H34" s="18">
        <f t="shared" si="0"/>
        <v>27.98</v>
      </c>
      <c r="I34" s="18">
        <f t="shared" si="0"/>
        <v>6.05</v>
      </c>
      <c r="J34" s="18">
        <f t="shared" si="0"/>
        <v>0.13</v>
      </c>
      <c r="K34" s="18">
        <f t="shared" si="0"/>
        <v>91.44</v>
      </c>
      <c r="L34" s="18">
        <f t="shared" si="0"/>
        <v>20.86</v>
      </c>
      <c r="M34" s="18">
        <f t="shared" si="0"/>
        <v>13.65</v>
      </c>
      <c r="N34" s="18">
        <f t="shared" si="0"/>
        <v>5.7</v>
      </c>
      <c r="O34" s="18">
        <f t="shared" si="0"/>
        <v>0</v>
      </c>
      <c r="P34" s="18">
        <f t="shared" si="0"/>
        <v>0.6</v>
      </c>
      <c r="Q34" s="18">
        <f t="shared" si="0"/>
        <v>28.07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20.85</v>
      </c>
      <c r="C35" s="3">
        <f t="shared" si="1"/>
        <v>26.51</v>
      </c>
      <c r="D35" s="3">
        <f t="shared" si="1"/>
        <v>31.51</v>
      </c>
      <c r="E35" s="3">
        <f t="shared" si="1"/>
        <v>23.57</v>
      </c>
      <c r="F35" s="3">
        <f t="shared" si="1"/>
        <v>0</v>
      </c>
      <c r="G35" s="3">
        <f t="shared" si="1"/>
        <v>115.78</v>
      </c>
      <c r="H35" s="3">
        <f t="shared" si="1"/>
        <v>42.29</v>
      </c>
      <c r="I35" s="3">
        <f t="shared" si="1"/>
        <v>10.77</v>
      </c>
      <c r="J35" s="3">
        <f t="shared" si="1"/>
        <v>1.05</v>
      </c>
      <c r="K35" s="3">
        <f t="shared" si="1"/>
        <v>336.89</v>
      </c>
      <c r="L35" s="3">
        <f t="shared" si="1"/>
        <v>37.630000000000003</v>
      </c>
      <c r="M35" s="3">
        <f t="shared" si="1"/>
        <v>68.36</v>
      </c>
      <c r="N35" s="3">
        <f t="shared" si="1"/>
        <v>796.1</v>
      </c>
      <c r="O35" s="3">
        <f t="shared" si="1"/>
        <v>0</v>
      </c>
      <c r="P35" s="3">
        <f t="shared" si="1"/>
        <v>0.96</v>
      </c>
      <c r="Q35" s="3">
        <f t="shared" si="1"/>
        <v>28.65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9.3804166666666671</v>
      </c>
      <c r="C36" s="18">
        <f t="shared" si="2"/>
        <v>20.944999999999997</v>
      </c>
      <c r="D36" s="18">
        <f t="shared" si="2"/>
        <v>19.705416666666665</v>
      </c>
      <c r="E36" s="18">
        <f t="shared" si="2"/>
        <v>12.363333333333332</v>
      </c>
      <c r="F36" s="18" t="e">
        <f t="shared" si="2"/>
        <v>#DIV/0!</v>
      </c>
      <c r="G36" s="18">
        <f t="shared" si="2"/>
        <v>86.13</v>
      </c>
      <c r="H36" s="18">
        <f t="shared" si="2"/>
        <v>35.124583333333334</v>
      </c>
      <c r="I36" s="18">
        <f t="shared" si="2"/>
        <v>8.6720833333333349</v>
      </c>
      <c r="J36" s="18">
        <f t="shared" si="2"/>
        <v>0.49125000000000002</v>
      </c>
      <c r="K36" s="18">
        <f t="shared" si="2"/>
        <v>227.55833333333331</v>
      </c>
      <c r="L36" s="18">
        <f t="shared" si="2"/>
        <v>29.272083333333327</v>
      </c>
      <c r="M36" s="18">
        <f t="shared" si="2"/>
        <v>40.518750000000011</v>
      </c>
      <c r="N36" s="18">
        <f t="shared" si="2"/>
        <v>222.84583333333333</v>
      </c>
      <c r="O36" s="18">
        <f t="shared" si="2"/>
        <v>0</v>
      </c>
      <c r="P36" s="18">
        <f t="shared" si="2"/>
        <v>0.79083333333333339</v>
      </c>
      <c r="Q36" s="18">
        <f t="shared" si="2"/>
        <v>28.270416666666666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6.7272776838950197</v>
      </c>
      <c r="C37" s="18">
        <f t="shared" ref="C37:Q37" si="3">STDEV(C9:C32)</f>
        <v>4.0939520610604321</v>
      </c>
      <c r="D37" s="18">
        <f t="shared" si="3"/>
        <v>7.1509634371677642</v>
      </c>
      <c r="E37" s="18">
        <f t="shared" si="3"/>
        <v>4.8915692037793255</v>
      </c>
      <c r="F37" s="18" t="e">
        <f t="shared" si="3"/>
        <v>#DIV/0!</v>
      </c>
      <c r="G37" s="18">
        <f t="shared" si="3"/>
        <v>14.547007760450555</v>
      </c>
      <c r="H37" s="18">
        <f t="shared" si="3"/>
        <v>3.6307658542525187</v>
      </c>
      <c r="I37" s="18">
        <f t="shared" si="3"/>
        <v>1.4873085676356079</v>
      </c>
      <c r="J37" s="18">
        <f t="shared" si="3"/>
        <v>0.30878883315019806</v>
      </c>
      <c r="K37" s="18">
        <f t="shared" si="3"/>
        <v>67.156674158701378</v>
      </c>
      <c r="L37" s="18">
        <f t="shared" si="3"/>
        <v>6.024132612408577</v>
      </c>
      <c r="M37" s="18">
        <f t="shared" si="3"/>
        <v>18.391038061465146</v>
      </c>
      <c r="N37" s="18">
        <f t="shared" si="3"/>
        <v>298.59713586553619</v>
      </c>
      <c r="O37" s="18">
        <f t="shared" si="3"/>
        <v>0</v>
      </c>
      <c r="P37" s="18">
        <f t="shared" si="3"/>
        <v>0.11728511031434964</v>
      </c>
      <c r="Q37" s="18">
        <f t="shared" si="3"/>
        <v>0.22091665094932694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F38" sqref="F3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661</v>
      </c>
      <c r="B9" s="40">
        <v>7.89</v>
      </c>
      <c r="C9" s="40">
        <v>20.260000000000002</v>
      </c>
      <c r="D9" s="40">
        <v>18.260000000000002</v>
      </c>
      <c r="E9" s="40">
        <v>8.7899999999999991</v>
      </c>
      <c r="F9" s="28" t="s">
        <v>15</v>
      </c>
      <c r="G9" s="40">
        <v>75.75</v>
      </c>
      <c r="H9" s="40">
        <v>35.450000000000003</v>
      </c>
      <c r="I9" s="40">
        <v>7.82</v>
      </c>
      <c r="J9" s="40">
        <v>0.23</v>
      </c>
      <c r="K9" s="40">
        <v>198.45</v>
      </c>
      <c r="L9" s="40">
        <v>25.16</v>
      </c>
      <c r="M9" s="40">
        <v>52.46</v>
      </c>
      <c r="N9" s="40">
        <v>6.3</v>
      </c>
      <c r="O9" s="40">
        <v>0</v>
      </c>
      <c r="P9" s="40">
        <v>0.76</v>
      </c>
      <c r="Q9" s="40">
        <v>28.22</v>
      </c>
      <c r="R9" s="38"/>
      <c r="S9" s="38"/>
      <c r="T9" s="38"/>
      <c r="U9" s="38"/>
    </row>
    <row r="10" spans="1:21" customFormat="1">
      <c r="A10" s="39" t="s">
        <v>662</v>
      </c>
      <c r="B10" s="40">
        <v>11.01</v>
      </c>
      <c r="C10" s="40">
        <v>22.39</v>
      </c>
      <c r="D10" s="40">
        <v>21.87</v>
      </c>
      <c r="E10" s="40">
        <v>8.64</v>
      </c>
      <c r="F10" s="28" t="s">
        <v>15</v>
      </c>
      <c r="G10" s="40">
        <v>88.99</v>
      </c>
      <c r="H10" s="40">
        <v>36.04</v>
      </c>
      <c r="I10" s="40">
        <v>8.08</v>
      </c>
      <c r="J10" s="40">
        <v>0.25</v>
      </c>
      <c r="K10" s="40">
        <v>210.71</v>
      </c>
      <c r="L10" s="40">
        <v>23.66</v>
      </c>
      <c r="M10" s="40">
        <v>56.73</v>
      </c>
      <c r="N10" s="40">
        <v>6.4</v>
      </c>
      <c r="O10" s="40">
        <v>0</v>
      </c>
      <c r="P10" s="40">
        <v>0.78</v>
      </c>
      <c r="Q10" s="40">
        <v>28.3</v>
      </c>
      <c r="R10" s="38"/>
      <c r="S10" s="38"/>
      <c r="T10" s="38"/>
      <c r="U10" s="38"/>
    </row>
    <row r="11" spans="1:21" customFormat="1">
      <c r="A11" s="39" t="s">
        <v>663</v>
      </c>
      <c r="B11" s="40">
        <v>14.54</v>
      </c>
      <c r="C11" s="40">
        <v>23.11</v>
      </c>
      <c r="D11" s="40">
        <v>25.08</v>
      </c>
      <c r="E11" s="40">
        <v>9.4600000000000009</v>
      </c>
      <c r="F11" s="28" t="s">
        <v>15</v>
      </c>
      <c r="G11" s="40">
        <v>105.99</v>
      </c>
      <c r="H11" s="40">
        <v>40.33</v>
      </c>
      <c r="I11" s="40">
        <v>8.3000000000000007</v>
      </c>
      <c r="J11" s="40">
        <v>0.15</v>
      </c>
      <c r="K11" s="40">
        <v>207.4</v>
      </c>
      <c r="L11" s="40">
        <v>23.3</v>
      </c>
      <c r="M11" s="40">
        <v>57.44</v>
      </c>
      <c r="N11" s="40">
        <v>6</v>
      </c>
      <c r="O11" s="40">
        <v>0</v>
      </c>
      <c r="P11" s="40">
        <v>0.82</v>
      </c>
      <c r="Q11" s="40">
        <v>28.41</v>
      </c>
      <c r="R11" s="38"/>
      <c r="S11" s="38"/>
      <c r="T11" s="38"/>
      <c r="U11" s="38"/>
    </row>
    <row r="12" spans="1:21" customFormat="1">
      <c r="A12" s="39" t="s">
        <v>664</v>
      </c>
      <c r="B12" s="40">
        <v>17.63</v>
      </c>
      <c r="C12" s="40">
        <v>23.3</v>
      </c>
      <c r="D12" s="40">
        <v>27.61</v>
      </c>
      <c r="E12" s="40">
        <v>9.6999999999999993</v>
      </c>
      <c r="F12" s="28" t="s">
        <v>15</v>
      </c>
      <c r="G12" s="40">
        <v>116.54</v>
      </c>
      <c r="H12" s="40">
        <v>43.81</v>
      </c>
      <c r="I12" s="40">
        <v>9.08</v>
      </c>
      <c r="J12" s="40">
        <v>0.5</v>
      </c>
      <c r="K12" s="40">
        <v>180.88</v>
      </c>
      <c r="L12" s="40">
        <v>23.18</v>
      </c>
      <c r="M12" s="40">
        <v>57.19</v>
      </c>
      <c r="N12" s="40">
        <v>6.1</v>
      </c>
      <c r="O12" s="40">
        <v>0</v>
      </c>
      <c r="P12" s="40">
        <v>0.9</v>
      </c>
      <c r="Q12" s="40">
        <v>28.51</v>
      </c>
      <c r="R12" s="38"/>
      <c r="S12" s="38"/>
      <c r="T12" s="38"/>
      <c r="U12" s="38"/>
    </row>
    <row r="13" spans="1:21" customFormat="1">
      <c r="A13" s="39" t="s">
        <v>665</v>
      </c>
      <c r="B13" s="40">
        <v>17.71</v>
      </c>
      <c r="C13" s="40">
        <v>23.04</v>
      </c>
      <c r="D13" s="40">
        <v>27.59</v>
      </c>
      <c r="E13" s="40">
        <v>9.5</v>
      </c>
      <c r="F13" s="28" t="s">
        <v>15</v>
      </c>
      <c r="G13" s="40">
        <v>120.85</v>
      </c>
      <c r="H13" s="40">
        <v>45.75</v>
      </c>
      <c r="I13" s="40">
        <v>9.89</v>
      </c>
      <c r="J13" s="40">
        <v>0.26</v>
      </c>
      <c r="K13" s="40">
        <v>209.3</v>
      </c>
      <c r="L13" s="40">
        <v>21.97</v>
      </c>
      <c r="M13" s="40">
        <v>66.39</v>
      </c>
      <c r="N13" s="40">
        <v>6.5</v>
      </c>
      <c r="O13" s="40">
        <v>0</v>
      </c>
      <c r="P13" s="40">
        <v>0.94</v>
      </c>
      <c r="Q13" s="40">
        <v>28.53</v>
      </c>
      <c r="R13" s="38"/>
      <c r="S13" s="38"/>
      <c r="T13" s="38"/>
      <c r="U13" s="38"/>
    </row>
    <row r="14" spans="1:21" customFormat="1">
      <c r="A14" s="39" t="s">
        <v>666</v>
      </c>
      <c r="B14" s="40">
        <v>16.87</v>
      </c>
      <c r="C14" s="40">
        <v>21.84</v>
      </c>
      <c r="D14" s="40">
        <v>26.29</v>
      </c>
      <c r="E14" s="40">
        <v>9.15</v>
      </c>
      <c r="F14" s="28" t="s">
        <v>15</v>
      </c>
      <c r="G14" s="40">
        <v>121.74</v>
      </c>
      <c r="H14" s="40">
        <v>45.84</v>
      </c>
      <c r="I14" s="40">
        <v>10.14</v>
      </c>
      <c r="J14" s="40">
        <v>0.23</v>
      </c>
      <c r="K14" s="40">
        <v>204.49</v>
      </c>
      <c r="L14" s="40">
        <v>20.59</v>
      </c>
      <c r="M14" s="40">
        <v>67.77</v>
      </c>
      <c r="N14" s="40">
        <v>7.8</v>
      </c>
      <c r="O14" s="40">
        <v>0</v>
      </c>
      <c r="P14" s="40">
        <v>0.95</v>
      </c>
      <c r="Q14" s="40">
        <v>28.5</v>
      </c>
      <c r="R14" s="38"/>
      <c r="S14" s="38"/>
      <c r="T14" s="38"/>
      <c r="U14" s="38"/>
    </row>
    <row r="15" spans="1:21" customFormat="1">
      <c r="A15" s="39" t="s">
        <v>667</v>
      </c>
      <c r="B15" s="40">
        <v>16.66</v>
      </c>
      <c r="C15" s="40">
        <v>19.46</v>
      </c>
      <c r="D15" s="40">
        <v>24.86</v>
      </c>
      <c r="E15" s="40">
        <v>9.4700000000000006</v>
      </c>
      <c r="F15" s="28" t="s">
        <v>15</v>
      </c>
      <c r="G15" s="40">
        <v>106.39</v>
      </c>
      <c r="H15" s="40">
        <v>42.03</v>
      </c>
      <c r="I15" s="40">
        <v>10.33</v>
      </c>
      <c r="J15" s="40">
        <v>0.16</v>
      </c>
      <c r="K15" s="40">
        <v>224.09</v>
      </c>
      <c r="L15" s="40">
        <v>21.8</v>
      </c>
      <c r="M15" s="40">
        <v>68.27</v>
      </c>
      <c r="N15" s="40">
        <v>45.5</v>
      </c>
      <c r="O15" s="40">
        <v>0</v>
      </c>
      <c r="P15" s="40">
        <v>0.96</v>
      </c>
      <c r="Q15" s="40">
        <v>28.48</v>
      </c>
      <c r="R15" s="38"/>
      <c r="S15" s="38"/>
      <c r="T15" s="38"/>
      <c r="U15" s="38"/>
    </row>
    <row r="16" spans="1:21" customFormat="1">
      <c r="A16" s="39" t="s">
        <v>668</v>
      </c>
      <c r="B16" s="40">
        <v>19.170000000000002</v>
      </c>
      <c r="C16" s="40">
        <v>20.12</v>
      </c>
      <c r="D16" s="40">
        <v>27.24</v>
      </c>
      <c r="E16" s="40">
        <v>9.84</v>
      </c>
      <c r="F16" s="28" t="s">
        <v>15</v>
      </c>
      <c r="G16" s="40">
        <v>118.05</v>
      </c>
      <c r="H16" s="40">
        <v>47.32</v>
      </c>
      <c r="I16" s="40">
        <v>10.76</v>
      </c>
      <c r="J16" s="40">
        <v>0.75</v>
      </c>
      <c r="K16" s="40">
        <v>262.38</v>
      </c>
      <c r="L16" s="40">
        <v>26.1</v>
      </c>
      <c r="M16" s="40">
        <v>61.09</v>
      </c>
      <c r="N16" s="40">
        <v>114.2</v>
      </c>
      <c r="O16" s="40">
        <v>0</v>
      </c>
      <c r="P16" s="40">
        <v>1.01</v>
      </c>
      <c r="Q16" s="40">
        <v>28.58</v>
      </c>
      <c r="R16" s="38"/>
      <c r="S16" s="38"/>
      <c r="T16" s="38"/>
      <c r="U16" s="38"/>
    </row>
    <row r="17" spans="1:21" customFormat="1">
      <c r="A17" s="39" t="s">
        <v>669</v>
      </c>
      <c r="B17" s="40">
        <v>19.100000000000001</v>
      </c>
      <c r="C17" s="40">
        <v>21.64</v>
      </c>
      <c r="D17" s="40">
        <v>26.81</v>
      </c>
      <c r="E17" s="40">
        <v>11.14</v>
      </c>
      <c r="F17" s="28" t="s">
        <v>15</v>
      </c>
      <c r="G17" s="40">
        <v>122.14</v>
      </c>
      <c r="H17" s="40">
        <v>49.66</v>
      </c>
      <c r="I17" s="40">
        <v>11.27</v>
      </c>
      <c r="J17" s="40">
        <v>0.39</v>
      </c>
      <c r="K17" s="40">
        <v>196.98</v>
      </c>
      <c r="L17" s="40">
        <v>31.62</v>
      </c>
      <c r="M17" s="40">
        <v>37.880000000000003</v>
      </c>
      <c r="N17" s="40">
        <v>337.9</v>
      </c>
      <c r="O17" s="40">
        <v>0</v>
      </c>
      <c r="P17" s="40">
        <v>1</v>
      </c>
      <c r="Q17" s="40">
        <v>28.56</v>
      </c>
      <c r="R17" s="38"/>
      <c r="S17" s="38"/>
      <c r="T17" s="38"/>
      <c r="U17" s="38"/>
    </row>
    <row r="18" spans="1:21" customFormat="1">
      <c r="A18" s="39" t="s">
        <v>670</v>
      </c>
      <c r="B18" s="40">
        <v>14.89</v>
      </c>
      <c r="C18" s="40">
        <v>21.61</v>
      </c>
      <c r="D18" s="40">
        <v>24.58</v>
      </c>
      <c r="E18" s="40">
        <v>11.41</v>
      </c>
      <c r="F18" s="28" t="s">
        <v>15</v>
      </c>
      <c r="G18" s="40">
        <v>122.24</v>
      </c>
      <c r="H18" s="40">
        <v>49.69</v>
      </c>
      <c r="I18" s="40">
        <v>11.25</v>
      </c>
      <c r="J18" s="40">
        <v>0.56999999999999995</v>
      </c>
      <c r="K18" s="40">
        <v>262.47000000000003</v>
      </c>
      <c r="L18" s="40">
        <v>33.82</v>
      </c>
      <c r="M18" s="40">
        <v>27.11</v>
      </c>
      <c r="N18" s="40">
        <v>583.29999999999995</v>
      </c>
      <c r="O18" s="40">
        <v>0</v>
      </c>
      <c r="P18" s="40">
        <v>1</v>
      </c>
      <c r="Q18" s="40">
        <v>28.44</v>
      </c>
      <c r="R18" s="38"/>
      <c r="S18" s="38"/>
      <c r="T18" s="38"/>
      <c r="U18" s="38"/>
    </row>
    <row r="19" spans="1:21" customFormat="1">
      <c r="A19" s="39" t="s">
        <v>671</v>
      </c>
      <c r="B19" s="40">
        <v>7.79</v>
      </c>
      <c r="C19" s="40">
        <v>22.43</v>
      </c>
      <c r="D19" s="40">
        <v>19.18</v>
      </c>
      <c r="E19" s="40">
        <v>10.76</v>
      </c>
      <c r="F19" s="40">
        <v>2.6</v>
      </c>
      <c r="G19" s="40">
        <v>107.73</v>
      </c>
      <c r="H19" s="40">
        <v>42.6</v>
      </c>
      <c r="I19" s="40">
        <v>10.59</v>
      </c>
      <c r="J19" s="40">
        <v>0.56999999999999995</v>
      </c>
      <c r="K19" s="40">
        <v>296.27</v>
      </c>
      <c r="L19" s="40">
        <v>36.71</v>
      </c>
      <c r="M19" s="40">
        <v>22.02</v>
      </c>
      <c r="N19" s="40">
        <v>708.7</v>
      </c>
      <c r="O19" s="40">
        <v>0</v>
      </c>
      <c r="P19" s="40">
        <v>0.92</v>
      </c>
      <c r="Q19" s="40">
        <v>28.23</v>
      </c>
      <c r="R19" s="38"/>
      <c r="S19" s="38"/>
      <c r="T19" s="38"/>
      <c r="U19" s="38"/>
    </row>
    <row r="20" spans="1:21" customFormat="1">
      <c r="A20" s="39" t="s">
        <v>672</v>
      </c>
      <c r="B20" s="40">
        <v>3.67</v>
      </c>
      <c r="C20" s="40">
        <v>20.67</v>
      </c>
      <c r="D20" s="40">
        <v>15.09</v>
      </c>
      <c r="E20" s="40">
        <v>10.69</v>
      </c>
      <c r="F20" s="40">
        <v>2.6</v>
      </c>
      <c r="G20" s="40">
        <v>90.61</v>
      </c>
      <c r="H20" s="40">
        <v>42.31</v>
      </c>
      <c r="I20" s="40">
        <v>9.57</v>
      </c>
      <c r="J20" s="40">
        <v>0.56999999999999995</v>
      </c>
      <c r="K20" s="40">
        <v>256.32</v>
      </c>
      <c r="L20" s="40">
        <v>37.58</v>
      </c>
      <c r="M20" s="40">
        <v>15.72</v>
      </c>
      <c r="N20" s="40">
        <v>748.6</v>
      </c>
      <c r="O20" s="40">
        <v>0</v>
      </c>
      <c r="P20" s="40">
        <v>0.81</v>
      </c>
      <c r="Q20" s="40">
        <v>28.1</v>
      </c>
      <c r="R20" s="38"/>
      <c r="S20" s="38"/>
      <c r="T20" s="38"/>
      <c r="U20" s="38"/>
    </row>
    <row r="21" spans="1:21" customFormat="1">
      <c r="A21" s="39" t="s">
        <v>673</v>
      </c>
      <c r="B21" s="40">
        <v>3.59</v>
      </c>
      <c r="C21" s="40">
        <v>18.309999999999999</v>
      </c>
      <c r="D21" s="40">
        <v>13.76</v>
      </c>
      <c r="E21" s="40">
        <v>10.31</v>
      </c>
      <c r="F21" s="40">
        <v>3.2</v>
      </c>
      <c r="G21" s="40">
        <v>76.709999999999994</v>
      </c>
      <c r="H21" s="40">
        <v>39.75</v>
      </c>
      <c r="I21" s="40">
        <v>8.6999999999999993</v>
      </c>
      <c r="J21" s="40">
        <v>0.97</v>
      </c>
      <c r="K21" s="40">
        <v>290.11</v>
      </c>
      <c r="L21" s="40">
        <v>37.93</v>
      </c>
      <c r="M21" s="40">
        <v>16.739999999999998</v>
      </c>
      <c r="N21" s="40">
        <v>715.5</v>
      </c>
      <c r="O21" s="40">
        <v>0</v>
      </c>
      <c r="P21" s="40">
        <v>0.75</v>
      </c>
      <c r="Q21" s="40">
        <v>28.07</v>
      </c>
      <c r="R21" s="38"/>
      <c r="S21" s="38"/>
      <c r="T21" s="38"/>
      <c r="U21" s="38"/>
    </row>
    <row r="22" spans="1:21" customFormat="1">
      <c r="A22" s="39" t="s">
        <v>674</v>
      </c>
      <c r="B22" s="40">
        <v>3.64</v>
      </c>
      <c r="C22" s="40">
        <v>16.670000000000002</v>
      </c>
      <c r="D22" s="40">
        <v>12.95</v>
      </c>
      <c r="E22" s="40">
        <v>15.88</v>
      </c>
      <c r="F22" s="40">
        <v>3.1</v>
      </c>
      <c r="G22" s="40">
        <v>64.38</v>
      </c>
      <c r="H22" s="40">
        <v>36.32</v>
      </c>
      <c r="I22" s="40">
        <v>8.06</v>
      </c>
      <c r="J22" s="40">
        <v>1.03</v>
      </c>
      <c r="K22" s="40">
        <v>337.78</v>
      </c>
      <c r="L22" s="40">
        <v>39.29</v>
      </c>
      <c r="M22" s="40">
        <v>14.37</v>
      </c>
      <c r="N22" s="40">
        <v>641.4</v>
      </c>
      <c r="O22" s="40">
        <v>0</v>
      </c>
      <c r="P22" s="40">
        <v>0.68</v>
      </c>
      <c r="Q22" s="40">
        <v>28.07</v>
      </c>
      <c r="R22" s="38"/>
      <c r="S22" s="38"/>
      <c r="T22" s="38"/>
      <c r="U22" s="38"/>
    </row>
    <row r="23" spans="1:21" customFormat="1">
      <c r="A23" s="39" t="s">
        <v>675</v>
      </c>
      <c r="B23" s="40">
        <v>4.0199999999999996</v>
      </c>
      <c r="C23" s="40">
        <v>18.37</v>
      </c>
      <c r="D23" s="40">
        <v>14.17</v>
      </c>
      <c r="E23" s="40">
        <v>14.68</v>
      </c>
      <c r="F23" s="40">
        <v>1.6</v>
      </c>
      <c r="G23" s="40">
        <v>67.64</v>
      </c>
      <c r="H23" s="40">
        <v>35.17</v>
      </c>
      <c r="I23" s="40">
        <v>7.25</v>
      </c>
      <c r="J23" s="40">
        <v>1.07</v>
      </c>
      <c r="K23" s="40">
        <v>343.23</v>
      </c>
      <c r="L23" s="40">
        <v>38.22</v>
      </c>
      <c r="M23" s="40">
        <v>9.11</v>
      </c>
      <c r="N23" s="40">
        <v>577.29999999999995</v>
      </c>
      <c r="O23" s="40">
        <v>0</v>
      </c>
      <c r="P23" s="40">
        <v>0.64</v>
      </c>
      <c r="Q23" s="40">
        <v>28.07</v>
      </c>
      <c r="R23" s="38"/>
      <c r="S23" s="38"/>
      <c r="T23" s="38"/>
      <c r="U23" s="38"/>
    </row>
    <row r="24" spans="1:21" customFormat="1">
      <c r="A24" s="39" t="s">
        <v>676</v>
      </c>
      <c r="B24" s="40">
        <v>4.82</v>
      </c>
      <c r="C24" s="40">
        <v>19.09</v>
      </c>
      <c r="D24" s="40">
        <v>15.19</v>
      </c>
      <c r="E24" s="40">
        <v>16.34</v>
      </c>
      <c r="F24" s="40">
        <v>2.5</v>
      </c>
      <c r="G24" s="40">
        <v>68.680000000000007</v>
      </c>
      <c r="H24" s="40">
        <v>33.18</v>
      </c>
      <c r="I24" s="40">
        <v>6.62</v>
      </c>
      <c r="J24" s="40">
        <v>1.06</v>
      </c>
      <c r="K24" s="40">
        <v>332.93</v>
      </c>
      <c r="L24" s="40">
        <v>38.24</v>
      </c>
      <c r="M24" s="40">
        <v>8.56</v>
      </c>
      <c r="N24" s="40">
        <v>461.8</v>
      </c>
      <c r="O24" s="40">
        <v>0</v>
      </c>
      <c r="P24" s="40">
        <v>0.61</v>
      </c>
      <c r="Q24" s="40">
        <v>28.07</v>
      </c>
      <c r="R24" s="38"/>
      <c r="S24" s="38"/>
      <c r="T24" s="38"/>
      <c r="U24" s="38"/>
    </row>
    <row r="25" spans="1:21" customFormat="1">
      <c r="A25" s="39" t="s">
        <v>677</v>
      </c>
      <c r="B25" s="40">
        <v>6.29</v>
      </c>
      <c r="C25" s="40">
        <v>25.29</v>
      </c>
      <c r="D25" s="40">
        <v>19.61</v>
      </c>
      <c r="E25" s="40">
        <v>18.73</v>
      </c>
      <c r="F25" s="40">
        <v>2.6</v>
      </c>
      <c r="G25" s="40">
        <v>56.73</v>
      </c>
      <c r="H25" s="40">
        <v>29.51</v>
      </c>
      <c r="I25" s="40">
        <v>5.89</v>
      </c>
      <c r="J25" s="40">
        <v>1.1399999999999999</v>
      </c>
      <c r="K25" s="40">
        <v>348.72</v>
      </c>
      <c r="L25" s="40">
        <v>37.89</v>
      </c>
      <c r="M25" s="40">
        <v>9.31</v>
      </c>
      <c r="N25" s="40">
        <v>141</v>
      </c>
      <c r="O25" s="40">
        <v>0</v>
      </c>
      <c r="P25" s="40">
        <v>0.6</v>
      </c>
      <c r="Q25" s="40">
        <v>28.09</v>
      </c>
      <c r="R25" s="38"/>
      <c r="S25" s="38"/>
      <c r="T25" s="38"/>
      <c r="U25" s="38"/>
    </row>
    <row r="26" spans="1:21" customFormat="1">
      <c r="A26" s="39" t="s">
        <v>678</v>
      </c>
      <c r="B26" s="40">
        <v>6.34</v>
      </c>
      <c r="C26" s="40">
        <v>25.5</v>
      </c>
      <c r="D26" s="40">
        <v>19.760000000000002</v>
      </c>
      <c r="E26" s="40">
        <v>16.260000000000002</v>
      </c>
      <c r="F26" s="40">
        <v>3.85</v>
      </c>
      <c r="G26" s="40">
        <v>47.95</v>
      </c>
      <c r="H26" s="40">
        <v>23.12</v>
      </c>
      <c r="I26" s="40">
        <v>5.37</v>
      </c>
      <c r="J26" s="40">
        <v>0.48</v>
      </c>
      <c r="K26" s="40">
        <v>163.76</v>
      </c>
      <c r="L26" s="40">
        <v>36.57</v>
      </c>
      <c r="M26" s="40">
        <v>16.09</v>
      </c>
      <c r="N26" s="40">
        <v>69.099999999999994</v>
      </c>
      <c r="O26" s="40">
        <v>0</v>
      </c>
      <c r="P26" s="40">
        <v>0.61</v>
      </c>
      <c r="Q26" s="40">
        <v>28.1</v>
      </c>
      <c r="R26" s="38"/>
      <c r="S26" s="38"/>
      <c r="T26" s="38"/>
      <c r="U26" s="38"/>
    </row>
    <row r="27" spans="1:21" customFormat="1">
      <c r="A27" s="39" t="s">
        <v>679</v>
      </c>
      <c r="B27" s="40">
        <v>3.98</v>
      </c>
      <c r="C27" s="40">
        <v>18.600000000000001</v>
      </c>
      <c r="D27" s="40">
        <v>14.13</v>
      </c>
      <c r="E27" s="40">
        <v>10.33</v>
      </c>
      <c r="F27" s="40">
        <v>5.9</v>
      </c>
      <c r="G27" s="40">
        <v>58.19</v>
      </c>
      <c r="H27" s="40">
        <v>19.75</v>
      </c>
      <c r="I27" s="40">
        <v>5.92</v>
      </c>
      <c r="J27" s="40">
        <v>0.32</v>
      </c>
      <c r="K27" s="40">
        <v>191.84</v>
      </c>
      <c r="L27" s="40">
        <v>32.21</v>
      </c>
      <c r="M27" s="40">
        <v>25.62</v>
      </c>
      <c r="N27" s="40">
        <v>10</v>
      </c>
      <c r="O27" s="40">
        <v>0</v>
      </c>
      <c r="P27" s="40">
        <v>0.63</v>
      </c>
      <c r="Q27" s="40">
        <v>28.13</v>
      </c>
      <c r="R27" s="38"/>
      <c r="S27" s="38"/>
      <c r="T27" s="38"/>
      <c r="U27" s="38"/>
    </row>
    <row r="28" spans="1:21" customFormat="1">
      <c r="A28" s="39" t="s">
        <v>680</v>
      </c>
      <c r="B28" s="40">
        <v>4.79</v>
      </c>
      <c r="C28" s="40">
        <v>17.48</v>
      </c>
      <c r="D28" s="40">
        <v>13.84</v>
      </c>
      <c r="E28" s="40">
        <v>9.24</v>
      </c>
      <c r="F28" s="40">
        <v>6.5</v>
      </c>
      <c r="G28" s="40">
        <v>66.22</v>
      </c>
      <c r="H28" s="40">
        <v>24.97</v>
      </c>
      <c r="I28" s="40">
        <v>6.34</v>
      </c>
      <c r="J28" s="40">
        <v>0.21</v>
      </c>
      <c r="K28" s="40">
        <v>208.04</v>
      </c>
      <c r="L28" s="40">
        <v>28.88</v>
      </c>
      <c r="M28" s="40">
        <v>30.03</v>
      </c>
      <c r="N28" s="40">
        <v>6.4</v>
      </c>
      <c r="O28" s="40">
        <v>0</v>
      </c>
      <c r="P28" s="40">
        <v>0.67</v>
      </c>
      <c r="Q28" s="40">
        <v>28.12</v>
      </c>
      <c r="R28" s="38"/>
      <c r="S28" s="38"/>
      <c r="T28" s="38"/>
      <c r="U28" s="38"/>
    </row>
    <row r="29" spans="1:21" customFormat="1">
      <c r="A29" s="39" t="s">
        <v>681</v>
      </c>
      <c r="B29" s="40">
        <v>4.5999999999999996</v>
      </c>
      <c r="C29" s="40">
        <v>16.98</v>
      </c>
      <c r="D29" s="40">
        <v>13.77</v>
      </c>
      <c r="E29" s="40">
        <v>8.6199999999999992</v>
      </c>
      <c r="F29" s="40">
        <v>6.5</v>
      </c>
      <c r="G29" s="40">
        <v>72.03</v>
      </c>
      <c r="H29" s="40">
        <v>25.05</v>
      </c>
      <c r="I29" s="40">
        <v>6.94</v>
      </c>
      <c r="J29" s="40">
        <v>0.27</v>
      </c>
      <c r="K29" s="40">
        <v>186.65</v>
      </c>
      <c r="L29" s="40">
        <v>28.12</v>
      </c>
      <c r="M29" s="40">
        <v>34.79</v>
      </c>
      <c r="N29" s="40">
        <v>5.8</v>
      </c>
      <c r="O29" s="40">
        <v>0</v>
      </c>
      <c r="P29" s="40">
        <v>0.72</v>
      </c>
      <c r="Q29" s="40">
        <v>28.11</v>
      </c>
      <c r="R29" s="38"/>
      <c r="S29" s="38"/>
      <c r="T29" s="38"/>
      <c r="U29" s="38"/>
    </row>
    <row r="30" spans="1:21" customFormat="1">
      <c r="A30" s="39" t="s">
        <v>682</v>
      </c>
      <c r="B30" s="40">
        <v>4.12</v>
      </c>
      <c r="C30" s="40">
        <v>17.18</v>
      </c>
      <c r="D30" s="40">
        <v>13.57</v>
      </c>
      <c r="E30" s="40">
        <v>8.27</v>
      </c>
      <c r="F30" s="40">
        <v>6.5</v>
      </c>
      <c r="G30" s="40">
        <v>73.98</v>
      </c>
      <c r="H30" s="40">
        <v>27.34</v>
      </c>
      <c r="I30" s="40">
        <v>7.68</v>
      </c>
      <c r="J30" s="40">
        <v>0.32</v>
      </c>
      <c r="K30" s="40">
        <v>175.07</v>
      </c>
      <c r="L30" s="40">
        <v>27.04</v>
      </c>
      <c r="M30" s="40">
        <v>36.33</v>
      </c>
      <c r="N30" s="40">
        <v>5.8</v>
      </c>
      <c r="O30" s="40">
        <v>0</v>
      </c>
      <c r="P30" s="40">
        <v>0.75</v>
      </c>
      <c r="Q30" s="40">
        <v>28.09</v>
      </c>
      <c r="R30" s="38"/>
      <c r="S30" s="38"/>
      <c r="T30" s="38"/>
      <c r="U30" s="38"/>
    </row>
    <row r="31" spans="1:21" customFormat="1">
      <c r="A31" s="39" t="s">
        <v>683</v>
      </c>
      <c r="B31" s="40">
        <v>4.29</v>
      </c>
      <c r="C31" s="40">
        <v>17.829999999999998</v>
      </c>
      <c r="D31" s="40">
        <v>14.06</v>
      </c>
      <c r="E31" s="40">
        <v>8.2899999999999991</v>
      </c>
      <c r="F31" s="40">
        <v>2.2999999999999998</v>
      </c>
      <c r="G31" s="40">
        <v>74.13</v>
      </c>
      <c r="H31" s="40">
        <v>28.96</v>
      </c>
      <c r="I31" s="40">
        <v>7.81</v>
      </c>
      <c r="J31" s="40">
        <v>0.26</v>
      </c>
      <c r="K31" s="40">
        <v>212.8</v>
      </c>
      <c r="L31" s="40">
        <v>26.38</v>
      </c>
      <c r="M31" s="40">
        <v>40.49</v>
      </c>
      <c r="N31" s="40">
        <v>6</v>
      </c>
      <c r="O31" s="40">
        <v>0</v>
      </c>
      <c r="P31" s="40">
        <v>0.74</v>
      </c>
      <c r="Q31" s="40">
        <v>28.09</v>
      </c>
      <c r="R31" s="38"/>
      <c r="S31" s="38"/>
      <c r="T31" s="38"/>
      <c r="U31" s="38"/>
    </row>
    <row r="32" spans="1:21" customFormat="1">
      <c r="A32" s="39" t="s">
        <v>684</v>
      </c>
      <c r="B32" s="40">
        <v>4.4000000000000004</v>
      </c>
      <c r="C32" s="40">
        <v>17.760000000000002</v>
      </c>
      <c r="D32" s="40">
        <v>14.09</v>
      </c>
      <c r="E32" s="40">
        <v>8.3000000000000007</v>
      </c>
      <c r="F32" s="40">
        <v>3.6</v>
      </c>
      <c r="G32" s="40">
        <v>68.900000000000006</v>
      </c>
      <c r="H32" s="40">
        <v>29</v>
      </c>
      <c r="I32" s="40">
        <v>7.88</v>
      </c>
      <c r="J32" s="40">
        <v>0.25</v>
      </c>
      <c r="K32" s="40">
        <v>172.58</v>
      </c>
      <c r="L32" s="40">
        <v>25.58</v>
      </c>
      <c r="M32" s="40">
        <v>43.06</v>
      </c>
      <c r="N32" s="40">
        <v>6</v>
      </c>
      <c r="O32" s="40">
        <v>0</v>
      </c>
      <c r="P32" s="40">
        <v>0.75</v>
      </c>
      <c r="Q32" s="40">
        <v>28.09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3.59</v>
      </c>
      <c r="C34" s="18">
        <f t="shared" si="0"/>
        <v>16.670000000000002</v>
      </c>
      <c r="D34" s="18">
        <f t="shared" si="0"/>
        <v>12.95</v>
      </c>
      <c r="E34" s="18">
        <f t="shared" si="0"/>
        <v>8.27</v>
      </c>
      <c r="F34" s="18">
        <f t="shared" si="0"/>
        <v>1.6</v>
      </c>
      <c r="G34" s="18">
        <f t="shared" si="0"/>
        <v>47.95</v>
      </c>
      <c r="H34" s="18">
        <f t="shared" si="0"/>
        <v>19.75</v>
      </c>
      <c r="I34" s="18">
        <f t="shared" si="0"/>
        <v>5.37</v>
      </c>
      <c r="J34" s="18">
        <f t="shared" si="0"/>
        <v>0.15</v>
      </c>
      <c r="K34" s="18">
        <f t="shared" si="0"/>
        <v>163.76</v>
      </c>
      <c r="L34" s="18">
        <f t="shared" si="0"/>
        <v>20.59</v>
      </c>
      <c r="M34" s="18">
        <f t="shared" si="0"/>
        <v>8.56</v>
      </c>
      <c r="N34" s="18">
        <f t="shared" si="0"/>
        <v>5.8</v>
      </c>
      <c r="O34" s="18">
        <f t="shared" si="0"/>
        <v>0</v>
      </c>
      <c r="P34" s="18">
        <f t="shared" si="0"/>
        <v>0.6</v>
      </c>
      <c r="Q34" s="18">
        <f t="shared" si="0"/>
        <v>28.07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19.170000000000002</v>
      </c>
      <c r="C35" s="3">
        <f t="shared" si="1"/>
        <v>25.5</v>
      </c>
      <c r="D35" s="3">
        <f t="shared" si="1"/>
        <v>27.61</v>
      </c>
      <c r="E35" s="3">
        <f t="shared" si="1"/>
        <v>18.73</v>
      </c>
      <c r="F35" s="3">
        <f t="shared" si="1"/>
        <v>6.5</v>
      </c>
      <c r="G35" s="3">
        <f t="shared" si="1"/>
        <v>122.24</v>
      </c>
      <c r="H35" s="3">
        <f t="shared" si="1"/>
        <v>49.69</v>
      </c>
      <c r="I35" s="3">
        <f t="shared" si="1"/>
        <v>11.27</v>
      </c>
      <c r="J35" s="3">
        <f t="shared" si="1"/>
        <v>1.1399999999999999</v>
      </c>
      <c r="K35" s="3">
        <f t="shared" si="1"/>
        <v>348.72</v>
      </c>
      <c r="L35" s="3">
        <f t="shared" si="1"/>
        <v>39.29</v>
      </c>
      <c r="M35" s="3">
        <f t="shared" si="1"/>
        <v>68.27</v>
      </c>
      <c r="N35" s="3">
        <f t="shared" si="1"/>
        <v>748.6</v>
      </c>
      <c r="O35" s="3">
        <f t="shared" si="1"/>
        <v>0</v>
      </c>
      <c r="P35" s="3">
        <f t="shared" si="1"/>
        <v>1.01</v>
      </c>
      <c r="Q35" s="3">
        <f t="shared" si="1"/>
        <v>28.58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9.2420833333333317</v>
      </c>
      <c r="C36" s="18">
        <f t="shared" si="2"/>
        <v>20.37208333333334</v>
      </c>
      <c r="D36" s="18">
        <f t="shared" si="2"/>
        <v>19.306666666666661</v>
      </c>
      <c r="E36" s="18">
        <f t="shared" si="2"/>
        <v>10.991666666666667</v>
      </c>
      <c r="F36" s="18">
        <f t="shared" si="2"/>
        <v>3.8107142857142859</v>
      </c>
      <c r="G36" s="18">
        <f t="shared" si="2"/>
        <v>87.19</v>
      </c>
      <c r="H36" s="18">
        <f t="shared" si="2"/>
        <v>36.372916666666669</v>
      </c>
      <c r="I36" s="18">
        <f t="shared" si="2"/>
        <v>8.3974999999999991</v>
      </c>
      <c r="J36" s="18">
        <f t="shared" si="2"/>
        <v>0.50041666666666673</v>
      </c>
      <c r="K36" s="18">
        <f t="shared" si="2"/>
        <v>236.38541666666666</v>
      </c>
      <c r="L36" s="18">
        <f t="shared" si="2"/>
        <v>30.076666666666672</v>
      </c>
      <c r="M36" s="18">
        <f t="shared" si="2"/>
        <v>36.440416666666664</v>
      </c>
      <c r="N36" s="18">
        <f t="shared" si="2"/>
        <v>217.64166666666668</v>
      </c>
      <c r="O36" s="18">
        <f t="shared" si="2"/>
        <v>0</v>
      </c>
      <c r="P36" s="18">
        <f t="shared" si="2"/>
        <v>0.79166666666666652</v>
      </c>
      <c r="Q36" s="18">
        <f t="shared" si="2"/>
        <v>28.248333333333338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5.96966241793102</v>
      </c>
      <c r="C37" s="18">
        <f t="shared" ref="C37:Q37" si="3">STDEV(C9:C32)</f>
        <v>2.6239829982989957</v>
      </c>
      <c r="D37" s="18">
        <f t="shared" si="3"/>
        <v>5.5669644110253893</v>
      </c>
      <c r="E37" s="18">
        <f t="shared" si="3"/>
        <v>3.0164832196603912</v>
      </c>
      <c r="F37" s="18">
        <f t="shared" si="3"/>
        <v>1.7600457349202567</v>
      </c>
      <c r="G37" s="18">
        <f t="shared" si="3"/>
        <v>24.577245927713403</v>
      </c>
      <c r="H37" s="18">
        <f t="shared" si="3"/>
        <v>8.8477324430645954</v>
      </c>
      <c r="I37" s="18">
        <f t="shared" si="3"/>
        <v>1.7670615500709499</v>
      </c>
      <c r="J37" s="18">
        <f t="shared" si="3"/>
        <v>0.32740719450630984</v>
      </c>
      <c r="K37" s="18">
        <f t="shared" si="3"/>
        <v>59.072387574330236</v>
      </c>
      <c r="L37" s="18">
        <f t="shared" si="3"/>
        <v>6.4309243819063004</v>
      </c>
      <c r="M37" s="18">
        <f t="shared" si="3"/>
        <v>20.362248419278405</v>
      </c>
      <c r="N37" s="18">
        <f t="shared" si="3"/>
        <v>286.69155507901382</v>
      </c>
      <c r="O37" s="18">
        <f t="shared" si="3"/>
        <v>0</v>
      </c>
      <c r="P37" s="18">
        <f t="shared" si="3"/>
        <v>0.13713423023246007</v>
      </c>
      <c r="Q37" s="18">
        <f t="shared" si="3"/>
        <v>0.19333833076999379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14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&lt;90%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LESS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16" activePane="bottomRight" state="frozen"/>
      <selection activeCell="G19" sqref="G19"/>
      <selection pane="topRight" activeCell="G19" sqref="G19"/>
      <selection pane="bottomLeft" activeCell="G19" sqref="G19"/>
      <selection pane="bottomRight" activeCell="O24" sqref="O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685</v>
      </c>
      <c r="B9" s="40">
        <v>4.1900000000000004</v>
      </c>
      <c r="C9" s="40">
        <v>17.47</v>
      </c>
      <c r="D9" s="40">
        <v>13.82</v>
      </c>
      <c r="E9" s="40">
        <v>8.2799999999999994</v>
      </c>
      <c r="F9" s="40">
        <v>3.99</v>
      </c>
      <c r="G9" s="40">
        <v>86.22</v>
      </c>
      <c r="H9" s="40">
        <v>32.159999999999997</v>
      </c>
      <c r="I9" s="40">
        <v>7.87</v>
      </c>
      <c r="J9" s="40">
        <v>0.28000000000000003</v>
      </c>
      <c r="K9" s="40">
        <v>244.37</v>
      </c>
      <c r="L9" s="40">
        <v>25.6</v>
      </c>
      <c r="M9" s="40">
        <v>42.72</v>
      </c>
      <c r="N9" s="40">
        <v>6</v>
      </c>
      <c r="O9" s="40">
        <v>0</v>
      </c>
      <c r="P9" s="40">
        <v>0.75</v>
      </c>
      <c r="Q9" s="40">
        <v>28.09</v>
      </c>
      <c r="R9" s="38"/>
      <c r="S9" s="38"/>
      <c r="T9" s="38"/>
      <c r="U9" s="38"/>
    </row>
    <row r="10" spans="1:21" customFormat="1">
      <c r="A10" s="39" t="s">
        <v>686</v>
      </c>
      <c r="B10" s="40">
        <v>5.23</v>
      </c>
      <c r="C10" s="40">
        <v>16.940000000000001</v>
      </c>
      <c r="D10" s="40">
        <v>14.01</v>
      </c>
      <c r="E10" s="40">
        <v>8.27</v>
      </c>
      <c r="F10" s="40">
        <v>3.95</v>
      </c>
      <c r="G10" s="40">
        <v>92.4</v>
      </c>
      <c r="H10" s="40">
        <v>32.229999999999997</v>
      </c>
      <c r="I10" s="40">
        <v>7.72</v>
      </c>
      <c r="J10" s="40">
        <v>0.2</v>
      </c>
      <c r="K10" s="40">
        <v>232.8</v>
      </c>
      <c r="L10" s="40">
        <v>23.97</v>
      </c>
      <c r="M10" s="40">
        <v>46.61</v>
      </c>
      <c r="N10" s="40">
        <v>6.1</v>
      </c>
      <c r="O10" s="40">
        <v>0</v>
      </c>
      <c r="P10" s="40">
        <v>0.73</v>
      </c>
      <c r="Q10" s="40">
        <v>28.13</v>
      </c>
      <c r="R10" s="38"/>
      <c r="S10" s="38"/>
      <c r="T10" s="38"/>
      <c r="U10" s="38"/>
    </row>
    <row r="11" spans="1:21" customFormat="1">
      <c r="A11" s="39" t="s">
        <v>687</v>
      </c>
      <c r="B11" s="40">
        <v>6.58</v>
      </c>
      <c r="C11" s="40">
        <v>16.68</v>
      </c>
      <c r="D11" s="40">
        <v>15.34</v>
      </c>
      <c r="E11" s="40">
        <v>7.91</v>
      </c>
      <c r="F11" s="40">
        <v>4.0599999999999996</v>
      </c>
      <c r="G11" s="40">
        <v>82.13</v>
      </c>
      <c r="H11" s="40">
        <v>30.83</v>
      </c>
      <c r="I11" s="40">
        <v>7.84</v>
      </c>
      <c r="J11" s="40">
        <v>0.33</v>
      </c>
      <c r="K11" s="40">
        <v>213.46</v>
      </c>
      <c r="L11" s="40">
        <v>24.01</v>
      </c>
      <c r="M11" s="40">
        <v>45.61</v>
      </c>
      <c r="N11" s="40">
        <v>6.2</v>
      </c>
      <c r="O11" s="40">
        <v>0</v>
      </c>
      <c r="P11" s="40">
        <v>0.75</v>
      </c>
      <c r="Q11" s="40">
        <v>28.16</v>
      </c>
      <c r="R11" s="38"/>
      <c r="S11" s="38"/>
      <c r="T11" s="38"/>
      <c r="U11" s="38"/>
    </row>
    <row r="12" spans="1:21" customFormat="1">
      <c r="A12" s="39" t="s">
        <v>688</v>
      </c>
      <c r="B12" s="40">
        <v>8.9499999999999993</v>
      </c>
      <c r="C12" s="40">
        <v>17.8</v>
      </c>
      <c r="D12" s="40">
        <v>17.829999999999998</v>
      </c>
      <c r="E12" s="40">
        <v>8.0500000000000007</v>
      </c>
      <c r="F12" s="40">
        <v>3.97</v>
      </c>
      <c r="G12" s="40">
        <v>87.16</v>
      </c>
      <c r="H12" s="40">
        <v>32.18</v>
      </c>
      <c r="I12" s="40">
        <v>8.02</v>
      </c>
      <c r="J12" s="40">
        <v>0.24</v>
      </c>
      <c r="K12" s="40">
        <v>170.82</v>
      </c>
      <c r="L12" s="40">
        <v>23.1</v>
      </c>
      <c r="M12" s="40">
        <v>50.36</v>
      </c>
      <c r="N12" s="40">
        <v>6.2</v>
      </c>
      <c r="O12" s="40">
        <v>0</v>
      </c>
      <c r="P12" s="40">
        <v>0.78</v>
      </c>
      <c r="Q12" s="40">
        <v>28.24</v>
      </c>
      <c r="R12" s="38"/>
      <c r="S12" s="38"/>
      <c r="T12" s="38"/>
      <c r="U12" s="38"/>
    </row>
    <row r="13" spans="1:21" customFormat="1">
      <c r="A13" s="39" t="s">
        <v>689</v>
      </c>
      <c r="B13" s="40">
        <v>9.85</v>
      </c>
      <c r="C13" s="40">
        <v>17.71</v>
      </c>
      <c r="D13" s="40">
        <v>18.36</v>
      </c>
      <c r="E13" s="40">
        <v>7.89</v>
      </c>
      <c r="F13" s="40">
        <v>3.87</v>
      </c>
      <c r="G13" s="40">
        <v>88.51</v>
      </c>
      <c r="H13" s="40">
        <v>32.22</v>
      </c>
      <c r="I13" s="40">
        <v>8.3800000000000008</v>
      </c>
      <c r="J13" s="40">
        <v>0.33</v>
      </c>
      <c r="K13" s="40">
        <v>239.96</v>
      </c>
      <c r="L13" s="40">
        <v>21.73</v>
      </c>
      <c r="M13" s="40">
        <v>57.59</v>
      </c>
      <c r="N13" s="40">
        <v>6.4</v>
      </c>
      <c r="O13" s="40">
        <v>0</v>
      </c>
      <c r="P13" s="40">
        <v>0.79</v>
      </c>
      <c r="Q13" s="40">
        <v>28.26</v>
      </c>
      <c r="R13" s="38"/>
      <c r="S13" s="38"/>
      <c r="T13" s="38"/>
      <c r="U13" s="38"/>
    </row>
    <row r="14" spans="1:21" customFormat="1">
      <c r="A14" s="39" t="s">
        <v>690</v>
      </c>
      <c r="B14" s="40">
        <v>12.57</v>
      </c>
      <c r="C14" s="40">
        <v>18.2</v>
      </c>
      <c r="D14" s="40">
        <v>20.93</v>
      </c>
      <c r="E14" s="40">
        <v>7.74</v>
      </c>
      <c r="F14" s="40">
        <v>3.87</v>
      </c>
      <c r="G14" s="40">
        <v>77.98</v>
      </c>
      <c r="H14" s="40">
        <v>33.090000000000003</v>
      </c>
      <c r="I14" s="40">
        <v>8.81</v>
      </c>
      <c r="J14" s="40">
        <v>0.32</v>
      </c>
      <c r="K14" s="40">
        <v>131.04</v>
      </c>
      <c r="L14" s="40">
        <v>22.72</v>
      </c>
      <c r="M14" s="40">
        <v>55.18</v>
      </c>
      <c r="N14" s="40">
        <v>7.2</v>
      </c>
      <c r="O14" s="40">
        <v>0</v>
      </c>
      <c r="P14" s="40">
        <v>0.87</v>
      </c>
      <c r="Q14" s="40">
        <v>28.33</v>
      </c>
      <c r="R14" s="38"/>
      <c r="S14" s="38"/>
      <c r="T14" s="38"/>
      <c r="U14" s="38"/>
    </row>
    <row r="15" spans="1:21" customFormat="1">
      <c r="A15" s="39" t="s">
        <v>691</v>
      </c>
      <c r="B15" s="40">
        <v>16.86</v>
      </c>
      <c r="C15" s="40">
        <v>21.05</v>
      </c>
      <c r="D15" s="40">
        <v>25.87</v>
      </c>
      <c r="E15" s="40">
        <v>7.61</v>
      </c>
      <c r="F15" s="40">
        <v>4.01</v>
      </c>
      <c r="G15" s="40">
        <v>93.41</v>
      </c>
      <c r="H15" s="40">
        <v>40.090000000000003</v>
      </c>
      <c r="I15" s="40">
        <v>11.21</v>
      </c>
      <c r="J15" s="40">
        <v>0.63</v>
      </c>
      <c r="K15" s="40">
        <v>63.45</v>
      </c>
      <c r="L15" s="40">
        <v>23.87</v>
      </c>
      <c r="M15" s="40">
        <v>47.25</v>
      </c>
      <c r="N15" s="40">
        <v>46.5</v>
      </c>
      <c r="O15" s="40">
        <v>0</v>
      </c>
      <c r="P15" s="40">
        <v>1.01</v>
      </c>
      <c r="Q15" s="40">
        <v>28.47</v>
      </c>
      <c r="R15" s="38"/>
      <c r="S15" s="38"/>
      <c r="T15" s="38"/>
      <c r="U15" s="38"/>
    </row>
    <row r="16" spans="1:21" customFormat="1">
      <c r="A16" s="39" t="s">
        <v>692</v>
      </c>
      <c r="B16" s="40">
        <v>17.670000000000002</v>
      </c>
      <c r="C16" s="40">
        <v>22.9</v>
      </c>
      <c r="D16" s="40">
        <v>27.07</v>
      </c>
      <c r="E16" s="40">
        <v>7.86</v>
      </c>
      <c r="F16" s="40">
        <v>4.2</v>
      </c>
      <c r="G16" s="40">
        <v>195.35</v>
      </c>
      <c r="H16" s="40">
        <v>58.66</v>
      </c>
      <c r="I16" s="40">
        <v>13.43</v>
      </c>
      <c r="J16" s="40">
        <v>0.28999999999999998</v>
      </c>
      <c r="K16" s="40">
        <v>296.08999999999997</v>
      </c>
      <c r="L16" s="40">
        <v>26.08</v>
      </c>
      <c r="M16" s="40">
        <v>46.3</v>
      </c>
      <c r="N16" s="40">
        <v>100.1</v>
      </c>
      <c r="O16" s="40">
        <v>0</v>
      </c>
      <c r="P16" s="40">
        <v>1.19</v>
      </c>
      <c r="Q16" s="40">
        <v>28.51</v>
      </c>
      <c r="R16" s="38"/>
      <c r="S16" s="38"/>
      <c r="T16" s="38"/>
      <c r="U16" s="38"/>
    </row>
    <row r="17" spans="1:21" customFormat="1">
      <c r="A17" s="39" t="s">
        <v>693</v>
      </c>
      <c r="B17" s="40">
        <v>16.54</v>
      </c>
      <c r="C17" s="40">
        <v>27.41</v>
      </c>
      <c r="D17" s="40">
        <v>27</v>
      </c>
      <c r="E17" s="40">
        <v>12.26</v>
      </c>
      <c r="F17" s="40">
        <v>4.37</v>
      </c>
      <c r="G17" s="40">
        <v>231.46</v>
      </c>
      <c r="H17" s="40">
        <v>69.599999999999994</v>
      </c>
      <c r="I17" s="40">
        <v>15.2</v>
      </c>
      <c r="J17" s="40">
        <v>0.34</v>
      </c>
      <c r="K17" s="40">
        <v>340.68</v>
      </c>
      <c r="L17" s="40">
        <v>30.88</v>
      </c>
      <c r="M17" s="40">
        <v>37.130000000000003</v>
      </c>
      <c r="N17" s="40">
        <v>287</v>
      </c>
      <c r="O17" s="40">
        <v>0</v>
      </c>
      <c r="P17" s="40">
        <v>1.33</v>
      </c>
      <c r="Q17" s="40">
        <v>28.47</v>
      </c>
      <c r="R17" s="38"/>
      <c r="S17" s="38"/>
      <c r="T17" s="38"/>
      <c r="U17" s="38"/>
    </row>
    <row r="18" spans="1:21" customFormat="1">
      <c r="A18" s="39" t="s">
        <v>694</v>
      </c>
      <c r="B18" s="40">
        <v>11.62</v>
      </c>
      <c r="C18" s="40">
        <v>35.83</v>
      </c>
      <c r="D18" s="40">
        <v>27</v>
      </c>
      <c r="E18" s="40">
        <v>18.72</v>
      </c>
      <c r="F18" s="40">
        <v>4.83</v>
      </c>
      <c r="G18" s="40">
        <v>231.91</v>
      </c>
      <c r="H18" s="40">
        <v>84.96</v>
      </c>
      <c r="I18" s="40">
        <v>17.61</v>
      </c>
      <c r="J18" s="40">
        <v>0.8</v>
      </c>
      <c r="K18" s="40">
        <v>263.7</v>
      </c>
      <c r="L18" s="40">
        <v>34.32</v>
      </c>
      <c r="M18" s="40">
        <v>25.96</v>
      </c>
      <c r="N18" s="40">
        <v>507.5</v>
      </c>
      <c r="O18" s="40">
        <v>0</v>
      </c>
      <c r="P18" s="40">
        <v>1.49</v>
      </c>
      <c r="Q18" s="40">
        <v>28.36</v>
      </c>
      <c r="R18" s="38"/>
      <c r="S18" s="38"/>
      <c r="T18" s="38"/>
      <c r="U18" s="38"/>
    </row>
    <row r="19" spans="1:21" customFormat="1">
      <c r="A19" s="39" t="s">
        <v>695</v>
      </c>
      <c r="B19" s="40">
        <v>5.26</v>
      </c>
      <c r="C19" s="40">
        <v>31.49</v>
      </c>
      <c r="D19" s="40">
        <v>22.02</v>
      </c>
      <c r="E19" s="40">
        <v>11.82</v>
      </c>
      <c r="F19" s="40">
        <v>6.89</v>
      </c>
      <c r="G19" s="40">
        <v>225.96</v>
      </c>
      <c r="H19" s="40">
        <v>85.43</v>
      </c>
      <c r="I19" s="40">
        <v>18.440000000000001</v>
      </c>
      <c r="J19" s="40">
        <v>0.87</v>
      </c>
      <c r="K19" s="40">
        <v>257.88</v>
      </c>
      <c r="L19" s="40">
        <v>35.82</v>
      </c>
      <c r="M19" s="40">
        <v>20.239999999999998</v>
      </c>
      <c r="N19" s="40">
        <v>673.7</v>
      </c>
      <c r="O19" s="40">
        <v>0</v>
      </c>
      <c r="P19" s="40">
        <v>1.45</v>
      </c>
      <c r="Q19" s="40">
        <v>28.18</v>
      </c>
      <c r="R19" s="38"/>
      <c r="S19" s="38"/>
      <c r="T19" s="38"/>
      <c r="U19" s="38"/>
    </row>
    <row r="20" spans="1:21" customFormat="1">
      <c r="A20" s="39" t="s">
        <v>696</v>
      </c>
      <c r="B20" s="40">
        <v>3.95</v>
      </c>
      <c r="C20" s="40">
        <v>24.69</v>
      </c>
      <c r="D20" s="40">
        <v>17.399999999999999</v>
      </c>
      <c r="E20" s="40">
        <v>22.32</v>
      </c>
      <c r="F20" s="40">
        <v>7.11</v>
      </c>
      <c r="G20" s="40">
        <v>128.03</v>
      </c>
      <c r="H20" s="40">
        <v>67.23</v>
      </c>
      <c r="I20" s="40">
        <v>18.14</v>
      </c>
      <c r="J20" s="40">
        <v>0.95</v>
      </c>
      <c r="K20" s="40">
        <v>280.3</v>
      </c>
      <c r="L20" s="40">
        <v>37.58</v>
      </c>
      <c r="M20" s="40">
        <v>18.649999999999999</v>
      </c>
      <c r="N20" s="40">
        <v>774.2</v>
      </c>
      <c r="O20" s="40">
        <v>0</v>
      </c>
      <c r="P20" s="40">
        <v>1.37</v>
      </c>
      <c r="Q20" s="40">
        <v>28.09</v>
      </c>
      <c r="R20" s="38"/>
      <c r="S20" s="38"/>
      <c r="T20" s="38"/>
      <c r="U20" s="38"/>
    </row>
    <row r="21" spans="1:21" customFormat="1">
      <c r="A21" s="39" t="s">
        <v>697</v>
      </c>
      <c r="B21" s="40">
        <v>3.56</v>
      </c>
      <c r="C21" s="40">
        <v>14.35</v>
      </c>
      <c r="D21" s="40">
        <v>11.64</v>
      </c>
      <c r="E21" s="40">
        <v>18.87</v>
      </c>
      <c r="F21" s="40">
        <v>10.39</v>
      </c>
      <c r="G21" s="40">
        <v>58.48</v>
      </c>
      <c r="H21" s="40">
        <v>41.22</v>
      </c>
      <c r="I21" s="40">
        <v>9.81</v>
      </c>
      <c r="J21" s="40">
        <v>1.22</v>
      </c>
      <c r="K21" s="40">
        <v>279.7</v>
      </c>
      <c r="L21" s="40">
        <v>38.770000000000003</v>
      </c>
      <c r="M21" s="40">
        <v>15.19</v>
      </c>
      <c r="N21" s="40">
        <v>777.6</v>
      </c>
      <c r="O21" s="40">
        <v>0</v>
      </c>
      <c r="P21" s="40">
        <v>0.88</v>
      </c>
      <c r="Q21" s="40">
        <v>28.06</v>
      </c>
      <c r="R21" s="38"/>
      <c r="S21" s="38"/>
      <c r="T21" s="38"/>
      <c r="U21" s="38"/>
    </row>
    <row r="22" spans="1:21" customFormat="1">
      <c r="A22" s="39" t="s">
        <v>698</v>
      </c>
      <c r="B22" s="40">
        <v>3.73</v>
      </c>
      <c r="C22" s="40">
        <v>14.79</v>
      </c>
      <c r="D22" s="40">
        <v>12.07</v>
      </c>
      <c r="E22" s="40">
        <v>13.12</v>
      </c>
      <c r="F22" s="40">
        <v>12.37</v>
      </c>
      <c r="G22" s="40">
        <v>69.89</v>
      </c>
      <c r="H22" s="40">
        <v>35.56</v>
      </c>
      <c r="I22" s="40">
        <v>8.27</v>
      </c>
      <c r="J22" s="40">
        <v>1.17</v>
      </c>
      <c r="K22" s="40">
        <v>293.49</v>
      </c>
      <c r="L22" s="40">
        <v>39.65</v>
      </c>
      <c r="M22" s="40">
        <v>13.93</v>
      </c>
      <c r="N22" s="40">
        <v>644.29999999999995</v>
      </c>
      <c r="O22" s="40">
        <v>0</v>
      </c>
      <c r="P22" s="40">
        <v>0.82</v>
      </c>
      <c r="Q22" s="40">
        <v>28.07</v>
      </c>
      <c r="R22" s="38"/>
      <c r="S22" s="38"/>
      <c r="T22" s="38"/>
      <c r="U22" s="38"/>
    </row>
    <row r="23" spans="1:21" customFormat="1">
      <c r="A23" s="39" t="s">
        <v>699</v>
      </c>
      <c r="B23" s="40">
        <v>4.91</v>
      </c>
      <c r="C23" s="40">
        <v>18.16</v>
      </c>
      <c r="D23" s="40">
        <v>14.77</v>
      </c>
      <c r="E23" s="40">
        <v>11.42</v>
      </c>
      <c r="F23" s="40">
        <v>13.26</v>
      </c>
      <c r="G23" s="40">
        <v>76.86</v>
      </c>
      <c r="H23" s="40">
        <v>32.56</v>
      </c>
      <c r="I23" s="40">
        <v>8.73</v>
      </c>
      <c r="J23" s="40">
        <v>0.91</v>
      </c>
      <c r="K23" s="40">
        <v>359.35</v>
      </c>
      <c r="L23" s="40">
        <v>40.229999999999997</v>
      </c>
      <c r="M23" s="40">
        <v>9.0299999999999994</v>
      </c>
      <c r="N23" s="40">
        <v>571.4</v>
      </c>
      <c r="O23" s="40">
        <v>0</v>
      </c>
      <c r="P23" s="40">
        <v>0.69</v>
      </c>
      <c r="Q23" s="40">
        <v>28.06</v>
      </c>
      <c r="R23" s="38"/>
      <c r="S23" s="38"/>
      <c r="T23" s="38"/>
      <c r="U23" s="38"/>
    </row>
    <row r="24" spans="1:21" customFormat="1">
      <c r="A24" s="39" t="s">
        <v>700</v>
      </c>
      <c r="B24" s="40">
        <v>4.34</v>
      </c>
      <c r="C24" s="40">
        <v>20.65</v>
      </c>
      <c r="D24" s="40">
        <v>15.56</v>
      </c>
      <c r="E24" s="40">
        <v>11.73</v>
      </c>
      <c r="F24" s="40">
        <v>15.66</v>
      </c>
      <c r="G24" s="40">
        <v>52.39</v>
      </c>
      <c r="H24" s="40">
        <v>27.99</v>
      </c>
      <c r="I24" s="40">
        <v>8.3000000000000007</v>
      </c>
      <c r="J24" s="40">
        <v>0.8</v>
      </c>
      <c r="K24" s="40">
        <v>310.88</v>
      </c>
      <c r="L24" s="40">
        <v>39.79</v>
      </c>
      <c r="M24" s="40">
        <v>8.92</v>
      </c>
      <c r="N24" s="40">
        <v>414.8</v>
      </c>
      <c r="O24" s="40">
        <v>0</v>
      </c>
      <c r="P24" s="40">
        <v>0.68</v>
      </c>
      <c r="Q24" s="40">
        <v>28.08</v>
      </c>
      <c r="R24" s="38"/>
      <c r="S24" s="38"/>
      <c r="T24" s="38"/>
      <c r="U24" s="38"/>
    </row>
    <row r="25" spans="1:21" customFormat="1">
      <c r="A25" s="39" t="s">
        <v>701</v>
      </c>
      <c r="B25" s="40">
        <v>3.79</v>
      </c>
      <c r="C25" s="40">
        <v>17.350000000000001</v>
      </c>
      <c r="D25" s="40">
        <v>13.45</v>
      </c>
      <c r="E25" s="40">
        <v>13.39</v>
      </c>
      <c r="F25" s="40">
        <v>22.55</v>
      </c>
      <c r="G25" s="40">
        <v>44.33</v>
      </c>
      <c r="H25" s="40">
        <v>29.51</v>
      </c>
      <c r="I25" s="40">
        <v>7.91</v>
      </c>
      <c r="J25" s="40">
        <v>0.69</v>
      </c>
      <c r="K25" s="40">
        <v>295.99</v>
      </c>
      <c r="L25" s="40">
        <v>39.22</v>
      </c>
      <c r="M25" s="40">
        <v>13.15</v>
      </c>
      <c r="N25" s="40">
        <v>141.5</v>
      </c>
      <c r="O25" s="40">
        <v>0</v>
      </c>
      <c r="P25" s="40">
        <v>0.62</v>
      </c>
      <c r="Q25" s="40">
        <v>28.08</v>
      </c>
      <c r="R25" s="38"/>
      <c r="S25" s="38"/>
      <c r="T25" s="38"/>
      <c r="U25" s="38"/>
    </row>
    <row r="26" spans="1:21" customFormat="1">
      <c r="A26" s="39" t="s">
        <v>702</v>
      </c>
      <c r="B26" s="40">
        <v>3.68</v>
      </c>
      <c r="C26" s="40">
        <v>12.67</v>
      </c>
      <c r="D26" s="40">
        <v>10.82</v>
      </c>
      <c r="E26" s="40">
        <v>13.69</v>
      </c>
      <c r="F26" s="40">
        <v>18.489999999999998</v>
      </c>
      <c r="G26" s="40">
        <v>40.99</v>
      </c>
      <c r="H26" s="40">
        <v>29.55</v>
      </c>
      <c r="I26" s="40">
        <v>7.25</v>
      </c>
      <c r="J26" s="40">
        <v>0.25</v>
      </c>
      <c r="K26" s="40">
        <v>234.6</v>
      </c>
      <c r="L26" s="40">
        <v>36.979999999999997</v>
      </c>
      <c r="M26" s="40">
        <v>19.37</v>
      </c>
      <c r="N26" s="40">
        <v>59.9</v>
      </c>
      <c r="O26" s="40">
        <v>0</v>
      </c>
      <c r="P26" s="40">
        <v>0.61</v>
      </c>
      <c r="Q26" s="40">
        <v>28.06</v>
      </c>
      <c r="R26" s="38"/>
      <c r="S26" s="38"/>
      <c r="T26" s="38"/>
      <c r="U26" s="38"/>
    </row>
    <row r="27" spans="1:21" customFormat="1">
      <c r="A27" s="39" t="s">
        <v>703</v>
      </c>
      <c r="B27" s="40">
        <v>3.62</v>
      </c>
      <c r="C27" s="40">
        <v>15.4</v>
      </c>
      <c r="D27" s="40">
        <v>12.3</v>
      </c>
      <c r="E27" s="40">
        <v>11.9</v>
      </c>
      <c r="F27" s="40">
        <v>10.36</v>
      </c>
      <c r="G27" s="40">
        <v>65.84</v>
      </c>
      <c r="H27" s="40">
        <v>29.95</v>
      </c>
      <c r="I27" s="40">
        <v>7.56</v>
      </c>
      <c r="J27" s="40">
        <v>0.28999999999999998</v>
      </c>
      <c r="K27" s="40">
        <v>166.86</v>
      </c>
      <c r="L27" s="40">
        <v>33.76</v>
      </c>
      <c r="M27" s="40">
        <v>27.27</v>
      </c>
      <c r="N27" s="40">
        <v>9.1</v>
      </c>
      <c r="O27" s="40">
        <v>0</v>
      </c>
      <c r="P27" s="40">
        <v>0.71</v>
      </c>
      <c r="Q27" s="40">
        <v>28.07</v>
      </c>
      <c r="R27" s="38"/>
      <c r="S27" s="38"/>
      <c r="T27" s="38"/>
      <c r="U27" s="38"/>
    </row>
    <row r="28" spans="1:21" customFormat="1">
      <c r="A28" s="39" t="s">
        <v>704</v>
      </c>
      <c r="B28" s="40">
        <v>3.77</v>
      </c>
      <c r="C28" s="40">
        <v>15.98</v>
      </c>
      <c r="D28" s="40">
        <v>12.72</v>
      </c>
      <c r="E28" s="40">
        <v>11.57</v>
      </c>
      <c r="F28" s="40">
        <v>5.2</v>
      </c>
      <c r="G28" s="40">
        <v>108.32</v>
      </c>
      <c r="H28" s="40">
        <v>34.840000000000003</v>
      </c>
      <c r="I28" s="40">
        <v>8.82</v>
      </c>
      <c r="J28" s="40">
        <v>0.28999999999999998</v>
      </c>
      <c r="K28" s="40">
        <v>165.64</v>
      </c>
      <c r="L28" s="40">
        <v>31.12</v>
      </c>
      <c r="M28" s="40">
        <v>32.61</v>
      </c>
      <c r="N28" s="40">
        <v>6</v>
      </c>
      <c r="O28" s="40">
        <v>0</v>
      </c>
      <c r="P28" s="40">
        <v>0.81</v>
      </c>
      <c r="Q28" s="40">
        <v>28.06</v>
      </c>
      <c r="R28" s="38"/>
      <c r="S28" s="38"/>
      <c r="T28" s="38"/>
      <c r="U28" s="38"/>
    </row>
    <row r="29" spans="1:21" customFormat="1">
      <c r="A29" s="39" t="s">
        <v>705</v>
      </c>
      <c r="B29" s="40">
        <v>3.98</v>
      </c>
      <c r="C29" s="40">
        <v>16.190000000000001</v>
      </c>
      <c r="D29" s="40">
        <v>12.96</v>
      </c>
      <c r="E29" s="40">
        <v>10.96</v>
      </c>
      <c r="F29" s="40">
        <v>4.1399999999999997</v>
      </c>
      <c r="G29" s="40">
        <v>120.61</v>
      </c>
      <c r="H29" s="40">
        <v>38.700000000000003</v>
      </c>
      <c r="I29" s="40">
        <v>9.26</v>
      </c>
      <c r="J29" s="40">
        <v>0.21</v>
      </c>
      <c r="K29" s="40">
        <v>224.1</v>
      </c>
      <c r="L29" s="40">
        <v>29.08</v>
      </c>
      <c r="M29" s="40">
        <v>36.880000000000003</v>
      </c>
      <c r="N29" s="40">
        <v>5.9</v>
      </c>
      <c r="O29" s="40">
        <v>0</v>
      </c>
      <c r="P29" s="40">
        <v>0.83</v>
      </c>
      <c r="Q29" s="40">
        <v>28.08</v>
      </c>
      <c r="R29" s="38"/>
      <c r="S29" s="38"/>
      <c r="T29" s="38"/>
      <c r="U29" s="38"/>
    </row>
    <row r="30" spans="1:21" customFormat="1">
      <c r="A30" s="39" t="s">
        <v>706</v>
      </c>
      <c r="B30" s="40">
        <v>4.5999999999999996</v>
      </c>
      <c r="C30" s="40">
        <v>15.89</v>
      </c>
      <c r="D30" s="40">
        <v>13.25</v>
      </c>
      <c r="E30" s="40">
        <v>10.96</v>
      </c>
      <c r="F30" s="40">
        <v>4.3099999999999996</v>
      </c>
      <c r="G30" s="40">
        <v>82.51</v>
      </c>
      <c r="H30" s="40">
        <v>38.76</v>
      </c>
      <c r="I30" s="40">
        <v>9.84</v>
      </c>
      <c r="J30" s="40">
        <v>0.22</v>
      </c>
      <c r="K30" s="40">
        <v>189.39</v>
      </c>
      <c r="L30" s="40">
        <v>27.97</v>
      </c>
      <c r="M30" s="40">
        <v>37.65</v>
      </c>
      <c r="N30" s="40">
        <v>5.9</v>
      </c>
      <c r="O30" s="40">
        <v>0</v>
      </c>
      <c r="P30" s="40">
        <v>0.83</v>
      </c>
      <c r="Q30" s="40">
        <v>28.1</v>
      </c>
      <c r="R30" s="38"/>
      <c r="S30" s="38"/>
      <c r="T30" s="38"/>
      <c r="U30" s="38"/>
    </row>
    <row r="31" spans="1:21" customFormat="1">
      <c r="A31" s="39" t="s">
        <v>707</v>
      </c>
      <c r="B31" s="40">
        <v>5.0199999999999996</v>
      </c>
      <c r="C31" s="40">
        <v>15.51</v>
      </c>
      <c r="D31" s="40">
        <v>13.31</v>
      </c>
      <c r="E31" s="40">
        <v>10.119999999999999</v>
      </c>
      <c r="F31" s="40">
        <v>3.93</v>
      </c>
      <c r="G31" s="40">
        <v>80.09</v>
      </c>
      <c r="H31" s="40">
        <v>37.31</v>
      </c>
      <c r="I31" s="40">
        <v>9.92</v>
      </c>
      <c r="J31" s="40">
        <v>0.21</v>
      </c>
      <c r="K31" s="40">
        <v>191.98</v>
      </c>
      <c r="L31" s="40">
        <v>27.07</v>
      </c>
      <c r="M31" s="40">
        <v>39.909999999999997</v>
      </c>
      <c r="N31" s="40">
        <v>6</v>
      </c>
      <c r="O31" s="40">
        <v>0</v>
      </c>
      <c r="P31" s="40">
        <v>0.87</v>
      </c>
      <c r="Q31" s="40">
        <v>28.12</v>
      </c>
      <c r="R31" s="38"/>
      <c r="S31" s="38"/>
      <c r="T31" s="38"/>
      <c r="U31" s="38"/>
    </row>
    <row r="32" spans="1:21" customFormat="1">
      <c r="A32" s="39" t="s">
        <v>708</v>
      </c>
      <c r="B32" s="40">
        <v>5.47</v>
      </c>
      <c r="C32" s="40">
        <v>15.16</v>
      </c>
      <c r="D32" s="40">
        <v>13.54</v>
      </c>
      <c r="E32" s="40">
        <v>9.7899999999999991</v>
      </c>
      <c r="F32" s="40">
        <v>4.34</v>
      </c>
      <c r="G32" s="40">
        <v>70.13</v>
      </c>
      <c r="H32" s="40">
        <v>38.75</v>
      </c>
      <c r="I32" s="40">
        <v>10.130000000000001</v>
      </c>
      <c r="J32" s="40">
        <v>0.21</v>
      </c>
      <c r="K32" s="40">
        <v>197.93</v>
      </c>
      <c r="L32" s="40">
        <v>26.36</v>
      </c>
      <c r="M32" s="40">
        <v>40.32</v>
      </c>
      <c r="N32" s="40">
        <v>5.9</v>
      </c>
      <c r="O32" s="40">
        <v>0</v>
      </c>
      <c r="P32" s="40">
        <v>0.89</v>
      </c>
      <c r="Q32" s="40">
        <v>28.14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3.56</v>
      </c>
      <c r="C34" s="18">
        <f t="shared" si="0"/>
        <v>12.67</v>
      </c>
      <c r="D34" s="18">
        <f t="shared" si="0"/>
        <v>10.82</v>
      </c>
      <c r="E34" s="18">
        <f t="shared" si="0"/>
        <v>7.61</v>
      </c>
      <c r="F34" s="18">
        <f t="shared" si="0"/>
        <v>3.87</v>
      </c>
      <c r="G34" s="18">
        <f t="shared" si="0"/>
        <v>40.99</v>
      </c>
      <c r="H34" s="18">
        <f t="shared" si="0"/>
        <v>27.99</v>
      </c>
      <c r="I34" s="18">
        <f t="shared" si="0"/>
        <v>7.25</v>
      </c>
      <c r="J34" s="18">
        <f t="shared" si="0"/>
        <v>0.2</v>
      </c>
      <c r="K34" s="18">
        <f t="shared" si="0"/>
        <v>63.45</v>
      </c>
      <c r="L34" s="18">
        <f t="shared" si="0"/>
        <v>21.73</v>
      </c>
      <c r="M34" s="18">
        <f t="shared" si="0"/>
        <v>8.92</v>
      </c>
      <c r="N34" s="18">
        <f t="shared" si="0"/>
        <v>5.9</v>
      </c>
      <c r="O34" s="18">
        <f t="shared" si="0"/>
        <v>0</v>
      </c>
      <c r="P34" s="18">
        <f t="shared" si="0"/>
        <v>0.61</v>
      </c>
      <c r="Q34" s="18">
        <f t="shared" si="0"/>
        <v>28.06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17.670000000000002</v>
      </c>
      <c r="C35" s="3">
        <f t="shared" si="1"/>
        <v>35.83</v>
      </c>
      <c r="D35" s="3">
        <f t="shared" si="1"/>
        <v>27.07</v>
      </c>
      <c r="E35" s="3">
        <f t="shared" si="1"/>
        <v>22.32</v>
      </c>
      <c r="F35" s="3">
        <f t="shared" si="1"/>
        <v>22.55</v>
      </c>
      <c r="G35" s="3">
        <f t="shared" si="1"/>
        <v>231.91</v>
      </c>
      <c r="H35" s="3">
        <f t="shared" si="1"/>
        <v>85.43</v>
      </c>
      <c r="I35" s="3">
        <f t="shared" si="1"/>
        <v>18.440000000000001</v>
      </c>
      <c r="J35" s="3">
        <f t="shared" si="1"/>
        <v>1.22</v>
      </c>
      <c r="K35" s="3">
        <f t="shared" si="1"/>
        <v>359.35</v>
      </c>
      <c r="L35" s="3">
        <f t="shared" si="1"/>
        <v>40.229999999999997</v>
      </c>
      <c r="M35" s="3">
        <f t="shared" si="1"/>
        <v>57.59</v>
      </c>
      <c r="N35" s="3">
        <f t="shared" si="1"/>
        <v>777.6</v>
      </c>
      <c r="O35" s="3">
        <f t="shared" si="1"/>
        <v>0</v>
      </c>
      <c r="P35" s="3">
        <f t="shared" si="1"/>
        <v>1.49</v>
      </c>
      <c r="Q35" s="3">
        <f t="shared" si="1"/>
        <v>28.51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7.0725000000000016</v>
      </c>
      <c r="C36" s="18">
        <f t="shared" si="2"/>
        <v>19.177916666666672</v>
      </c>
      <c r="D36" s="18">
        <f t="shared" si="2"/>
        <v>16.793333333333333</v>
      </c>
      <c r="E36" s="18">
        <f t="shared" si="2"/>
        <v>11.510416666666666</v>
      </c>
      <c r="F36" s="18">
        <f t="shared" si="2"/>
        <v>7.504999999999999</v>
      </c>
      <c r="G36" s="18">
        <f t="shared" si="2"/>
        <v>103.79000000000002</v>
      </c>
      <c r="H36" s="18">
        <f t="shared" si="2"/>
        <v>42.224166666666669</v>
      </c>
      <c r="I36" s="18">
        <f t="shared" si="2"/>
        <v>10.352916666666667</v>
      </c>
      <c r="J36" s="18">
        <f t="shared" si="2"/>
        <v>0.50208333333333333</v>
      </c>
      <c r="K36" s="18">
        <f t="shared" si="2"/>
        <v>235.18583333333336</v>
      </c>
      <c r="L36" s="18">
        <f t="shared" si="2"/>
        <v>30.820000000000004</v>
      </c>
      <c r="M36" s="18">
        <f t="shared" si="2"/>
        <v>32.826249999999995</v>
      </c>
      <c r="N36" s="18">
        <f t="shared" si="2"/>
        <v>211.47499999999994</v>
      </c>
      <c r="O36" s="18">
        <f t="shared" si="2"/>
        <v>0</v>
      </c>
      <c r="P36" s="18">
        <f t="shared" si="2"/>
        <v>0.90624999999999989</v>
      </c>
      <c r="Q36" s="18">
        <f t="shared" si="2"/>
        <v>28.177916666666665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4.6066089102694514</v>
      </c>
      <c r="C37" s="18">
        <f t="shared" ref="C37:Q37" si="3">STDEV(C9:C32)</f>
        <v>5.6293385040121153</v>
      </c>
      <c r="D37" s="18">
        <f t="shared" si="3"/>
        <v>5.3220817001609815</v>
      </c>
      <c r="E37" s="18">
        <f t="shared" si="3"/>
        <v>3.8559208894629977</v>
      </c>
      <c r="F37" s="18">
        <f t="shared" si="3"/>
        <v>5.327822787234382</v>
      </c>
      <c r="G37" s="18">
        <f t="shared" si="3"/>
        <v>57.763420876055648</v>
      </c>
      <c r="H37" s="18">
        <f t="shared" si="3"/>
        <v>17.304744239323661</v>
      </c>
      <c r="I37" s="18">
        <f t="shared" si="3"/>
        <v>3.5043568896653388</v>
      </c>
      <c r="J37" s="18">
        <f t="shared" si="3"/>
        <v>0.33329682771115421</v>
      </c>
      <c r="K37" s="18">
        <f t="shared" si="3"/>
        <v>68.674951570338834</v>
      </c>
      <c r="L37" s="18">
        <f t="shared" si="3"/>
        <v>6.4424833181272323</v>
      </c>
      <c r="M37" s="18">
        <f t="shared" si="3"/>
        <v>15.090105255777212</v>
      </c>
      <c r="N37" s="18">
        <f t="shared" si="3"/>
        <v>285.48191635411411</v>
      </c>
      <c r="O37" s="18">
        <f t="shared" si="3"/>
        <v>0</v>
      </c>
      <c r="P37" s="18">
        <f t="shared" si="3"/>
        <v>0.26124804971188076</v>
      </c>
      <c r="Q37" s="18">
        <f t="shared" si="3"/>
        <v>0.14512301128972324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H27" sqref="H2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709</v>
      </c>
      <c r="B9" s="40">
        <v>5.78</v>
      </c>
      <c r="C9" s="40">
        <v>15.76</v>
      </c>
      <c r="D9" s="40">
        <v>14.22</v>
      </c>
      <c r="E9" s="40">
        <v>9.7200000000000006</v>
      </c>
      <c r="F9" s="41">
        <v>3.67</v>
      </c>
      <c r="G9" s="40">
        <v>72.680000000000007</v>
      </c>
      <c r="H9" s="40">
        <v>38.78</v>
      </c>
      <c r="I9" s="40">
        <v>10.24</v>
      </c>
      <c r="J9" s="40">
        <v>0.21</v>
      </c>
      <c r="K9" s="40">
        <v>197.06</v>
      </c>
      <c r="L9" s="40">
        <v>25.7</v>
      </c>
      <c r="M9" s="40">
        <v>41.76</v>
      </c>
      <c r="N9" s="40">
        <v>6</v>
      </c>
      <c r="O9" s="40">
        <v>0</v>
      </c>
      <c r="P9" s="40">
        <v>0.9</v>
      </c>
      <c r="Q9" s="40">
        <v>28.13</v>
      </c>
      <c r="R9" s="38"/>
      <c r="S9" s="38"/>
      <c r="T9" s="38"/>
      <c r="U9" s="38"/>
    </row>
    <row r="10" spans="1:21" customFormat="1">
      <c r="A10" s="39" t="s">
        <v>710</v>
      </c>
      <c r="B10" s="40">
        <v>5.91</v>
      </c>
      <c r="C10" s="40">
        <v>15.82</v>
      </c>
      <c r="D10" s="40">
        <v>14.32</v>
      </c>
      <c r="E10" s="40">
        <v>9.64</v>
      </c>
      <c r="F10" s="41">
        <v>3.27</v>
      </c>
      <c r="G10" s="40">
        <v>73.59</v>
      </c>
      <c r="H10" s="40">
        <v>36.57</v>
      </c>
      <c r="I10" s="40">
        <v>10.42</v>
      </c>
      <c r="J10" s="40">
        <v>0.22</v>
      </c>
      <c r="K10" s="40">
        <v>196.19</v>
      </c>
      <c r="L10" s="40">
        <v>24.83</v>
      </c>
      <c r="M10" s="40">
        <v>46.41</v>
      </c>
      <c r="N10" s="40">
        <v>6.2</v>
      </c>
      <c r="O10" s="40">
        <v>0</v>
      </c>
      <c r="P10" s="40">
        <v>0.92</v>
      </c>
      <c r="Q10" s="40">
        <v>28.14</v>
      </c>
      <c r="R10" s="38"/>
      <c r="S10" s="38"/>
      <c r="T10" s="38"/>
      <c r="U10" s="38"/>
    </row>
    <row r="11" spans="1:21" customFormat="1">
      <c r="A11" s="39" t="s">
        <v>711</v>
      </c>
      <c r="B11" s="40">
        <v>4.79</v>
      </c>
      <c r="C11" s="40">
        <v>15.98</v>
      </c>
      <c r="D11" s="40">
        <v>13.47</v>
      </c>
      <c r="E11" s="40">
        <v>9.24</v>
      </c>
      <c r="F11" s="41">
        <v>2.8</v>
      </c>
      <c r="G11" s="40">
        <v>70.540000000000006</v>
      </c>
      <c r="H11" s="40">
        <v>36.200000000000003</v>
      </c>
      <c r="I11" s="40">
        <v>10.48</v>
      </c>
      <c r="J11" s="40">
        <v>0.2</v>
      </c>
      <c r="K11" s="40">
        <v>199.19</v>
      </c>
      <c r="L11" s="40">
        <v>23.76</v>
      </c>
      <c r="M11" s="40">
        <v>48.38</v>
      </c>
      <c r="N11" s="40">
        <v>6</v>
      </c>
      <c r="O11" s="40">
        <v>0</v>
      </c>
      <c r="P11" s="40">
        <v>0.95</v>
      </c>
      <c r="Q11" s="40">
        <v>28.1</v>
      </c>
      <c r="R11" s="38"/>
      <c r="S11" s="38"/>
      <c r="T11" s="38"/>
      <c r="U11" s="38"/>
    </row>
    <row r="12" spans="1:21" customFormat="1">
      <c r="A12" s="39" t="s">
        <v>712</v>
      </c>
      <c r="B12" s="40">
        <v>8.23</v>
      </c>
      <c r="C12" s="40">
        <v>19.2</v>
      </c>
      <c r="D12" s="40">
        <v>17.98</v>
      </c>
      <c r="E12" s="40">
        <v>9.01</v>
      </c>
      <c r="F12" s="41">
        <v>2.76</v>
      </c>
      <c r="G12" s="40">
        <v>75.87</v>
      </c>
      <c r="H12" s="40">
        <v>36.24</v>
      </c>
      <c r="I12" s="40">
        <v>11.68</v>
      </c>
      <c r="J12" s="40">
        <v>0.28999999999999998</v>
      </c>
      <c r="K12" s="40">
        <v>203.65</v>
      </c>
      <c r="L12" s="40">
        <v>24.14</v>
      </c>
      <c r="M12" s="40">
        <v>50.69</v>
      </c>
      <c r="N12" s="40">
        <v>6.6</v>
      </c>
      <c r="O12" s="40">
        <v>0</v>
      </c>
      <c r="P12" s="40">
        <v>1</v>
      </c>
      <c r="Q12" s="40">
        <v>28.22</v>
      </c>
      <c r="R12" s="38"/>
      <c r="S12" s="38"/>
      <c r="T12" s="38"/>
      <c r="U12" s="38"/>
    </row>
    <row r="13" spans="1:21" customFormat="1">
      <c r="A13" s="39" t="s">
        <v>713</v>
      </c>
      <c r="B13" s="40">
        <v>8.25</v>
      </c>
      <c r="C13" s="40">
        <v>19.16</v>
      </c>
      <c r="D13" s="40">
        <v>17.98</v>
      </c>
      <c r="E13" s="40">
        <v>8.9499999999999993</v>
      </c>
      <c r="F13" s="41">
        <v>2.5</v>
      </c>
      <c r="G13" s="40">
        <v>77.05</v>
      </c>
      <c r="H13" s="40">
        <v>37.57</v>
      </c>
      <c r="I13" s="40">
        <v>12.07</v>
      </c>
      <c r="J13" s="40">
        <v>0.28999999999999998</v>
      </c>
      <c r="K13" s="40">
        <v>201.92</v>
      </c>
      <c r="L13" s="40">
        <v>22.53</v>
      </c>
      <c r="M13" s="40">
        <v>53.68</v>
      </c>
      <c r="N13" s="40">
        <v>6.2</v>
      </c>
      <c r="O13" s="40">
        <v>0</v>
      </c>
      <c r="P13" s="40">
        <v>1</v>
      </c>
      <c r="Q13" s="40">
        <v>28.22</v>
      </c>
      <c r="R13" s="38"/>
      <c r="S13" s="38"/>
      <c r="T13" s="38"/>
      <c r="U13" s="38"/>
    </row>
    <row r="14" spans="1:21" customFormat="1">
      <c r="A14" s="39" t="s">
        <v>714</v>
      </c>
      <c r="B14" s="40">
        <v>7.74</v>
      </c>
      <c r="C14" s="40">
        <v>18.25</v>
      </c>
      <c r="D14" s="40">
        <v>16.93</v>
      </c>
      <c r="E14" s="40">
        <v>9</v>
      </c>
      <c r="F14" s="41">
        <v>3.14</v>
      </c>
      <c r="G14" s="40">
        <v>69.44</v>
      </c>
      <c r="H14" s="40">
        <v>37.61</v>
      </c>
      <c r="I14" s="40">
        <v>12.3</v>
      </c>
      <c r="J14" s="40">
        <v>0.27</v>
      </c>
      <c r="K14" s="40">
        <v>210.37</v>
      </c>
      <c r="L14" s="40">
        <v>22.03</v>
      </c>
      <c r="M14" s="40">
        <v>56.59</v>
      </c>
      <c r="N14" s="40">
        <v>7.7</v>
      </c>
      <c r="O14" s="40">
        <v>0</v>
      </c>
      <c r="P14" s="40">
        <v>1.02</v>
      </c>
      <c r="Q14" s="40">
        <v>28.2</v>
      </c>
      <c r="R14" s="38"/>
      <c r="S14" s="38"/>
      <c r="T14" s="38"/>
      <c r="U14" s="38"/>
    </row>
    <row r="15" spans="1:21" customFormat="1">
      <c r="A15" s="39" t="s">
        <v>715</v>
      </c>
      <c r="B15" s="40">
        <v>7.03</v>
      </c>
      <c r="C15" s="40">
        <v>17.45</v>
      </c>
      <c r="D15" s="40">
        <v>15.88</v>
      </c>
      <c r="E15" s="40">
        <v>8.58</v>
      </c>
      <c r="F15" s="41">
        <v>3.48</v>
      </c>
      <c r="G15" s="40">
        <v>72.430000000000007</v>
      </c>
      <c r="H15" s="40">
        <v>37.369999999999997</v>
      </c>
      <c r="I15" s="40">
        <v>12.83</v>
      </c>
      <c r="J15" s="40">
        <v>0.27</v>
      </c>
      <c r="K15" s="40">
        <v>180.47</v>
      </c>
      <c r="L15" s="40">
        <v>22.56</v>
      </c>
      <c r="M15" s="40">
        <v>56.76</v>
      </c>
      <c r="N15" s="40">
        <v>46.2</v>
      </c>
      <c r="O15" s="40">
        <v>0</v>
      </c>
      <c r="P15" s="40">
        <v>1.06</v>
      </c>
      <c r="Q15" s="40">
        <v>28.19</v>
      </c>
      <c r="R15" s="38"/>
      <c r="S15" s="38"/>
      <c r="T15" s="38"/>
      <c r="U15" s="38"/>
    </row>
    <row r="16" spans="1:21" customFormat="1">
      <c r="A16" s="39" t="s">
        <v>716</v>
      </c>
      <c r="B16" s="40">
        <v>8.6</v>
      </c>
      <c r="C16" s="40">
        <v>19.52</v>
      </c>
      <c r="D16" s="40">
        <v>18.45</v>
      </c>
      <c r="E16" s="40">
        <v>9.39</v>
      </c>
      <c r="F16" s="41">
        <v>4.8899999999999997</v>
      </c>
      <c r="G16" s="40">
        <v>90.9</v>
      </c>
      <c r="H16" s="40">
        <v>40.229999999999997</v>
      </c>
      <c r="I16" s="40">
        <v>13.6</v>
      </c>
      <c r="J16" s="40">
        <v>0.62</v>
      </c>
      <c r="K16" s="40">
        <v>218.38</v>
      </c>
      <c r="L16" s="40">
        <v>27.65</v>
      </c>
      <c r="M16" s="40">
        <v>53.07</v>
      </c>
      <c r="N16" s="40">
        <v>90.1</v>
      </c>
      <c r="O16" s="40">
        <v>0</v>
      </c>
      <c r="P16" s="40">
        <v>1.1399999999999999</v>
      </c>
      <c r="Q16" s="40">
        <v>28.2</v>
      </c>
      <c r="R16" s="38"/>
      <c r="S16" s="38"/>
      <c r="T16" s="38"/>
      <c r="U16" s="38"/>
    </row>
    <row r="17" spans="1:21" customFormat="1">
      <c r="A17" s="39" t="s">
        <v>717</v>
      </c>
      <c r="B17" s="40">
        <v>9.8800000000000008</v>
      </c>
      <c r="C17" s="40">
        <v>23.12</v>
      </c>
      <c r="D17" s="40">
        <v>20.149999999999999</v>
      </c>
      <c r="E17" s="40">
        <v>17.27</v>
      </c>
      <c r="F17" s="41">
        <v>7.54</v>
      </c>
      <c r="G17" s="40">
        <v>125.87</v>
      </c>
      <c r="H17" s="40">
        <v>54.34</v>
      </c>
      <c r="I17" s="40">
        <v>16.059999999999999</v>
      </c>
      <c r="J17" s="40">
        <v>0.8</v>
      </c>
      <c r="K17" s="40">
        <v>333.76</v>
      </c>
      <c r="L17" s="40">
        <v>32.47</v>
      </c>
      <c r="M17" s="40">
        <v>33.57</v>
      </c>
      <c r="N17" s="40">
        <v>277.2</v>
      </c>
      <c r="O17" s="40">
        <v>0</v>
      </c>
      <c r="P17" s="40">
        <v>1.22</v>
      </c>
      <c r="Q17" s="40">
        <v>28.24</v>
      </c>
      <c r="R17" s="38"/>
      <c r="S17" s="38"/>
      <c r="T17" s="38"/>
      <c r="U17" s="38"/>
    </row>
    <row r="18" spans="1:21" customFormat="1">
      <c r="A18" s="39" t="s">
        <v>718</v>
      </c>
      <c r="B18" s="40">
        <v>7.89</v>
      </c>
      <c r="C18" s="40">
        <v>24.26</v>
      </c>
      <c r="D18" s="40">
        <v>20.350000000000001</v>
      </c>
      <c r="E18" s="40">
        <v>27.17</v>
      </c>
      <c r="F18" s="41">
        <v>8.91</v>
      </c>
      <c r="G18" s="40">
        <v>136.87</v>
      </c>
      <c r="H18" s="40">
        <v>54.77</v>
      </c>
      <c r="I18" s="40">
        <v>16.13</v>
      </c>
      <c r="J18" s="40">
        <v>0.61</v>
      </c>
      <c r="K18" s="40">
        <v>340.17</v>
      </c>
      <c r="L18" s="40">
        <v>35.17</v>
      </c>
      <c r="M18" s="40">
        <v>18.989999999999998</v>
      </c>
      <c r="N18" s="40">
        <v>518.29999999999995</v>
      </c>
      <c r="O18" s="40">
        <v>0</v>
      </c>
      <c r="P18" s="40">
        <v>1.2</v>
      </c>
      <c r="Q18" s="40">
        <v>28.22</v>
      </c>
      <c r="R18" s="38"/>
      <c r="S18" s="38"/>
      <c r="T18" s="38"/>
      <c r="U18" s="38"/>
    </row>
    <row r="19" spans="1:21" customFormat="1">
      <c r="A19" s="39" t="s">
        <v>719</v>
      </c>
      <c r="B19" s="40">
        <v>5.54</v>
      </c>
      <c r="C19" s="40">
        <v>23.12</v>
      </c>
      <c r="D19" s="40">
        <v>17.87</v>
      </c>
      <c r="E19" s="40">
        <v>34.700000000000003</v>
      </c>
      <c r="F19" s="41">
        <v>13.86</v>
      </c>
      <c r="G19" s="40">
        <v>124.67</v>
      </c>
      <c r="H19" s="40">
        <v>53.83</v>
      </c>
      <c r="I19" s="40">
        <v>14.73</v>
      </c>
      <c r="J19" s="40">
        <v>0.34</v>
      </c>
      <c r="K19" s="40">
        <v>249.86</v>
      </c>
      <c r="L19" s="40">
        <v>38.9</v>
      </c>
      <c r="M19" s="40">
        <v>14.26</v>
      </c>
      <c r="N19" s="40">
        <v>658.2</v>
      </c>
      <c r="O19" s="40">
        <v>0</v>
      </c>
      <c r="P19" s="40">
        <v>1.1499999999999999</v>
      </c>
      <c r="Q19" s="40">
        <v>28.15</v>
      </c>
      <c r="R19" s="38"/>
      <c r="S19" s="38"/>
      <c r="T19" s="38"/>
      <c r="U19" s="38"/>
    </row>
    <row r="20" spans="1:21" customFormat="1">
      <c r="A20" s="39" t="s">
        <v>720</v>
      </c>
      <c r="B20" s="40">
        <v>4.13</v>
      </c>
      <c r="C20" s="40">
        <v>21.39</v>
      </c>
      <c r="D20" s="40">
        <v>15.84</v>
      </c>
      <c r="E20" s="40">
        <v>23.26</v>
      </c>
      <c r="F20" s="41">
        <v>29.08</v>
      </c>
      <c r="G20" s="40">
        <v>114.43</v>
      </c>
      <c r="H20" s="40">
        <v>52.55</v>
      </c>
      <c r="I20" s="40">
        <v>13.97</v>
      </c>
      <c r="J20" s="40">
        <v>0.79</v>
      </c>
      <c r="K20" s="40">
        <v>136.43</v>
      </c>
      <c r="L20" s="40">
        <v>40.35</v>
      </c>
      <c r="M20" s="40">
        <v>10.33</v>
      </c>
      <c r="N20" s="40">
        <v>733</v>
      </c>
      <c r="O20" s="40">
        <v>0</v>
      </c>
      <c r="P20" s="40">
        <v>1.07</v>
      </c>
      <c r="Q20" s="40">
        <v>28.1</v>
      </c>
      <c r="R20" s="38"/>
      <c r="S20" s="38"/>
      <c r="T20" s="38"/>
      <c r="U20" s="38"/>
    </row>
    <row r="21" spans="1:21" customFormat="1">
      <c r="A21" s="39" t="s">
        <v>721</v>
      </c>
      <c r="B21" s="40">
        <v>4.09</v>
      </c>
      <c r="C21" s="40">
        <v>20.59</v>
      </c>
      <c r="D21" s="40">
        <v>15.39</v>
      </c>
      <c r="E21" s="40">
        <v>18.32</v>
      </c>
      <c r="F21" s="41">
        <v>49.82</v>
      </c>
      <c r="G21" s="40">
        <v>90.9</v>
      </c>
      <c r="H21" s="40">
        <v>41.04</v>
      </c>
      <c r="I21" s="40">
        <v>12.09</v>
      </c>
      <c r="J21" s="40">
        <v>0.88</v>
      </c>
      <c r="K21" s="40">
        <v>66.790000000000006</v>
      </c>
      <c r="L21" s="40">
        <v>40.619999999999997</v>
      </c>
      <c r="M21" s="40">
        <v>8.81</v>
      </c>
      <c r="N21" s="40">
        <v>751.4</v>
      </c>
      <c r="O21" s="40">
        <v>0</v>
      </c>
      <c r="P21" s="40">
        <v>0.84</v>
      </c>
      <c r="Q21" s="40">
        <v>28.09</v>
      </c>
      <c r="R21" s="38"/>
      <c r="S21" s="38"/>
      <c r="T21" s="38"/>
      <c r="U21" s="38"/>
    </row>
    <row r="22" spans="1:21" customFormat="1">
      <c r="A22" s="39" t="s">
        <v>722</v>
      </c>
      <c r="B22" s="40">
        <v>3.65</v>
      </c>
      <c r="C22" s="40">
        <v>19.41</v>
      </c>
      <c r="D22" s="40">
        <v>14.42</v>
      </c>
      <c r="E22" s="40">
        <v>19.04</v>
      </c>
      <c r="F22" s="41">
        <v>55.69</v>
      </c>
      <c r="G22" s="40">
        <v>80.69</v>
      </c>
      <c r="H22" s="40">
        <v>38.299999999999997</v>
      </c>
      <c r="I22" s="40">
        <v>10.34</v>
      </c>
      <c r="J22" s="40">
        <v>1.72</v>
      </c>
      <c r="K22" s="40">
        <v>260.58</v>
      </c>
      <c r="L22" s="40">
        <v>40.82</v>
      </c>
      <c r="M22" s="40">
        <v>9.06</v>
      </c>
      <c r="N22" s="40">
        <v>684.8</v>
      </c>
      <c r="O22" s="40">
        <v>0</v>
      </c>
      <c r="P22" s="40">
        <v>0.71</v>
      </c>
      <c r="Q22" s="40">
        <v>28.07</v>
      </c>
      <c r="R22" s="38"/>
      <c r="S22" s="38"/>
      <c r="T22" s="38"/>
      <c r="U22" s="38"/>
    </row>
    <row r="23" spans="1:21" customFormat="1">
      <c r="A23" s="39" t="s">
        <v>723</v>
      </c>
      <c r="B23" s="40">
        <v>4.05</v>
      </c>
      <c r="C23" s="40">
        <v>19.8</v>
      </c>
      <c r="D23" s="40">
        <v>14.89</v>
      </c>
      <c r="E23" s="40">
        <v>15.95</v>
      </c>
      <c r="F23" s="41">
        <v>49.09</v>
      </c>
      <c r="G23" s="40">
        <v>66.12</v>
      </c>
      <c r="H23" s="40">
        <v>35.51</v>
      </c>
      <c r="I23" s="40">
        <v>8.81</v>
      </c>
      <c r="J23" s="40">
        <v>1.56</v>
      </c>
      <c r="K23" s="40">
        <v>43.03</v>
      </c>
      <c r="L23" s="40">
        <v>40.6</v>
      </c>
      <c r="M23" s="40">
        <v>9.19</v>
      </c>
      <c r="N23" s="40">
        <v>552.70000000000005</v>
      </c>
      <c r="O23" s="40">
        <v>0</v>
      </c>
      <c r="P23" s="40">
        <v>0.72</v>
      </c>
      <c r="Q23" s="40">
        <v>28.07</v>
      </c>
      <c r="R23" s="38"/>
      <c r="S23" s="38"/>
      <c r="T23" s="38"/>
      <c r="U23" s="38"/>
    </row>
    <row r="24" spans="1:21" customFormat="1">
      <c r="A24" s="39" t="s">
        <v>724</v>
      </c>
      <c r="B24" s="40">
        <v>4.12</v>
      </c>
      <c r="C24" s="40">
        <v>19.39</v>
      </c>
      <c r="D24" s="40">
        <v>14.79</v>
      </c>
      <c r="E24" s="40">
        <v>17.850000000000001</v>
      </c>
      <c r="F24" s="41">
        <v>55.5</v>
      </c>
      <c r="G24" s="40">
        <v>67.099999999999994</v>
      </c>
      <c r="H24" s="40">
        <v>30.49</v>
      </c>
      <c r="I24" s="40">
        <v>7.68</v>
      </c>
      <c r="J24" s="40">
        <v>1.0900000000000001</v>
      </c>
      <c r="K24" s="40">
        <v>53.87</v>
      </c>
      <c r="L24" s="40">
        <v>40.47</v>
      </c>
      <c r="M24" s="40">
        <v>8.8800000000000008</v>
      </c>
      <c r="N24" s="40">
        <v>457.8</v>
      </c>
      <c r="O24" s="40">
        <v>0</v>
      </c>
      <c r="P24" s="40">
        <v>0.65</v>
      </c>
      <c r="Q24" s="40">
        <v>28.08</v>
      </c>
      <c r="R24" s="38"/>
      <c r="S24" s="38"/>
      <c r="T24" s="38"/>
      <c r="U24" s="38"/>
    </row>
    <row r="25" spans="1:21" customFormat="1">
      <c r="A25" s="39" t="s">
        <v>725</v>
      </c>
      <c r="B25" s="40">
        <v>4.43</v>
      </c>
      <c r="C25" s="40">
        <v>22.8</v>
      </c>
      <c r="D25" s="40">
        <v>16.809999999999999</v>
      </c>
      <c r="E25" s="40">
        <v>20.92</v>
      </c>
      <c r="F25" s="41">
        <v>55.83</v>
      </c>
      <c r="G25" s="40">
        <v>63.58</v>
      </c>
      <c r="H25" s="40">
        <v>28.71</v>
      </c>
      <c r="I25" s="40">
        <v>7.14</v>
      </c>
      <c r="J25" s="40">
        <v>0.87</v>
      </c>
      <c r="K25" s="40">
        <v>334.06</v>
      </c>
      <c r="L25" s="40">
        <v>39.83</v>
      </c>
      <c r="M25" s="40">
        <v>9.4700000000000006</v>
      </c>
      <c r="N25" s="40">
        <v>149.69999999999999</v>
      </c>
      <c r="O25" s="40">
        <v>0</v>
      </c>
      <c r="P25" s="40">
        <v>0.62</v>
      </c>
      <c r="Q25" s="40">
        <v>28.07</v>
      </c>
      <c r="R25" s="38"/>
      <c r="S25" s="38"/>
      <c r="T25" s="38"/>
      <c r="U25" s="38"/>
    </row>
    <row r="26" spans="1:21" customFormat="1">
      <c r="A26" s="39" t="s">
        <v>726</v>
      </c>
      <c r="B26" s="40">
        <v>4.9800000000000004</v>
      </c>
      <c r="C26" s="40">
        <v>24.54</v>
      </c>
      <c r="D26" s="40">
        <v>18.170000000000002</v>
      </c>
      <c r="E26" s="40">
        <v>20.69</v>
      </c>
      <c r="F26" s="41">
        <v>30.07</v>
      </c>
      <c r="G26" s="40">
        <v>63.16</v>
      </c>
      <c r="H26" s="40">
        <v>24.59</v>
      </c>
      <c r="I26" s="40">
        <v>6.53</v>
      </c>
      <c r="J26" s="40">
        <v>0.34</v>
      </c>
      <c r="K26" s="40">
        <v>180.68</v>
      </c>
      <c r="L26" s="40">
        <v>38.53</v>
      </c>
      <c r="M26" s="40">
        <v>18.190000000000001</v>
      </c>
      <c r="N26" s="40">
        <v>65.599999999999994</v>
      </c>
      <c r="O26" s="40">
        <v>0</v>
      </c>
      <c r="P26" s="40">
        <v>0.73</v>
      </c>
      <c r="Q26" s="40">
        <v>28.09</v>
      </c>
      <c r="R26" s="38"/>
      <c r="S26" s="38"/>
      <c r="T26" s="38"/>
      <c r="U26" s="38"/>
    </row>
    <row r="27" spans="1:21" customFormat="1">
      <c r="A27" s="39" t="s">
        <v>727</v>
      </c>
      <c r="B27" s="40">
        <v>3.52</v>
      </c>
      <c r="C27" s="40">
        <v>20.88</v>
      </c>
      <c r="D27" s="40">
        <v>14.95</v>
      </c>
      <c r="E27" s="40">
        <v>15.86</v>
      </c>
      <c r="F27" s="41">
        <v>29.25</v>
      </c>
      <c r="G27" s="40">
        <v>75.56</v>
      </c>
      <c r="H27" s="40">
        <v>26.08</v>
      </c>
      <c r="I27" s="40">
        <v>7.5</v>
      </c>
      <c r="J27" s="40">
        <v>0.23</v>
      </c>
      <c r="K27" s="40">
        <v>188.58</v>
      </c>
      <c r="L27" s="40">
        <v>33.79</v>
      </c>
      <c r="M27" s="40">
        <v>25.27</v>
      </c>
      <c r="N27" s="40">
        <v>9.6999999999999993</v>
      </c>
      <c r="O27" s="40">
        <v>0</v>
      </c>
      <c r="P27" s="40">
        <v>0.75</v>
      </c>
      <c r="Q27" s="40">
        <v>28.1</v>
      </c>
      <c r="R27" s="38"/>
      <c r="S27" s="38"/>
      <c r="T27" s="38"/>
      <c r="U27" s="38"/>
    </row>
    <row r="28" spans="1:21" customFormat="1">
      <c r="A28" s="39" t="s">
        <v>728</v>
      </c>
      <c r="B28" s="40">
        <v>3.87</v>
      </c>
      <c r="C28" s="40">
        <v>18.21</v>
      </c>
      <c r="D28" s="40">
        <v>13.74</v>
      </c>
      <c r="E28" s="40">
        <v>13.83</v>
      </c>
      <c r="F28" s="41">
        <v>10.69</v>
      </c>
      <c r="G28" s="40">
        <v>80.03</v>
      </c>
      <c r="H28" s="40">
        <v>29.27</v>
      </c>
      <c r="I28" s="40">
        <v>7.98</v>
      </c>
      <c r="J28" s="40">
        <v>0.23</v>
      </c>
      <c r="K28" s="40">
        <v>197.76</v>
      </c>
      <c r="L28" s="40">
        <v>31.21</v>
      </c>
      <c r="M28" s="40">
        <v>31.49</v>
      </c>
      <c r="N28" s="40">
        <v>6.3</v>
      </c>
      <c r="O28" s="40">
        <v>0</v>
      </c>
      <c r="P28" s="40">
        <v>0.77</v>
      </c>
      <c r="Q28" s="40">
        <v>28.1</v>
      </c>
      <c r="R28" s="38"/>
      <c r="S28" s="38"/>
      <c r="T28" s="38"/>
      <c r="U28" s="38"/>
    </row>
    <row r="29" spans="1:21" customFormat="1">
      <c r="A29" s="39" t="s">
        <v>729</v>
      </c>
      <c r="B29" s="40">
        <v>4.87</v>
      </c>
      <c r="C29" s="40">
        <v>21.65</v>
      </c>
      <c r="D29" s="40">
        <v>16.27</v>
      </c>
      <c r="E29" s="40">
        <v>13.49</v>
      </c>
      <c r="F29" s="41">
        <v>5.46</v>
      </c>
      <c r="G29" s="40">
        <v>92.85</v>
      </c>
      <c r="H29" s="40">
        <v>32.799999999999997</v>
      </c>
      <c r="I29" s="40">
        <v>12.02</v>
      </c>
      <c r="J29" s="40">
        <v>0.23</v>
      </c>
      <c r="K29" s="40">
        <v>183.73</v>
      </c>
      <c r="L29" s="40">
        <v>29.33</v>
      </c>
      <c r="M29" s="40">
        <v>33.840000000000003</v>
      </c>
      <c r="N29" s="40">
        <v>6.1</v>
      </c>
      <c r="O29" s="40">
        <v>0</v>
      </c>
      <c r="P29" s="40">
        <v>0.93</v>
      </c>
      <c r="Q29" s="40">
        <v>28.13</v>
      </c>
      <c r="R29" s="38"/>
      <c r="S29" s="38"/>
      <c r="T29" s="38"/>
      <c r="U29" s="38"/>
    </row>
    <row r="30" spans="1:21" customFormat="1">
      <c r="A30" s="39" t="s">
        <v>730</v>
      </c>
      <c r="B30" s="40">
        <v>8.08</v>
      </c>
      <c r="C30" s="40">
        <v>24.87</v>
      </c>
      <c r="D30" s="40">
        <v>20.75</v>
      </c>
      <c r="E30" s="40">
        <v>11.14</v>
      </c>
      <c r="F30" s="41">
        <v>4.1399999999999997</v>
      </c>
      <c r="G30" s="40">
        <v>111.46</v>
      </c>
      <c r="H30" s="40">
        <v>41.09</v>
      </c>
      <c r="I30" s="40">
        <v>11.7</v>
      </c>
      <c r="J30" s="40">
        <v>0.28999999999999998</v>
      </c>
      <c r="K30" s="40">
        <v>180.85</v>
      </c>
      <c r="L30" s="40">
        <v>29.08</v>
      </c>
      <c r="M30" s="40">
        <v>34.07</v>
      </c>
      <c r="N30" s="40">
        <v>5.9</v>
      </c>
      <c r="O30" s="40">
        <v>0</v>
      </c>
      <c r="P30" s="40">
        <v>1.02</v>
      </c>
      <c r="Q30" s="40">
        <v>28.16</v>
      </c>
      <c r="R30" s="38"/>
      <c r="S30" s="38"/>
      <c r="T30" s="38"/>
      <c r="U30" s="38"/>
    </row>
    <row r="31" spans="1:21" customFormat="1">
      <c r="A31" s="39" t="s">
        <v>731</v>
      </c>
      <c r="B31" s="40">
        <v>16.45</v>
      </c>
      <c r="C31" s="40">
        <v>28.1</v>
      </c>
      <c r="D31" s="40">
        <v>28.96</v>
      </c>
      <c r="E31" s="40">
        <v>11.03</v>
      </c>
      <c r="F31" s="41">
        <v>6.23</v>
      </c>
      <c r="G31" s="40">
        <v>119.51</v>
      </c>
      <c r="H31" s="40">
        <v>44.95</v>
      </c>
      <c r="I31" s="40">
        <v>12.85</v>
      </c>
      <c r="J31" s="40">
        <v>0.25</v>
      </c>
      <c r="K31" s="40">
        <v>194.63</v>
      </c>
      <c r="L31" s="40">
        <v>28.96</v>
      </c>
      <c r="M31" s="40">
        <v>37.51</v>
      </c>
      <c r="N31" s="40">
        <v>6.2</v>
      </c>
      <c r="O31" s="40">
        <v>0</v>
      </c>
      <c r="P31" s="40">
        <v>1.1399999999999999</v>
      </c>
      <c r="Q31" s="40">
        <v>28.32</v>
      </c>
      <c r="R31" s="38"/>
      <c r="S31" s="38"/>
      <c r="T31" s="38"/>
      <c r="U31" s="38"/>
    </row>
    <row r="32" spans="1:21" customFormat="1">
      <c r="A32" s="39" t="s">
        <v>732</v>
      </c>
      <c r="B32" s="40">
        <v>18.8</v>
      </c>
      <c r="C32" s="40">
        <v>30.46</v>
      </c>
      <c r="D32" s="40">
        <v>32.340000000000003</v>
      </c>
      <c r="E32" s="40">
        <v>10.5</v>
      </c>
      <c r="F32" s="41">
        <v>4.29</v>
      </c>
      <c r="G32" s="40">
        <v>127.12</v>
      </c>
      <c r="H32" s="40">
        <v>46.33</v>
      </c>
      <c r="I32" s="40">
        <v>13.32</v>
      </c>
      <c r="J32" s="40">
        <v>0.32</v>
      </c>
      <c r="K32" s="40">
        <v>277.54000000000002</v>
      </c>
      <c r="L32" s="40">
        <v>28.76</v>
      </c>
      <c r="M32" s="40">
        <v>37.94</v>
      </c>
      <c r="N32" s="40">
        <v>5.8</v>
      </c>
      <c r="O32" s="40">
        <v>0</v>
      </c>
      <c r="P32" s="40">
        <v>1.24</v>
      </c>
      <c r="Q32" s="40">
        <v>28.46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3.52</v>
      </c>
      <c r="C34" s="18">
        <f t="shared" si="0"/>
        <v>15.76</v>
      </c>
      <c r="D34" s="18">
        <f t="shared" si="0"/>
        <v>13.47</v>
      </c>
      <c r="E34" s="18">
        <f t="shared" si="0"/>
        <v>8.58</v>
      </c>
      <c r="F34" s="18">
        <f t="shared" si="0"/>
        <v>2.5</v>
      </c>
      <c r="G34" s="18">
        <f t="shared" si="0"/>
        <v>63.16</v>
      </c>
      <c r="H34" s="18">
        <f t="shared" si="0"/>
        <v>24.59</v>
      </c>
      <c r="I34" s="18">
        <f t="shared" si="0"/>
        <v>6.53</v>
      </c>
      <c r="J34" s="18">
        <f t="shared" si="0"/>
        <v>0.2</v>
      </c>
      <c r="K34" s="18">
        <f t="shared" si="0"/>
        <v>43.03</v>
      </c>
      <c r="L34" s="18">
        <f t="shared" si="0"/>
        <v>22.03</v>
      </c>
      <c r="M34" s="18">
        <f t="shared" si="0"/>
        <v>8.81</v>
      </c>
      <c r="N34" s="18">
        <f t="shared" si="0"/>
        <v>5.8</v>
      </c>
      <c r="O34" s="18">
        <f t="shared" si="0"/>
        <v>0</v>
      </c>
      <c r="P34" s="18">
        <f t="shared" si="0"/>
        <v>0.62</v>
      </c>
      <c r="Q34" s="18">
        <f t="shared" si="0"/>
        <v>28.07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18.8</v>
      </c>
      <c r="C35" s="3">
        <f t="shared" si="1"/>
        <v>30.46</v>
      </c>
      <c r="D35" s="3">
        <f t="shared" si="1"/>
        <v>32.340000000000003</v>
      </c>
      <c r="E35" s="3">
        <f t="shared" si="1"/>
        <v>34.700000000000003</v>
      </c>
      <c r="F35" s="3">
        <f t="shared" si="1"/>
        <v>55.83</v>
      </c>
      <c r="G35" s="3">
        <f t="shared" si="1"/>
        <v>136.87</v>
      </c>
      <c r="H35" s="3">
        <f t="shared" si="1"/>
        <v>54.77</v>
      </c>
      <c r="I35" s="3">
        <f t="shared" si="1"/>
        <v>16.13</v>
      </c>
      <c r="J35" s="3">
        <f t="shared" si="1"/>
        <v>1.72</v>
      </c>
      <c r="K35" s="3">
        <f t="shared" si="1"/>
        <v>340.17</v>
      </c>
      <c r="L35" s="3">
        <f t="shared" si="1"/>
        <v>40.82</v>
      </c>
      <c r="M35" s="3">
        <f t="shared" si="1"/>
        <v>56.76</v>
      </c>
      <c r="N35" s="3">
        <f t="shared" si="1"/>
        <v>751.4</v>
      </c>
      <c r="O35" s="3">
        <f t="shared" si="1"/>
        <v>0</v>
      </c>
      <c r="P35" s="3">
        <f t="shared" si="1"/>
        <v>1.24</v>
      </c>
      <c r="Q35" s="3">
        <f t="shared" si="1"/>
        <v>28.46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6.8616666666666681</v>
      </c>
      <c r="C36" s="18">
        <f t="shared" si="2"/>
        <v>20.98875</v>
      </c>
      <c r="D36" s="18">
        <f t="shared" si="2"/>
        <v>17.704999999999998</v>
      </c>
      <c r="E36" s="18">
        <f t="shared" si="2"/>
        <v>15.189583333333331</v>
      </c>
      <c r="F36" s="18">
        <f t="shared" si="2"/>
        <v>18.414999999999999</v>
      </c>
      <c r="G36" s="18">
        <f t="shared" si="2"/>
        <v>89.267499999999998</v>
      </c>
      <c r="H36" s="18">
        <f t="shared" si="2"/>
        <v>38.967500000000001</v>
      </c>
      <c r="I36" s="18">
        <f t="shared" si="2"/>
        <v>11.352916666666665</v>
      </c>
      <c r="J36" s="18">
        <f t="shared" si="2"/>
        <v>0.53833333333333333</v>
      </c>
      <c r="K36" s="18">
        <f t="shared" si="2"/>
        <v>201.23124999999996</v>
      </c>
      <c r="L36" s="18">
        <f t="shared" si="2"/>
        <v>31.753750000000007</v>
      </c>
      <c r="M36" s="18">
        <f t="shared" si="2"/>
        <v>31.175416666666667</v>
      </c>
      <c r="N36" s="18">
        <f t="shared" si="2"/>
        <v>210.98749999999998</v>
      </c>
      <c r="O36" s="18">
        <f t="shared" si="2"/>
        <v>0</v>
      </c>
      <c r="P36" s="18">
        <f t="shared" si="2"/>
        <v>0.94791666666666663</v>
      </c>
      <c r="Q36" s="18">
        <f t="shared" si="2"/>
        <v>28.160416666666666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3.8236457297540856</v>
      </c>
      <c r="C37" s="18">
        <f t="shared" ref="C37:Q37" si="3">STDEV(C9:C32)</f>
        <v>3.6939213434105911</v>
      </c>
      <c r="D37" s="18">
        <f t="shared" si="3"/>
        <v>4.5288716321915876</v>
      </c>
      <c r="E37" s="18">
        <f t="shared" si="3"/>
        <v>6.7203910853892914</v>
      </c>
      <c r="F37" s="18">
        <f t="shared" si="3"/>
        <v>20.10378614568172</v>
      </c>
      <c r="G37" s="18">
        <f t="shared" si="3"/>
        <v>23.721954470764846</v>
      </c>
      <c r="H37" s="18">
        <f t="shared" si="3"/>
        <v>8.6310739167569235</v>
      </c>
      <c r="I37" s="18">
        <f t="shared" si="3"/>
        <v>2.7209660675171459</v>
      </c>
      <c r="J37" s="18">
        <f t="shared" si="3"/>
        <v>0.43047664852757828</v>
      </c>
      <c r="K37" s="18">
        <f t="shared" si="3"/>
        <v>77.307870307059019</v>
      </c>
      <c r="L37" s="18">
        <f t="shared" si="3"/>
        <v>6.8683621315103114</v>
      </c>
      <c r="M37" s="18">
        <f t="shared" si="3"/>
        <v>17.355561188468286</v>
      </c>
      <c r="N37" s="18">
        <f t="shared" si="3"/>
        <v>282.35963856247304</v>
      </c>
      <c r="O37" s="18">
        <f t="shared" si="3"/>
        <v>0</v>
      </c>
      <c r="P37" s="18">
        <f t="shared" si="3"/>
        <v>0.18870218465283667</v>
      </c>
      <c r="Q37" s="18">
        <f t="shared" si="3"/>
        <v>9.1863753871493287E-2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19" zoomScale="89" zoomScaleNormal="89" workbookViewId="0">
      <selection activeCell="K25" sqref="K25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29/03/2025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39" t="s">
        <v>733</v>
      </c>
      <c r="B9" s="40">
        <v>24.68</v>
      </c>
      <c r="C9" s="40">
        <v>28.63</v>
      </c>
      <c r="D9" s="40">
        <v>35.39</v>
      </c>
      <c r="E9" s="40">
        <v>10.81</v>
      </c>
      <c r="F9" s="41">
        <v>3.67</v>
      </c>
      <c r="G9" s="40">
        <v>145.43</v>
      </c>
      <c r="H9" s="40">
        <v>53.94</v>
      </c>
      <c r="I9" s="40">
        <v>14.62</v>
      </c>
      <c r="J9" s="40">
        <v>0.93</v>
      </c>
      <c r="K9" s="40">
        <v>244.01</v>
      </c>
      <c r="L9" s="40">
        <v>28.64</v>
      </c>
      <c r="M9" s="40">
        <v>37.799999999999997</v>
      </c>
      <c r="N9" s="40">
        <v>6.8</v>
      </c>
      <c r="O9" s="40">
        <v>0</v>
      </c>
      <c r="P9" s="40">
        <v>1.34</v>
      </c>
      <c r="Q9" s="40">
        <v>28.59</v>
      </c>
      <c r="R9" s="38"/>
      <c r="S9" s="38"/>
      <c r="T9" s="38"/>
      <c r="U9" s="38"/>
    </row>
    <row r="10" spans="1:21">
      <c r="A10" s="39" t="s">
        <v>734</v>
      </c>
      <c r="B10" s="40">
        <v>20.52</v>
      </c>
      <c r="C10" s="40">
        <v>26.59</v>
      </c>
      <c r="D10" s="40">
        <v>31.49</v>
      </c>
      <c r="E10" s="40">
        <v>10.63</v>
      </c>
      <c r="F10" s="41">
        <v>3.27</v>
      </c>
      <c r="G10" s="40">
        <v>151.21</v>
      </c>
      <c r="H10" s="40">
        <v>54.18</v>
      </c>
      <c r="I10" s="40">
        <v>15.2</v>
      </c>
      <c r="J10" s="40">
        <v>1</v>
      </c>
      <c r="K10" s="40">
        <v>56.28</v>
      </c>
      <c r="L10" s="40">
        <v>28.88</v>
      </c>
      <c r="M10" s="40">
        <v>29.09</v>
      </c>
      <c r="N10" s="40">
        <v>5.9</v>
      </c>
      <c r="O10" s="40">
        <v>0</v>
      </c>
      <c r="P10" s="40">
        <v>1.31</v>
      </c>
      <c r="Q10" s="40">
        <v>28.59</v>
      </c>
      <c r="R10" s="38"/>
      <c r="S10" s="38"/>
      <c r="T10" s="38"/>
      <c r="U10" s="38"/>
    </row>
    <row r="11" spans="1:21">
      <c r="A11" s="39" t="s">
        <v>735</v>
      </c>
      <c r="B11" s="40">
        <v>16.02</v>
      </c>
      <c r="C11" s="40">
        <v>24.98</v>
      </c>
      <c r="D11" s="40">
        <v>27.25</v>
      </c>
      <c r="E11" s="40">
        <v>9.84</v>
      </c>
      <c r="F11" s="41">
        <v>2.8</v>
      </c>
      <c r="G11" s="40">
        <v>138.19</v>
      </c>
      <c r="H11" s="40">
        <v>48.51</v>
      </c>
      <c r="I11" s="40">
        <v>14.32</v>
      </c>
      <c r="J11" s="40">
        <v>1.21</v>
      </c>
      <c r="K11" s="40">
        <v>57.8</v>
      </c>
      <c r="L11" s="40">
        <v>29.27</v>
      </c>
      <c r="M11" s="40">
        <v>27.5</v>
      </c>
      <c r="N11" s="40">
        <v>5.8</v>
      </c>
      <c r="O11" s="40">
        <v>0</v>
      </c>
      <c r="P11" s="40">
        <v>1.19</v>
      </c>
      <c r="Q11" s="40">
        <v>28.48</v>
      </c>
      <c r="R11" s="38"/>
      <c r="S11" s="38"/>
      <c r="T11" s="38"/>
      <c r="U11" s="38"/>
    </row>
    <row r="12" spans="1:21">
      <c r="A12" s="39" t="s">
        <v>736</v>
      </c>
      <c r="B12" s="40">
        <v>13.96</v>
      </c>
      <c r="C12" s="40">
        <v>21.94</v>
      </c>
      <c r="D12" s="40">
        <v>24.01</v>
      </c>
      <c r="E12" s="40">
        <v>10.64</v>
      </c>
      <c r="F12" s="41">
        <v>2.76</v>
      </c>
      <c r="G12" s="40">
        <v>108.83</v>
      </c>
      <c r="H12" s="40">
        <v>43.88</v>
      </c>
      <c r="I12" s="40">
        <v>13.24</v>
      </c>
      <c r="J12" s="40">
        <v>0.73</v>
      </c>
      <c r="K12" s="40">
        <v>45.71</v>
      </c>
      <c r="L12" s="40">
        <v>29.22</v>
      </c>
      <c r="M12" s="40">
        <v>29.8</v>
      </c>
      <c r="N12" s="40">
        <v>6.3</v>
      </c>
      <c r="O12" s="40">
        <v>0</v>
      </c>
      <c r="P12" s="40">
        <v>1.08</v>
      </c>
      <c r="Q12" s="40">
        <v>28.41</v>
      </c>
      <c r="R12" s="38"/>
      <c r="S12" s="38"/>
      <c r="T12" s="38"/>
      <c r="U12" s="38"/>
    </row>
    <row r="13" spans="1:21">
      <c r="A13" s="39" t="s">
        <v>737</v>
      </c>
      <c r="B13" s="40">
        <v>15.88</v>
      </c>
      <c r="C13" s="40">
        <v>23.87</v>
      </c>
      <c r="D13" s="40">
        <v>26.56</v>
      </c>
      <c r="E13" s="40">
        <v>9.51</v>
      </c>
      <c r="F13" s="41">
        <v>2.5</v>
      </c>
      <c r="G13" s="40">
        <v>89.26</v>
      </c>
      <c r="H13" s="40">
        <v>39</v>
      </c>
      <c r="I13" s="40">
        <v>12.29</v>
      </c>
      <c r="J13" s="40">
        <v>0.54</v>
      </c>
      <c r="K13" s="40">
        <v>54.39</v>
      </c>
      <c r="L13" s="40">
        <v>27.68</v>
      </c>
      <c r="M13" s="40">
        <v>34.200000000000003</v>
      </c>
      <c r="N13" s="40">
        <v>6.4</v>
      </c>
      <c r="O13" s="40">
        <v>0</v>
      </c>
      <c r="P13" s="40">
        <v>1.05</v>
      </c>
      <c r="Q13" s="40">
        <v>28.37</v>
      </c>
      <c r="R13" s="38"/>
      <c r="S13" s="38"/>
      <c r="T13" s="38"/>
      <c r="U13" s="38"/>
    </row>
    <row r="14" spans="1:21">
      <c r="A14" s="39" t="s">
        <v>738</v>
      </c>
      <c r="B14" s="40">
        <v>14.44</v>
      </c>
      <c r="C14" s="40">
        <v>21.42</v>
      </c>
      <c r="D14" s="40">
        <v>24.05</v>
      </c>
      <c r="E14" s="40">
        <v>8.89</v>
      </c>
      <c r="F14" s="41">
        <v>3.14</v>
      </c>
      <c r="G14" s="40">
        <v>85.08</v>
      </c>
      <c r="H14" s="40">
        <v>36.049999999999997</v>
      </c>
      <c r="I14" s="40">
        <v>12.14</v>
      </c>
      <c r="J14" s="40">
        <v>0.94</v>
      </c>
      <c r="K14" s="40">
        <v>47.87</v>
      </c>
      <c r="L14" s="40">
        <v>26.98</v>
      </c>
      <c r="M14" s="40">
        <v>33.840000000000003</v>
      </c>
      <c r="N14" s="40">
        <v>7.8</v>
      </c>
      <c r="O14" s="40">
        <v>0</v>
      </c>
      <c r="P14" s="40">
        <v>1.04</v>
      </c>
      <c r="Q14" s="40">
        <v>28.36</v>
      </c>
      <c r="R14" s="38"/>
      <c r="S14" s="38"/>
      <c r="T14" s="38"/>
      <c r="U14" s="38"/>
    </row>
    <row r="15" spans="1:21">
      <c r="A15" s="39" t="s">
        <v>739</v>
      </c>
      <c r="B15" s="40">
        <v>14.45</v>
      </c>
      <c r="C15" s="40">
        <v>19.97</v>
      </c>
      <c r="D15" s="40">
        <v>23.33</v>
      </c>
      <c r="E15" s="40">
        <v>9.08</v>
      </c>
      <c r="F15" s="41">
        <v>3.48</v>
      </c>
      <c r="G15" s="40">
        <v>95.99</v>
      </c>
      <c r="H15" s="40">
        <v>32.33</v>
      </c>
      <c r="I15" s="40">
        <v>11.83</v>
      </c>
      <c r="J15" s="40">
        <v>0.91</v>
      </c>
      <c r="K15" s="40">
        <v>50.04</v>
      </c>
      <c r="L15" s="40">
        <v>26.83</v>
      </c>
      <c r="M15" s="40">
        <v>33.799999999999997</v>
      </c>
      <c r="N15" s="40">
        <v>50.6</v>
      </c>
      <c r="O15" s="40">
        <v>0</v>
      </c>
      <c r="P15" s="40">
        <v>1</v>
      </c>
      <c r="Q15" s="40">
        <v>28.37</v>
      </c>
      <c r="R15" s="38"/>
      <c r="S15" s="38"/>
      <c r="T15" s="38"/>
      <c r="U15" s="38"/>
    </row>
    <row r="16" spans="1:21">
      <c r="A16" s="39" t="s">
        <v>740</v>
      </c>
      <c r="B16" s="40">
        <v>14.09</v>
      </c>
      <c r="C16" s="40">
        <v>21.74</v>
      </c>
      <c r="D16" s="40">
        <v>23.42</v>
      </c>
      <c r="E16" s="40">
        <v>9.34</v>
      </c>
      <c r="F16" s="41">
        <v>4.8899999999999997</v>
      </c>
      <c r="G16" s="40">
        <v>99.88</v>
      </c>
      <c r="H16" s="40">
        <v>32.369999999999997</v>
      </c>
      <c r="I16" s="40">
        <v>11.78</v>
      </c>
      <c r="J16" s="40">
        <v>1.08</v>
      </c>
      <c r="K16" s="40">
        <v>57.11</v>
      </c>
      <c r="L16" s="40">
        <v>29.31</v>
      </c>
      <c r="M16" s="40">
        <v>33.39</v>
      </c>
      <c r="N16" s="40">
        <v>105.4</v>
      </c>
      <c r="O16" s="40">
        <v>0</v>
      </c>
      <c r="P16" s="40">
        <v>0.99</v>
      </c>
      <c r="Q16" s="40">
        <v>28.37</v>
      </c>
      <c r="R16" s="38"/>
      <c r="S16" s="38"/>
      <c r="T16" s="38"/>
      <c r="U16" s="38"/>
    </row>
    <row r="17" spans="1:21">
      <c r="A17" s="39" t="s">
        <v>741</v>
      </c>
      <c r="B17" s="40">
        <v>11.5</v>
      </c>
      <c r="C17" s="40">
        <v>23.03</v>
      </c>
      <c r="D17" s="40">
        <v>22.01</v>
      </c>
      <c r="E17" s="40">
        <v>8.83</v>
      </c>
      <c r="F17" s="41">
        <v>7.54</v>
      </c>
      <c r="G17" s="40">
        <v>97.82</v>
      </c>
      <c r="H17" s="40">
        <v>31.28</v>
      </c>
      <c r="I17" s="40">
        <v>11.35</v>
      </c>
      <c r="J17" s="40">
        <v>1.36</v>
      </c>
      <c r="K17" s="40">
        <v>57.03</v>
      </c>
      <c r="L17" s="40">
        <v>32.35</v>
      </c>
      <c r="M17" s="40">
        <v>24.61</v>
      </c>
      <c r="N17" s="40">
        <v>252.6</v>
      </c>
      <c r="O17" s="40">
        <v>0</v>
      </c>
      <c r="P17" s="40">
        <v>0.92</v>
      </c>
      <c r="Q17" s="40">
        <v>28.29</v>
      </c>
      <c r="R17" s="38"/>
      <c r="S17" s="38"/>
      <c r="T17" s="38"/>
      <c r="U17" s="38"/>
    </row>
    <row r="18" spans="1:21">
      <c r="A18" s="39" t="s">
        <v>742</v>
      </c>
      <c r="B18" s="40">
        <v>8.58</v>
      </c>
      <c r="C18" s="40">
        <v>24.14</v>
      </c>
      <c r="D18" s="40">
        <v>20.76</v>
      </c>
      <c r="E18" s="40">
        <v>10.15</v>
      </c>
      <c r="F18" s="41">
        <v>8.91</v>
      </c>
      <c r="G18" s="40">
        <v>98.96</v>
      </c>
      <c r="H18" s="40">
        <v>32.64</v>
      </c>
      <c r="I18" s="40">
        <v>10.55</v>
      </c>
      <c r="J18" s="40">
        <v>1.68</v>
      </c>
      <c r="K18" s="40">
        <v>56.64</v>
      </c>
      <c r="L18" s="40">
        <v>34.549999999999997</v>
      </c>
      <c r="M18" s="40">
        <v>18.98</v>
      </c>
      <c r="N18" s="40">
        <v>474.9</v>
      </c>
      <c r="O18" s="40">
        <v>0</v>
      </c>
      <c r="P18" s="40">
        <v>0.83</v>
      </c>
      <c r="Q18" s="40">
        <v>28.22</v>
      </c>
      <c r="R18" s="38"/>
      <c r="S18" s="38"/>
      <c r="T18" s="38"/>
      <c r="U18" s="38"/>
    </row>
    <row r="19" spans="1:21">
      <c r="A19" s="39" t="s">
        <v>743</v>
      </c>
      <c r="B19" s="40">
        <v>6.45</v>
      </c>
      <c r="C19" s="40">
        <v>24.39</v>
      </c>
      <c r="D19" s="40">
        <v>19.149999999999999</v>
      </c>
      <c r="E19" s="40">
        <v>10.41</v>
      </c>
      <c r="F19" s="41">
        <v>13.86</v>
      </c>
      <c r="G19" s="40">
        <v>94.04</v>
      </c>
      <c r="H19" s="40">
        <v>32.68</v>
      </c>
      <c r="I19" s="40">
        <v>9.68</v>
      </c>
      <c r="J19" s="40">
        <v>1.9</v>
      </c>
      <c r="K19" s="40">
        <v>55.04</v>
      </c>
      <c r="L19" s="40">
        <v>35.9</v>
      </c>
      <c r="M19" s="40">
        <v>15.71</v>
      </c>
      <c r="N19" s="40">
        <v>605.5</v>
      </c>
      <c r="O19" s="40">
        <v>0</v>
      </c>
      <c r="P19" s="40">
        <v>0.72</v>
      </c>
      <c r="Q19" s="40">
        <v>28.16</v>
      </c>
      <c r="R19" s="38"/>
      <c r="S19" s="38"/>
      <c r="T19" s="38"/>
      <c r="U19" s="38"/>
    </row>
    <row r="20" spans="1:21">
      <c r="A20" s="39" t="s">
        <v>744</v>
      </c>
      <c r="B20" s="40">
        <v>5.43</v>
      </c>
      <c r="C20" s="40">
        <v>24.52</v>
      </c>
      <c r="D20" s="40">
        <v>18.510000000000002</v>
      </c>
      <c r="E20" s="40">
        <v>18.02</v>
      </c>
      <c r="F20" s="41">
        <v>29.08</v>
      </c>
      <c r="G20" s="40">
        <v>93.18</v>
      </c>
      <c r="H20" s="40">
        <v>29.88</v>
      </c>
      <c r="I20" s="40">
        <v>9.01</v>
      </c>
      <c r="J20" s="40">
        <v>1.7</v>
      </c>
      <c r="K20" s="40">
        <v>67.290000000000006</v>
      </c>
      <c r="L20" s="40">
        <v>38.43</v>
      </c>
      <c r="M20" s="40">
        <v>14.65</v>
      </c>
      <c r="N20" s="40">
        <v>663.4</v>
      </c>
      <c r="O20" s="40">
        <v>0</v>
      </c>
      <c r="P20" s="40">
        <v>0.66</v>
      </c>
      <c r="Q20" s="40">
        <v>28.14</v>
      </c>
      <c r="R20" s="38"/>
      <c r="S20" s="38"/>
      <c r="T20" s="38"/>
      <c r="U20" s="38"/>
    </row>
    <row r="21" spans="1:21">
      <c r="A21" s="39" t="s">
        <v>745</v>
      </c>
      <c r="B21" s="40">
        <v>4.71</v>
      </c>
      <c r="C21" s="40">
        <v>23.09</v>
      </c>
      <c r="D21" s="40">
        <v>17.190000000000001</v>
      </c>
      <c r="E21" s="40">
        <v>12.97</v>
      </c>
      <c r="F21" s="41">
        <v>49.82</v>
      </c>
      <c r="G21" s="40">
        <v>90.7</v>
      </c>
      <c r="H21" s="40">
        <v>30.69</v>
      </c>
      <c r="I21" s="40">
        <v>8.35</v>
      </c>
      <c r="J21" s="40">
        <v>0.71</v>
      </c>
      <c r="K21" s="40">
        <v>77.430000000000007</v>
      </c>
      <c r="L21" s="40">
        <v>39.700000000000003</v>
      </c>
      <c r="M21" s="40">
        <v>13.28</v>
      </c>
      <c r="N21" s="40">
        <v>683.3</v>
      </c>
      <c r="O21" s="40">
        <v>0</v>
      </c>
      <c r="P21" s="40">
        <v>0.66</v>
      </c>
      <c r="Q21" s="40">
        <v>28.09</v>
      </c>
      <c r="R21" s="38"/>
      <c r="S21" s="38"/>
      <c r="T21" s="38"/>
      <c r="U21" s="38"/>
    </row>
    <row r="22" spans="1:21">
      <c r="A22" s="39" t="s">
        <v>746</v>
      </c>
      <c r="B22" s="40">
        <v>4.12</v>
      </c>
      <c r="C22" s="40">
        <v>18.95</v>
      </c>
      <c r="D22" s="40">
        <v>14.55</v>
      </c>
      <c r="E22" s="40">
        <v>14.68</v>
      </c>
      <c r="F22" s="41">
        <v>55.69</v>
      </c>
      <c r="G22" s="40">
        <v>87.07</v>
      </c>
      <c r="H22" s="40">
        <v>30.71</v>
      </c>
      <c r="I22" s="40">
        <v>8.15</v>
      </c>
      <c r="J22" s="40">
        <v>0.6</v>
      </c>
      <c r="K22" s="40">
        <v>152.25</v>
      </c>
      <c r="L22" s="40">
        <v>40.619999999999997</v>
      </c>
      <c r="M22" s="40">
        <v>11.99</v>
      </c>
      <c r="N22" s="40">
        <v>646.5</v>
      </c>
      <c r="O22" s="40">
        <v>0</v>
      </c>
      <c r="P22" s="40">
        <v>0.64</v>
      </c>
      <c r="Q22" s="40">
        <v>28.08</v>
      </c>
      <c r="R22" s="38"/>
      <c r="S22" s="38"/>
      <c r="T22" s="38"/>
      <c r="U22" s="38"/>
    </row>
    <row r="23" spans="1:21">
      <c r="A23" s="39" t="s">
        <v>747</v>
      </c>
      <c r="B23" s="40">
        <v>3.97</v>
      </c>
      <c r="C23" s="40">
        <v>16.41</v>
      </c>
      <c r="D23" s="40">
        <v>13.06</v>
      </c>
      <c r="E23" s="40">
        <v>16.25</v>
      </c>
      <c r="F23" s="41">
        <v>49.09</v>
      </c>
      <c r="G23" s="40">
        <v>81.84</v>
      </c>
      <c r="H23" s="40">
        <v>29.1</v>
      </c>
      <c r="I23" s="40">
        <v>7.61</v>
      </c>
      <c r="J23" s="40">
        <v>0.4</v>
      </c>
      <c r="K23" s="40">
        <v>226.13</v>
      </c>
      <c r="L23" s="40">
        <v>40.909999999999997</v>
      </c>
      <c r="M23" s="40">
        <v>11.65</v>
      </c>
      <c r="N23" s="40">
        <v>534.70000000000005</v>
      </c>
      <c r="O23" s="40">
        <v>0</v>
      </c>
      <c r="P23" s="40">
        <v>0.55000000000000004</v>
      </c>
      <c r="Q23" s="40">
        <v>28.08</v>
      </c>
      <c r="R23" s="38"/>
      <c r="S23" s="38"/>
      <c r="T23" s="38"/>
      <c r="U23" s="38"/>
    </row>
    <row r="24" spans="1:21">
      <c r="A24" s="39" t="s">
        <v>748</v>
      </c>
      <c r="B24" s="40">
        <v>3.95</v>
      </c>
      <c r="C24" s="40">
        <v>15.58</v>
      </c>
      <c r="D24" s="40">
        <v>12.54</v>
      </c>
      <c r="E24" s="40">
        <v>18.95</v>
      </c>
      <c r="F24" s="41">
        <v>55.5</v>
      </c>
      <c r="G24" s="40">
        <v>71.290000000000006</v>
      </c>
      <c r="H24" s="40">
        <v>29.14</v>
      </c>
      <c r="I24" s="40">
        <v>7.17</v>
      </c>
      <c r="J24" s="40">
        <v>0.65</v>
      </c>
      <c r="K24" s="40">
        <v>151.57</v>
      </c>
      <c r="L24" s="40">
        <v>40.61</v>
      </c>
      <c r="M24" s="40">
        <v>11.98</v>
      </c>
      <c r="N24" s="40">
        <v>409.9</v>
      </c>
      <c r="O24" s="40">
        <v>0</v>
      </c>
      <c r="P24" s="40">
        <v>0.53</v>
      </c>
      <c r="Q24" s="40">
        <v>28.08</v>
      </c>
      <c r="R24" s="38"/>
      <c r="S24" s="38"/>
      <c r="T24" s="38"/>
      <c r="U24" s="38"/>
    </row>
    <row r="25" spans="1:21">
      <c r="A25" s="39" t="s">
        <v>749</v>
      </c>
      <c r="B25" s="40">
        <v>4.1399999999999997</v>
      </c>
      <c r="C25" s="40">
        <v>21.53</v>
      </c>
      <c r="D25" s="40">
        <v>15.92</v>
      </c>
      <c r="E25" s="40">
        <v>40.76</v>
      </c>
      <c r="F25" s="41">
        <v>55.83</v>
      </c>
      <c r="G25" s="40">
        <v>71.430000000000007</v>
      </c>
      <c r="H25" s="40">
        <v>27.59</v>
      </c>
      <c r="I25" s="40">
        <v>6.65</v>
      </c>
      <c r="J25" s="40">
        <v>0.56999999999999995</v>
      </c>
      <c r="K25" s="40">
        <v>300.72000000000003</v>
      </c>
      <c r="L25" s="40">
        <v>39.28</v>
      </c>
      <c r="M25" s="40">
        <v>14.37</v>
      </c>
      <c r="N25" s="40">
        <v>145.80000000000001</v>
      </c>
      <c r="O25" s="40">
        <v>0</v>
      </c>
      <c r="P25" s="40">
        <v>0.56000000000000005</v>
      </c>
      <c r="Q25" s="40">
        <v>28.08</v>
      </c>
      <c r="R25" s="38"/>
      <c r="S25" s="38"/>
      <c r="T25" s="38"/>
      <c r="U25" s="38"/>
    </row>
    <row r="26" spans="1:21">
      <c r="A26" s="39" t="s">
        <v>750</v>
      </c>
      <c r="B26" s="40">
        <v>5.05</v>
      </c>
      <c r="C26" s="40">
        <v>28.47</v>
      </c>
      <c r="D26" s="40">
        <v>20.170000000000002</v>
      </c>
      <c r="E26" s="40">
        <v>36.229999999999997</v>
      </c>
      <c r="F26" s="41">
        <v>30.07</v>
      </c>
      <c r="G26" s="40">
        <v>68.489999999999995</v>
      </c>
      <c r="H26" s="40">
        <v>27.61</v>
      </c>
      <c r="I26" s="40">
        <v>6.75</v>
      </c>
      <c r="J26" s="40">
        <v>0.45</v>
      </c>
      <c r="K26" s="40">
        <v>75.87</v>
      </c>
      <c r="L26" s="40">
        <v>38.200000000000003</v>
      </c>
      <c r="M26" s="40">
        <v>17.23</v>
      </c>
      <c r="N26" s="40">
        <v>64.7</v>
      </c>
      <c r="O26" s="40">
        <v>0</v>
      </c>
      <c r="P26" s="40">
        <v>0.64</v>
      </c>
      <c r="Q26" s="40">
        <v>28.08</v>
      </c>
      <c r="R26" s="38"/>
      <c r="S26" s="38"/>
      <c r="T26" s="38"/>
      <c r="U26" s="38"/>
    </row>
    <row r="27" spans="1:21">
      <c r="A27" s="39" t="s">
        <v>751</v>
      </c>
      <c r="B27" s="40">
        <v>5.78</v>
      </c>
      <c r="C27" s="40">
        <v>32.92</v>
      </c>
      <c r="D27" s="40">
        <v>22.73</v>
      </c>
      <c r="E27" s="40">
        <v>14.73</v>
      </c>
      <c r="F27" s="41">
        <v>29.25</v>
      </c>
      <c r="G27" s="40">
        <v>88.13</v>
      </c>
      <c r="H27" s="40">
        <v>30.96</v>
      </c>
      <c r="I27" s="40">
        <v>9.25</v>
      </c>
      <c r="J27" s="40">
        <v>0.3</v>
      </c>
      <c r="K27" s="40">
        <v>161.22999999999999</v>
      </c>
      <c r="L27" s="40">
        <v>35.31</v>
      </c>
      <c r="M27" s="40">
        <v>23.84</v>
      </c>
      <c r="N27" s="40">
        <v>9.6</v>
      </c>
      <c r="O27" s="40">
        <v>0</v>
      </c>
      <c r="P27" s="40">
        <v>0.8</v>
      </c>
      <c r="Q27" s="40">
        <v>28.11</v>
      </c>
      <c r="R27" s="38"/>
      <c r="S27" s="38"/>
      <c r="T27" s="38"/>
      <c r="U27" s="38"/>
    </row>
    <row r="28" spans="1:21">
      <c r="A28" s="39" t="s">
        <v>752</v>
      </c>
      <c r="B28" s="40">
        <v>4.92</v>
      </c>
      <c r="C28" s="40">
        <v>30.67</v>
      </c>
      <c r="D28" s="40">
        <v>21.16</v>
      </c>
      <c r="E28" s="40">
        <v>11.13</v>
      </c>
      <c r="F28" s="41">
        <v>10.69</v>
      </c>
      <c r="G28" s="40">
        <v>113.5</v>
      </c>
      <c r="H28" s="40">
        <v>41.62</v>
      </c>
      <c r="I28" s="40">
        <v>10.91</v>
      </c>
      <c r="J28" s="40">
        <v>0.28000000000000003</v>
      </c>
      <c r="K28" s="40">
        <v>198.64</v>
      </c>
      <c r="L28" s="40">
        <v>32.31</v>
      </c>
      <c r="M28" s="40">
        <v>31.85</v>
      </c>
      <c r="N28" s="40">
        <v>6.4</v>
      </c>
      <c r="O28" s="40">
        <v>0</v>
      </c>
      <c r="P28" s="40">
        <v>0.82</v>
      </c>
      <c r="Q28" s="40">
        <v>28.12</v>
      </c>
      <c r="R28" s="38"/>
      <c r="S28" s="38"/>
      <c r="T28" s="38"/>
      <c r="U28" s="38"/>
    </row>
    <row r="29" spans="1:21">
      <c r="A29" s="39" t="s">
        <v>753</v>
      </c>
      <c r="B29" s="40">
        <v>7.36</v>
      </c>
      <c r="C29" s="40">
        <v>27.47</v>
      </c>
      <c r="D29" s="40">
        <v>21.61</v>
      </c>
      <c r="E29" s="40">
        <v>9.4</v>
      </c>
      <c r="F29" s="41">
        <v>5.46</v>
      </c>
      <c r="G29" s="40">
        <v>124.28</v>
      </c>
      <c r="H29" s="40">
        <v>41.79</v>
      </c>
      <c r="I29" s="40">
        <v>10.67</v>
      </c>
      <c r="J29" s="40">
        <v>0.24</v>
      </c>
      <c r="K29" s="40">
        <v>202.07</v>
      </c>
      <c r="L29" s="40">
        <v>30.08</v>
      </c>
      <c r="M29" s="40">
        <v>32.049999999999997</v>
      </c>
      <c r="N29" s="40">
        <v>6</v>
      </c>
      <c r="O29" s="40">
        <v>0</v>
      </c>
      <c r="P29" s="40">
        <v>0.87</v>
      </c>
      <c r="Q29" s="40">
        <v>28.15</v>
      </c>
      <c r="R29" s="38"/>
      <c r="S29" s="38"/>
      <c r="T29" s="38"/>
      <c r="U29" s="38"/>
    </row>
    <row r="30" spans="1:21">
      <c r="A30" s="39" t="s">
        <v>754</v>
      </c>
      <c r="B30" s="40">
        <v>11.22</v>
      </c>
      <c r="C30" s="40">
        <v>28.36</v>
      </c>
      <c r="D30" s="40">
        <v>25.17</v>
      </c>
      <c r="E30" s="40">
        <v>11.32</v>
      </c>
      <c r="F30" s="41">
        <v>4.1399999999999997</v>
      </c>
      <c r="G30" s="40">
        <v>133.66999999999999</v>
      </c>
      <c r="H30" s="40">
        <v>43.27</v>
      </c>
      <c r="I30" s="40">
        <v>11.55</v>
      </c>
      <c r="J30" s="40">
        <v>1.06</v>
      </c>
      <c r="K30" s="40">
        <v>62.33</v>
      </c>
      <c r="L30" s="40">
        <v>31.38</v>
      </c>
      <c r="M30" s="40">
        <v>32.14</v>
      </c>
      <c r="N30" s="40">
        <v>5.6</v>
      </c>
      <c r="O30" s="40">
        <v>0</v>
      </c>
      <c r="P30" s="40">
        <v>0.91</v>
      </c>
      <c r="Q30" s="40">
        <v>28.24</v>
      </c>
      <c r="R30" s="38"/>
      <c r="S30" s="38"/>
      <c r="T30" s="38"/>
      <c r="U30" s="38"/>
    </row>
    <row r="31" spans="1:21">
      <c r="A31" s="39" t="s">
        <v>755</v>
      </c>
      <c r="B31" s="40">
        <v>10.61</v>
      </c>
      <c r="C31" s="40">
        <v>26.13</v>
      </c>
      <c r="D31" s="40">
        <v>23.51</v>
      </c>
      <c r="E31" s="40">
        <v>10.46</v>
      </c>
      <c r="F31" s="41">
        <v>6.23</v>
      </c>
      <c r="G31" s="40">
        <v>136.55000000000001</v>
      </c>
      <c r="H31" s="40">
        <v>43.34</v>
      </c>
      <c r="I31" s="40">
        <v>11.45</v>
      </c>
      <c r="J31" s="40">
        <v>0.93</v>
      </c>
      <c r="K31" s="40">
        <v>47.21</v>
      </c>
      <c r="L31" s="40">
        <v>31.45</v>
      </c>
      <c r="M31" s="40">
        <v>21.69</v>
      </c>
      <c r="N31" s="40">
        <v>6.1</v>
      </c>
      <c r="O31" s="40">
        <v>0</v>
      </c>
      <c r="P31" s="40">
        <v>0.83</v>
      </c>
      <c r="Q31" s="40">
        <v>28.24</v>
      </c>
      <c r="R31" s="38"/>
      <c r="S31" s="38"/>
      <c r="T31" s="38"/>
      <c r="U31" s="38"/>
    </row>
    <row r="32" spans="1:21">
      <c r="A32" s="39" t="s">
        <v>756</v>
      </c>
      <c r="B32" s="40">
        <v>10.68</v>
      </c>
      <c r="C32" s="40">
        <v>25.62</v>
      </c>
      <c r="D32" s="40">
        <v>23.2</v>
      </c>
      <c r="E32" s="40">
        <v>10.33</v>
      </c>
      <c r="F32" s="41">
        <v>4.29</v>
      </c>
      <c r="G32" s="40">
        <v>116.87</v>
      </c>
      <c r="H32" s="40">
        <v>36.270000000000003</v>
      </c>
      <c r="I32" s="40">
        <v>10.15</v>
      </c>
      <c r="J32" s="40">
        <v>0.61</v>
      </c>
      <c r="K32" s="40">
        <v>66.91</v>
      </c>
      <c r="L32" s="40">
        <v>30.18</v>
      </c>
      <c r="M32" s="40">
        <v>21.4</v>
      </c>
      <c r="N32" s="40">
        <v>6</v>
      </c>
      <c r="O32" s="40">
        <v>0</v>
      </c>
      <c r="P32" s="40">
        <v>0.8</v>
      </c>
      <c r="Q32" s="40">
        <v>28.25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3.95</v>
      </c>
      <c r="C34" s="18">
        <f t="shared" si="0"/>
        <v>15.58</v>
      </c>
      <c r="D34" s="18">
        <f t="shared" si="0"/>
        <v>12.54</v>
      </c>
      <c r="E34" s="18">
        <f t="shared" si="0"/>
        <v>8.83</v>
      </c>
      <c r="F34" s="18">
        <f t="shared" si="0"/>
        <v>2.5</v>
      </c>
      <c r="G34" s="18">
        <f t="shared" si="0"/>
        <v>68.489999999999995</v>
      </c>
      <c r="H34" s="18">
        <f t="shared" si="0"/>
        <v>27.59</v>
      </c>
      <c r="I34" s="18">
        <f t="shared" si="0"/>
        <v>6.65</v>
      </c>
      <c r="J34" s="18">
        <f t="shared" si="0"/>
        <v>0.24</v>
      </c>
      <c r="K34" s="18">
        <f t="shared" si="0"/>
        <v>45.71</v>
      </c>
      <c r="L34" s="18">
        <f t="shared" si="0"/>
        <v>26.83</v>
      </c>
      <c r="M34" s="18">
        <f t="shared" si="0"/>
        <v>11.65</v>
      </c>
      <c r="N34" s="18">
        <f t="shared" si="0"/>
        <v>5.6</v>
      </c>
      <c r="O34" s="18">
        <f t="shared" si="0"/>
        <v>0</v>
      </c>
      <c r="P34" s="18">
        <f t="shared" si="0"/>
        <v>0.53</v>
      </c>
      <c r="Q34" s="18">
        <f t="shared" si="0"/>
        <v>28.08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24.68</v>
      </c>
      <c r="C35" s="3">
        <f t="shared" si="1"/>
        <v>32.92</v>
      </c>
      <c r="D35" s="3">
        <f t="shared" si="1"/>
        <v>35.39</v>
      </c>
      <c r="E35" s="3">
        <f t="shared" si="1"/>
        <v>40.76</v>
      </c>
      <c r="F35" s="3">
        <f t="shared" si="1"/>
        <v>55.83</v>
      </c>
      <c r="G35" s="3">
        <f t="shared" si="1"/>
        <v>151.21</v>
      </c>
      <c r="H35" s="3">
        <f t="shared" si="1"/>
        <v>54.18</v>
      </c>
      <c r="I35" s="3">
        <f t="shared" si="1"/>
        <v>15.2</v>
      </c>
      <c r="J35" s="3">
        <f t="shared" si="1"/>
        <v>1.9</v>
      </c>
      <c r="K35" s="3">
        <f t="shared" si="1"/>
        <v>300.72000000000003</v>
      </c>
      <c r="L35" s="3">
        <f t="shared" si="1"/>
        <v>40.909999999999997</v>
      </c>
      <c r="M35" s="3">
        <f t="shared" si="1"/>
        <v>37.799999999999997</v>
      </c>
      <c r="N35" s="3">
        <f t="shared" si="1"/>
        <v>683.3</v>
      </c>
      <c r="O35" s="3">
        <f t="shared" si="1"/>
        <v>0</v>
      </c>
      <c r="P35" s="3">
        <f t="shared" si="1"/>
        <v>1.34</v>
      </c>
      <c r="Q35" s="3">
        <f t="shared" si="1"/>
        <v>28.59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10.104583333333332</v>
      </c>
      <c r="C36" s="18">
        <f t="shared" si="2"/>
        <v>24.18416666666667</v>
      </c>
      <c r="D36" s="18">
        <f t="shared" si="2"/>
        <v>21.947500000000005</v>
      </c>
      <c r="E36" s="18">
        <f t="shared" si="2"/>
        <v>13.889999999999999</v>
      </c>
      <c r="F36" s="18">
        <f t="shared" si="2"/>
        <v>18.414999999999999</v>
      </c>
      <c r="G36" s="18">
        <f t="shared" si="2"/>
        <v>103.40375000000002</v>
      </c>
      <c r="H36" s="18">
        <f t="shared" si="2"/>
        <v>36.617916666666666</v>
      </c>
      <c r="I36" s="18">
        <f t="shared" si="2"/>
        <v>10.61125</v>
      </c>
      <c r="J36" s="18">
        <f t="shared" si="2"/>
        <v>0.86583333333333312</v>
      </c>
      <c r="K36" s="18">
        <f t="shared" si="2"/>
        <v>107.14874999999999</v>
      </c>
      <c r="L36" s="18">
        <f t="shared" si="2"/>
        <v>33.252916666666671</v>
      </c>
      <c r="M36" s="18">
        <f t="shared" si="2"/>
        <v>24.035</v>
      </c>
      <c r="N36" s="18">
        <f t="shared" si="2"/>
        <v>196.5</v>
      </c>
      <c r="O36" s="18">
        <f t="shared" si="2"/>
        <v>0</v>
      </c>
      <c r="P36" s="18">
        <f t="shared" si="2"/>
        <v>0.86416666666666675</v>
      </c>
      <c r="Q36" s="18">
        <f t="shared" si="2"/>
        <v>28.247916666666665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5.7243795784321474</v>
      </c>
      <c r="C37" s="18">
        <f t="shared" ref="C37:Q37" si="3">STDEV(C9:C32)</f>
        <v>4.1969128578315571</v>
      </c>
      <c r="D37" s="18">
        <f t="shared" si="3"/>
        <v>5.3366617557844069</v>
      </c>
      <c r="E37" s="18">
        <f t="shared" si="3"/>
        <v>8.1216388365467438</v>
      </c>
      <c r="F37" s="18">
        <f t="shared" si="3"/>
        <v>20.10378614568172</v>
      </c>
      <c r="G37" s="18">
        <f t="shared" si="3"/>
        <v>24.020228216795722</v>
      </c>
      <c r="H37" s="18">
        <f t="shared" si="3"/>
        <v>7.9911945992566196</v>
      </c>
      <c r="I37" s="18">
        <f t="shared" si="3"/>
        <v>2.4329608236807307</v>
      </c>
      <c r="J37" s="18">
        <f t="shared" si="3"/>
        <v>0.45550656623594155</v>
      </c>
      <c r="K37" s="18">
        <f t="shared" si="3"/>
        <v>76.323044403805198</v>
      </c>
      <c r="L37" s="18">
        <f t="shared" si="3"/>
        <v>4.8311880608924769</v>
      </c>
      <c r="M37" s="18">
        <f t="shared" si="3"/>
        <v>8.6691431801684242</v>
      </c>
      <c r="N37" s="18">
        <f t="shared" si="3"/>
        <v>259.41396663818335</v>
      </c>
      <c r="O37" s="18">
        <f t="shared" si="3"/>
        <v>0</v>
      </c>
      <c r="P37" s="18">
        <f t="shared" si="3"/>
        <v>0.22869985393175463</v>
      </c>
      <c r="Q37" s="18">
        <f t="shared" si="3"/>
        <v>0.16210515016539445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56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20" zoomScale="85" zoomScaleNormal="85" workbookViewId="0">
      <selection activeCell="J25" sqref="J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757</v>
      </c>
      <c r="B9" s="40">
        <v>10.45</v>
      </c>
      <c r="C9" s="40">
        <v>23.59</v>
      </c>
      <c r="D9" s="40">
        <v>22.05</v>
      </c>
      <c r="E9" s="40">
        <v>11.71</v>
      </c>
      <c r="F9" s="41">
        <v>14.99</v>
      </c>
      <c r="G9" s="40">
        <v>96.65</v>
      </c>
      <c r="H9" s="40">
        <v>31.03</v>
      </c>
      <c r="I9" s="40">
        <v>9.9499999999999993</v>
      </c>
      <c r="J9" s="40">
        <v>0.66</v>
      </c>
      <c r="K9" s="40">
        <v>53.39</v>
      </c>
      <c r="L9" s="40">
        <v>29.32</v>
      </c>
      <c r="M9" s="40">
        <v>20.99</v>
      </c>
      <c r="N9" s="40">
        <v>6</v>
      </c>
      <c r="O9" s="40">
        <v>0</v>
      </c>
      <c r="P9" s="40">
        <v>0.79</v>
      </c>
      <c r="Q9" s="40">
        <v>28.25</v>
      </c>
      <c r="R9" s="38"/>
      <c r="S9" s="38"/>
      <c r="T9" s="38"/>
      <c r="U9" s="38"/>
    </row>
    <row r="10" spans="1:21" customFormat="1">
      <c r="A10" s="39" t="s">
        <v>758</v>
      </c>
      <c r="B10" s="40">
        <v>10.16</v>
      </c>
      <c r="C10" s="40">
        <v>22.79</v>
      </c>
      <c r="D10" s="40">
        <v>21.37</v>
      </c>
      <c r="E10" s="40">
        <v>10.199999999999999</v>
      </c>
      <c r="F10" s="41">
        <v>9.77</v>
      </c>
      <c r="G10" s="40">
        <v>90.34</v>
      </c>
      <c r="H10" s="40">
        <v>29.48</v>
      </c>
      <c r="I10" s="40">
        <v>9.98</v>
      </c>
      <c r="J10" s="40">
        <v>0.56000000000000005</v>
      </c>
      <c r="K10" s="40">
        <v>49.12</v>
      </c>
      <c r="L10" s="40">
        <v>28.61</v>
      </c>
      <c r="M10" s="40">
        <v>21.56</v>
      </c>
      <c r="N10" s="40">
        <v>5.9</v>
      </c>
      <c r="O10" s="40">
        <v>0</v>
      </c>
      <c r="P10" s="40">
        <v>0.78</v>
      </c>
      <c r="Q10" s="40">
        <v>28.27</v>
      </c>
      <c r="R10" s="38"/>
      <c r="S10" s="38"/>
      <c r="T10" s="38"/>
      <c r="U10" s="38"/>
    </row>
    <row r="11" spans="1:21" customFormat="1">
      <c r="A11" s="39" t="s">
        <v>759</v>
      </c>
      <c r="B11" s="40">
        <v>10.44</v>
      </c>
      <c r="C11" s="40">
        <v>20.96</v>
      </c>
      <c r="D11" s="40">
        <v>20.62</v>
      </c>
      <c r="E11" s="40">
        <v>10.07</v>
      </c>
      <c r="F11" s="41">
        <v>10.1</v>
      </c>
      <c r="G11" s="40">
        <v>83.5</v>
      </c>
      <c r="H11" s="40">
        <v>27.07</v>
      </c>
      <c r="I11" s="40">
        <v>9.84</v>
      </c>
      <c r="J11" s="40">
        <v>0.47</v>
      </c>
      <c r="K11" s="40">
        <v>172.72</v>
      </c>
      <c r="L11" s="40">
        <v>27.69</v>
      </c>
      <c r="M11" s="40">
        <v>30.04</v>
      </c>
      <c r="N11" s="40">
        <v>6.8</v>
      </c>
      <c r="O11" s="40">
        <v>0</v>
      </c>
      <c r="P11" s="40">
        <v>0.77</v>
      </c>
      <c r="Q11" s="40">
        <v>28.26</v>
      </c>
      <c r="R11" s="38"/>
      <c r="S11" s="38"/>
      <c r="T11" s="38"/>
      <c r="U11" s="38"/>
    </row>
    <row r="12" spans="1:21" customFormat="1">
      <c r="A12" s="39" t="s">
        <v>760</v>
      </c>
      <c r="B12" s="40">
        <v>9.33</v>
      </c>
      <c r="C12" s="40">
        <v>21.13</v>
      </c>
      <c r="D12" s="40">
        <v>19.79</v>
      </c>
      <c r="E12" s="40">
        <v>9.64</v>
      </c>
      <c r="F12" s="41">
        <v>16.579999999999998</v>
      </c>
      <c r="G12" s="40">
        <v>85.6</v>
      </c>
      <c r="H12" s="40">
        <v>27.1</v>
      </c>
      <c r="I12" s="40">
        <v>9.69</v>
      </c>
      <c r="J12" s="40">
        <v>0.23</v>
      </c>
      <c r="K12" s="40">
        <v>190.96</v>
      </c>
      <c r="L12" s="40">
        <v>25.85</v>
      </c>
      <c r="M12" s="40">
        <v>32.83</v>
      </c>
      <c r="N12" s="40">
        <v>6.2</v>
      </c>
      <c r="O12" s="40">
        <v>0</v>
      </c>
      <c r="P12" s="40">
        <v>0.73</v>
      </c>
      <c r="Q12" s="40">
        <v>28.23</v>
      </c>
      <c r="R12" s="38"/>
      <c r="S12" s="38"/>
      <c r="T12" s="38"/>
      <c r="U12" s="38"/>
    </row>
    <row r="13" spans="1:21" customFormat="1">
      <c r="A13" s="39" t="s">
        <v>761</v>
      </c>
      <c r="B13" s="40">
        <v>9.9700000000000006</v>
      </c>
      <c r="C13" s="40">
        <v>21.59</v>
      </c>
      <c r="D13" s="40">
        <v>20.62</v>
      </c>
      <c r="E13" s="40">
        <v>9.3699999999999992</v>
      </c>
      <c r="F13" s="41">
        <v>12.65</v>
      </c>
      <c r="G13" s="40">
        <v>80.31</v>
      </c>
      <c r="H13" s="40">
        <v>28.38</v>
      </c>
      <c r="I13" s="40">
        <v>9.36</v>
      </c>
      <c r="J13" s="40">
        <v>0.3</v>
      </c>
      <c r="K13" s="40">
        <v>161.30000000000001</v>
      </c>
      <c r="L13" s="40">
        <v>24.68</v>
      </c>
      <c r="M13" s="40">
        <v>35.869999999999997</v>
      </c>
      <c r="N13" s="40">
        <v>6</v>
      </c>
      <c r="O13" s="40">
        <v>0</v>
      </c>
      <c r="P13" s="40">
        <v>0.7</v>
      </c>
      <c r="Q13" s="40">
        <v>28.25</v>
      </c>
      <c r="R13" s="38"/>
      <c r="S13" s="38"/>
      <c r="T13" s="38"/>
      <c r="U13" s="38"/>
    </row>
    <row r="14" spans="1:21" customFormat="1">
      <c r="A14" s="39" t="s">
        <v>762</v>
      </c>
      <c r="B14" s="40">
        <v>10.54</v>
      </c>
      <c r="C14" s="40">
        <v>21.71</v>
      </c>
      <c r="D14" s="40">
        <v>21.1</v>
      </c>
      <c r="E14" s="40">
        <v>9.3000000000000007</v>
      </c>
      <c r="F14" s="41">
        <v>5.61</v>
      </c>
      <c r="G14" s="40">
        <v>84.66</v>
      </c>
      <c r="H14" s="40">
        <v>28.86</v>
      </c>
      <c r="I14" s="40">
        <v>9.2899999999999991</v>
      </c>
      <c r="J14" s="40">
        <v>0.42</v>
      </c>
      <c r="K14" s="40">
        <v>176.37</v>
      </c>
      <c r="L14" s="40">
        <v>24.86</v>
      </c>
      <c r="M14" s="40">
        <v>42.14</v>
      </c>
      <c r="N14" s="40">
        <v>8.5</v>
      </c>
      <c r="O14" s="40">
        <v>0</v>
      </c>
      <c r="P14" s="40">
        <v>0.71</v>
      </c>
      <c r="Q14" s="40">
        <v>28.27</v>
      </c>
      <c r="R14" s="38"/>
      <c r="S14" s="38"/>
      <c r="T14" s="38"/>
      <c r="U14" s="38"/>
    </row>
    <row r="15" spans="1:21" customFormat="1">
      <c r="A15" s="39" t="s">
        <v>763</v>
      </c>
      <c r="B15" s="40">
        <v>10.1</v>
      </c>
      <c r="C15" s="40">
        <v>20.61</v>
      </c>
      <c r="D15" s="40">
        <v>20.22</v>
      </c>
      <c r="E15" s="40">
        <v>8.83</v>
      </c>
      <c r="F15" s="41">
        <v>6.55</v>
      </c>
      <c r="G15" s="40">
        <v>89.04</v>
      </c>
      <c r="H15" s="40">
        <v>30.28</v>
      </c>
      <c r="I15" s="40">
        <v>9.3699999999999992</v>
      </c>
      <c r="J15" s="40">
        <v>0.28000000000000003</v>
      </c>
      <c r="K15" s="40">
        <v>178.02</v>
      </c>
      <c r="L15" s="40">
        <v>24.01</v>
      </c>
      <c r="M15" s="40">
        <v>43.97</v>
      </c>
      <c r="N15" s="40">
        <v>48.6</v>
      </c>
      <c r="O15" s="40">
        <v>0</v>
      </c>
      <c r="P15" s="40">
        <v>0.75</v>
      </c>
      <c r="Q15" s="40">
        <v>28.25</v>
      </c>
      <c r="R15" s="38"/>
      <c r="S15" s="38"/>
      <c r="T15" s="38"/>
      <c r="U15" s="38"/>
    </row>
    <row r="16" spans="1:21" customFormat="1">
      <c r="A16" s="39" t="s">
        <v>764</v>
      </c>
      <c r="B16" s="40">
        <v>10.19</v>
      </c>
      <c r="C16" s="40">
        <v>20.350000000000001</v>
      </c>
      <c r="D16" s="40">
        <v>20.03</v>
      </c>
      <c r="E16" s="40">
        <v>8.92</v>
      </c>
      <c r="F16" s="41">
        <v>12.37</v>
      </c>
      <c r="G16" s="40">
        <v>101.41</v>
      </c>
      <c r="H16" s="40">
        <v>37.229999999999997</v>
      </c>
      <c r="I16" s="40">
        <v>10.15</v>
      </c>
      <c r="J16" s="40">
        <v>0.88</v>
      </c>
      <c r="K16" s="40">
        <v>150.53</v>
      </c>
      <c r="L16" s="40">
        <v>28.07</v>
      </c>
      <c r="M16" s="40">
        <v>40.479999999999997</v>
      </c>
      <c r="N16" s="40">
        <v>97.1</v>
      </c>
      <c r="O16" s="40">
        <v>0</v>
      </c>
      <c r="P16" s="40">
        <v>0.79</v>
      </c>
      <c r="Q16" s="40">
        <v>28.27</v>
      </c>
      <c r="R16" s="38"/>
      <c r="S16" s="38"/>
      <c r="T16" s="38"/>
      <c r="U16" s="38"/>
    </row>
    <row r="17" spans="1:21" customFormat="1">
      <c r="A17" s="39" t="s">
        <v>765</v>
      </c>
      <c r="B17" s="40">
        <v>9.8000000000000007</v>
      </c>
      <c r="C17" s="40">
        <v>19.809999999999999</v>
      </c>
      <c r="D17" s="40">
        <v>19.559999999999999</v>
      </c>
      <c r="E17" s="40">
        <v>9.4</v>
      </c>
      <c r="F17" s="41">
        <v>13.54</v>
      </c>
      <c r="G17" s="40">
        <v>105.49</v>
      </c>
      <c r="H17" s="40">
        <v>40.68</v>
      </c>
      <c r="I17" s="40">
        <v>11.11</v>
      </c>
      <c r="J17" s="40">
        <v>1.02</v>
      </c>
      <c r="K17" s="40">
        <v>76.2</v>
      </c>
      <c r="L17" s="40">
        <v>31.4</v>
      </c>
      <c r="M17" s="40">
        <v>20.68</v>
      </c>
      <c r="N17" s="40">
        <v>253</v>
      </c>
      <c r="O17" s="40">
        <v>0</v>
      </c>
      <c r="P17" s="40">
        <v>0.79</v>
      </c>
      <c r="Q17" s="40">
        <v>28.26</v>
      </c>
      <c r="R17" s="38"/>
      <c r="S17" s="38"/>
      <c r="T17" s="38"/>
      <c r="U17" s="38"/>
    </row>
    <row r="18" spans="1:21" customFormat="1">
      <c r="A18" s="39" t="s">
        <v>766</v>
      </c>
      <c r="B18" s="40">
        <v>7.56</v>
      </c>
      <c r="C18" s="40">
        <v>23.22</v>
      </c>
      <c r="D18" s="40">
        <v>18.57</v>
      </c>
      <c r="E18" s="40">
        <v>11.53</v>
      </c>
      <c r="F18" s="41">
        <v>13.67</v>
      </c>
      <c r="G18" s="40">
        <v>105.1</v>
      </c>
      <c r="H18" s="40">
        <v>40.78</v>
      </c>
      <c r="I18" s="40">
        <v>11.09</v>
      </c>
      <c r="J18" s="40">
        <v>1.4</v>
      </c>
      <c r="K18" s="40">
        <v>61.47</v>
      </c>
      <c r="L18" s="40">
        <v>33.64</v>
      </c>
      <c r="M18" s="40">
        <v>15.64</v>
      </c>
      <c r="N18" s="40">
        <v>511.7</v>
      </c>
      <c r="O18" s="40">
        <v>0</v>
      </c>
      <c r="P18" s="40">
        <v>0.8</v>
      </c>
      <c r="Q18" s="40">
        <v>28.2</v>
      </c>
      <c r="R18" s="38"/>
      <c r="S18" s="38"/>
      <c r="T18" s="38"/>
      <c r="U18" s="38"/>
    </row>
    <row r="19" spans="1:21" customFormat="1">
      <c r="A19" s="39" t="s">
        <v>767</v>
      </c>
      <c r="B19" s="40">
        <v>6.14</v>
      </c>
      <c r="C19" s="40">
        <v>21.83</v>
      </c>
      <c r="D19" s="40">
        <v>16.62</v>
      </c>
      <c r="E19" s="40">
        <v>19.260000000000002</v>
      </c>
      <c r="F19" s="41">
        <v>14.44</v>
      </c>
      <c r="G19" s="40">
        <v>105.75</v>
      </c>
      <c r="H19" s="40">
        <v>39.549999999999997</v>
      </c>
      <c r="I19" s="40">
        <v>10.88</v>
      </c>
      <c r="J19" s="40">
        <v>1.68</v>
      </c>
      <c r="K19" s="40">
        <v>52.73</v>
      </c>
      <c r="L19" s="40">
        <v>35.880000000000003</v>
      </c>
      <c r="M19" s="40">
        <v>11.77</v>
      </c>
      <c r="N19" s="40">
        <v>622.4</v>
      </c>
      <c r="O19" s="40">
        <v>0</v>
      </c>
      <c r="P19" s="40">
        <v>0.79</v>
      </c>
      <c r="Q19" s="40">
        <v>28.15</v>
      </c>
      <c r="R19" s="38"/>
      <c r="S19" s="38"/>
      <c r="T19" s="38"/>
      <c r="U19" s="38"/>
    </row>
    <row r="20" spans="1:21" customFormat="1">
      <c r="A20" s="39" t="s">
        <v>768</v>
      </c>
      <c r="B20" s="40">
        <v>4.6900000000000004</v>
      </c>
      <c r="C20" s="40">
        <v>21.64</v>
      </c>
      <c r="D20" s="40">
        <v>16.23</v>
      </c>
      <c r="E20" s="40">
        <v>27.8</v>
      </c>
      <c r="F20" s="41">
        <v>14.3</v>
      </c>
      <c r="G20" s="40">
        <v>95.05</v>
      </c>
      <c r="H20" s="40">
        <v>38</v>
      </c>
      <c r="I20" s="40">
        <v>10.24</v>
      </c>
      <c r="J20" s="40">
        <v>1.66</v>
      </c>
      <c r="K20" s="40">
        <v>46.11</v>
      </c>
      <c r="L20" s="40">
        <v>37.44</v>
      </c>
      <c r="M20" s="40">
        <v>8.81</v>
      </c>
      <c r="N20" s="40">
        <v>695.1</v>
      </c>
      <c r="O20" s="40">
        <v>0</v>
      </c>
      <c r="P20" s="40">
        <v>0.76</v>
      </c>
      <c r="Q20" s="40">
        <v>28.1</v>
      </c>
      <c r="R20" s="38"/>
      <c r="S20" s="38"/>
      <c r="T20" s="38"/>
      <c r="U20" s="38"/>
    </row>
    <row r="21" spans="1:21" customFormat="1">
      <c r="A21" s="39" t="s">
        <v>769</v>
      </c>
      <c r="B21" s="40">
        <v>6.21</v>
      </c>
      <c r="C21" s="40">
        <v>25.98</v>
      </c>
      <c r="D21" s="40">
        <v>19.899999999999999</v>
      </c>
      <c r="E21" s="40">
        <v>38.42</v>
      </c>
      <c r="F21" s="41">
        <v>35.89</v>
      </c>
      <c r="G21" s="40">
        <v>85.66</v>
      </c>
      <c r="H21" s="40">
        <v>36.19</v>
      </c>
      <c r="I21" s="40">
        <v>9.2899999999999991</v>
      </c>
      <c r="J21" s="40">
        <v>1.31</v>
      </c>
      <c r="K21" s="40">
        <v>66.22</v>
      </c>
      <c r="L21" s="40">
        <v>38.840000000000003</v>
      </c>
      <c r="M21" s="40">
        <v>7.94</v>
      </c>
      <c r="N21" s="40">
        <v>695.2</v>
      </c>
      <c r="O21" s="40">
        <v>0</v>
      </c>
      <c r="P21" s="40">
        <v>0.73</v>
      </c>
      <c r="Q21" s="40">
        <v>28.11</v>
      </c>
      <c r="R21" s="38"/>
      <c r="S21" s="38"/>
      <c r="T21" s="38"/>
      <c r="U21" s="38"/>
    </row>
    <row r="22" spans="1:21" customFormat="1">
      <c r="A22" s="39" t="s">
        <v>770</v>
      </c>
      <c r="B22" s="40">
        <v>5.05</v>
      </c>
      <c r="C22" s="40">
        <v>24.24</v>
      </c>
      <c r="D22" s="40">
        <v>18.059999999999999</v>
      </c>
      <c r="E22" s="40">
        <v>31.45</v>
      </c>
      <c r="F22" s="41">
        <v>36.69</v>
      </c>
      <c r="G22" s="40">
        <v>82.62</v>
      </c>
      <c r="H22" s="40">
        <v>36.78</v>
      </c>
      <c r="I22" s="40">
        <v>8.61</v>
      </c>
      <c r="J22" s="40">
        <v>0.89</v>
      </c>
      <c r="K22" s="40">
        <v>345.96</v>
      </c>
      <c r="L22" s="40">
        <v>39.64</v>
      </c>
      <c r="M22" s="40">
        <v>8.44</v>
      </c>
      <c r="N22" s="40">
        <v>649.70000000000005</v>
      </c>
      <c r="O22" s="40">
        <v>0</v>
      </c>
      <c r="P22" s="40">
        <v>0.64</v>
      </c>
      <c r="Q22" s="40">
        <v>28.1</v>
      </c>
      <c r="R22" s="38"/>
      <c r="S22" s="38"/>
      <c r="T22" s="38"/>
      <c r="U22" s="38"/>
    </row>
    <row r="23" spans="1:21" customFormat="1">
      <c r="A23" s="39" t="s">
        <v>771</v>
      </c>
      <c r="B23" s="40">
        <v>4.62</v>
      </c>
      <c r="C23" s="40">
        <v>21.05</v>
      </c>
      <c r="D23" s="40">
        <v>15.28</v>
      </c>
      <c r="E23" s="40">
        <v>21.77</v>
      </c>
      <c r="F23" s="41">
        <v>17.649999999999999</v>
      </c>
      <c r="G23" s="40">
        <v>83.36</v>
      </c>
      <c r="H23" s="40">
        <v>36.79</v>
      </c>
      <c r="I23" s="40">
        <v>7.76</v>
      </c>
      <c r="J23" s="40">
        <v>0.71</v>
      </c>
      <c r="K23" s="40">
        <v>337.39</v>
      </c>
      <c r="L23" s="40">
        <v>40.229999999999997</v>
      </c>
      <c r="M23" s="40">
        <v>8.42</v>
      </c>
      <c r="N23" s="40">
        <v>537.70000000000005</v>
      </c>
      <c r="O23" s="40">
        <v>0</v>
      </c>
      <c r="P23" s="40">
        <v>0.6</v>
      </c>
      <c r="Q23" s="40">
        <v>28.08</v>
      </c>
      <c r="R23" s="38"/>
      <c r="S23" s="38"/>
      <c r="T23" s="38"/>
      <c r="U23" s="38"/>
    </row>
    <row r="24" spans="1:21" customFormat="1">
      <c r="A24" s="39" t="s">
        <v>772</v>
      </c>
      <c r="B24" s="40">
        <v>3.86</v>
      </c>
      <c r="C24" s="40">
        <v>18.850000000000001</v>
      </c>
      <c r="D24" s="40">
        <v>14.26</v>
      </c>
      <c r="E24" s="40">
        <v>29.26</v>
      </c>
      <c r="F24" s="41">
        <v>14.77</v>
      </c>
      <c r="G24" s="40">
        <v>81.28</v>
      </c>
      <c r="H24" s="40">
        <v>32.78</v>
      </c>
      <c r="I24" s="40">
        <v>7.35</v>
      </c>
      <c r="J24" s="40">
        <v>0.99</v>
      </c>
      <c r="K24" s="40">
        <v>343.35</v>
      </c>
      <c r="L24" s="40">
        <v>40.03</v>
      </c>
      <c r="M24" s="40">
        <v>8.86</v>
      </c>
      <c r="N24" s="40">
        <v>413</v>
      </c>
      <c r="O24" s="40">
        <v>0</v>
      </c>
      <c r="P24" s="40">
        <v>0.59</v>
      </c>
      <c r="Q24" s="40">
        <v>28.08</v>
      </c>
      <c r="R24" s="38"/>
      <c r="S24" s="38"/>
      <c r="T24" s="38"/>
      <c r="U24" s="38"/>
    </row>
    <row r="25" spans="1:21" customFormat="1">
      <c r="A25" s="39" t="s">
        <v>773</v>
      </c>
      <c r="B25" s="40">
        <v>4.6100000000000003</v>
      </c>
      <c r="C25" s="40">
        <v>23.27</v>
      </c>
      <c r="D25" s="40">
        <v>17.12</v>
      </c>
      <c r="E25" s="40">
        <v>45.09</v>
      </c>
      <c r="F25" s="41">
        <v>21.9</v>
      </c>
      <c r="G25" s="40">
        <v>76.569999999999993</v>
      </c>
      <c r="H25" s="40">
        <v>32.44</v>
      </c>
      <c r="I25" s="40">
        <v>6.64</v>
      </c>
      <c r="J25" s="40">
        <v>0.77</v>
      </c>
      <c r="K25" s="40">
        <v>35.76</v>
      </c>
      <c r="L25" s="40">
        <v>38.85</v>
      </c>
      <c r="M25" s="40">
        <v>9.61</v>
      </c>
      <c r="N25" s="40">
        <v>147</v>
      </c>
      <c r="O25" s="40">
        <v>0</v>
      </c>
      <c r="P25" s="40">
        <v>0.59</v>
      </c>
      <c r="Q25" s="40">
        <v>28.07</v>
      </c>
      <c r="R25" s="38"/>
      <c r="S25" s="38"/>
      <c r="T25" s="38"/>
      <c r="U25" s="38"/>
    </row>
    <row r="26" spans="1:21" customFormat="1">
      <c r="A26" s="39" t="s">
        <v>774</v>
      </c>
      <c r="B26" s="40">
        <v>7.16</v>
      </c>
      <c r="C26" s="40">
        <v>36.35</v>
      </c>
      <c r="D26" s="40">
        <v>26.09</v>
      </c>
      <c r="E26" s="40">
        <v>29.49</v>
      </c>
      <c r="F26" s="41">
        <v>39.909999999999997</v>
      </c>
      <c r="G26" s="40">
        <v>77</v>
      </c>
      <c r="H26" s="40">
        <v>28.9</v>
      </c>
      <c r="I26" s="40">
        <v>6.68</v>
      </c>
      <c r="J26" s="40">
        <v>0.57999999999999996</v>
      </c>
      <c r="K26" s="40">
        <v>79.66</v>
      </c>
      <c r="L26" s="40">
        <v>37.92</v>
      </c>
      <c r="M26" s="40">
        <v>13.25</v>
      </c>
      <c r="N26" s="40">
        <v>69.2</v>
      </c>
      <c r="O26" s="40">
        <v>0</v>
      </c>
      <c r="P26" s="40">
        <v>0.75</v>
      </c>
      <c r="Q26" s="40">
        <v>28.1</v>
      </c>
      <c r="R26" s="38"/>
      <c r="S26" s="38"/>
      <c r="T26" s="38"/>
      <c r="U26" s="38"/>
    </row>
    <row r="27" spans="1:21" customFormat="1">
      <c r="A27" s="39" t="s">
        <v>775</v>
      </c>
      <c r="B27" s="40">
        <v>7.04</v>
      </c>
      <c r="C27" s="40">
        <v>33.619999999999997</v>
      </c>
      <c r="D27" s="40">
        <v>24.56</v>
      </c>
      <c r="E27" s="40">
        <v>15.48</v>
      </c>
      <c r="F27" s="41">
        <v>41.88</v>
      </c>
      <c r="G27" s="40">
        <v>86.13</v>
      </c>
      <c r="H27" s="40">
        <v>31.96</v>
      </c>
      <c r="I27" s="40">
        <v>7.96</v>
      </c>
      <c r="J27" s="40">
        <v>0.46</v>
      </c>
      <c r="K27" s="40">
        <v>167.45</v>
      </c>
      <c r="L27" s="40">
        <v>35.299999999999997</v>
      </c>
      <c r="M27" s="40">
        <v>20.100000000000001</v>
      </c>
      <c r="N27" s="40">
        <v>9.6</v>
      </c>
      <c r="O27" s="40">
        <v>0</v>
      </c>
      <c r="P27" s="40">
        <v>0.82</v>
      </c>
      <c r="Q27" s="40">
        <v>28.13</v>
      </c>
      <c r="R27" s="38"/>
      <c r="S27" s="38"/>
      <c r="T27" s="38"/>
      <c r="U27" s="38"/>
    </row>
    <row r="28" spans="1:21" customFormat="1">
      <c r="A28" s="39" t="s">
        <v>776</v>
      </c>
      <c r="B28" s="40">
        <v>14.06</v>
      </c>
      <c r="C28" s="40">
        <v>34.6</v>
      </c>
      <c r="D28" s="40">
        <v>30.47</v>
      </c>
      <c r="E28" s="40">
        <v>12.9</v>
      </c>
      <c r="F28" s="41">
        <v>23.82</v>
      </c>
      <c r="G28" s="40">
        <v>102.5</v>
      </c>
      <c r="H28" s="40">
        <v>33.21</v>
      </c>
      <c r="I28" s="40">
        <v>10.130000000000001</v>
      </c>
      <c r="J28" s="40">
        <v>0.27</v>
      </c>
      <c r="K28" s="40">
        <v>156.28</v>
      </c>
      <c r="L28" s="40">
        <v>31.47</v>
      </c>
      <c r="M28" s="40">
        <v>24.26</v>
      </c>
      <c r="N28" s="40">
        <v>5.9</v>
      </c>
      <c r="O28" s="40">
        <v>0</v>
      </c>
      <c r="P28" s="40">
        <v>1.1000000000000001</v>
      </c>
      <c r="Q28" s="40">
        <v>28.17</v>
      </c>
      <c r="R28" s="38"/>
      <c r="S28" s="38"/>
      <c r="T28" s="38"/>
      <c r="U28" s="38"/>
    </row>
    <row r="29" spans="1:21" customFormat="1">
      <c r="A29" s="39" t="s">
        <v>777</v>
      </c>
      <c r="B29" s="40">
        <v>11.51</v>
      </c>
      <c r="C29" s="40">
        <v>32.229999999999997</v>
      </c>
      <c r="D29" s="40">
        <v>27.42</v>
      </c>
      <c r="E29" s="40">
        <v>13.84</v>
      </c>
      <c r="F29" s="41">
        <v>11.7</v>
      </c>
      <c r="G29" s="40">
        <v>111.32</v>
      </c>
      <c r="H29" s="40">
        <v>37.33</v>
      </c>
      <c r="I29" s="40">
        <v>12.37</v>
      </c>
      <c r="J29" s="40">
        <v>0.38</v>
      </c>
      <c r="K29" s="40">
        <v>96.38</v>
      </c>
      <c r="L29" s="40">
        <v>31.09</v>
      </c>
      <c r="M29" s="40">
        <v>21.5</v>
      </c>
      <c r="N29" s="40">
        <v>5.7</v>
      </c>
      <c r="O29" s="40">
        <v>0</v>
      </c>
      <c r="P29" s="40">
        <v>1.05</v>
      </c>
      <c r="Q29" s="40">
        <v>28.23</v>
      </c>
      <c r="R29" s="38"/>
      <c r="S29" s="38"/>
      <c r="T29" s="38"/>
      <c r="U29" s="38"/>
    </row>
    <row r="30" spans="1:21" customFormat="1">
      <c r="A30" s="39" t="s">
        <v>778</v>
      </c>
      <c r="B30" s="40">
        <v>10.56</v>
      </c>
      <c r="C30" s="40">
        <v>31.34</v>
      </c>
      <c r="D30" s="40">
        <v>26.19</v>
      </c>
      <c r="E30" s="40">
        <v>19.28</v>
      </c>
      <c r="F30" s="41">
        <v>6.75</v>
      </c>
      <c r="G30" s="40">
        <v>112.99</v>
      </c>
      <c r="H30" s="40">
        <v>37.42</v>
      </c>
      <c r="I30" s="40">
        <v>11.24</v>
      </c>
      <c r="J30" s="40">
        <v>0.24</v>
      </c>
      <c r="K30" s="40">
        <v>139.34</v>
      </c>
      <c r="L30" s="40">
        <v>30.19</v>
      </c>
      <c r="M30" s="40">
        <v>23.94</v>
      </c>
      <c r="N30" s="40">
        <v>6</v>
      </c>
      <c r="O30" s="40">
        <v>0</v>
      </c>
      <c r="P30" s="40">
        <v>0.95</v>
      </c>
      <c r="Q30" s="40">
        <v>28.21</v>
      </c>
      <c r="R30" s="38"/>
      <c r="S30" s="38"/>
      <c r="T30" s="38"/>
      <c r="U30" s="38"/>
    </row>
    <row r="31" spans="1:21" customFormat="1">
      <c r="A31" s="39" t="s">
        <v>779</v>
      </c>
      <c r="B31" s="40">
        <v>9.93</v>
      </c>
      <c r="C31" s="40">
        <v>26.86</v>
      </c>
      <c r="D31" s="40">
        <v>23.34</v>
      </c>
      <c r="E31" s="40">
        <v>13.61</v>
      </c>
      <c r="F31" s="41">
        <v>5.42</v>
      </c>
      <c r="G31" s="40">
        <v>122.69</v>
      </c>
      <c r="H31" s="40">
        <v>40.950000000000003</v>
      </c>
      <c r="I31" s="40">
        <v>10.74</v>
      </c>
      <c r="J31" s="40">
        <v>0.25</v>
      </c>
      <c r="K31" s="40">
        <v>169.16</v>
      </c>
      <c r="L31" s="40">
        <v>28.63</v>
      </c>
      <c r="M31" s="40">
        <v>31.76</v>
      </c>
      <c r="N31" s="40">
        <v>6</v>
      </c>
      <c r="O31" s="40">
        <v>0</v>
      </c>
      <c r="P31" s="40">
        <v>0.96</v>
      </c>
      <c r="Q31" s="40">
        <v>28.23</v>
      </c>
      <c r="R31" s="38"/>
      <c r="S31" s="38"/>
      <c r="T31" s="38"/>
      <c r="U31" s="38"/>
    </row>
    <row r="32" spans="1:21" customFormat="1">
      <c r="A32" s="39" t="s">
        <v>780</v>
      </c>
      <c r="B32" s="40">
        <v>14.39</v>
      </c>
      <c r="C32" s="40">
        <v>26.11</v>
      </c>
      <c r="D32" s="40">
        <v>26.53</v>
      </c>
      <c r="E32" s="40">
        <v>10.11</v>
      </c>
      <c r="F32" s="41">
        <v>3.04</v>
      </c>
      <c r="G32" s="40">
        <v>140.63</v>
      </c>
      <c r="H32" s="40">
        <v>43.69</v>
      </c>
      <c r="I32" s="40">
        <v>11.12</v>
      </c>
      <c r="J32" s="40">
        <v>0.25</v>
      </c>
      <c r="K32" s="40">
        <v>183.32</v>
      </c>
      <c r="L32" s="40">
        <v>26.47</v>
      </c>
      <c r="M32" s="40">
        <v>34.6</v>
      </c>
      <c r="N32" s="40">
        <v>5.9</v>
      </c>
      <c r="O32" s="40">
        <v>0</v>
      </c>
      <c r="P32" s="40">
        <v>0.98</v>
      </c>
      <c r="Q32" s="40">
        <v>28.29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3.86</v>
      </c>
      <c r="C34" s="18">
        <f t="shared" si="0"/>
        <v>18.850000000000001</v>
      </c>
      <c r="D34" s="18">
        <f t="shared" si="0"/>
        <v>14.26</v>
      </c>
      <c r="E34" s="18">
        <f t="shared" si="0"/>
        <v>8.83</v>
      </c>
      <c r="F34" s="18">
        <f t="shared" si="0"/>
        <v>3.04</v>
      </c>
      <c r="G34" s="18">
        <f t="shared" si="0"/>
        <v>76.569999999999993</v>
      </c>
      <c r="H34" s="18">
        <f t="shared" si="0"/>
        <v>27.07</v>
      </c>
      <c r="I34" s="18">
        <f t="shared" si="0"/>
        <v>6.64</v>
      </c>
      <c r="J34" s="18">
        <f t="shared" si="0"/>
        <v>0.23</v>
      </c>
      <c r="K34" s="18">
        <f t="shared" si="0"/>
        <v>35.76</v>
      </c>
      <c r="L34" s="18">
        <f t="shared" si="0"/>
        <v>24.01</v>
      </c>
      <c r="M34" s="18">
        <f t="shared" si="0"/>
        <v>7.94</v>
      </c>
      <c r="N34" s="18">
        <f t="shared" si="0"/>
        <v>5.7</v>
      </c>
      <c r="O34" s="18">
        <f t="shared" si="0"/>
        <v>0</v>
      </c>
      <c r="P34" s="18">
        <f t="shared" si="0"/>
        <v>0.59</v>
      </c>
      <c r="Q34" s="18">
        <f t="shared" si="0"/>
        <v>28.07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14.39</v>
      </c>
      <c r="C35" s="3">
        <f t="shared" si="1"/>
        <v>36.35</v>
      </c>
      <c r="D35" s="3">
        <f t="shared" si="1"/>
        <v>30.47</v>
      </c>
      <c r="E35" s="3">
        <f t="shared" si="1"/>
        <v>45.09</v>
      </c>
      <c r="F35" s="3">
        <f t="shared" si="1"/>
        <v>41.88</v>
      </c>
      <c r="G35" s="3">
        <f t="shared" si="1"/>
        <v>140.63</v>
      </c>
      <c r="H35" s="3">
        <f t="shared" si="1"/>
        <v>43.69</v>
      </c>
      <c r="I35" s="3">
        <f t="shared" si="1"/>
        <v>12.37</v>
      </c>
      <c r="J35" s="3">
        <f t="shared" si="1"/>
        <v>1.68</v>
      </c>
      <c r="K35" s="3">
        <f t="shared" si="1"/>
        <v>345.96</v>
      </c>
      <c r="L35" s="3">
        <f t="shared" si="1"/>
        <v>40.229999999999997</v>
      </c>
      <c r="M35" s="3">
        <f t="shared" si="1"/>
        <v>43.97</v>
      </c>
      <c r="N35" s="3">
        <f t="shared" si="1"/>
        <v>695.2</v>
      </c>
      <c r="O35" s="3">
        <f t="shared" si="1"/>
        <v>0</v>
      </c>
      <c r="P35" s="3">
        <f t="shared" si="1"/>
        <v>1.1000000000000001</v>
      </c>
      <c r="Q35" s="3">
        <f t="shared" si="1"/>
        <v>28.29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8.6820833333333329</v>
      </c>
      <c r="C36" s="18">
        <f t="shared" si="2"/>
        <v>24.738750000000007</v>
      </c>
      <c r="D36" s="18">
        <f t="shared" si="2"/>
        <v>21.083333333333332</v>
      </c>
      <c r="E36" s="18">
        <f t="shared" si="2"/>
        <v>17.780416666666671</v>
      </c>
      <c r="F36" s="18">
        <f t="shared" si="2"/>
        <v>16.832916666666666</v>
      </c>
      <c r="G36" s="18">
        <f t="shared" si="2"/>
        <v>95.235416666666652</v>
      </c>
      <c r="H36" s="18">
        <f t="shared" si="2"/>
        <v>34.45333333333334</v>
      </c>
      <c r="I36" s="18">
        <f t="shared" si="2"/>
        <v>9.6183333333333341</v>
      </c>
      <c r="J36" s="18">
        <f t="shared" si="2"/>
        <v>0.69416666666666682</v>
      </c>
      <c r="K36" s="18">
        <f t="shared" si="2"/>
        <v>145.38291666666669</v>
      </c>
      <c r="L36" s="18">
        <f t="shared" si="2"/>
        <v>32.087916666666665</v>
      </c>
      <c r="M36" s="18">
        <f t="shared" si="2"/>
        <v>22.394166666666667</v>
      </c>
      <c r="N36" s="18">
        <f t="shared" si="2"/>
        <v>200.7583333333333</v>
      </c>
      <c r="O36" s="18">
        <f t="shared" si="2"/>
        <v>0</v>
      </c>
      <c r="P36" s="18">
        <f t="shared" si="2"/>
        <v>0.78833333333333322</v>
      </c>
      <c r="Q36" s="18">
        <f t="shared" si="2"/>
        <v>28.19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2.9367017570984157</v>
      </c>
      <c r="C37" s="18">
        <f t="shared" ref="C37:Q37" si="3">STDEV(C9:C32)</f>
        <v>5.1148779682837482</v>
      </c>
      <c r="D37" s="18">
        <f t="shared" si="3"/>
        <v>4.1169128014196268</v>
      </c>
      <c r="E37" s="18">
        <f t="shared" si="3"/>
        <v>10.425237555073263</v>
      </c>
      <c r="F37" s="18">
        <f t="shared" si="3"/>
        <v>11.123978205803366</v>
      </c>
      <c r="G37" s="18">
        <f t="shared" si="3"/>
        <v>15.842004972792164</v>
      </c>
      <c r="H37" s="18">
        <f t="shared" si="3"/>
        <v>4.9327333164295393</v>
      </c>
      <c r="I37" s="18">
        <f t="shared" si="3"/>
        <v>1.4910914201310324</v>
      </c>
      <c r="J37" s="18">
        <f t="shared" si="3"/>
        <v>0.45151837236120301</v>
      </c>
      <c r="K37" s="18">
        <f t="shared" si="3"/>
        <v>92.56414187301904</v>
      </c>
      <c r="L37" s="18">
        <f t="shared" si="3"/>
        <v>5.4493038878666535</v>
      </c>
      <c r="M37" s="18">
        <f t="shared" si="3"/>
        <v>11.717472615404459</v>
      </c>
      <c r="N37" s="18">
        <f t="shared" si="3"/>
        <v>266.451667722092</v>
      </c>
      <c r="O37" s="18">
        <f t="shared" si="3"/>
        <v>0</v>
      </c>
      <c r="P37" s="18">
        <f t="shared" si="3"/>
        <v>0.13515423288475628</v>
      </c>
      <c r="Q37" s="18">
        <f t="shared" si="3"/>
        <v>7.5180941155611331E-2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96"/>
  <sheetViews>
    <sheetView topLeftCell="A16" zoomScale="85" zoomScaleNormal="85" workbookViewId="0">
      <selection activeCell="J28" sqref="J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6" width="9.140625" style="1" customWidth="1"/>
    <col min="17" max="17" width="16.425781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31/03/2025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781</v>
      </c>
      <c r="B9" s="40">
        <v>16.89</v>
      </c>
      <c r="C9" s="40">
        <v>28.93</v>
      </c>
      <c r="D9" s="40">
        <v>30.01</v>
      </c>
      <c r="E9" s="40">
        <v>14.04</v>
      </c>
      <c r="F9" s="41">
        <v>2.9</v>
      </c>
      <c r="G9" s="40">
        <v>145.88</v>
      </c>
      <c r="H9" s="40">
        <v>45.56</v>
      </c>
      <c r="I9" s="40">
        <v>11.39</v>
      </c>
      <c r="J9" s="40">
        <v>0.23</v>
      </c>
      <c r="K9" s="40">
        <v>137.32</v>
      </c>
      <c r="L9" s="40">
        <v>26.44</v>
      </c>
      <c r="M9" s="40">
        <v>33.92</v>
      </c>
      <c r="N9" s="40">
        <v>5.8</v>
      </c>
      <c r="O9" s="40">
        <v>0</v>
      </c>
      <c r="P9" s="40">
        <v>0.98</v>
      </c>
      <c r="Q9" s="40">
        <v>28.41</v>
      </c>
      <c r="R9" s="38"/>
      <c r="S9" s="38"/>
      <c r="T9" s="38"/>
      <c r="U9" s="38"/>
    </row>
    <row r="10" spans="1:21" customFormat="1">
      <c r="A10" s="39" t="s">
        <v>782</v>
      </c>
      <c r="B10" s="40">
        <v>15.64</v>
      </c>
      <c r="C10" s="40">
        <v>26.31</v>
      </c>
      <c r="D10" s="40">
        <v>27.63</v>
      </c>
      <c r="E10" s="40">
        <v>10.84</v>
      </c>
      <c r="F10" s="41">
        <v>3.02</v>
      </c>
      <c r="G10" s="40">
        <v>140.94999999999999</v>
      </c>
      <c r="H10" s="40">
        <v>46.19</v>
      </c>
      <c r="I10" s="40">
        <v>11.41</v>
      </c>
      <c r="J10" s="40">
        <v>0.4</v>
      </c>
      <c r="K10" s="40">
        <v>176.04</v>
      </c>
      <c r="L10" s="40">
        <v>25.32</v>
      </c>
      <c r="M10" s="40">
        <v>36.409999999999997</v>
      </c>
      <c r="N10" s="40">
        <v>6.4</v>
      </c>
      <c r="O10" s="40">
        <v>0</v>
      </c>
      <c r="P10" s="40">
        <v>0.96</v>
      </c>
      <c r="Q10" s="40">
        <v>28.39</v>
      </c>
      <c r="R10" s="38"/>
      <c r="S10" s="38"/>
      <c r="T10" s="38"/>
      <c r="U10" s="38"/>
    </row>
    <row r="11" spans="1:21" customFormat="1">
      <c r="A11" s="39" t="s">
        <v>783</v>
      </c>
      <c r="B11" s="40">
        <v>14.58</v>
      </c>
      <c r="C11" s="40">
        <v>25.56</v>
      </c>
      <c r="D11" s="40">
        <v>26.3</v>
      </c>
      <c r="E11" s="40">
        <v>10.35</v>
      </c>
      <c r="F11" s="41">
        <v>3.02</v>
      </c>
      <c r="G11" s="40">
        <v>126.16</v>
      </c>
      <c r="H11" s="40">
        <v>46.21</v>
      </c>
      <c r="I11" s="40">
        <v>11.39</v>
      </c>
      <c r="J11" s="40">
        <v>0.65</v>
      </c>
      <c r="K11" s="40">
        <v>79.06</v>
      </c>
      <c r="L11" s="40">
        <v>26.35</v>
      </c>
      <c r="M11" s="40">
        <v>29.92</v>
      </c>
      <c r="N11" s="40">
        <v>6.1</v>
      </c>
      <c r="O11" s="40">
        <v>0</v>
      </c>
      <c r="P11" s="40">
        <v>0.94</v>
      </c>
      <c r="Q11" s="40">
        <v>28.39</v>
      </c>
      <c r="R11" s="38"/>
      <c r="S11" s="38"/>
      <c r="T11" s="38"/>
      <c r="U11" s="38"/>
    </row>
    <row r="12" spans="1:21" customFormat="1">
      <c r="A12" s="39" t="s">
        <v>784</v>
      </c>
      <c r="B12" s="40">
        <v>12.73</v>
      </c>
      <c r="C12" s="40">
        <v>24.95</v>
      </c>
      <c r="D12" s="40">
        <v>24.6</v>
      </c>
      <c r="E12" s="40">
        <v>9.58</v>
      </c>
      <c r="F12" s="41">
        <v>3.96</v>
      </c>
      <c r="G12" s="40">
        <v>121.28</v>
      </c>
      <c r="H12" s="40">
        <v>42.44</v>
      </c>
      <c r="I12" s="40">
        <v>11.18</v>
      </c>
      <c r="J12" s="40">
        <v>0.84</v>
      </c>
      <c r="K12" s="40">
        <v>61.32</v>
      </c>
      <c r="L12" s="40">
        <v>26.3</v>
      </c>
      <c r="M12" s="40">
        <v>28.13</v>
      </c>
      <c r="N12" s="40">
        <v>5.6</v>
      </c>
      <c r="O12" s="40">
        <v>0</v>
      </c>
      <c r="P12" s="40">
        <v>0.94</v>
      </c>
      <c r="Q12" s="40">
        <v>28.34</v>
      </c>
      <c r="R12" s="38"/>
      <c r="S12" s="38"/>
      <c r="T12" s="38"/>
      <c r="U12" s="38"/>
    </row>
    <row r="13" spans="1:21" customFormat="1">
      <c r="A13" s="39" t="s">
        <v>785</v>
      </c>
      <c r="B13" s="40">
        <v>12.37</v>
      </c>
      <c r="C13" s="40">
        <v>22.13</v>
      </c>
      <c r="D13" s="40">
        <v>22.83</v>
      </c>
      <c r="E13" s="40">
        <v>9.27</v>
      </c>
      <c r="F13" s="41">
        <v>2.97</v>
      </c>
      <c r="G13" s="40">
        <v>121.33</v>
      </c>
      <c r="H13" s="40">
        <v>42.45</v>
      </c>
      <c r="I13" s="40">
        <v>11.15</v>
      </c>
      <c r="J13" s="40">
        <v>1.02</v>
      </c>
      <c r="K13" s="40">
        <v>77.39</v>
      </c>
      <c r="L13" s="40">
        <v>26.32</v>
      </c>
      <c r="M13" s="40">
        <v>22.41</v>
      </c>
      <c r="N13" s="40">
        <v>6.2</v>
      </c>
      <c r="O13" s="40">
        <v>0</v>
      </c>
      <c r="P13" s="40">
        <v>0.94</v>
      </c>
      <c r="Q13" s="40">
        <v>28.32</v>
      </c>
      <c r="R13" s="38"/>
      <c r="S13" s="38"/>
      <c r="T13" s="38"/>
      <c r="U13" s="38"/>
    </row>
    <row r="14" spans="1:21" customFormat="1">
      <c r="A14" s="39" t="s">
        <v>786</v>
      </c>
      <c r="B14" s="40">
        <v>12.06</v>
      </c>
      <c r="C14" s="40">
        <v>20.329999999999998</v>
      </c>
      <c r="D14" s="40">
        <v>21.64</v>
      </c>
      <c r="E14" s="40">
        <v>8.84</v>
      </c>
      <c r="F14" s="41">
        <v>2.92</v>
      </c>
      <c r="G14" s="40">
        <v>100.36</v>
      </c>
      <c r="H14" s="40">
        <v>40.450000000000003</v>
      </c>
      <c r="I14" s="40">
        <v>11.15</v>
      </c>
      <c r="J14" s="40">
        <v>0.26</v>
      </c>
      <c r="K14" s="40">
        <v>197.43</v>
      </c>
      <c r="L14" s="40">
        <v>24.58</v>
      </c>
      <c r="M14" s="40">
        <v>34.020000000000003</v>
      </c>
      <c r="N14" s="40">
        <v>8.6</v>
      </c>
      <c r="O14" s="40">
        <v>0</v>
      </c>
      <c r="P14" s="40">
        <v>0.94</v>
      </c>
      <c r="Q14" s="40">
        <v>28.3</v>
      </c>
      <c r="R14" s="38"/>
      <c r="S14" s="38"/>
      <c r="T14" s="38"/>
      <c r="U14" s="38"/>
    </row>
    <row r="15" spans="1:21" customFormat="1">
      <c r="A15" s="39" t="s">
        <v>787</v>
      </c>
      <c r="B15" s="40">
        <v>11.52</v>
      </c>
      <c r="C15" s="40">
        <v>18.829999999999998</v>
      </c>
      <c r="D15" s="40">
        <v>20.420000000000002</v>
      </c>
      <c r="E15" s="40">
        <v>8.94</v>
      </c>
      <c r="F15" s="41">
        <v>3.02</v>
      </c>
      <c r="G15" s="40">
        <v>90.41</v>
      </c>
      <c r="H15" s="40">
        <v>39.01</v>
      </c>
      <c r="I15" s="40">
        <v>11.11</v>
      </c>
      <c r="J15" s="40">
        <v>0.12</v>
      </c>
      <c r="K15" s="40">
        <v>235.45</v>
      </c>
      <c r="L15" s="40">
        <v>23.02</v>
      </c>
      <c r="M15" s="40">
        <v>37.090000000000003</v>
      </c>
      <c r="N15" s="40">
        <v>47.1</v>
      </c>
      <c r="O15" s="40">
        <v>0</v>
      </c>
      <c r="P15" s="40">
        <v>0.94</v>
      </c>
      <c r="Q15" s="40">
        <v>28.29</v>
      </c>
      <c r="R15" s="38"/>
      <c r="S15" s="38"/>
      <c r="T15" s="38"/>
      <c r="U15" s="38"/>
    </row>
    <row r="16" spans="1:21" customFormat="1">
      <c r="A16" s="39" t="s">
        <v>788</v>
      </c>
      <c r="B16" s="40">
        <v>12.77</v>
      </c>
      <c r="C16" s="40">
        <v>18.899999999999999</v>
      </c>
      <c r="D16" s="40">
        <v>21.46</v>
      </c>
      <c r="E16" s="40">
        <v>9.65</v>
      </c>
      <c r="F16" s="41">
        <v>2.99</v>
      </c>
      <c r="G16" s="40">
        <v>95.59</v>
      </c>
      <c r="H16" s="40">
        <v>40.35</v>
      </c>
      <c r="I16" s="40">
        <v>11.17</v>
      </c>
      <c r="J16" s="40">
        <v>0.38</v>
      </c>
      <c r="K16" s="40">
        <v>343.33</v>
      </c>
      <c r="L16" s="40">
        <v>27.32</v>
      </c>
      <c r="M16" s="40">
        <v>35.07</v>
      </c>
      <c r="N16" s="40">
        <v>94</v>
      </c>
      <c r="O16" s="40">
        <v>0</v>
      </c>
      <c r="P16" s="40">
        <v>0.98</v>
      </c>
      <c r="Q16" s="40">
        <v>28.31</v>
      </c>
      <c r="R16" s="38"/>
      <c r="S16" s="38"/>
      <c r="T16" s="38"/>
      <c r="U16" s="38"/>
    </row>
    <row r="17" spans="1:21" customFormat="1">
      <c r="A17" s="39" t="s">
        <v>789</v>
      </c>
      <c r="B17" s="40">
        <v>11.99</v>
      </c>
      <c r="C17" s="40">
        <v>23.28</v>
      </c>
      <c r="D17" s="40">
        <v>21.36</v>
      </c>
      <c r="E17" s="40">
        <v>11.52</v>
      </c>
      <c r="F17" s="41">
        <v>3.63</v>
      </c>
      <c r="G17" s="40">
        <v>101.71</v>
      </c>
      <c r="H17" s="40">
        <v>47.19</v>
      </c>
      <c r="I17" s="40">
        <v>11.8</v>
      </c>
      <c r="J17" s="40">
        <v>1.47</v>
      </c>
      <c r="K17" s="40">
        <v>57.9</v>
      </c>
      <c r="L17" s="40">
        <v>30.51</v>
      </c>
      <c r="M17" s="40">
        <v>17.93</v>
      </c>
      <c r="N17" s="40">
        <v>234.6</v>
      </c>
      <c r="O17" s="40">
        <v>0</v>
      </c>
      <c r="P17" s="40">
        <v>1.03</v>
      </c>
      <c r="Q17" s="40">
        <v>28.29</v>
      </c>
      <c r="R17" s="38"/>
      <c r="S17" s="38"/>
      <c r="T17" s="38"/>
      <c r="U17" s="38"/>
    </row>
    <row r="18" spans="1:21" customFormat="1">
      <c r="A18" s="39" t="s">
        <v>790</v>
      </c>
      <c r="B18" s="40">
        <v>6.79</v>
      </c>
      <c r="C18" s="40">
        <v>25.72</v>
      </c>
      <c r="D18" s="40">
        <v>19.37</v>
      </c>
      <c r="E18" s="40">
        <v>13.65</v>
      </c>
      <c r="F18" s="41">
        <v>3.55</v>
      </c>
      <c r="G18" s="40">
        <v>108.03</v>
      </c>
      <c r="H18" s="40">
        <v>50.78</v>
      </c>
      <c r="I18" s="40">
        <v>12.02</v>
      </c>
      <c r="J18" s="40">
        <v>1.43</v>
      </c>
      <c r="K18" s="40">
        <v>58.36</v>
      </c>
      <c r="L18" s="40">
        <v>33.15</v>
      </c>
      <c r="M18" s="40">
        <v>13.28</v>
      </c>
      <c r="N18" s="40">
        <v>496.9</v>
      </c>
      <c r="O18" s="40">
        <v>0</v>
      </c>
      <c r="P18" s="40">
        <v>1.05</v>
      </c>
      <c r="Q18" s="40">
        <v>28.17</v>
      </c>
      <c r="R18" s="38"/>
      <c r="S18" s="38"/>
      <c r="T18" s="38"/>
      <c r="U18" s="38"/>
    </row>
    <row r="19" spans="1:21" customFormat="1">
      <c r="A19" s="39" t="s">
        <v>791</v>
      </c>
      <c r="B19" s="40">
        <v>4.4000000000000004</v>
      </c>
      <c r="C19" s="40">
        <v>26.54</v>
      </c>
      <c r="D19" s="40">
        <v>18.64</v>
      </c>
      <c r="E19" s="40">
        <v>18.809999999999999</v>
      </c>
      <c r="F19" s="41">
        <v>5.07</v>
      </c>
      <c r="G19" s="40">
        <v>110.46</v>
      </c>
      <c r="H19" s="40">
        <v>50.83</v>
      </c>
      <c r="I19" s="40">
        <v>12.23</v>
      </c>
      <c r="J19" s="40">
        <v>1.52</v>
      </c>
      <c r="K19" s="40">
        <v>57.26</v>
      </c>
      <c r="L19" s="40">
        <v>35.700000000000003</v>
      </c>
      <c r="M19" s="40">
        <v>10.9</v>
      </c>
      <c r="N19" s="40">
        <v>607.70000000000005</v>
      </c>
      <c r="O19" s="40">
        <v>0</v>
      </c>
      <c r="P19" s="40">
        <v>1.06</v>
      </c>
      <c r="Q19" s="40">
        <v>28.11</v>
      </c>
      <c r="R19" s="38"/>
      <c r="S19" s="38"/>
      <c r="T19" s="38"/>
      <c r="U19" s="38"/>
    </row>
    <row r="20" spans="1:21" customFormat="1">
      <c r="A20" s="39" t="s">
        <v>792</v>
      </c>
      <c r="B20" s="40">
        <v>3.93</v>
      </c>
      <c r="C20" s="40">
        <v>25.01</v>
      </c>
      <c r="D20" s="40">
        <v>17.57</v>
      </c>
      <c r="E20" s="40">
        <v>32.630000000000003</v>
      </c>
      <c r="F20" s="41">
        <v>6.06</v>
      </c>
      <c r="G20" s="40">
        <v>110.69</v>
      </c>
      <c r="H20" s="40">
        <v>50.29</v>
      </c>
      <c r="I20" s="40">
        <v>11.67</v>
      </c>
      <c r="J20" s="40">
        <v>1.53</v>
      </c>
      <c r="K20" s="40">
        <v>56.08</v>
      </c>
      <c r="L20" s="40">
        <v>37.53</v>
      </c>
      <c r="M20" s="40">
        <v>8.49</v>
      </c>
      <c r="N20" s="40">
        <v>653.29999999999995</v>
      </c>
      <c r="O20" s="40">
        <v>0</v>
      </c>
      <c r="P20" s="40">
        <v>1.02</v>
      </c>
      <c r="Q20" s="40">
        <v>28.1</v>
      </c>
      <c r="R20" s="38"/>
      <c r="S20" s="38"/>
      <c r="T20" s="38"/>
      <c r="U20" s="38"/>
    </row>
    <row r="21" spans="1:21" customFormat="1">
      <c r="A21" s="39" t="s">
        <v>793</v>
      </c>
      <c r="B21" s="40">
        <v>4.0599999999999996</v>
      </c>
      <c r="C21" s="40">
        <v>25.36</v>
      </c>
      <c r="D21" s="40">
        <v>17.86</v>
      </c>
      <c r="E21" s="40">
        <v>35.22</v>
      </c>
      <c r="F21" s="41">
        <v>11.46</v>
      </c>
      <c r="G21" s="40">
        <v>109.43</v>
      </c>
      <c r="H21" s="40">
        <v>50.41</v>
      </c>
      <c r="I21" s="40">
        <v>10.7</v>
      </c>
      <c r="J21" s="40">
        <v>1.34</v>
      </c>
      <c r="K21" s="40">
        <v>336.35</v>
      </c>
      <c r="L21" s="40">
        <v>38.86</v>
      </c>
      <c r="M21" s="40">
        <v>7.62</v>
      </c>
      <c r="N21" s="40">
        <v>651.5</v>
      </c>
      <c r="O21" s="40">
        <v>0</v>
      </c>
      <c r="P21" s="40">
        <v>0.97</v>
      </c>
      <c r="Q21" s="40">
        <v>28.09</v>
      </c>
      <c r="R21" s="38"/>
      <c r="S21" s="38"/>
      <c r="T21" s="38"/>
      <c r="U21" s="38"/>
    </row>
    <row r="22" spans="1:21" customFormat="1">
      <c r="A22" s="39" t="s">
        <v>794</v>
      </c>
      <c r="B22" s="40">
        <v>3.85</v>
      </c>
      <c r="C22" s="40">
        <v>21.99</v>
      </c>
      <c r="D22" s="40">
        <v>15.8</v>
      </c>
      <c r="E22" s="40">
        <v>36.729999999999997</v>
      </c>
      <c r="F22" s="41">
        <v>16.579999999999998</v>
      </c>
      <c r="G22" s="40">
        <v>100.66</v>
      </c>
      <c r="H22" s="40">
        <v>46.46</v>
      </c>
      <c r="I22" s="40">
        <v>9.6999999999999993</v>
      </c>
      <c r="J22" s="40">
        <v>0.96</v>
      </c>
      <c r="K22" s="40">
        <v>303.67</v>
      </c>
      <c r="L22" s="40">
        <v>39.47</v>
      </c>
      <c r="M22" s="40">
        <v>8.4499999999999993</v>
      </c>
      <c r="N22" s="40">
        <v>598.79999999999995</v>
      </c>
      <c r="O22" s="40">
        <v>0</v>
      </c>
      <c r="P22" s="40">
        <v>0.96</v>
      </c>
      <c r="Q22" s="40">
        <v>28.08</v>
      </c>
      <c r="R22" s="38"/>
      <c r="S22" s="38"/>
      <c r="T22" s="38"/>
      <c r="U22" s="38"/>
    </row>
    <row r="23" spans="1:21" customFormat="1">
      <c r="A23" s="39" t="s">
        <v>795</v>
      </c>
      <c r="B23" s="40">
        <v>3.87</v>
      </c>
      <c r="C23" s="40">
        <v>20.75</v>
      </c>
      <c r="D23" s="40">
        <v>15.2</v>
      </c>
      <c r="E23" s="40">
        <v>31.63</v>
      </c>
      <c r="F23" s="41">
        <v>26.39</v>
      </c>
      <c r="G23" s="40">
        <v>98.57</v>
      </c>
      <c r="H23" s="40">
        <v>46.04</v>
      </c>
      <c r="I23" s="40">
        <v>9.08</v>
      </c>
      <c r="J23" s="40">
        <v>0.94</v>
      </c>
      <c r="K23" s="40">
        <v>333.13</v>
      </c>
      <c r="L23" s="40">
        <v>39.979999999999997</v>
      </c>
      <c r="M23" s="40">
        <v>8.89</v>
      </c>
      <c r="N23" s="40">
        <v>514.20000000000005</v>
      </c>
      <c r="O23" s="40">
        <v>0</v>
      </c>
      <c r="P23" s="40">
        <v>0.83</v>
      </c>
      <c r="Q23" s="40">
        <v>28.07</v>
      </c>
      <c r="R23" s="38"/>
      <c r="S23" s="38"/>
      <c r="T23" s="38"/>
      <c r="U23" s="38"/>
    </row>
    <row r="24" spans="1:21" customFormat="1">
      <c r="A24" s="39" t="s">
        <v>796</v>
      </c>
      <c r="B24" s="40">
        <v>4.37</v>
      </c>
      <c r="C24" s="40">
        <v>21.66</v>
      </c>
      <c r="D24" s="40">
        <v>16.170000000000002</v>
      </c>
      <c r="E24" s="40">
        <v>40.18</v>
      </c>
      <c r="F24" s="41">
        <v>30.08</v>
      </c>
      <c r="G24" s="40">
        <v>95.38</v>
      </c>
      <c r="H24" s="40">
        <v>43.81</v>
      </c>
      <c r="I24" s="40">
        <v>8.6300000000000008</v>
      </c>
      <c r="J24" s="40">
        <v>1.18</v>
      </c>
      <c r="K24" s="40">
        <v>34.79</v>
      </c>
      <c r="L24" s="40">
        <v>39.89</v>
      </c>
      <c r="M24" s="40">
        <v>7.73</v>
      </c>
      <c r="N24" s="40">
        <v>374</v>
      </c>
      <c r="O24" s="40">
        <v>0</v>
      </c>
      <c r="P24" s="40">
        <v>0.78</v>
      </c>
      <c r="Q24" s="40">
        <v>28.08</v>
      </c>
      <c r="R24" s="38"/>
      <c r="S24" s="38"/>
      <c r="T24" s="38"/>
      <c r="U24" s="38"/>
    </row>
    <row r="25" spans="1:21" customFormat="1">
      <c r="A25" s="39" t="s">
        <v>797</v>
      </c>
      <c r="B25" s="40">
        <v>4.03</v>
      </c>
      <c r="C25" s="40">
        <v>22.52</v>
      </c>
      <c r="D25" s="40">
        <v>16.3</v>
      </c>
      <c r="E25" s="40">
        <v>32</v>
      </c>
      <c r="F25" s="41">
        <v>18.670000000000002</v>
      </c>
      <c r="G25" s="40">
        <v>82.16</v>
      </c>
      <c r="H25" s="40">
        <v>39.68</v>
      </c>
      <c r="I25" s="40">
        <v>7.88</v>
      </c>
      <c r="J25" s="40">
        <v>1.37</v>
      </c>
      <c r="K25" s="40">
        <v>58.49</v>
      </c>
      <c r="L25" s="40">
        <v>38.51</v>
      </c>
      <c r="M25" s="40">
        <v>7.83</v>
      </c>
      <c r="N25" s="40">
        <v>145.30000000000001</v>
      </c>
      <c r="O25" s="40">
        <v>0</v>
      </c>
      <c r="P25" s="40">
        <v>0.74</v>
      </c>
      <c r="Q25" s="40">
        <v>28.08</v>
      </c>
      <c r="R25" s="38"/>
      <c r="S25" s="38"/>
      <c r="T25" s="38"/>
      <c r="U25" s="38"/>
    </row>
    <row r="26" spans="1:21" customFormat="1">
      <c r="A26" s="39" t="s">
        <v>798</v>
      </c>
      <c r="B26" s="40">
        <v>4.34</v>
      </c>
      <c r="C26" s="40">
        <v>29.35</v>
      </c>
      <c r="D26" s="40">
        <v>19.8</v>
      </c>
      <c r="E26" s="40">
        <v>25.55</v>
      </c>
      <c r="F26" s="41">
        <v>6.48</v>
      </c>
      <c r="G26" s="40">
        <v>78.349999999999994</v>
      </c>
      <c r="H26" s="40">
        <v>38.869999999999997</v>
      </c>
      <c r="I26" s="40">
        <v>7.6</v>
      </c>
      <c r="J26" s="40">
        <v>1.23</v>
      </c>
      <c r="K26" s="40">
        <v>64.66</v>
      </c>
      <c r="L26" s="40">
        <v>37.22</v>
      </c>
      <c r="M26" s="40">
        <v>9.5299999999999994</v>
      </c>
      <c r="N26" s="40">
        <v>67.900000000000006</v>
      </c>
      <c r="O26" s="40">
        <v>0</v>
      </c>
      <c r="P26" s="40">
        <v>0.82</v>
      </c>
      <c r="Q26" s="40">
        <v>28.08</v>
      </c>
      <c r="R26" s="38"/>
      <c r="S26" s="38"/>
      <c r="T26" s="38"/>
      <c r="U26" s="38"/>
    </row>
    <row r="27" spans="1:21" customFormat="1">
      <c r="A27" s="39" t="s">
        <v>799</v>
      </c>
      <c r="B27" s="40">
        <v>4.7699999999999996</v>
      </c>
      <c r="C27" s="40">
        <v>34.93</v>
      </c>
      <c r="D27" s="40">
        <v>22.92</v>
      </c>
      <c r="E27" s="40">
        <v>17.62</v>
      </c>
      <c r="F27" s="41">
        <v>4.28</v>
      </c>
      <c r="G27" s="40">
        <v>96.64</v>
      </c>
      <c r="H27" s="40">
        <v>40.42</v>
      </c>
      <c r="I27" s="40">
        <v>8.75</v>
      </c>
      <c r="J27" s="40">
        <v>0.4</v>
      </c>
      <c r="K27" s="40">
        <v>163.66999999999999</v>
      </c>
      <c r="L27" s="40">
        <v>35.07</v>
      </c>
      <c r="M27" s="40">
        <v>16.88</v>
      </c>
      <c r="N27" s="40">
        <v>9.1999999999999993</v>
      </c>
      <c r="O27" s="40">
        <v>0</v>
      </c>
      <c r="P27" s="40">
        <v>0.92</v>
      </c>
      <c r="Q27" s="40">
        <v>28.1</v>
      </c>
      <c r="R27" s="38"/>
      <c r="S27" s="38"/>
      <c r="T27" s="38"/>
      <c r="U27" s="38"/>
    </row>
    <row r="28" spans="1:21" customFormat="1">
      <c r="A28" s="39" t="s">
        <v>800</v>
      </c>
      <c r="B28" s="40">
        <v>6.31</v>
      </c>
      <c r="C28" s="40">
        <v>41.23</v>
      </c>
      <c r="D28" s="40">
        <v>27.77</v>
      </c>
      <c r="E28" s="40">
        <v>16.77</v>
      </c>
      <c r="F28" s="41">
        <v>3.03</v>
      </c>
      <c r="G28" s="40">
        <v>119.44</v>
      </c>
      <c r="H28" s="40">
        <v>48.08</v>
      </c>
      <c r="I28" s="40">
        <v>11.11</v>
      </c>
      <c r="J28" s="40">
        <v>0.24</v>
      </c>
      <c r="K28" s="40">
        <v>164.59</v>
      </c>
      <c r="L28" s="40">
        <v>31.36</v>
      </c>
      <c r="M28" s="40">
        <v>19.04</v>
      </c>
      <c r="N28" s="40">
        <v>6</v>
      </c>
      <c r="O28" s="40">
        <v>0</v>
      </c>
      <c r="P28" s="40">
        <v>1.1000000000000001</v>
      </c>
      <c r="Q28" s="40">
        <v>28.13</v>
      </c>
      <c r="R28" s="38"/>
      <c r="S28" s="38"/>
      <c r="T28" s="38"/>
      <c r="U28" s="38"/>
    </row>
    <row r="29" spans="1:21" customFormat="1">
      <c r="A29" s="39" t="s">
        <v>801</v>
      </c>
      <c r="B29" s="40">
        <v>7.42</v>
      </c>
      <c r="C29" s="40">
        <v>39.950000000000003</v>
      </c>
      <c r="D29" s="40">
        <v>28.17</v>
      </c>
      <c r="E29" s="40">
        <v>15.2</v>
      </c>
      <c r="F29" s="41">
        <v>2.86</v>
      </c>
      <c r="G29" s="40">
        <v>216.48</v>
      </c>
      <c r="H29" s="40">
        <v>63.36</v>
      </c>
      <c r="I29" s="40">
        <v>12.39</v>
      </c>
      <c r="J29" s="40">
        <v>0.32</v>
      </c>
      <c r="K29" s="40">
        <v>163.07</v>
      </c>
      <c r="L29" s="40">
        <v>30.78</v>
      </c>
      <c r="M29" s="40">
        <v>23.59</v>
      </c>
      <c r="N29" s="40">
        <v>6.2</v>
      </c>
      <c r="O29" s="40">
        <v>0</v>
      </c>
      <c r="P29" s="40">
        <v>1.1399999999999999</v>
      </c>
      <c r="Q29" s="40">
        <v>28.16</v>
      </c>
      <c r="R29" s="38"/>
      <c r="S29" s="38"/>
      <c r="T29" s="38"/>
      <c r="U29" s="38"/>
    </row>
    <row r="30" spans="1:21" customFormat="1">
      <c r="A30" s="39" t="s">
        <v>802</v>
      </c>
      <c r="B30" s="40">
        <v>9.59</v>
      </c>
      <c r="C30" s="40">
        <v>39.78</v>
      </c>
      <c r="D30" s="40">
        <v>29.83</v>
      </c>
      <c r="E30" s="40">
        <v>13.68</v>
      </c>
      <c r="F30" s="41">
        <v>2.98</v>
      </c>
      <c r="G30" s="40">
        <v>249.63</v>
      </c>
      <c r="H30" s="40">
        <v>65.069999999999993</v>
      </c>
      <c r="I30" s="40">
        <v>17.68</v>
      </c>
      <c r="J30" s="40">
        <v>0.56999999999999995</v>
      </c>
      <c r="K30" s="40">
        <v>101.5</v>
      </c>
      <c r="L30" s="40">
        <v>29.97</v>
      </c>
      <c r="M30" s="40">
        <v>21.15</v>
      </c>
      <c r="N30" s="40">
        <v>5.4</v>
      </c>
      <c r="O30" s="40">
        <v>0</v>
      </c>
      <c r="P30" s="40">
        <v>1.23</v>
      </c>
      <c r="Q30" s="40">
        <v>28.21</v>
      </c>
      <c r="R30" s="38"/>
      <c r="S30" s="38"/>
      <c r="T30" s="38"/>
      <c r="U30" s="38"/>
    </row>
    <row r="31" spans="1:21" customFormat="1">
      <c r="A31" s="39" t="s">
        <v>803</v>
      </c>
      <c r="B31" s="40">
        <v>10.98</v>
      </c>
      <c r="C31" s="40">
        <v>36.82</v>
      </c>
      <c r="D31" s="40">
        <v>29.39</v>
      </c>
      <c r="E31" s="40">
        <v>16.149999999999999</v>
      </c>
      <c r="F31" s="41">
        <v>3.2</v>
      </c>
      <c r="G31" s="40">
        <v>213.48</v>
      </c>
      <c r="H31" s="40">
        <v>65.14</v>
      </c>
      <c r="I31" s="40">
        <v>21.34</v>
      </c>
      <c r="J31" s="40">
        <v>0.71</v>
      </c>
      <c r="K31" s="40">
        <v>67.52</v>
      </c>
      <c r="L31" s="40">
        <v>29.69</v>
      </c>
      <c r="M31" s="40">
        <v>18.27</v>
      </c>
      <c r="N31" s="40">
        <v>5.8</v>
      </c>
      <c r="O31" s="40">
        <v>0</v>
      </c>
      <c r="P31" s="40">
        <v>1.22</v>
      </c>
      <c r="Q31" s="40">
        <v>28.25</v>
      </c>
      <c r="R31" s="38"/>
      <c r="S31" s="38"/>
      <c r="T31" s="38"/>
      <c r="U31" s="38"/>
    </row>
    <row r="32" spans="1:21" customFormat="1">
      <c r="A32" s="39" t="s">
        <v>804</v>
      </c>
      <c r="B32" s="40">
        <v>8.65</v>
      </c>
      <c r="C32" s="40">
        <v>30.47</v>
      </c>
      <c r="D32" s="40">
        <v>24.21</v>
      </c>
      <c r="E32" s="40">
        <v>11.93</v>
      </c>
      <c r="F32" s="41">
        <v>3.54</v>
      </c>
      <c r="G32" s="40">
        <v>198.5</v>
      </c>
      <c r="H32" s="40">
        <v>65.14</v>
      </c>
      <c r="I32" s="40">
        <v>18.82</v>
      </c>
      <c r="J32" s="40">
        <v>0.32</v>
      </c>
      <c r="K32" s="40">
        <v>193.32</v>
      </c>
      <c r="L32" s="40">
        <v>29.11</v>
      </c>
      <c r="M32" s="40">
        <v>25.88</v>
      </c>
      <c r="N32" s="40">
        <v>6.7</v>
      </c>
      <c r="O32" s="40">
        <v>0</v>
      </c>
      <c r="P32" s="40">
        <v>1.17</v>
      </c>
      <c r="Q32" s="40">
        <v>28.25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3.85</v>
      </c>
      <c r="C34" s="18">
        <f t="shared" si="0"/>
        <v>18.829999999999998</v>
      </c>
      <c r="D34" s="18">
        <f t="shared" si="0"/>
        <v>15.2</v>
      </c>
      <c r="E34" s="18">
        <f t="shared" si="0"/>
        <v>8.84</v>
      </c>
      <c r="F34" s="18">
        <f t="shared" si="0"/>
        <v>2.86</v>
      </c>
      <c r="G34" s="18">
        <f t="shared" si="0"/>
        <v>78.349999999999994</v>
      </c>
      <c r="H34" s="18">
        <f t="shared" si="0"/>
        <v>38.869999999999997</v>
      </c>
      <c r="I34" s="18">
        <f t="shared" si="0"/>
        <v>7.6</v>
      </c>
      <c r="J34" s="18">
        <f t="shared" si="0"/>
        <v>0.12</v>
      </c>
      <c r="K34" s="18">
        <f t="shared" si="0"/>
        <v>34.79</v>
      </c>
      <c r="L34" s="18">
        <f t="shared" si="0"/>
        <v>23.02</v>
      </c>
      <c r="M34" s="18">
        <f t="shared" si="0"/>
        <v>7.62</v>
      </c>
      <c r="N34" s="18">
        <f t="shared" si="0"/>
        <v>5.4</v>
      </c>
      <c r="O34" s="18">
        <f t="shared" si="0"/>
        <v>0</v>
      </c>
      <c r="P34" s="18">
        <f t="shared" si="0"/>
        <v>0.74</v>
      </c>
      <c r="Q34" s="18">
        <f t="shared" si="0"/>
        <v>28.07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16.89</v>
      </c>
      <c r="C35" s="3">
        <f t="shared" si="1"/>
        <v>41.23</v>
      </c>
      <c r="D35" s="3">
        <f t="shared" si="1"/>
        <v>30.01</v>
      </c>
      <c r="E35" s="3">
        <f t="shared" si="1"/>
        <v>40.18</v>
      </c>
      <c r="F35" s="3">
        <f t="shared" si="1"/>
        <v>30.08</v>
      </c>
      <c r="G35" s="3">
        <f t="shared" si="1"/>
        <v>249.63</v>
      </c>
      <c r="H35" s="3">
        <f t="shared" si="1"/>
        <v>65.14</v>
      </c>
      <c r="I35" s="3">
        <f t="shared" si="1"/>
        <v>21.34</v>
      </c>
      <c r="J35" s="3">
        <f t="shared" si="1"/>
        <v>1.53</v>
      </c>
      <c r="K35" s="3">
        <f t="shared" si="1"/>
        <v>343.33</v>
      </c>
      <c r="L35" s="3">
        <f t="shared" si="1"/>
        <v>39.979999999999997</v>
      </c>
      <c r="M35" s="3">
        <f t="shared" si="1"/>
        <v>37.090000000000003</v>
      </c>
      <c r="N35" s="3">
        <f t="shared" si="1"/>
        <v>653.29999999999995</v>
      </c>
      <c r="O35" s="3">
        <f t="shared" si="1"/>
        <v>0</v>
      </c>
      <c r="P35" s="3">
        <f t="shared" si="1"/>
        <v>1.23</v>
      </c>
      <c r="Q35" s="3">
        <f t="shared" si="1"/>
        <v>28.41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8.6629166666666677</v>
      </c>
      <c r="C36" s="18">
        <f t="shared" si="2"/>
        <v>27.137500000000003</v>
      </c>
      <c r="D36" s="18">
        <f t="shared" si="2"/>
        <v>22.302083333333332</v>
      </c>
      <c r="E36" s="18">
        <f t="shared" si="2"/>
        <v>18.782499999999999</v>
      </c>
      <c r="F36" s="18">
        <f t="shared" si="2"/>
        <v>7.1941666666666668</v>
      </c>
      <c r="G36" s="18">
        <f t="shared" si="2"/>
        <v>126.31541666666669</v>
      </c>
      <c r="H36" s="18">
        <f t="shared" si="2"/>
        <v>48.092916666666675</v>
      </c>
      <c r="I36" s="18">
        <f t="shared" si="2"/>
        <v>11.722916666666663</v>
      </c>
      <c r="J36" s="18">
        <f t="shared" si="2"/>
        <v>0.80958333333333321</v>
      </c>
      <c r="K36" s="18">
        <f t="shared" si="2"/>
        <v>146.73750000000001</v>
      </c>
      <c r="L36" s="18">
        <f t="shared" si="2"/>
        <v>31.768750000000008</v>
      </c>
      <c r="M36" s="18">
        <f t="shared" si="2"/>
        <v>20.101249999999997</v>
      </c>
      <c r="N36" s="18">
        <f t="shared" si="2"/>
        <v>190.13749999999996</v>
      </c>
      <c r="O36" s="18">
        <f t="shared" si="2"/>
        <v>0</v>
      </c>
      <c r="P36" s="18">
        <f t="shared" si="2"/>
        <v>0.98583333333333345</v>
      </c>
      <c r="Q36" s="18">
        <f t="shared" si="2"/>
        <v>28.208333333333329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4.3125181579117795</v>
      </c>
      <c r="C37" s="18">
        <f t="shared" ref="C37:Q37" si="3">STDEV(C9:C32)</f>
        <v>6.7761706833900579</v>
      </c>
      <c r="D37" s="18">
        <f t="shared" si="3"/>
        <v>4.7863764811013958</v>
      </c>
      <c r="E37" s="18">
        <f t="shared" si="3"/>
        <v>10.248438799450732</v>
      </c>
      <c r="F37" s="18">
        <f t="shared" si="3"/>
        <v>7.7716317556178334</v>
      </c>
      <c r="G37" s="18">
        <f t="shared" si="3"/>
        <v>46.148281514866362</v>
      </c>
      <c r="H37" s="18">
        <f t="shared" si="3"/>
        <v>8.4606981309061009</v>
      </c>
      <c r="I37" s="18">
        <f t="shared" si="3"/>
        <v>3.2555310515392617</v>
      </c>
      <c r="J37" s="18">
        <f t="shared" si="3"/>
        <v>0.48315520205764362</v>
      </c>
      <c r="K37" s="18">
        <f t="shared" si="3"/>
        <v>100.518683327161</v>
      </c>
      <c r="L37" s="18">
        <f t="shared" si="3"/>
        <v>5.532094746351361</v>
      </c>
      <c r="M37" s="18">
        <f t="shared" si="3"/>
        <v>10.414042072250757</v>
      </c>
      <c r="N37" s="18">
        <f t="shared" si="3"/>
        <v>251.51567297089065</v>
      </c>
      <c r="O37" s="18">
        <f t="shared" si="3"/>
        <v>0</v>
      </c>
      <c r="P37" s="18">
        <f t="shared" si="3"/>
        <v>0.12665999219638341</v>
      </c>
      <c r="Q37" s="18">
        <f t="shared" si="3"/>
        <v>0.11686732226971237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Q47" sqref="Q47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01/03/2025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59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01/03/2025 01:00</v>
      </c>
      <c r="B9" s="15">
        <f>'01'!B36</f>
        <v>8.4591666666666701</v>
      </c>
      <c r="C9" s="15">
        <f>'01'!C36</f>
        <v>22.782916666666665</v>
      </c>
      <c r="D9" s="15">
        <f>'01'!D36</f>
        <v>20.007916666666667</v>
      </c>
      <c r="E9" s="15">
        <f>'01'!E36</f>
        <v>12.631249999999996</v>
      </c>
      <c r="F9" s="15">
        <f>'01'!F36</f>
        <v>8.9941666666666666</v>
      </c>
      <c r="G9" s="15">
        <f>'01'!G36</f>
        <v>80.340833333333322</v>
      </c>
      <c r="H9" s="15">
        <f>'01'!H36</f>
        <v>33.707499999999996</v>
      </c>
      <c r="I9" s="15">
        <f>'01'!I36</f>
        <v>11.220000000000004</v>
      </c>
      <c r="J9" s="15">
        <f>'01'!J36</f>
        <v>0.53666666666666674</v>
      </c>
      <c r="K9" s="15">
        <f>'01'!K36</f>
        <v>235.36250000000004</v>
      </c>
      <c r="L9" s="15">
        <f>'01'!L36</f>
        <v>27.405416666666664</v>
      </c>
      <c r="M9" s="15">
        <f>'01'!M36</f>
        <v>51.605416666666656</v>
      </c>
      <c r="N9" s="15">
        <f>'01'!N36</f>
        <v>99.499999999999957</v>
      </c>
      <c r="O9" s="15">
        <f>'01'!O36</f>
        <v>0</v>
      </c>
      <c r="P9" s="15">
        <f>'01'!P36</f>
        <v>0.96416666666666673</v>
      </c>
      <c r="Q9" s="15">
        <f>'01'!Q36</f>
        <v>28.192916666666662</v>
      </c>
      <c r="R9" s="29"/>
      <c r="S9" s="29"/>
      <c r="T9" s="29"/>
      <c r="U9" s="29"/>
    </row>
    <row r="10" spans="1:21" s="2" customFormat="1">
      <c r="A10" s="14" t="str">
        <f>'02'!$B$2</f>
        <v>02/03/2025 01:00</v>
      </c>
      <c r="B10" s="15">
        <f>'02'!B36</f>
        <v>7.0575000000000001</v>
      </c>
      <c r="C10" s="15">
        <f>'02'!C36</f>
        <v>20.562083333333337</v>
      </c>
      <c r="D10" s="15">
        <f>'02'!D36</f>
        <v>17.632916666666667</v>
      </c>
      <c r="E10" s="15">
        <f>'02'!E36</f>
        <v>13.066250000000004</v>
      </c>
      <c r="F10" s="15">
        <f>'02'!F36</f>
        <v>9.4916666666666671</v>
      </c>
      <c r="G10" s="15">
        <f>'02'!G36</f>
        <v>64.715833333333322</v>
      </c>
      <c r="H10" s="15">
        <f>'02'!H36</f>
        <v>28.005416666666672</v>
      </c>
      <c r="I10" s="15">
        <f>'02'!I36</f>
        <v>11.415833333333332</v>
      </c>
      <c r="J10" s="15">
        <f>'02'!J36</f>
        <v>0.53583333333333327</v>
      </c>
      <c r="K10" s="15">
        <f>'02'!K36</f>
        <v>235.4679166666667</v>
      </c>
      <c r="L10" s="15">
        <f>'02'!L36</f>
        <v>28.09375</v>
      </c>
      <c r="M10" s="15">
        <f>'02'!M36</f>
        <v>52.89374999999999</v>
      </c>
      <c r="N10" s="15">
        <f>'02'!N36</f>
        <v>91.404166666666683</v>
      </c>
      <c r="O10" s="15">
        <f>'02'!O36</f>
        <v>0</v>
      </c>
      <c r="P10" s="15">
        <f>'02'!P36</f>
        <v>0.8945833333333334</v>
      </c>
      <c r="Q10" s="15">
        <f>'02'!Q36</f>
        <v>28.142083333333332</v>
      </c>
      <c r="R10" s="30"/>
      <c r="S10" s="30"/>
      <c r="T10" s="30"/>
      <c r="U10" s="30"/>
    </row>
    <row r="11" spans="1:21" s="2" customFormat="1">
      <c r="A11" s="14" t="str">
        <f>'03'!$B$2</f>
        <v>03/03/2025 01:00</v>
      </c>
      <c r="B11" s="15">
        <f>'03'!B36</f>
        <v>10.125833333333331</v>
      </c>
      <c r="C11" s="15">
        <f>'03'!C36</f>
        <v>23.084166666666665</v>
      </c>
      <c r="D11" s="15">
        <f>'03'!D36</f>
        <v>21.250833333333336</v>
      </c>
      <c r="E11" s="15">
        <f>'03'!E36</f>
        <v>13.198749999999999</v>
      </c>
      <c r="F11" s="15">
        <f>'03'!F36</f>
        <v>7.4283333333333337</v>
      </c>
      <c r="G11" s="15">
        <f>'03'!G36</f>
        <v>78.992727272727265</v>
      </c>
      <c r="H11" s="15">
        <f>'03'!H36</f>
        <v>35.494090909090907</v>
      </c>
      <c r="I11" s="15">
        <f>'03'!I36</f>
        <v>11.414166666666667</v>
      </c>
      <c r="J11" s="15">
        <f>'03'!J36</f>
        <v>0.60999999999999988</v>
      </c>
      <c r="K11" s="15">
        <f>'03'!K36</f>
        <v>206.14041666666671</v>
      </c>
      <c r="L11" s="15">
        <f>'03'!L36</f>
        <v>28.438749999999999</v>
      </c>
      <c r="M11" s="15">
        <f>'03'!M36</f>
        <v>48.243333333333339</v>
      </c>
      <c r="N11" s="15">
        <f>'03'!N36</f>
        <v>100.63749999999999</v>
      </c>
      <c r="O11" s="15">
        <f>'03'!O36</f>
        <v>0</v>
      </c>
      <c r="P11" s="15">
        <f>'03'!P36</f>
        <v>0.79874999999999996</v>
      </c>
      <c r="Q11" s="15">
        <f>'03'!Q36</f>
        <v>28.242500000000003</v>
      </c>
      <c r="R11" s="30"/>
      <c r="S11" s="30"/>
      <c r="T11" s="30"/>
      <c r="U11" s="30"/>
    </row>
    <row r="12" spans="1:21" s="2" customFormat="1">
      <c r="A12" s="14" t="str">
        <f>'04'!$B$2</f>
        <v>04/03/2025 01:00</v>
      </c>
      <c r="B12" s="15">
        <f>'04'!B36</f>
        <v>13.115833333333335</v>
      </c>
      <c r="C12" s="15">
        <f>'04'!C36</f>
        <v>21.826666666666664</v>
      </c>
      <c r="D12" s="15">
        <f>'04'!D36</f>
        <v>23.165416666666662</v>
      </c>
      <c r="E12" s="15">
        <f>'04'!E36</f>
        <v>9.6558333333333355</v>
      </c>
      <c r="F12" s="15">
        <f>'04'!F36</f>
        <v>11.027499999999998</v>
      </c>
      <c r="G12" s="15">
        <f>'04'!G36</f>
        <v>80.666250000000005</v>
      </c>
      <c r="H12" s="15">
        <f>'04'!H36</f>
        <v>26.251250000000002</v>
      </c>
      <c r="I12" s="15">
        <f>'04'!I36</f>
        <v>10.452916666666669</v>
      </c>
      <c r="J12" s="15">
        <f>'04'!J36</f>
        <v>0.56666666666666665</v>
      </c>
      <c r="K12" s="15">
        <f>'04'!K36</f>
        <v>244.32041666666666</v>
      </c>
      <c r="L12" s="15">
        <f>'04'!L36</f>
        <v>28.51</v>
      </c>
      <c r="M12" s="15">
        <f>'04'!M36</f>
        <v>41.62083333333333</v>
      </c>
      <c r="N12" s="15">
        <f>'04'!N36</f>
        <v>105.52916666666668</v>
      </c>
      <c r="O12" s="15">
        <f>'04'!O36</f>
        <v>0</v>
      </c>
      <c r="P12" s="15">
        <f>'04'!P36</f>
        <v>0.8308333333333332</v>
      </c>
      <c r="Q12" s="15">
        <f>'04'!Q36</f>
        <v>28.419166666666666</v>
      </c>
      <c r="R12" s="30"/>
      <c r="S12" s="30"/>
      <c r="T12" s="30"/>
      <c r="U12" s="30"/>
    </row>
    <row r="13" spans="1:21" s="2" customFormat="1">
      <c r="A13" s="14" t="str">
        <f>'05'!$B$2</f>
        <v>05/03/2025 01:00</v>
      </c>
      <c r="B13" s="15">
        <f>'05'!B36</f>
        <v>10.258750000000001</v>
      </c>
      <c r="C13" s="15">
        <f>'05'!C36</f>
        <v>20.214583333333334</v>
      </c>
      <c r="D13" s="15">
        <f>'05'!D36</f>
        <v>19.982083333333332</v>
      </c>
      <c r="E13" s="15">
        <f>'05'!E36</f>
        <v>9.5833333333333321</v>
      </c>
      <c r="F13" s="15">
        <f>'05'!F36</f>
        <v>8.194583333333334</v>
      </c>
      <c r="G13" s="15">
        <f>'05'!G36</f>
        <v>81.44583333333334</v>
      </c>
      <c r="H13" s="15">
        <f>'05'!H36</f>
        <v>23.595416666666665</v>
      </c>
      <c r="I13" s="15">
        <f>'05'!I36</f>
        <v>7.1966666666666663</v>
      </c>
      <c r="J13" s="15">
        <f>'05'!J36</f>
        <v>0.97875000000000012</v>
      </c>
      <c r="K13" s="15">
        <f>'05'!K36</f>
        <v>235.45333333333326</v>
      </c>
      <c r="L13" s="15">
        <f>'05'!L36</f>
        <v>26.726250000000004</v>
      </c>
      <c r="M13" s="15">
        <f>'05'!M36</f>
        <v>27.538333333333338</v>
      </c>
      <c r="N13" s="15">
        <f>'05'!N36</f>
        <v>118.50416666666668</v>
      </c>
      <c r="O13" s="15">
        <f>'05'!O36</f>
        <v>0</v>
      </c>
      <c r="P13" s="15">
        <f>'05'!P36</f>
        <v>0.70249999999999979</v>
      </c>
      <c r="Q13" s="15">
        <f>'05'!Q36</f>
        <v>28.250416666666663</v>
      </c>
      <c r="R13" s="30"/>
      <c r="S13" s="30"/>
      <c r="T13" s="30"/>
      <c r="U13" s="30"/>
    </row>
    <row r="14" spans="1:21" s="2" customFormat="1">
      <c r="A14" s="14" t="str">
        <f>'06'!$B$2</f>
        <v>06/03/2025 01:00</v>
      </c>
      <c r="B14" s="16">
        <f>'06'!B36</f>
        <v>10.676666666666664</v>
      </c>
      <c r="C14" s="16">
        <f>'06'!C36</f>
        <v>16.1525</v>
      </c>
      <c r="D14" s="16">
        <f>'06'!D36</f>
        <v>17.845416666666669</v>
      </c>
      <c r="E14" s="16">
        <f>'06'!E36</f>
        <v>9.6983333333333341</v>
      </c>
      <c r="F14" s="16">
        <f>'06'!F36</f>
        <v>7.0262499999999983</v>
      </c>
      <c r="G14" s="16">
        <f>'06'!G36</f>
        <v>61.957916666666655</v>
      </c>
      <c r="H14" s="16">
        <f>'06'!H36</f>
        <v>18.385000000000002</v>
      </c>
      <c r="I14" s="16">
        <f>'06'!I36</f>
        <v>7.2749999999999995</v>
      </c>
      <c r="J14" s="16">
        <f>'06'!J36</f>
        <v>0.67125000000000012</v>
      </c>
      <c r="K14" s="16">
        <f>'06'!K36</f>
        <v>183.30166666666665</v>
      </c>
      <c r="L14" s="16">
        <f>'06'!L36</f>
        <v>24.202499999999997</v>
      </c>
      <c r="M14" s="16">
        <f>'06'!M36</f>
        <v>27.26166666666666</v>
      </c>
      <c r="N14" s="16">
        <f>'06'!N36</f>
        <v>115.55833333333332</v>
      </c>
      <c r="O14" s="16">
        <f>'06'!O36</f>
        <v>0</v>
      </c>
      <c r="P14" s="16">
        <f>'06'!P36</f>
        <v>0.6333333333333333</v>
      </c>
      <c r="Q14" s="16">
        <f>'06'!Q36</f>
        <v>28.16416666666667</v>
      </c>
      <c r="R14" s="30"/>
      <c r="S14" s="30"/>
      <c r="T14" s="30"/>
      <c r="U14" s="30"/>
    </row>
    <row r="15" spans="1:21" s="2" customFormat="1">
      <c r="A15" s="14" t="str">
        <f>'07'!$B$2</f>
        <v>07/03/2025 01:00</v>
      </c>
      <c r="B15" s="16">
        <f>'07'!B36</f>
        <v>16.66</v>
      </c>
      <c r="C15" s="16">
        <f>'07'!C36</f>
        <v>17.538333333333338</v>
      </c>
      <c r="D15" s="16">
        <f>'07'!D36</f>
        <v>23.433333333333337</v>
      </c>
      <c r="E15" s="16">
        <f>'07'!E36</f>
        <v>9.3674999999999997</v>
      </c>
      <c r="F15" s="16">
        <f>'07'!F36</f>
        <v>9.3345833333333328</v>
      </c>
      <c r="G15" s="16">
        <f>'07'!G36</f>
        <v>75.560000000000016</v>
      </c>
      <c r="H15" s="16">
        <f>'07'!H36</f>
        <v>24.076249999999998</v>
      </c>
      <c r="I15" s="16">
        <f>'07'!I36</f>
        <v>14.45833333333333</v>
      </c>
      <c r="J15" s="16">
        <f>'07'!J36</f>
        <v>0.54708333333333337</v>
      </c>
      <c r="K15" s="16">
        <f>'07'!K36</f>
        <v>200.62249999999995</v>
      </c>
      <c r="L15" s="16">
        <f>'07'!L36</f>
        <v>24.493333333333336</v>
      </c>
      <c r="M15" s="16">
        <f>'07'!M36</f>
        <v>36.901249999999997</v>
      </c>
      <c r="N15" s="16">
        <f>'07'!N36</f>
        <v>116.3125</v>
      </c>
      <c r="O15" s="16">
        <f>'07'!O36</f>
        <v>0</v>
      </c>
      <c r="P15" s="16">
        <f>'07'!P36</f>
        <v>0.8125</v>
      </c>
      <c r="Q15" s="16">
        <f>'07'!Q36</f>
        <v>28.364166666666666</v>
      </c>
      <c r="R15" s="30"/>
      <c r="S15" s="30"/>
      <c r="T15" s="30"/>
      <c r="U15" s="30"/>
    </row>
    <row r="16" spans="1:21" s="2" customFormat="1">
      <c r="A16" s="14" t="str">
        <f>'08'!$B$2</f>
        <v>08/03/2025 01:00</v>
      </c>
      <c r="B16" s="16">
        <f>'08'!B36</f>
        <v>5.3079166666666673</v>
      </c>
      <c r="C16" s="16">
        <f>'08'!C36</f>
        <v>14.929583333333333</v>
      </c>
      <c r="D16" s="16">
        <f>'08'!D36</f>
        <v>13.258333333333335</v>
      </c>
      <c r="E16" s="16">
        <f>'08'!E36</f>
        <v>10</v>
      </c>
      <c r="F16" s="16">
        <f>'08'!F36</f>
        <v>6.6237500000000011</v>
      </c>
      <c r="G16" s="16">
        <f>'08'!G36</f>
        <v>73.930833333333325</v>
      </c>
      <c r="H16" s="16">
        <f>'08'!H36</f>
        <v>26.451666666666657</v>
      </c>
      <c r="I16" s="16">
        <f>'08'!I36</f>
        <v>9.2962500000000006</v>
      </c>
      <c r="J16" s="16">
        <f>'08'!J36</f>
        <v>0.43541666666666673</v>
      </c>
      <c r="K16" s="16">
        <f>'08'!K36</f>
        <v>232.86791666666667</v>
      </c>
      <c r="L16" s="16">
        <f>'08'!L36</f>
        <v>26.519166666666663</v>
      </c>
      <c r="M16" s="16">
        <f>'08'!M36</f>
        <v>38.422916666666666</v>
      </c>
      <c r="N16" s="16">
        <f>'08'!N36</f>
        <v>108.55416666666667</v>
      </c>
      <c r="O16" s="16">
        <f>'08'!O36</f>
        <v>0</v>
      </c>
      <c r="P16" s="16">
        <f>'08'!P36</f>
        <v>0.76874999999999993</v>
      </c>
      <c r="Q16" s="16">
        <f>'08'!Q36</f>
        <v>28.183333333333334</v>
      </c>
      <c r="R16" s="30"/>
      <c r="S16" s="30"/>
      <c r="T16" s="30"/>
      <c r="U16" s="30"/>
    </row>
    <row r="17" spans="1:24" s="2" customFormat="1">
      <c r="A17" s="14" t="str">
        <f>'09'!$B$2</f>
        <v>09/03/2025 01:00</v>
      </c>
      <c r="B17" s="16">
        <f>'09'!B36</f>
        <v>13.341666666666663</v>
      </c>
      <c r="C17" s="16">
        <f>'09'!C36</f>
        <v>23.80791666666666</v>
      </c>
      <c r="D17" s="16">
        <f>'09'!D36</f>
        <v>24.000416666666666</v>
      </c>
      <c r="E17" s="16">
        <f>'09'!E36</f>
        <v>10.949999999999998</v>
      </c>
      <c r="F17" s="16">
        <f>'09'!F36</f>
        <v>7.7366666666666672</v>
      </c>
      <c r="G17" s="16">
        <f>'09'!G36</f>
        <v>92.820416666666674</v>
      </c>
      <c r="H17" s="16">
        <f>'09'!H36</f>
        <v>33.089999999999996</v>
      </c>
      <c r="I17" s="16">
        <f>'09'!I36</f>
        <v>9.0820833333333351</v>
      </c>
      <c r="J17" s="16">
        <f>'09'!J36</f>
        <v>0.62708333333333333</v>
      </c>
      <c r="K17" s="16">
        <f>'09'!K36</f>
        <v>147.04500000000002</v>
      </c>
      <c r="L17" s="16">
        <f>'09'!L36</f>
        <v>28.220416666666665</v>
      </c>
      <c r="M17" s="16">
        <f>'09'!M36</f>
        <v>36.145000000000003</v>
      </c>
      <c r="N17" s="16">
        <f>'09'!N36</f>
        <v>99.983333333333306</v>
      </c>
      <c r="O17" s="16">
        <f>'09'!O36</f>
        <v>0</v>
      </c>
      <c r="P17" s="16">
        <f>'09'!P36</f>
        <v>0.79708333333333325</v>
      </c>
      <c r="Q17" s="16">
        <f>'09'!Q36</f>
        <v>28.336666666666662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10/03/2025 01:00</v>
      </c>
      <c r="B18" s="16">
        <f>'10'!B36</f>
        <v>10.978750000000003</v>
      </c>
      <c r="C18" s="16">
        <f>'10'!C36</f>
        <v>26.806249999999995</v>
      </c>
      <c r="D18" s="16">
        <f>'10'!D36</f>
        <v>23.852916666666669</v>
      </c>
      <c r="E18" s="16">
        <f>'10'!E36</f>
        <v>14.25</v>
      </c>
      <c r="F18" s="16">
        <f>'10'!F36</f>
        <v>7.6237500000000011</v>
      </c>
      <c r="G18" s="16">
        <f>'10'!G36</f>
        <v>108.42583333333333</v>
      </c>
      <c r="H18" s="16">
        <f>'10'!H36</f>
        <v>37.654583333333342</v>
      </c>
      <c r="I18" s="16">
        <f>'10'!I36</f>
        <v>12.037500000000001</v>
      </c>
      <c r="J18" s="16">
        <f>'10'!J36</f>
        <v>0.69625000000000004</v>
      </c>
      <c r="K18" s="16">
        <f>'10'!K36</f>
        <v>144.67291666666668</v>
      </c>
      <c r="L18" s="16">
        <f>'10'!L36</f>
        <v>28.263333333333325</v>
      </c>
      <c r="M18" s="16">
        <f>'10'!M36</f>
        <v>38.838333333333331</v>
      </c>
      <c r="N18" s="16">
        <f>'10'!N36</f>
        <v>92.17916666666666</v>
      </c>
      <c r="O18" s="16">
        <f>'10'!O36</f>
        <v>0</v>
      </c>
      <c r="P18" s="16">
        <f>'10'!P36</f>
        <v>1.0275000000000001</v>
      </c>
      <c r="Q18" s="16">
        <f>'10'!Q36</f>
        <v>28.259166666666669</v>
      </c>
      <c r="R18" s="30"/>
      <c r="S18" s="30"/>
      <c r="T18" s="30"/>
      <c r="U18" s="30"/>
    </row>
    <row r="19" spans="1:24" s="2" customFormat="1">
      <c r="A19" s="14" t="str">
        <f>'11'!$B$2</f>
        <v>11/03/2025 01:00</v>
      </c>
      <c r="B19" s="16">
        <f>'11'!B36</f>
        <v>12.277916666666668</v>
      </c>
      <c r="C19" s="16">
        <f>'11'!C36</f>
        <v>25.019166666666667</v>
      </c>
      <c r="D19" s="16">
        <f>'11'!D36</f>
        <v>23.849583333333339</v>
      </c>
      <c r="E19" s="16">
        <f>'11'!E36</f>
        <v>11.170833333333334</v>
      </c>
      <c r="F19" s="16">
        <f>'11'!F36</f>
        <v>11.152500000000002</v>
      </c>
      <c r="G19" s="16">
        <f>'11'!G36</f>
        <v>72.86666666666666</v>
      </c>
      <c r="H19" s="16">
        <f>'11'!H36</f>
        <v>26.949583333333337</v>
      </c>
      <c r="I19" s="16">
        <f>'11'!I36</f>
        <v>11.963333333333336</v>
      </c>
      <c r="J19" s="16">
        <f>'11'!J36</f>
        <v>0.69624999999999992</v>
      </c>
      <c r="K19" s="16">
        <f>'11'!K36</f>
        <v>132.30375000000004</v>
      </c>
      <c r="L19" s="16">
        <f>'11'!L36</f>
        <v>27.9375</v>
      </c>
      <c r="M19" s="16">
        <f>'11'!M36</f>
        <v>37.08208333333333</v>
      </c>
      <c r="N19" s="16">
        <f>'11'!N36</f>
        <v>108.21666666666668</v>
      </c>
      <c r="O19" s="16">
        <f>'11'!O36</f>
        <v>0</v>
      </c>
      <c r="P19" s="16">
        <f>'11'!P36</f>
        <v>0.81541666666666668</v>
      </c>
      <c r="Q19" s="16">
        <f>'11'!Q36</f>
        <v>28.319583333333338</v>
      </c>
      <c r="R19" s="30"/>
      <c r="S19" s="30"/>
      <c r="T19" s="30"/>
      <c r="U19" s="30"/>
    </row>
    <row r="20" spans="1:24" s="2" customFormat="1">
      <c r="A20" s="14" t="str">
        <f>'12'!$B$2</f>
        <v>12/03/2025 01:00</v>
      </c>
      <c r="B20" s="16">
        <f>'12'!B36</f>
        <v>6.5770833333333334</v>
      </c>
      <c r="C20" s="16">
        <f>'12'!C36</f>
        <v>18.02375</v>
      </c>
      <c r="D20" s="16">
        <f>'12'!D36</f>
        <v>16.004583333333333</v>
      </c>
      <c r="E20" s="16">
        <f>'12'!E36</f>
        <v>11.625416666666668</v>
      </c>
      <c r="F20" s="16">
        <f>'12'!F36</f>
        <v>7.504999999999999</v>
      </c>
      <c r="G20" s="16">
        <f>'12'!G36</f>
        <v>70.298333333333332</v>
      </c>
      <c r="H20" s="16">
        <f>'12'!H36</f>
        <v>28.588750000000001</v>
      </c>
      <c r="I20" s="16">
        <f>'12'!I36</f>
        <v>10.633750000000001</v>
      </c>
      <c r="J20" s="16">
        <f>'12'!J36</f>
        <v>0.54541666666666666</v>
      </c>
      <c r="K20" s="16">
        <f>'12'!K36</f>
        <v>230.46041666666665</v>
      </c>
      <c r="L20" s="16">
        <f>'12'!L36</f>
        <v>28.685416666666672</v>
      </c>
      <c r="M20" s="16">
        <f>'12'!M36</f>
        <v>38.65</v>
      </c>
      <c r="N20" s="16">
        <f>'12'!N36</f>
        <v>104.86249999999997</v>
      </c>
      <c r="O20" s="16">
        <f>'12'!O36</f>
        <v>0</v>
      </c>
      <c r="P20" s="16">
        <f>'12'!P36</f>
        <v>0.81124999999999992</v>
      </c>
      <c r="Q20" s="16">
        <f>'12'!Q36</f>
        <v>28.124166666666653</v>
      </c>
      <c r="R20" s="30"/>
      <c r="S20" s="30"/>
      <c r="T20" s="30"/>
      <c r="U20" s="30"/>
    </row>
    <row r="21" spans="1:24" s="2" customFormat="1">
      <c r="A21" s="14" t="str">
        <f>'13'!$B$2</f>
        <v>13/03/2025 01:00</v>
      </c>
      <c r="B21" s="16">
        <f>'13'!B36</f>
        <v>5.00875</v>
      </c>
      <c r="C21" s="16">
        <f>'13'!C36</f>
        <v>17.217499999999998</v>
      </c>
      <c r="D21" s="16">
        <f>'13'!D36</f>
        <v>14.301250000000003</v>
      </c>
      <c r="E21" s="16">
        <f>'13'!E36</f>
        <v>9.9879166666666652</v>
      </c>
      <c r="F21" s="16">
        <f>'13'!F36</f>
        <v>8.35</v>
      </c>
      <c r="G21" s="16">
        <f>'13'!G36</f>
        <v>66.660833333333329</v>
      </c>
      <c r="H21" s="16">
        <f>'13'!H36</f>
        <v>28.872499999999999</v>
      </c>
      <c r="I21" s="16">
        <f>'13'!I36</f>
        <v>8.9337499999999999</v>
      </c>
      <c r="J21" s="16">
        <f>'13'!J36</f>
        <v>0.58791666666666675</v>
      </c>
      <c r="K21" s="16">
        <f>'13'!K36</f>
        <v>226.00583333333336</v>
      </c>
      <c r="L21" s="16">
        <f>'13'!L36</f>
        <v>29.997916666666665</v>
      </c>
      <c r="M21" s="16">
        <f>'13'!M36</f>
        <v>36.625833333333333</v>
      </c>
      <c r="N21" s="16">
        <f>'13'!N36</f>
        <v>101.24166666666667</v>
      </c>
      <c r="O21" s="16">
        <f>'13'!O36</f>
        <v>0</v>
      </c>
      <c r="P21" s="16">
        <f>'13'!P36</f>
        <v>0.77458333333333318</v>
      </c>
      <c r="Q21" s="16">
        <f>'13'!Q36</f>
        <v>28.057083333333335</v>
      </c>
      <c r="R21" s="30"/>
      <c r="S21" s="30"/>
      <c r="T21" s="30"/>
      <c r="U21" s="30"/>
    </row>
    <row r="22" spans="1:24" s="2" customFormat="1">
      <c r="A22" s="14" t="str">
        <f>'14'!$B$2</f>
        <v>14/03/2025 01:00</v>
      </c>
      <c r="B22" s="16">
        <f>'14'!B36</f>
        <v>5.7070833333333342</v>
      </c>
      <c r="C22" s="16">
        <f>'14'!C36</f>
        <v>15.846249999999998</v>
      </c>
      <c r="D22" s="16">
        <f>'14'!D36</f>
        <v>14.152083333333332</v>
      </c>
      <c r="E22" s="16">
        <f>'14'!E36</f>
        <v>11.592499999999999</v>
      </c>
      <c r="F22" s="16">
        <f>'14'!F36</f>
        <v>12.090416666666668</v>
      </c>
      <c r="G22" s="16">
        <f>'14'!G36</f>
        <v>58.304583333333333</v>
      </c>
      <c r="H22" s="16">
        <f>'14'!H36</f>
        <v>28.186250000000001</v>
      </c>
      <c r="I22" s="16">
        <f>'14'!I36</f>
        <v>11.018333333333331</v>
      </c>
      <c r="J22" s="16">
        <f>'14'!J36</f>
        <v>0.56125000000000003</v>
      </c>
      <c r="K22" s="16">
        <f>'14'!K36</f>
        <v>229.51083333333335</v>
      </c>
      <c r="L22" s="16">
        <f>'14'!L36</f>
        <v>30.39458333333334</v>
      </c>
      <c r="M22" s="16">
        <f>'14'!M36</f>
        <v>34.73833333333333</v>
      </c>
      <c r="N22" s="16">
        <f>'14'!N36</f>
        <v>102.90416666666665</v>
      </c>
      <c r="O22" s="16">
        <f>'14'!O36</f>
        <v>0</v>
      </c>
      <c r="P22" s="16">
        <f>'14'!P36</f>
        <v>0.94583333333333319</v>
      </c>
      <c r="Q22" s="16">
        <f>'14'!Q36</f>
        <v>28.074166666666667</v>
      </c>
      <c r="R22" s="32"/>
      <c r="S22" s="32"/>
      <c r="T22" s="32"/>
      <c r="U22" s="32"/>
    </row>
    <row r="23" spans="1:24" s="2" customFormat="1">
      <c r="A23" s="14" t="str">
        <f>'15'!$B$2</f>
        <v>15/03/2025 01:00</v>
      </c>
      <c r="B23" s="17">
        <f>'15'!B36</f>
        <v>5.5441666666666656</v>
      </c>
      <c r="C23" s="17">
        <f>'15'!C36</f>
        <v>16.592916666666664</v>
      </c>
      <c r="D23" s="17">
        <f>'15'!D36</f>
        <v>14.422916666666666</v>
      </c>
      <c r="E23" s="17">
        <f>'15'!E36</f>
        <v>10.707083333333335</v>
      </c>
      <c r="F23" s="17">
        <f>'15'!F36</f>
        <v>11.028750000000002</v>
      </c>
      <c r="G23" s="17">
        <f>'15'!G36</f>
        <v>37.589166666666678</v>
      </c>
      <c r="H23" s="17">
        <f>'15'!H36</f>
        <v>23.795833333333334</v>
      </c>
      <c r="I23" s="17">
        <f>'15'!I36</f>
        <v>10.12125</v>
      </c>
      <c r="J23" s="17">
        <f>'15'!J36</f>
        <v>0.51208333333333333</v>
      </c>
      <c r="K23" s="17">
        <f>'15'!K36</f>
        <v>229.82083333333324</v>
      </c>
      <c r="L23" s="17">
        <f>'15'!L36</f>
        <v>30.479583333333327</v>
      </c>
      <c r="M23" s="17">
        <f>'15'!M36</f>
        <v>37.314583333333339</v>
      </c>
      <c r="N23" s="17">
        <f>'15'!N36</f>
        <v>98.041666666666643</v>
      </c>
      <c r="O23" s="17">
        <f>'15'!O36</f>
        <v>0</v>
      </c>
      <c r="P23" s="17">
        <f>'15'!P36</f>
        <v>0.8933333333333332</v>
      </c>
      <c r="Q23" s="17">
        <f>'15'!Q36</f>
        <v>28.070833333333329</v>
      </c>
      <c r="R23" s="32"/>
      <c r="S23" s="32"/>
      <c r="T23" s="32"/>
      <c r="U23" s="30"/>
    </row>
    <row r="24" spans="1:24" s="2" customFormat="1">
      <c r="A24" s="14" t="str">
        <f>'16'!$B$2</f>
        <v>16/03/2025 01:00</v>
      </c>
      <c r="B24" s="16">
        <f>'16'!B36</f>
        <v>5.5116666666666667</v>
      </c>
      <c r="C24" s="16">
        <f>'16'!C36</f>
        <v>17.965833333333332</v>
      </c>
      <c r="D24" s="16">
        <f>'16'!D36</f>
        <v>15.082083333333335</v>
      </c>
      <c r="E24" s="16">
        <f>'16'!E36</f>
        <v>9.8329166666666659</v>
      </c>
      <c r="F24" s="16">
        <f>'16'!F36</f>
        <v>5.36625</v>
      </c>
      <c r="G24" s="16">
        <f>'16'!G36</f>
        <v>1.8370833333333338</v>
      </c>
      <c r="H24" s="16">
        <f>'16'!H36</f>
        <v>29.976666666666659</v>
      </c>
      <c r="I24" s="16">
        <f>'16'!I36</f>
        <v>11.084999999999999</v>
      </c>
      <c r="J24" s="16">
        <f>'16'!J36</f>
        <v>0.67291666666666661</v>
      </c>
      <c r="K24" s="16">
        <f>'16'!K36</f>
        <v>236.48666666666671</v>
      </c>
      <c r="L24" s="16">
        <f>'16'!L36</f>
        <v>30.675833333333333</v>
      </c>
      <c r="M24" s="16">
        <f>'16'!M36</f>
        <v>40.374583333333327</v>
      </c>
      <c r="N24" s="16">
        <f>'16'!N36</f>
        <v>96.179166666666688</v>
      </c>
      <c r="O24" s="16">
        <f>'16'!O36</f>
        <v>0</v>
      </c>
      <c r="P24" s="16">
        <f>'16'!P36</f>
        <v>0.94458333333333344</v>
      </c>
      <c r="Q24" s="16">
        <f>'16'!Q36</f>
        <v>28.075000000000003</v>
      </c>
      <c r="R24" s="32"/>
      <c r="S24" s="32"/>
      <c r="T24" s="32"/>
      <c r="U24" s="30"/>
    </row>
    <row r="25" spans="1:24" s="2" customFormat="1">
      <c r="A25" s="14" t="str">
        <f>'17'!$B$2</f>
        <v>17/03/2025 01:00</v>
      </c>
      <c r="B25" s="16">
        <f>'17'!B36</f>
        <v>5.0362499999999999</v>
      </c>
      <c r="C25" s="16">
        <f>'17'!C36</f>
        <v>19.77333333333333</v>
      </c>
      <c r="D25" s="16">
        <f>'17'!D36</f>
        <v>15.561249999999996</v>
      </c>
      <c r="E25" s="16">
        <f>'17'!E36</f>
        <v>12.637500000000001</v>
      </c>
      <c r="F25" s="16">
        <f>'17'!F36</f>
        <v>6.6070833333333345</v>
      </c>
      <c r="G25" s="16">
        <f>'17'!G36</f>
        <v>36.967500000000001</v>
      </c>
      <c r="H25" s="16">
        <f>'17'!H36</f>
        <v>33.229166666666671</v>
      </c>
      <c r="I25" s="16">
        <f>'17'!I36</f>
        <v>10.54125</v>
      </c>
      <c r="J25" s="16">
        <f>'17'!J36</f>
        <v>0.77124999999999988</v>
      </c>
      <c r="K25" s="16">
        <f>'17'!K36</f>
        <v>273.13708333333335</v>
      </c>
      <c r="L25" s="16">
        <f>'17'!L36</f>
        <v>31.852500000000003</v>
      </c>
      <c r="M25" s="16">
        <f>'17'!M36</f>
        <v>32.613333333333337</v>
      </c>
      <c r="N25" s="16">
        <f>'17'!N36</f>
        <v>104.09583333333336</v>
      </c>
      <c r="O25" s="16">
        <f>'17'!O36</f>
        <v>0</v>
      </c>
      <c r="P25" s="16">
        <f>'17'!P36</f>
        <v>0.91666666666666685</v>
      </c>
      <c r="Q25" s="16">
        <f>'17'!Q36</f>
        <v>28.065833333333334</v>
      </c>
      <c r="R25" s="32"/>
      <c r="S25" s="32"/>
      <c r="T25" s="32"/>
      <c r="U25" s="30"/>
    </row>
    <row r="26" spans="1:24" s="2" customFormat="1">
      <c r="A26" s="14" t="str">
        <f>'18'!$B$2</f>
        <v>18/03/2025 01:00</v>
      </c>
      <c r="B26" s="16">
        <f>'18'!B36</f>
        <v>9.1191666666666702</v>
      </c>
      <c r="C26" s="16">
        <f>'18'!C36</f>
        <v>21.314583333333335</v>
      </c>
      <c r="D26" s="16">
        <f>'18'!D36</f>
        <v>19.612083333333334</v>
      </c>
      <c r="E26" s="16">
        <f>'18'!E36</f>
        <v>12.913333333333334</v>
      </c>
      <c r="F26" s="16">
        <f>'18'!F36</f>
        <v>4.7262500000000003</v>
      </c>
      <c r="G26" s="16">
        <f>'18'!G36</f>
        <v>90.505416666666676</v>
      </c>
      <c r="H26" s="16">
        <f>'18'!H36</f>
        <v>30.267499999999998</v>
      </c>
      <c r="I26" s="16">
        <f>'18'!I36</f>
        <v>8.3187500000000014</v>
      </c>
      <c r="J26" s="16">
        <f>'18'!J36</f>
        <v>0.64708333333333323</v>
      </c>
      <c r="K26" s="16">
        <f>'18'!K36</f>
        <v>189.87666666666667</v>
      </c>
      <c r="L26" s="16">
        <f>'18'!L36</f>
        <v>30.375000000000004</v>
      </c>
      <c r="M26" s="16">
        <f>'18'!M36</f>
        <v>34.630833333333321</v>
      </c>
      <c r="N26" s="16">
        <f>'18'!N36</f>
        <v>123.41666666666667</v>
      </c>
      <c r="O26" s="16">
        <f>'18'!O36</f>
        <v>0</v>
      </c>
      <c r="P26" s="16">
        <f>'18'!P36</f>
        <v>0.75041666666666673</v>
      </c>
      <c r="Q26" s="16">
        <f>'18'!Q36</f>
        <v>28.154166666666669</v>
      </c>
      <c r="R26" s="32"/>
      <c r="S26" s="32"/>
      <c r="T26" s="32"/>
      <c r="U26" s="30"/>
    </row>
    <row r="27" spans="1:24" s="2" customFormat="1">
      <c r="A27" s="14" t="str">
        <f>'19'!$B$2</f>
        <v>19/03/2025 01:00</v>
      </c>
      <c r="B27" s="16">
        <f>'19'!B36</f>
        <v>7.5275000000000007</v>
      </c>
      <c r="C27" s="16">
        <f>'19'!C36</f>
        <v>22.474166666666662</v>
      </c>
      <c r="D27" s="16">
        <f>'19'!D36</f>
        <v>19.017083333333336</v>
      </c>
      <c r="E27" s="16">
        <f>'19'!E36</f>
        <v>14.961666666666666</v>
      </c>
      <c r="F27" s="16">
        <f>'19'!F36</f>
        <v>3.3075000000000006</v>
      </c>
      <c r="G27" s="16">
        <f>'19'!G36</f>
        <v>94.463333333333324</v>
      </c>
      <c r="H27" s="16">
        <f>'19'!H36</f>
        <v>37.882500000000007</v>
      </c>
      <c r="I27" s="16">
        <f>'19'!I36</f>
        <v>11.292916666666668</v>
      </c>
      <c r="J27" s="16">
        <f>'19'!J36</f>
        <v>0.57000000000000006</v>
      </c>
      <c r="K27" s="16">
        <f>'19'!K36</f>
        <v>208.12916666666669</v>
      </c>
      <c r="L27" s="16">
        <f>'19'!L36</f>
        <v>30.907499999999999</v>
      </c>
      <c r="M27" s="16">
        <f>'19'!M36</f>
        <v>36.847500000000004</v>
      </c>
      <c r="N27" s="16">
        <f>'19'!N36</f>
        <v>96.662500000000009</v>
      </c>
      <c r="O27" s="16">
        <f>'19'!O36</f>
        <v>0</v>
      </c>
      <c r="P27" s="16">
        <f>'19'!P36</f>
        <v>0.98166666666666658</v>
      </c>
      <c r="Q27" s="16">
        <f>'19'!Q36</f>
        <v>28.147083333333327</v>
      </c>
      <c r="R27" s="32"/>
      <c r="S27" s="32"/>
      <c r="T27" s="32"/>
      <c r="U27" s="30"/>
    </row>
    <row r="28" spans="1:24" s="2" customFormat="1">
      <c r="A28" s="14" t="str">
        <f>'20'!$B$2</f>
        <v>20/03/2025 01:00</v>
      </c>
      <c r="B28" s="16">
        <f>'20'!B36</f>
        <v>5.3150000000000004</v>
      </c>
      <c r="C28" s="16">
        <f>'20'!C36</f>
        <v>19.834166666666665</v>
      </c>
      <c r="D28" s="16">
        <f>'20'!D36</f>
        <v>15.813333333333333</v>
      </c>
      <c r="E28" s="16">
        <f>'20'!E36</f>
        <v>9.8929166666666664</v>
      </c>
      <c r="F28" s="16">
        <f>'20'!F36</f>
        <v>3.7833333333333332</v>
      </c>
      <c r="G28" s="16">
        <f>'20'!G36</f>
        <v>57.168333333333322</v>
      </c>
      <c r="H28" s="16">
        <f>'20'!H36</f>
        <v>26.92583333333334</v>
      </c>
      <c r="I28" s="16">
        <f>'20'!I36</f>
        <v>9.899166666666666</v>
      </c>
      <c r="J28" s="16">
        <f>'20'!J36</f>
        <v>0.50083333333333346</v>
      </c>
      <c r="K28" s="16">
        <f>'20'!K36</f>
        <v>251.15874999999997</v>
      </c>
      <c r="L28" s="16">
        <f>'20'!L36</f>
        <v>30.669999999999991</v>
      </c>
      <c r="M28" s="16">
        <f>'20'!M36</f>
        <v>44.016666666666673</v>
      </c>
      <c r="N28" s="16">
        <f>'20'!N36</f>
        <v>111.08333333333333</v>
      </c>
      <c r="O28" s="16">
        <f>'20'!O36</f>
        <v>0</v>
      </c>
      <c r="P28" s="16">
        <f>'20'!P36</f>
        <v>0.86291666666666655</v>
      </c>
      <c r="Q28" s="16">
        <f>'20'!Q36</f>
        <v>28.06208333333333</v>
      </c>
      <c r="R28" s="32"/>
      <c r="S28" s="32"/>
      <c r="T28" s="32"/>
      <c r="U28" s="30"/>
    </row>
    <row r="29" spans="1:24" s="2" customFormat="1">
      <c r="A29" s="14" t="str">
        <f>'21'!$B$2</f>
        <v>21/03/2025 01:00</v>
      </c>
      <c r="B29" s="16">
        <f>'21'!B36</f>
        <v>6.3391666666666664</v>
      </c>
      <c r="C29" s="16">
        <f>'21'!C36</f>
        <v>19.379166666666663</v>
      </c>
      <c r="D29" s="16">
        <f>'21'!D36</f>
        <v>16.435833333333335</v>
      </c>
      <c r="E29" s="16">
        <f>'21'!E36</f>
        <v>9.3175000000000008</v>
      </c>
      <c r="F29" s="16">
        <f>'21'!F36</f>
        <v>3.8762499999999993</v>
      </c>
      <c r="G29" s="16">
        <f>'21'!G36</f>
        <v>67.497500000000016</v>
      </c>
      <c r="H29" s="16">
        <f>'21'!H36</f>
        <v>28.820833333333326</v>
      </c>
      <c r="I29" s="16">
        <f>'21'!I36</f>
        <v>11.446249999999999</v>
      </c>
      <c r="J29" s="16">
        <f>'21'!J36</f>
        <v>0.59500000000000008</v>
      </c>
      <c r="K29" s="16">
        <f>'21'!K36</f>
        <v>212.005</v>
      </c>
      <c r="L29" s="16">
        <f>'21'!L36</f>
        <v>28.777500000000003</v>
      </c>
      <c r="M29" s="16">
        <f>'21'!M36</f>
        <v>58.392500000000005</v>
      </c>
      <c r="N29" s="16">
        <f>'21'!N36</f>
        <v>95.541666666666643</v>
      </c>
      <c r="O29" s="16">
        <f>'21'!O36</f>
        <v>2.4999999999999998E-2</v>
      </c>
      <c r="P29" s="16">
        <f>'21'!P36</f>
        <v>0.76791666666666647</v>
      </c>
      <c r="Q29" s="16">
        <f>'21'!Q36</f>
        <v>28.097499999999993</v>
      </c>
      <c r="R29" s="32"/>
      <c r="S29" s="32"/>
      <c r="T29" s="32"/>
      <c r="U29" s="30"/>
    </row>
    <row r="30" spans="1:24" s="2" customFormat="1">
      <c r="A30" s="14" t="str">
        <f>'22'!$B$2</f>
        <v>22/03/2025 01:00</v>
      </c>
      <c r="B30" s="16">
        <f>'22'!B36</f>
        <v>6.3841666666666663</v>
      </c>
      <c r="C30" s="16">
        <f>'22'!C36</f>
        <v>18.4025</v>
      </c>
      <c r="D30" s="16">
        <f>'22'!D36</f>
        <v>15.987916666666665</v>
      </c>
      <c r="E30" s="16">
        <f>'22'!E36</f>
        <v>9.5175000000000001</v>
      </c>
      <c r="F30" s="16">
        <f>'22'!F36</f>
        <v>4.5437499999999993</v>
      </c>
      <c r="G30" s="16">
        <f>'22'!G36</f>
        <v>37.048333333333325</v>
      </c>
      <c r="H30" s="16">
        <f>'22'!H36</f>
        <v>17.389999999999997</v>
      </c>
      <c r="I30" s="27" t="s">
        <v>8</v>
      </c>
      <c r="J30" s="16">
        <f>'22'!J36</f>
        <v>0.60500000000000009</v>
      </c>
      <c r="K30" s="16">
        <f>'22'!K36</f>
        <v>193.35541666666666</v>
      </c>
      <c r="L30" s="16">
        <f>'22'!L36</f>
        <v>28.358750000000011</v>
      </c>
      <c r="M30" s="16">
        <f>'22'!M36</f>
        <v>59.682083333333317</v>
      </c>
      <c r="N30" s="16">
        <f>'22'!N36</f>
        <v>219.37500000000003</v>
      </c>
      <c r="O30" s="16">
        <f>'22'!O36</f>
        <v>0</v>
      </c>
      <c r="P30" s="16">
        <f>'22'!P36</f>
        <v>0.58083333333333342</v>
      </c>
      <c r="Q30" s="16">
        <f>'22'!Q36</f>
        <v>28.095833333333328</v>
      </c>
      <c r="R30" s="32"/>
      <c r="S30" s="30"/>
      <c r="T30" s="30"/>
      <c r="U30" s="30"/>
    </row>
    <row r="31" spans="1:24" s="2" customFormat="1">
      <c r="A31" s="14" t="str">
        <f>'23'!$B$2</f>
        <v>23/03/2025 01:00</v>
      </c>
      <c r="B31" s="16">
        <f>'23'!B36</f>
        <v>7.6325000000000029</v>
      </c>
      <c r="C31" s="16">
        <f>'23'!C36</f>
        <v>18.779583333333335</v>
      </c>
      <c r="D31" s="16">
        <f>'23'!D36</f>
        <v>17.180000000000003</v>
      </c>
      <c r="E31" s="16">
        <f>'23'!E36</f>
        <v>9.9087499999999995</v>
      </c>
      <c r="F31" s="27" t="s">
        <v>8</v>
      </c>
      <c r="G31" s="16">
        <f>'23'!G36</f>
        <v>45.332916666666669</v>
      </c>
      <c r="H31" s="16">
        <f>'23'!H36</f>
        <v>20.605416666666667</v>
      </c>
      <c r="I31" s="27" t="s">
        <v>8</v>
      </c>
      <c r="J31" s="16">
        <f>'23'!J36</f>
        <v>0.69916666666666683</v>
      </c>
      <c r="K31" s="16">
        <f>'23'!K36</f>
        <v>165.43666666666664</v>
      </c>
      <c r="L31" s="16">
        <f>'23'!L36</f>
        <v>28.300416666666667</v>
      </c>
      <c r="M31" s="16">
        <f>'23'!M36</f>
        <v>58.890833333333326</v>
      </c>
      <c r="N31" s="16">
        <f>'23'!N36</f>
        <v>164.46250000000001</v>
      </c>
      <c r="O31" s="16">
        <f>'23'!O36</f>
        <v>0</v>
      </c>
      <c r="P31" s="16">
        <f>'23'!P36</f>
        <v>0.65249999999999986</v>
      </c>
      <c r="Q31" s="16">
        <f>'23'!Q36</f>
        <v>28.125833333333336</v>
      </c>
      <c r="R31" s="30"/>
      <c r="S31" s="30"/>
      <c r="T31" s="30"/>
      <c r="U31" s="30"/>
    </row>
    <row r="32" spans="1:24" s="2" customFormat="1">
      <c r="A32" s="14" t="str">
        <f>'24'!$B$2</f>
        <v>24/03/2025 01:00</v>
      </c>
      <c r="B32" s="16">
        <f>'24'!B36</f>
        <v>9.6454166666666659</v>
      </c>
      <c r="C32" s="16">
        <f>'24'!C36</f>
        <v>21.408333333333335</v>
      </c>
      <c r="D32" s="16">
        <f>'24'!D36</f>
        <v>20.104166666666668</v>
      </c>
      <c r="E32" s="16">
        <f>'24'!E36</f>
        <v>10.209999999999999</v>
      </c>
      <c r="F32" s="27" t="s">
        <v>8</v>
      </c>
      <c r="G32" s="16">
        <f>'24'!G36</f>
        <v>56.658749999999998</v>
      </c>
      <c r="H32" s="16">
        <f>'24'!H36</f>
        <v>21.369583333333335</v>
      </c>
      <c r="I32" s="16">
        <f>'24'!I36</f>
        <v>7.1758333333333333</v>
      </c>
      <c r="J32" s="16">
        <f>'24'!J36</f>
        <v>0.79041666666666666</v>
      </c>
      <c r="K32" s="16">
        <f>'24'!K36</f>
        <v>180.15791666666667</v>
      </c>
      <c r="L32" s="16">
        <f>'24'!L36</f>
        <v>28.847083333333334</v>
      </c>
      <c r="M32" s="16">
        <f>'24'!M36</f>
        <v>50.205833333333338</v>
      </c>
      <c r="N32" s="16">
        <f>'24'!N36</f>
        <v>219.19166666666669</v>
      </c>
      <c r="O32" s="16">
        <f>'24'!O36</f>
        <v>0</v>
      </c>
      <c r="P32" s="16">
        <f>'24'!P36</f>
        <v>0.70416666666666661</v>
      </c>
      <c r="Q32" s="16">
        <f>'24'!Q36</f>
        <v>28.221249999999994</v>
      </c>
      <c r="R32" s="30"/>
      <c r="S32" s="30"/>
      <c r="T32" s="30"/>
      <c r="U32" s="30"/>
    </row>
    <row r="33" spans="1:21" s="2" customFormat="1">
      <c r="A33" s="14" t="str">
        <f>'25'!$B$2</f>
        <v>25/03/2025 01:00</v>
      </c>
      <c r="B33" s="16">
        <f>'25'!B36</f>
        <v>9.3804166666666671</v>
      </c>
      <c r="C33" s="16">
        <f>'25'!C36</f>
        <v>20.944999999999997</v>
      </c>
      <c r="D33" s="16">
        <f>'25'!D36</f>
        <v>19.705416666666665</v>
      </c>
      <c r="E33" s="16">
        <f>'25'!E36</f>
        <v>12.363333333333332</v>
      </c>
      <c r="F33" s="27" t="s">
        <v>8</v>
      </c>
      <c r="G33" s="16">
        <f>'25'!G36</f>
        <v>86.13</v>
      </c>
      <c r="H33" s="16">
        <f>'25'!H36</f>
        <v>35.124583333333334</v>
      </c>
      <c r="I33" s="16">
        <f>'25'!I36</f>
        <v>8.6720833333333349</v>
      </c>
      <c r="J33" s="16">
        <f>'25'!J36</f>
        <v>0.49125000000000002</v>
      </c>
      <c r="K33" s="16">
        <f>'25'!K36</f>
        <v>227.55833333333331</v>
      </c>
      <c r="L33" s="16">
        <f>'25'!L36</f>
        <v>29.272083333333327</v>
      </c>
      <c r="M33" s="16">
        <f>'25'!M36</f>
        <v>40.518750000000011</v>
      </c>
      <c r="N33" s="16">
        <f>'25'!N36</f>
        <v>222.84583333333333</v>
      </c>
      <c r="O33" s="16">
        <f>'25'!O36</f>
        <v>0</v>
      </c>
      <c r="P33" s="16">
        <f>'25'!P36</f>
        <v>0.79083333333333339</v>
      </c>
      <c r="Q33" s="16">
        <f>'25'!Q36</f>
        <v>28.270416666666666</v>
      </c>
      <c r="R33" s="30"/>
      <c r="S33" s="30"/>
      <c r="T33" s="30"/>
      <c r="U33" s="30"/>
    </row>
    <row r="34" spans="1:21" s="2" customFormat="1">
      <c r="A34" s="14" t="str">
        <f>'26'!$B$2</f>
        <v>26/03/2025 01:00</v>
      </c>
      <c r="B34" s="16">
        <f>'26'!B36</f>
        <v>9.2420833333333317</v>
      </c>
      <c r="C34" s="16">
        <f>'26'!C36</f>
        <v>20.37208333333334</v>
      </c>
      <c r="D34" s="16">
        <f>'26'!D36</f>
        <v>19.306666666666661</v>
      </c>
      <c r="E34" s="16">
        <f>'26'!E36</f>
        <v>10.991666666666667</v>
      </c>
      <c r="F34" s="16">
        <f>'26'!F36</f>
        <v>3.8107142857142859</v>
      </c>
      <c r="G34" s="16">
        <f>'26'!G36</f>
        <v>87.19</v>
      </c>
      <c r="H34" s="16">
        <f>'26'!H36</f>
        <v>36.372916666666669</v>
      </c>
      <c r="I34" s="16">
        <f>'26'!I36</f>
        <v>8.3974999999999991</v>
      </c>
      <c r="J34" s="16">
        <f>'26'!J36</f>
        <v>0.50041666666666673</v>
      </c>
      <c r="K34" s="16">
        <f>'26'!K36</f>
        <v>236.38541666666666</v>
      </c>
      <c r="L34" s="16">
        <f>'26'!L36</f>
        <v>30.076666666666672</v>
      </c>
      <c r="M34" s="16">
        <f>'26'!M36</f>
        <v>36.440416666666664</v>
      </c>
      <c r="N34" s="16">
        <f>'26'!N36</f>
        <v>217.64166666666668</v>
      </c>
      <c r="O34" s="16">
        <f>'26'!O36</f>
        <v>0</v>
      </c>
      <c r="P34" s="16">
        <f>'26'!P36</f>
        <v>0.79166666666666652</v>
      </c>
      <c r="Q34" s="16">
        <f>'26'!Q36</f>
        <v>28.248333333333338</v>
      </c>
      <c r="R34" s="30"/>
      <c r="S34" s="30"/>
      <c r="T34" s="30"/>
      <c r="U34" s="30"/>
    </row>
    <row r="35" spans="1:21" s="2" customFormat="1">
      <c r="A35" s="14" t="str">
        <f>'27'!$B$2</f>
        <v>27/03/2025 01:00</v>
      </c>
      <c r="B35" s="16">
        <f>'27'!B36</f>
        <v>7.0725000000000016</v>
      </c>
      <c r="C35" s="16">
        <f>'27'!C36</f>
        <v>19.177916666666672</v>
      </c>
      <c r="D35" s="16">
        <f>'27'!D36</f>
        <v>16.793333333333333</v>
      </c>
      <c r="E35" s="16">
        <f>'27'!E36</f>
        <v>11.510416666666666</v>
      </c>
      <c r="F35" s="16">
        <f>'27'!F36</f>
        <v>7.504999999999999</v>
      </c>
      <c r="G35" s="16">
        <f>'27'!G36</f>
        <v>103.79000000000002</v>
      </c>
      <c r="H35" s="16">
        <f>'27'!H36</f>
        <v>42.224166666666669</v>
      </c>
      <c r="I35" s="16">
        <f>'27'!I36</f>
        <v>10.352916666666667</v>
      </c>
      <c r="J35" s="16">
        <f>'27'!J36</f>
        <v>0.50208333333333333</v>
      </c>
      <c r="K35" s="16">
        <f>'27'!K36</f>
        <v>235.18583333333336</v>
      </c>
      <c r="L35" s="16">
        <f>'27'!L36</f>
        <v>30.820000000000004</v>
      </c>
      <c r="M35" s="16">
        <f>'27'!M36</f>
        <v>32.826249999999995</v>
      </c>
      <c r="N35" s="16">
        <f>'27'!N36</f>
        <v>211.47499999999994</v>
      </c>
      <c r="O35" s="16">
        <f>'27'!O36</f>
        <v>0</v>
      </c>
      <c r="P35" s="16">
        <f>'27'!P36</f>
        <v>0.90624999999999989</v>
      </c>
      <c r="Q35" s="16">
        <f>'27'!Q36</f>
        <v>28.177916666666665</v>
      </c>
      <c r="R35" s="30"/>
      <c r="S35" s="30"/>
      <c r="T35" s="30"/>
      <c r="U35" s="30"/>
    </row>
    <row r="36" spans="1:21" s="2" customFormat="1">
      <c r="A36" s="14" t="str">
        <f>'28'!$B$2</f>
        <v>28/03/2025 01:00</v>
      </c>
      <c r="B36" s="16">
        <f>'28'!B36</f>
        <v>6.8616666666666681</v>
      </c>
      <c r="C36" s="16">
        <f>'28'!C36</f>
        <v>20.98875</v>
      </c>
      <c r="D36" s="16">
        <f>'28'!D36</f>
        <v>17.704999999999998</v>
      </c>
      <c r="E36" s="16">
        <f>'28'!E36</f>
        <v>15.189583333333331</v>
      </c>
      <c r="F36" s="16">
        <f>'28'!F36</f>
        <v>18.414999999999999</v>
      </c>
      <c r="G36" s="16">
        <f>'28'!G36</f>
        <v>89.267499999999998</v>
      </c>
      <c r="H36" s="16">
        <f>'28'!H36</f>
        <v>38.967500000000001</v>
      </c>
      <c r="I36" s="16">
        <f>'28'!I36</f>
        <v>11.352916666666665</v>
      </c>
      <c r="J36" s="16">
        <f>'28'!J36</f>
        <v>0.53833333333333333</v>
      </c>
      <c r="K36" s="16">
        <f>'28'!K36</f>
        <v>201.23124999999996</v>
      </c>
      <c r="L36" s="16">
        <f>'28'!L36</f>
        <v>31.753750000000007</v>
      </c>
      <c r="M36" s="16">
        <f>'28'!M36</f>
        <v>31.175416666666667</v>
      </c>
      <c r="N36" s="16">
        <f>'28'!N36</f>
        <v>210.98749999999998</v>
      </c>
      <c r="O36" s="16">
        <f>'28'!O36</f>
        <v>0</v>
      </c>
      <c r="P36" s="16">
        <f>'28'!P36</f>
        <v>0.94791666666666663</v>
      </c>
      <c r="Q36" s="16">
        <f>'28'!Q36</f>
        <v>28.160416666666666</v>
      </c>
      <c r="R36" s="30"/>
      <c r="S36" s="30"/>
      <c r="T36" s="30"/>
      <c r="U36" s="30"/>
    </row>
    <row r="37" spans="1:21" s="2" customFormat="1">
      <c r="A37" s="14" t="str">
        <f>'29'!$B$2</f>
        <v>29/03/2025 01:00</v>
      </c>
      <c r="B37" s="16">
        <f>'29'!B36</f>
        <v>10.104583333333332</v>
      </c>
      <c r="C37" s="16">
        <f>'29'!C36</f>
        <v>24.18416666666667</v>
      </c>
      <c r="D37" s="16">
        <f>'29'!D36</f>
        <v>21.947500000000005</v>
      </c>
      <c r="E37" s="16">
        <f>'29'!E36</f>
        <v>13.889999999999999</v>
      </c>
      <c r="F37" s="16">
        <f>'29'!F36</f>
        <v>18.414999999999999</v>
      </c>
      <c r="G37" s="16">
        <f>'29'!G36</f>
        <v>103.40375000000002</v>
      </c>
      <c r="H37" s="16">
        <f>'29'!H36</f>
        <v>36.617916666666666</v>
      </c>
      <c r="I37" s="16">
        <f>'29'!I36</f>
        <v>10.61125</v>
      </c>
      <c r="J37" s="16">
        <f>'29'!J36</f>
        <v>0.86583333333333312</v>
      </c>
      <c r="K37" s="16">
        <f>'29'!K36</f>
        <v>107.14874999999999</v>
      </c>
      <c r="L37" s="16">
        <f>'29'!L36</f>
        <v>33.252916666666671</v>
      </c>
      <c r="M37" s="16">
        <f>'29'!M36</f>
        <v>24.035</v>
      </c>
      <c r="N37" s="16">
        <f>'29'!N36</f>
        <v>196.5</v>
      </c>
      <c r="O37" s="16">
        <f>'29'!O36</f>
        <v>0</v>
      </c>
      <c r="P37" s="16">
        <f>'29'!P36</f>
        <v>0.86416666666666675</v>
      </c>
      <c r="Q37" s="16">
        <f>'29'!Q36</f>
        <v>28.247916666666665</v>
      </c>
      <c r="R37" s="30"/>
      <c r="S37" s="30"/>
      <c r="T37" s="30"/>
      <c r="U37" s="30"/>
    </row>
    <row r="38" spans="1:21" s="2" customFormat="1">
      <c r="A38" s="14" t="str">
        <f>'30'!$B$2</f>
        <v>30/03/2025 01:00</v>
      </c>
      <c r="B38" s="16">
        <f>'30'!B36</f>
        <v>8.6820833333333329</v>
      </c>
      <c r="C38" s="16">
        <f>'30'!C36</f>
        <v>24.738750000000007</v>
      </c>
      <c r="D38" s="16">
        <f>'30'!D36</f>
        <v>21.083333333333332</v>
      </c>
      <c r="E38" s="16">
        <f>'30'!E36</f>
        <v>17.780416666666671</v>
      </c>
      <c r="F38" s="16">
        <f>'30'!F36</f>
        <v>16.832916666666666</v>
      </c>
      <c r="G38" s="16">
        <f>'30'!G36</f>
        <v>95.235416666666652</v>
      </c>
      <c r="H38" s="16">
        <f>'30'!H36</f>
        <v>34.45333333333334</v>
      </c>
      <c r="I38" s="16">
        <f>'30'!I36</f>
        <v>9.6183333333333341</v>
      </c>
      <c r="J38" s="16">
        <f>'30'!J36</f>
        <v>0.69416666666666682</v>
      </c>
      <c r="K38" s="16">
        <f>'30'!K36</f>
        <v>145.38291666666669</v>
      </c>
      <c r="L38" s="16">
        <f>'30'!L36</f>
        <v>32.087916666666665</v>
      </c>
      <c r="M38" s="16">
        <f>'30'!M36</f>
        <v>22.394166666666667</v>
      </c>
      <c r="N38" s="16">
        <f>'30'!N36</f>
        <v>200.7583333333333</v>
      </c>
      <c r="O38" s="16">
        <f>'30'!O36</f>
        <v>0</v>
      </c>
      <c r="P38" s="16">
        <f>'30'!P36</f>
        <v>0.78833333333333322</v>
      </c>
      <c r="Q38" s="16">
        <f>'30'!Q36</f>
        <v>28.19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5.00875</v>
      </c>
      <c r="C40" s="18">
        <f t="shared" si="0"/>
        <v>14.929583333333333</v>
      </c>
      <c r="D40" s="18">
        <f t="shared" si="0"/>
        <v>13.258333333333335</v>
      </c>
      <c r="E40" s="18">
        <f t="shared" si="0"/>
        <v>9.3175000000000008</v>
      </c>
      <c r="F40" s="18">
        <f t="shared" si="0"/>
        <v>3.3075000000000006</v>
      </c>
      <c r="G40" s="18">
        <f t="shared" si="0"/>
        <v>1.8370833333333338</v>
      </c>
      <c r="H40" s="18">
        <f t="shared" si="0"/>
        <v>17.389999999999997</v>
      </c>
      <c r="I40" s="18">
        <f t="shared" si="0"/>
        <v>7.1758333333333333</v>
      </c>
      <c r="J40" s="18">
        <f t="shared" si="0"/>
        <v>0.43541666666666673</v>
      </c>
      <c r="K40" s="18">
        <f t="shared" si="0"/>
        <v>107.14874999999999</v>
      </c>
      <c r="L40" s="18">
        <f t="shared" si="0"/>
        <v>24.202499999999997</v>
      </c>
      <c r="M40" s="18">
        <f t="shared" si="0"/>
        <v>22.394166666666667</v>
      </c>
      <c r="N40" s="18">
        <f t="shared" si="0"/>
        <v>91.404166666666683</v>
      </c>
      <c r="O40" s="18">
        <f t="shared" si="0"/>
        <v>0</v>
      </c>
      <c r="P40" s="18">
        <f t="shared" si="0"/>
        <v>0.58083333333333342</v>
      </c>
      <c r="Q40" s="18">
        <f t="shared" si="0"/>
        <v>28.057083333333335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16.66</v>
      </c>
      <c r="C41" s="18">
        <f t="shared" si="1"/>
        <v>26.806249999999995</v>
      </c>
      <c r="D41" s="18">
        <f t="shared" si="1"/>
        <v>24.000416666666666</v>
      </c>
      <c r="E41" s="18">
        <f t="shared" si="1"/>
        <v>17.780416666666671</v>
      </c>
      <c r="F41" s="18">
        <f t="shared" si="1"/>
        <v>18.414999999999999</v>
      </c>
      <c r="G41" s="18">
        <f t="shared" si="1"/>
        <v>108.42583333333333</v>
      </c>
      <c r="H41" s="18">
        <f t="shared" si="1"/>
        <v>42.224166666666669</v>
      </c>
      <c r="I41" s="18">
        <f t="shared" si="1"/>
        <v>14.45833333333333</v>
      </c>
      <c r="J41" s="18">
        <f t="shared" si="1"/>
        <v>0.97875000000000012</v>
      </c>
      <c r="K41" s="18">
        <f t="shared" si="1"/>
        <v>273.13708333333335</v>
      </c>
      <c r="L41" s="18">
        <f t="shared" si="1"/>
        <v>33.252916666666671</v>
      </c>
      <c r="M41" s="18">
        <f t="shared" si="1"/>
        <v>59.682083333333317</v>
      </c>
      <c r="N41" s="18">
        <f t="shared" si="1"/>
        <v>222.84583333333333</v>
      </c>
      <c r="O41" s="18">
        <f t="shared" si="1"/>
        <v>2.4999999999999998E-2</v>
      </c>
      <c r="P41" s="18">
        <f t="shared" si="1"/>
        <v>1.0275000000000001</v>
      </c>
      <c r="Q41" s="18">
        <f t="shared" si="1"/>
        <v>28.419166666666666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8.4983749999999993</v>
      </c>
      <c r="C42" s="18">
        <f t="shared" si="2"/>
        <v>20.33809722222222</v>
      </c>
      <c r="D42" s="18">
        <f t="shared" si="2"/>
        <v>18.616499999999998</v>
      </c>
      <c r="E42" s="18">
        <f t="shared" si="2"/>
        <v>11.613416666666669</v>
      </c>
      <c r="F42" s="18">
        <f t="shared" si="2"/>
        <v>8.548035714285712</v>
      </c>
      <c r="G42" s="18">
        <f t="shared" si="2"/>
        <v>71.902396464646458</v>
      </c>
      <c r="H42" s="18">
        <f t="shared" si="2"/>
        <v>29.777733585858591</v>
      </c>
      <c r="I42" s="18">
        <f t="shared" si="2"/>
        <v>10.188690476190477</v>
      </c>
      <c r="J42" s="18">
        <f t="shared" si="2"/>
        <v>0.6183888888888891</v>
      </c>
      <c r="K42" s="18">
        <f t="shared" si="2"/>
        <v>205.86640277777775</v>
      </c>
      <c r="L42" s="18">
        <f t="shared" si="2"/>
        <v>29.146527777777781</v>
      </c>
      <c r="M42" s="18">
        <f t="shared" si="2"/>
        <v>39.564194444444446</v>
      </c>
      <c r="N42" s="18">
        <f t="shared" si="2"/>
        <v>135.12152777777777</v>
      </c>
      <c r="O42" s="18">
        <f t="shared" si="2"/>
        <v>8.3333333333333328E-4</v>
      </c>
      <c r="P42" s="18">
        <f t="shared" si="2"/>
        <v>0.82404166666666667</v>
      </c>
      <c r="Q42" s="18">
        <f t="shared" si="2"/>
        <v>28.184666666666665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2.871904172667946</v>
      </c>
      <c r="C43" s="18">
        <f t="shared" si="3"/>
        <v>2.9463586418980876</v>
      </c>
      <c r="D43" s="18">
        <f t="shared" si="3"/>
        <v>3.2240189013028306</v>
      </c>
      <c r="E43" s="18">
        <f t="shared" si="3"/>
        <v>2.0973088468192516</v>
      </c>
      <c r="F43" s="18">
        <f t="shared" si="3"/>
        <v>4.1453616247310539</v>
      </c>
      <c r="G43" s="18">
        <f t="shared" si="3"/>
        <v>23.699070184929923</v>
      </c>
      <c r="H43" s="18">
        <f t="shared" si="3"/>
        <v>6.3576126601353442</v>
      </c>
      <c r="I43" s="18">
        <f t="shared" si="3"/>
        <v>1.6627508966063353</v>
      </c>
      <c r="J43" s="18">
        <f t="shared" si="3"/>
        <v>0.12000492553215995</v>
      </c>
      <c r="K43" s="18">
        <f t="shared" si="3"/>
        <v>39.860494227864194</v>
      </c>
      <c r="L43" s="18">
        <f t="shared" si="3"/>
        <v>2.0796363644170155</v>
      </c>
      <c r="M43" s="18">
        <f t="shared" si="3"/>
        <v>9.7763070812893726</v>
      </c>
      <c r="N43" s="18">
        <f t="shared" si="3"/>
        <v>49.366824812840548</v>
      </c>
      <c r="O43" s="18">
        <f t="shared" si="3"/>
        <v>4.5643546458763841E-3</v>
      </c>
      <c r="P43" s="18">
        <f t="shared" si="3"/>
        <v>0.10702778480071641</v>
      </c>
      <c r="Q43" s="18">
        <f t="shared" si="3"/>
        <v>9.6314906959837285E-2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Q44" si="4">COUNT(B9:B38)</f>
        <v>30</v>
      </c>
      <c r="C44" s="3">
        <f t="shared" si="4"/>
        <v>30</v>
      </c>
      <c r="D44" s="3">
        <f t="shared" si="4"/>
        <v>30</v>
      </c>
      <c r="E44" s="3">
        <f t="shared" si="4"/>
        <v>30</v>
      </c>
      <c r="F44" s="18">
        <f>COUNT(F9:F38)+3</f>
        <v>30</v>
      </c>
      <c r="G44" s="3">
        <f t="shared" si="4"/>
        <v>30</v>
      </c>
      <c r="H44" s="3">
        <f t="shared" si="4"/>
        <v>30</v>
      </c>
      <c r="I44" s="18">
        <f>COUNT(I9:I38)+2</f>
        <v>30</v>
      </c>
      <c r="J44" s="3">
        <f t="shared" si="4"/>
        <v>30</v>
      </c>
      <c r="K44" s="3">
        <f t="shared" si="4"/>
        <v>30</v>
      </c>
      <c r="L44" s="3">
        <f t="shared" si="4"/>
        <v>30</v>
      </c>
      <c r="M44" s="3">
        <f t="shared" si="4"/>
        <v>30</v>
      </c>
      <c r="N44" s="3">
        <f t="shared" si="4"/>
        <v>30</v>
      </c>
      <c r="O44" s="3">
        <f t="shared" si="4"/>
        <v>30</v>
      </c>
      <c r="P44" s="3">
        <f t="shared" si="4"/>
        <v>30</v>
      </c>
      <c r="Q44" s="3">
        <f t="shared" si="4"/>
        <v>30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5">IF(C44&gt;=28,"&gt;90%",IF(C44&lt;=28,"&lt;90%"))</f>
        <v>&gt;90%</v>
      </c>
      <c r="D45" s="3" t="str">
        <f t="shared" si="5"/>
        <v>&gt;90%</v>
      </c>
      <c r="E45" s="3" t="str">
        <f t="shared" si="5"/>
        <v>&gt;90%</v>
      </c>
      <c r="F45" s="3" t="str">
        <f t="shared" si="5"/>
        <v>&gt;90%</v>
      </c>
      <c r="G45" s="3" t="str">
        <f t="shared" si="5"/>
        <v>&gt;90%</v>
      </c>
      <c r="H45" s="3" t="str">
        <f t="shared" si="5"/>
        <v>&gt;90%</v>
      </c>
      <c r="I45" s="3" t="str">
        <f t="shared" si="5"/>
        <v>&gt;90%</v>
      </c>
      <c r="J45" s="3" t="str">
        <f t="shared" si="5"/>
        <v>&gt;90%</v>
      </c>
      <c r="K45" s="3" t="str">
        <f t="shared" si="5"/>
        <v>&gt;90%</v>
      </c>
      <c r="L45" s="3" t="str">
        <f t="shared" si="5"/>
        <v>&gt;90%</v>
      </c>
      <c r="M45" s="3" t="str">
        <f t="shared" si="5"/>
        <v>&gt;90%</v>
      </c>
      <c r="N45" s="3" t="str">
        <f t="shared" si="5"/>
        <v>&gt;90%</v>
      </c>
      <c r="O45" s="3" t="str">
        <f t="shared" si="5"/>
        <v>&gt;90%</v>
      </c>
      <c r="P45" s="3" t="str">
        <f t="shared" si="5"/>
        <v>&gt;90%</v>
      </c>
      <c r="Q45" s="3" t="str">
        <f t="shared" si="5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6">IF(C44&gt;=28,"OK",IF(C44&lt;=28,"LESS"))</f>
        <v>OK</v>
      </c>
      <c r="D46" s="3" t="str">
        <f t="shared" si="6"/>
        <v>OK</v>
      </c>
      <c r="E46" s="3" t="str">
        <f t="shared" si="6"/>
        <v>OK</v>
      </c>
      <c r="F46" s="3" t="str">
        <f t="shared" si="6"/>
        <v>OK</v>
      </c>
      <c r="G46" s="3" t="str">
        <f t="shared" si="6"/>
        <v>OK</v>
      </c>
      <c r="H46" s="3" t="str">
        <f t="shared" si="6"/>
        <v>OK</v>
      </c>
      <c r="I46" s="3" t="str">
        <f t="shared" si="6"/>
        <v>OK</v>
      </c>
      <c r="J46" s="3" t="str">
        <f t="shared" si="6"/>
        <v>OK</v>
      </c>
      <c r="K46" s="3" t="str">
        <f t="shared" si="6"/>
        <v>OK</v>
      </c>
      <c r="L46" s="3" t="str">
        <f t="shared" si="6"/>
        <v>OK</v>
      </c>
      <c r="M46" s="3" t="str">
        <f t="shared" si="6"/>
        <v>OK</v>
      </c>
      <c r="N46" s="3" t="str">
        <f t="shared" si="6"/>
        <v>OK</v>
      </c>
      <c r="O46" s="3" t="str">
        <f t="shared" si="6"/>
        <v>OK</v>
      </c>
      <c r="P46" s="3" t="str">
        <f t="shared" si="6"/>
        <v>OK</v>
      </c>
      <c r="Q46" s="3" t="str">
        <f t="shared" si="6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57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2025-12-12T10:50:58Z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